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8" documentId="8_{DD2EACCF-6EDF-458E-A15A-D9F144213A0C}" xr6:coauthVersionLast="47" xr6:coauthVersionMax="47" xr10:uidLastSave="{8D1F63B1-91D4-413C-940B-339F1B071F34}"/>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<sst xmlns="http://schemas.openxmlformats.org/spreadsheetml/2006/main" count="28365" uniqueCount="4737">
  <si>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</si>
  <si>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</si>
  <si>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</si>
  <si>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</si>
  <si>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</si>
  <si>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</si>
  <si>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</si>
  <si>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</si>
  <si>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</si>
  <si>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</si>
  <si>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</si>
  <si>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</si>
  <si>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</si>
  <si>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</si>
  <si>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</si>
  <si>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</si>
  <si>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</si>
  <si>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</si>
  <si>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</si>
  <si>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</si>
  <si>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</si>
  <si>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</si>
  <si>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</si>
  <si>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</si>
  <si>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</si>
  <si>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</si>
  <si>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</si>
  <si>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</si>
  <si>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</si>
  <si>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</si>
  <si>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</si>
  <si>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</si>
  <si>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</si>
  <si>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</si>
  <si>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</si>
  <si>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</si>
  <si>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</si>
  <si>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</si>
  <si>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</si>
  <si>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</si>
  <si>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</si>
  <si>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</si>
  <si>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</si>
  <si>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</si>
  <si>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</si>
  <si>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</si>
  <si>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</si>
  <si>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</si>
  <si>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</si>
  <si>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</si>
  <si>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</si>
  <si>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</si>
  <si>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</si>
  <si>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</si>
  <si>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</si>
  <si>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</si>
  <si>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</si>
  <si>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</si>
  <si>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</si>
  <si>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</si>
  <si>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</si>
  <si>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</si>
  <si>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</si>
  <si>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</si>
  <si>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</si>
  <si>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</si>
  <si>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</si>
  <si>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</si>
  <si>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</si>
  <si>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</si>
  <si>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</si>
  <si>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</si>
  <si>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</si>
  <si>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</si>
  <si>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</si>
  <si>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</si>
  <si>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</si>
  <si>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</si>
  <si>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</si>
  <si>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</si>
  <si>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</si>
  <si>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</si>
  <si>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</si>
  <si>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</si>
  <si>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</si>
  <si>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</si>
  <si>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</si>
  <si>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</si>
  <si>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</si>
  <si>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</si>
  <si>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</si>
  <si>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</si>
  <si>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</si>
  <si>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</si>
  <si>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</si>
  <si>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</si>
  <si>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</si>
  <si>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</si>
  <si>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</si>
  <si>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</si>
  <si>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</si>
  <si>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</si>
  <si>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</si>
  <si>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</si>
  <si>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</si>
  <si>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</si>
  <si>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</si>
  <si>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</si>
  <si>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</si>
  <si>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</si>
  <si>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</si>
  <si>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</si>
  <si>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</si>
  <si>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</si>
  <si>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</si>
  <si>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</si>
  <si>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</si>
  <si>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</si>
  <si>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</si>
  <si>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</si>
  <si>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</si>
  <si>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</si>
  <si>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</si>
  <si>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</si>
  <si>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</si>
  <si>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</si>
  <si>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</si>
  <si>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</si>
  <si>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</si>
  <si>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</si>
  <si>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</si>
  <si>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</si>
  <si>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</si>
  <si>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</si>
  <si>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</si>
  <si>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</si>
  <si>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</si>
  <si>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</si>
  <si>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</si>
  <si>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</si>
  <si>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</si>
  <si>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</si>
  <si>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</si>
  <si>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</si>
  <si>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</si>
  <si>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</si>
  <si>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</si>
  <si>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</si>
  <si>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</si>
  <si>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</si>
  <si>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</si>
  <si>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</si>
  <si>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</si>
  <si>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</si>
  <si>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</si>
  <si>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</si>
  <si>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</si>
  <si>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</si>
  <si>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</si>
  <si>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</si>
  <si>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</si>
  <si>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</si>
  <si>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</si>
  <si>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</si>
  <si>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</si>
  <si>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</si>
  <si>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</si>
  <si>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</si>
  <si>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</si>
  <si>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</si>
  <si>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</si>
  <si>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</si>
  <si>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</si>
  <si>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</si>
  <si>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</si>
  <si>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</si>
  <si>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</si>
  <si>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</si>
  <si>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</si>
  <si>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</si>
  <si>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</si>
  <si>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</si>
  <si>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</si>
  <si>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</si>
  <si>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</si>
  <si>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</si>
  <si>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</si>
  <si>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</si>
  <si>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</si>
  <si>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</si>
  <si>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</si>
  <si>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</si>
  <si>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</si>
  <si>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</si>
  <si>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</si>
  <si>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</si>
  <si>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</si>
  <si>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</si>
  <si>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</si>
  <si>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</si>
  <si>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</si>
  <si>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</si>
  <si>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</si>
  <si>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</si>
  <si>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</si>
  <si>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</si>
  <si>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</si>
  <si>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</si>
  <si>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</si>
  <si>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</si>
  <si>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</si>
  <si>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</si>
  <si>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</si>
  <si>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</si>
  <si>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</si>
  <si>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</si>
  <si>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</si>
  <si>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</si>
  <si>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</si>
  <si>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</si>
  <si>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</si>
  <si>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</si>
  <si>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</si>
  <si>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</si>
  <si>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</si>
  <si>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</si>
  <si>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</si>
  <si>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</si>
  <si>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</si>
  <si>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</si>
  <si>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</si>
  <si>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</si>
  <si>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</si>
  <si>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</si>
  <si>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</si>
  <si>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</si>
  <si>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</si>
  <si>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</si>
  <si>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</si>
  <si>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</si>
  <si>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</si>
  <si>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</si>
  <si>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</si>
  <si>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</si>
  <si>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</si>
  <si>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</si>
  <si>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</si>
  <si>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</si>
  <si>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</si>
  <si>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</si>
  <si>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</si>
  <si>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</si>
  <si>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</si>
  <si>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</si>
  <si>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</si>
  <si>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</si>
  <si>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</si>
  <si>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</si>
  <si>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</si>
  <si>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</si>
  <si>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</si>
  <si>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</si>
  <si>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</si>
  <si>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</si>
  <si>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</si>
  <si>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</si>
  <si>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</si>
  <si>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</si>
  <si>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</si>
  <si>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</si>
  <si>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</si>
  <si>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</si>
  <si>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</si>
  <si>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</si>
  <si>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</si>
  <si>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</si>
  <si>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</si>
  <si>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</si>
  <si>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</si>
  <si>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</si>
  <si>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</si>
  <si>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</si>
  <si>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</si>
  <si>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</si>
  <si>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</si>
  <si>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</si>
  <si>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</si>
  <si>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</si>
  <si>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</si>
  <si>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</si>
  <si>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</si>
  <si>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</si>
  <si>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</si>
  <si>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</si>
  <si>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</si>
  <si>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</si>
  <si>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</si>
  <si>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</si>
  <si>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</si>
  <si>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</si>
  <si>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</si>
  <si>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</si>
  <si>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</si>
  <si>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</si>
  <si>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</si>
  <si>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</si>
  <si>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</si>
  <si>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</si>
  <si>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</si>
  <si>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</si>
  <si>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</si>
  <si>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</si>
  <si>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</si>
  <si>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</si>
  <si>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</si>
  <si>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</si>
  <si>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</si>
  <si>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</si>
  <si>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</si>
  <si>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</si>
  <si>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</si>
  <si>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</si>
  <si>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</si>
  <si>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</si>
  <si>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</si>
  <si>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</si>
  <si>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</si>
  <si>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</si>
  <si>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</si>
  <si>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</si>
  <si>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</si>
  <si>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</si>
  <si>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</si>
  <si>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</si>
  <si>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</si>
  <si>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</si>
  <si>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</si>
  <si>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</si>
  <si>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</si>
  <si>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</si>
  <si>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</si>
  <si>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</si>
  <si>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</si>
  <si>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</si>
  <si>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</si>
  <si>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</si>
  <si>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</si>
  <si>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</si>
  <si>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</si>
  <si>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</si>
  <si>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</si>
  <si>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</si>
  <si>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</si>
  <si>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</si>
  <si>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</si>
  <si>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</si>
  <si>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</si>
  <si>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</si>
  <si>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</si>
  <si>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</si>
  <si>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</si>
  <si>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</si>
  <si>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</si>
  <si>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</si>
  <si>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</si>
  <si>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</si>
  <si>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</si>
  <si>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</si>
  <si>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</si>
  <si>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</si>
  <si>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</si>
  <si>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</si>
  <si>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</si>
  <si>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</si>
  <si>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</si>
  <si>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</si>
  <si>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</si>
  <si>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</si>
  <si>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</si>
  <si>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</si>
  <si>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</si>
  <si>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</si>
  <si>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</si>
  <si>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</si>
  <si>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</si>
  <si>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</si>
  <si>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</si>
  <si>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</si>
  <si>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</si>
  <si>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</si>
  <si>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</si>
  <si>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</si>
  <si>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</si>
  <si>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</si>
  <si>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</si>
  <si>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</si>
  <si>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</si>
  <si>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</si>
  <si>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</si>
  <si>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</si>
  <si>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</si>
  <si>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</si>
  <si>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</si>
  <si>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</si>
  <si>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</si>
  <si>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</si>
  <si>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</si>
  <si>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</si>
  <si>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</si>
  <si>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</si>
  <si>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</si>
  <si>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</si>
  <si>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</si>
  <si>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</si>
  <si>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</si>
  <si>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</si>
  <si>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</si>
  <si>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</si>
  <si>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</si>
  <si>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</si>
  <si>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</si>
  <si>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</si>
  <si>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</si>
  <si>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</si>
  <si>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</si>
  <si>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</si>
  <si>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</si>
  <si>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</si>
  <si>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</si>
  <si>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</si>
  <si>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</si>
  <si>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</si>
  <si>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</si>
  <si>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</si>
  <si>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</si>
  <si>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</si>
  <si>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</si>
  <si>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</si>
  <si>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</si>
  <si>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</si>
  <si>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</si>
  <si>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</si>
  <si>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</si>
  <si>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</si>
  <si>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</si>
  <si>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</si>
  <si>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</si>
  <si>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</si>
  <si>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</si>
  <si>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</si>
  <si>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</si>
  <si>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</si>
  <si>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</si>
  <si>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</si>
  <si>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</si>
  <si>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</si>
  <si>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</si>
  <si>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</si>
  <si>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</si>
  <si>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</si>
  <si>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</si>
  <si>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</si>
  <si>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</si>
  <si>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</si>
  <si>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</si>
  <si>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</si>
  <si>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</si>
  <si>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</si>
  <si>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</si>
  <si>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</si>
  <si>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</si>
  <si>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</si>
  <si>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</si>
  <si>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</si>
  <si>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</si>
  <si>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</si>
  <si>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</si>
  <si>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</si>
  <si>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</si>
  <si>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</si>
  <si>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</si>
  <si>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</si>
  <si>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</si>
  <si>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</si>
  <si>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</si>
  <si>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</si>
  <si>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</si>
  <si>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</si>
  <si>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</si>
  <si>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</si>
  <si>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</si>
  <si>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</si>
  <si>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</si>
  <si>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</si>
  <si>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</si>
  <si>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</si>
  <si>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</si>
  <si>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</si>
  <si>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</si>
  <si>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</si>
  <si>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</si>
  <si>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</si>
  <si>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</si>
  <si>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</si>
  <si>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</si>
  <si>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</si>
  <si>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</si>
  <si>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</si>
  <si>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</si>
  <si>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</si>
  <si>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</si>
  <si>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</si>
  <si>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</si>
  <si>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</si>
  <si>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</si>
  <si>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</si>
  <si>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</si>
  <si>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</si>
  <si>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</si>
  <si>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</si>
  <si>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</si>
  <si>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</si>
  <si>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</si>
  <si>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</si>
  <si>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</si>
  <si>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</si>
  <si>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</si>
  <si>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</si>
  <si>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</si>
  <si>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</si>
  <si>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</si>
  <si>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</si>
  <si>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</si>
  <si>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</si>
  <si>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</si>
  <si>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</si>
  <si>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</si>
  <si>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</si>
  <si>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</si>
  <si>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</si>
  <si>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</si>
  <si>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</si>
  <si>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</si>
  <si>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</si>
  <si>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</si>
  <si>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</si>
  <si>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</si>
  <si>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</si>
  <si>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</si>
  <si>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</si>
  <si>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</si>
  <si>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</si>
  <si>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</si>
  <si>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</si>
  <si>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</si>
  <si>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</si>
  <si>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</si>
  <si>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</si>
  <si>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</si>
  <si>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</si>
  <si>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</si>
  <si>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</si>
  <si>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</si>
  <si>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</si>
  <si>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</si>
  <si>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</si>
  <si>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</si>
  <si>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</si>
  <si>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</si>
  <si>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</si>
  <si>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</si>
  <si>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</si>
  <si>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</si>
  <si>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</si>
  <si>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</si>
  <si>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</si>
  <si>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</si>
  <si>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</si>
  <si>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</si>
  <si>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</si>
  <si>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</si>
  <si>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</si>
  <si>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</si>
  <si>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</si>
  <si>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</si>
  <si>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</si>
  <si>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</si>
  <si>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</si>
  <si>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</si>
  <si>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</si>
  <si>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</si>
  <si>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</si>
  <si>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</si>
  <si>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</si>
  <si>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</si>
  <si>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</si>
  <si>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</si>
  <si>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</si>
  <si>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</si>
  <si>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</si>
  <si>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</si>
  <si>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</si>
  <si>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</si>
  <si>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</si>
  <si>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</si>
  <si>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</si>
  <si>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</si>
  <si>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</si>
  <si>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</si>
  <si>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</si>
  <si>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</si>
  <si>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</si>
  <si>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</si>
  <si>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</si>
  <si>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</si>
  <si>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</si>
  <si>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</si>
  <si>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</si>
  <si>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</si>
  <si>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</si>
  <si>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</si>
  <si>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</si>
  <si>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</si>
  <si>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</si>
  <si>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</si>
  <si>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</si>
  <si>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</si>
  <si>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</si>
  <si>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</si>
  <si>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</si>
  <si>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</si>
  <si>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</si>
  <si>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</si>
  <si>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</si>
  <si>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</si>
  <si>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</si>
  <si>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</si>
  <si>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</si>
  <si>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</si>
  <si>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</si>
  <si>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</si>
  <si>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</si>
  <si>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</si>
  <si>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</si>
  <si>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</si>
  <si>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</si>
  <si>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</si>
  <si>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</si>
  <si>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</si>
  <si>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</si>
  <si>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</si>
  <si>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</si>
  <si>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</si>
  <si>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</si>
  <si>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</si>
  <si>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</si>
  <si>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</si>
  <si>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</si>
  <si>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</si>
  <si>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</si>
  <si>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</si>
  <si>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</si>
  <si>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</si>
  <si>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</si>
  <si>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</si>
  <si>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</si>
  <si>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</si>
  <si>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</si>
  <si>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</si>
  <si>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</si>
  <si>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</si>
  <si>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</si>
  <si>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</si>
  <si>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</si>
  <si>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</si>
  <si>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</si>
  <si>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</si>
  <si>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</si>
  <si>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</si>
  <si>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</si>
  <si>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</si>
  <si>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</si>
  <si>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</si>
  <si>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</si>
  <si>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</si>
  <si>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</si>
  <si>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</si>
  <si>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</si>
  <si>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</si>
  <si>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</si>
  <si>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</si>
  <si>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</si>
  <si>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</si>
  <si>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</si>
  <si>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</si>
  <si>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</si>
  <si>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</si>
  <si>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</si>
  <si>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</si>
  <si>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</si>
  <si>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</si>
  <si>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</si>
  <si>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</si>
  <si>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</si>
  <si>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</si>
  <si>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</si>
  <si>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</si>
  <si>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</si>
  <si>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</si>
  <si>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</si>
  <si>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</si>
  <si>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</si>
  <si>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</si>
  <si>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</si>
  <si>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</si>
  <si>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</si>
  <si>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</si>
  <si>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</si>
  <si>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</si>
  <si>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</si>
  <si>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</si>
  <si>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</si>
  <si>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</si>
  <si>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</si>
  <si>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</si>
  <si>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</si>
  <si>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</si>
  <si>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</si>
  <si>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</si>
  <si>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</si>
  <si>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</si>
  <si>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</si>
  <si>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</si>
  <si>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</si>
  <si>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</si>
  <si>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</si>
  <si>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</si>
  <si>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</si>
  <si>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</si>
  <si>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</si>
  <si>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</si>
  <si>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</si>
  <si>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</si>
  <si>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</si>
  <si>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</si>
  <si>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</si>
  <si>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</si>
  <si>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</si>
  <si>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</si>
  <si>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</si>
  <si>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</si>
  <si>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</si>
  <si>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</si>
  <si>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</si>
  <si>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</si>
  <si>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</si>
  <si>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</si>
  <si>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</si>
  <si>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</si>
  <si>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</si>
  <si>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</si>
  <si>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</si>
  <si>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</si>
  <si>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</si>
  <si>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</si>
  <si>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</si>
  <si>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</si>
  <si>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</si>
  <si>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</si>
  <si>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</si>
  <si>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</si>
  <si>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</si>
  <si>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</si>
  <si>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</si>
  <si>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</si>
  <si>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</si>
  <si>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</si>
  <si>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</si>
  <si>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</si>
  <si>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</si>
  <si>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</si>
  <si>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</si>
  <si>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</si>
  <si>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</si>
  <si>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</si>
  <si>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</si>
  <si>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</si>
  <si>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</si>
  <si>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</si>
  <si>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</si>
  <si>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</si>
  <si>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</si>
  <si>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</si>
  <si>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</si>
  <si>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</si>
  <si>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</si>
  <si>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</si>
  <si>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</si>
  <si>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</si>
  <si>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</si>
  <si>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</si>
  <si>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</si>
  <si>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</si>
  <si>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</si>
  <si>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</si>
  <si>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</si>
  <si>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</si>
  <si>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</si>
  <si>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</si>
  <si>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</si>
  <si>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</si>
  <si>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</si>
  <si>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</si>
  <si>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</si>
  <si>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</si>
  <si>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</si>
  <si>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</si>
  <si>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</si>
  <si>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</si>
  <si>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</si>
  <si>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</si>
  <si>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</si>
  <si>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</si>
  <si>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</si>
  <si>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</si>
  <si>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</si>
  <si>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</si>
  <si>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</si>
  <si>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</si>
  <si>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</si>
  <si>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</si>
  <si>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</si>
  <si>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</si>
  <si>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</si>
  <si>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</si>
  <si>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</si>
  <si>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</si>
  <si>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</si>
  <si>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</si>
  <si>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</si>
  <si>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</si>
  <si>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</si>
  <si>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</si>
  <si>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</si>
  <si>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</si>
  <si>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</si>
  <si>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</si>
  <si>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</si>
  <si>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</si>
  <si>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</si>
  <si>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</si>
  <si>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</si>
  <si>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</si>
  <si>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</si>
  <si>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</si>
  <si>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</si>
  <si>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</si>
  <si>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</si>
  <si>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</si>
  <si>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</si>
  <si>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</si>
  <si>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</si>
  <si>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</si>
  <si>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</si>
  <si>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</si>
  <si>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</si>
  <si>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</si>
  <si>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</si>
  <si>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</si>
  <si>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</si>
  <si>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</si>
  <si>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</si>
  <si>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</si>
  <si>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</si>
  <si>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</si>
  <si>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</si>
  <si>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</si>
  <si>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</si>
  <si>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</si>
  <si>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</si>
  <si>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</si>
  <si>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</si>
  <si>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</si>
  <si>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</si>
  <si>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</si>
  <si>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</si>
  <si>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</si>
  <si>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</si>
  <si>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</si>
  <si>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</si>
  <si>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</si>
  <si>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</si>
  <si>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</si>
  <si>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</si>
  <si>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</si>
  <si>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</si>
  <si>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</si>
  <si>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</si>
  <si>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</si>
  <si>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</si>
  <si>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</si>
  <si>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</si>
  <si>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</si>
  <si>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</si>
  <si>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</si>
  <si>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</si>
  <si>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</si>
  <si>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</si>
  <si>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</si>
  <si>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</si>
  <si>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</si>
  <si>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</si>
  <si>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</si>
  <si>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</si>
  <si>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</si>
  <si>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</si>
  <si>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</si>
  <si>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</si>
  <si>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</si>
  <si>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</si>
  <si>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</si>
  <si>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</si>
  <si>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</si>
  <si>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</si>
  <si>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</si>
  <si>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</si>
  <si>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</si>
  <si>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</si>
  <si>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</si>
  <si>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</si>
  <si>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</si>
  <si>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</si>
  <si>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</si>
  <si>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</si>
  <si>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</si>
  <si>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</si>
  <si>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</si>
  <si>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</si>
  <si>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</si>
  <si>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</si>
  <si>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</si>
  <si>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</si>
  <si>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</si>
  <si>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</si>
  <si>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</si>
  <si>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</si>
  <si>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</si>
  <si>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</si>
  <si>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</si>
  <si>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</si>
  <si>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</si>
  <si>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</si>
  <si>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</si>
  <si>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</si>
  <si>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</si>
  <si>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</si>
  <si>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</si>
  <si>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</si>
  <si>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</si>
  <si>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</si>
  <si>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</si>
  <si>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</si>
  <si>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</si>
  <si>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</si>
  <si>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</si>
  <si>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</si>
  <si>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</si>
  <si>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</si>
  <si>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</si>
  <si>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</si>
  <si>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</si>
  <si>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</si>
  <si>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</si>
  <si>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</si>
  <si>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</si>
  <si>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</si>
  <si>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</si>
  <si>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</si>
  <si>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</si>
  <si>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</si>
  <si>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</si>
  <si>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</si>
  <si>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</si>
  <si>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</si>
  <si>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</si>
  <si>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</si>
  <si>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</si>
  <si>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</si>
  <si>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</si>
  <si>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</si>
  <si>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</si>
  <si>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</si>
  <si>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</si>
  <si>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</si>
  <si>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</si>
  <si>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</si>
  <si>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</si>
  <si>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</si>
  <si>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</si>
  <si>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</si>
  <si>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</si>
  <si>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</si>
  <si>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</si>
  <si>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</si>
  <si>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</si>
  <si>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</si>
  <si>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</si>
  <si>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</si>
  <si>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</si>
  <si>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</si>
  <si>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</si>
  <si>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</si>
  <si>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</si>
  <si>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</si>
  <si>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</si>
  <si>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</si>
  <si>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</si>
  <si>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</si>
  <si>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</si>
  <si>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</si>
  <si>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</si>
  <si>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</si>
  <si>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</si>
  <si>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</si>
  <si>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</si>
  <si>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</si>
  <si>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</si>
  <si>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</si>
  <si>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</si>
  <si>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</si>
  <si>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</si>
  <si>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</si>
  <si>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</si>
  <si>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</si>
  <si>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</si>
  <si>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</si>
  <si>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</si>
  <si>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</si>
  <si>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</si>
  <si>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</si>
  <si>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</si>
  <si>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</si>
  <si>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</si>
  <si>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</si>
  <si>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</si>
  <si>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</si>
  <si>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</si>
  <si>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</si>
  <si>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</si>
  <si>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</si>
  <si>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</si>
  <si>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</si>
  <si>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</si>
  <si>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</si>
  <si>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</si>
  <si>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</si>
  <si>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</si>
  <si>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</si>
  <si>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</si>
  <si>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</si>
  <si>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</si>
  <si>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</si>
  <si>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</si>
  <si>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</si>
  <si>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</si>
  <si>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</si>
  <si>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</si>
  <si>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</si>
  <si>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</si>
  <si>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</si>
  <si>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</si>
  <si>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</si>
  <si>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</si>
  <si>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</si>
  <si>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</si>
  <si>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</si>
  <si>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</si>
  <si>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</si>
  <si>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</si>
  <si>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</si>
  <si>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</si>
  <si>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</si>
  <si>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</si>
  <si>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</si>
  <si>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</si>
  <si>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</si>
  <si>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</si>
  <si>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</si>
  <si>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</si>
  <si>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</si>
  <si>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</si>
  <si>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</si>
  <si>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</si>
  <si>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</si>
  <si>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</si>
  <si>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</si>
  <si>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</si>
  <si>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</si>
  <si>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</si>
  <si>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</si>
  <si>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</si>
  <si>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</si>
  <si>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</si>
  <si>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</si>
  <si>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</si>
  <si>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</si>
  <si>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</si>
  <si>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</si>
  <si>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</si>
  <si>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</si>
  <si>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</si>
  <si>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</si>
  <si>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</si>
  <si>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</si>
  <si>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</si>
  <si>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</si>
  <si>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</si>
  <si>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</si>
  <si>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</si>
  <si>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</si>
  <si>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</si>
  <si>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</si>
  <si>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</si>
  <si>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</si>
  <si>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</si>
  <si>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</si>
  <si>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</si>
  <si>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</si>
  <si>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</si>
  <si>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</si>
  <si>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</si>
  <si>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</si>
  <si>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</si>
  <si>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</si>
  <si>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</si>
  <si>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</si>
  <si>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</si>
  <si>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</si>
  <si>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</si>
  <si>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</si>
  <si>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</si>
  <si>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</si>
  <si>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</si>
  <si>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</si>
  <si>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</si>
  <si>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</si>
  <si>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</si>
  <si>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</si>
  <si>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</si>
  <si>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</si>
  <si>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</si>
  <si>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</si>
  <si>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</si>
  <si>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</si>
  <si>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</si>
  <si>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</si>
  <si>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</si>
  <si>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</si>
  <si>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</si>
  <si>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</si>
  <si>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</si>
  <si>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</si>
  <si>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</si>
  <si>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</si>
  <si>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</si>
  <si>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</si>
  <si>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</si>
  <si>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</si>
  <si>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</si>
  <si>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</si>
  <si>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</si>
  <si>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</si>
  <si>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</si>
  <si>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</si>
  <si>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</si>
  <si>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</si>
  <si>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</si>
  <si>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</si>
  <si>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</si>
  <si>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</si>
  <si>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</si>
  <si>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</si>
  <si>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</si>
  <si>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</si>
  <si>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</si>
  <si>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</si>
  <si>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</si>
  <si>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</si>
  <si>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</si>
  <si>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</si>
  <si>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</si>
  <si>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</si>
  <si>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</si>
  <si>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</si>
  <si>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</si>
  <si>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</si>
  <si>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</si>
  <si>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</si>
  <si>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</si>
  <si>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</si>
  <si>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</si>
  <si>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</si>
  <si>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</si>
  <si>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</si>
  <si>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</si>
  <si>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</si>
  <si>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</si>
  <si>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</si>
  <si>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</si>
  <si>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</si>
  <si>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</si>
  <si>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</si>
  <si>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</si>
  <si>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</si>
  <si>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</si>
  <si>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</si>
  <si>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</si>
  <si>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</si>
  <si>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</si>
  <si>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</si>
  <si>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</si>
  <si>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</si>
  <si>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</si>
  <si>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</si>
  <si>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</si>
  <si>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</si>
  <si>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</si>
  <si>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</si>
  <si>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</si>
  <si>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</si>
  <si>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</si>
  <si>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</si>
  <si>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</si>
  <si>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</si>
  <si>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</si>
  <si>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</si>
  <si>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</si>
  <si>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</si>
  <si>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</si>
  <si>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</si>
  <si>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</si>
  <si>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</si>
  <si>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</si>
  <si>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</si>
  <si>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</si>
  <si>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</si>
  <si>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</si>
  <si>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</si>
  <si>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</si>
  <si>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</si>
  <si>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</si>
  <si>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</si>
  <si>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</si>
  <si>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</si>
  <si>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</si>
  <si>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</si>
  <si>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</si>
  <si>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</si>
  <si>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</si>
  <si>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</si>
  <si>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</si>
  <si>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</si>
  <si>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</si>
  <si>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</si>
  <si>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</si>
  <si>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</si>
  <si>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</si>
  <si>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</si>
  <si>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</si>
  <si>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</si>
  <si>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</si>
  <si>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</si>
  <si>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</si>
  <si>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</si>
  <si>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</si>
  <si>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</si>
  <si>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</si>
  <si>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</si>
  <si>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</si>
  <si>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</si>
  <si>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</si>
  <si>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</si>
  <si>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</si>
  <si>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</si>
  <si>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</si>
  <si>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</si>
  <si>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</si>
  <si>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</si>
  <si>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</si>
  <si>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</si>
  <si>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</si>
  <si>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</si>
  <si>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</si>
  <si>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</si>
  <si>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</si>
  <si>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</si>
  <si>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</si>
  <si>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</si>
  <si>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</si>
  <si>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</si>
  <si>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</si>
  <si>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</si>
  <si>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</si>
  <si>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</si>
  <si>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</si>
  <si>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</si>
  <si>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</si>
  <si>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</si>
  <si>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</si>
  <si>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</si>
  <si>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</si>
  <si>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</si>
  <si>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</si>
  <si>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</si>
  <si>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</si>
  <si>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</si>
  <si>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</si>
  <si>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</si>
  <si>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</si>
  <si>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</si>
  <si>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</si>
  <si>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</si>
  <si>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</si>
  <si>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</si>
  <si>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</si>
  <si>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</si>
  <si>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</si>
  <si>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</si>
  <si>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</si>
  <si>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</si>
  <si>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</si>
  <si>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</si>
  <si>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</si>
  <si>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</si>
  <si>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</si>
  <si>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</si>
  <si>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</si>
  <si>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</si>
  <si>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</si>
  <si>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</si>
  <si>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</si>
  <si>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</si>
  <si>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</si>
  <si>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</si>
  <si>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</si>
  <si>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</si>
  <si>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</si>
  <si>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</si>
  <si>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</si>
  <si>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</si>
  <si>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</si>
  <si>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</si>
  <si>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</si>
  <si>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</si>
  <si>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</si>
  <si>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</si>
  <si>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</si>
  <si>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</si>
  <si>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</si>
  <si>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</si>
  <si>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</si>
  <si>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</si>
  <si>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</si>
  <si>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</si>
  <si>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</si>
  <si>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</si>
  <si>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</si>
  <si>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</si>
  <si>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</si>
  <si>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</si>
  <si>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</si>
  <si>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</si>
  <si>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</si>
  <si>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</si>
  <si>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</si>
  <si>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</si>
  <si>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</si>
  <si>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</si>
  <si>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</si>
  <si>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</si>
  <si>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</si>
  <si>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</si>
  <si>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</si>
  <si>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</si>
  <si>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</si>
  <si>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</si>
  <si>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</si>
  <si>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</si>
  <si>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</si>
  <si>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</si>
  <si>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</si>
  <si>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</si>
  <si>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</si>
  <si>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</si>
  <si>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</si>
  <si>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</si>
  <si>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</si>
  <si>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</si>
  <si>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</si>
  <si>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</si>
  <si>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</si>
  <si>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</si>
  <si>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</si>
  <si>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</si>
  <si>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</si>
  <si>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</si>
  <si>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</si>
  <si>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</si>
  <si>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</si>
  <si>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</si>
  <si>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</si>
  <si>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</si>
  <si>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</si>
  <si>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</si>
  <si>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</si>
  <si>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</si>
  <si>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</si>
  <si>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</si>
  <si>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NOT NULL THEN CAST(0.00 AS DECIMAL(23, 6))
        WHEN CRT14_TBMOROSO.CODENT IS NULL AND CRT73_PRESTECL (CAP).MCAPPEND IS NOT NULL THEN CAST(CRT07_TBCTATAR.SALDISCRE + CRT07_TBCTATAR.SALAUTCRE -  ( SUM(CRT73_PRESTECL (CAP).MCAPPEND) + SUM(CRT73_PRESTECL (TAX).MJUROS) + SUM(CRT73_PRESTECL (TAX).MISELO) ) AS DECIMAL(23, 6))
        WHEN CRT14_TBMOROSO.CODENT IS NOT NULL AND CRT73_PRESTECL (CAP).MCAPPEND IS NOT NULL THEN CAST(CRT07_TBCTATAR.SALDISCRE + CRT07_TBCTATAR.SALAUTCRE - CRT14_TBMOROSO.TOTDEUAACT -  ( SUM( CRT73_PRESTECL (CAP).MCAPPEND ) + SUM(CRT73_PRESTECL (TAX).MJUROS) + SUM(CRT73_PRESTECL (TAX).MISELO)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</si>
  <si>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</si>
  <si>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</si>
  <si>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</si>
  <si>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</si>
  <si>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</si>
  <si>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CAST(CRT07_TBCTATAR.SALDISCRE + CRT07_TBCTATAR.SALAUTCRE -  SUM( CRT73_PRESTECL (CAP).MCAPPEND) AS DECIMAL(23, 6))
        WHEN CRT14_TBMOROSO.CODENT IS NOT NULL AND SUM( CRT73_PRESTECL (CAP).MCAPPEND ) IS NOT NULL THEN CAST(CRT07_TBCTATAR.SALDISCRE + CRT07_TBCTATAR.SALAUTCRE - CRT14_TBMOROSO.CAPITALACT -  SUM( CRT73_PRESTECL (CAP).MCAPPEND) AS DECIMAL(23, 6))
        WHEN CRT14_TBMOROSO.CODENT IS NULL AND SUM(CRT73_PRESTECL (CAP).MCAPPEND) IS NULL THEN CAST(CRT07_TBCTATAR.SALDISCRE + CRT07_TBCTATAR.SALAUTCRE AS DECIMAL(23, 6))
        WHEN CRT14_TBMOROSO.CODENT IS NOT NULL AND SUM( CRT73_PRESTECL (CAP).MCAPPEND ) IS NULL THEN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</si>
  <si>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</si>
  <si>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</si>
  <si>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</si>
  <si>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</si>
  <si>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</si>
  <si>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</si>
  <si>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</si>
  <si>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</si>
  <si>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</si>
  <si>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</si>
  <si>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</si>
  <si>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</si>
  <si>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</si>
  <si>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</si>
  <si>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</si>
  <si>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</si>
  <si>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</si>
  <si>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</si>
  <si>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</si>
  <si>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</si>
  <si>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</si>
  <si>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</si>
  <si>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</si>
  <si>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</si>
  <si>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</si>
  <si>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</si>
  <si>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</si>
  <si>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</si>
  <si>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</si>
  <si>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</si>
  <si>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</si>
  <si>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</si>
  <si>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</si>
  <si>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</si>
  <si>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</si>
  <si>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</si>
  <si>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</si>
  <si>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</si>
  <si>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</si>
  <si>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</si>
  <si>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</si>
  <si>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</si>
  <si>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</si>
  <si>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</si>
  <si>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</si>
  <si>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</si>
  <si>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</si>
  <si>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</si>
  <si>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</si>
  <si>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</si>
  <si>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</si>
  <si>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</si>
  <si>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</si>
  <si>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</si>
  <si>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</si>
  <si>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</si>
  <si>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</si>
  <si>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</si>
  <si>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</si>
  <si>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</si>
  <si>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</si>
  <si>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</si>
  <si>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</si>
  <si>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</si>
  <si>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</si>
  <si>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</si>
  <si>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</si>
  <si>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</si>
  <si>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</si>
  <si>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</si>
  <si>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</si>
  <si>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</si>
  <si>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</si>
  <si>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</si>
  <si>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</si>
  <si>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</si>
  <si>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</si>
  <si>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</si>
  <si>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</si>
  <si>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</si>
  <si>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</si>
  <si>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</si>
  <si>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</si>
  <si>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</si>
  <si>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</si>
  <si>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</si>
  <si>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</si>
  <si>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</si>
  <si>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</si>
  <si>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</si>
  <si>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</si>
  <si>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</si>
  <si>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</si>
  <si>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</si>
  <si>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</si>
  <si>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</si>
  <si>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</si>
  <si>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</si>
  <si>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</si>
  <si>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</si>
  <si>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</si>
  <si>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</si>
  <si>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</si>
  <si>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</si>
  <si>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</si>
  <si>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</si>
  <si>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</si>
  <si>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</si>
  <si>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</si>
  <si>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</si>
  <si>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</si>
  <si>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</si>
  <si>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</si>
  <si>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</si>
  <si>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</si>
  <si>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</si>
  <si>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</si>
  <si>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</si>
  <si>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</si>
  <si>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</si>
  <si>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</si>
  <si>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</si>
  <si>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</si>
  <si>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</si>
  <si>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</si>
  <si>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</si>
  <si>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</si>
  <si>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</si>
  <si>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</si>
  <si>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</si>
  <si>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</si>
  <si>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</si>
  <si>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</si>
  <si>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</si>
  <si>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</si>
  <si>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</si>
  <si>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</si>
  <si>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</si>
  <si>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</si>
  <si>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</si>
  <si>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</si>
  <si>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</si>
  <si>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</si>
  <si>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</si>
  <si>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</si>
  <si>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</si>
  <si>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</si>
  <si>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</si>
  <si>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</si>
  <si>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</si>
  <si>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</si>
  <si>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</si>
  <si>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</si>
  <si>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</si>
  <si>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</si>
  <si>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</si>
  <si>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</si>
  <si>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</si>
  <si>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</si>
  <si>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</si>
  <si>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</si>
  <si>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</si>
  <si>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</si>
  <si>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</si>
  <si>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</si>
  <si>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</si>
  <si>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</si>
  <si>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</si>
  <si>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</si>
  <si>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</si>
  <si>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</si>
  <si>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</si>
  <si>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</si>
  <si>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</si>
  <si>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</si>
  <si>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</si>
  <si>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</si>
  <si>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</si>
  <si>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</si>
  <si>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</si>
  <si>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</si>
  <si>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</si>
  <si>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</si>
  <si>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</si>
  <si>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</si>
  <si>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</si>
  <si>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</si>
  <si>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</si>
  <si>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</si>
  <si>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</si>
  <si>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</si>
  <si>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</si>
  <si>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</si>
  <si>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</si>
  <si>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</si>
  <si>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</si>
  <si>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</si>
  <si>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</si>
  <si>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</si>
  <si>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</si>
  <si>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</si>
  <si>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</si>
  <si>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</si>
  <si>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</si>
  <si>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</si>
  <si>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</si>
  <si>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</si>
  <si>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</si>
  <si>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</si>
  <si>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</si>
  <si>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</si>
  <si>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</si>
  <si>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</si>
  <si>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</si>
  <si>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</si>
  <si>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</si>
  <si>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</si>
  <si>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</si>
  <si>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</si>
  <si>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</si>
  <si>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</si>
  <si>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</si>
  <si>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</si>
  <si>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</si>
  <si>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</si>
  <si>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</si>
  <si>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</si>
  <si>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</si>
  <si>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</si>
  <si>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</si>
  <si>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</si>
  <si>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</si>
  <si>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</si>
  <si>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</si>
  <si>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</si>
  <si>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</si>
  <si>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</si>
  <si>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</si>
  <si>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</si>
  <si>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</si>
  <si>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</si>
  <si>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</si>
  <si>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</si>
  <si>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</si>
  <si>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</si>
  <si>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</si>
  <si>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</si>
  <si>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</si>
  <si>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</si>
  <si>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</si>
  <si>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</si>
  <si>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</si>
  <si>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</si>
  <si>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</si>
  <si>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</si>
  <si>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</si>
  <si>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</si>
  <si>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</si>
  <si>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</si>
  <si>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</si>
  <si>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</si>
  <si>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</si>
  <si>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</si>
  <si>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</si>
  <si>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</si>
  <si>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</si>
  <si>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</si>
  <si>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</si>
  <si>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</si>
  <si>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</si>
  <si>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</si>
  <si>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</si>
  <si>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</si>
  <si>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</si>
  <si>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</si>
  <si>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</si>
  <si>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</si>
  <si>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</si>
  <si>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</si>
  <si>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</si>
  <si>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</si>
  <si>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</si>
  <si>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</si>
  <si>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</si>
  <si>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</si>
  <si>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</si>
  <si>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</si>
  <si>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</si>
  <si>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</si>
  <si>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</si>
  <si>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</si>
  <si>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</si>
  <si>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</si>
  <si>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</si>
  <si>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</si>
  <si>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</si>
  <si>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</si>
  <si>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</si>
  <si>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</si>
  <si>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</si>
  <si>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</si>
  <si>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</si>
  <si>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</si>
  <si>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</si>
  <si>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</si>
  <si>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</si>
  <si>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</si>
  <si>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</si>
  <si>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</si>
  <si>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</si>
  <si>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</si>
  <si>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</si>
  <si>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</si>
  <si>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</si>
  <si>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</si>
  <si>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</si>
  <si>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</si>
  <si>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</si>
  <si>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</si>
  <si>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</si>
  <si>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</si>
  <si>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</si>
  <si>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</si>
  <si>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</si>
  <si>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</si>
  <si>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</si>
  <si>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</si>
  <si>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</si>
  <si>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</si>
  <si>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</si>
  <si>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</si>
  <si>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</si>
  <si>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</si>
  <si>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</si>
  <si>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</si>
  <si>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</si>
  <si>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</si>
  <si>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</si>
  <si>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</si>
  <si>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</si>
  <si>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</si>
  <si>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</si>
  <si>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</si>
  <si>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</si>
  <si>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</si>
  <si>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</si>
  <si>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</si>
  <si>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</si>
  <si>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</si>
  <si>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</si>
  <si>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</si>
  <si>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</si>
  <si>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</si>
  <si>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</si>
  <si>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</si>
  <si>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</si>
  <si>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</si>
  <si>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</si>
  <si>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</si>
  <si>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</si>
  <si>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</si>
  <si>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</si>
  <si>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</si>
  <si>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</si>
  <si>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</si>
  <si>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</si>
  <si>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</si>
  <si>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</si>
  <si>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</si>
  <si>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</si>
  <si>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</si>
  <si>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</si>
  <si>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</si>
  <si>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</si>
  <si>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</si>
  <si>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(EUR_POTENCIAL_CRC.POT_NRINTINT IS NULL OR EUR_POTENCIAL_CRC.POT_LIMITECR != 0 OR EUR_INTERVEN.INT_VLPLAFAD != 0)
SELECT PARAM_GENERAL_CODE_CONVERTER.TARGET_VALUE
WHERE PARAM_GENERAL_CODE_CONVERTER.TARGET_FIELD = 'bank_id' AND PARAM_GENERAL_CODE_CONVERTER.SOURCE_CODE = 'FA' AND PARAM_GENERAL_CODE_CONVERTER.SOURCE_VALUE = ''
   AND EUR_INTERVEN.INT_NRINTINT != 1 AND ( EUR_POTENCIAL_CRC.POT_NRINTINT IS NULL OR EUR_POTENCIAL_CRC.POT_VLPLARCR != 0)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</si>
  <si>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</si>
  <si>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</si>
  <si>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</si>
  <si>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</si>
  <si>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</si>
  <si>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</si>
  <si>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</si>
  <si>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</si>
  <si>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</si>
  <si>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</si>
  <si>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</si>
  <si>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</si>
  <si>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</si>
  <si>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</si>
  <si>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(EUR_POTENCIAL_CRC.POT_NRINTINT IS NULL OR EUR_POTENCIAL_CRC.POT_LIMITECR != 0 OR EUR_INTERVEN.INT_VLPLAFAD != 0)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 EUR_POTENCIAL_CRC.POT_NRINTINT IS NULL OR EUR_POTENCIAL_CRC.POT_VLPLARCR != 0)
SELECT IF( TRIM( INTERFACE_DCT01.DCYR8101_CKPRODUT ) = '', NULL, DCYR8101_CKPRODUT)
SELECT IF( TRIM( TCT09_OPERCN.CKPRODUT = '', NULL, TCT09_OPERCN.CKPRODUT)
WHERE TCT09_OPERCN.ISITUAC = '1'  AND (GROUP BY TCT09_OPERCN.CKBALCAO, TCT09_OPERCN.CKNUMCTA)</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</si>
  <si>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</si>
  <si>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</si>
  <si>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</si>
  <si>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</si>
  <si>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</si>
  <si>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</si>
  <si>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</si>
  <si>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</si>
  <si>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</si>
  <si>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</si>
  <si>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</si>
  <si>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</si>
  <si>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</si>
  <si>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</si>
  <si>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</si>
  <si>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</si>
  <si>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</si>
  <si>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</si>
  <si>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</si>
  <si>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</si>
  <si>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</si>
  <si>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</si>
  <si>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</si>
  <si>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</si>
  <si>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</si>
  <si>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</si>
  <si>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</si>
  <si>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</si>
  <si>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</si>
  <si>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</si>
  <si>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</si>
  <si>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</si>
  <si>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</si>
  <si>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</si>
  <si>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</si>
  <si>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</si>
  <si>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</si>
  <si>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</si>
  <si>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</si>
  <si>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</si>
  <si>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</si>
  <si>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</si>
  <si>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</si>
  <si>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</si>
  <si>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</si>
  <si>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</si>
  <si>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</si>
  <si>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</si>
  <si>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</si>
  <si>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</si>
  <si>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</si>
  <si>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</si>
  <si>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</si>
  <si>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</si>
  <si>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</si>
  <si>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</si>
  <si>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</si>
  <si>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</si>
  <si>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</si>
  <si>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</si>
  <si>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</si>
  <si>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</si>
  <si>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</si>
  <si>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</si>
  <si>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</si>
  <si>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</si>
  <si>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</si>
  <si>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</si>
  <si>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</si>
  <si>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</si>
  <si>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</si>
  <si>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</si>
  <si>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</si>
  <si>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</si>
  <si>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</si>
  <si>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</si>
  <si>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</si>
  <si>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</si>
  <si>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</si>
  <si>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</si>
  <si>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</si>
  <si>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</si>
  <si>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</si>
  <si>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</si>
  <si>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</si>
  <si>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</si>
  <si>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</si>
  <si>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</si>
  <si>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</si>
  <si>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</si>
  <si>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</si>
  <si>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</si>
  <si>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</si>
  <si>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</si>
  <si>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</si>
  <si>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</si>
  <si>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</si>
  <si>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</si>
  <si>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</si>
  <si>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</si>
  <si>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</si>
  <si>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</si>
  <si>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</si>
  <si>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</si>
  <si>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</si>
  <si>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</si>
  <si>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</si>
  <si>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</si>
  <si>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</si>
  <si>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</si>
  <si>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</si>
  <si>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</si>
  <si>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</si>
  <si>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</si>
  <si>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</si>
  <si>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</si>
  <si>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</si>
  <si>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</si>
  <si>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</si>
  <si>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</si>
  <si>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</si>
  <si>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</si>
  <si>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</si>
  <si>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</si>
  <si>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</si>
  <si>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</si>
  <si>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</si>
  <si>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</si>
  <si>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</si>
  <si>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</si>
  <si>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</si>
  <si>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</si>
  <si>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</si>
  <si>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</si>
  <si>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</si>
  <si>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</si>
  <si>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</si>
  <si>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</si>
  <si>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</si>
  <si>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</si>
  <si>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</si>
  <si>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</si>
  <si>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</si>
  <si>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</si>
  <si>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</si>
  <si>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</si>
  <si>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</si>
  <si>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</si>
  <si>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</si>
  <si>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</si>
  <si>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</si>
  <si>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</si>
  <si>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</si>
  <si>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</si>
  <si>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</si>
  <si>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</si>
  <si>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</si>
  <si>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</si>
  <si>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</si>
  <si>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</si>
  <si>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</si>
  <si>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</si>
  <si>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</si>
  <si>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</si>
  <si>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</si>
  <si>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</si>
  <si>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</si>
  <si>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</si>
  <si>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</si>
  <si>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</si>
  <si>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</si>
  <si>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</si>
  <si>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</si>
  <si>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</si>
  <si>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</si>
  <si>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</si>
  <si>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</si>
  <si>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</si>
  <si>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</si>
  <si>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</si>
  <si>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</si>
  <si>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</si>
  <si>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</si>
  <si>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</si>
  <si>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</si>
  <si>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</si>
  <si>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</si>
  <si>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</si>
  <si>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</si>
  <si>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</si>
  <si>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</si>
  <si>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</si>
  <si>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</si>
  <si>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</si>
  <si>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</si>
  <si>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</si>
  <si>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</si>
  <si>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</si>
  <si>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</si>
  <si>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</si>
  <si>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</si>
  <si>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</si>
  <si>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</si>
  <si>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</si>
  <si>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</si>
  <si>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</si>
  <si>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</si>
  <si>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</si>
  <si>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</si>
  <si>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</si>
  <si>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</si>
  <si>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</si>
  <si>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</si>
  <si>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</si>
  <si>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</si>
  <si>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</si>
  <si>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</si>
  <si>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</si>
  <si>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</si>
  <si>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</si>
  <si>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</si>
  <si>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</si>
  <si>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</si>
  <si>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</si>
  <si>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</si>
  <si>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</si>
  <si>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</si>
  <si>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</si>
  <si>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</si>
  <si>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</si>
  <si>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</si>
  <si>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</si>
  <si>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</si>
  <si>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</si>
  <si>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</si>
  <si>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</si>
  <si>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</si>
  <si>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</si>
  <si>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</si>
  <si>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</si>
  <si>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</si>
  <si>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(EUR_POTENCIAL_CRC.POT_NRINTINT IS NULL OR EUR_POTENCIAL_CRC.POT_LIMITECR != 0 OR EUR_INTERVEN.INT_VLPLAFAD != 0)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(EUR_POTENCIAL_CRC.POT_NRINTINT IS NULL OR EUR_POTENCIAL_CRC.POT_LIMITECR != 0 OR EUR_INTERVEN.INT_VLPLAFAD != 0)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</si>
  <si>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</si>
  <si>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</si>
  <si>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</si>
  <si>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</si>
  <si>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</si>
  <si>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</si>
  <si>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</si>
  <si>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</si>
  <si>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</si>
  <si>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</si>
  <si>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</si>
  <si>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</si>
  <si>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</si>
  <si>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</si>
  <si>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</si>
  <si>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</si>
  <si>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</si>
  <si>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</si>
  <si>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</si>
  <si>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</si>
  <si>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IF( TRIM( EUR_INTERVEN.INT_NRCTADEB ) = '',
    NULL,
    IF( SUBSTRING( EUR_INTERVEN.INT_NRCTADEB, 5, 4 ) = '0018', 
        '',
        '#N/A' ) ) IS NULL, NULL, GENERAL_CONVERTER.TARGET_VALUE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'bank_id'  AND  PARAM_GENERAL_CODE_CONVERTER.SOURCE_CODE = 'DC' AND ( PARAM_GENERAL_CODE_CONVERTER.SOURCE_VALUE = '' OR PARAM_GENERAL_CODE_CONVERTER.SOURCE_VALUE = '#N/A'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</si>
  <si>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</si>
  <si>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</si>
  <si>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</si>
  <si>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</si>
  <si>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</si>
  <si>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</si>
  <si>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</si>
  <si>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</si>
  <si>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</si>
  <si>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</si>
  <si>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</si>
  <si>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</si>
  <si>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</si>
  <si>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</si>
  <si>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IF( TRIM( EUR_INTERVEN.INT_NRCTACRE ) = '', 
    NULL,
    IF( SUBSTRING( EUR_INTERVEN.INT_NRCTACRE, 5, 4 ) = '0018',
        '',
        '#N/A' ) ) IS NULL, NULL, PARAM_GENERAL_CODE_CONVERTER.TARGET_VALUE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'bank_id'  AND PARAM_GENERAL_CODE_CONVERTER.SOURCE_CODE = 'DC' AND ( PARAM_GENERAL_CODE_CONVERTER.SOURCE_VALUE = '' OR PARAM_GENERAL_CODE_CONVERTER.SOURCE_VALUE = '#N/A'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</si>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</sst>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9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71" totalsRowShown="0" headerRowDxfId="1182" dataDxfId="1181" tableBorderDxfId="1180">
  <autoFilter ref="B7:AA771" xr:uid="{00000000-000C-0000-FFFF-FFFF01000000}">
    <filterColumn colId="1">
      <filters>
        <filter val="Loan"/>
      </filters>
    </filterColumn>
    <filterColumn colId="5">
      <filters>
        <filter val="current_active_index_rate"/>
      </filters>
    </filterColumn>
  </autoFilter>
  <sortState xmlns:xlrd2="http://schemas.microsoft.com/office/spreadsheetml/2017/richdata2" ref="B8:AA771">
    <sortCondition ref="I7:I771"/>
  </sortState>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6" totalsRowShown="0" headerRowDxfId="1153" dataDxfId="1152" tableBorderDxfId="1151">
  <autoFilter ref="B2:I206" xr:uid="{00000000-0009-0000-0100-000005000000}">
    <filterColumn colId="5">
      <filters>
        <filter val="bank_guarantee_universe"/>
        <filter val="bills_promissory_notes_universe"/>
        <filter val="confirming_universe"/>
        <filter val="factoring_universe"/>
        <filter val="factoring_universe (ADE)"/>
        <filter val="factoring_universe (DEV)"/>
        <filter val="internal_account_universe"/>
        <filter val="leasing_universe"/>
        <filter val="loan_account_universe"/>
        <filter val="nostrovostro_account_universe"/>
        <filter val="saving_account_universe"/>
        <filter val="trade_finance_universe"/>
      </filters>
    </filterColumn>
  </autoFilter>
  <sortState xmlns:xlrd2="http://schemas.microsoft.com/office/spreadsheetml/2017/richdata2" ref="B3:I192">
    <sortCondition ref="C2:C19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1">
      <filters>
        <filter val="loa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39"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71"/>
  <sheetViews>
    <sheetView showGridLines="0" tabSelected="1" topLeftCell="T5" zoomScale="85" zoomScaleNormal="85" workbookViewId="0">
      <selection activeCell="W577" sqref="W577"/>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78" t="s">
        <v>85</v>
      </c>
      <c r="C5" s="378"/>
      <c r="D5" s="378"/>
      <c r="E5" s="378"/>
      <c r="F5" s="378"/>
      <c r="G5" s="378"/>
      <c r="H5" s="378"/>
      <c r="I5" s="378"/>
      <c r="J5" s="378"/>
      <c r="K5" s="378"/>
      <c r="L5" s="378"/>
      <c r="M5" s="378"/>
      <c r="N5" s="378"/>
      <c r="O5" s="378"/>
      <c r="P5" s="378"/>
      <c r="Q5" s="379"/>
      <c r="R5" s="382" t="s">
        <v>86</v>
      </c>
      <c r="S5" s="382"/>
      <c r="T5" s="385" t="s">
        <v>87</v>
      </c>
      <c r="U5" s="386"/>
      <c r="V5" s="386"/>
      <c r="W5" s="387"/>
      <c r="X5" s="377" t="s">
        <v>88</v>
      </c>
      <c r="Y5" s="377"/>
      <c r="Z5" s="377"/>
      <c r="AA5" s="377"/>
    </row>
    <row r="6" spans="1:27" ht="30" customHeight="1">
      <c r="B6" s="380" t="s">
        <v>89</v>
      </c>
      <c r="C6" s="380"/>
      <c r="D6" s="380"/>
      <c r="E6" s="380"/>
      <c r="F6" s="380"/>
      <c r="G6" s="380"/>
      <c r="H6" s="380"/>
      <c r="I6" s="380"/>
      <c r="J6" s="380"/>
      <c r="K6" s="380"/>
      <c r="L6" s="380"/>
      <c r="M6" s="380"/>
      <c r="N6" s="380"/>
      <c r="O6" s="380"/>
      <c r="P6" s="380"/>
      <c r="Q6" s="381"/>
      <c r="R6" s="382" t="s">
        <v>90</v>
      </c>
      <c r="S6" s="382"/>
      <c r="T6" s="317"/>
      <c r="U6" s="383" t="s">
        <v>91</v>
      </c>
      <c r="V6" s="383"/>
      <c r="W6" s="384"/>
      <c r="X6" s="376" t="s">
        <v>92</v>
      </c>
      <c r="Y6" s="376"/>
      <c r="Z6" s="376"/>
      <c r="AA6" s="376"/>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hidden="1"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hidden="1" customHeight="1">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80.2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hidden="1" customHeight="1">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hidden="1" customHeight="1">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hidden="1" customHeight="1">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hidden="1" customHeight="1">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hidden="1" customHeight="1">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hidden="1" customHeight="1">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77" t="s">
        <v>476</v>
      </c>
      <c r="X55" s="51" t="s">
        <v>371</v>
      </c>
      <c r="Y55" s="51" t="s">
        <v>477</v>
      </c>
      <c r="Z55" s="51" t="s">
        <v>478</v>
      </c>
      <c r="AA55" s="52" t="s">
        <v>372</v>
      </c>
    </row>
    <row r="56" spans="2:27" ht="80.25" hidden="1" customHeight="1">
      <c r="B56" s="51" t="s">
        <v>9</v>
      </c>
      <c r="C56" s="51" t="s">
        <v>468</v>
      </c>
      <c r="D56" s="51" t="s">
        <v>12</v>
      </c>
      <c r="E56" s="52">
        <v>2</v>
      </c>
      <c r="F56" s="51" t="s">
        <v>120</v>
      </c>
      <c r="G56" s="51" t="s">
        <v>121</v>
      </c>
      <c r="H56" s="54" t="s">
        <v>479</v>
      </c>
      <c r="I56" s="52">
        <v>2</v>
      </c>
      <c r="J56" s="51" t="s">
        <v>123</v>
      </c>
      <c r="K56" s="52">
        <v>4</v>
      </c>
      <c r="L56" s="52"/>
      <c r="M56" s="52"/>
      <c r="N56" s="321" t="s">
        <v>124</v>
      </c>
      <c r="O56" s="53" t="s">
        <v>125</v>
      </c>
      <c r="P56" s="52"/>
      <c r="Q56" s="54"/>
      <c r="R56" s="55" t="s">
        <v>480</v>
      </c>
      <c r="S56" s="55" t="s">
        <v>481</v>
      </c>
      <c r="T56" s="55" t="s">
        <v>367</v>
      </c>
      <c r="U56" s="53" t="s">
        <v>368</v>
      </c>
      <c r="V56" s="55" t="s">
        <v>369</v>
      </c>
      <c r="W56" s="77" t="s">
        <v>482</v>
      </c>
      <c r="X56" s="51" t="s">
        <v>371</v>
      </c>
      <c r="Y56" s="54" t="s">
        <v>372</v>
      </c>
      <c r="Z56" s="54" t="s">
        <v>372</v>
      </c>
      <c r="AA56" s="52" t="s">
        <v>373</v>
      </c>
    </row>
    <row r="57" spans="2:27" ht="80.25" hidden="1" customHeight="1">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77" t="s">
        <v>486</v>
      </c>
      <c r="X57" s="51" t="s">
        <v>371</v>
      </c>
      <c r="Y57" s="54" t="s">
        <v>378</v>
      </c>
      <c r="Z57" s="54" t="s">
        <v>487</v>
      </c>
      <c r="AA57" s="52" t="s">
        <v>372</v>
      </c>
    </row>
    <row r="58" spans="2:27" ht="80.25" hidden="1" customHeight="1">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77" t="s">
        <v>496</v>
      </c>
      <c r="X58" s="51" t="s">
        <v>497</v>
      </c>
      <c r="Y58" s="51" t="s">
        <v>498</v>
      </c>
      <c r="Z58" s="54" t="s">
        <v>499</v>
      </c>
      <c r="AA58" s="52" t="s">
        <v>500</v>
      </c>
    </row>
    <row r="59" spans="2:27" ht="80.25" hidden="1" customHeight="1">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77" t="s">
        <v>504</v>
      </c>
      <c r="X59" s="51" t="s">
        <v>497</v>
      </c>
      <c r="Y59" s="51" t="s">
        <v>498</v>
      </c>
      <c r="Z59" s="54" t="s">
        <v>505</v>
      </c>
      <c r="AA59" s="52" t="s">
        <v>500</v>
      </c>
    </row>
    <row r="60" spans="2:27" ht="80.25" hidden="1" customHeight="1">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77" t="s">
        <v>513</v>
      </c>
      <c r="X60" s="51" t="s">
        <v>371</v>
      </c>
      <c r="Y60" s="51" t="s">
        <v>477</v>
      </c>
      <c r="Z60" s="54" t="s">
        <v>415</v>
      </c>
      <c r="AA60" s="52" t="s">
        <v>372</v>
      </c>
    </row>
    <row r="61" spans="2:27" ht="80.25" hidden="1" customHeight="1">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77" t="s">
        <v>520</v>
      </c>
      <c r="X61" s="51" t="s">
        <v>371</v>
      </c>
      <c r="Y61" s="51" t="s">
        <v>477</v>
      </c>
      <c r="Z61" s="54" t="s">
        <v>417</v>
      </c>
      <c r="AA61" s="52" t="s">
        <v>372</v>
      </c>
    </row>
    <row r="62" spans="2:27" ht="80.25" hidden="1" customHeight="1">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77" t="s">
        <v>529</v>
      </c>
      <c r="X62" s="51" t="s">
        <v>371</v>
      </c>
      <c r="Y62" s="51" t="s">
        <v>477</v>
      </c>
      <c r="Z62" s="54" t="s">
        <v>530</v>
      </c>
      <c r="AA62" s="52" t="s">
        <v>372</v>
      </c>
    </row>
    <row r="63" spans="2:27" ht="80.25" hidden="1" customHeight="1">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77" t="s">
        <v>538</v>
      </c>
      <c r="X63" s="51" t="s">
        <v>371</v>
      </c>
      <c r="Y63" s="51" t="s">
        <v>477</v>
      </c>
      <c r="Z63" s="54" t="s">
        <v>539</v>
      </c>
      <c r="AA63" s="52" t="s">
        <v>372</v>
      </c>
    </row>
    <row r="64" spans="2:27" ht="80.25" hidden="1" customHeight="1">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77" t="s">
        <v>541</v>
      </c>
      <c r="X64" s="51" t="s">
        <v>372</v>
      </c>
      <c r="Y64" s="51" t="s">
        <v>372</v>
      </c>
      <c r="Z64" s="51" t="s">
        <v>372</v>
      </c>
      <c r="AA64" s="52" t="s">
        <v>372</v>
      </c>
    </row>
    <row r="65" spans="2:27" ht="80.25" hidden="1" customHeight="1">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77" t="s">
        <v>542</v>
      </c>
      <c r="X65" s="51" t="s">
        <v>372</v>
      </c>
      <c r="Y65" s="51" t="s">
        <v>372</v>
      </c>
      <c r="Z65" s="51" t="s">
        <v>372</v>
      </c>
      <c r="AA65" s="52" t="s">
        <v>372</v>
      </c>
    </row>
    <row r="66" spans="2:27" ht="80.25" hidden="1" customHeight="1">
      <c r="B66" s="51" t="s">
        <v>340</v>
      </c>
      <c r="C66" s="62" t="s">
        <v>543</v>
      </c>
      <c r="D66" s="62" t="s">
        <v>544</v>
      </c>
      <c r="E66" s="318">
        <v>0</v>
      </c>
      <c r="F66" s="51" t="s">
        <v>120</v>
      </c>
      <c r="G66" s="51" t="s">
        <v>121</v>
      </c>
      <c r="H66" s="74" t="s">
        <v>122</v>
      </c>
      <c r="I66" s="318">
        <v>1</v>
      </c>
      <c r="J66" s="62" t="s">
        <v>123</v>
      </c>
      <c r="K66" s="318">
        <v>2</v>
      </c>
      <c r="L66" s="318"/>
      <c r="M66" s="52"/>
      <c r="N66" s="321" t="s">
        <v>124</v>
      </c>
      <c r="O66" s="53" t="s">
        <v>125</v>
      </c>
      <c r="P66" s="318" t="s">
        <v>126</v>
      </c>
      <c r="Q66" s="62"/>
      <c r="R66" s="55" t="s">
        <v>365</v>
      </c>
      <c r="S66" s="55" t="s">
        <v>366</v>
      </c>
      <c r="T66" s="55" t="s">
        <v>545</v>
      </c>
      <c r="U66" s="53" t="s">
        <v>368</v>
      </c>
      <c r="V66" s="55" t="s">
        <v>369</v>
      </c>
      <c r="W66" s="77" t="s">
        <v>546</v>
      </c>
      <c r="X66" s="51" t="s">
        <v>371</v>
      </c>
      <c r="Y66" s="73" t="s">
        <v>372</v>
      </c>
      <c r="Z66" s="73" t="s">
        <v>372</v>
      </c>
      <c r="AA66" s="52" t="s">
        <v>373</v>
      </c>
    </row>
    <row r="67" spans="2:27" ht="80.25" hidden="1" customHeight="1">
      <c r="B67" s="51" t="s">
        <v>340</v>
      </c>
      <c r="C67" s="62" t="s">
        <v>543</v>
      </c>
      <c r="D67" s="62" t="s">
        <v>544</v>
      </c>
      <c r="E67" s="318">
        <v>0</v>
      </c>
      <c r="F67" s="62" t="s">
        <v>136</v>
      </c>
      <c r="G67" s="62" t="s">
        <v>137</v>
      </c>
      <c r="H67" s="74" t="s">
        <v>122</v>
      </c>
      <c r="I67" s="318">
        <v>2</v>
      </c>
      <c r="J67" s="62" t="s">
        <v>123</v>
      </c>
      <c r="K67" s="318">
        <v>30</v>
      </c>
      <c r="L67" s="318"/>
      <c r="M67" s="52"/>
      <c r="N67" s="53" t="s">
        <v>138</v>
      </c>
      <c r="O67" s="53" t="s">
        <v>139</v>
      </c>
      <c r="P67" s="318" t="s">
        <v>126</v>
      </c>
      <c r="Q67" s="62"/>
      <c r="R67" s="55" t="s">
        <v>365</v>
      </c>
      <c r="S67" s="55" t="s">
        <v>366</v>
      </c>
      <c r="T67" s="51" t="s">
        <v>374</v>
      </c>
      <c r="U67" s="54" t="s">
        <v>375</v>
      </c>
      <c r="V67" s="51" t="s">
        <v>376</v>
      </c>
      <c r="W67" s="77" t="s">
        <v>547</v>
      </c>
      <c r="X67" s="51" t="s">
        <v>371</v>
      </c>
      <c r="Y67" s="73" t="s">
        <v>378</v>
      </c>
      <c r="Z67" s="73" t="s">
        <v>379</v>
      </c>
      <c r="AA67" s="52" t="s">
        <v>372</v>
      </c>
    </row>
    <row r="68" spans="2:27" ht="80.25" hidden="1" customHeight="1">
      <c r="B68" s="51" t="s">
        <v>340</v>
      </c>
      <c r="C68" s="62" t="s">
        <v>543</v>
      </c>
      <c r="D68" s="62" t="s">
        <v>544</v>
      </c>
      <c r="E68" s="318">
        <v>0</v>
      </c>
      <c r="F68" s="62" t="s">
        <v>352</v>
      </c>
      <c r="G68" s="62" t="s">
        <v>353</v>
      </c>
      <c r="H68" s="51" t="s">
        <v>240</v>
      </c>
      <c r="I68" s="318">
        <v>3</v>
      </c>
      <c r="J68" s="62" t="s">
        <v>123</v>
      </c>
      <c r="K68" s="318">
        <v>4</v>
      </c>
      <c r="L68" s="318"/>
      <c r="M68" s="341"/>
      <c r="N68" s="53" t="s">
        <v>354</v>
      </c>
      <c r="O68" s="53" t="s">
        <v>355</v>
      </c>
      <c r="P68" s="318"/>
      <c r="Q68" s="62"/>
      <c r="R68" s="53"/>
      <c r="S68" s="54"/>
      <c r="T68" s="51" t="s">
        <v>374</v>
      </c>
      <c r="U68" s="54" t="s">
        <v>375</v>
      </c>
      <c r="V68" s="51" t="s">
        <v>372</v>
      </c>
      <c r="W68" s="77" t="s">
        <v>548</v>
      </c>
      <c r="X68" s="51"/>
      <c r="Y68" s="51"/>
      <c r="Z68" s="51"/>
      <c r="AA68" s="52"/>
    </row>
    <row r="69" spans="2:27" ht="80.25" hidden="1" customHeight="1">
      <c r="B69" s="51" t="s">
        <v>340</v>
      </c>
      <c r="C69" s="62" t="s">
        <v>543</v>
      </c>
      <c r="D69" s="62" t="s">
        <v>544</v>
      </c>
      <c r="E69" s="318">
        <v>0</v>
      </c>
      <c r="F69" s="62" t="s">
        <v>317</v>
      </c>
      <c r="G69" s="62" t="s">
        <v>318</v>
      </c>
      <c r="H69" s="51" t="s">
        <v>319</v>
      </c>
      <c r="I69" s="318">
        <v>4</v>
      </c>
      <c r="J69" s="62" t="s">
        <v>123</v>
      </c>
      <c r="K69" s="318">
        <v>4</v>
      </c>
      <c r="L69" s="318"/>
      <c r="M69" s="341"/>
      <c r="N69" s="53" t="s">
        <v>320</v>
      </c>
      <c r="O69" s="53" t="s">
        <v>321</v>
      </c>
      <c r="P69" s="318" t="s">
        <v>126</v>
      </c>
      <c r="Q69" s="62"/>
      <c r="R69" s="53"/>
      <c r="S69" s="54"/>
      <c r="T69" s="51" t="s">
        <v>374</v>
      </c>
      <c r="U69" s="54" t="s">
        <v>375</v>
      </c>
      <c r="V69" s="51" t="s">
        <v>372</v>
      </c>
      <c r="W69" s="77" t="s">
        <v>549</v>
      </c>
      <c r="X69" s="51" t="s">
        <v>371</v>
      </c>
      <c r="Y69" s="54" t="s">
        <v>372</v>
      </c>
      <c r="Z69" s="54" t="s">
        <v>372</v>
      </c>
      <c r="AA69" s="52" t="s">
        <v>465</v>
      </c>
    </row>
    <row r="70" spans="2:27" ht="80.25" hidden="1" customHeight="1">
      <c r="B70" s="51" t="s">
        <v>340</v>
      </c>
      <c r="C70" s="62" t="s">
        <v>543</v>
      </c>
      <c r="D70" s="62" t="s">
        <v>544</v>
      </c>
      <c r="E70" s="318">
        <v>0</v>
      </c>
      <c r="F70" s="51" t="s">
        <v>326</v>
      </c>
      <c r="G70" s="51" t="s">
        <v>327</v>
      </c>
      <c r="H70" s="51" t="s">
        <v>335</v>
      </c>
      <c r="I70" s="318">
        <v>5</v>
      </c>
      <c r="J70" s="62" t="s">
        <v>123</v>
      </c>
      <c r="K70" s="318">
        <v>10</v>
      </c>
      <c r="L70" s="318"/>
      <c r="M70" s="341"/>
      <c r="N70" s="53" t="s">
        <v>329</v>
      </c>
      <c r="O70" s="53" t="s">
        <v>361</v>
      </c>
      <c r="P70" s="318"/>
      <c r="Q70" s="62"/>
      <c r="R70" s="53"/>
      <c r="S70" s="54"/>
      <c r="T70" s="51" t="s">
        <v>374</v>
      </c>
      <c r="U70" s="54" t="s">
        <v>375</v>
      </c>
      <c r="V70" s="51" t="s">
        <v>372</v>
      </c>
      <c r="W70" s="77" t="s">
        <v>550</v>
      </c>
      <c r="X70" s="51" t="s">
        <v>372</v>
      </c>
      <c r="Y70" s="54" t="s">
        <v>372</v>
      </c>
      <c r="Z70" s="54" t="s">
        <v>372</v>
      </c>
      <c r="AA70" s="52" t="s">
        <v>372</v>
      </c>
    </row>
    <row r="71" spans="2:27" ht="80.25" hidden="1" customHeight="1">
      <c r="B71" s="51" t="s">
        <v>340</v>
      </c>
      <c r="C71" s="62" t="s">
        <v>543</v>
      </c>
      <c r="D71" s="62" t="s">
        <v>544</v>
      </c>
      <c r="E71" s="318">
        <v>0</v>
      </c>
      <c r="F71" s="51" t="s">
        <v>333</v>
      </c>
      <c r="G71" s="51" t="s">
        <v>334</v>
      </c>
      <c r="H71" s="51" t="s">
        <v>335</v>
      </c>
      <c r="I71" s="318">
        <v>6</v>
      </c>
      <c r="J71" s="51" t="s">
        <v>336</v>
      </c>
      <c r="K71" s="52">
        <v>23</v>
      </c>
      <c r="L71" s="318"/>
      <c r="M71" s="341"/>
      <c r="N71" s="53" t="s">
        <v>337</v>
      </c>
      <c r="O71" s="53" t="s">
        <v>338</v>
      </c>
      <c r="P71" s="318"/>
      <c r="Q71" s="62"/>
      <c r="R71" s="53"/>
      <c r="S71" s="54"/>
      <c r="T71" s="51" t="s">
        <v>374</v>
      </c>
      <c r="U71" s="54" t="s">
        <v>375</v>
      </c>
      <c r="V71" s="51" t="s">
        <v>372</v>
      </c>
      <c r="W71" s="77" t="s">
        <v>551</v>
      </c>
      <c r="X71" s="51" t="s">
        <v>372</v>
      </c>
      <c r="Y71" s="54" t="s">
        <v>372</v>
      </c>
      <c r="Z71" s="54"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c r="B73" s="51" t="s">
        <v>14</v>
      </c>
      <c r="C73" s="51" t="s">
        <v>558</v>
      </c>
      <c r="D73" s="51" t="s">
        <v>17</v>
      </c>
      <c r="E73" s="52">
        <v>2</v>
      </c>
      <c r="F73" s="51" t="s">
        <v>120</v>
      </c>
      <c r="G73" s="51" t="s">
        <v>121</v>
      </c>
      <c r="H73" s="51" t="s">
        <v>122</v>
      </c>
      <c r="I73" s="52">
        <v>1</v>
      </c>
      <c r="J73" s="51" t="s">
        <v>123</v>
      </c>
      <c r="K73" s="52">
        <v>4</v>
      </c>
      <c r="L73" s="52"/>
      <c r="M73" s="52"/>
      <c r="N73" s="321" t="s">
        <v>124</v>
      </c>
      <c r="O73" s="53" t="s">
        <v>125</v>
      </c>
      <c r="P73" s="52" t="s">
        <v>126</v>
      </c>
      <c r="Q73" s="54"/>
      <c r="R73" s="55"/>
      <c r="S73" s="51"/>
      <c r="T73" s="55" t="s">
        <v>559</v>
      </c>
      <c r="U73" s="65" t="s">
        <v>560</v>
      </c>
      <c r="V73" s="55" t="s">
        <v>369</v>
      </c>
      <c r="W73" s="77" t="s">
        <v>561</v>
      </c>
      <c r="X73" s="61" t="s">
        <v>557</v>
      </c>
      <c r="Y73" s="54" t="s">
        <v>372</v>
      </c>
      <c r="Z73" s="54" t="s">
        <v>372</v>
      </c>
      <c r="AA73" s="52" t="s">
        <v>373</v>
      </c>
    </row>
    <row r="74" spans="2:27" ht="80.25" hidden="1" customHeight="1">
      <c r="B74" s="51" t="s">
        <v>340</v>
      </c>
      <c r="C74" s="62" t="s">
        <v>562</v>
      </c>
      <c r="D74" s="62" t="s">
        <v>19</v>
      </c>
      <c r="E74" s="318">
        <v>0</v>
      </c>
      <c r="F74" s="51" t="s">
        <v>120</v>
      </c>
      <c r="G74" s="51" t="s">
        <v>121</v>
      </c>
      <c r="H74" s="74" t="s">
        <v>122</v>
      </c>
      <c r="I74" s="318">
        <v>1</v>
      </c>
      <c r="J74" s="62" t="s">
        <v>123</v>
      </c>
      <c r="K74" s="318">
        <v>2</v>
      </c>
      <c r="L74" s="318"/>
      <c r="M74" s="318"/>
      <c r="N74" s="321" t="s">
        <v>124</v>
      </c>
      <c r="O74" s="53" t="s">
        <v>125</v>
      </c>
      <c r="P74" s="318" t="s">
        <v>126</v>
      </c>
      <c r="Q74" s="62"/>
      <c r="R74" s="168"/>
      <c r="S74" s="74"/>
      <c r="T74" s="55" t="s">
        <v>563</v>
      </c>
      <c r="U74" s="53" t="s">
        <v>554</v>
      </c>
      <c r="V74" s="55" t="s">
        <v>555</v>
      </c>
      <c r="W74" s="312" t="s">
        <v>564</v>
      </c>
      <c r="X74" s="168" t="s">
        <v>565</v>
      </c>
      <c r="Y74" s="53" t="s">
        <v>566</v>
      </c>
      <c r="Z74" s="53" t="s">
        <v>351</v>
      </c>
      <c r="AA74" s="331" t="s">
        <v>567</v>
      </c>
    </row>
    <row r="75" spans="2:27" ht="80.25" hidden="1" customHeight="1">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2" t="s">
        <v>571</v>
      </c>
      <c r="X75" s="61" t="s">
        <v>557</v>
      </c>
      <c r="Y75" s="67" t="s">
        <v>572</v>
      </c>
      <c r="Z75" s="65" t="s">
        <v>573</v>
      </c>
      <c r="AA75" s="52" t="s">
        <v>372</v>
      </c>
    </row>
    <row r="76" spans="2:27" ht="80.25" hidden="1" customHeight="1">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7" t="s">
        <v>579</v>
      </c>
      <c r="V76" s="51" t="s">
        <v>580</v>
      </c>
      <c r="W76" s="77" t="s">
        <v>581</v>
      </c>
      <c r="X76" s="61" t="s">
        <v>557</v>
      </c>
      <c r="Y76" s="67" t="s">
        <v>579</v>
      </c>
      <c r="Z76" s="54" t="s">
        <v>582</v>
      </c>
      <c r="AA76" s="52" t="s">
        <v>372</v>
      </c>
    </row>
    <row r="77" spans="2:27" ht="80.25" hidden="1" customHeight="1">
      <c r="B77" s="51" t="s">
        <v>340</v>
      </c>
      <c r="C77" s="62" t="s">
        <v>562</v>
      </c>
      <c r="D77" s="62" t="s">
        <v>19</v>
      </c>
      <c r="E77" s="318">
        <v>0</v>
      </c>
      <c r="F77" s="62" t="s">
        <v>136</v>
      </c>
      <c r="G77" s="62" t="s">
        <v>137</v>
      </c>
      <c r="H77" s="74" t="s">
        <v>122</v>
      </c>
      <c r="I77" s="318">
        <v>2</v>
      </c>
      <c r="J77" s="62" t="s">
        <v>123</v>
      </c>
      <c r="K77" s="318">
        <v>30</v>
      </c>
      <c r="L77" s="318"/>
      <c r="M77" s="318"/>
      <c r="N77" s="53" t="s">
        <v>138</v>
      </c>
      <c r="O77" s="53" t="s">
        <v>139</v>
      </c>
      <c r="P77" s="318" t="s">
        <v>126</v>
      </c>
      <c r="Q77" s="62"/>
      <c r="R77" s="168"/>
      <c r="S77" s="74"/>
      <c r="T77" s="55" t="s">
        <v>568</v>
      </c>
      <c r="U77" s="53" t="s">
        <v>569</v>
      </c>
      <c r="V77" s="65" t="s">
        <v>583</v>
      </c>
      <c r="W77" s="312" t="s">
        <v>584</v>
      </c>
      <c r="X77" s="168" t="s">
        <v>565</v>
      </c>
      <c r="Y77" s="53" t="s">
        <v>569</v>
      </c>
      <c r="Z77" s="65" t="s">
        <v>585</v>
      </c>
      <c r="AA77" s="60" t="s">
        <v>351</v>
      </c>
    </row>
    <row r="78" spans="2:27" ht="80.25" hidden="1" customHeight="1">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2" t="s">
        <v>587</v>
      </c>
      <c r="X78" s="51" t="s">
        <v>372</v>
      </c>
      <c r="Y78" s="51" t="s">
        <v>372</v>
      </c>
      <c r="Z78" s="51" t="s">
        <v>372</v>
      </c>
      <c r="AA78" s="52" t="s">
        <v>372</v>
      </c>
    </row>
    <row r="79" spans="2:27" ht="80.25" hidden="1" customHeight="1">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77" t="s">
        <v>588</v>
      </c>
      <c r="X79" s="51" t="s">
        <v>372</v>
      </c>
      <c r="Y79" s="51" t="s">
        <v>372</v>
      </c>
      <c r="Z79" s="51" t="s">
        <v>372</v>
      </c>
      <c r="AA79" s="52" t="s">
        <v>372</v>
      </c>
    </row>
    <row r="80" spans="2:27" ht="80.25" hidden="1" customHeight="1">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77" t="s">
        <v>591</v>
      </c>
      <c r="X80" s="61" t="s">
        <v>557</v>
      </c>
      <c r="Y80" s="67" t="s">
        <v>579</v>
      </c>
      <c r="Z80" s="54" t="s">
        <v>590</v>
      </c>
      <c r="AA80" s="52" t="s">
        <v>372</v>
      </c>
    </row>
    <row r="81" spans="2:27" ht="80.25" hidden="1" customHeight="1">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77" t="s">
        <v>594</v>
      </c>
      <c r="X81" s="61" t="s">
        <v>557</v>
      </c>
      <c r="Y81" s="67" t="s">
        <v>579</v>
      </c>
      <c r="Z81" s="67" t="s">
        <v>593</v>
      </c>
      <c r="AA81" s="52" t="s">
        <v>372</v>
      </c>
    </row>
    <row r="82" spans="2:27" ht="80.25" hidden="1" customHeight="1">
      <c r="B82" s="51" t="s">
        <v>340</v>
      </c>
      <c r="C82" s="62" t="s">
        <v>562</v>
      </c>
      <c r="D82" s="62" t="s">
        <v>19</v>
      </c>
      <c r="E82" s="318">
        <v>0</v>
      </c>
      <c r="F82" s="62" t="s">
        <v>352</v>
      </c>
      <c r="G82" s="62" t="s">
        <v>353</v>
      </c>
      <c r="H82" s="51" t="s">
        <v>240</v>
      </c>
      <c r="I82" s="318">
        <v>3</v>
      </c>
      <c r="J82" s="62" t="s">
        <v>123</v>
      </c>
      <c r="K82" s="318">
        <v>4</v>
      </c>
      <c r="L82" s="318"/>
      <c r="M82" s="318"/>
      <c r="N82" s="53" t="s">
        <v>354</v>
      </c>
      <c r="O82" s="53" t="s">
        <v>355</v>
      </c>
      <c r="P82" s="318"/>
      <c r="Q82" s="62"/>
      <c r="R82" s="168"/>
      <c r="S82" s="74"/>
      <c r="T82" s="55" t="s">
        <v>568</v>
      </c>
      <c r="U82" s="53" t="s">
        <v>569</v>
      </c>
      <c r="V82" s="84" t="s">
        <v>595</v>
      </c>
      <c r="W82" s="314" t="s">
        <v>596</v>
      </c>
      <c r="X82" s="168" t="s">
        <v>565</v>
      </c>
      <c r="Y82" s="53" t="s">
        <v>569</v>
      </c>
      <c r="Z82" s="168" t="s">
        <v>597</v>
      </c>
      <c r="AA82" s="320" t="s">
        <v>598</v>
      </c>
    </row>
    <row r="83" spans="2:27" ht="80.25" hidden="1" customHeight="1">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77" t="s">
        <v>603</v>
      </c>
      <c r="X83" s="61" t="s">
        <v>557</v>
      </c>
      <c r="Y83" s="54" t="s">
        <v>579</v>
      </c>
      <c r="Z83" s="65" t="s">
        <v>590</v>
      </c>
      <c r="AA83" s="52" t="s">
        <v>372</v>
      </c>
    </row>
    <row r="84" spans="2:27" ht="80.25" hidden="1" customHeight="1">
      <c r="B84" s="51" t="s">
        <v>340</v>
      </c>
      <c r="C84" s="62" t="s">
        <v>562</v>
      </c>
      <c r="D84" s="62" t="s">
        <v>19</v>
      </c>
      <c r="E84" s="318">
        <v>0</v>
      </c>
      <c r="F84" s="62" t="s">
        <v>317</v>
      </c>
      <c r="G84" s="62" t="s">
        <v>318</v>
      </c>
      <c r="H84" s="51" t="s">
        <v>319</v>
      </c>
      <c r="I84" s="318">
        <v>4</v>
      </c>
      <c r="J84" s="62" t="s">
        <v>123</v>
      </c>
      <c r="K84" s="318">
        <v>4</v>
      </c>
      <c r="L84" s="318"/>
      <c r="M84" s="318"/>
      <c r="N84" s="53" t="s">
        <v>320</v>
      </c>
      <c r="O84" s="53" t="s">
        <v>321</v>
      </c>
      <c r="P84" s="318" t="s">
        <v>126</v>
      </c>
      <c r="Q84" s="62"/>
      <c r="R84" s="168"/>
      <c r="S84" s="74"/>
      <c r="T84" s="55" t="s">
        <v>568</v>
      </c>
      <c r="U84" s="53" t="s">
        <v>569</v>
      </c>
      <c r="V84" s="84" t="s">
        <v>604</v>
      </c>
      <c r="W84" s="314" t="s">
        <v>605</v>
      </c>
      <c r="X84" s="168" t="s">
        <v>565</v>
      </c>
      <c r="Y84" s="53" t="s">
        <v>566</v>
      </c>
      <c r="Z84" s="53" t="s">
        <v>351</v>
      </c>
      <c r="AA84" s="60" t="s">
        <v>606</v>
      </c>
    </row>
    <row r="85" spans="2:27" ht="80.25" hidden="1" customHeight="1">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77" t="s">
        <v>608</v>
      </c>
      <c r="X85" s="61" t="s">
        <v>557</v>
      </c>
      <c r="Y85" s="54" t="s">
        <v>579</v>
      </c>
      <c r="Z85" s="51" t="s">
        <v>593</v>
      </c>
      <c r="AA85" s="52" t="s">
        <v>372</v>
      </c>
    </row>
    <row r="86" spans="2:27" ht="80.25" hidden="1" customHeight="1">
      <c r="B86" s="51" t="s">
        <v>340</v>
      </c>
      <c r="C86" s="62" t="s">
        <v>562</v>
      </c>
      <c r="D86" s="62" t="s">
        <v>19</v>
      </c>
      <c r="E86" s="318">
        <v>0</v>
      </c>
      <c r="F86" s="51" t="s">
        <v>326</v>
      </c>
      <c r="G86" s="56" t="s">
        <v>327</v>
      </c>
      <c r="H86" s="51" t="s">
        <v>335</v>
      </c>
      <c r="I86" s="318">
        <v>5</v>
      </c>
      <c r="J86" s="62" t="s">
        <v>123</v>
      </c>
      <c r="K86" s="318">
        <v>10</v>
      </c>
      <c r="L86" s="318"/>
      <c r="M86" s="318"/>
      <c r="N86" s="53" t="s">
        <v>329</v>
      </c>
      <c r="O86" s="53" t="s">
        <v>361</v>
      </c>
      <c r="P86" s="318"/>
      <c r="Q86" s="62"/>
      <c r="R86" s="168"/>
      <c r="S86" s="74"/>
      <c r="T86" s="55" t="s">
        <v>568</v>
      </c>
      <c r="U86" s="53" t="s">
        <v>569</v>
      </c>
      <c r="V86" s="84" t="s">
        <v>609</v>
      </c>
      <c r="W86" s="371" t="s">
        <v>610</v>
      </c>
      <c r="X86" s="168" t="s">
        <v>565</v>
      </c>
      <c r="Y86" s="53" t="s">
        <v>566</v>
      </c>
      <c r="Z86" s="53" t="s">
        <v>566</v>
      </c>
      <c r="AA86" s="60" t="s">
        <v>351</v>
      </c>
    </row>
    <row r="87" spans="2:27" ht="80.25" hidden="1" customHeight="1">
      <c r="B87" s="51" t="s">
        <v>14</v>
      </c>
      <c r="C87" s="51" t="s">
        <v>552</v>
      </c>
      <c r="D87" s="51" t="s">
        <v>15</v>
      </c>
      <c r="E87" s="52">
        <v>1</v>
      </c>
      <c r="F87" s="51" t="s">
        <v>176</v>
      </c>
      <c r="G87" s="51" t="s">
        <v>177</v>
      </c>
      <c r="H87" s="54" t="s">
        <v>150</v>
      </c>
      <c r="I87" s="52">
        <v>6</v>
      </c>
      <c r="J87" s="51" t="s">
        <v>123</v>
      </c>
      <c r="K87" s="52">
        <v>4</v>
      </c>
      <c r="L87" s="52"/>
      <c r="M87" s="328"/>
      <c r="N87" s="72" t="s">
        <v>611</v>
      </c>
      <c r="O87" s="53" t="s">
        <v>179</v>
      </c>
      <c r="P87" s="52"/>
      <c r="Q87" s="54"/>
      <c r="R87" s="55" t="s">
        <v>203</v>
      </c>
      <c r="S87" s="51" t="s">
        <v>409</v>
      </c>
      <c r="T87" s="55" t="s">
        <v>553</v>
      </c>
      <c r="U87" s="53" t="s">
        <v>554</v>
      </c>
      <c r="V87" s="55" t="s">
        <v>555</v>
      </c>
      <c r="W87" s="248" t="s">
        <v>612</v>
      </c>
      <c r="X87" s="55" t="s">
        <v>557</v>
      </c>
      <c r="Y87" s="67" t="s">
        <v>372</v>
      </c>
      <c r="Z87" s="67" t="s">
        <v>372</v>
      </c>
      <c r="AA87" s="52" t="s">
        <v>373</v>
      </c>
    </row>
    <row r="88" spans="2:27" ht="80.25" hidden="1" customHeight="1">
      <c r="B88" s="51" t="s">
        <v>14</v>
      </c>
      <c r="C88" s="51" t="s">
        <v>558</v>
      </c>
      <c r="D88" s="51" t="s">
        <v>17</v>
      </c>
      <c r="E88" s="52">
        <v>2</v>
      </c>
      <c r="F88" s="51" t="s">
        <v>176</v>
      </c>
      <c r="G88" s="51" t="s">
        <v>177</v>
      </c>
      <c r="H88" s="54" t="s">
        <v>150</v>
      </c>
      <c r="I88" s="52">
        <v>6</v>
      </c>
      <c r="J88" s="51" t="s">
        <v>123</v>
      </c>
      <c r="K88" s="52">
        <v>4</v>
      </c>
      <c r="L88" s="52"/>
      <c r="M88" s="328"/>
      <c r="N88" s="53" t="s">
        <v>613</v>
      </c>
      <c r="O88" s="53" t="s">
        <v>179</v>
      </c>
      <c r="P88" s="52"/>
      <c r="Q88" s="54"/>
      <c r="R88" s="55"/>
      <c r="S88" s="51"/>
      <c r="T88" s="51" t="s">
        <v>578</v>
      </c>
      <c r="U88" s="67" t="s">
        <v>579</v>
      </c>
      <c r="V88" s="51" t="s">
        <v>372</v>
      </c>
      <c r="W88" s="372" t="s">
        <v>614</v>
      </c>
      <c r="X88" s="61" t="s">
        <v>557</v>
      </c>
      <c r="Y88" s="54" t="s">
        <v>372</v>
      </c>
      <c r="Z88" s="54" t="s">
        <v>372</v>
      </c>
      <c r="AA88" s="52" t="s">
        <v>373</v>
      </c>
    </row>
    <row r="89" spans="2:27" ht="80.25" hidden="1" customHeight="1">
      <c r="B89" s="51" t="s">
        <v>340</v>
      </c>
      <c r="C89" s="62" t="s">
        <v>562</v>
      </c>
      <c r="D89" s="62" t="s">
        <v>19</v>
      </c>
      <c r="E89" s="318">
        <v>0</v>
      </c>
      <c r="F89" s="131" t="s">
        <v>333</v>
      </c>
      <c r="G89" s="51" t="s">
        <v>334</v>
      </c>
      <c r="H89" s="153" t="s">
        <v>335</v>
      </c>
      <c r="I89" s="318">
        <v>6</v>
      </c>
      <c r="J89" s="51" t="s">
        <v>336</v>
      </c>
      <c r="K89" s="52">
        <v>23</v>
      </c>
      <c r="L89" s="318"/>
      <c r="M89" s="318"/>
      <c r="N89" s="53" t="s">
        <v>337</v>
      </c>
      <c r="O89" s="53" t="s">
        <v>338</v>
      </c>
      <c r="P89" s="318"/>
      <c r="Q89" s="62"/>
      <c r="R89" s="168"/>
      <c r="S89" s="74"/>
      <c r="T89" s="55" t="s">
        <v>568</v>
      </c>
      <c r="U89" s="53" t="s">
        <v>569</v>
      </c>
      <c r="V89" s="84" t="s">
        <v>604</v>
      </c>
      <c r="W89" s="314" t="s">
        <v>615</v>
      </c>
      <c r="X89" s="168" t="s">
        <v>565</v>
      </c>
      <c r="Y89" s="53" t="s">
        <v>566</v>
      </c>
      <c r="Z89" s="53" t="s">
        <v>566</v>
      </c>
      <c r="AA89" s="60" t="s">
        <v>351</v>
      </c>
    </row>
    <row r="90" spans="2:27" ht="80.25" hidden="1" customHeight="1">
      <c r="B90" s="51" t="s">
        <v>14</v>
      </c>
      <c r="C90" s="51" t="s">
        <v>552</v>
      </c>
      <c r="D90" s="51" t="s">
        <v>15</v>
      </c>
      <c r="E90" s="52">
        <v>1</v>
      </c>
      <c r="F90" s="131" t="s">
        <v>187</v>
      </c>
      <c r="G90" s="51" t="s">
        <v>188</v>
      </c>
      <c r="H90" s="125" t="s">
        <v>150</v>
      </c>
      <c r="I90" s="52">
        <v>7</v>
      </c>
      <c r="J90" s="51" t="s">
        <v>123</v>
      </c>
      <c r="K90" s="52">
        <v>30</v>
      </c>
      <c r="L90" s="52"/>
      <c r="M90" s="52"/>
      <c r="N90" s="53" t="s">
        <v>616</v>
      </c>
      <c r="O90" s="53" t="s">
        <v>190</v>
      </c>
      <c r="P90" s="52"/>
      <c r="Q90" s="54"/>
      <c r="R90" s="55" t="s">
        <v>203</v>
      </c>
      <c r="S90" s="51" t="s">
        <v>409</v>
      </c>
      <c r="T90" s="55" t="s">
        <v>600</v>
      </c>
      <c r="U90" s="65" t="s">
        <v>617</v>
      </c>
      <c r="V90" s="55" t="s">
        <v>618</v>
      </c>
      <c r="W90" s="77" t="s">
        <v>619</v>
      </c>
      <c r="X90" s="55" t="s">
        <v>557</v>
      </c>
      <c r="Y90" s="54" t="s">
        <v>579</v>
      </c>
      <c r="Z90" s="65" t="s">
        <v>620</v>
      </c>
      <c r="AA90" s="52" t="s">
        <v>372</v>
      </c>
    </row>
    <row r="91" spans="2:27" ht="80.25" hidden="1" customHeight="1">
      <c r="B91" s="51" t="s">
        <v>14</v>
      </c>
      <c r="C91" s="51" t="s">
        <v>558</v>
      </c>
      <c r="D91" s="51" t="s">
        <v>17</v>
      </c>
      <c r="E91" s="52">
        <v>2</v>
      </c>
      <c r="F91" s="51" t="s">
        <v>187</v>
      </c>
      <c r="G91" s="213" t="s">
        <v>188</v>
      </c>
      <c r="H91" s="54" t="s">
        <v>150</v>
      </c>
      <c r="I91" s="52">
        <v>7</v>
      </c>
      <c r="J91" s="51" t="s">
        <v>123</v>
      </c>
      <c r="K91" s="52">
        <v>30</v>
      </c>
      <c r="L91" s="52"/>
      <c r="M91" s="52"/>
      <c r="N91" s="53" t="s">
        <v>621</v>
      </c>
      <c r="O91" s="53" t="s">
        <v>190</v>
      </c>
      <c r="P91" s="52"/>
      <c r="Q91" s="54"/>
      <c r="R91" s="55"/>
      <c r="S91" s="51"/>
      <c r="T91" s="51" t="s">
        <v>578</v>
      </c>
      <c r="U91" s="67" t="s">
        <v>579</v>
      </c>
      <c r="V91" s="54" t="s">
        <v>622</v>
      </c>
      <c r="W91" s="246" t="s">
        <v>623</v>
      </c>
      <c r="X91" s="61" t="s">
        <v>557</v>
      </c>
      <c r="Y91" s="54" t="s">
        <v>579</v>
      </c>
      <c r="Z91" s="65" t="s">
        <v>620</v>
      </c>
      <c r="AA91" s="52" t="s">
        <v>372</v>
      </c>
    </row>
    <row r="92" spans="2:27" ht="80.25" hidden="1" customHeight="1">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77" t="s">
        <v>628</v>
      </c>
      <c r="X92" s="61" t="s">
        <v>557</v>
      </c>
      <c r="Y92" s="54" t="s">
        <v>372</v>
      </c>
      <c r="Z92" s="54" t="s">
        <v>372</v>
      </c>
      <c r="AA92" s="52" t="s">
        <v>373</v>
      </c>
    </row>
    <row r="93" spans="2:27" ht="80.25" hidden="1" customHeight="1">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7" t="s">
        <v>579</v>
      </c>
      <c r="V93" s="51" t="s">
        <v>630</v>
      </c>
      <c r="W93" s="77" t="s">
        <v>631</v>
      </c>
      <c r="X93" s="61" t="s">
        <v>557</v>
      </c>
      <c r="Y93" s="54" t="s">
        <v>579</v>
      </c>
      <c r="Z93" s="54" t="s">
        <v>630</v>
      </c>
      <c r="AA93" s="52" t="s">
        <v>372</v>
      </c>
    </row>
    <row r="94" spans="2:27" ht="80.25" hidden="1" customHeight="1">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13" t="s">
        <v>634</v>
      </c>
      <c r="X94" s="61" t="s">
        <v>557</v>
      </c>
      <c r="Y94" s="67" t="s">
        <v>572</v>
      </c>
      <c r="Z94" s="54" t="s">
        <v>582</v>
      </c>
      <c r="AA94" s="52" t="s">
        <v>372</v>
      </c>
    </row>
    <row r="95" spans="2:27" ht="80.25" hidden="1" customHeight="1">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7" t="s">
        <v>579</v>
      </c>
      <c r="V95" s="51" t="s">
        <v>372</v>
      </c>
      <c r="W95" s="77" t="s">
        <v>635</v>
      </c>
      <c r="X95" s="61" t="s">
        <v>557</v>
      </c>
      <c r="Y95" s="54" t="s">
        <v>372</v>
      </c>
      <c r="Z95" s="54" t="s">
        <v>372</v>
      </c>
      <c r="AA95" s="64" t="s">
        <v>636</v>
      </c>
    </row>
    <row r="96" spans="2:27" ht="80.25" hidden="1" customHeight="1">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77" t="s">
        <v>638</v>
      </c>
      <c r="X96" s="61" t="s">
        <v>557</v>
      </c>
      <c r="Y96" s="67" t="s">
        <v>572</v>
      </c>
      <c r="Z96" s="54" t="s">
        <v>639</v>
      </c>
      <c r="AA96" s="52" t="s">
        <v>372</v>
      </c>
    </row>
    <row r="97" spans="2:27" ht="80.25" hidden="1" customHeight="1">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7" t="s">
        <v>579</v>
      </c>
      <c r="V97" s="51" t="s">
        <v>427</v>
      </c>
      <c r="W97" s="77" t="s">
        <v>641</v>
      </c>
      <c r="X97" s="61" t="s">
        <v>557</v>
      </c>
      <c r="Y97" s="67" t="s">
        <v>579</v>
      </c>
      <c r="Z97" s="67" t="s">
        <v>427</v>
      </c>
      <c r="AA97" s="52" t="s">
        <v>372</v>
      </c>
    </row>
    <row r="98" spans="2:27" ht="80.25" hidden="1" customHeight="1">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77" t="s">
        <v>643</v>
      </c>
      <c r="X98" s="55" t="s">
        <v>644</v>
      </c>
      <c r="Y98" s="54" t="s">
        <v>645</v>
      </c>
      <c r="Z98" s="67" t="s">
        <v>646</v>
      </c>
      <c r="AA98" s="52" t="s">
        <v>647</v>
      </c>
    </row>
    <row r="99" spans="2:27" ht="41.25" hidden="1" customHeight="1">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7" t="s">
        <v>579</v>
      </c>
      <c r="V99" s="74" t="s">
        <v>652</v>
      </c>
      <c r="W99" s="312" t="s">
        <v>653</v>
      </c>
      <c r="X99" s="61" t="s">
        <v>557</v>
      </c>
      <c r="Y99" s="67" t="s">
        <v>579</v>
      </c>
      <c r="Z99" s="61" t="s">
        <v>652</v>
      </c>
      <c r="AA99" s="52" t="s">
        <v>372</v>
      </c>
    </row>
    <row r="100" spans="2:27" ht="80.25" hidden="1" customHeight="1">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77" t="s">
        <v>656</v>
      </c>
      <c r="X100" s="61" t="s">
        <v>557</v>
      </c>
      <c r="Y100" s="67" t="s">
        <v>579</v>
      </c>
      <c r="Z100" s="54" t="s">
        <v>427</v>
      </c>
      <c r="AA100" s="52" t="s">
        <v>372</v>
      </c>
    </row>
    <row r="101" spans="2:27" ht="80.25" hidden="1" customHeight="1">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19" t="s">
        <v>662</v>
      </c>
      <c r="X101" s="61" t="s">
        <v>557</v>
      </c>
      <c r="Y101" s="67" t="s">
        <v>579</v>
      </c>
      <c r="Z101" s="73" t="s">
        <v>663</v>
      </c>
      <c r="AA101" s="52" t="s">
        <v>372</v>
      </c>
    </row>
    <row r="102" spans="2:27" ht="80.25" hidden="1" customHeight="1">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2" t="s">
        <v>664</v>
      </c>
      <c r="X102" s="55" t="s">
        <v>644</v>
      </c>
      <c r="Y102" s="53" t="s">
        <v>647</v>
      </c>
      <c r="Z102" s="53" t="s">
        <v>647</v>
      </c>
      <c r="AA102" s="60" t="s">
        <v>665</v>
      </c>
    </row>
    <row r="103" spans="2:27" ht="80.25" hidden="1" customHeight="1">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77" t="s">
        <v>671</v>
      </c>
      <c r="X103" s="61" t="s">
        <v>557</v>
      </c>
      <c r="Y103" s="54" t="s">
        <v>372</v>
      </c>
      <c r="Z103" s="54" t="s">
        <v>372</v>
      </c>
      <c r="AA103" s="52" t="s">
        <v>462</v>
      </c>
    </row>
    <row r="104" spans="2:27" ht="80.25" hidden="1" customHeight="1">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77" t="s">
        <v>675</v>
      </c>
      <c r="X104" s="61" t="s">
        <v>557</v>
      </c>
      <c r="Y104" s="54" t="s">
        <v>676</v>
      </c>
      <c r="Z104" s="54" t="s">
        <v>677</v>
      </c>
      <c r="AA104" s="52" t="s">
        <v>372</v>
      </c>
    </row>
    <row r="105" spans="2:27" ht="80.25" hidden="1" customHeight="1">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7" t="s">
        <v>579</v>
      </c>
      <c r="V105" s="51" t="s">
        <v>678</v>
      </c>
      <c r="W105" s="77" t="s">
        <v>679</v>
      </c>
      <c r="X105" s="51" t="s">
        <v>372</v>
      </c>
      <c r="Y105" s="54" t="s">
        <v>372</v>
      </c>
      <c r="Z105" s="54" t="s">
        <v>372</v>
      </c>
      <c r="AA105" s="52" t="s">
        <v>372</v>
      </c>
    </row>
    <row r="106" spans="2:27" ht="80.25" hidden="1" customHeight="1">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4"/>
      <c r="S106" s="74"/>
      <c r="T106" s="55" t="s">
        <v>578</v>
      </c>
      <c r="U106" s="65" t="s">
        <v>572</v>
      </c>
      <c r="V106" s="55" t="s">
        <v>681</v>
      </c>
      <c r="W106" s="77" t="s">
        <v>682</v>
      </c>
      <c r="X106" s="61" t="s">
        <v>557</v>
      </c>
      <c r="Y106" s="54" t="s">
        <v>572</v>
      </c>
      <c r="Z106" s="54" t="s">
        <v>683</v>
      </c>
      <c r="AA106" s="52" t="s">
        <v>372</v>
      </c>
    </row>
    <row r="107" spans="2:27" ht="80.25" hidden="1" customHeight="1">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7" t="s">
        <v>579</v>
      </c>
      <c r="V107" s="51" t="s">
        <v>372</v>
      </c>
      <c r="W107" s="77" t="s">
        <v>684</v>
      </c>
      <c r="X107" s="51" t="s">
        <v>372</v>
      </c>
      <c r="Y107" s="54" t="s">
        <v>372</v>
      </c>
      <c r="Z107" s="54" t="s">
        <v>372</v>
      </c>
      <c r="AA107" s="52" t="s">
        <v>372</v>
      </c>
    </row>
    <row r="108" spans="2:27" ht="80.25" hidden="1" customHeight="1">
      <c r="B108" s="51" t="s">
        <v>14</v>
      </c>
      <c r="C108" s="51" t="s">
        <v>552</v>
      </c>
      <c r="D108" s="51" t="s">
        <v>15</v>
      </c>
      <c r="E108" s="52">
        <v>1</v>
      </c>
      <c r="F108" s="51" t="s">
        <v>648</v>
      </c>
      <c r="G108" s="51" t="s">
        <v>649</v>
      </c>
      <c r="H108" s="51" t="s">
        <v>249</v>
      </c>
      <c r="I108" s="52">
        <v>18</v>
      </c>
      <c r="J108" s="51" t="s">
        <v>250</v>
      </c>
      <c r="K108" s="52">
        <v>23</v>
      </c>
      <c r="L108" s="52">
        <v>6</v>
      </c>
      <c r="M108" s="52"/>
      <c r="N108" s="53" t="s">
        <v>650</v>
      </c>
      <c r="O108" s="53" t="s">
        <v>651</v>
      </c>
      <c r="P108" s="52"/>
      <c r="Q108" s="54"/>
      <c r="R108" s="53" t="s">
        <v>685</v>
      </c>
      <c r="S108" s="53" t="s">
        <v>686</v>
      </c>
      <c r="T108" s="55" t="s">
        <v>600</v>
      </c>
      <c r="U108" s="55" t="s">
        <v>601</v>
      </c>
      <c r="V108" s="55" t="s">
        <v>687</v>
      </c>
      <c r="W108" s="77" t="s">
        <v>688</v>
      </c>
      <c r="X108" s="55" t="s">
        <v>689</v>
      </c>
      <c r="Y108" s="54" t="s">
        <v>690</v>
      </c>
      <c r="Z108" s="54" t="s">
        <v>691</v>
      </c>
      <c r="AA108" s="52" t="s">
        <v>692</v>
      </c>
    </row>
    <row r="109" spans="2:27" ht="127.5" hidden="1" customHeight="1">
      <c r="B109" s="51" t="s">
        <v>14</v>
      </c>
      <c r="C109" s="51" t="s">
        <v>552</v>
      </c>
      <c r="D109" s="51" t="s">
        <v>15</v>
      </c>
      <c r="E109" s="52">
        <v>1</v>
      </c>
      <c r="F109" s="51" t="s">
        <v>271</v>
      </c>
      <c r="G109" s="51" t="s">
        <v>272</v>
      </c>
      <c r="H109" s="51" t="s">
        <v>249</v>
      </c>
      <c r="I109" s="52">
        <v>19</v>
      </c>
      <c r="J109" s="51" t="s">
        <v>250</v>
      </c>
      <c r="K109" s="52">
        <v>23</v>
      </c>
      <c r="L109" s="52">
        <v>6</v>
      </c>
      <c r="M109" s="52"/>
      <c r="N109" s="53" t="s">
        <v>693</v>
      </c>
      <c r="O109" s="53" t="s">
        <v>274</v>
      </c>
      <c r="P109" s="52"/>
      <c r="Q109" s="54"/>
      <c r="R109" s="53" t="s">
        <v>275</v>
      </c>
      <c r="S109" s="54" t="s">
        <v>276</v>
      </c>
      <c r="T109" s="55" t="s">
        <v>600</v>
      </c>
      <c r="U109" s="55" t="s">
        <v>601</v>
      </c>
      <c r="V109" s="55" t="s">
        <v>687</v>
      </c>
      <c r="W109" s="77" t="s">
        <v>694</v>
      </c>
      <c r="X109" s="55" t="s">
        <v>689</v>
      </c>
      <c r="Y109" s="54" t="s">
        <v>690</v>
      </c>
      <c r="Z109" s="54" t="s">
        <v>691</v>
      </c>
      <c r="AA109" s="52" t="s">
        <v>695</v>
      </c>
    </row>
    <row r="110" spans="2:27" ht="80.25" hidden="1" customHeight="1">
      <c r="B110" s="51" t="s">
        <v>14</v>
      </c>
      <c r="C110" s="51" t="s">
        <v>552</v>
      </c>
      <c r="D110" s="51" t="s">
        <v>15</v>
      </c>
      <c r="E110" s="52">
        <v>1</v>
      </c>
      <c r="F110" s="51" t="s">
        <v>282</v>
      </c>
      <c r="G110" s="51" t="s">
        <v>283</v>
      </c>
      <c r="H110" s="51" t="s">
        <v>249</v>
      </c>
      <c r="I110" s="52">
        <v>20</v>
      </c>
      <c r="J110" s="51" t="s">
        <v>250</v>
      </c>
      <c r="K110" s="52">
        <v>23</v>
      </c>
      <c r="L110" s="52">
        <v>6</v>
      </c>
      <c r="M110" s="52"/>
      <c r="N110" s="53" t="s">
        <v>696</v>
      </c>
      <c r="O110" s="53" t="s">
        <v>285</v>
      </c>
      <c r="P110" s="52"/>
      <c r="Q110" s="54"/>
      <c r="R110" s="63"/>
      <c r="S110" s="61"/>
      <c r="T110" s="55" t="s">
        <v>697</v>
      </c>
      <c r="U110" s="65" t="s">
        <v>698</v>
      </c>
      <c r="V110" s="63" t="s">
        <v>291</v>
      </c>
      <c r="W110" s="77" t="s">
        <v>699</v>
      </c>
      <c r="X110" s="55" t="s">
        <v>689</v>
      </c>
      <c r="Y110" s="53" t="s">
        <v>700</v>
      </c>
      <c r="Z110" s="53" t="s">
        <v>701</v>
      </c>
      <c r="AA110" s="60" t="s">
        <v>702</v>
      </c>
    </row>
    <row r="111" spans="2:27" ht="80.25" hidden="1" customHeight="1">
      <c r="B111" s="51" t="s">
        <v>14</v>
      </c>
      <c r="C111" s="51" t="s">
        <v>552</v>
      </c>
      <c r="D111" s="51" t="s">
        <v>15</v>
      </c>
      <c r="E111" s="52">
        <v>1</v>
      </c>
      <c r="F111" s="51" t="s">
        <v>703</v>
      </c>
      <c r="G111" s="51" t="s">
        <v>704</v>
      </c>
      <c r="H111" s="54" t="s">
        <v>249</v>
      </c>
      <c r="I111" s="52">
        <v>16</v>
      </c>
      <c r="J111" s="51" t="s">
        <v>250</v>
      </c>
      <c r="K111" s="52">
        <v>23</v>
      </c>
      <c r="L111" s="52">
        <v>6</v>
      </c>
      <c r="M111" s="318"/>
      <c r="N111" s="53" t="s">
        <v>705</v>
      </c>
      <c r="O111" s="53" t="s">
        <v>706</v>
      </c>
      <c r="P111" s="52"/>
      <c r="Q111" s="51"/>
      <c r="R111" s="74"/>
      <c r="S111" s="74"/>
      <c r="T111" s="55" t="s">
        <v>578</v>
      </c>
      <c r="U111" s="65" t="s">
        <v>572</v>
      </c>
      <c r="V111" s="55" t="s">
        <v>681</v>
      </c>
      <c r="W111" s="77" t="s">
        <v>707</v>
      </c>
      <c r="X111" s="61" t="s">
        <v>557</v>
      </c>
      <c r="Y111" s="54" t="s">
        <v>572</v>
      </c>
      <c r="Z111" s="54" t="s">
        <v>683</v>
      </c>
      <c r="AA111" s="52" t="s">
        <v>372</v>
      </c>
    </row>
    <row r="112" spans="2:27" ht="80.25" hidden="1" customHeight="1">
      <c r="B112" s="51" t="s">
        <v>14</v>
      </c>
      <c r="C112" s="51" t="s">
        <v>552</v>
      </c>
      <c r="D112" s="51" t="s">
        <v>15</v>
      </c>
      <c r="E112" s="52">
        <v>1</v>
      </c>
      <c r="F112" s="51" t="s">
        <v>708</v>
      </c>
      <c r="G112" s="51" t="s">
        <v>709</v>
      </c>
      <c r="H112" s="54" t="s">
        <v>249</v>
      </c>
      <c r="I112" s="52">
        <v>17</v>
      </c>
      <c r="J112" s="51" t="s">
        <v>250</v>
      </c>
      <c r="K112" s="52">
        <v>23</v>
      </c>
      <c r="L112" s="52">
        <v>6</v>
      </c>
      <c r="M112" s="318"/>
      <c r="N112" s="53" t="s">
        <v>705</v>
      </c>
      <c r="O112" s="53" t="s">
        <v>706</v>
      </c>
      <c r="P112" s="52"/>
      <c r="Q112" s="51"/>
      <c r="R112" s="74"/>
      <c r="S112" s="74"/>
      <c r="T112" s="55" t="s">
        <v>710</v>
      </c>
      <c r="U112" s="65" t="s">
        <v>711</v>
      </c>
      <c r="V112" s="55" t="s">
        <v>712</v>
      </c>
      <c r="W112" s="77" t="s">
        <v>713</v>
      </c>
      <c r="X112" s="61" t="s">
        <v>557</v>
      </c>
      <c r="Y112" s="54" t="s">
        <v>572</v>
      </c>
      <c r="Z112" s="54" t="s">
        <v>683</v>
      </c>
      <c r="AA112" s="52" t="s">
        <v>372</v>
      </c>
    </row>
    <row r="113" spans="2:27" ht="80.25" hidden="1" customHeight="1">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77" t="s">
        <v>719</v>
      </c>
      <c r="X113" s="61" t="s">
        <v>557</v>
      </c>
      <c r="Y113" s="54" t="s">
        <v>572</v>
      </c>
      <c r="Z113" s="54" t="s">
        <v>720</v>
      </c>
      <c r="AA113" s="52" t="s">
        <v>372</v>
      </c>
    </row>
    <row r="114" spans="2:27" ht="80.25" hidden="1" customHeight="1">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77" t="s">
        <v>725</v>
      </c>
      <c r="X114" s="61" t="s">
        <v>557</v>
      </c>
      <c r="Y114" s="54" t="s">
        <v>572</v>
      </c>
      <c r="Z114" s="53" t="s">
        <v>726</v>
      </c>
      <c r="AA114" s="52" t="s">
        <v>372</v>
      </c>
    </row>
    <row r="115" spans="2:27" ht="80.25" hidden="1" customHeight="1">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77" t="s">
        <v>733</v>
      </c>
      <c r="X115" s="55" t="s">
        <v>557</v>
      </c>
      <c r="Y115" s="54" t="s">
        <v>572</v>
      </c>
      <c r="Z115" s="53" t="s">
        <v>734</v>
      </c>
      <c r="AA115" s="60" t="s">
        <v>372</v>
      </c>
    </row>
    <row r="116" spans="2:27" ht="80.25" hidden="1" customHeight="1">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77" t="s">
        <v>740</v>
      </c>
      <c r="X116" s="55" t="s">
        <v>644</v>
      </c>
      <c r="Y116" s="53" t="s">
        <v>741</v>
      </c>
      <c r="Z116" s="53" t="s">
        <v>742</v>
      </c>
      <c r="AA116" s="60" t="s">
        <v>743</v>
      </c>
    </row>
    <row r="117" spans="2:27" ht="80.25" hidden="1" customHeight="1">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77" t="s">
        <v>751</v>
      </c>
      <c r="X117" s="61" t="s">
        <v>557</v>
      </c>
      <c r="Y117" s="54" t="s">
        <v>752</v>
      </c>
      <c r="Z117" s="54" t="s">
        <v>753</v>
      </c>
      <c r="AA117" s="52" t="s">
        <v>754</v>
      </c>
    </row>
    <row r="118" spans="2:27" ht="80.25" hidden="1" customHeight="1">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84" t="s">
        <v>760</v>
      </c>
      <c r="W118" s="314" t="s">
        <v>761</v>
      </c>
      <c r="X118" s="61" t="s">
        <v>557</v>
      </c>
      <c r="Y118" s="54" t="s">
        <v>762</v>
      </c>
      <c r="Z118" s="54" t="s">
        <v>763</v>
      </c>
      <c r="AA118" s="52" t="s">
        <v>764</v>
      </c>
    </row>
    <row r="119" spans="2:27" ht="278.25" hidden="1" customHeight="1">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2" t="s">
        <v>771</v>
      </c>
      <c r="X119" s="61" t="s">
        <v>557</v>
      </c>
      <c r="Y119" s="54" t="s">
        <v>772</v>
      </c>
      <c r="Z119" s="54" t="s">
        <v>773</v>
      </c>
      <c r="AA119" s="52" t="s">
        <v>774</v>
      </c>
    </row>
    <row r="120" spans="2:27" ht="80.25" hidden="1" customHeight="1">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77" t="s">
        <v>780</v>
      </c>
      <c r="X120" s="61" t="s">
        <v>557</v>
      </c>
      <c r="Y120" s="54" t="s">
        <v>781</v>
      </c>
      <c r="Z120" s="54" t="s">
        <v>782</v>
      </c>
      <c r="AA120" s="52" t="s">
        <v>783</v>
      </c>
    </row>
    <row r="121" spans="2:27" ht="80.25" hidden="1" customHeight="1">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77" t="s">
        <v>791</v>
      </c>
      <c r="X121" s="61" t="s">
        <v>557</v>
      </c>
      <c r="Y121" s="54" t="s">
        <v>792</v>
      </c>
      <c r="Z121" s="67" t="s">
        <v>793</v>
      </c>
      <c r="AA121" s="52" t="s">
        <v>794</v>
      </c>
    </row>
    <row r="122" spans="2:27" ht="80.25" hidden="1" customHeight="1">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2" t="s">
        <v>797</v>
      </c>
      <c r="X122" s="61" t="s">
        <v>557</v>
      </c>
      <c r="Y122" s="67" t="s">
        <v>572</v>
      </c>
      <c r="Z122" s="65" t="s">
        <v>798</v>
      </c>
      <c r="AA122" s="52" t="s">
        <v>372</v>
      </c>
    </row>
    <row r="123" spans="2:27" ht="80.25" hidden="1" customHeight="1">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77" t="s">
        <v>799</v>
      </c>
      <c r="X123" s="61" t="s">
        <v>557</v>
      </c>
      <c r="Y123" s="54" t="s">
        <v>372</v>
      </c>
      <c r="Z123" s="54" t="s">
        <v>372</v>
      </c>
      <c r="AA123" s="52" t="s">
        <v>462</v>
      </c>
    </row>
    <row r="124" spans="2:27" ht="80.25" hidden="1" customHeight="1">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77" t="s">
        <v>801</v>
      </c>
      <c r="X124" s="61" t="s">
        <v>644</v>
      </c>
      <c r="Y124" s="54" t="s">
        <v>647</v>
      </c>
      <c r="Z124" s="54" t="s">
        <v>647</v>
      </c>
      <c r="AA124" s="52" t="s">
        <v>802</v>
      </c>
    </row>
    <row r="125" spans="2:27" ht="80.25" hidden="1" customHeight="1">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2" t="s">
        <v>805</v>
      </c>
      <c r="X125" s="51" t="s">
        <v>372</v>
      </c>
      <c r="Y125" s="54" t="s">
        <v>372</v>
      </c>
      <c r="Z125" s="54" t="s">
        <v>372</v>
      </c>
      <c r="AA125" s="52" t="s">
        <v>372</v>
      </c>
    </row>
    <row r="126" spans="2:27" ht="80.25" hidden="1" customHeight="1">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77" t="s">
        <v>806</v>
      </c>
      <c r="X126" s="51" t="s">
        <v>372</v>
      </c>
      <c r="Y126" s="54" t="s">
        <v>372</v>
      </c>
      <c r="Z126" s="54" t="s">
        <v>372</v>
      </c>
      <c r="AA126" s="52" t="s">
        <v>372</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77"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77" t="s">
        <v>993</v>
      </c>
      <c r="X158" s="55" t="s">
        <v>813</v>
      </c>
      <c r="Y158" s="53" t="s">
        <v>916</v>
      </c>
      <c r="Z158" s="80"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77"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77" t="s">
        <v>1016</v>
      </c>
      <c r="X165" s="51" t="s">
        <v>1011</v>
      </c>
      <c r="Y165" s="54" t="s">
        <v>1014</v>
      </c>
      <c r="Z165" s="65" t="s">
        <v>582</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77"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77" t="s">
        <v>1018</v>
      </c>
      <c r="X167" s="51" t="s">
        <v>1011</v>
      </c>
      <c r="Y167" s="54" t="s">
        <v>1014</v>
      </c>
      <c r="Z167" s="54" t="s">
        <v>590</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77" t="s">
        <v>1019</v>
      </c>
      <c r="X168" s="51" t="s">
        <v>1011</v>
      </c>
      <c r="Y168" s="54" t="s">
        <v>1014</v>
      </c>
      <c r="Z168" s="54" t="s">
        <v>593</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636</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77" t="s">
        <v>1043</v>
      </c>
      <c r="X176" s="51" t="s">
        <v>1011</v>
      </c>
      <c r="Y176" s="67"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77"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582</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2"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633</v>
      </c>
      <c r="W217" s="312" t="s">
        <v>1250</v>
      </c>
      <c r="X217" s="51" t="s">
        <v>1165</v>
      </c>
      <c r="Y217" s="54" t="s">
        <v>1182</v>
      </c>
      <c r="Z217" s="54" t="s">
        <v>582</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19"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590</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593</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636</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2"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77"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1401</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77" t="s">
        <v>1407</v>
      </c>
      <c r="X248" s="55" t="s">
        <v>1342</v>
      </c>
      <c r="Y248" s="53" t="s">
        <v>1408</v>
      </c>
      <c r="Z248" s="53" t="s">
        <v>1409</v>
      </c>
      <c r="AA248" s="60" t="s">
        <v>1410</v>
      </c>
    </row>
    <row r="249" spans="2:27" ht="195" hidden="1" customHeight="1">
      <c r="B249" s="51" t="s">
        <v>33</v>
      </c>
      <c r="C249" s="51" t="s">
        <v>1291</v>
      </c>
      <c r="D249" s="51" t="s">
        <v>38</v>
      </c>
      <c r="E249" s="52">
        <v>1</v>
      </c>
      <c r="F249" s="51" t="s">
        <v>1411</v>
      </c>
      <c r="G249" s="51" t="s">
        <v>1412</v>
      </c>
      <c r="H249" s="51" t="s">
        <v>249</v>
      </c>
      <c r="I249" s="52">
        <v>21</v>
      </c>
      <c r="J249" s="51" t="s">
        <v>250</v>
      </c>
      <c r="K249" s="52">
        <v>23</v>
      </c>
      <c r="L249" s="52">
        <v>6</v>
      </c>
      <c r="M249" s="328"/>
      <c r="N249" s="53" t="s">
        <v>1413</v>
      </c>
      <c r="O249" s="53" t="s">
        <v>1414</v>
      </c>
      <c r="P249" s="52"/>
      <c r="Q249" s="54"/>
      <c r="R249" s="53" t="s">
        <v>685</v>
      </c>
      <c r="S249" s="53" t="s">
        <v>686</v>
      </c>
      <c r="T249" s="55" t="s">
        <v>1415</v>
      </c>
      <c r="U249" s="55" t="s">
        <v>1416</v>
      </c>
      <c r="V249" s="55" t="s">
        <v>1417</v>
      </c>
      <c r="W249" s="77" t="s">
        <v>1418</v>
      </c>
      <c r="X249" s="55" t="s">
        <v>1342</v>
      </c>
      <c r="Y249" s="53" t="s">
        <v>1419</v>
      </c>
      <c r="Z249" s="53" t="s">
        <v>1420</v>
      </c>
      <c r="AA249" s="60" t="s">
        <v>1421</v>
      </c>
    </row>
    <row r="250" spans="2:27" ht="80.25" hidden="1" customHeight="1">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77" t="s">
        <v>1424</v>
      </c>
      <c r="X250" s="55" t="s">
        <v>1295</v>
      </c>
      <c r="Y250" s="53" t="s">
        <v>1425</v>
      </c>
      <c r="Z250" s="53" t="s">
        <v>1426</v>
      </c>
      <c r="AA250" s="60" t="s">
        <v>1427</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3"/>
      <c r="T251" s="55" t="s">
        <v>1306</v>
      </c>
      <c r="U251" s="55" t="s">
        <v>1429</v>
      </c>
      <c r="V251" s="55" t="s">
        <v>1430</v>
      </c>
      <c r="W251" s="77" t="s">
        <v>1431</v>
      </c>
      <c r="X251" s="55" t="s">
        <v>1342</v>
      </c>
      <c r="Y251" s="53" t="s">
        <v>1432</v>
      </c>
      <c r="Z251" s="53" t="s">
        <v>1433</v>
      </c>
      <c r="AA251" s="60" t="s">
        <v>1434</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77" t="s">
        <v>1437</v>
      </c>
      <c r="X252" s="55" t="s">
        <v>1342</v>
      </c>
      <c r="Y252" s="66" t="s">
        <v>1438</v>
      </c>
      <c r="Z252" s="53" t="s">
        <v>1439</v>
      </c>
      <c r="AA252" s="60" t="s">
        <v>1440</v>
      </c>
    </row>
    <row r="253" spans="2:27" ht="80.25" hidden="1" customHeight="1">
      <c r="B253" s="51" t="s">
        <v>33</v>
      </c>
      <c r="C253" s="51" t="s">
        <v>1291</v>
      </c>
      <c r="D253" s="51" t="s">
        <v>38</v>
      </c>
      <c r="E253" s="52">
        <v>1</v>
      </c>
      <c r="F253" s="51" t="s">
        <v>1441</v>
      </c>
      <c r="G253" s="51" t="s">
        <v>1442</v>
      </c>
      <c r="H253" s="51" t="s">
        <v>249</v>
      </c>
      <c r="I253" s="52">
        <v>25</v>
      </c>
      <c r="J253" s="51" t="s">
        <v>250</v>
      </c>
      <c r="K253" s="52">
        <v>23</v>
      </c>
      <c r="L253" s="52">
        <v>6</v>
      </c>
      <c r="M253" s="318"/>
      <c r="N253" s="53" t="s">
        <v>1443</v>
      </c>
      <c r="O253" s="53" t="s">
        <v>1444</v>
      </c>
      <c r="P253" s="52"/>
      <c r="Q253" s="51"/>
      <c r="R253" s="53"/>
      <c r="S253" s="54"/>
      <c r="T253" s="55" t="s">
        <v>1404</v>
      </c>
      <c r="U253" s="55" t="s">
        <v>1331</v>
      </c>
      <c r="V253" s="55" t="s">
        <v>1445</v>
      </c>
      <c r="W253" s="77" t="s">
        <v>1446</v>
      </c>
      <c r="X253" s="55" t="s">
        <v>1342</v>
      </c>
      <c r="Y253" s="53" t="s">
        <v>1365</v>
      </c>
      <c r="Z253" s="53" t="s">
        <v>1447</v>
      </c>
      <c r="AA253" s="60" t="s">
        <v>1448</v>
      </c>
    </row>
    <row r="254" spans="2:27" ht="80.25" hidden="1" customHeight="1">
      <c r="B254" s="51" t="s">
        <v>33</v>
      </c>
      <c r="C254" s="51" t="s">
        <v>1291</v>
      </c>
      <c r="D254" s="51" t="s">
        <v>38</v>
      </c>
      <c r="E254" s="52">
        <v>1</v>
      </c>
      <c r="F254" s="51" t="s">
        <v>714</v>
      </c>
      <c r="G254" s="51" t="s">
        <v>715</v>
      </c>
      <c r="H254" s="54" t="s">
        <v>249</v>
      </c>
      <c r="I254" s="52">
        <v>26</v>
      </c>
      <c r="J254" s="51" t="s">
        <v>123</v>
      </c>
      <c r="K254" s="52">
        <v>10</v>
      </c>
      <c r="L254" s="52">
        <v>6</v>
      </c>
      <c r="M254" s="52"/>
      <c r="N254" s="53" t="s">
        <v>1449</v>
      </c>
      <c r="O254" s="53" t="s">
        <v>717</v>
      </c>
      <c r="P254" s="52"/>
      <c r="Q254" s="54"/>
      <c r="R254" s="55"/>
      <c r="S254" s="51"/>
      <c r="T254" s="55" t="s">
        <v>1306</v>
      </c>
      <c r="U254" s="55" t="s">
        <v>1450</v>
      </c>
      <c r="V254" s="55" t="s">
        <v>1451</v>
      </c>
      <c r="W254" s="77" t="s">
        <v>1452</v>
      </c>
      <c r="X254" s="55" t="s">
        <v>1295</v>
      </c>
      <c r="Y254" s="53" t="s">
        <v>1453</v>
      </c>
      <c r="Z254" s="53" t="s">
        <v>1454</v>
      </c>
      <c r="AA254" s="60" t="s">
        <v>1455</v>
      </c>
    </row>
    <row r="255" spans="2:27" ht="80.25" hidden="1" customHeight="1">
      <c r="B255" s="51" t="s">
        <v>33</v>
      </c>
      <c r="C255" s="51" t="s">
        <v>1291</v>
      </c>
      <c r="D255" s="51" t="s">
        <v>38</v>
      </c>
      <c r="E255" s="52">
        <v>1</v>
      </c>
      <c r="F255" s="51" t="s">
        <v>1456</v>
      </c>
      <c r="G255" s="51" t="s">
        <v>1457</v>
      </c>
      <c r="H255" s="54" t="s">
        <v>430</v>
      </c>
      <c r="I255" s="52">
        <v>27</v>
      </c>
      <c r="J255" s="51" t="s">
        <v>123</v>
      </c>
      <c r="K255" s="52"/>
      <c r="L255" s="52"/>
      <c r="M255" s="52"/>
      <c r="N255" s="53" t="s">
        <v>1458</v>
      </c>
      <c r="O255" s="53" t="s">
        <v>1459</v>
      </c>
      <c r="P255" s="52"/>
      <c r="Q255" s="54"/>
      <c r="R255" s="55"/>
      <c r="S255" s="51"/>
      <c r="T255" s="55" t="s">
        <v>1306</v>
      </c>
      <c r="U255" s="55" t="s">
        <v>1460</v>
      </c>
      <c r="V255" s="55" t="s">
        <v>1461</v>
      </c>
      <c r="W255" s="77" t="s">
        <v>1462</v>
      </c>
      <c r="X255" s="55" t="s">
        <v>1295</v>
      </c>
      <c r="Y255" s="53" t="s">
        <v>1463</v>
      </c>
      <c r="Z255" s="53" t="s">
        <v>1464</v>
      </c>
      <c r="AA255" s="60" t="s">
        <v>918</v>
      </c>
    </row>
    <row r="256" spans="2:27" ht="80.25" hidden="1" customHeight="1">
      <c r="B256" s="51" t="s">
        <v>33</v>
      </c>
      <c r="C256" s="51" t="s">
        <v>1291</v>
      </c>
      <c r="D256" s="51" t="s">
        <v>38</v>
      </c>
      <c r="E256" s="52">
        <v>1</v>
      </c>
      <c r="F256" s="51" t="s">
        <v>1465</v>
      </c>
      <c r="G256" s="51" t="s">
        <v>1466</v>
      </c>
      <c r="H256" s="54" t="s">
        <v>430</v>
      </c>
      <c r="I256" s="52">
        <v>28</v>
      </c>
      <c r="J256" s="51" t="s">
        <v>123</v>
      </c>
      <c r="K256" s="52">
        <v>10</v>
      </c>
      <c r="L256" s="52"/>
      <c r="M256" s="52"/>
      <c r="N256" s="312" t="s">
        <v>1467</v>
      </c>
      <c r="O256" s="53" t="s">
        <v>1468</v>
      </c>
      <c r="P256" s="52"/>
      <c r="Q256" s="54"/>
      <c r="R256" s="55"/>
      <c r="S256" s="51"/>
      <c r="T256" s="55" t="s">
        <v>1415</v>
      </c>
      <c r="U256" s="55" t="s">
        <v>1469</v>
      </c>
      <c r="V256" s="55" t="s">
        <v>1470</v>
      </c>
      <c r="W256" s="77" t="s">
        <v>1471</v>
      </c>
      <c r="X256" s="55" t="s">
        <v>1295</v>
      </c>
      <c r="Y256" s="53" t="s">
        <v>1472</v>
      </c>
      <c r="Z256" s="53" t="s">
        <v>1473</v>
      </c>
      <c r="AA256" s="60" t="s">
        <v>853</v>
      </c>
    </row>
    <row r="257" spans="2:27" ht="80.25" hidden="1" customHeight="1">
      <c r="B257" s="51" t="s">
        <v>33</v>
      </c>
      <c r="C257" s="51" t="s">
        <v>1291</v>
      </c>
      <c r="D257" s="51" t="s">
        <v>38</v>
      </c>
      <c r="E257" s="52">
        <v>1</v>
      </c>
      <c r="F257" s="51" t="s">
        <v>1474</v>
      </c>
      <c r="G257" s="51" t="s">
        <v>1475</v>
      </c>
      <c r="H257" s="54" t="s">
        <v>249</v>
      </c>
      <c r="I257" s="52">
        <v>29</v>
      </c>
      <c r="J257" s="51" t="s">
        <v>250</v>
      </c>
      <c r="K257" s="52">
        <v>23</v>
      </c>
      <c r="L257" s="52">
        <v>6</v>
      </c>
      <c r="M257" s="52"/>
      <c r="N257" s="53" t="s">
        <v>1476</v>
      </c>
      <c r="O257" s="53" t="s">
        <v>1477</v>
      </c>
      <c r="P257" s="52"/>
      <c r="Q257" s="54"/>
      <c r="R257" s="55"/>
      <c r="S257" s="51"/>
      <c r="T257" s="55" t="s">
        <v>1306</v>
      </c>
      <c r="U257" s="55" t="s">
        <v>1422</v>
      </c>
      <c r="V257" s="55" t="s">
        <v>1461</v>
      </c>
      <c r="W257" s="77" t="s">
        <v>1478</v>
      </c>
      <c r="X257" s="55" t="s">
        <v>1295</v>
      </c>
      <c r="Y257" s="53" t="s">
        <v>1463</v>
      </c>
      <c r="Z257" s="55" t="s">
        <v>1464</v>
      </c>
      <c r="AA257" s="60" t="s">
        <v>1479</v>
      </c>
    </row>
    <row r="258" spans="2:27" ht="80.25" hidden="1" customHeight="1">
      <c r="B258" s="51" t="s">
        <v>33</v>
      </c>
      <c r="C258" s="51" t="s">
        <v>1291</v>
      </c>
      <c r="D258" s="51" t="s">
        <v>38</v>
      </c>
      <c r="E258" s="52">
        <v>1</v>
      </c>
      <c r="F258" s="51" t="s">
        <v>1480</v>
      </c>
      <c r="G258" s="51" t="s">
        <v>1481</v>
      </c>
      <c r="H258" s="54" t="s">
        <v>430</v>
      </c>
      <c r="I258" s="52">
        <v>30</v>
      </c>
      <c r="J258" s="51" t="s">
        <v>123</v>
      </c>
      <c r="K258" s="52">
        <v>10</v>
      </c>
      <c r="L258" s="52"/>
      <c r="M258" s="52"/>
      <c r="N258" s="53" t="s">
        <v>1458</v>
      </c>
      <c r="O258" s="53" t="s">
        <v>1482</v>
      </c>
      <c r="P258" s="52"/>
      <c r="Q258" s="54"/>
      <c r="R258" s="55"/>
      <c r="S258" s="51"/>
      <c r="T258" s="55" t="s">
        <v>1306</v>
      </c>
      <c r="U258" s="55" t="s">
        <v>1483</v>
      </c>
      <c r="V258" s="55" t="s">
        <v>1484</v>
      </c>
      <c r="W258" s="77" t="s">
        <v>1485</v>
      </c>
      <c r="X258" s="55" t="s">
        <v>1295</v>
      </c>
      <c r="Y258" s="53" t="s">
        <v>1486</v>
      </c>
      <c r="Z258" s="53" t="s">
        <v>1487</v>
      </c>
      <c r="AA258" s="60" t="s">
        <v>1367</v>
      </c>
    </row>
    <row r="259" spans="2:27" ht="80.25" hidden="1" customHeight="1">
      <c r="B259" s="51" t="s">
        <v>33</v>
      </c>
      <c r="C259" s="51" t="s">
        <v>1291</v>
      </c>
      <c r="D259" s="51" t="s">
        <v>38</v>
      </c>
      <c r="E259" s="52">
        <v>1</v>
      </c>
      <c r="F259" s="51" t="s">
        <v>1488</v>
      </c>
      <c r="G259" s="51" t="s">
        <v>1489</v>
      </c>
      <c r="H259" s="54" t="s">
        <v>249</v>
      </c>
      <c r="I259" s="52">
        <v>31</v>
      </c>
      <c r="J259" s="51" t="s">
        <v>123</v>
      </c>
      <c r="K259" s="52"/>
      <c r="L259" s="52">
        <v>6</v>
      </c>
      <c r="M259" s="52"/>
      <c r="N259" s="53" t="s">
        <v>1490</v>
      </c>
      <c r="O259" s="53" t="s">
        <v>1491</v>
      </c>
      <c r="P259" s="52"/>
      <c r="Q259" s="54"/>
      <c r="R259" s="55"/>
      <c r="S259" s="51"/>
      <c r="T259" s="55" t="s">
        <v>1415</v>
      </c>
      <c r="U259" s="55" t="s">
        <v>1492</v>
      </c>
      <c r="V259" s="55" t="s">
        <v>1493</v>
      </c>
      <c r="W259" s="77" t="s">
        <v>1494</v>
      </c>
      <c r="X259" s="55" t="s">
        <v>1295</v>
      </c>
      <c r="Y259" s="53" t="s">
        <v>1486</v>
      </c>
      <c r="Z259" s="53" t="s">
        <v>1495</v>
      </c>
      <c r="AA259" s="60" t="s">
        <v>1367</v>
      </c>
    </row>
    <row r="260" spans="2:27" ht="80.25" hidden="1" customHeight="1">
      <c r="B260" s="51" t="s">
        <v>33</v>
      </c>
      <c r="C260" s="51" t="s">
        <v>1291</v>
      </c>
      <c r="D260" s="51" t="s">
        <v>38</v>
      </c>
      <c r="E260" s="52">
        <v>1</v>
      </c>
      <c r="F260" s="51" t="s">
        <v>428</v>
      </c>
      <c r="G260" s="51" t="s">
        <v>429</v>
      </c>
      <c r="H260" s="54" t="s">
        <v>430</v>
      </c>
      <c r="I260" s="52">
        <v>32</v>
      </c>
      <c r="J260" s="51" t="s">
        <v>123</v>
      </c>
      <c r="K260" s="52">
        <v>10</v>
      </c>
      <c r="L260" s="52"/>
      <c r="M260" s="52"/>
      <c r="N260" s="53" t="s">
        <v>1496</v>
      </c>
      <c r="O260" s="53" t="s">
        <v>432</v>
      </c>
      <c r="P260" s="52"/>
      <c r="Q260" s="54"/>
      <c r="R260" s="55"/>
      <c r="S260" s="51"/>
      <c r="T260" s="55" t="s">
        <v>1415</v>
      </c>
      <c r="U260" s="77" t="s">
        <v>1497</v>
      </c>
      <c r="V260" s="55" t="s">
        <v>1498</v>
      </c>
      <c r="W260" s="77" t="s">
        <v>1499</v>
      </c>
      <c r="X260" s="55" t="s">
        <v>1295</v>
      </c>
      <c r="Y260" s="53" t="s">
        <v>1500</v>
      </c>
      <c r="Z260" s="53" t="s">
        <v>1501</v>
      </c>
      <c r="AA260" s="60" t="s">
        <v>853</v>
      </c>
    </row>
    <row r="261" spans="2:27" ht="80.25" hidden="1" customHeight="1">
      <c r="B261" s="51" t="s">
        <v>33</v>
      </c>
      <c r="C261" s="51" t="s">
        <v>1291</v>
      </c>
      <c r="D261" s="51" t="s">
        <v>38</v>
      </c>
      <c r="E261" s="52">
        <v>1</v>
      </c>
      <c r="F261" s="51" t="s">
        <v>438</v>
      </c>
      <c r="G261" s="51" t="s">
        <v>439</v>
      </c>
      <c r="H261" s="54" t="s">
        <v>249</v>
      </c>
      <c r="I261" s="52">
        <v>33</v>
      </c>
      <c r="J261" s="51" t="s">
        <v>250</v>
      </c>
      <c r="K261" s="52">
        <v>23</v>
      </c>
      <c r="L261" s="52">
        <v>6</v>
      </c>
      <c r="M261" s="52"/>
      <c r="N261" s="53" t="s">
        <v>1502</v>
      </c>
      <c r="O261" s="53" t="s">
        <v>441</v>
      </c>
      <c r="P261" s="52"/>
      <c r="Q261" s="54"/>
      <c r="R261" s="55"/>
      <c r="S261" s="51"/>
      <c r="T261" s="55" t="s">
        <v>1503</v>
      </c>
      <c r="U261" s="55" t="s">
        <v>1504</v>
      </c>
      <c r="V261" s="55" t="s">
        <v>1505</v>
      </c>
      <c r="W261" s="77" t="s">
        <v>1506</v>
      </c>
      <c r="X261" s="55" t="s">
        <v>1295</v>
      </c>
      <c r="Y261" s="53" t="s">
        <v>1500</v>
      </c>
      <c r="Z261" s="53" t="s">
        <v>1507</v>
      </c>
      <c r="AA261" s="60" t="s">
        <v>853</v>
      </c>
    </row>
    <row r="262" spans="2:27" ht="80.25" hidden="1" customHeight="1">
      <c r="B262" s="51" t="s">
        <v>33</v>
      </c>
      <c r="C262" s="51" t="s">
        <v>1291</v>
      </c>
      <c r="D262" s="51" t="s">
        <v>38</v>
      </c>
      <c r="E262" s="52">
        <v>1</v>
      </c>
      <c r="F262" s="51" t="s">
        <v>1508</v>
      </c>
      <c r="G262" s="51" t="s">
        <v>1509</v>
      </c>
      <c r="H262" s="54" t="s">
        <v>249</v>
      </c>
      <c r="I262" s="52">
        <v>34</v>
      </c>
      <c r="J262" s="51" t="s">
        <v>123</v>
      </c>
      <c r="K262" s="52"/>
      <c r="L262" s="52"/>
      <c r="M262" s="52"/>
      <c r="N262" s="53" t="s">
        <v>1510</v>
      </c>
      <c r="O262" s="53" t="s">
        <v>1511</v>
      </c>
      <c r="P262" s="52"/>
      <c r="Q262" s="54"/>
      <c r="R262" s="63"/>
      <c r="S262" s="61"/>
      <c r="T262" s="55" t="s">
        <v>1306</v>
      </c>
      <c r="U262" s="55" t="s">
        <v>1422</v>
      </c>
      <c r="V262" s="55" t="s">
        <v>1512</v>
      </c>
      <c r="W262" s="77" t="s">
        <v>1513</v>
      </c>
      <c r="X262" s="55" t="s">
        <v>1295</v>
      </c>
      <c r="Y262" s="53" t="s">
        <v>1463</v>
      </c>
      <c r="Z262" s="53" t="s">
        <v>1514</v>
      </c>
      <c r="AA262" s="60" t="s">
        <v>1391</v>
      </c>
    </row>
    <row r="263" spans="2:27" ht="80.25" hidden="1" customHeight="1">
      <c r="B263" s="51" t="s">
        <v>33</v>
      </c>
      <c r="C263" s="51" t="s">
        <v>1291</v>
      </c>
      <c r="D263" s="51" t="s">
        <v>38</v>
      </c>
      <c r="E263" s="52">
        <v>1</v>
      </c>
      <c r="F263" s="51" t="s">
        <v>1515</v>
      </c>
      <c r="G263" s="51" t="s">
        <v>1516</v>
      </c>
      <c r="H263" s="54" t="s">
        <v>1517</v>
      </c>
      <c r="I263" s="52">
        <v>35</v>
      </c>
      <c r="J263" s="51" t="s">
        <v>123</v>
      </c>
      <c r="K263" s="52">
        <v>4</v>
      </c>
      <c r="L263" s="52"/>
      <c r="M263" s="52"/>
      <c r="N263" s="53" t="s">
        <v>1518</v>
      </c>
      <c r="O263" s="53" t="s">
        <v>1519</v>
      </c>
      <c r="P263" s="52"/>
      <c r="Q263" s="53"/>
      <c r="R263" s="53"/>
      <c r="S263" s="54"/>
      <c r="T263" s="55" t="s">
        <v>1296</v>
      </c>
      <c r="U263" s="55" t="s">
        <v>1331</v>
      </c>
      <c r="V263" s="55" t="s">
        <v>244</v>
      </c>
      <c r="W263" s="77" t="s">
        <v>1520</v>
      </c>
      <c r="X263" s="55" t="s">
        <v>1342</v>
      </c>
      <c r="Y263" s="53" t="s">
        <v>323</v>
      </c>
      <c r="Z263" s="53" t="s">
        <v>323</v>
      </c>
      <c r="AA263" s="60" t="s">
        <v>1521</v>
      </c>
    </row>
    <row r="264" spans="2:27" ht="80.25" hidden="1" customHeight="1">
      <c r="B264" s="51" t="s">
        <v>33</v>
      </c>
      <c r="C264" s="51" t="s">
        <v>1291</v>
      </c>
      <c r="D264" s="51" t="s">
        <v>38</v>
      </c>
      <c r="E264" s="52">
        <v>1</v>
      </c>
      <c r="F264" s="51" t="s">
        <v>1522</v>
      </c>
      <c r="G264" s="51" t="s">
        <v>1523</v>
      </c>
      <c r="H264" s="54" t="s">
        <v>767</v>
      </c>
      <c r="I264" s="52">
        <v>36</v>
      </c>
      <c r="J264" s="51" t="s">
        <v>250</v>
      </c>
      <c r="K264" s="52">
        <v>23</v>
      </c>
      <c r="L264" s="52">
        <v>6</v>
      </c>
      <c r="M264" s="52"/>
      <c r="N264" s="53" t="s">
        <v>1524</v>
      </c>
      <c r="O264" s="53" t="s">
        <v>1525</v>
      </c>
      <c r="P264" s="52"/>
      <c r="Q264" s="51"/>
      <c r="R264" s="55" t="s">
        <v>788</v>
      </c>
      <c r="S264" s="51" t="s">
        <v>1526</v>
      </c>
      <c r="T264" s="55" t="s">
        <v>1296</v>
      </c>
      <c r="U264" s="55" t="s">
        <v>1331</v>
      </c>
      <c r="V264" s="55" t="s">
        <v>1527</v>
      </c>
      <c r="W264" s="77" t="s">
        <v>1528</v>
      </c>
      <c r="X264" s="55" t="s">
        <v>1342</v>
      </c>
      <c r="Y264" s="53" t="s">
        <v>1397</v>
      </c>
      <c r="Z264" s="53" t="s">
        <v>1529</v>
      </c>
      <c r="AA264" s="60" t="s">
        <v>853</v>
      </c>
    </row>
    <row r="265" spans="2:27" ht="80.25" hidden="1" customHeight="1">
      <c r="B265" s="51" t="s">
        <v>33</v>
      </c>
      <c r="C265" s="51" t="s">
        <v>1291</v>
      </c>
      <c r="D265" s="51" t="s">
        <v>38</v>
      </c>
      <c r="E265" s="52">
        <v>1</v>
      </c>
      <c r="F265" s="51" t="s">
        <v>744</v>
      </c>
      <c r="G265" s="51" t="s">
        <v>1530</v>
      </c>
      <c r="H265" s="54" t="s">
        <v>746</v>
      </c>
      <c r="I265" s="52">
        <v>37</v>
      </c>
      <c r="J265" s="51" t="s">
        <v>123</v>
      </c>
      <c r="K265" s="52">
        <v>4</v>
      </c>
      <c r="L265" s="52"/>
      <c r="M265" s="52"/>
      <c r="N265" s="53" t="s">
        <v>1531</v>
      </c>
      <c r="O265" s="53" t="s">
        <v>748</v>
      </c>
      <c r="P265" s="52"/>
      <c r="Q265" s="53" t="s">
        <v>1532</v>
      </c>
      <c r="R265" s="53"/>
      <c r="S265" s="54"/>
      <c r="T265" s="55" t="s">
        <v>1296</v>
      </c>
      <c r="U265" s="55" t="s">
        <v>1331</v>
      </c>
      <c r="V265" s="55" t="s">
        <v>244</v>
      </c>
      <c r="W265" s="77" t="s">
        <v>1533</v>
      </c>
      <c r="X265" s="55" t="s">
        <v>1342</v>
      </c>
      <c r="Y265" s="53" t="s">
        <v>1354</v>
      </c>
      <c r="Z265" s="53" t="s">
        <v>323</v>
      </c>
      <c r="AA265" s="60" t="s">
        <v>1521</v>
      </c>
    </row>
    <row r="266" spans="2:27" ht="80.25" hidden="1" customHeight="1">
      <c r="B266" s="51" t="s">
        <v>33</v>
      </c>
      <c r="C266" s="51" t="s">
        <v>1291</v>
      </c>
      <c r="D266" s="51" t="s">
        <v>38</v>
      </c>
      <c r="E266" s="52">
        <v>1</v>
      </c>
      <c r="F266" s="51" t="s">
        <v>784</v>
      </c>
      <c r="G266" s="51" t="s">
        <v>785</v>
      </c>
      <c r="H266" s="54" t="s">
        <v>767</v>
      </c>
      <c r="I266" s="52">
        <v>38</v>
      </c>
      <c r="J266" s="51" t="s">
        <v>250</v>
      </c>
      <c r="K266" s="52">
        <v>23</v>
      </c>
      <c r="L266" s="52">
        <v>6</v>
      </c>
      <c r="M266" s="52"/>
      <c r="N266" s="53" t="s">
        <v>1534</v>
      </c>
      <c r="O266" s="53" t="s">
        <v>787</v>
      </c>
      <c r="P266" s="52"/>
      <c r="Q266" s="51"/>
      <c r="R266" s="55" t="s">
        <v>788</v>
      </c>
      <c r="S266" s="51" t="s">
        <v>789</v>
      </c>
      <c r="T266" s="55" t="s">
        <v>1296</v>
      </c>
      <c r="U266" s="77" t="s">
        <v>1535</v>
      </c>
      <c r="V266" s="55" t="s">
        <v>1527</v>
      </c>
      <c r="W266" s="77" t="s">
        <v>1536</v>
      </c>
      <c r="X266" s="55" t="s">
        <v>1342</v>
      </c>
      <c r="Y266" s="53" t="s">
        <v>1537</v>
      </c>
      <c r="Z266" s="53" t="s">
        <v>1529</v>
      </c>
      <c r="AA266" s="60" t="s">
        <v>853</v>
      </c>
    </row>
    <row r="267" spans="2:27" ht="80.25" hidden="1" customHeight="1">
      <c r="B267" s="51" t="s">
        <v>33</v>
      </c>
      <c r="C267" s="51" t="s">
        <v>1291</v>
      </c>
      <c r="D267" s="51" t="s">
        <v>38</v>
      </c>
      <c r="E267" s="52">
        <v>1</v>
      </c>
      <c r="F267" s="51" t="s">
        <v>1538</v>
      </c>
      <c r="G267" s="51" t="s">
        <v>1539</v>
      </c>
      <c r="H267" s="54" t="s">
        <v>1540</v>
      </c>
      <c r="I267" s="52">
        <v>39</v>
      </c>
      <c r="J267" s="51" t="s">
        <v>123</v>
      </c>
      <c r="K267" s="52">
        <v>4</v>
      </c>
      <c r="L267" s="52"/>
      <c r="M267" s="52"/>
      <c r="N267" s="53" t="s">
        <v>1541</v>
      </c>
      <c r="O267" s="53" t="s">
        <v>1542</v>
      </c>
      <c r="P267" s="52"/>
      <c r="Q267" s="54"/>
      <c r="R267" s="63"/>
      <c r="S267" s="61"/>
      <c r="T267" s="55" t="s">
        <v>1296</v>
      </c>
      <c r="U267" s="55" t="s">
        <v>1331</v>
      </c>
      <c r="V267" s="55" t="s">
        <v>244</v>
      </c>
      <c r="W267" s="77" t="s">
        <v>1543</v>
      </c>
      <c r="X267" s="55" t="s">
        <v>1295</v>
      </c>
      <c r="Y267" s="53" t="s">
        <v>323</v>
      </c>
      <c r="Z267" s="53" t="s">
        <v>323</v>
      </c>
      <c r="AA267" s="60" t="s">
        <v>1544</v>
      </c>
    </row>
    <row r="268" spans="2:27" ht="80.25" hidden="1" customHeight="1">
      <c r="B268" s="51" t="s">
        <v>33</v>
      </c>
      <c r="C268" s="51" t="s">
        <v>1291</v>
      </c>
      <c r="D268" s="51" t="s">
        <v>38</v>
      </c>
      <c r="E268" s="52">
        <v>1</v>
      </c>
      <c r="F268" s="51" t="s">
        <v>293</v>
      </c>
      <c r="G268" s="51" t="s">
        <v>294</v>
      </c>
      <c r="H268" s="54" t="s">
        <v>295</v>
      </c>
      <c r="I268" s="52">
        <v>40</v>
      </c>
      <c r="J268" s="51" t="s">
        <v>123</v>
      </c>
      <c r="K268" s="52">
        <v>4</v>
      </c>
      <c r="L268" s="52"/>
      <c r="M268" s="52"/>
      <c r="N268" s="53" t="s">
        <v>296</v>
      </c>
      <c r="O268" s="53" t="s">
        <v>297</v>
      </c>
      <c r="P268" s="52"/>
      <c r="Q268" s="53" t="s">
        <v>1545</v>
      </c>
      <c r="R268" s="55" t="s">
        <v>299</v>
      </c>
      <c r="S268" s="54" t="s">
        <v>300</v>
      </c>
      <c r="T268" s="55" t="s">
        <v>1292</v>
      </c>
      <c r="U268" s="77" t="s">
        <v>1546</v>
      </c>
      <c r="V268" s="55" t="s">
        <v>184</v>
      </c>
      <c r="W268" s="77" t="s">
        <v>1547</v>
      </c>
      <c r="X268" s="55" t="s">
        <v>1295</v>
      </c>
      <c r="Y268" s="53" t="s">
        <v>1548</v>
      </c>
      <c r="Z268" s="53" t="s">
        <v>1549</v>
      </c>
      <c r="AA268" s="60" t="s">
        <v>323</v>
      </c>
    </row>
    <row r="269" spans="2:27" ht="80.25" hidden="1" customHeight="1">
      <c r="B269" s="51" t="s">
        <v>33</v>
      </c>
      <c r="C269" s="51" t="s">
        <v>1291</v>
      </c>
      <c r="D269" s="51" t="s">
        <v>38</v>
      </c>
      <c r="E269" s="52">
        <v>1</v>
      </c>
      <c r="F269" s="51" t="s">
        <v>304</v>
      </c>
      <c r="G269" s="51" t="s">
        <v>305</v>
      </c>
      <c r="H269" s="54" t="s">
        <v>295</v>
      </c>
      <c r="I269" s="52">
        <v>41</v>
      </c>
      <c r="J269" s="51" t="s">
        <v>123</v>
      </c>
      <c r="K269" s="52">
        <v>4</v>
      </c>
      <c r="L269" s="52"/>
      <c r="M269" s="52"/>
      <c r="N269" s="53" t="s">
        <v>306</v>
      </c>
      <c r="O269" s="53" t="s">
        <v>307</v>
      </c>
      <c r="P269" s="52"/>
      <c r="Q269" s="53" t="s">
        <v>308</v>
      </c>
      <c r="R269" s="55" t="s">
        <v>203</v>
      </c>
      <c r="S269" s="51" t="s">
        <v>309</v>
      </c>
      <c r="T269" s="55" t="s">
        <v>1550</v>
      </c>
      <c r="U269" s="55" t="s">
        <v>1551</v>
      </c>
      <c r="V269" s="55" t="s">
        <v>1552</v>
      </c>
      <c r="W269" s="77" t="s">
        <v>1553</v>
      </c>
      <c r="X269" s="55" t="s">
        <v>1554</v>
      </c>
      <c r="Y269" s="65" t="s">
        <v>1555</v>
      </c>
      <c r="Z269" s="65" t="s">
        <v>1556</v>
      </c>
      <c r="AA269" s="60" t="s">
        <v>1557</v>
      </c>
    </row>
    <row r="270" spans="2:27" ht="80.25" hidden="1" customHeight="1">
      <c r="B270" s="51" t="s">
        <v>33</v>
      </c>
      <c r="C270" s="51" t="s">
        <v>1291</v>
      </c>
      <c r="D270" s="51" t="s">
        <v>38</v>
      </c>
      <c r="E270" s="52">
        <v>1</v>
      </c>
      <c r="F270" s="51" t="s">
        <v>317</v>
      </c>
      <c r="G270" s="51" t="s">
        <v>318</v>
      </c>
      <c r="H270" s="51" t="s">
        <v>319</v>
      </c>
      <c r="I270" s="52">
        <v>42</v>
      </c>
      <c r="J270" s="51" t="s">
        <v>123</v>
      </c>
      <c r="K270" s="52">
        <v>2</v>
      </c>
      <c r="L270" s="52"/>
      <c r="M270" s="52"/>
      <c r="N270" s="53" t="s">
        <v>320</v>
      </c>
      <c r="O270" s="53" t="s">
        <v>321</v>
      </c>
      <c r="P270" s="52"/>
      <c r="Q270" s="53" t="s">
        <v>1558</v>
      </c>
      <c r="R270" s="55"/>
      <c r="S270" s="51"/>
      <c r="T270" s="55" t="s">
        <v>1296</v>
      </c>
      <c r="U270" s="55" t="s">
        <v>1331</v>
      </c>
      <c r="V270" s="55" t="s">
        <v>939</v>
      </c>
      <c r="W270" s="77" t="s">
        <v>1559</v>
      </c>
      <c r="X270" s="55" t="s">
        <v>1342</v>
      </c>
      <c r="Y270" s="55" t="s">
        <v>323</v>
      </c>
      <c r="Z270" s="55" t="s">
        <v>323</v>
      </c>
      <c r="AA270" s="60" t="s">
        <v>1560</v>
      </c>
    </row>
    <row r="271" spans="2:27" ht="80.25" hidden="1" customHeight="1">
      <c r="B271" s="51" t="s">
        <v>33</v>
      </c>
      <c r="C271" s="51" t="s">
        <v>1291</v>
      </c>
      <c r="D271" s="51" t="s">
        <v>38</v>
      </c>
      <c r="E271" s="52">
        <v>1</v>
      </c>
      <c r="F271" s="51" t="s">
        <v>326</v>
      </c>
      <c r="G271" s="51" t="s">
        <v>327</v>
      </c>
      <c r="H271" s="51" t="s">
        <v>328</v>
      </c>
      <c r="I271" s="52">
        <v>43</v>
      </c>
      <c r="J271" s="51" t="s">
        <v>123</v>
      </c>
      <c r="K271" s="52">
        <v>10</v>
      </c>
      <c r="L271" s="52"/>
      <c r="M271" s="52"/>
      <c r="N271" s="53" t="s">
        <v>329</v>
      </c>
      <c r="O271" s="53" t="s">
        <v>361</v>
      </c>
      <c r="P271" s="52" t="s">
        <v>126</v>
      </c>
      <c r="Q271" s="54"/>
      <c r="R271" s="55" t="s">
        <v>275</v>
      </c>
      <c r="S271" s="51" t="s">
        <v>803</v>
      </c>
      <c r="T271" s="55" t="s">
        <v>1296</v>
      </c>
      <c r="U271" s="55" t="s">
        <v>1331</v>
      </c>
      <c r="V271" s="55" t="s">
        <v>1004</v>
      </c>
      <c r="W271" s="77" t="s">
        <v>1561</v>
      </c>
      <c r="X271" s="55" t="s">
        <v>323</v>
      </c>
      <c r="Y271" s="55" t="s">
        <v>323</v>
      </c>
      <c r="Z271" s="55" t="s">
        <v>323</v>
      </c>
      <c r="AA271" s="60" t="s">
        <v>323</v>
      </c>
    </row>
    <row r="272" spans="2:27" ht="80.25" hidden="1" customHeight="1">
      <c r="B272" s="51" t="s">
        <v>33</v>
      </c>
      <c r="C272" s="51" t="s">
        <v>1291</v>
      </c>
      <c r="D272" s="51" t="s">
        <v>38</v>
      </c>
      <c r="E272" s="52">
        <v>1</v>
      </c>
      <c r="F272" s="51" t="s">
        <v>333</v>
      </c>
      <c r="G272" s="51" t="s">
        <v>334</v>
      </c>
      <c r="H272" s="51" t="s">
        <v>335</v>
      </c>
      <c r="I272" s="52">
        <v>44</v>
      </c>
      <c r="J272" s="51" t="s">
        <v>336</v>
      </c>
      <c r="K272" s="52">
        <v>23</v>
      </c>
      <c r="L272" s="52"/>
      <c r="M272" s="52"/>
      <c r="N272" s="53" t="s">
        <v>337</v>
      </c>
      <c r="O272" s="53" t="s">
        <v>338</v>
      </c>
      <c r="P272" s="52"/>
      <c r="Q272" s="54"/>
      <c r="R272" s="55"/>
      <c r="S272" s="51"/>
      <c r="T272" s="55" t="s">
        <v>1296</v>
      </c>
      <c r="U272" s="55" t="s">
        <v>1331</v>
      </c>
      <c r="V272" s="55" t="s">
        <v>244</v>
      </c>
      <c r="W272" s="77" t="s">
        <v>1562</v>
      </c>
      <c r="X272" s="55" t="s">
        <v>323</v>
      </c>
      <c r="Y272" s="55" t="s">
        <v>323</v>
      </c>
      <c r="Z272" s="55" t="s">
        <v>323</v>
      </c>
      <c r="AA272" s="60" t="s">
        <v>323</v>
      </c>
    </row>
    <row r="273" spans="2:27" ht="80.25" hidden="1" customHeight="1">
      <c r="B273" s="51" t="s">
        <v>33</v>
      </c>
      <c r="C273" s="51" t="s">
        <v>1563</v>
      </c>
      <c r="D273" s="51" t="s">
        <v>1564</v>
      </c>
      <c r="E273" s="52">
        <v>1</v>
      </c>
      <c r="F273" s="51" t="s">
        <v>120</v>
      </c>
      <c r="G273" s="51" t="s">
        <v>121</v>
      </c>
      <c r="H273" s="51" t="s">
        <v>122</v>
      </c>
      <c r="I273" s="52">
        <v>1</v>
      </c>
      <c r="J273" s="51" t="s">
        <v>123</v>
      </c>
      <c r="K273" s="52">
        <v>4</v>
      </c>
      <c r="L273" s="52"/>
      <c r="M273" s="341"/>
      <c r="N273" s="319" t="s">
        <v>124</v>
      </c>
      <c r="O273" s="319" t="s">
        <v>125</v>
      </c>
      <c r="P273" s="324" t="s">
        <v>126</v>
      </c>
      <c r="Q273" s="51"/>
      <c r="R273" s="55"/>
      <c r="S273" s="51"/>
      <c r="T273" s="55" t="s">
        <v>1292</v>
      </c>
      <c r="U273" s="55" t="s">
        <v>1293</v>
      </c>
      <c r="V273" s="55" t="s">
        <v>184</v>
      </c>
      <c r="W273" s="77" t="s">
        <v>1565</v>
      </c>
      <c r="X273" s="55" t="s">
        <v>1295</v>
      </c>
      <c r="Y273" s="53" t="s">
        <v>323</v>
      </c>
      <c r="Z273" s="53" t="s">
        <v>323</v>
      </c>
      <c r="AA273" s="60" t="s">
        <v>814</v>
      </c>
    </row>
    <row r="274" spans="2:27" ht="80.25" hidden="1" customHeight="1">
      <c r="B274" s="51" t="s">
        <v>33</v>
      </c>
      <c r="C274" s="51" t="s">
        <v>1563</v>
      </c>
      <c r="D274" s="51" t="s">
        <v>1564</v>
      </c>
      <c r="E274" s="52">
        <v>1</v>
      </c>
      <c r="F274" s="51" t="s">
        <v>136</v>
      </c>
      <c r="G274" s="51" t="s">
        <v>137</v>
      </c>
      <c r="H274" s="51" t="s">
        <v>122</v>
      </c>
      <c r="I274" s="52">
        <v>2</v>
      </c>
      <c r="J274" s="51" t="s">
        <v>123</v>
      </c>
      <c r="K274" s="52">
        <v>30</v>
      </c>
      <c r="L274" s="52"/>
      <c r="M274" s="341"/>
      <c r="N274" s="81" t="s">
        <v>138</v>
      </c>
      <c r="O274" s="81" t="s">
        <v>139</v>
      </c>
      <c r="P274" s="324" t="s">
        <v>126</v>
      </c>
      <c r="Q274" s="51"/>
      <c r="R274" s="55"/>
      <c r="S274" s="51"/>
      <c r="T274" s="55" t="s">
        <v>1296</v>
      </c>
      <c r="U274" s="55" t="s">
        <v>1297</v>
      </c>
      <c r="V274" s="55" t="s">
        <v>1298</v>
      </c>
      <c r="W274" s="77" t="s">
        <v>1566</v>
      </c>
      <c r="X274" s="55" t="s">
        <v>1295</v>
      </c>
      <c r="Y274" s="53" t="s">
        <v>1300</v>
      </c>
      <c r="Z274" s="53" t="s">
        <v>1301</v>
      </c>
      <c r="AA274" s="60" t="s">
        <v>323</v>
      </c>
    </row>
    <row r="275" spans="2:27" ht="80.25" hidden="1" customHeight="1">
      <c r="B275" s="51" t="s">
        <v>33</v>
      </c>
      <c r="C275" s="51" t="s">
        <v>1563</v>
      </c>
      <c r="D275" s="51" t="s">
        <v>1564</v>
      </c>
      <c r="E275" s="52">
        <v>1</v>
      </c>
      <c r="F275" s="51" t="s">
        <v>352</v>
      </c>
      <c r="G275" s="51" t="s">
        <v>353</v>
      </c>
      <c r="H275" s="125" t="s">
        <v>240</v>
      </c>
      <c r="I275" s="52">
        <v>3</v>
      </c>
      <c r="J275" s="51" t="s">
        <v>123</v>
      </c>
      <c r="K275" s="52">
        <v>1</v>
      </c>
      <c r="L275" s="52"/>
      <c r="M275" s="341"/>
      <c r="N275" s="81" t="s">
        <v>354</v>
      </c>
      <c r="O275" s="81" t="s">
        <v>355</v>
      </c>
      <c r="P275" s="324" t="s">
        <v>1048</v>
      </c>
      <c r="Q275" s="51"/>
      <c r="R275" s="55"/>
      <c r="S275" s="51"/>
      <c r="T275" s="55" t="s">
        <v>1296</v>
      </c>
      <c r="U275" s="55" t="s">
        <v>1297</v>
      </c>
      <c r="V275" s="53" t="s">
        <v>1567</v>
      </c>
      <c r="W275" s="77" t="s">
        <v>1568</v>
      </c>
      <c r="X275" s="55" t="s">
        <v>1295</v>
      </c>
      <c r="Y275" s="53" t="s">
        <v>1569</v>
      </c>
      <c r="Z275" s="53" t="s">
        <v>1570</v>
      </c>
      <c r="AA275" s="60" t="s">
        <v>323</v>
      </c>
    </row>
    <row r="276" spans="2:27" ht="80.25" hidden="1" customHeight="1">
      <c r="B276" s="51" t="s">
        <v>33</v>
      </c>
      <c r="C276" s="51" t="s">
        <v>1563</v>
      </c>
      <c r="D276" s="51" t="s">
        <v>1564</v>
      </c>
      <c r="E276" s="52">
        <v>1</v>
      </c>
      <c r="F276" s="51" t="s">
        <v>352</v>
      </c>
      <c r="G276" s="51" t="s">
        <v>1571</v>
      </c>
      <c r="H276" s="125" t="s">
        <v>240</v>
      </c>
      <c r="I276" s="52">
        <v>3</v>
      </c>
      <c r="J276" s="51" t="s">
        <v>123</v>
      </c>
      <c r="K276" s="52">
        <v>1</v>
      </c>
      <c r="L276" s="52"/>
      <c r="M276" s="341"/>
      <c r="N276" s="81" t="s">
        <v>1572</v>
      </c>
      <c r="O276" s="81" t="s">
        <v>1573</v>
      </c>
      <c r="P276" s="324"/>
      <c r="Q276" s="51"/>
      <c r="R276" s="55"/>
      <c r="S276" s="51"/>
      <c r="T276" s="55" t="s">
        <v>1296</v>
      </c>
      <c r="U276" s="55" t="s">
        <v>1297</v>
      </c>
      <c r="V276" s="55" t="s">
        <v>244</v>
      </c>
      <c r="W276" s="77" t="s">
        <v>1574</v>
      </c>
      <c r="X276" s="55" t="s">
        <v>1295</v>
      </c>
      <c r="Y276" s="55" t="s">
        <v>323</v>
      </c>
      <c r="Z276" s="55" t="s">
        <v>323</v>
      </c>
      <c r="AA276" s="69" t="s">
        <v>1575</v>
      </c>
    </row>
    <row r="277" spans="2:27" ht="80.25" hidden="1" customHeight="1">
      <c r="B277" s="51" t="s">
        <v>33</v>
      </c>
      <c r="C277" s="51" t="s">
        <v>1563</v>
      </c>
      <c r="D277" s="51" t="s">
        <v>1564</v>
      </c>
      <c r="E277" s="52">
        <v>1</v>
      </c>
      <c r="F277" s="51" t="s">
        <v>317</v>
      </c>
      <c r="G277" s="51" t="s">
        <v>318</v>
      </c>
      <c r="H277" s="51" t="s">
        <v>319</v>
      </c>
      <c r="I277" s="52">
        <v>4</v>
      </c>
      <c r="J277" s="51" t="s">
        <v>123</v>
      </c>
      <c r="K277" s="52">
        <v>2</v>
      </c>
      <c r="L277" s="52"/>
      <c r="M277" s="341"/>
      <c r="N277" s="53" t="s">
        <v>320</v>
      </c>
      <c r="O277" s="53" t="s">
        <v>321</v>
      </c>
      <c r="P277" s="324" t="s">
        <v>126</v>
      </c>
      <c r="Q277" s="51"/>
      <c r="R277" s="55"/>
      <c r="S277" s="51"/>
      <c r="T277" s="55" t="s">
        <v>1296</v>
      </c>
      <c r="U277" s="55" t="s">
        <v>1297</v>
      </c>
      <c r="V277" s="55" t="s">
        <v>244</v>
      </c>
      <c r="W277" s="77" t="s">
        <v>1576</v>
      </c>
      <c r="X277" s="55" t="s">
        <v>1295</v>
      </c>
      <c r="Y277" s="55" t="s">
        <v>323</v>
      </c>
      <c r="Z277" s="55" t="s">
        <v>323</v>
      </c>
      <c r="AA277" s="69" t="s">
        <v>1577</v>
      </c>
    </row>
    <row r="278" spans="2:27" ht="80.25" hidden="1" customHeight="1">
      <c r="B278" s="51" t="s">
        <v>33</v>
      </c>
      <c r="C278" s="51" t="s">
        <v>1563</v>
      </c>
      <c r="D278" s="51" t="s">
        <v>1564</v>
      </c>
      <c r="E278" s="52">
        <v>1</v>
      </c>
      <c r="F278" s="51" t="s">
        <v>326</v>
      </c>
      <c r="G278" s="51" t="s">
        <v>327</v>
      </c>
      <c r="H278" s="51" t="s">
        <v>328</v>
      </c>
      <c r="I278" s="52">
        <v>5</v>
      </c>
      <c r="J278" s="51" t="s">
        <v>123</v>
      </c>
      <c r="K278" s="52">
        <v>10</v>
      </c>
      <c r="L278" s="52"/>
      <c r="M278" s="52"/>
      <c r="N278" s="53" t="s">
        <v>329</v>
      </c>
      <c r="O278" s="53" t="s">
        <v>361</v>
      </c>
      <c r="P278" s="324" t="s">
        <v>1048</v>
      </c>
      <c r="Q278" s="51"/>
      <c r="R278" s="55"/>
      <c r="S278" s="51"/>
      <c r="T278" s="55" t="s">
        <v>1296</v>
      </c>
      <c r="U278" s="55" t="s">
        <v>1297</v>
      </c>
      <c r="V278" s="55" t="s">
        <v>244</v>
      </c>
      <c r="W278" s="77" t="s">
        <v>1578</v>
      </c>
      <c r="X278" s="55" t="s">
        <v>1295</v>
      </c>
      <c r="Y278" s="55" t="s">
        <v>323</v>
      </c>
      <c r="Z278" s="55" t="s">
        <v>323</v>
      </c>
      <c r="AA278" s="60" t="s">
        <v>323</v>
      </c>
    </row>
    <row r="279" spans="2:27" ht="80.25" hidden="1" customHeight="1">
      <c r="B279" s="51" t="s">
        <v>33</v>
      </c>
      <c r="C279" s="51" t="s">
        <v>1563</v>
      </c>
      <c r="D279" s="51" t="s">
        <v>1564</v>
      </c>
      <c r="E279" s="52">
        <v>1</v>
      </c>
      <c r="F279" s="51" t="s">
        <v>333</v>
      </c>
      <c r="G279" s="51" t="s">
        <v>334</v>
      </c>
      <c r="H279" s="51" t="s">
        <v>335</v>
      </c>
      <c r="I279" s="52">
        <v>6</v>
      </c>
      <c r="J279" s="51" t="s">
        <v>336</v>
      </c>
      <c r="K279" s="52">
        <v>23</v>
      </c>
      <c r="L279" s="52"/>
      <c r="M279" s="52"/>
      <c r="N279" s="53" t="s">
        <v>337</v>
      </c>
      <c r="O279" s="53" t="s">
        <v>338</v>
      </c>
      <c r="P279" s="324" t="s">
        <v>1048</v>
      </c>
      <c r="Q279" s="51"/>
      <c r="R279" s="55"/>
      <c r="S279" s="51"/>
      <c r="T279" s="55" t="s">
        <v>1296</v>
      </c>
      <c r="U279" s="55" t="s">
        <v>1297</v>
      </c>
      <c r="V279" s="55" t="s">
        <v>244</v>
      </c>
      <c r="W279" s="77" t="s">
        <v>1579</v>
      </c>
      <c r="X279" s="55" t="s">
        <v>1295</v>
      </c>
      <c r="Y279" s="55" t="s">
        <v>323</v>
      </c>
      <c r="Z279" s="55" t="s">
        <v>323</v>
      </c>
      <c r="AA279" s="60" t="s">
        <v>323</v>
      </c>
    </row>
    <row r="280" spans="2:27" ht="80.25" hidden="1" customHeight="1">
      <c r="B280" s="51" t="s">
        <v>40</v>
      </c>
      <c r="C280" s="51" t="s">
        <v>1580</v>
      </c>
      <c r="D280" s="51" t="s">
        <v>41</v>
      </c>
      <c r="E280" s="52">
        <v>1</v>
      </c>
      <c r="F280" s="51" t="s">
        <v>120</v>
      </c>
      <c r="G280" s="51" t="s">
        <v>121</v>
      </c>
      <c r="H280" s="51" t="s">
        <v>122</v>
      </c>
      <c r="I280" s="52">
        <v>1</v>
      </c>
      <c r="J280" s="51" t="s">
        <v>123</v>
      </c>
      <c r="K280" s="52">
        <v>4</v>
      </c>
      <c r="L280" s="52"/>
      <c r="M280" s="52"/>
      <c r="N280" s="321" t="s">
        <v>124</v>
      </c>
      <c r="O280" s="53" t="s">
        <v>125</v>
      </c>
      <c r="P280" s="52" t="s">
        <v>126</v>
      </c>
      <c r="Q280" s="54"/>
      <c r="R280" s="55" t="s">
        <v>1581</v>
      </c>
      <c r="S280" s="55" t="s">
        <v>1582</v>
      </c>
      <c r="T280" s="55" t="s">
        <v>1583</v>
      </c>
      <c r="U280" s="55" t="s">
        <v>1584</v>
      </c>
      <c r="V280" s="55" t="s">
        <v>555</v>
      </c>
      <c r="W280" s="77" t="s">
        <v>1585</v>
      </c>
      <c r="X280" s="55" t="s">
        <v>425</v>
      </c>
      <c r="Y280" s="53" t="s">
        <v>372</v>
      </c>
      <c r="Z280" s="53" t="s">
        <v>372</v>
      </c>
      <c r="AA280" s="60" t="s">
        <v>373</v>
      </c>
    </row>
    <row r="281" spans="2:27" ht="80.25" hidden="1" customHeight="1">
      <c r="B281" s="51" t="s">
        <v>40</v>
      </c>
      <c r="C281" s="51" t="s">
        <v>1580</v>
      </c>
      <c r="D281" s="51" t="s">
        <v>41</v>
      </c>
      <c r="E281" s="52">
        <v>1</v>
      </c>
      <c r="F281" s="51" t="s">
        <v>136</v>
      </c>
      <c r="G281" s="51" t="s">
        <v>137</v>
      </c>
      <c r="H281" s="51" t="s">
        <v>122</v>
      </c>
      <c r="I281" s="52">
        <v>2</v>
      </c>
      <c r="J281" s="51" t="s">
        <v>123</v>
      </c>
      <c r="K281" s="52">
        <v>30</v>
      </c>
      <c r="L281" s="52"/>
      <c r="M281" s="52"/>
      <c r="N281" s="53" t="s">
        <v>138</v>
      </c>
      <c r="O281" s="53" t="s">
        <v>139</v>
      </c>
      <c r="P281" s="52" t="s">
        <v>126</v>
      </c>
      <c r="Q281" s="51"/>
      <c r="R281" s="55" t="s">
        <v>1581</v>
      </c>
      <c r="S281" s="55" t="s">
        <v>1582</v>
      </c>
      <c r="T281" s="55" t="s">
        <v>1586</v>
      </c>
      <c r="U281" s="55" t="s">
        <v>1587</v>
      </c>
      <c r="V281" s="55" t="s">
        <v>1588</v>
      </c>
      <c r="W281" s="77" t="s">
        <v>1589</v>
      </c>
      <c r="X281" s="55" t="s">
        <v>425</v>
      </c>
      <c r="Y281" s="53" t="s">
        <v>1590</v>
      </c>
      <c r="Z281" s="53" t="s">
        <v>1591</v>
      </c>
      <c r="AA281" s="60" t="s">
        <v>372</v>
      </c>
    </row>
    <row r="282" spans="2:27" ht="80.25" hidden="1" customHeight="1">
      <c r="B282" s="51" t="s">
        <v>40</v>
      </c>
      <c r="C282" s="51" t="s">
        <v>1580</v>
      </c>
      <c r="D282" s="51" t="s">
        <v>41</v>
      </c>
      <c r="E282" s="52">
        <v>1</v>
      </c>
      <c r="F282" s="51" t="s">
        <v>148</v>
      </c>
      <c r="G282" s="51" t="s">
        <v>149</v>
      </c>
      <c r="H282" s="54" t="s">
        <v>150</v>
      </c>
      <c r="I282" s="52">
        <v>3</v>
      </c>
      <c r="J282" s="51" t="s">
        <v>123</v>
      </c>
      <c r="K282" s="52">
        <v>4</v>
      </c>
      <c r="L282" s="52"/>
      <c r="M282" s="52"/>
      <c r="N282" s="53" t="s">
        <v>151</v>
      </c>
      <c r="O282" s="53" t="s">
        <v>152</v>
      </c>
      <c r="P282" s="52"/>
      <c r="Q282" s="53" t="s">
        <v>586</v>
      </c>
      <c r="R282" s="55"/>
      <c r="S282" s="51"/>
      <c r="T282" s="55" t="s">
        <v>1583</v>
      </c>
      <c r="U282" s="55" t="s">
        <v>1584</v>
      </c>
      <c r="V282" s="55" t="s">
        <v>555</v>
      </c>
      <c r="W282" s="77" t="s">
        <v>1592</v>
      </c>
      <c r="X282" s="55" t="s">
        <v>1593</v>
      </c>
      <c r="Y282" s="53" t="s">
        <v>1590</v>
      </c>
      <c r="Z282" s="55" t="s">
        <v>1594</v>
      </c>
      <c r="AA282" s="60" t="s">
        <v>372</v>
      </c>
    </row>
    <row r="283" spans="2:27" ht="80.25" hidden="1" customHeight="1">
      <c r="B283" s="51" t="s">
        <v>40</v>
      </c>
      <c r="C283" s="51" t="s">
        <v>1580</v>
      </c>
      <c r="D283" s="51" t="s">
        <v>41</v>
      </c>
      <c r="E283" s="52">
        <v>1</v>
      </c>
      <c r="F283" s="51" t="s">
        <v>155</v>
      </c>
      <c r="G283" s="51" t="s">
        <v>156</v>
      </c>
      <c r="H283" s="54" t="s">
        <v>150</v>
      </c>
      <c r="I283" s="52">
        <v>4</v>
      </c>
      <c r="J283" s="51" t="s">
        <v>123</v>
      </c>
      <c r="K283" s="52">
        <v>4</v>
      </c>
      <c r="L283" s="52"/>
      <c r="M283" s="52"/>
      <c r="N283" s="53" t="s">
        <v>157</v>
      </c>
      <c r="O283" s="53" t="s">
        <v>158</v>
      </c>
      <c r="P283" s="52"/>
      <c r="Q283" s="55" t="s">
        <v>1595</v>
      </c>
      <c r="R283" s="55" t="s">
        <v>160</v>
      </c>
      <c r="S283" s="55" t="s">
        <v>161</v>
      </c>
      <c r="T283" s="55" t="s">
        <v>1586</v>
      </c>
      <c r="U283" s="55" t="s">
        <v>1587</v>
      </c>
      <c r="V283" s="55" t="s">
        <v>1596</v>
      </c>
      <c r="W283" s="77" t="s">
        <v>1597</v>
      </c>
      <c r="X283" s="55" t="s">
        <v>425</v>
      </c>
      <c r="Y283" s="53" t="s">
        <v>1590</v>
      </c>
      <c r="Z283" s="53" t="s">
        <v>590</v>
      </c>
      <c r="AA283" s="60" t="s">
        <v>372</v>
      </c>
    </row>
    <row r="284" spans="2:27" ht="80.25" hidden="1" customHeight="1">
      <c r="B284" s="51" t="s">
        <v>40</v>
      </c>
      <c r="C284" s="51" t="s">
        <v>1580</v>
      </c>
      <c r="D284" s="51" t="s">
        <v>41</v>
      </c>
      <c r="E284" s="52">
        <v>1</v>
      </c>
      <c r="F284" s="51" t="s">
        <v>167</v>
      </c>
      <c r="G284" s="51" t="s">
        <v>168</v>
      </c>
      <c r="H284" s="54" t="s">
        <v>150</v>
      </c>
      <c r="I284" s="52">
        <v>5</v>
      </c>
      <c r="J284" s="51" t="s">
        <v>123</v>
      </c>
      <c r="K284" s="52">
        <v>4</v>
      </c>
      <c r="L284" s="52"/>
      <c r="M284" s="52"/>
      <c r="N284" s="53" t="s">
        <v>169</v>
      </c>
      <c r="O284" s="53" t="s">
        <v>170</v>
      </c>
      <c r="P284" s="52"/>
      <c r="Q284" s="55" t="s">
        <v>1598</v>
      </c>
      <c r="R284" s="55" t="s">
        <v>160</v>
      </c>
      <c r="S284" s="55" t="s">
        <v>172</v>
      </c>
      <c r="T284" s="55" t="s">
        <v>1586</v>
      </c>
      <c r="U284" s="55" t="s">
        <v>1587</v>
      </c>
      <c r="V284" s="55" t="s">
        <v>1599</v>
      </c>
      <c r="W284" s="77" t="s">
        <v>1600</v>
      </c>
      <c r="X284" s="55" t="s">
        <v>425</v>
      </c>
      <c r="Y284" s="53" t="s">
        <v>1590</v>
      </c>
      <c r="Z284" s="53" t="s">
        <v>593</v>
      </c>
      <c r="AA284" s="60" t="s">
        <v>372</v>
      </c>
    </row>
    <row r="285" spans="2:27" ht="80.25" hidden="1" customHeight="1">
      <c r="B285" s="51" t="s">
        <v>40</v>
      </c>
      <c r="C285" s="51" t="s">
        <v>1580</v>
      </c>
      <c r="D285" s="51" t="s">
        <v>41</v>
      </c>
      <c r="E285" s="52">
        <v>1</v>
      </c>
      <c r="F285" s="51" t="s">
        <v>198</v>
      </c>
      <c r="G285" s="51" t="s">
        <v>199</v>
      </c>
      <c r="H285" s="54" t="s">
        <v>200</v>
      </c>
      <c r="I285" s="52">
        <v>6</v>
      </c>
      <c r="J285" s="51" t="s">
        <v>123</v>
      </c>
      <c r="K285" s="52">
        <v>10</v>
      </c>
      <c r="L285" s="52"/>
      <c r="M285" s="52"/>
      <c r="N285" s="53" t="s">
        <v>201</v>
      </c>
      <c r="O285" s="53" t="s">
        <v>202</v>
      </c>
      <c r="P285" s="52"/>
      <c r="Q285" s="51"/>
      <c r="R285" s="55" t="s">
        <v>203</v>
      </c>
      <c r="S285" s="51" t="s">
        <v>198</v>
      </c>
      <c r="T285" s="55" t="s">
        <v>1586</v>
      </c>
      <c r="U285" s="55" t="s">
        <v>1587</v>
      </c>
      <c r="V285" s="55" t="s">
        <v>1601</v>
      </c>
      <c r="W285" s="77" t="s">
        <v>1602</v>
      </c>
      <c r="X285" s="55" t="s">
        <v>425</v>
      </c>
      <c r="Y285" s="53" t="s">
        <v>1590</v>
      </c>
      <c r="Z285" s="53" t="s">
        <v>630</v>
      </c>
      <c r="AA285" s="60" t="s">
        <v>372</v>
      </c>
    </row>
    <row r="286" spans="2:27" ht="80.25" hidden="1" customHeight="1">
      <c r="B286" s="51" t="s">
        <v>40</v>
      </c>
      <c r="C286" s="51" t="s">
        <v>1580</v>
      </c>
      <c r="D286" s="51" t="s">
        <v>41</v>
      </c>
      <c r="E286" s="52">
        <v>1</v>
      </c>
      <c r="F286" s="51" t="s">
        <v>210</v>
      </c>
      <c r="G286" s="51" t="s">
        <v>211</v>
      </c>
      <c r="H286" s="54" t="s">
        <v>200</v>
      </c>
      <c r="I286" s="52">
        <v>7</v>
      </c>
      <c r="J286" s="51" t="s">
        <v>123</v>
      </c>
      <c r="K286" s="52">
        <v>10</v>
      </c>
      <c r="L286" s="52"/>
      <c r="M286" s="52"/>
      <c r="N286" s="53" t="s">
        <v>212</v>
      </c>
      <c r="O286" s="53" t="s">
        <v>213</v>
      </c>
      <c r="P286" s="52"/>
      <c r="Q286" s="54"/>
      <c r="R286" s="55"/>
      <c r="S286" s="51"/>
      <c r="T286" s="55" t="s">
        <v>1586</v>
      </c>
      <c r="U286" s="55" t="s">
        <v>1587</v>
      </c>
      <c r="V286" s="55" t="s">
        <v>1603</v>
      </c>
      <c r="W286" s="77" t="s">
        <v>1604</v>
      </c>
      <c r="X286" s="55" t="s">
        <v>1605</v>
      </c>
      <c r="Y286" s="53" t="s">
        <v>1606</v>
      </c>
      <c r="Z286" s="53" t="s">
        <v>1607</v>
      </c>
      <c r="AA286" s="79" t="s">
        <v>647</v>
      </c>
    </row>
    <row r="287" spans="2:27" ht="80.25" hidden="1" customHeight="1">
      <c r="B287" s="51" t="s">
        <v>40</v>
      </c>
      <c r="C287" s="51" t="s">
        <v>1580</v>
      </c>
      <c r="D287" s="51" t="s">
        <v>41</v>
      </c>
      <c r="E287" s="52">
        <v>1</v>
      </c>
      <c r="F287" s="51" t="s">
        <v>222</v>
      </c>
      <c r="G287" s="51" t="s">
        <v>223</v>
      </c>
      <c r="H287" s="54" t="s">
        <v>224</v>
      </c>
      <c r="I287" s="52">
        <v>8</v>
      </c>
      <c r="J287" s="51" t="s">
        <v>123</v>
      </c>
      <c r="K287" s="52">
        <v>4</v>
      </c>
      <c r="L287" s="52"/>
      <c r="M287" s="52"/>
      <c r="N287" s="53" t="s">
        <v>225</v>
      </c>
      <c r="O287" s="53" t="s">
        <v>226</v>
      </c>
      <c r="P287" s="52"/>
      <c r="Q287" s="55" t="s">
        <v>419</v>
      </c>
      <c r="R287" s="55" t="s">
        <v>1608</v>
      </c>
      <c r="S287" s="55" t="s">
        <v>864</v>
      </c>
      <c r="T287" s="55" t="s">
        <v>1586</v>
      </c>
      <c r="U287" s="55" t="s">
        <v>1587</v>
      </c>
      <c r="V287" s="55" t="s">
        <v>1609</v>
      </c>
      <c r="W287" s="314" t="s">
        <v>1610</v>
      </c>
      <c r="X287" s="55" t="s">
        <v>1593</v>
      </c>
      <c r="Y287" s="53" t="s">
        <v>1590</v>
      </c>
      <c r="Z287" s="53" t="s">
        <v>427</v>
      </c>
      <c r="AA287" s="60" t="s">
        <v>372</v>
      </c>
    </row>
    <row r="288" spans="2:27" ht="80.25" hidden="1" customHeight="1">
      <c r="B288" s="51" t="s">
        <v>40</v>
      </c>
      <c r="C288" s="51" t="s">
        <v>1580</v>
      </c>
      <c r="D288" s="51" t="s">
        <v>41</v>
      </c>
      <c r="E288" s="52">
        <v>1</v>
      </c>
      <c r="F288" s="51" t="s">
        <v>238</v>
      </c>
      <c r="G288" s="51" t="s">
        <v>239</v>
      </c>
      <c r="H288" s="54" t="s">
        <v>240</v>
      </c>
      <c r="I288" s="52">
        <v>9</v>
      </c>
      <c r="J288" s="51" t="s">
        <v>123</v>
      </c>
      <c r="K288" s="52">
        <v>4</v>
      </c>
      <c r="L288" s="52"/>
      <c r="M288" s="52"/>
      <c r="N288" s="53" t="s">
        <v>241</v>
      </c>
      <c r="O288" s="53" t="s">
        <v>242</v>
      </c>
      <c r="P288" s="52"/>
      <c r="Q288" s="54"/>
      <c r="R288" s="63"/>
      <c r="S288" s="61"/>
      <c r="T288" s="55" t="s">
        <v>1586</v>
      </c>
      <c r="U288" s="55" t="s">
        <v>1587</v>
      </c>
      <c r="V288" s="53" t="s">
        <v>351</v>
      </c>
      <c r="W288" s="315" t="s">
        <v>1611</v>
      </c>
      <c r="X288" s="55" t="s">
        <v>1605</v>
      </c>
      <c r="Y288" s="53" t="s">
        <v>647</v>
      </c>
      <c r="Z288" s="53" t="s">
        <v>647</v>
      </c>
      <c r="AA288" s="60" t="s">
        <v>665</v>
      </c>
    </row>
    <row r="289" spans="2:27" ht="80.25" hidden="1" customHeight="1">
      <c r="B289" s="51" t="s">
        <v>40</v>
      </c>
      <c r="C289" s="51" t="s">
        <v>1580</v>
      </c>
      <c r="D289" s="51" t="s">
        <v>41</v>
      </c>
      <c r="E289" s="52">
        <v>1</v>
      </c>
      <c r="F289" s="51" t="s">
        <v>1612</v>
      </c>
      <c r="G289" s="51" t="s">
        <v>1613</v>
      </c>
      <c r="H289" s="54" t="s">
        <v>249</v>
      </c>
      <c r="I289" s="52">
        <v>10</v>
      </c>
      <c r="J289" s="51" t="s">
        <v>250</v>
      </c>
      <c r="K289" s="52">
        <v>23</v>
      </c>
      <c r="L289" s="52">
        <v>6</v>
      </c>
      <c r="M289" s="52"/>
      <c r="N289" s="53" t="s">
        <v>1614</v>
      </c>
      <c r="O289" s="53" t="s">
        <v>1615</v>
      </c>
      <c r="P289" s="52"/>
      <c r="Q289" s="54"/>
      <c r="R289" s="53"/>
      <c r="S289" s="54"/>
      <c r="T289" s="55" t="s">
        <v>1586</v>
      </c>
      <c r="U289" s="55" t="s">
        <v>1587</v>
      </c>
      <c r="V289" s="63" t="s">
        <v>1616</v>
      </c>
      <c r="W289" s="77" t="s">
        <v>1617</v>
      </c>
      <c r="X289" s="55" t="s">
        <v>1593</v>
      </c>
      <c r="Y289" s="53" t="s">
        <v>1590</v>
      </c>
      <c r="Z289" s="53" t="s">
        <v>652</v>
      </c>
      <c r="AA289" s="60" t="s">
        <v>372</v>
      </c>
    </row>
    <row r="290" spans="2:27" ht="80.25" hidden="1" customHeight="1">
      <c r="B290" s="51" t="s">
        <v>40</v>
      </c>
      <c r="C290" s="51" t="s">
        <v>1580</v>
      </c>
      <c r="D290" s="51" t="s">
        <v>41</v>
      </c>
      <c r="E290" s="52">
        <v>1</v>
      </c>
      <c r="F290" s="51" t="s">
        <v>1618</v>
      </c>
      <c r="G290" s="51" t="s">
        <v>1619</v>
      </c>
      <c r="H290" s="54" t="s">
        <v>249</v>
      </c>
      <c r="I290" s="52">
        <v>11</v>
      </c>
      <c r="J290" s="51" t="s">
        <v>250</v>
      </c>
      <c r="K290" s="52">
        <v>23</v>
      </c>
      <c r="L290" s="52">
        <v>6</v>
      </c>
      <c r="M290" s="52"/>
      <c r="N290" s="53" t="s">
        <v>1620</v>
      </c>
      <c r="O290" s="53" t="s">
        <v>1621</v>
      </c>
      <c r="P290" s="52"/>
      <c r="Q290" s="51"/>
      <c r="R290" s="53"/>
      <c r="S290" s="54"/>
      <c r="T290" s="55" t="s">
        <v>1586</v>
      </c>
      <c r="U290" s="55" t="s">
        <v>1587</v>
      </c>
      <c r="V290" s="65" t="s">
        <v>1622</v>
      </c>
      <c r="W290" s="77" t="s">
        <v>1623</v>
      </c>
      <c r="X290" s="55" t="s">
        <v>1593</v>
      </c>
      <c r="Y290" s="53" t="s">
        <v>1590</v>
      </c>
      <c r="Z290" s="51" t="s">
        <v>1624</v>
      </c>
      <c r="AA290" s="60" t="s">
        <v>372</v>
      </c>
    </row>
    <row r="291" spans="2:27" ht="80.25" hidden="1" customHeight="1">
      <c r="B291" s="51" t="s">
        <v>40</v>
      </c>
      <c r="C291" s="51" t="s">
        <v>1580</v>
      </c>
      <c r="D291" s="51" t="s">
        <v>41</v>
      </c>
      <c r="E291" s="52">
        <v>1</v>
      </c>
      <c r="F291" s="51" t="s">
        <v>1625</v>
      </c>
      <c r="G291" s="51" t="s">
        <v>1626</v>
      </c>
      <c r="H291" s="54" t="s">
        <v>249</v>
      </c>
      <c r="I291" s="52">
        <v>12</v>
      </c>
      <c r="J291" s="51" t="s">
        <v>250</v>
      </c>
      <c r="K291" s="52">
        <v>23</v>
      </c>
      <c r="L291" s="52">
        <v>6</v>
      </c>
      <c r="M291" s="52"/>
      <c r="N291" s="53" t="s">
        <v>1627</v>
      </c>
      <c r="O291" s="53" t="s">
        <v>1628</v>
      </c>
      <c r="P291" s="52"/>
      <c r="Q291" s="54"/>
      <c r="R291" s="53" t="s">
        <v>275</v>
      </c>
      <c r="S291" s="54" t="s">
        <v>276</v>
      </c>
      <c r="T291" s="55" t="s">
        <v>1586</v>
      </c>
      <c r="U291" s="55" t="s">
        <v>1587</v>
      </c>
      <c r="V291" s="63" t="s">
        <v>1629</v>
      </c>
      <c r="W291" s="77" t="s">
        <v>1630</v>
      </c>
      <c r="X291" s="55" t="s">
        <v>1593</v>
      </c>
      <c r="Y291" s="53" t="s">
        <v>1590</v>
      </c>
      <c r="Z291" s="53" t="s">
        <v>1631</v>
      </c>
      <c r="AA291" s="60" t="s">
        <v>372</v>
      </c>
    </row>
    <row r="292" spans="2:27" ht="80.25" hidden="1" customHeight="1">
      <c r="B292" s="51" t="s">
        <v>40</v>
      </c>
      <c r="C292" s="51" t="s">
        <v>1580</v>
      </c>
      <c r="D292" s="51" t="s">
        <v>41</v>
      </c>
      <c r="E292" s="52">
        <v>1</v>
      </c>
      <c r="F292" s="51" t="s">
        <v>1632</v>
      </c>
      <c r="G292" s="51" t="s">
        <v>1633</v>
      </c>
      <c r="H292" s="54" t="s">
        <v>1634</v>
      </c>
      <c r="I292" s="52">
        <v>13</v>
      </c>
      <c r="J292" s="51" t="s">
        <v>250</v>
      </c>
      <c r="K292" s="52">
        <v>23</v>
      </c>
      <c r="L292" s="52">
        <v>6</v>
      </c>
      <c r="M292" s="52"/>
      <c r="N292" s="53" t="s">
        <v>1635</v>
      </c>
      <c r="O292" s="53" t="s">
        <v>1636</v>
      </c>
      <c r="P292" s="52"/>
      <c r="Q292" s="51"/>
      <c r="R292" s="55" t="s">
        <v>1637</v>
      </c>
      <c r="S292" s="55" t="s">
        <v>1638</v>
      </c>
      <c r="T292" s="55" t="s">
        <v>1586</v>
      </c>
      <c r="U292" s="55" t="s">
        <v>1587</v>
      </c>
      <c r="V292" s="55" t="s">
        <v>1639</v>
      </c>
      <c r="W292" s="77" t="s">
        <v>1640</v>
      </c>
      <c r="X292" s="55" t="s">
        <v>1593</v>
      </c>
      <c r="Y292" s="53" t="s">
        <v>1590</v>
      </c>
      <c r="Z292" s="53" t="s">
        <v>1641</v>
      </c>
      <c r="AA292" s="60" t="s">
        <v>372</v>
      </c>
    </row>
    <row r="293" spans="2:27" ht="80.25" hidden="1" customHeight="1">
      <c r="B293" s="51" t="s">
        <v>40</v>
      </c>
      <c r="C293" s="51" t="s">
        <v>1580</v>
      </c>
      <c r="D293" s="51" t="s">
        <v>41</v>
      </c>
      <c r="E293" s="52">
        <v>1</v>
      </c>
      <c r="F293" s="51" t="s">
        <v>1642</v>
      </c>
      <c r="G293" s="51" t="s">
        <v>1643</v>
      </c>
      <c r="H293" s="54" t="s">
        <v>1634</v>
      </c>
      <c r="I293" s="52">
        <v>14</v>
      </c>
      <c r="J293" s="51" t="s">
        <v>250</v>
      </c>
      <c r="K293" s="52">
        <v>23</v>
      </c>
      <c r="L293" s="52">
        <v>6</v>
      </c>
      <c r="M293" s="52"/>
      <c r="N293" s="53" t="s">
        <v>1644</v>
      </c>
      <c r="O293" s="53" t="s">
        <v>1645</v>
      </c>
      <c r="P293" s="52"/>
      <c r="Q293" s="54"/>
      <c r="R293" s="53"/>
      <c r="S293" s="54"/>
      <c r="T293" s="55" t="s">
        <v>1586</v>
      </c>
      <c r="U293" s="55" t="s">
        <v>1587</v>
      </c>
      <c r="V293" s="55" t="s">
        <v>1646</v>
      </c>
      <c r="W293" s="77" t="s">
        <v>1647</v>
      </c>
      <c r="X293" s="55" t="s">
        <v>1605</v>
      </c>
      <c r="Y293" s="53" t="s">
        <v>1648</v>
      </c>
      <c r="Z293" s="53" t="s">
        <v>1649</v>
      </c>
      <c r="AA293" s="60" t="s">
        <v>1650</v>
      </c>
    </row>
    <row r="294" spans="2:27" ht="80.25" hidden="1" customHeight="1">
      <c r="B294" s="51" t="s">
        <v>40</v>
      </c>
      <c r="C294" s="51" t="s">
        <v>1580</v>
      </c>
      <c r="D294" s="51" t="s">
        <v>41</v>
      </c>
      <c r="E294" s="52">
        <v>1</v>
      </c>
      <c r="F294" s="51" t="s">
        <v>1651</v>
      </c>
      <c r="G294" s="51" t="s">
        <v>1652</v>
      </c>
      <c r="H294" s="54" t="s">
        <v>1634</v>
      </c>
      <c r="I294" s="52">
        <v>15</v>
      </c>
      <c r="J294" s="51" t="s">
        <v>250</v>
      </c>
      <c r="K294" s="52">
        <v>23</v>
      </c>
      <c r="L294" s="52">
        <v>6</v>
      </c>
      <c r="M294" s="52"/>
      <c r="N294" s="53" t="s">
        <v>1653</v>
      </c>
      <c r="O294" s="53" t="s">
        <v>1654</v>
      </c>
      <c r="P294" s="52"/>
      <c r="Q294" s="54"/>
      <c r="R294" s="53" t="s">
        <v>722</v>
      </c>
      <c r="S294" s="54" t="s">
        <v>1655</v>
      </c>
      <c r="T294" s="242" t="s">
        <v>1586</v>
      </c>
      <c r="U294" s="242" t="s">
        <v>1587</v>
      </c>
      <c r="V294" s="63" t="s">
        <v>1646</v>
      </c>
      <c r="W294" s="77" t="s">
        <v>1656</v>
      </c>
      <c r="X294" s="55" t="s">
        <v>1605</v>
      </c>
      <c r="Y294" s="53" t="s">
        <v>1657</v>
      </c>
      <c r="Z294" s="53" t="s">
        <v>1658</v>
      </c>
      <c r="AA294" s="60" t="s">
        <v>1659</v>
      </c>
    </row>
    <row r="295" spans="2:27" ht="80.25" hidden="1" customHeight="1">
      <c r="B295" s="51" t="s">
        <v>40</v>
      </c>
      <c r="C295" s="51" t="s">
        <v>1580</v>
      </c>
      <c r="D295" s="51" t="s">
        <v>41</v>
      </c>
      <c r="E295" s="52">
        <v>1</v>
      </c>
      <c r="F295" s="51" t="s">
        <v>1660</v>
      </c>
      <c r="G295" s="51" t="s">
        <v>1661</v>
      </c>
      <c r="H295" s="54" t="s">
        <v>1634</v>
      </c>
      <c r="I295" s="52">
        <v>16</v>
      </c>
      <c r="J295" s="51" t="s">
        <v>250</v>
      </c>
      <c r="K295" s="52">
        <v>23</v>
      </c>
      <c r="L295" s="52">
        <v>6</v>
      </c>
      <c r="M295" s="52"/>
      <c r="N295" s="53" t="s">
        <v>1662</v>
      </c>
      <c r="O295" s="53" t="s">
        <v>1663</v>
      </c>
      <c r="P295" s="52"/>
      <c r="Q295" s="54"/>
      <c r="R295" s="63"/>
      <c r="S295" s="54"/>
      <c r="T295" s="242" t="s">
        <v>1586</v>
      </c>
      <c r="U295" s="242" t="s">
        <v>1587</v>
      </c>
      <c r="V295" s="63" t="s">
        <v>1646</v>
      </c>
      <c r="W295" s="77" t="s">
        <v>1664</v>
      </c>
      <c r="X295" s="55" t="s">
        <v>1605</v>
      </c>
      <c r="Y295" s="53" t="s">
        <v>1657</v>
      </c>
      <c r="Z295" s="53" t="s">
        <v>1665</v>
      </c>
      <c r="AA295" s="60" t="s">
        <v>1659</v>
      </c>
    </row>
    <row r="296" spans="2:27" ht="80.25" hidden="1" customHeight="1">
      <c r="B296" s="51" t="s">
        <v>40</v>
      </c>
      <c r="C296" s="51" t="s">
        <v>1580</v>
      </c>
      <c r="D296" s="51" t="s">
        <v>41</v>
      </c>
      <c r="E296" s="52">
        <v>1</v>
      </c>
      <c r="F296" s="51" t="s">
        <v>1666</v>
      </c>
      <c r="G296" s="51" t="s">
        <v>1667</v>
      </c>
      <c r="H296" s="51" t="s">
        <v>249</v>
      </c>
      <c r="I296" s="52">
        <v>17</v>
      </c>
      <c r="J296" s="51" t="s">
        <v>250</v>
      </c>
      <c r="K296" s="52">
        <v>23</v>
      </c>
      <c r="L296" s="52">
        <v>6</v>
      </c>
      <c r="M296" s="52"/>
      <c r="N296" s="53" t="s">
        <v>284</v>
      </c>
      <c r="O296" s="53" t="s">
        <v>1668</v>
      </c>
      <c r="P296" s="52"/>
      <c r="Q296" s="54"/>
      <c r="R296" s="63"/>
      <c r="S296" s="61"/>
      <c r="T296" s="242" t="s">
        <v>1669</v>
      </c>
      <c r="U296" s="242" t="s">
        <v>1670</v>
      </c>
      <c r="V296" s="334" t="s">
        <v>1671</v>
      </c>
      <c r="W296" s="313" t="s">
        <v>1672</v>
      </c>
      <c r="X296" s="55" t="s">
        <v>1673</v>
      </c>
      <c r="Y296" s="66" t="s">
        <v>1674</v>
      </c>
      <c r="Z296" s="53" t="s">
        <v>1675</v>
      </c>
      <c r="AA296" s="60" t="s">
        <v>1676</v>
      </c>
    </row>
    <row r="297" spans="2:27" ht="80.25" hidden="1" customHeight="1">
      <c r="B297" s="51" t="s">
        <v>40</v>
      </c>
      <c r="C297" s="51" t="s">
        <v>1580</v>
      </c>
      <c r="D297" s="51" t="s">
        <v>41</v>
      </c>
      <c r="E297" s="52">
        <v>1</v>
      </c>
      <c r="F297" s="51" t="s">
        <v>1677</v>
      </c>
      <c r="G297" s="51" t="s">
        <v>1678</v>
      </c>
      <c r="H297" s="54" t="s">
        <v>746</v>
      </c>
      <c r="I297" s="52">
        <v>18</v>
      </c>
      <c r="J297" s="51" t="s">
        <v>123</v>
      </c>
      <c r="K297" s="52">
        <v>4</v>
      </c>
      <c r="L297" s="52"/>
      <c r="M297" s="52"/>
      <c r="N297" s="53" t="s">
        <v>1679</v>
      </c>
      <c r="O297" s="53" t="s">
        <v>1680</v>
      </c>
      <c r="P297" s="52"/>
      <c r="Q297" s="53" t="s">
        <v>1681</v>
      </c>
      <c r="R297" s="53"/>
      <c r="S297" s="54"/>
      <c r="T297" s="131"/>
      <c r="U297" s="131"/>
      <c r="V297" s="51"/>
      <c r="W297" s="51"/>
      <c r="X297" s="51" t="s">
        <v>1682</v>
      </c>
      <c r="Y297" s="51" t="s">
        <v>1682</v>
      </c>
      <c r="Z297" s="51" t="s">
        <v>1682</v>
      </c>
      <c r="AA297" s="60" t="s">
        <v>1682</v>
      </c>
    </row>
    <row r="298" spans="2:27" ht="80.25" hidden="1" customHeight="1">
      <c r="B298" s="51" t="s">
        <v>40</v>
      </c>
      <c r="C298" s="51" t="s">
        <v>1580</v>
      </c>
      <c r="D298" s="51" t="s">
        <v>41</v>
      </c>
      <c r="E298" s="52">
        <v>1</v>
      </c>
      <c r="F298" s="51" t="s">
        <v>1683</v>
      </c>
      <c r="G298" s="51" t="s">
        <v>1684</v>
      </c>
      <c r="H298" s="54" t="s">
        <v>746</v>
      </c>
      <c r="I298" s="52">
        <v>19</v>
      </c>
      <c r="J298" s="51" t="s">
        <v>123</v>
      </c>
      <c r="K298" s="52">
        <v>4</v>
      </c>
      <c r="L298" s="52"/>
      <c r="M298" s="52"/>
      <c r="N298" s="53" t="s">
        <v>1685</v>
      </c>
      <c r="O298" s="53" t="s">
        <v>1686</v>
      </c>
      <c r="P298" s="52"/>
      <c r="Q298" s="53" t="s">
        <v>1687</v>
      </c>
      <c r="R298" s="53"/>
      <c r="S298" s="54"/>
      <c r="T298" s="51"/>
      <c r="U298" s="51"/>
      <c r="V298" s="51"/>
      <c r="W298" s="51"/>
      <c r="X298" s="51" t="s">
        <v>1682</v>
      </c>
      <c r="Y298" s="51" t="s">
        <v>1682</v>
      </c>
      <c r="Z298" s="51" t="s">
        <v>1682</v>
      </c>
      <c r="AA298" s="60" t="s">
        <v>1682</v>
      </c>
    </row>
    <row r="299" spans="2:27" ht="80.25" hidden="1" customHeight="1">
      <c r="B299" s="51" t="s">
        <v>40</v>
      </c>
      <c r="C299" s="51" t="s">
        <v>1580</v>
      </c>
      <c r="D299" s="51" t="s">
        <v>41</v>
      </c>
      <c r="E299" s="52">
        <v>1</v>
      </c>
      <c r="F299" s="51" t="s">
        <v>1688</v>
      </c>
      <c r="G299" s="51" t="s">
        <v>1689</v>
      </c>
      <c r="H299" s="54" t="s">
        <v>767</v>
      </c>
      <c r="I299" s="52">
        <v>20</v>
      </c>
      <c r="J299" s="51" t="s">
        <v>250</v>
      </c>
      <c r="K299" s="52">
        <v>23</v>
      </c>
      <c r="L299" s="52">
        <v>6</v>
      </c>
      <c r="M299" s="52"/>
      <c r="N299" s="53" t="s">
        <v>1690</v>
      </c>
      <c r="O299" s="53" t="s">
        <v>1691</v>
      </c>
      <c r="P299" s="52"/>
      <c r="Q299" s="54"/>
      <c r="R299" s="53"/>
      <c r="S299" s="54"/>
      <c r="T299" s="131"/>
      <c r="U299" s="131"/>
      <c r="V299" s="51"/>
      <c r="W299" s="51"/>
      <c r="X299" s="51" t="s">
        <v>1682</v>
      </c>
      <c r="Y299" s="51" t="s">
        <v>1682</v>
      </c>
      <c r="Z299" s="51" t="s">
        <v>1682</v>
      </c>
      <c r="AA299" s="60" t="s">
        <v>1682</v>
      </c>
    </row>
    <row r="300" spans="2:27" ht="80.25" hidden="1" customHeight="1">
      <c r="B300" s="51" t="s">
        <v>40</v>
      </c>
      <c r="C300" s="51" t="s">
        <v>1580</v>
      </c>
      <c r="D300" s="51" t="s">
        <v>41</v>
      </c>
      <c r="E300" s="52">
        <v>1</v>
      </c>
      <c r="F300" s="51" t="s">
        <v>1692</v>
      </c>
      <c r="G300" s="51" t="s">
        <v>1693</v>
      </c>
      <c r="H300" s="54" t="s">
        <v>767</v>
      </c>
      <c r="I300" s="52">
        <v>21</v>
      </c>
      <c r="J300" s="51" t="s">
        <v>250</v>
      </c>
      <c r="K300" s="52">
        <v>23</v>
      </c>
      <c r="L300" s="52">
        <v>6</v>
      </c>
      <c r="M300" s="52"/>
      <c r="N300" s="53" t="s">
        <v>1694</v>
      </c>
      <c r="O300" s="53" t="s">
        <v>1695</v>
      </c>
      <c r="P300" s="52"/>
      <c r="Q300" s="54"/>
      <c r="R300" s="53"/>
      <c r="S300" s="54"/>
      <c r="T300" s="131"/>
      <c r="U300" s="131"/>
      <c r="V300" s="51"/>
      <c r="W300" s="51"/>
      <c r="X300" s="51" t="s">
        <v>1682</v>
      </c>
      <c r="Y300" s="51" t="s">
        <v>1682</v>
      </c>
      <c r="Z300" s="51" t="s">
        <v>1682</v>
      </c>
      <c r="AA300" s="60" t="s">
        <v>1682</v>
      </c>
    </row>
    <row r="301" spans="2:27" ht="80.25" hidden="1" customHeight="1">
      <c r="B301" s="51" t="s">
        <v>40</v>
      </c>
      <c r="C301" s="51" t="s">
        <v>1580</v>
      </c>
      <c r="D301" s="51" t="s">
        <v>41</v>
      </c>
      <c r="E301" s="52">
        <v>1</v>
      </c>
      <c r="F301" s="51" t="s">
        <v>1696</v>
      </c>
      <c r="G301" s="51" t="s">
        <v>1697</v>
      </c>
      <c r="H301" s="54" t="s">
        <v>767</v>
      </c>
      <c r="I301" s="52">
        <v>22</v>
      </c>
      <c r="J301" s="51" t="s">
        <v>250</v>
      </c>
      <c r="K301" s="52">
        <v>23</v>
      </c>
      <c r="L301" s="52">
        <v>6</v>
      </c>
      <c r="M301" s="52"/>
      <c r="N301" s="53" t="s">
        <v>1698</v>
      </c>
      <c r="O301" s="53" t="s">
        <v>1699</v>
      </c>
      <c r="P301" s="52"/>
      <c r="Q301" s="51"/>
      <c r="R301" s="55" t="s">
        <v>788</v>
      </c>
      <c r="S301" s="51" t="s">
        <v>1526</v>
      </c>
      <c r="T301" s="131"/>
      <c r="U301" s="131"/>
      <c r="V301" s="51"/>
      <c r="W301" s="51"/>
      <c r="X301" s="51" t="s">
        <v>1682</v>
      </c>
      <c r="Y301" s="51" t="s">
        <v>1682</v>
      </c>
      <c r="Z301" s="51" t="s">
        <v>1682</v>
      </c>
      <c r="AA301" s="60" t="s">
        <v>1682</v>
      </c>
    </row>
    <row r="302" spans="2:27" ht="80.25" hidden="1" customHeight="1">
      <c r="B302" s="51" t="s">
        <v>40</v>
      </c>
      <c r="C302" s="51" t="s">
        <v>1580</v>
      </c>
      <c r="D302" s="51" t="s">
        <v>41</v>
      </c>
      <c r="E302" s="52">
        <v>1</v>
      </c>
      <c r="F302" s="51" t="s">
        <v>1700</v>
      </c>
      <c r="G302" s="51" t="s">
        <v>1701</v>
      </c>
      <c r="H302" s="54" t="s">
        <v>746</v>
      </c>
      <c r="I302" s="52">
        <v>23</v>
      </c>
      <c r="J302" s="51" t="s">
        <v>123</v>
      </c>
      <c r="K302" s="52">
        <v>4</v>
      </c>
      <c r="L302" s="52"/>
      <c r="M302" s="52"/>
      <c r="N302" s="53" t="s">
        <v>1702</v>
      </c>
      <c r="O302" s="53" t="s">
        <v>1703</v>
      </c>
      <c r="P302" s="52"/>
      <c r="Q302" s="53" t="s">
        <v>1681</v>
      </c>
      <c r="R302" s="53"/>
      <c r="S302" s="54"/>
      <c r="T302" s="131"/>
      <c r="U302" s="131"/>
      <c r="V302" s="51"/>
      <c r="W302" s="51"/>
      <c r="X302" s="51" t="s">
        <v>1682</v>
      </c>
      <c r="Y302" s="51" t="s">
        <v>1682</v>
      </c>
      <c r="Z302" s="51" t="s">
        <v>1682</v>
      </c>
      <c r="AA302" s="60" t="s">
        <v>1682</v>
      </c>
    </row>
    <row r="303" spans="2:27" ht="80.25" hidden="1" customHeight="1">
      <c r="B303" s="51" t="s">
        <v>40</v>
      </c>
      <c r="C303" s="51" t="s">
        <v>1580</v>
      </c>
      <c r="D303" s="51" t="s">
        <v>41</v>
      </c>
      <c r="E303" s="52">
        <v>1</v>
      </c>
      <c r="F303" s="51" t="s">
        <v>1704</v>
      </c>
      <c r="G303" s="51" t="s">
        <v>1705</v>
      </c>
      <c r="H303" s="54" t="s">
        <v>746</v>
      </c>
      <c r="I303" s="52">
        <v>24</v>
      </c>
      <c r="J303" s="51" t="s">
        <v>123</v>
      </c>
      <c r="K303" s="52">
        <v>4</v>
      </c>
      <c r="L303" s="52"/>
      <c r="M303" s="52"/>
      <c r="N303" s="53" t="s">
        <v>1706</v>
      </c>
      <c r="O303" s="53" t="s">
        <v>1707</v>
      </c>
      <c r="P303" s="52"/>
      <c r="Q303" s="53" t="s">
        <v>1708</v>
      </c>
      <c r="R303" s="53"/>
      <c r="S303" s="54"/>
      <c r="T303" s="51"/>
      <c r="U303" s="51"/>
      <c r="V303" s="51"/>
      <c r="W303" s="51"/>
      <c r="X303" s="51" t="s">
        <v>1682</v>
      </c>
      <c r="Y303" s="51" t="s">
        <v>1682</v>
      </c>
      <c r="Z303" s="51" t="s">
        <v>1682</v>
      </c>
      <c r="AA303" s="60" t="s">
        <v>1682</v>
      </c>
    </row>
    <row r="304" spans="2:27" ht="80.25" hidden="1" customHeight="1">
      <c r="B304" s="51" t="s">
        <v>40</v>
      </c>
      <c r="C304" s="51" t="s">
        <v>1580</v>
      </c>
      <c r="D304" s="51" t="s">
        <v>41</v>
      </c>
      <c r="E304" s="52">
        <v>1</v>
      </c>
      <c r="F304" s="51" t="s">
        <v>1709</v>
      </c>
      <c r="G304" s="51" t="s">
        <v>1710</v>
      </c>
      <c r="H304" s="54" t="s">
        <v>767</v>
      </c>
      <c r="I304" s="52">
        <v>25</v>
      </c>
      <c r="J304" s="51" t="s">
        <v>250</v>
      </c>
      <c r="K304" s="52">
        <v>23</v>
      </c>
      <c r="L304" s="52">
        <v>6</v>
      </c>
      <c r="M304" s="52"/>
      <c r="N304" s="53" t="s">
        <v>1711</v>
      </c>
      <c r="O304" s="53" t="s">
        <v>1712</v>
      </c>
      <c r="P304" s="52"/>
      <c r="Q304" s="54"/>
      <c r="R304" s="53"/>
      <c r="S304" s="54"/>
      <c r="T304" s="131"/>
      <c r="U304" s="131"/>
      <c r="V304" s="51"/>
      <c r="W304" s="51"/>
      <c r="X304" s="51" t="s">
        <v>1682</v>
      </c>
      <c r="Y304" s="51" t="s">
        <v>1682</v>
      </c>
      <c r="Z304" s="51" t="s">
        <v>1682</v>
      </c>
      <c r="AA304" s="60" t="s">
        <v>1682</v>
      </c>
    </row>
    <row r="305" spans="2:27" ht="80.25" hidden="1" customHeight="1">
      <c r="B305" s="51" t="s">
        <v>40</v>
      </c>
      <c r="C305" s="51" t="s">
        <v>1580</v>
      </c>
      <c r="D305" s="51" t="s">
        <v>41</v>
      </c>
      <c r="E305" s="52">
        <v>1</v>
      </c>
      <c r="F305" s="51" t="s">
        <v>1713</v>
      </c>
      <c r="G305" s="51" t="s">
        <v>1714</v>
      </c>
      <c r="H305" s="54" t="s">
        <v>767</v>
      </c>
      <c r="I305" s="52">
        <v>26</v>
      </c>
      <c r="J305" s="51" t="s">
        <v>250</v>
      </c>
      <c r="K305" s="52">
        <v>23</v>
      </c>
      <c r="L305" s="52">
        <v>6</v>
      </c>
      <c r="M305" s="52"/>
      <c r="N305" s="53" t="s">
        <v>777</v>
      </c>
      <c r="O305" s="53" t="s">
        <v>1715</v>
      </c>
      <c r="P305" s="52"/>
      <c r="Q305" s="54"/>
      <c r="R305" s="53"/>
      <c r="S305" s="54"/>
      <c r="T305" s="131"/>
      <c r="U305" s="131"/>
      <c r="V305" s="51"/>
      <c r="W305" s="51"/>
      <c r="X305" s="51" t="s">
        <v>1682</v>
      </c>
      <c r="Y305" s="51" t="s">
        <v>1682</v>
      </c>
      <c r="Z305" s="51" t="s">
        <v>1682</v>
      </c>
      <c r="AA305" s="60" t="s">
        <v>1682</v>
      </c>
    </row>
    <row r="306" spans="2:27" ht="80.25" hidden="1" customHeight="1">
      <c r="B306" s="51" t="s">
        <v>40</v>
      </c>
      <c r="C306" s="51" t="s">
        <v>1580</v>
      </c>
      <c r="D306" s="51" t="s">
        <v>41</v>
      </c>
      <c r="E306" s="52">
        <v>1</v>
      </c>
      <c r="F306" s="51" t="s">
        <v>1716</v>
      </c>
      <c r="G306" s="51" t="s">
        <v>1717</v>
      </c>
      <c r="H306" s="54" t="s">
        <v>767</v>
      </c>
      <c r="I306" s="52">
        <v>27</v>
      </c>
      <c r="J306" s="51" t="s">
        <v>250</v>
      </c>
      <c r="K306" s="52">
        <v>23</v>
      </c>
      <c r="L306" s="52">
        <v>6</v>
      </c>
      <c r="M306" s="52"/>
      <c r="N306" s="53" t="s">
        <v>1718</v>
      </c>
      <c r="O306" s="53" t="s">
        <v>1719</v>
      </c>
      <c r="P306" s="52"/>
      <c r="Q306" s="51"/>
      <c r="R306" s="55" t="s">
        <v>1720</v>
      </c>
      <c r="S306" s="55" t="s">
        <v>1721</v>
      </c>
      <c r="T306" s="51"/>
      <c r="U306" s="51"/>
      <c r="V306" s="51"/>
      <c r="W306" s="51"/>
      <c r="X306" s="51" t="s">
        <v>1682</v>
      </c>
      <c r="Y306" s="51" t="s">
        <v>1682</v>
      </c>
      <c r="Z306" s="51" t="s">
        <v>1682</v>
      </c>
      <c r="AA306" s="60" t="s">
        <v>1682</v>
      </c>
    </row>
    <row r="307" spans="2:27" ht="80.25" hidden="1" customHeight="1">
      <c r="B307" s="51" t="s">
        <v>40</v>
      </c>
      <c r="C307" s="51" t="s">
        <v>1580</v>
      </c>
      <c r="D307" s="51" t="s">
        <v>41</v>
      </c>
      <c r="E307" s="52">
        <v>1</v>
      </c>
      <c r="F307" s="51" t="s">
        <v>293</v>
      </c>
      <c r="G307" s="51" t="s">
        <v>294</v>
      </c>
      <c r="H307" s="54" t="s">
        <v>295</v>
      </c>
      <c r="I307" s="52">
        <v>29</v>
      </c>
      <c r="J307" s="51" t="s">
        <v>123</v>
      </c>
      <c r="K307" s="52">
        <v>4</v>
      </c>
      <c r="L307" s="52"/>
      <c r="M307" s="52"/>
      <c r="N307" s="53" t="s">
        <v>296</v>
      </c>
      <c r="O307" s="53" t="s">
        <v>297</v>
      </c>
      <c r="P307" s="52"/>
      <c r="Q307" s="53" t="s">
        <v>1722</v>
      </c>
      <c r="R307" s="55" t="s">
        <v>1723</v>
      </c>
      <c r="S307" s="55" t="s">
        <v>1724</v>
      </c>
      <c r="T307" s="55" t="s">
        <v>1583</v>
      </c>
      <c r="U307" s="55" t="s">
        <v>1584</v>
      </c>
      <c r="V307" s="55" t="s">
        <v>555</v>
      </c>
      <c r="W307" s="77" t="s">
        <v>1725</v>
      </c>
      <c r="X307" s="55" t="s">
        <v>1605</v>
      </c>
      <c r="Y307" s="53" t="s">
        <v>1606</v>
      </c>
      <c r="Z307" s="53" t="s">
        <v>1726</v>
      </c>
      <c r="AA307" s="60" t="s">
        <v>647</v>
      </c>
    </row>
    <row r="308" spans="2:27" ht="80.25" hidden="1" customHeight="1">
      <c r="B308" s="51" t="s">
        <v>40</v>
      </c>
      <c r="C308" s="51" t="s">
        <v>1580</v>
      </c>
      <c r="D308" s="51" t="s">
        <v>41</v>
      </c>
      <c r="E308" s="52">
        <v>1</v>
      </c>
      <c r="F308" s="51" t="s">
        <v>304</v>
      </c>
      <c r="G308" s="51" t="s">
        <v>305</v>
      </c>
      <c r="H308" s="54" t="s">
        <v>295</v>
      </c>
      <c r="I308" s="52">
        <v>30</v>
      </c>
      <c r="J308" s="51" t="s">
        <v>123</v>
      </c>
      <c r="K308" s="52">
        <v>4</v>
      </c>
      <c r="L308" s="52"/>
      <c r="M308" s="52"/>
      <c r="N308" s="53" t="s">
        <v>306</v>
      </c>
      <c r="O308" s="53" t="s">
        <v>307</v>
      </c>
      <c r="P308" s="52"/>
      <c r="Q308" s="55" t="s">
        <v>459</v>
      </c>
      <c r="R308" s="55" t="s">
        <v>203</v>
      </c>
      <c r="S308" s="51" t="s">
        <v>309</v>
      </c>
      <c r="T308" s="55" t="s">
        <v>1727</v>
      </c>
      <c r="U308" s="55" t="s">
        <v>1728</v>
      </c>
      <c r="V308" s="55" t="s">
        <v>555</v>
      </c>
      <c r="W308" s="77" t="s">
        <v>1729</v>
      </c>
      <c r="X308" s="55" t="s">
        <v>372</v>
      </c>
      <c r="Y308" s="55" t="s">
        <v>372</v>
      </c>
      <c r="Z308" s="55" t="s">
        <v>372</v>
      </c>
      <c r="AA308" s="60" t="s">
        <v>372</v>
      </c>
    </row>
    <row r="309" spans="2:27" ht="80.25" hidden="1" customHeight="1">
      <c r="B309" s="51" t="s">
        <v>40</v>
      </c>
      <c r="C309" s="51" t="s">
        <v>1580</v>
      </c>
      <c r="D309" s="51" t="s">
        <v>41</v>
      </c>
      <c r="E309" s="52">
        <v>1</v>
      </c>
      <c r="F309" s="51" t="s">
        <v>317</v>
      </c>
      <c r="G309" s="51" t="s">
        <v>318</v>
      </c>
      <c r="H309" s="51" t="s">
        <v>319</v>
      </c>
      <c r="I309" s="52">
        <v>31</v>
      </c>
      <c r="J309" s="51" t="s">
        <v>123</v>
      </c>
      <c r="K309" s="52">
        <v>2</v>
      </c>
      <c r="L309" s="52"/>
      <c r="M309" s="52"/>
      <c r="N309" s="53" t="s">
        <v>320</v>
      </c>
      <c r="O309" s="53" t="s">
        <v>321</v>
      </c>
      <c r="P309" s="52"/>
      <c r="Q309" s="53" t="s">
        <v>1730</v>
      </c>
      <c r="R309" s="55"/>
      <c r="S309" s="51"/>
      <c r="T309" s="55" t="s">
        <v>1586</v>
      </c>
      <c r="U309" s="55" t="s">
        <v>1587</v>
      </c>
      <c r="V309" s="55" t="s">
        <v>351</v>
      </c>
      <c r="W309" s="77" t="s">
        <v>1731</v>
      </c>
      <c r="X309" s="55" t="s">
        <v>1593</v>
      </c>
      <c r="Y309" s="55" t="s">
        <v>372</v>
      </c>
      <c r="Z309" s="55" t="s">
        <v>372</v>
      </c>
      <c r="AA309" s="60" t="s">
        <v>1732</v>
      </c>
    </row>
    <row r="310" spans="2:27" ht="80.25" hidden="1" customHeight="1">
      <c r="B310" s="51" t="s">
        <v>40</v>
      </c>
      <c r="C310" s="51" t="s">
        <v>1580</v>
      </c>
      <c r="D310" s="51" t="s">
        <v>41</v>
      </c>
      <c r="E310" s="52">
        <v>1</v>
      </c>
      <c r="F310" s="51" t="s">
        <v>326</v>
      </c>
      <c r="G310" s="51" t="s">
        <v>327</v>
      </c>
      <c r="H310" s="51" t="s">
        <v>328</v>
      </c>
      <c r="I310" s="52">
        <v>32</v>
      </c>
      <c r="J310" s="51" t="s">
        <v>123</v>
      </c>
      <c r="K310" s="52">
        <v>10</v>
      </c>
      <c r="L310" s="52"/>
      <c r="M310" s="52"/>
      <c r="N310" s="53" t="s">
        <v>329</v>
      </c>
      <c r="O310" s="53" t="s">
        <v>361</v>
      </c>
      <c r="P310" s="52" t="s">
        <v>126</v>
      </c>
      <c r="Q310" s="51"/>
      <c r="R310" s="55" t="s">
        <v>275</v>
      </c>
      <c r="S310" s="51" t="s">
        <v>803</v>
      </c>
      <c r="T310" s="55" t="s">
        <v>1586</v>
      </c>
      <c r="U310" s="55" t="s">
        <v>1587</v>
      </c>
      <c r="V310" s="55" t="s">
        <v>804</v>
      </c>
      <c r="W310" s="77" t="s">
        <v>1733</v>
      </c>
      <c r="X310" s="55" t="s">
        <v>372</v>
      </c>
      <c r="Y310" s="55" t="s">
        <v>372</v>
      </c>
      <c r="Z310" s="55" t="s">
        <v>372</v>
      </c>
      <c r="AA310" s="60" t="s">
        <v>372</v>
      </c>
    </row>
    <row r="311" spans="2:27" ht="80.25" hidden="1" customHeight="1">
      <c r="B311" s="51" t="s">
        <v>40</v>
      </c>
      <c r="C311" s="51" t="s">
        <v>1580</v>
      </c>
      <c r="D311" s="51" t="s">
        <v>41</v>
      </c>
      <c r="E311" s="52">
        <v>1</v>
      </c>
      <c r="F311" s="51" t="s">
        <v>333</v>
      </c>
      <c r="G311" s="51" t="s">
        <v>334</v>
      </c>
      <c r="H311" s="51" t="s">
        <v>335</v>
      </c>
      <c r="I311" s="52">
        <v>33</v>
      </c>
      <c r="J311" s="51" t="s">
        <v>336</v>
      </c>
      <c r="K311" s="52">
        <v>23</v>
      </c>
      <c r="L311" s="52"/>
      <c r="M311" s="52"/>
      <c r="N311" s="53" t="s">
        <v>337</v>
      </c>
      <c r="O311" s="53" t="s">
        <v>338</v>
      </c>
      <c r="P311" s="52"/>
      <c r="Q311" s="51"/>
      <c r="R311" s="55"/>
      <c r="S311" s="51"/>
      <c r="T311" s="55" t="s">
        <v>1586</v>
      </c>
      <c r="U311" s="55" t="s">
        <v>1587</v>
      </c>
      <c r="V311" s="55" t="s">
        <v>351</v>
      </c>
      <c r="W311" s="77" t="s">
        <v>1734</v>
      </c>
      <c r="X311" s="55" t="s">
        <v>372</v>
      </c>
      <c r="Y311" s="55" t="s">
        <v>372</v>
      </c>
      <c r="Z311" s="55" t="s">
        <v>372</v>
      </c>
      <c r="AA311" s="60" t="s">
        <v>372</v>
      </c>
    </row>
    <row r="312" spans="2:27" ht="80.25" hidden="1" customHeight="1">
      <c r="B312" s="51" t="s">
        <v>43</v>
      </c>
      <c r="C312" s="51" t="s">
        <v>1735</v>
      </c>
      <c r="D312" s="51" t="s">
        <v>44</v>
      </c>
      <c r="E312" s="52">
        <v>2</v>
      </c>
      <c r="F312" s="51" t="s">
        <v>1155</v>
      </c>
      <c r="G312" s="51" t="s">
        <v>1156</v>
      </c>
      <c r="H312" s="54" t="s">
        <v>1157</v>
      </c>
      <c r="I312" s="52">
        <v>1</v>
      </c>
      <c r="J312" s="51" t="s">
        <v>123</v>
      </c>
      <c r="K312" s="52">
        <v>16</v>
      </c>
      <c r="L312" s="52"/>
      <c r="M312" s="52"/>
      <c r="N312" s="322" t="s">
        <v>1158</v>
      </c>
      <c r="O312" s="54" t="s">
        <v>1159</v>
      </c>
      <c r="P312" s="52" t="s">
        <v>126</v>
      </c>
      <c r="Q312" s="54"/>
      <c r="R312" s="55" t="s">
        <v>1160</v>
      </c>
      <c r="S312" s="51" t="s">
        <v>1155</v>
      </c>
      <c r="T312" s="53" t="s">
        <v>1161</v>
      </c>
      <c r="U312" s="53" t="s">
        <v>1736</v>
      </c>
      <c r="V312" s="148" t="s">
        <v>1163</v>
      </c>
      <c r="W312" s="359" t="s">
        <v>1737</v>
      </c>
      <c r="X312" s="51" t="s">
        <v>1165</v>
      </c>
      <c r="Y312" s="73" t="s">
        <v>1166</v>
      </c>
      <c r="Z312" s="67" t="s">
        <v>1167</v>
      </c>
      <c r="AA312" s="52" t="s">
        <v>372</v>
      </c>
    </row>
    <row r="313" spans="2:27" ht="80.25" hidden="1" customHeight="1">
      <c r="B313" s="51" t="s">
        <v>43</v>
      </c>
      <c r="C313" s="51" t="s">
        <v>1735</v>
      </c>
      <c r="D313" s="51" t="s">
        <v>44</v>
      </c>
      <c r="E313" s="52">
        <v>2</v>
      </c>
      <c r="F313" s="51" t="s">
        <v>120</v>
      </c>
      <c r="G313" s="51" t="s">
        <v>121</v>
      </c>
      <c r="H313" s="54" t="s">
        <v>150</v>
      </c>
      <c r="I313" s="52">
        <v>2</v>
      </c>
      <c r="J313" s="51" t="s">
        <v>123</v>
      </c>
      <c r="K313" s="52">
        <v>4</v>
      </c>
      <c r="L313" s="52"/>
      <c r="M313" s="52"/>
      <c r="N313" s="321" t="s">
        <v>124</v>
      </c>
      <c r="O313" s="53" t="s">
        <v>125</v>
      </c>
      <c r="P313" s="52"/>
      <c r="Q313" s="54"/>
      <c r="R313" s="55" t="s">
        <v>1160</v>
      </c>
      <c r="S313" s="51" t="s">
        <v>136</v>
      </c>
      <c r="T313" s="55" t="s">
        <v>1170</v>
      </c>
      <c r="U313" s="242" t="s">
        <v>1738</v>
      </c>
      <c r="V313" s="55" t="s">
        <v>555</v>
      </c>
      <c r="W313" s="346" t="s">
        <v>1739</v>
      </c>
      <c r="X313" s="51" t="s">
        <v>1165</v>
      </c>
      <c r="Y313" s="54" t="s">
        <v>372</v>
      </c>
      <c r="Z313" s="54" t="s">
        <v>372</v>
      </c>
      <c r="AA313" s="52" t="s">
        <v>373</v>
      </c>
    </row>
    <row r="314" spans="2:27" ht="80.25" hidden="1" customHeight="1">
      <c r="B314" s="51" t="s">
        <v>43</v>
      </c>
      <c r="C314" s="51" t="s">
        <v>1735</v>
      </c>
      <c r="D314" s="51" t="s">
        <v>44</v>
      </c>
      <c r="E314" s="52">
        <v>2</v>
      </c>
      <c r="F314" s="51" t="s">
        <v>136</v>
      </c>
      <c r="G314" s="51" t="s">
        <v>137</v>
      </c>
      <c r="H314" s="54" t="s">
        <v>150</v>
      </c>
      <c r="I314" s="52">
        <v>3</v>
      </c>
      <c r="J314" s="51" t="s">
        <v>123</v>
      </c>
      <c r="K314" s="52">
        <v>30</v>
      </c>
      <c r="L314" s="52"/>
      <c r="M314" s="52"/>
      <c r="N314" s="53" t="s">
        <v>1740</v>
      </c>
      <c r="O314" s="53" t="s">
        <v>1741</v>
      </c>
      <c r="P314" s="52"/>
      <c r="Q314" s="54"/>
      <c r="R314" s="55" t="s">
        <v>1160</v>
      </c>
      <c r="S314" s="51" t="s">
        <v>136</v>
      </c>
      <c r="T314" s="148" t="s">
        <v>1178</v>
      </c>
      <c r="U314" s="333" t="s">
        <v>1742</v>
      </c>
      <c r="V314" s="53" t="s">
        <v>1180</v>
      </c>
      <c r="W314" s="312" t="s">
        <v>1743</v>
      </c>
      <c r="X314" s="51" t="s">
        <v>1165</v>
      </c>
      <c r="Y314" s="54" t="s">
        <v>1182</v>
      </c>
      <c r="Z314" s="54" t="s">
        <v>1744</v>
      </c>
      <c r="AA314" s="52" t="s">
        <v>372</v>
      </c>
    </row>
    <row r="315" spans="2:27" ht="80.25" hidden="1" customHeight="1">
      <c r="B315" s="51" t="s">
        <v>43</v>
      </c>
      <c r="C315" s="51" t="s">
        <v>1735</v>
      </c>
      <c r="D315" s="51" t="s">
        <v>44</v>
      </c>
      <c r="E315" s="52">
        <v>2</v>
      </c>
      <c r="F315" s="51" t="s">
        <v>1183</v>
      </c>
      <c r="G315" s="51" t="s">
        <v>1184</v>
      </c>
      <c r="H315" s="54" t="s">
        <v>150</v>
      </c>
      <c r="I315" s="52">
        <v>4</v>
      </c>
      <c r="J315" s="51" t="s">
        <v>123</v>
      </c>
      <c r="K315" s="52">
        <v>4</v>
      </c>
      <c r="L315" s="52"/>
      <c r="M315" s="52"/>
      <c r="N315" s="53" t="s">
        <v>1745</v>
      </c>
      <c r="O315" s="53" t="s">
        <v>1186</v>
      </c>
      <c r="P315" s="52"/>
      <c r="Q315" s="54"/>
      <c r="R315" s="55"/>
      <c r="S315" s="51"/>
      <c r="T315" s="53" t="s">
        <v>1161</v>
      </c>
      <c r="U315" s="241" t="s">
        <v>1746</v>
      </c>
      <c r="V315" s="53" t="s">
        <v>1188</v>
      </c>
      <c r="W315" s="312" t="s">
        <v>1747</v>
      </c>
      <c r="X315" s="51" t="s">
        <v>1165</v>
      </c>
      <c r="Y315" s="54" t="s">
        <v>1166</v>
      </c>
      <c r="Z315" s="54" t="s">
        <v>1190</v>
      </c>
      <c r="AA315" s="52" t="s">
        <v>372</v>
      </c>
    </row>
    <row r="316" spans="2:27" ht="80.25" hidden="1" customHeight="1">
      <c r="B316" s="51" t="s">
        <v>43</v>
      </c>
      <c r="C316" s="51" t="s">
        <v>1735</v>
      </c>
      <c r="D316" s="51" t="s">
        <v>44</v>
      </c>
      <c r="E316" s="52">
        <v>2</v>
      </c>
      <c r="F316" s="51" t="s">
        <v>1191</v>
      </c>
      <c r="G316" s="51" t="s">
        <v>1192</v>
      </c>
      <c r="H316" s="54" t="s">
        <v>150</v>
      </c>
      <c r="I316" s="52">
        <v>5</v>
      </c>
      <c r="J316" s="51" t="s">
        <v>1136</v>
      </c>
      <c r="K316" s="52"/>
      <c r="L316" s="52"/>
      <c r="M316" s="52"/>
      <c r="N316" s="53" t="s">
        <v>1193</v>
      </c>
      <c r="O316" s="53" t="s">
        <v>1194</v>
      </c>
      <c r="P316" s="52"/>
      <c r="Q316" s="51"/>
      <c r="R316" s="55"/>
      <c r="S316" s="51"/>
      <c r="T316" s="53" t="s">
        <v>1195</v>
      </c>
      <c r="U316" s="53" t="s">
        <v>1748</v>
      </c>
      <c r="V316" s="53" t="s">
        <v>1197</v>
      </c>
      <c r="W316" s="335" t="s">
        <v>1749</v>
      </c>
      <c r="X316" s="51" t="s">
        <v>1165</v>
      </c>
      <c r="Y316" s="54" t="s">
        <v>1166</v>
      </c>
      <c r="Z316" s="54" t="s">
        <v>1190</v>
      </c>
      <c r="AA316" s="52" t="s">
        <v>372</v>
      </c>
    </row>
    <row r="317" spans="2:27" ht="80.25" hidden="1" customHeight="1">
      <c r="B317" s="51" t="s">
        <v>43</v>
      </c>
      <c r="C317" s="51" t="s">
        <v>1735</v>
      </c>
      <c r="D317" s="51" t="s">
        <v>44</v>
      </c>
      <c r="E317" s="52">
        <v>2</v>
      </c>
      <c r="F317" s="51" t="s">
        <v>1199</v>
      </c>
      <c r="G317" s="51" t="s">
        <v>1200</v>
      </c>
      <c r="H317" s="54" t="s">
        <v>200</v>
      </c>
      <c r="I317" s="52">
        <v>6</v>
      </c>
      <c r="J317" s="51" t="s">
        <v>123</v>
      </c>
      <c r="K317" s="52">
        <v>10</v>
      </c>
      <c r="L317" s="52"/>
      <c r="M317" s="52"/>
      <c r="N317" s="53" t="s">
        <v>1201</v>
      </c>
      <c r="O317" s="53" t="s">
        <v>1202</v>
      </c>
      <c r="P317" s="52"/>
      <c r="Q317" s="54"/>
      <c r="R317" s="55" t="s">
        <v>1160</v>
      </c>
      <c r="S317" s="51" t="s">
        <v>1203</v>
      </c>
      <c r="T317" s="53" t="s">
        <v>1161</v>
      </c>
      <c r="U317" s="53" t="s">
        <v>1746</v>
      </c>
      <c r="V317" s="53" t="s">
        <v>1204</v>
      </c>
      <c r="W317" s="335" t="s">
        <v>1750</v>
      </c>
      <c r="X317" s="51" t="s">
        <v>1165</v>
      </c>
      <c r="Y317" s="73" t="s">
        <v>1166</v>
      </c>
      <c r="Z317" s="67" t="s">
        <v>1206</v>
      </c>
      <c r="AA317" s="52" t="s">
        <v>372</v>
      </c>
    </row>
    <row r="318" spans="2:27" ht="80.25" hidden="1" customHeight="1">
      <c r="B318" s="51" t="s">
        <v>43</v>
      </c>
      <c r="C318" s="51" t="s">
        <v>1735</v>
      </c>
      <c r="D318" s="51" t="s">
        <v>44</v>
      </c>
      <c r="E318" s="52">
        <v>2</v>
      </c>
      <c r="F318" s="51" t="s">
        <v>1207</v>
      </c>
      <c r="G318" s="51" t="s">
        <v>1208</v>
      </c>
      <c r="H318" s="54" t="s">
        <v>200</v>
      </c>
      <c r="I318" s="52">
        <v>7</v>
      </c>
      <c r="J318" s="51" t="s">
        <v>123</v>
      </c>
      <c r="K318" s="52">
        <v>10</v>
      </c>
      <c r="L318" s="52"/>
      <c r="M318" s="52"/>
      <c r="N318" s="53" t="s">
        <v>1209</v>
      </c>
      <c r="O318" s="53" t="s">
        <v>1210</v>
      </c>
      <c r="P318" s="52"/>
      <c r="Q318" s="54"/>
      <c r="R318" s="55" t="s">
        <v>1160</v>
      </c>
      <c r="S318" s="51" t="s">
        <v>1211</v>
      </c>
      <c r="T318" s="53" t="s">
        <v>1161</v>
      </c>
      <c r="U318" s="241" t="s">
        <v>1746</v>
      </c>
      <c r="V318" s="53" t="s">
        <v>1212</v>
      </c>
      <c r="W318" s="312" t="s">
        <v>1751</v>
      </c>
      <c r="X318" s="51" t="s">
        <v>1165</v>
      </c>
      <c r="Y318" s="73" t="s">
        <v>1166</v>
      </c>
      <c r="Z318" s="67" t="s">
        <v>1214</v>
      </c>
      <c r="AA318" s="52" t="s">
        <v>372</v>
      </c>
    </row>
    <row r="319" spans="2:27" ht="80.25" hidden="1" customHeight="1">
      <c r="B319" s="51" t="s">
        <v>43</v>
      </c>
      <c r="C319" s="51" t="s">
        <v>1735</v>
      </c>
      <c r="D319" s="51" t="s">
        <v>44</v>
      </c>
      <c r="E319" s="52">
        <v>2</v>
      </c>
      <c r="F319" s="51" t="s">
        <v>1215</v>
      </c>
      <c r="G319" s="51" t="s">
        <v>1216</v>
      </c>
      <c r="H319" s="54" t="s">
        <v>1217</v>
      </c>
      <c r="I319" s="52">
        <v>8</v>
      </c>
      <c r="J319" s="51" t="s">
        <v>250</v>
      </c>
      <c r="K319" s="52">
        <v>23</v>
      </c>
      <c r="L319" s="52">
        <v>6</v>
      </c>
      <c r="M319" s="52"/>
      <c r="N319" s="53" t="s">
        <v>1218</v>
      </c>
      <c r="O319" s="53" t="s">
        <v>1219</v>
      </c>
      <c r="P319" s="52"/>
      <c r="Q319" s="54"/>
      <c r="R319" s="55" t="s">
        <v>1160</v>
      </c>
      <c r="S319" s="51" t="s">
        <v>1220</v>
      </c>
      <c r="T319" s="53" t="s">
        <v>1161</v>
      </c>
      <c r="U319" s="53" t="s">
        <v>1752</v>
      </c>
      <c r="V319" s="132" t="s">
        <v>1222</v>
      </c>
      <c r="W319" s="312" t="s">
        <v>1753</v>
      </c>
      <c r="X319" s="51" t="s">
        <v>1165</v>
      </c>
      <c r="Y319" s="54" t="s">
        <v>1224</v>
      </c>
      <c r="Z319" s="67" t="s">
        <v>1225</v>
      </c>
      <c r="AA319" s="52" t="s">
        <v>372</v>
      </c>
    </row>
    <row r="320" spans="2:27" ht="80.25" hidden="1" customHeight="1">
      <c r="B320" s="51" t="s">
        <v>43</v>
      </c>
      <c r="C320" s="51" t="s">
        <v>1735</v>
      </c>
      <c r="D320" s="51" t="s">
        <v>44</v>
      </c>
      <c r="E320" s="52">
        <v>2</v>
      </c>
      <c r="F320" s="51" t="s">
        <v>1226</v>
      </c>
      <c r="G320" s="51" t="s">
        <v>1227</v>
      </c>
      <c r="H320" s="54" t="s">
        <v>1217</v>
      </c>
      <c r="I320" s="52">
        <v>9</v>
      </c>
      <c r="J320" s="51" t="s">
        <v>250</v>
      </c>
      <c r="K320" s="52">
        <v>23</v>
      </c>
      <c r="L320" s="52">
        <v>6</v>
      </c>
      <c r="M320" s="52"/>
      <c r="N320" s="53" t="s">
        <v>1228</v>
      </c>
      <c r="O320" s="53" t="s">
        <v>1229</v>
      </c>
      <c r="P320" s="52"/>
      <c r="Q320" s="54"/>
      <c r="R320" s="55" t="s">
        <v>1160</v>
      </c>
      <c r="S320" s="51" t="s">
        <v>1230</v>
      </c>
      <c r="T320" s="53" t="s">
        <v>1161</v>
      </c>
      <c r="U320" s="53" t="s">
        <v>1752</v>
      </c>
      <c r="V320" s="53" t="s">
        <v>1231</v>
      </c>
      <c r="W320" s="312" t="s">
        <v>1754</v>
      </c>
      <c r="X320" s="51" t="s">
        <v>1165</v>
      </c>
      <c r="Y320" s="54" t="s">
        <v>1224</v>
      </c>
      <c r="Z320" s="54" t="s">
        <v>1233</v>
      </c>
      <c r="AA320" s="52" t="s">
        <v>372</v>
      </c>
    </row>
    <row r="321" spans="2:27" ht="80.25" hidden="1" customHeight="1">
      <c r="B321" s="51" t="s">
        <v>43</v>
      </c>
      <c r="C321" s="51" t="s">
        <v>1735</v>
      </c>
      <c r="D321" s="51" t="s">
        <v>44</v>
      </c>
      <c r="E321" s="52">
        <v>2</v>
      </c>
      <c r="F321" s="51" t="s">
        <v>1234</v>
      </c>
      <c r="G321" s="51" t="s">
        <v>1235</v>
      </c>
      <c r="H321" s="54" t="s">
        <v>295</v>
      </c>
      <c r="I321" s="52">
        <v>10</v>
      </c>
      <c r="J321" s="51" t="s">
        <v>123</v>
      </c>
      <c r="K321" s="52">
        <v>4</v>
      </c>
      <c r="L321" s="52"/>
      <c r="M321" s="52"/>
      <c r="N321" s="53" t="s">
        <v>1236</v>
      </c>
      <c r="O321" s="53" t="s">
        <v>1237</v>
      </c>
      <c r="P321" s="52"/>
      <c r="Q321" s="53" t="s">
        <v>1238</v>
      </c>
      <c r="R321" s="55" t="s">
        <v>1160</v>
      </c>
      <c r="S321" s="51" t="s">
        <v>1239</v>
      </c>
      <c r="T321" s="55" t="s">
        <v>1170</v>
      </c>
      <c r="U321" s="55" t="s">
        <v>1755</v>
      </c>
      <c r="V321" s="55" t="s">
        <v>555</v>
      </c>
      <c r="W321" s="346" t="s">
        <v>1756</v>
      </c>
      <c r="X321" s="51" t="s">
        <v>1165</v>
      </c>
      <c r="Y321" s="73" t="s">
        <v>1166</v>
      </c>
      <c r="Z321" s="67" t="s">
        <v>1241</v>
      </c>
      <c r="AA321" s="52" t="s">
        <v>372</v>
      </c>
    </row>
    <row r="322" spans="2:27" ht="80.25" hidden="1" customHeight="1">
      <c r="B322" s="51" t="s">
        <v>43</v>
      </c>
      <c r="C322" s="51" t="s">
        <v>1735</v>
      </c>
      <c r="D322" s="51" t="s">
        <v>44</v>
      </c>
      <c r="E322" s="52">
        <v>2</v>
      </c>
      <c r="F322" s="51" t="s">
        <v>326</v>
      </c>
      <c r="G322" s="51" t="s">
        <v>327</v>
      </c>
      <c r="H322" s="51" t="s">
        <v>328</v>
      </c>
      <c r="I322" s="52">
        <v>11</v>
      </c>
      <c r="J322" s="51" t="s">
        <v>123</v>
      </c>
      <c r="K322" s="52">
        <v>10</v>
      </c>
      <c r="L322" s="52"/>
      <c r="M322" s="52"/>
      <c r="N322" s="53" t="s">
        <v>329</v>
      </c>
      <c r="O322" s="53" t="s">
        <v>361</v>
      </c>
      <c r="P322" s="52" t="s">
        <v>126</v>
      </c>
      <c r="Q322" s="54"/>
      <c r="R322" s="55"/>
      <c r="S322" s="51"/>
      <c r="T322" s="53" t="s">
        <v>1161</v>
      </c>
      <c r="U322" s="53" t="s">
        <v>1746</v>
      </c>
      <c r="V322" s="53" t="s">
        <v>804</v>
      </c>
      <c r="W322" s="312" t="s">
        <v>1757</v>
      </c>
      <c r="X322" s="51" t="s">
        <v>372</v>
      </c>
      <c r="Y322" s="51" t="s">
        <v>372</v>
      </c>
      <c r="Z322" s="51" t="s">
        <v>372</v>
      </c>
      <c r="AA322" s="52" t="s">
        <v>372</v>
      </c>
    </row>
    <row r="323" spans="2:27" ht="80.25" hidden="1" customHeight="1">
      <c r="B323" s="51" t="s">
        <v>43</v>
      </c>
      <c r="C323" s="51" t="s">
        <v>1735</v>
      </c>
      <c r="D323" s="51" t="s">
        <v>44</v>
      </c>
      <c r="E323" s="52">
        <v>2</v>
      </c>
      <c r="F323" s="51" t="s">
        <v>333</v>
      </c>
      <c r="G323" s="51" t="s">
        <v>334</v>
      </c>
      <c r="H323" s="51" t="s">
        <v>335</v>
      </c>
      <c r="I323" s="52">
        <v>12</v>
      </c>
      <c r="J323" s="51" t="s">
        <v>336</v>
      </c>
      <c r="K323" s="52">
        <v>23</v>
      </c>
      <c r="L323" s="52"/>
      <c r="M323" s="52"/>
      <c r="N323" s="53" t="s">
        <v>337</v>
      </c>
      <c r="O323" s="53" t="s">
        <v>338</v>
      </c>
      <c r="P323" s="52"/>
      <c r="Q323" s="54"/>
      <c r="R323" s="55"/>
      <c r="S323" s="51"/>
      <c r="T323" s="53" t="s">
        <v>1161</v>
      </c>
      <c r="U323" s="53" t="s">
        <v>1746</v>
      </c>
      <c r="V323" s="53" t="s">
        <v>351</v>
      </c>
      <c r="W323" s="312" t="s">
        <v>1758</v>
      </c>
      <c r="X323" s="51" t="s">
        <v>372</v>
      </c>
      <c r="Y323" s="51" t="s">
        <v>372</v>
      </c>
      <c r="Z323" s="51" t="s">
        <v>372</v>
      </c>
      <c r="AA323" s="52" t="s">
        <v>372</v>
      </c>
    </row>
    <row r="324" spans="2:27" ht="80.25" hidden="1" customHeight="1">
      <c r="B324" s="51" t="s">
        <v>43</v>
      </c>
      <c r="C324" s="51" t="s">
        <v>1759</v>
      </c>
      <c r="D324" s="51" t="s">
        <v>46</v>
      </c>
      <c r="E324" s="52">
        <v>1</v>
      </c>
      <c r="F324" s="51" t="s">
        <v>120</v>
      </c>
      <c r="G324" s="51" t="s">
        <v>121</v>
      </c>
      <c r="H324" s="51" t="s">
        <v>122</v>
      </c>
      <c r="I324" s="52">
        <v>1</v>
      </c>
      <c r="J324" s="51" t="s">
        <v>123</v>
      </c>
      <c r="K324" s="52">
        <v>4</v>
      </c>
      <c r="L324" s="52"/>
      <c r="M324" s="52"/>
      <c r="N324" s="321" t="s">
        <v>124</v>
      </c>
      <c r="O324" s="53" t="s">
        <v>125</v>
      </c>
      <c r="P324" s="52" t="s">
        <v>126</v>
      </c>
      <c r="Q324" s="54"/>
      <c r="R324" s="55" t="s">
        <v>1760</v>
      </c>
      <c r="S324" s="55" t="s">
        <v>1327</v>
      </c>
      <c r="T324" s="53" t="s">
        <v>1170</v>
      </c>
      <c r="U324" s="53" t="s">
        <v>1761</v>
      </c>
      <c r="V324" s="53" t="s">
        <v>555</v>
      </c>
      <c r="W324" s="319" t="s">
        <v>1762</v>
      </c>
      <c r="X324" s="51" t="s">
        <v>1165</v>
      </c>
      <c r="Y324" s="54" t="s">
        <v>372</v>
      </c>
      <c r="Z324" s="54" t="s">
        <v>372</v>
      </c>
      <c r="AA324" s="52" t="s">
        <v>373</v>
      </c>
    </row>
    <row r="325" spans="2:27" ht="80.25" hidden="1" customHeight="1">
      <c r="B325" s="51" t="s">
        <v>43</v>
      </c>
      <c r="C325" s="51" t="s">
        <v>1759</v>
      </c>
      <c r="D325" s="51" t="s">
        <v>46</v>
      </c>
      <c r="E325" s="52">
        <v>1</v>
      </c>
      <c r="F325" s="51" t="s">
        <v>136</v>
      </c>
      <c r="G325" s="51" t="s">
        <v>137</v>
      </c>
      <c r="H325" s="51" t="s">
        <v>122</v>
      </c>
      <c r="I325" s="52">
        <v>2</v>
      </c>
      <c r="J325" s="51" t="s">
        <v>123</v>
      </c>
      <c r="K325" s="52">
        <v>15</v>
      </c>
      <c r="L325" s="52"/>
      <c r="M325" s="52"/>
      <c r="N325" s="53" t="s">
        <v>138</v>
      </c>
      <c r="O325" s="53" t="s">
        <v>139</v>
      </c>
      <c r="P325" s="52" t="s">
        <v>126</v>
      </c>
      <c r="Q325" s="54"/>
      <c r="R325" s="55" t="s">
        <v>1760</v>
      </c>
      <c r="S325" s="55" t="s">
        <v>1327</v>
      </c>
      <c r="T325" s="53" t="s">
        <v>1161</v>
      </c>
      <c r="U325" s="53" t="s">
        <v>1763</v>
      </c>
      <c r="V325" s="53" t="s">
        <v>633</v>
      </c>
      <c r="W325" s="312" t="s">
        <v>1764</v>
      </c>
      <c r="X325" s="51" t="s">
        <v>1165</v>
      </c>
      <c r="Y325" s="54" t="s">
        <v>1182</v>
      </c>
      <c r="Z325" s="54" t="s">
        <v>1029</v>
      </c>
      <c r="AA325" s="52" t="s">
        <v>372</v>
      </c>
    </row>
    <row r="326" spans="2:27" ht="80.25" hidden="1" customHeight="1">
      <c r="B326" s="51" t="s">
        <v>43</v>
      </c>
      <c r="C326" s="51" t="s">
        <v>1759</v>
      </c>
      <c r="D326" s="51" t="s">
        <v>46</v>
      </c>
      <c r="E326" s="52">
        <v>1</v>
      </c>
      <c r="F326" s="51" t="s">
        <v>148</v>
      </c>
      <c r="G326" s="51" t="s">
        <v>149</v>
      </c>
      <c r="H326" s="51" t="s">
        <v>150</v>
      </c>
      <c r="I326" s="52">
        <v>3</v>
      </c>
      <c r="J326" s="51" t="s">
        <v>123</v>
      </c>
      <c r="K326" s="52">
        <v>4</v>
      </c>
      <c r="L326" s="52"/>
      <c r="M326" s="52"/>
      <c r="N326" s="53" t="s">
        <v>151</v>
      </c>
      <c r="O326" s="53" t="s">
        <v>152</v>
      </c>
      <c r="P326" s="52"/>
      <c r="Q326" s="53" t="s">
        <v>586</v>
      </c>
      <c r="R326" s="53"/>
      <c r="S326" s="54"/>
      <c r="T326" s="53" t="s">
        <v>1170</v>
      </c>
      <c r="U326" s="53" t="s">
        <v>1761</v>
      </c>
      <c r="V326" s="53" t="s">
        <v>555</v>
      </c>
      <c r="W326" s="319" t="s">
        <v>1765</v>
      </c>
      <c r="X326" s="51" t="s">
        <v>372</v>
      </c>
      <c r="Y326" s="54" t="s">
        <v>372</v>
      </c>
      <c r="Z326" s="54" t="s">
        <v>372</v>
      </c>
      <c r="AA326" s="52" t="s">
        <v>372</v>
      </c>
    </row>
    <row r="327" spans="2:27" ht="80.25" hidden="1" customHeight="1">
      <c r="B327" s="51" t="s">
        <v>43</v>
      </c>
      <c r="C327" s="51" t="s">
        <v>1759</v>
      </c>
      <c r="D327" s="51" t="s">
        <v>46</v>
      </c>
      <c r="E327" s="52">
        <v>1</v>
      </c>
      <c r="F327" s="51" t="s">
        <v>155</v>
      </c>
      <c r="G327" s="51" t="s">
        <v>156</v>
      </c>
      <c r="H327" s="51" t="s">
        <v>150</v>
      </c>
      <c r="I327" s="52">
        <v>3</v>
      </c>
      <c r="J327" s="51" t="s">
        <v>123</v>
      </c>
      <c r="K327" s="52">
        <v>4</v>
      </c>
      <c r="L327" s="52"/>
      <c r="M327" s="52"/>
      <c r="N327" s="53" t="s">
        <v>157</v>
      </c>
      <c r="O327" s="53" t="s">
        <v>158</v>
      </c>
      <c r="P327" s="52"/>
      <c r="Q327" s="53" t="s">
        <v>1252</v>
      </c>
      <c r="R327" s="53" t="s">
        <v>203</v>
      </c>
      <c r="S327" s="54" t="s">
        <v>1766</v>
      </c>
      <c r="T327" s="53" t="s">
        <v>1178</v>
      </c>
      <c r="U327" s="53" t="s">
        <v>1767</v>
      </c>
      <c r="V327" s="53" t="s">
        <v>1254</v>
      </c>
      <c r="W327" s="312" t="s">
        <v>1768</v>
      </c>
      <c r="X327" s="51" t="s">
        <v>1165</v>
      </c>
      <c r="Y327" s="54" t="s">
        <v>1256</v>
      </c>
      <c r="Z327" s="54" t="s">
        <v>590</v>
      </c>
      <c r="AA327" s="52" t="s">
        <v>372</v>
      </c>
    </row>
    <row r="328" spans="2:27" ht="80.25" hidden="1" customHeight="1">
      <c r="B328" s="51" t="s">
        <v>43</v>
      </c>
      <c r="C328" s="51" t="s">
        <v>1759</v>
      </c>
      <c r="D328" s="51" t="s">
        <v>46</v>
      </c>
      <c r="E328" s="52">
        <v>1</v>
      </c>
      <c r="F328" s="51" t="s">
        <v>167</v>
      </c>
      <c r="G328" s="51" t="s">
        <v>168</v>
      </c>
      <c r="H328" s="51" t="s">
        <v>150</v>
      </c>
      <c r="I328" s="52">
        <v>3</v>
      </c>
      <c r="J328" s="51" t="s">
        <v>123</v>
      </c>
      <c r="K328" s="52">
        <v>4</v>
      </c>
      <c r="L328" s="52"/>
      <c r="M328" s="52"/>
      <c r="N328" s="53" t="s">
        <v>169</v>
      </c>
      <c r="O328" s="53" t="s">
        <v>170</v>
      </c>
      <c r="P328" s="52"/>
      <c r="Q328" s="53" t="s">
        <v>1257</v>
      </c>
      <c r="R328" s="53" t="s">
        <v>203</v>
      </c>
      <c r="S328" s="54" t="s">
        <v>1769</v>
      </c>
      <c r="T328" s="53" t="s">
        <v>1178</v>
      </c>
      <c r="U328" s="53" t="s">
        <v>1767</v>
      </c>
      <c r="V328" s="53" t="s">
        <v>1258</v>
      </c>
      <c r="W328" s="312" t="s">
        <v>1770</v>
      </c>
      <c r="X328" s="51" t="s">
        <v>1165</v>
      </c>
      <c r="Y328" s="54" t="s">
        <v>1256</v>
      </c>
      <c r="Z328" s="54" t="s">
        <v>593</v>
      </c>
      <c r="AA328" s="52" t="s">
        <v>372</v>
      </c>
    </row>
    <row r="329" spans="2:27" ht="80.25" hidden="1" customHeight="1">
      <c r="B329" s="51" t="s">
        <v>43</v>
      </c>
      <c r="C329" s="51" t="s">
        <v>1759</v>
      </c>
      <c r="D329" s="51" t="s">
        <v>46</v>
      </c>
      <c r="E329" s="52">
        <v>1</v>
      </c>
      <c r="F329" s="51" t="s">
        <v>176</v>
      </c>
      <c r="G329" s="51" t="s">
        <v>177</v>
      </c>
      <c r="H329" s="51" t="s">
        <v>150</v>
      </c>
      <c r="I329" s="52">
        <v>6</v>
      </c>
      <c r="J329" s="51" t="s">
        <v>123</v>
      </c>
      <c r="K329" s="52">
        <v>4</v>
      </c>
      <c r="L329" s="52"/>
      <c r="M329" s="52"/>
      <c r="N329" s="53" t="s">
        <v>1771</v>
      </c>
      <c r="O329" s="53" t="s">
        <v>179</v>
      </c>
      <c r="P329" s="52"/>
      <c r="Q329" s="54"/>
      <c r="R329" s="53" t="s">
        <v>1393</v>
      </c>
      <c r="S329" s="53" t="s">
        <v>181</v>
      </c>
      <c r="T329" s="53" t="s">
        <v>1170</v>
      </c>
      <c r="U329" s="53" t="s">
        <v>1761</v>
      </c>
      <c r="V329" s="53" t="s">
        <v>555</v>
      </c>
      <c r="W329" s="319" t="s">
        <v>1772</v>
      </c>
      <c r="X329" s="51" t="s">
        <v>1165</v>
      </c>
      <c r="Y329" s="54" t="s">
        <v>372</v>
      </c>
      <c r="Z329" s="54" t="s">
        <v>372</v>
      </c>
      <c r="AA329" s="52" t="s">
        <v>373</v>
      </c>
    </row>
    <row r="330" spans="2:27" ht="80.25" hidden="1" customHeight="1">
      <c r="B330" s="51" t="s">
        <v>43</v>
      </c>
      <c r="C330" s="51" t="s">
        <v>1759</v>
      </c>
      <c r="D330" s="51" t="s">
        <v>46</v>
      </c>
      <c r="E330" s="52">
        <v>1</v>
      </c>
      <c r="F330" s="51" t="s">
        <v>187</v>
      </c>
      <c r="G330" s="51" t="s">
        <v>188</v>
      </c>
      <c r="H330" s="51" t="s">
        <v>150</v>
      </c>
      <c r="I330" s="52">
        <v>7</v>
      </c>
      <c r="J330" s="51" t="s">
        <v>123</v>
      </c>
      <c r="K330" s="52">
        <v>30</v>
      </c>
      <c r="L330" s="52"/>
      <c r="M330" s="52"/>
      <c r="N330" s="53" t="s">
        <v>1773</v>
      </c>
      <c r="O330" s="53" t="s">
        <v>190</v>
      </c>
      <c r="P330" s="52"/>
      <c r="Q330" s="54"/>
      <c r="R330" s="53" t="s">
        <v>1393</v>
      </c>
      <c r="S330" s="53" t="s">
        <v>181</v>
      </c>
      <c r="T330" s="53" t="s">
        <v>1178</v>
      </c>
      <c r="U330" s="53" t="s">
        <v>1774</v>
      </c>
      <c r="V330" s="53" t="s">
        <v>1265</v>
      </c>
      <c r="W330" s="312" t="s">
        <v>1775</v>
      </c>
      <c r="X330" s="51" t="s">
        <v>1165</v>
      </c>
      <c r="Y330" s="54" t="s">
        <v>1267</v>
      </c>
      <c r="Z330" s="54" t="s">
        <v>1776</v>
      </c>
      <c r="AA330" s="52" t="s">
        <v>372</v>
      </c>
    </row>
    <row r="331" spans="2:27" ht="80.25" hidden="1" customHeight="1">
      <c r="B331" s="51" t="s">
        <v>43</v>
      </c>
      <c r="C331" s="51" t="s">
        <v>1759</v>
      </c>
      <c r="D331" s="51" t="s">
        <v>46</v>
      </c>
      <c r="E331" s="52">
        <v>1</v>
      </c>
      <c r="F331" s="51" t="s">
        <v>198</v>
      </c>
      <c r="G331" s="51" t="s">
        <v>199</v>
      </c>
      <c r="H331" s="51" t="s">
        <v>200</v>
      </c>
      <c r="I331" s="52">
        <v>8</v>
      </c>
      <c r="J331" s="51" t="s">
        <v>123</v>
      </c>
      <c r="K331" s="52">
        <v>10</v>
      </c>
      <c r="L331" s="52"/>
      <c r="M331" s="52"/>
      <c r="N331" s="53" t="s">
        <v>1777</v>
      </c>
      <c r="O331" s="53" t="s">
        <v>202</v>
      </c>
      <c r="P331" s="52"/>
      <c r="Q331" s="54"/>
      <c r="R331" s="53" t="s">
        <v>203</v>
      </c>
      <c r="S331" s="54" t="s">
        <v>198</v>
      </c>
      <c r="T331" s="53" t="s">
        <v>1161</v>
      </c>
      <c r="U331" s="53" t="s">
        <v>1763</v>
      </c>
      <c r="V331" s="53" t="s">
        <v>1271</v>
      </c>
      <c r="W331" s="312" t="s">
        <v>1778</v>
      </c>
      <c r="X331" s="51" t="s">
        <v>1165</v>
      </c>
      <c r="Y331" s="54" t="s">
        <v>1182</v>
      </c>
      <c r="Z331" s="54" t="s">
        <v>1273</v>
      </c>
      <c r="AA331" s="52" t="s">
        <v>372</v>
      </c>
    </row>
    <row r="332" spans="2:27" ht="80.25" hidden="1" customHeight="1">
      <c r="B332" s="51" t="s">
        <v>43</v>
      </c>
      <c r="C332" s="51" t="s">
        <v>1759</v>
      </c>
      <c r="D332" s="51" t="s">
        <v>46</v>
      </c>
      <c r="E332" s="52">
        <v>1</v>
      </c>
      <c r="F332" s="51" t="s">
        <v>210</v>
      </c>
      <c r="G332" s="51" t="s">
        <v>211</v>
      </c>
      <c r="H332" s="51" t="s">
        <v>200</v>
      </c>
      <c r="I332" s="52">
        <v>9</v>
      </c>
      <c r="J332" s="51" t="s">
        <v>123</v>
      </c>
      <c r="K332" s="52">
        <v>10</v>
      </c>
      <c r="L332" s="52"/>
      <c r="M332" s="52"/>
      <c r="N332" s="53" t="s">
        <v>212</v>
      </c>
      <c r="O332" s="53" t="s">
        <v>213</v>
      </c>
      <c r="P332" s="52"/>
      <c r="Q332" s="54"/>
      <c r="R332" s="53"/>
      <c r="S332" s="54"/>
      <c r="T332" s="53" t="s">
        <v>1170</v>
      </c>
      <c r="U332" s="53" t="s">
        <v>1761</v>
      </c>
      <c r="V332" s="53" t="s">
        <v>351</v>
      </c>
      <c r="W332" s="312" t="s">
        <v>1779</v>
      </c>
      <c r="X332" s="51" t="s">
        <v>1165</v>
      </c>
      <c r="Y332" s="54" t="s">
        <v>372</v>
      </c>
      <c r="Z332" s="54" t="s">
        <v>372</v>
      </c>
      <c r="AA332" s="64" t="s">
        <v>636</v>
      </c>
    </row>
    <row r="333" spans="2:27" ht="80.25" hidden="1" customHeight="1">
      <c r="B333" s="51" t="s">
        <v>43</v>
      </c>
      <c r="C333" s="51" t="s">
        <v>1759</v>
      </c>
      <c r="D333" s="51" t="s">
        <v>46</v>
      </c>
      <c r="E333" s="52">
        <v>1</v>
      </c>
      <c r="F333" s="51" t="s">
        <v>222</v>
      </c>
      <c r="G333" s="51" t="s">
        <v>223</v>
      </c>
      <c r="H333" s="51" t="s">
        <v>1275</v>
      </c>
      <c r="I333" s="52">
        <v>10</v>
      </c>
      <c r="J333" s="51" t="s">
        <v>123</v>
      </c>
      <c r="K333" s="52">
        <v>4</v>
      </c>
      <c r="L333" s="52"/>
      <c r="M333" s="52"/>
      <c r="N333" s="53" t="s">
        <v>1780</v>
      </c>
      <c r="O333" s="53" t="s">
        <v>226</v>
      </c>
      <c r="P333" s="52"/>
      <c r="Q333" s="53" t="s">
        <v>1277</v>
      </c>
      <c r="R333" s="53" t="s">
        <v>654</v>
      </c>
      <c r="S333" s="53" t="s">
        <v>229</v>
      </c>
      <c r="T333" s="53" t="s">
        <v>1161</v>
      </c>
      <c r="U333" s="53" t="s">
        <v>1763</v>
      </c>
      <c r="V333" s="53" t="s">
        <v>1278</v>
      </c>
      <c r="W333" s="312" t="s">
        <v>1781</v>
      </c>
      <c r="X333" s="51" t="s">
        <v>1165</v>
      </c>
      <c r="Y333" s="54" t="s">
        <v>1182</v>
      </c>
      <c r="Z333" s="54" t="s">
        <v>1280</v>
      </c>
      <c r="AA333" s="52" t="s">
        <v>372</v>
      </c>
    </row>
    <row r="334" spans="2:27" ht="80.25" hidden="1" customHeight="1">
      <c r="B334" s="51" t="s">
        <v>43</v>
      </c>
      <c r="C334" s="51" t="s">
        <v>1759</v>
      </c>
      <c r="D334" s="51" t="s">
        <v>46</v>
      </c>
      <c r="E334" s="52">
        <v>1</v>
      </c>
      <c r="F334" s="51" t="s">
        <v>293</v>
      </c>
      <c r="G334" s="51" t="s">
        <v>294</v>
      </c>
      <c r="H334" s="51" t="s">
        <v>295</v>
      </c>
      <c r="I334" s="52">
        <v>11</v>
      </c>
      <c r="J334" s="51" t="s">
        <v>123</v>
      </c>
      <c r="K334" s="52">
        <v>4</v>
      </c>
      <c r="L334" s="52"/>
      <c r="M334" s="52"/>
      <c r="N334" s="53" t="s">
        <v>1782</v>
      </c>
      <c r="O334" s="53" t="s">
        <v>297</v>
      </c>
      <c r="P334" s="52"/>
      <c r="Q334" s="53" t="s">
        <v>1285</v>
      </c>
      <c r="R334" s="53" t="s">
        <v>299</v>
      </c>
      <c r="S334" s="54" t="s">
        <v>300</v>
      </c>
      <c r="T334" s="55" t="s">
        <v>1170</v>
      </c>
      <c r="U334" s="55" t="s">
        <v>1761</v>
      </c>
      <c r="V334" s="55" t="s">
        <v>555</v>
      </c>
      <c r="W334" s="77" t="s">
        <v>1783</v>
      </c>
      <c r="X334" s="51" t="s">
        <v>1165</v>
      </c>
      <c r="Y334" s="54" t="s">
        <v>1182</v>
      </c>
      <c r="Z334" s="54" t="s">
        <v>1288</v>
      </c>
      <c r="AA334" s="52" t="s">
        <v>372</v>
      </c>
    </row>
    <row r="335" spans="2:27" ht="80.25" hidden="1" customHeight="1">
      <c r="B335" s="51" t="s">
        <v>43</v>
      </c>
      <c r="C335" s="51" t="s">
        <v>1759</v>
      </c>
      <c r="D335" s="51" t="s">
        <v>46</v>
      </c>
      <c r="E335" s="52">
        <v>1</v>
      </c>
      <c r="F335" s="51" t="s">
        <v>304</v>
      </c>
      <c r="G335" s="51" t="s">
        <v>305</v>
      </c>
      <c r="H335" s="54" t="s">
        <v>295</v>
      </c>
      <c r="I335" s="52">
        <v>12</v>
      </c>
      <c r="J335" s="51" t="s">
        <v>123</v>
      </c>
      <c r="K335" s="52">
        <v>4</v>
      </c>
      <c r="L335" s="52"/>
      <c r="M335" s="52"/>
      <c r="N335" s="53" t="s">
        <v>306</v>
      </c>
      <c r="O335" s="53" t="s">
        <v>307</v>
      </c>
      <c r="P335" s="52"/>
      <c r="Q335" s="53" t="s">
        <v>1784</v>
      </c>
      <c r="R335" s="55" t="s">
        <v>203</v>
      </c>
      <c r="S335" s="51" t="s">
        <v>309</v>
      </c>
      <c r="T335" s="55" t="s">
        <v>1785</v>
      </c>
      <c r="U335" s="55" t="s">
        <v>1786</v>
      </c>
      <c r="V335" s="55" t="s">
        <v>1787</v>
      </c>
      <c r="W335" s="346" t="s">
        <v>1788</v>
      </c>
      <c r="X335" s="51" t="s">
        <v>1165</v>
      </c>
      <c r="Y335" s="65" t="s">
        <v>1789</v>
      </c>
      <c r="Z335" s="65" t="s">
        <v>1790</v>
      </c>
      <c r="AA335" s="52" t="s">
        <v>1791</v>
      </c>
    </row>
    <row r="336" spans="2:27" ht="80.25" hidden="1" customHeight="1">
      <c r="B336" s="51" t="s">
        <v>43</v>
      </c>
      <c r="C336" s="51" t="s">
        <v>1759</v>
      </c>
      <c r="D336" s="51" t="s">
        <v>46</v>
      </c>
      <c r="E336" s="52">
        <v>1</v>
      </c>
      <c r="F336" s="51" t="s">
        <v>317</v>
      </c>
      <c r="G336" s="51" t="s">
        <v>318</v>
      </c>
      <c r="H336" s="51" t="s">
        <v>319</v>
      </c>
      <c r="I336" s="52">
        <v>13</v>
      </c>
      <c r="J336" s="51" t="s">
        <v>123</v>
      </c>
      <c r="K336" s="52">
        <v>2</v>
      </c>
      <c r="L336" s="52"/>
      <c r="M336" s="52"/>
      <c r="N336" s="53" t="s">
        <v>320</v>
      </c>
      <c r="O336" s="53" t="s">
        <v>321</v>
      </c>
      <c r="P336" s="52"/>
      <c r="Q336" s="53" t="s">
        <v>463</v>
      </c>
      <c r="R336" s="53"/>
      <c r="S336" s="54"/>
      <c r="T336" s="53" t="s">
        <v>1161</v>
      </c>
      <c r="U336" s="53" t="s">
        <v>1763</v>
      </c>
      <c r="V336" s="84" t="s">
        <v>351</v>
      </c>
      <c r="W336" s="314" t="s">
        <v>1792</v>
      </c>
      <c r="X336" s="51" t="s">
        <v>1165</v>
      </c>
      <c r="Y336" s="54" t="s">
        <v>372</v>
      </c>
      <c r="Z336" s="54" t="s">
        <v>372</v>
      </c>
      <c r="AA336" s="52" t="s">
        <v>1793</v>
      </c>
    </row>
    <row r="337" spans="2:27" ht="80.25" hidden="1" customHeight="1">
      <c r="B337" s="51" t="s">
        <v>43</v>
      </c>
      <c r="C337" s="51" t="s">
        <v>1759</v>
      </c>
      <c r="D337" s="51" t="s">
        <v>46</v>
      </c>
      <c r="E337" s="52">
        <v>2</v>
      </c>
      <c r="F337" s="51" t="s">
        <v>326</v>
      </c>
      <c r="G337" s="51" t="s">
        <v>327</v>
      </c>
      <c r="H337" s="51" t="s">
        <v>328</v>
      </c>
      <c r="I337" s="52">
        <v>14</v>
      </c>
      <c r="J337" s="51" t="s">
        <v>123</v>
      </c>
      <c r="K337" s="52">
        <v>10</v>
      </c>
      <c r="L337" s="52"/>
      <c r="M337" s="52"/>
      <c r="N337" s="53" t="s">
        <v>329</v>
      </c>
      <c r="O337" s="53" t="s">
        <v>361</v>
      </c>
      <c r="P337" s="52" t="s">
        <v>126</v>
      </c>
      <c r="Q337" s="54"/>
      <c r="R337" s="53" t="s">
        <v>275</v>
      </c>
      <c r="S337" s="54" t="s">
        <v>803</v>
      </c>
      <c r="T337" s="53" t="s">
        <v>1161</v>
      </c>
      <c r="U337" s="53" t="s">
        <v>1763</v>
      </c>
      <c r="V337" s="53" t="s">
        <v>804</v>
      </c>
      <c r="W337" s="312" t="s">
        <v>1794</v>
      </c>
      <c r="X337" s="51" t="s">
        <v>372</v>
      </c>
      <c r="Y337" s="54" t="s">
        <v>372</v>
      </c>
      <c r="Z337" s="54" t="s">
        <v>372</v>
      </c>
      <c r="AA337" s="52" t="s">
        <v>372</v>
      </c>
    </row>
    <row r="338" spans="2:27" ht="80.25" hidden="1" customHeight="1">
      <c r="B338" s="51" t="s">
        <v>43</v>
      </c>
      <c r="C338" s="51" t="s">
        <v>1759</v>
      </c>
      <c r="D338" s="51" t="s">
        <v>46</v>
      </c>
      <c r="E338" s="52">
        <v>2</v>
      </c>
      <c r="F338" s="51" t="s">
        <v>333</v>
      </c>
      <c r="G338" s="51" t="s">
        <v>334</v>
      </c>
      <c r="H338" s="51" t="s">
        <v>335</v>
      </c>
      <c r="I338" s="52">
        <v>15</v>
      </c>
      <c r="J338" s="51" t="s">
        <v>336</v>
      </c>
      <c r="K338" s="52">
        <v>23</v>
      </c>
      <c r="L338" s="52"/>
      <c r="M338" s="52"/>
      <c r="N338" s="53" t="s">
        <v>337</v>
      </c>
      <c r="O338" s="53" t="s">
        <v>338</v>
      </c>
      <c r="P338" s="52"/>
      <c r="Q338" s="54"/>
      <c r="R338" s="53"/>
      <c r="S338" s="54"/>
      <c r="T338" s="53" t="s">
        <v>1161</v>
      </c>
      <c r="U338" s="53" t="s">
        <v>1763</v>
      </c>
      <c r="V338" s="53" t="s">
        <v>351</v>
      </c>
      <c r="W338" s="312" t="s">
        <v>1795</v>
      </c>
      <c r="X338" s="51" t="s">
        <v>372</v>
      </c>
      <c r="Y338" s="54" t="s">
        <v>372</v>
      </c>
      <c r="Z338" s="54" t="s">
        <v>372</v>
      </c>
      <c r="AA338" s="52" t="s">
        <v>372</v>
      </c>
    </row>
    <row r="339" spans="2:27" ht="80.25" hidden="1" customHeight="1">
      <c r="B339" s="51" t="s">
        <v>48</v>
      </c>
      <c r="C339" s="51" t="s">
        <v>1796</v>
      </c>
      <c r="D339" s="51" t="s">
        <v>49</v>
      </c>
      <c r="E339" s="52">
        <v>1</v>
      </c>
      <c r="F339" s="51" t="s">
        <v>120</v>
      </c>
      <c r="G339" s="56" t="s">
        <v>121</v>
      </c>
      <c r="H339" s="51" t="s">
        <v>122</v>
      </c>
      <c r="I339" s="52">
        <v>1</v>
      </c>
      <c r="J339" s="51" t="s">
        <v>123</v>
      </c>
      <c r="K339" s="52">
        <v>4</v>
      </c>
      <c r="L339" s="52"/>
      <c r="M339" s="52"/>
      <c r="N339" s="321" t="s">
        <v>124</v>
      </c>
      <c r="O339" s="53" t="s">
        <v>125</v>
      </c>
      <c r="P339" s="52" t="s">
        <v>126</v>
      </c>
      <c r="Q339" s="51"/>
      <c r="R339" s="55" t="s">
        <v>1326</v>
      </c>
      <c r="S339" s="55" t="s">
        <v>1327</v>
      </c>
      <c r="T339" s="55" t="s">
        <v>1797</v>
      </c>
      <c r="U339" s="55" t="s">
        <v>1798</v>
      </c>
      <c r="V339" s="53" t="s">
        <v>1799</v>
      </c>
      <c r="W339" s="312" t="s">
        <v>1800</v>
      </c>
      <c r="X339" s="55" t="s">
        <v>1801</v>
      </c>
      <c r="Y339" s="53" t="s">
        <v>244</v>
      </c>
      <c r="Z339" s="53" t="s">
        <v>244</v>
      </c>
      <c r="AA339" s="60" t="s">
        <v>1802</v>
      </c>
    </row>
    <row r="340" spans="2:27" ht="80.25" hidden="1" customHeight="1">
      <c r="B340" s="51" t="s">
        <v>48</v>
      </c>
      <c r="C340" s="51" t="s">
        <v>1796</v>
      </c>
      <c r="D340" s="51" t="s">
        <v>49</v>
      </c>
      <c r="E340" s="52">
        <v>1</v>
      </c>
      <c r="F340" s="51" t="s">
        <v>136</v>
      </c>
      <c r="G340" s="51" t="s">
        <v>137</v>
      </c>
      <c r="H340" s="51" t="s">
        <v>122</v>
      </c>
      <c r="I340" s="52">
        <v>2</v>
      </c>
      <c r="J340" s="51" t="s">
        <v>123</v>
      </c>
      <c r="K340" s="52">
        <v>30</v>
      </c>
      <c r="L340" s="52"/>
      <c r="M340" s="52"/>
      <c r="N340" s="53" t="s">
        <v>138</v>
      </c>
      <c r="O340" s="53" t="s">
        <v>139</v>
      </c>
      <c r="P340" s="52" t="s">
        <v>126</v>
      </c>
      <c r="Q340" s="51"/>
      <c r="R340" s="55" t="s">
        <v>1326</v>
      </c>
      <c r="S340" s="55" t="s">
        <v>1327</v>
      </c>
      <c r="T340" s="55" t="s">
        <v>1803</v>
      </c>
      <c r="U340" s="55" t="s">
        <v>1804</v>
      </c>
      <c r="V340" s="55" t="s">
        <v>1805</v>
      </c>
      <c r="W340" s="77" t="s">
        <v>1806</v>
      </c>
      <c r="X340" s="55" t="s">
        <v>1801</v>
      </c>
      <c r="Y340" s="53" t="s">
        <v>1807</v>
      </c>
      <c r="Z340" s="76" t="s">
        <v>1808</v>
      </c>
      <c r="AA340" s="60" t="s">
        <v>244</v>
      </c>
    </row>
    <row r="341" spans="2:27" ht="80.25" hidden="1" customHeight="1">
      <c r="B341" s="51" t="s">
        <v>48</v>
      </c>
      <c r="C341" s="51" t="s">
        <v>1796</v>
      </c>
      <c r="D341" s="51" t="s">
        <v>49</v>
      </c>
      <c r="E341" s="52">
        <v>1</v>
      </c>
      <c r="F341" s="51" t="s">
        <v>148</v>
      </c>
      <c r="G341" s="51" t="s">
        <v>149</v>
      </c>
      <c r="H341" s="54" t="s">
        <v>150</v>
      </c>
      <c r="I341" s="52">
        <v>3</v>
      </c>
      <c r="J341" s="51" t="s">
        <v>123</v>
      </c>
      <c r="K341" s="52">
        <v>3</v>
      </c>
      <c r="L341" s="52"/>
      <c r="M341" s="52"/>
      <c r="N341" s="53" t="s">
        <v>151</v>
      </c>
      <c r="O341" s="53" t="s">
        <v>152</v>
      </c>
      <c r="P341" s="52"/>
      <c r="Q341" s="53" t="s">
        <v>1809</v>
      </c>
      <c r="R341" s="55"/>
      <c r="S341" s="51"/>
      <c r="T341" s="55" t="s">
        <v>1797</v>
      </c>
      <c r="U341" s="55" t="s">
        <v>1798</v>
      </c>
      <c r="V341" s="53" t="s">
        <v>1799</v>
      </c>
      <c r="W341" s="77" t="s">
        <v>1810</v>
      </c>
      <c r="X341" s="53" t="s">
        <v>1801</v>
      </c>
      <c r="Y341" s="53" t="s">
        <v>244</v>
      </c>
      <c r="Z341" s="53" t="s">
        <v>244</v>
      </c>
      <c r="AA341" s="60" t="s">
        <v>244</v>
      </c>
    </row>
    <row r="342" spans="2:27" ht="80.25" hidden="1" customHeight="1">
      <c r="B342" s="51" t="s">
        <v>48</v>
      </c>
      <c r="C342" s="51" t="s">
        <v>1796</v>
      </c>
      <c r="D342" s="51" t="s">
        <v>49</v>
      </c>
      <c r="E342" s="52">
        <v>1</v>
      </c>
      <c r="F342" s="51" t="s">
        <v>155</v>
      </c>
      <c r="G342" s="51" t="s">
        <v>156</v>
      </c>
      <c r="H342" s="54" t="s">
        <v>150</v>
      </c>
      <c r="I342" s="52">
        <v>3</v>
      </c>
      <c r="J342" s="51" t="s">
        <v>123</v>
      </c>
      <c r="K342" s="52">
        <v>3</v>
      </c>
      <c r="L342" s="52"/>
      <c r="M342" s="52"/>
      <c r="N342" s="53" t="s">
        <v>157</v>
      </c>
      <c r="O342" s="53" t="s">
        <v>158</v>
      </c>
      <c r="P342" s="52"/>
      <c r="Q342" s="55" t="s">
        <v>1811</v>
      </c>
      <c r="R342" s="55" t="s">
        <v>160</v>
      </c>
      <c r="S342" s="55" t="s">
        <v>161</v>
      </c>
      <c r="T342" s="55" t="s">
        <v>1812</v>
      </c>
      <c r="U342" s="55" t="s">
        <v>1813</v>
      </c>
      <c r="V342" s="53" t="s">
        <v>1814</v>
      </c>
      <c r="W342" s="312" t="s">
        <v>1815</v>
      </c>
      <c r="X342" s="55" t="s">
        <v>1801</v>
      </c>
      <c r="Y342" s="65" t="s">
        <v>1816</v>
      </c>
      <c r="Z342" s="65" t="s">
        <v>1817</v>
      </c>
      <c r="AA342" s="60" t="s">
        <v>1818</v>
      </c>
    </row>
    <row r="343" spans="2:27" ht="80.25" hidden="1" customHeight="1">
      <c r="B343" s="51" t="s">
        <v>48</v>
      </c>
      <c r="C343" s="51" t="s">
        <v>1796</v>
      </c>
      <c r="D343" s="51" t="s">
        <v>49</v>
      </c>
      <c r="E343" s="52">
        <v>1</v>
      </c>
      <c r="F343" s="51" t="s">
        <v>167</v>
      </c>
      <c r="G343" s="51" t="s">
        <v>168</v>
      </c>
      <c r="H343" s="54" t="s">
        <v>150</v>
      </c>
      <c r="I343" s="52">
        <v>4</v>
      </c>
      <c r="J343" s="51" t="s">
        <v>123</v>
      </c>
      <c r="K343" s="52">
        <v>3</v>
      </c>
      <c r="L343" s="52"/>
      <c r="M343" s="52"/>
      <c r="N343" s="53" t="s">
        <v>169</v>
      </c>
      <c r="O343" s="53" t="s">
        <v>170</v>
      </c>
      <c r="P343" s="52"/>
      <c r="Q343" s="53" t="s">
        <v>1819</v>
      </c>
      <c r="R343" s="55" t="s">
        <v>160</v>
      </c>
      <c r="S343" s="55" t="s">
        <v>172</v>
      </c>
      <c r="T343" s="55" t="s">
        <v>1820</v>
      </c>
      <c r="U343" s="55" t="s">
        <v>1821</v>
      </c>
      <c r="V343" s="55" t="s">
        <v>1822</v>
      </c>
      <c r="W343" s="77" t="s">
        <v>1823</v>
      </c>
      <c r="X343" s="55" t="s">
        <v>1801</v>
      </c>
      <c r="Y343" s="65" t="s">
        <v>1824</v>
      </c>
      <c r="Z343" s="65" t="s">
        <v>1825</v>
      </c>
      <c r="AA343" s="60" t="s">
        <v>1826</v>
      </c>
    </row>
    <row r="344" spans="2:27" ht="80.25" hidden="1" customHeight="1">
      <c r="B344" s="51" t="s">
        <v>48</v>
      </c>
      <c r="C344" s="51" t="s">
        <v>1796</v>
      </c>
      <c r="D344" s="51" t="s">
        <v>49</v>
      </c>
      <c r="E344" s="52">
        <v>1</v>
      </c>
      <c r="F344" s="51" t="s">
        <v>176</v>
      </c>
      <c r="G344" s="51" t="s">
        <v>177</v>
      </c>
      <c r="H344" s="54" t="s">
        <v>150</v>
      </c>
      <c r="I344" s="52">
        <v>5</v>
      </c>
      <c r="J344" s="51" t="s">
        <v>123</v>
      </c>
      <c r="K344" s="52">
        <v>4</v>
      </c>
      <c r="L344" s="52"/>
      <c r="M344" s="52"/>
      <c r="N344" s="72" t="s">
        <v>1827</v>
      </c>
      <c r="O344" s="53" t="s">
        <v>179</v>
      </c>
      <c r="P344" s="52"/>
      <c r="Q344" s="54"/>
      <c r="R344" s="55" t="s">
        <v>180</v>
      </c>
      <c r="S344" s="55" t="s">
        <v>181</v>
      </c>
      <c r="T344" s="55" t="s">
        <v>1828</v>
      </c>
      <c r="U344" s="55" t="s">
        <v>1829</v>
      </c>
      <c r="V344" s="55" t="s">
        <v>1830</v>
      </c>
      <c r="W344" s="77" t="s">
        <v>1831</v>
      </c>
      <c r="X344" s="55" t="s">
        <v>1801</v>
      </c>
      <c r="Y344" s="65" t="s">
        <v>1832</v>
      </c>
      <c r="Z344" s="65" t="s">
        <v>1832</v>
      </c>
      <c r="AA344" s="60" t="s">
        <v>1833</v>
      </c>
    </row>
    <row r="345" spans="2:27" ht="80.25" hidden="1" customHeight="1">
      <c r="B345" s="51" t="s">
        <v>48</v>
      </c>
      <c r="C345" s="51" t="s">
        <v>1796</v>
      </c>
      <c r="D345" s="51" t="s">
        <v>49</v>
      </c>
      <c r="E345" s="52">
        <v>1</v>
      </c>
      <c r="F345" s="51" t="s">
        <v>187</v>
      </c>
      <c r="G345" s="51" t="s">
        <v>188</v>
      </c>
      <c r="H345" s="54" t="s">
        <v>150</v>
      </c>
      <c r="I345" s="52">
        <v>6</v>
      </c>
      <c r="J345" s="51" t="s">
        <v>123</v>
      </c>
      <c r="K345" s="52">
        <v>30</v>
      </c>
      <c r="L345" s="52"/>
      <c r="M345" s="52"/>
      <c r="N345" s="53" t="s">
        <v>1834</v>
      </c>
      <c r="O345" s="53" t="s">
        <v>190</v>
      </c>
      <c r="P345" s="52"/>
      <c r="Q345" s="54"/>
      <c r="R345" s="55" t="s">
        <v>180</v>
      </c>
      <c r="S345" s="55" t="s">
        <v>181</v>
      </c>
      <c r="T345" s="55" t="s">
        <v>1835</v>
      </c>
      <c r="U345" s="55" t="s">
        <v>1836</v>
      </c>
      <c r="V345" s="55" t="s">
        <v>1837</v>
      </c>
      <c r="W345" s="77" t="s">
        <v>1838</v>
      </c>
      <c r="X345" s="55" t="s">
        <v>1801</v>
      </c>
      <c r="Y345" s="53" t="s">
        <v>1839</v>
      </c>
      <c r="Z345" s="65" t="s">
        <v>1840</v>
      </c>
      <c r="AA345" s="60" t="s">
        <v>1841</v>
      </c>
    </row>
    <row r="346" spans="2:27" ht="80.25" hidden="1" customHeight="1">
      <c r="B346" s="51" t="s">
        <v>48</v>
      </c>
      <c r="C346" s="51" t="s">
        <v>1796</v>
      </c>
      <c r="D346" s="51" t="s">
        <v>49</v>
      </c>
      <c r="E346" s="52">
        <v>1</v>
      </c>
      <c r="F346" s="51" t="s">
        <v>1842</v>
      </c>
      <c r="G346" s="51" t="s">
        <v>1843</v>
      </c>
      <c r="H346" s="54" t="s">
        <v>150</v>
      </c>
      <c r="I346" s="52">
        <v>7</v>
      </c>
      <c r="J346" s="51" t="s">
        <v>123</v>
      </c>
      <c r="K346" s="52">
        <v>21</v>
      </c>
      <c r="L346" s="52"/>
      <c r="M346" s="52"/>
      <c r="N346" s="53" t="s">
        <v>1844</v>
      </c>
      <c r="O346" s="53" t="s">
        <v>1845</v>
      </c>
      <c r="P346" s="52"/>
      <c r="Q346" s="54"/>
      <c r="R346" s="53"/>
      <c r="S346" s="54"/>
      <c r="T346" s="55" t="s">
        <v>1835</v>
      </c>
      <c r="U346" s="55" t="s">
        <v>1836</v>
      </c>
      <c r="V346" s="55" t="s">
        <v>1846</v>
      </c>
      <c r="W346" s="77" t="s">
        <v>1847</v>
      </c>
      <c r="X346" s="55" t="s">
        <v>1801</v>
      </c>
      <c r="Y346" s="53" t="s">
        <v>1848</v>
      </c>
      <c r="Z346" s="53" t="s">
        <v>1849</v>
      </c>
      <c r="AA346" s="60" t="s">
        <v>1850</v>
      </c>
    </row>
    <row r="347" spans="2:27" ht="80.25" hidden="1" customHeight="1">
      <c r="B347" s="51" t="s">
        <v>48</v>
      </c>
      <c r="C347" s="51" t="s">
        <v>1796</v>
      </c>
      <c r="D347" s="51" t="s">
        <v>49</v>
      </c>
      <c r="E347" s="52">
        <v>1</v>
      </c>
      <c r="F347" s="51" t="s">
        <v>1851</v>
      </c>
      <c r="G347" s="51" t="s">
        <v>1852</v>
      </c>
      <c r="H347" s="54" t="s">
        <v>150</v>
      </c>
      <c r="I347" s="52">
        <v>8</v>
      </c>
      <c r="J347" s="51" t="s">
        <v>123</v>
      </c>
      <c r="K347" s="52">
        <v>4</v>
      </c>
      <c r="L347" s="52"/>
      <c r="M347" s="52"/>
      <c r="N347" s="53" t="s">
        <v>1853</v>
      </c>
      <c r="O347" s="53" t="s">
        <v>1854</v>
      </c>
      <c r="P347" s="52"/>
      <c r="Q347" s="54"/>
      <c r="R347" s="55"/>
      <c r="S347" s="51"/>
      <c r="T347" s="55" t="s">
        <v>1855</v>
      </c>
      <c r="U347" s="55" t="s">
        <v>1856</v>
      </c>
      <c r="V347" s="55" t="s">
        <v>1857</v>
      </c>
      <c r="W347" s="77" t="s">
        <v>1858</v>
      </c>
      <c r="X347" s="55" t="s">
        <v>1801</v>
      </c>
      <c r="Y347" s="65" t="s">
        <v>1832</v>
      </c>
      <c r="Z347" s="65" t="s">
        <v>1832</v>
      </c>
      <c r="AA347" s="60" t="s">
        <v>1859</v>
      </c>
    </row>
    <row r="348" spans="2:27" ht="80.25" hidden="1" customHeight="1">
      <c r="B348" s="51" t="s">
        <v>48</v>
      </c>
      <c r="C348" s="51" t="s">
        <v>1796</v>
      </c>
      <c r="D348" s="51" t="s">
        <v>49</v>
      </c>
      <c r="E348" s="52">
        <v>1</v>
      </c>
      <c r="F348" s="51" t="s">
        <v>1860</v>
      </c>
      <c r="G348" s="51" t="s">
        <v>1861</v>
      </c>
      <c r="H348" s="54" t="s">
        <v>150</v>
      </c>
      <c r="I348" s="52">
        <v>9</v>
      </c>
      <c r="J348" s="51" t="s">
        <v>123</v>
      </c>
      <c r="K348" s="52">
        <v>30</v>
      </c>
      <c r="L348" s="52"/>
      <c r="M348" s="52"/>
      <c r="N348" s="53" t="s">
        <v>1862</v>
      </c>
      <c r="O348" s="53" t="s">
        <v>1863</v>
      </c>
      <c r="P348" s="52"/>
      <c r="Q348" s="54"/>
      <c r="R348" s="55"/>
      <c r="S348" s="51"/>
      <c r="T348" s="55" t="s">
        <v>1835</v>
      </c>
      <c r="U348" s="55" t="s">
        <v>1836</v>
      </c>
      <c r="V348" s="55" t="s">
        <v>1864</v>
      </c>
      <c r="W348" s="77" t="s">
        <v>1865</v>
      </c>
      <c r="X348" s="55" t="s">
        <v>1801</v>
      </c>
      <c r="Y348" s="53" t="s">
        <v>1866</v>
      </c>
      <c r="Z348" s="66" t="s">
        <v>1867</v>
      </c>
      <c r="AA348" s="60" t="s">
        <v>1868</v>
      </c>
    </row>
    <row r="349" spans="2:27" ht="80.25" hidden="1" customHeight="1">
      <c r="B349" s="51" t="s">
        <v>48</v>
      </c>
      <c r="C349" s="51" t="s">
        <v>1796</v>
      </c>
      <c r="D349" s="51" t="s">
        <v>49</v>
      </c>
      <c r="E349" s="52">
        <v>1</v>
      </c>
      <c r="F349" s="51" t="s">
        <v>1869</v>
      </c>
      <c r="G349" s="51" t="s">
        <v>1870</v>
      </c>
      <c r="H349" s="54" t="s">
        <v>150</v>
      </c>
      <c r="I349" s="52">
        <v>10</v>
      </c>
      <c r="J349" s="51" t="s">
        <v>123</v>
      </c>
      <c r="K349" s="52">
        <v>21</v>
      </c>
      <c r="L349" s="52"/>
      <c r="M349" s="52"/>
      <c r="N349" s="53" t="s">
        <v>1871</v>
      </c>
      <c r="O349" s="53" t="s">
        <v>1872</v>
      </c>
      <c r="P349" s="52"/>
      <c r="Q349" s="54"/>
      <c r="R349" s="53"/>
      <c r="S349" s="54"/>
      <c r="T349" s="55" t="s">
        <v>1835</v>
      </c>
      <c r="U349" s="55" t="s">
        <v>1836</v>
      </c>
      <c r="V349" s="55" t="s">
        <v>1864</v>
      </c>
      <c r="W349" s="77" t="s">
        <v>1873</v>
      </c>
      <c r="X349" s="55" t="s">
        <v>1801</v>
      </c>
      <c r="Y349" s="53" t="s">
        <v>1848</v>
      </c>
      <c r="Z349" s="66" t="s">
        <v>1874</v>
      </c>
      <c r="AA349" s="60" t="s">
        <v>1850</v>
      </c>
    </row>
    <row r="350" spans="2:27" ht="80.25" hidden="1" customHeight="1">
      <c r="B350" s="51" t="s">
        <v>48</v>
      </c>
      <c r="C350" s="51" t="s">
        <v>1796</v>
      </c>
      <c r="D350" s="51" t="s">
        <v>49</v>
      </c>
      <c r="E350" s="52">
        <v>1</v>
      </c>
      <c r="F350" s="51" t="s">
        <v>624</v>
      </c>
      <c r="G350" s="51" t="s">
        <v>625</v>
      </c>
      <c r="H350" s="54" t="s">
        <v>150</v>
      </c>
      <c r="I350" s="52">
        <v>11</v>
      </c>
      <c r="J350" s="51" t="s">
        <v>123</v>
      </c>
      <c r="K350" s="52">
        <v>4</v>
      </c>
      <c r="L350" s="52"/>
      <c r="M350" s="52"/>
      <c r="N350" s="53" t="s">
        <v>1875</v>
      </c>
      <c r="O350" s="53" t="s">
        <v>627</v>
      </c>
      <c r="P350" s="52"/>
      <c r="Q350" s="51"/>
      <c r="R350" s="55"/>
      <c r="S350" s="51"/>
      <c r="T350" s="55" t="s">
        <v>1812</v>
      </c>
      <c r="U350" s="55" t="s">
        <v>1813</v>
      </c>
      <c r="V350" s="53" t="s">
        <v>1876</v>
      </c>
      <c r="W350" s="77" t="s">
        <v>1877</v>
      </c>
      <c r="X350" s="55" t="s">
        <v>1801</v>
      </c>
      <c r="Y350" s="65" t="s">
        <v>244</v>
      </c>
      <c r="Z350" s="65" t="s">
        <v>244</v>
      </c>
      <c r="AA350" s="60" t="s">
        <v>1878</v>
      </c>
    </row>
    <row r="351" spans="2:27" ht="80.25" hidden="1" customHeight="1">
      <c r="B351" s="51" t="s">
        <v>48</v>
      </c>
      <c r="C351" s="51" t="s">
        <v>1796</v>
      </c>
      <c r="D351" s="51" t="s">
        <v>49</v>
      </c>
      <c r="E351" s="52">
        <v>1</v>
      </c>
      <c r="F351" s="51" t="s">
        <v>574</v>
      </c>
      <c r="G351" s="51" t="s">
        <v>575</v>
      </c>
      <c r="H351" s="51" t="s">
        <v>150</v>
      </c>
      <c r="I351" s="52">
        <v>12</v>
      </c>
      <c r="J351" s="51" t="s">
        <v>123</v>
      </c>
      <c r="K351" s="52">
        <v>15</v>
      </c>
      <c r="L351" s="52"/>
      <c r="M351" s="52"/>
      <c r="N351" s="53" t="s">
        <v>1879</v>
      </c>
      <c r="O351" s="53" t="s">
        <v>577</v>
      </c>
      <c r="P351" s="52"/>
      <c r="Q351" s="51"/>
      <c r="R351" s="55"/>
      <c r="S351" s="51"/>
      <c r="T351" s="55" t="s">
        <v>1880</v>
      </c>
      <c r="U351" s="55" t="s">
        <v>1881</v>
      </c>
      <c r="V351" s="55" t="s">
        <v>1882</v>
      </c>
      <c r="W351" s="77" t="s">
        <v>1883</v>
      </c>
      <c r="X351" s="55" t="s">
        <v>1801</v>
      </c>
      <c r="Y351" s="53" t="s">
        <v>1884</v>
      </c>
      <c r="Z351" s="53" t="s">
        <v>1885</v>
      </c>
      <c r="AA351" s="60" t="s">
        <v>1850</v>
      </c>
    </row>
    <row r="352" spans="2:27" ht="80.25" hidden="1" customHeight="1">
      <c r="B352" s="51" t="s">
        <v>48</v>
      </c>
      <c r="C352" s="51" t="s">
        <v>1796</v>
      </c>
      <c r="D352" s="51" t="s">
        <v>49</v>
      </c>
      <c r="E352" s="52">
        <v>1</v>
      </c>
      <c r="F352" s="51" t="s">
        <v>198</v>
      </c>
      <c r="G352" s="51" t="s">
        <v>199</v>
      </c>
      <c r="H352" s="54" t="s">
        <v>200</v>
      </c>
      <c r="I352" s="52">
        <v>13</v>
      </c>
      <c r="J352" s="51" t="s">
        <v>123</v>
      </c>
      <c r="K352" s="52">
        <v>10</v>
      </c>
      <c r="L352" s="52"/>
      <c r="M352" s="52"/>
      <c r="N352" s="53" t="s">
        <v>201</v>
      </c>
      <c r="O352" s="53" t="s">
        <v>202</v>
      </c>
      <c r="P352" s="52"/>
      <c r="Q352" s="51"/>
      <c r="R352" s="55" t="s">
        <v>203</v>
      </c>
      <c r="S352" s="51" t="s">
        <v>198</v>
      </c>
      <c r="T352" s="55" t="s">
        <v>1880</v>
      </c>
      <c r="U352" s="55" t="s">
        <v>1881</v>
      </c>
      <c r="V352" s="55" t="s">
        <v>1886</v>
      </c>
      <c r="W352" s="77" t="s">
        <v>1887</v>
      </c>
      <c r="X352" s="55" t="s">
        <v>1801</v>
      </c>
      <c r="Y352" s="53" t="s">
        <v>1888</v>
      </c>
      <c r="Z352" s="65" t="s">
        <v>1889</v>
      </c>
      <c r="AA352" s="60" t="s">
        <v>244</v>
      </c>
    </row>
    <row r="353" spans="2:27" ht="80.25" hidden="1" customHeight="1">
      <c r="B353" s="51" t="s">
        <v>48</v>
      </c>
      <c r="C353" s="51" t="s">
        <v>1796</v>
      </c>
      <c r="D353" s="51" t="s">
        <v>49</v>
      </c>
      <c r="E353" s="52">
        <v>1</v>
      </c>
      <c r="F353" s="51" t="s">
        <v>210</v>
      </c>
      <c r="G353" s="51" t="s">
        <v>211</v>
      </c>
      <c r="H353" s="54" t="s">
        <v>200</v>
      </c>
      <c r="I353" s="52">
        <v>14</v>
      </c>
      <c r="J353" s="51" t="s">
        <v>123</v>
      </c>
      <c r="K353" s="52">
        <v>10</v>
      </c>
      <c r="L353" s="52"/>
      <c r="M353" s="52"/>
      <c r="N353" s="53" t="s">
        <v>212</v>
      </c>
      <c r="O353" s="53" t="s">
        <v>213</v>
      </c>
      <c r="P353" s="52"/>
      <c r="Q353" s="54"/>
      <c r="R353" s="55" t="s">
        <v>214</v>
      </c>
      <c r="S353" s="51" t="s">
        <v>210</v>
      </c>
      <c r="T353" s="55" t="s">
        <v>1880</v>
      </c>
      <c r="U353" s="55" t="s">
        <v>1881</v>
      </c>
      <c r="V353" s="55" t="s">
        <v>1890</v>
      </c>
      <c r="W353" s="77" t="s">
        <v>1891</v>
      </c>
      <c r="X353" s="55" t="s">
        <v>1801</v>
      </c>
      <c r="Y353" s="53" t="s">
        <v>1888</v>
      </c>
      <c r="Z353" s="65" t="s">
        <v>1892</v>
      </c>
      <c r="AA353" s="60" t="s">
        <v>244</v>
      </c>
    </row>
    <row r="354" spans="2:27" ht="80.25" hidden="1" customHeight="1">
      <c r="B354" s="51" t="s">
        <v>48</v>
      </c>
      <c r="C354" s="51" t="s">
        <v>1796</v>
      </c>
      <c r="D354" s="51" t="s">
        <v>49</v>
      </c>
      <c r="E354" s="52">
        <v>1</v>
      </c>
      <c r="F354" s="51" t="s">
        <v>222</v>
      </c>
      <c r="G354" s="51" t="s">
        <v>223</v>
      </c>
      <c r="H354" s="54" t="s">
        <v>224</v>
      </c>
      <c r="I354" s="52">
        <v>15</v>
      </c>
      <c r="J354" s="51" t="s">
        <v>123</v>
      </c>
      <c r="K354" s="52">
        <v>3</v>
      </c>
      <c r="L354" s="52"/>
      <c r="M354" s="52"/>
      <c r="N354" s="53" t="s">
        <v>225</v>
      </c>
      <c r="O354" s="53" t="s">
        <v>226</v>
      </c>
      <c r="P354" s="52"/>
      <c r="Q354" s="55" t="s">
        <v>1893</v>
      </c>
      <c r="R354" s="55" t="s">
        <v>654</v>
      </c>
      <c r="S354" s="55" t="s">
        <v>229</v>
      </c>
      <c r="T354" s="55" t="s">
        <v>1894</v>
      </c>
      <c r="U354" s="55" t="s">
        <v>1895</v>
      </c>
      <c r="V354" s="55" t="s">
        <v>1896</v>
      </c>
      <c r="W354" s="77" t="s">
        <v>1897</v>
      </c>
      <c r="X354" s="55" t="s">
        <v>1898</v>
      </c>
      <c r="Y354" s="53" t="s">
        <v>1899</v>
      </c>
      <c r="Z354" s="65" t="s">
        <v>1900</v>
      </c>
      <c r="AA354" s="60" t="s">
        <v>1901</v>
      </c>
    </row>
    <row r="355" spans="2:27" ht="80.25" hidden="1" customHeight="1">
      <c r="B355" s="51" t="s">
        <v>48</v>
      </c>
      <c r="C355" s="51" t="s">
        <v>1796</v>
      </c>
      <c r="D355" s="51" t="s">
        <v>49</v>
      </c>
      <c r="E355" s="52">
        <v>1</v>
      </c>
      <c r="F355" s="51" t="s">
        <v>238</v>
      </c>
      <c r="G355" s="51" t="s">
        <v>239</v>
      </c>
      <c r="H355" s="54" t="s">
        <v>240</v>
      </c>
      <c r="I355" s="52">
        <v>16</v>
      </c>
      <c r="J355" s="51" t="s">
        <v>123</v>
      </c>
      <c r="K355" s="52"/>
      <c r="L355" s="52"/>
      <c r="M355" s="52"/>
      <c r="N355" s="53" t="s">
        <v>241</v>
      </c>
      <c r="O355" s="53" t="s">
        <v>242</v>
      </c>
      <c r="P355" s="52"/>
      <c r="Q355" s="54"/>
      <c r="R355" s="63"/>
      <c r="S355" s="61"/>
      <c r="T355" s="55" t="s">
        <v>1880</v>
      </c>
      <c r="U355" s="55" t="s">
        <v>1902</v>
      </c>
      <c r="V355" s="63" t="s">
        <v>244</v>
      </c>
      <c r="W355" s="77" t="s">
        <v>1903</v>
      </c>
      <c r="X355" s="55" t="s">
        <v>1801</v>
      </c>
      <c r="Y355" s="53" t="s">
        <v>244</v>
      </c>
      <c r="Z355" s="53" t="s">
        <v>244</v>
      </c>
      <c r="AA355" s="60" t="s">
        <v>1904</v>
      </c>
    </row>
    <row r="356" spans="2:27" ht="80.25" hidden="1" customHeight="1">
      <c r="B356" s="51" t="s">
        <v>48</v>
      </c>
      <c r="C356" s="51" t="s">
        <v>1796</v>
      </c>
      <c r="D356" s="51" t="s">
        <v>49</v>
      </c>
      <c r="E356" s="52">
        <v>1</v>
      </c>
      <c r="F356" s="51" t="s">
        <v>260</v>
      </c>
      <c r="G356" s="51" t="s">
        <v>261</v>
      </c>
      <c r="H356" s="51" t="s">
        <v>249</v>
      </c>
      <c r="I356" s="52">
        <v>17</v>
      </c>
      <c r="J356" s="51" t="s">
        <v>250</v>
      </c>
      <c r="K356" s="52">
        <v>23</v>
      </c>
      <c r="L356" s="52">
        <v>6</v>
      </c>
      <c r="M356" s="52"/>
      <c r="N356" s="53" t="s">
        <v>1905</v>
      </c>
      <c r="O356" s="53" t="s">
        <v>263</v>
      </c>
      <c r="P356" s="52"/>
      <c r="Q356" s="54"/>
      <c r="R356" s="55"/>
      <c r="S356" s="51"/>
      <c r="T356" s="55" t="s">
        <v>1835</v>
      </c>
      <c r="U356" s="55" t="s">
        <v>1906</v>
      </c>
      <c r="V356" s="63" t="s">
        <v>1907</v>
      </c>
      <c r="W356" s="77" t="s">
        <v>1908</v>
      </c>
      <c r="X356" s="55" t="s">
        <v>1801</v>
      </c>
      <c r="Y356" s="65" t="s">
        <v>1909</v>
      </c>
      <c r="Z356" s="65" t="s">
        <v>1910</v>
      </c>
      <c r="AA356" s="60" t="s">
        <v>1850</v>
      </c>
    </row>
    <row r="357" spans="2:27" ht="80.25" hidden="1" customHeight="1">
      <c r="B357" s="51" t="s">
        <v>48</v>
      </c>
      <c r="C357" s="51" t="s">
        <v>1796</v>
      </c>
      <c r="D357" s="51" t="s">
        <v>49</v>
      </c>
      <c r="E357" s="52">
        <v>1</v>
      </c>
      <c r="F357" s="51" t="s">
        <v>879</v>
      </c>
      <c r="G357" s="51" t="s">
        <v>880</v>
      </c>
      <c r="H357" s="51" t="s">
        <v>249</v>
      </c>
      <c r="I357" s="52">
        <v>18</v>
      </c>
      <c r="J357" s="51" t="s">
        <v>250</v>
      </c>
      <c r="K357" s="52">
        <v>23</v>
      </c>
      <c r="L357" s="52">
        <v>6</v>
      </c>
      <c r="M357" s="52"/>
      <c r="N357" s="53" t="s">
        <v>1911</v>
      </c>
      <c r="O357" s="53" t="s">
        <v>882</v>
      </c>
      <c r="P357" s="52"/>
      <c r="Q357" s="54"/>
      <c r="R357" s="53"/>
      <c r="S357" s="54"/>
      <c r="T357" s="55" t="s">
        <v>1820</v>
      </c>
      <c r="U357" s="55" t="s">
        <v>1912</v>
      </c>
      <c r="V357" s="63" t="s">
        <v>1913</v>
      </c>
      <c r="W357" s="77" t="s">
        <v>1914</v>
      </c>
      <c r="X357" s="55" t="s">
        <v>1801</v>
      </c>
      <c r="Y357" s="53" t="s">
        <v>1915</v>
      </c>
      <c r="Z357" s="53" t="s">
        <v>1916</v>
      </c>
      <c r="AA357" s="60" t="s">
        <v>1917</v>
      </c>
    </row>
    <row r="358" spans="2:27" ht="80.25" hidden="1" customHeight="1">
      <c r="B358" s="51" t="s">
        <v>48</v>
      </c>
      <c r="C358" s="51" t="s">
        <v>1796</v>
      </c>
      <c r="D358" s="51" t="s">
        <v>49</v>
      </c>
      <c r="E358" s="52">
        <v>1</v>
      </c>
      <c r="F358" s="51" t="s">
        <v>1918</v>
      </c>
      <c r="G358" s="51" t="s">
        <v>1919</v>
      </c>
      <c r="H358" s="51" t="s">
        <v>249</v>
      </c>
      <c r="I358" s="52">
        <v>19</v>
      </c>
      <c r="J358" s="51" t="s">
        <v>250</v>
      </c>
      <c r="K358" s="52">
        <v>23</v>
      </c>
      <c r="L358" s="52">
        <v>6</v>
      </c>
      <c r="M358" s="52"/>
      <c r="N358" s="53" t="s">
        <v>1920</v>
      </c>
      <c r="O358" s="53" t="s">
        <v>1621</v>
      </c>
      <c r="P358" s="52"/>
      <c r="Q358" s="54"/>
      <c r="R358" s="53"/>
      <c r="S358" s="54"/>
      <c r="T358" s="55" t="s">
        <v>1921</v>
      </c>
      <c r="U358" s="55" t="s">
        <v>1906</v>
      </c>
      <c r="V358" s="63" t="s">
        <v>1922</v>
      </c>
      <c r="W358" s="77" t="s">
        <v>1923</v>
      </c>
      <c r="X358" s="55" t="s">
        <v>1801</v>
      </c>
      <c r="Y358" s="53" t="s">
        <v>1924</v>
      </c>
      <c r="Z358" s="53" t="s">
        <v>1925</v>
      </c>
      <c r="AA358" s="60" t="s">
        <v>1926</v>
      </c>
    </row>
    <row r="359" spans="2:27" ht="80.25" hidden="1" customHeight="1">
      <c r="B359" s="51" t="s">
        <v>48</v>
      </c>
      <c r="C359" s="51" t="s">
        <v>1796</v>
      </c>
      <c r="D359" s="51" t="s">
        <v>49</v>
      </c>
      <c r="E359" s="52">
        <v>1</v>
      </c>
      <c r="F359" s="51" t="s">
        <v>648</v>
      </c>
      <c r="G359" s="51" t="s">
        <v>649</v>
      </c>
      <c r="H359" s="51" t="s">
        <v>249</v>
      </c>
      <c r="I359" s="52">
        <v>20</v>
      </c>
      <c r="J359" s="51" t="s">
        <v>250</v>
      </c>
      <c r="K359" s="52">
        <v>23</v>
      </c>
      <c r="L359" s="52">
        <v>6</v>
      </c>
      <c r="M359" s="52"/>
      <c r="N359" s="53" t="s">
        <v>1927</v>
      </c>
      <c r="O359" s="53" t="s">
        <v>651</v>
      </c>
      <c r="P359" s="52"/>
      <c r="Q359" s="54"/>
      <c r="R359" s="53" t="s">
        <v>685</v>
      </c>
      <c r="S359" s="53" t="s">
        <v>686</v>
      </c>
      <c r="T359" s="55" t="s">
        <v>1921</v>
      </c>
      <c r="U359" s="55" t="s">
        <v>1928</v>
      </c>
      <c r="V359" s="55" t="s">
        <v>1929</v>
      </c>
      <c r="W359" s="77" t="s">
        <v>1930</v>
      </c>
      <c r="X359" s="55" t="s">
        <v>1801</v>
      </c>
      <c r="Y359" s="53" t="s">
        <v>1931</v>
      </c>
      <c r="Z359" s="66" t="s">
        <v>1932</v>
      </c>
      <c r="AA359" s="60" t="s">
        <v>1933</v>
      </c>
    </row>
    <row r="360" spans="2:27" ht="80.25" hidden="1" customHeight="1">
      <c r="B360" s="51" t="s">
        <v>48</v>
      </c>
      <c r="C360" s="51" t="s">
        <v>1796</v>
      </c>
      <c r="D360" s="51" t="s">
        <v>49</v>
      </c>
      <c r="E360" s="52">
        <v>1</v>
      </c>
      <c r="F360" s="51" t="s">
        <v>271</v>
      </c>
      <c r="G360" s="51" t="s">
        <v>272</v>
      </c>
      <c r="H360" s="51" t="s">
        <v>249</v>
      </c>
      <c r="I360" s="52">
        <v>21</v>
      </c>
      <c r="J360" s="51" t="s">
        <v>250</v>
      </c>
      <c r="K360" s="52">
        <v>23</v>
      </c>
      <c r="L360" s="52">
        <v>6</v>
      </c>
      <c r="M360" s="52"/>
      <c r="N360" s="53" t="s">
        <v>1934</v>
      </c>
      <c r="O360" s="53" t="s">
        <v>274</v>
      </c>
      <c r="P360" s="52"/>
      <c r="Q360" s="54"/>
      <c r="R360" s="53" t="s">
        <v>275</v>
      </c>
      <c r="S360" s="54" t="s">
        <v>276</v>
      </c>
      <c r="T360" s="55" t="s">
        <v>1921</v>
      </c>
      <c r="U360" s="55" t="s">
        <v>1928</v>
      </c>
      <c r="V360" s="55" t="s">
        <v>1935</v>
      </c>
      <c r="W360" s="77" t="s">
        <v>1936</v>
      </c>
      <c r="X360" s="55" t="s">
        <v>1801</v>
      </c>
      <c r="Y360" s="53" t="s">
        <v>1937</v>
      </c>
      <c r="Z360" s="66" t="s">
        <v>1938</v>
      </c>
      <c r="AA360" s="60" t="s">
        <v>1939</v>
      </c>
    </row>
    <row r="361" spans="2:27" ht="80.25" hidden="1" customHeight="1">
      <c r="B361" s="51" t="s">
        <v>48</v>
      </c>
      <c r="C361" s="51" t="s">
        <v>1796</v>
      </c>
      <c r="D361" s="51" t="s">
        <v>49</v>
      </c>
      <c r="E361" s="52">
        <v>1</v>
      </c>
      <c r="F361" s="51" t="s">
        <v>282</v>
      </c>
      <c r="G361" s="51" t="s">
        <v>283</v>
      </c>
      <c r="H361" s="51" t="s">
        <v>249</v>
      </c>
      <c r="I361" s="52">
        <v>22</v>
      </c>
      <c r="J361" s="51" t="s">
        <v>250</v>
      </c>
      <c r="K361" s="52">
        <v>23</v>
      </c>
      <c r="L361" s="52">
        <v>6</v>
      </c>
      <c r="M361" s="52"/>
      <c r="N361" s="53" t="s">
        <v>696</v>
      </c>
      <c r="O361" s="53" t="s">
        <v>285</v>
      </c>
      <c r="P361" s="52"/>
      <c r="Q361" s="54"/>
      <c r="R361" s="63"/>
      <c r="S361" s="61"/>
      <c r="T361" s="168" t="s">
        <v>1940</v>
      </c>
      <c r="U361" s="84" t="s">
        <v>1941</v>
      </c>
      <c r="V361" s="63" t="s">
        <v>1942</v>
      </c>
      <c r="W361" s="77" t="s">
        <v>1943</v>
      </c>
      <c r="X361" s="55" t="s">
        <v>1801</v>
      </c>
      <c r="Y361" s="53" t="s">
        <v>1944</v>
      </c>
      <c r="Z361" s="53" t="s">
        <v>1945</v>
      </c>
      <c r="AA361" s="60" t="s">
        <v>1946</v>
      </c>
    </row>
    <row r="362" spans="2:27" ht="80.25" hidden="1" customHeight="1">
      <c r="B362" s="51" t="s">
        <v>48</v>
      </c>
      <c r="C362" s="51" t="s">
        <v>1796</v>
      </c>
      <c r="D362" s="51" t="s">
        <v>49</v>
      </c>
      <c r="E362" s="52">
        <v>1</v>
      </c>
      <c r="F362" s="51" t="s">
        <v>714</v>
      </c>
      <c r="G362" s="51" t="s">
        <v>715</v>
      </c>
      <c r="H362" s="54" t="s">
        <v>430</v>
      </c>
      <c r="I362" s="52">
        <v>23</v>
      </c>
      <c r="J362" s="51" t="s">
        <v>123</v>
      </c>
      <c r="K362" s="52">
        <v>10</v>
      </c>
      <c r="L362" s="52"/>
      <c r="M362" s="52"/>
      <c r="N362" s="53" t="s">
        <v>911</v>
      </c>
      <c r="O362" s="53" t="s">
        <v>717</v>
      </c>
      <c r="P362" s="52"/>
      <c r="Q362" s="54"/>
      <c r="R362" s="55"/>
      <c r="S362" s="51"/>
      <c r="T362" s="55" t="s">
        <v>1880</v>
      </c>
      <c r="U362" s="55" t="s">
        <v>1902</v>
      </c>
      <c r="V362" s="55" t="s">
        <v>1947</v>
      </c>
      <c r="W362" s="77" t="s">
        <v>1948</v>
      </c>
      <c r="X362" s="55" t="s">
        <v>1801</v>
      </c>
      <c r="Y362" s="53" t="s">
        <v>1949</v>
      </c>
      <c r="Z362" s="53" t="s">
        <v>1950</v>
      </c>
      <c r="AA362" s="60" t="s">
        <v>1951</v>
      </c>
    </row>
    <row r="363" spans="2:27" ht="80.25" hidden="1" customHeight="1">
      <c r="B363" s="51" t="s">
        <v>48</v>
      </c>
      <c r="C363" s="51" t="s">
        <v>1796</v>
      </c>
      <c r="D363" s="51" t="s">
        <v>49</v>
      </c>
      <c r="E363" s="52">
        <v>1</v>
      </c>
      <c r="F363" s="51" t="s">
        <v>428</v>
      </c>
      <c r="G363" s="51" t="s">
        <v>429</v>
      </c>
      <c r="H363" s="54" t="s">
        <v>430</v>
      </c>
      <c r="I363" s="52">
        <v>24</v>
      </c>
      <c r="J363" s="51" t="s">
        <v>123</v>
      </c>
      <c r="K363" s="52">
        <v>10</v>
      </c>
      <c r="L363" s="52"/>
      <c r="M363" s="52"/>
      <c r="N363" s="53" t="s">
        <v>1952</v>
      </c>
      <c r="O363" s="53" t="s">
        <v>432</v>
      </c>
      <c r="P363" s="52"/>
      <c r="Q363" s="54"/>
      <c r="R363" s="55" t="s">
        <v>722</v>
      </c>
      <c r="S363" s="51" t="s">
        <v>723</v>
      </c>
      <c r="T363" s="55" t="s">
        <v>1880</v>
      </c>
      <c r="U363" s="55" t="s">
        <v>1902</v>
      </c>
      <c r="V363" s="55" t="s">
        <v>1953</v>
      </c>
      <c r="W363" s="77" t="s">
        <v>1954</v>
      </c>
      <c r="X363" s="55" t="s">
        <v>1801</v>
      </c>
      <c r="Y363" s="53" t="s">
        <v>1949</v>
      </c>
      <c r="Z363" s="53" t="s">
        <v>1955</v>
      </c>
      <c r="AA363" s="60" t="s">
        <v>1951</v>
      </c>
    </row>
    <row r="364" spans="2:27" ht="80.25" hidden="1" customHeight="1">
      <c r="B364" s="51" t="s">
        <v>48</v>
      </c>
      <c r="C364" s="51" t="s">
        <v>1796</v>
      </c>
      <c r="D364" s="51" t="s">
        <v>49</v>
      </c>
      <c r="E364" s="52">
        <v>1</v>
      </c>
      <c r="F364" s="51" t="s">
        <v>727</v>
      </c>
      <c r="G364" s="51" t="s">
        <v>728</v>
      </c>
      <c r="H364" s="51" t="s">
        <v>249</v>
      </c>
      <c r="I364" s="52">
        <v>25</v>
      </c>
      <c r="J364" s="51" t="s">
        <v>250</v>
      </c>
      <c r="K364" s="52">
        <v>23</v>
      </c>
      <c r="L364" s="52">
        <v>6</v>
      </c>
      <c r="M364" s="52"/>
      <c r="N364" s="53" t="s">
        <v>925</v>
      </c>
      <c r="O364" s="53" t="s">
        <v>730</v>
      </c>
      <c r="P364" s="52"/>
      <c r="Q364" s="54"/>
      <c r="R364" s="53"/>
      <c r="S364" s="54"/>
      <c r="T364" s="55" t="s">
        <v>1880</v>
      </c>
      <c r="U364" s="55" t="s">
        <v>1902</v>
      </c>
      <c r="V364" s="55" t="s">
        <v>1956</v>
      </c>
      <c r="W364" s="77" t="s">
        <v>1957</v>
      </c>
      <c r="X364" s="55" t="s">
        <v>1801</v>
      </c>
      <c r="Y364" s="65" t="s">
        <v>1949</v>
      </c>
      <c r="Z364" s="53" t="s">
        <v>1958</v>
      </c>
      <c r="AA364" s="60" t="s">
        <v>1926</v>
      </c>
    </row>
    <row r="365" spans="2:27" ht="80.25" hidden="1" customHeight="1">
      <c r="B365" s="51" t="s">
        <v>48</v>
      </c>
      <c r="C365" s="51" t="s">
        <v>1796</v>
      </c>
      <c r="D365" s="51" t="s">
        <v>49</v>
      </c>
      <c r="E365" s="52">
        <v>1</v>
      </c>
      <c r="F365" s="51" t="s">
        <v>943</v>
      </c>
      <c r="G365" s="51" t="s">
        <v>944</v>
      </c>
      <c r="H365" s="54" t="s">
        <v>430</v>
      </c>
      <c r="I365" s="52">
        <v>26</v>
      </c>
      <c r="J365" s="51" t="s">
        <v>123</v>
      </c>
      <c r="K365" s="52">
        <v>10</v>
      </c>
      <c r="L365" s="52"/>
      <c r="M365" s="52"/>
      <c r="N365" s="53" t="s">
        <v>1959</v>
      </c>
      <c r="O365" s="53" t="s">
        <v>946</v>
      </c>
      <c r="P365" s="52"/>
      <c r="Q365" s="51"/>
      <c r="R365" s="55"/>
      <c r="S365" s="51"/>
      <c r="T365" s="55" t="s">
        <v>1835</v>
      </c>
      <c r="U365" s="55" t="s">
        <v>1960</v>
      </c>
      <c r="V365" s="55" t="s">
        <v>1961</v>
      </c>
      <c r="W365" s="77" t="s">
        <v>1962</v>
      </c>
      <c r="X365" s="55" t="s">
        <v>1801</v>
      </c>
      <c r="Y365" s="55" t="s">
        <v>1963</v>
      </c>
      <c r="Z365" s="55" t="s">
        <v>1964</v>
      </c>
      <c r="AA365" s="60" t="s">
        <v>1951</v>
      </c>
    </row>
    <row r="366" spans="2:27" ht="80.25" hidden="1" customHeight="1">
      <c r="B366" s="51" t="s">
        <v>48</v>
      </c>
      <c r="C366" s="51" t="s">
        <v>1796</v>
      </c>
      <c r="D366" s="51" t="s">
        <v>49</v>
      </c>
      <c r="E366" s="52">
        <v>1</v>
      </c>
      <c r="F366" s="51" t="s">
        <v>1965</v>
      </c>
      <c r="G366" s="51" t="s">
        <v>1966</v>
      </c>
      <c r="H366" s="51" t="s">
        <v>249</v>
      </c>
      <c r="I366" s="52">
        <v>27</v>
      </c>
      <c r="J366" s="51" t="s">
        <v>123</v>
      </c>
      <c r="K366" s="52"/>
      <c r="L366" s="52"/>
      <c r="M366" s="52"/>
      <c r="N366" s="53" t="s">
        <v>1967</v>
      </c>
      <c r="O366" s="53" t="s">
        <v>1968</v>
      </c>
      <c r="P366" s="52"/>
      <c r="Q366" s="51"/>
      <c r="R366" s="55"/>
      <c r="S366" s="51"/>
      <c r="T366" s="55" t="s">
        <v>1835</v>
      </c>
      <c r="U366" s="55" t="s">
        <v>1969</v>
      </c>
      <c r="V366" s="55" t="s">
        <v>1970</v>
      </c>
      <c r="W366" s="77" t="s">
        <v>1971</v>
      </c>
      <c r="X366" s="55" t="s">
        <v>1801</v>
      </c>
      <c r="Y366" s="55" t="s">
        <v>1972</v>
      </c>
      <c r="Z366" s="55" t="s">
        <v>1973</v>
      </c>
      <c r="AA366" s="60" t="s">
        <v>1951</v>
      </c>
    </row>
    <row r="367" spans="2:27" ht="80.25" hidden="1" customHeight="1">
      <c r="B367" s="51" t="s">
        <v>48</v>
      </c>
      <c r="C367" s="51" t="s">
        <v>1796</v>
      </c>
      <c r="D367" s="51" t="s">
        <v>49</v>
      </c>
      <c r="E367" s="52">
        <v>1</v>
      </c>
      <c r="F367" s="51" t="s">
        <v>964</v>
      </c>
      <c r="G367" s="51" t="s">
        <v>965</v>
      </c>
      <c r="H367" s="51" t="s">
        <v>249</v>
      </c>
      <c r="I367" s="52">
        <v>28</v>
      </c>
      <c r="J367" s="51" t="s">
        <v>250</v>
      </c>
      <c r="K367" s="52">
        <v>23</v>
      </c>
      <c r="L367" s="52">
        <v>6</v>
      </c>
      <c r="M367" s="52"/>
      <c r="N367" s="53" t="s">
        <v>1974</v>
      </c>
      <c r="O367" s="53" t="s">
        <v>967</v>
      </c>
      <c r="P367" s="52"/>
      <c r="Q367" s="54"/>
      <c r="R367" s="53"/>
      <c r="S367" s="54"/>
      <c r="T367" s="55" t="s">
        <v>1921</v>
      </c>
      <c r="U367" s="55" t="s">
        <v>1928</v>
      </c>
      <c r="V367" s="55" t="s">
        <v>1975</v>
      </c>
      <c r="W367" s="346" t="s">
        <v>1976</v>
      </c>
      <c r="X367" s="55" t="s">
        <v>1801</v>
      </c>
      <c r="Y367" s="53" t="s">
        <v>1977</v>
      </c>
      <c r="Z367" s="66" t="s">
        <v>1978</v>
      </c>
      <c r="AA367" s="60" t="s">
        <v>1926</v>
      </c>
    </row>
    <row r="368" spans="2:27" ht="80.25" hidden="1" customHeight="1">
      <c r="B368" s="51" t="s">
        <v>48</v>
      </c>
      <c r="C368" s="51" t="s">
        <v>1796</v>
      </c>
      <c r="D368" s="51" t="s">
        <v>49</v>
      </c>
      <c r="E368" s="52">
        <v>1</v>
      </c>
      <c r="F368" s="51" t="s">
        <v>1515</v>
      </c>
      <c r="G368" s="51" t="s">
        <v>1979</v>
      </c>
      <c r="H368" s="54" t="s">
        <v>1517</v>
      </c>
      <c r="I368" s="52">
        <v>29</v>
      </c>
      <c r="J368" s="51" t="s">
        <v>123</v>
      </c>
      <c r="K368" s="52"/>
      <c r="L368" s="52"/>
      <c r="M368" s="52"/>
      <c r="N368" s="53" t="s">
        <v>1980</v>
      </c>
      <c r="O368" s="53" t="s">
        <v>1519</v>
      </c>
      <c r="P368" s="52"/>
      <c r="Q368" s="53"/>
      <c r="R368" s="53"/>
      <c r="S368" s="54"/>
      <c r="T368" s="55" t="s">
        <v>1835</v>
      </c>
      <c r="U368" s="55" t="s">
        <v>1981</v>
      </c>
      <c r="V368" s="55" t="s">
        <v>939</v>
      </c>
      <c r="W368" s="77" t="s">
        <v>1982</v>
      </c>
      <c r="X368" s="55" t="s">
        <v>1801</v>
      </c>
      <c r="Y368" s="53" t="s">
        <v>1983</v>
      </c>
      <c r="Z368" s="53" t="s">
        <v>1984</v>
      </c>
      <c r="AA368" s="60" t="s">
        <v>1985</v>
      </c>
    </row>
    <row r="369" spans="2:27" ht="101.25" hidden="1" customHeight="1">
      <c r="B369" s="51" t="s">
        <v>48</v>
      </c>
      <c r="C369" s="51" t="s">
        <v>1796</v>
      </c>
      <c r="D369" s="51" t="s">
        <v>49</v>
      </c>
      <c r="E369" s="52">
        <v>1</v>
      </c>
      <c r="F369" s="51" t="s">
        <v>1986</v>
      </c>
      <c r="G369" s="51" t="s">
        <v>1987</v>
      </c>
      <c r="H369" s="54" t="s">
        <v>746</v>
      </c>
      <c r="I369" s="52">
        <v>30</v>
      </c>
      <c r="J369" s="51" t="s">
        <v>123</v>
      </c>
      <c r="K369" s="52">
        <v>3</v>
      </c>
      <c r="L369" s="52"/>
      <c r="M369" s="52"/>
      <c r="N369" s="53" t="s">
        <v>1988</v>
      </c>
      <c r="O369" s="53" t="s">
        <v>1989</v>
      </c>
      <c r="P369" s="52"/>
      <c r="Q369" s="53" t="s">
        <v>1990</v>
      </c>
      <c r="R369" s="53"/>
      <c r="S369" s="54"/>
      <c r="T369" s="55" t="s">
        <v>1820</v>
      </c>
      <c r="U369" s="55" t="s">
        <v>1991</v>
      </c>
      <c r="V369" s="55" t="s">
        <v>1992</v>
      </c>
      <c r="W369" s="77" t="s">
        <v>1993</v>
      </c>
      <c r="X369" s="55" t="s">
        <v>1801</v>
      </c>
      <c r="Y369" s="53" t="s">
        <v>1994</v>
      </c>
      <c r="Z369" s="53" t="s">
        <v>1995</v>
      </c>
      <c r="AA369" s="60" t="s">
        <v>1996</v>
      </c>
    </row>
    <row r="370" spans="2:27" ht="80.25" hidden="1" customHeight="1">
      <c r="B370" s="51" t="s">
        <v>48</v>
      </c>
      <c r="C370" s="51" t="s">
        <v>1796</v>
      </c>
      <c r="D370" s="51" t="s">
        <v>49</v>
      </c>
      <c r="E370" s="52">
        <v>1</v>
      </c>
      <c r="F370" s="51" t="s">
        <v>1997</v>
      </c>
      <c r="G370" s="51" t="s">
        <v>1998</v>
      </c>
      <c r="H370" s="54" t="s">
        <v>767</v>
      </c>
      <c r="I370" s="52">
        <v>31</v>
      </c>
      <c r="J370" s="51" t="s">
        <v>250</v>
      </c>
      <c r="K370" s="52">
        <v>23</v>
      </c>
      <c r="L370" s="52">
        <v>6</v>
      </c>
      <c r="M370" s="52"/>
      <c r="N370" s="53" t="s">
        <v>1999</v>
      </c>
      <c r="O370" s="53" t="s">
        <v>2000</v>
      </c>
      <c r="P370" s="52"/>
      <c r="Q370" s="54"/>
      <c r="R370" s="53"/>
      <c r="S370" s="54"/>
      <c r="T370" s="55" t="s">
        <v>1820</v>
      </c>
      <c r="U370" s="55" t="s">
        <v>2001</v>
      </c>
      <c r="V370" s="55" t="s">
        <v>2002</v>
      </c>
      <c r="W370" s="77" t="s">
        <v>2003</v>
      </c>
      <c r="X370" s="55" t="s">
        <v>1801</v>
      </c>
      <c r="Y370" s="53" t="s">
        <v>2004</v>
      </c>
      <c r="Z370" s="53" t="s">
        <v>2005</v>
      </c>
      <c r="AA370" s="60" t="s">
        <v>2006</v>
      </c>
    </row>
    <row r="371" spans="2:27" ht="80.25" hidden="1" customHeight="1">
      <c r="B371" s="51" t="s">
        <v>48</v>
      </c>
      <c r="C371" s="51" t="s">
        <v>1796</v>
      </c>
      <c r="D371" s="51" t="s">
        <v>49</v>
      </c>
      <c r="E371" s="52">
        <v>1</v>
      </c>
      <c r="F371" s="51" t="s">
        <v>2007</v>
      </c>
      <c r="G371" s="51" t="s">
        <v>2008</v>
      </c>
      <c r="H371" s="54" t="s">
        <v>767</v>
      </c>
      <c r="I371" s="52">
        <v>32</v>
      </c>
      <c r="J371" s="51" t="s">
        <v>250</v>
      </c>
      <c r="K371" s="52">
        <v>23</v>
      </c>
      <c r="L371" s="52">
        <v>6</v>
      </c>
      <c r="M371" s="52"/>
      <c r="N371" s="53" t="s">
        <v>2009</v>
      </c>
      <c r="O371" s="53" t="s">
        <v>2010</v>
      </c>
      <c r="P371" s="52"/>
      <c r="Q371" s="54"/>
      <c r="R371" s="53"/>
      <c r="S371" s="54"/>
      <c r="T371" s="55" t="s">
        <v>1921</v>
      </c>
      <c r="U371" s="55" t="s">
        <v>2011</v>
      </c>
      <c r="V371" s="55" t="s">
        <v>2012</v>
      </c>
      <c r="W371" s="77" t="s">
        <v>2013</v>
      </c>
      <c r="X371" s="55" t="s">
        <v>1801</v>
      </c>
      <c r="Y371" s="53" t="s">
        <v>1983</v>
      </c>
      <c r="Z371" s="53" t="s">
        <v>2014</v>
      </c>
      <c r="AA371" s="60" t="s">
        <v>1926</v>
      </c>
    </row>
    <row r="372" spans="2:27" ht="80.25" hidden="1" customHeight="1">
      <c r="B372" s="51" t="s">
        <v>48</v>
      </c>
      <c r="C372" s="51" t="s">
        <v>1796</v>
      </c>
      <c r="D372" s="51" t="s">
        <v>49</v>
      </c>
      <c r="E372" s="52">
        <v>1</v>
      </c>
      <c r="F372" s="51" t="s">
        <v>1522</v>
      </c>
      <c r="G372" s="51" t="s">
        <v>1523</v>
      </c>
      <c r="H372" s="54" t="s">
        <v>767</v>
      </c>
      <c r="I372" s="52">
        <v>33</v>
      </c>
      <c r="J372" s="51" t="s">
        <v>250</v>
      </c>
      <c r="K372" s="52">
        <v>23</v>
      </c>
      <c r="L372" s="52">
        <v>6</v>
      </c>
      <c r="M372" s="52"/>
      <c r="N372" s="53" t="s">
        <v>2015</v>
      </c>
      <c r="O372" s="53" t="s">
        <v>1525</v>
      </c>
      <c r="P372" s="52"/>
      <c r="Q372" s="51"/>
      <c r="R372" s="55" t="s">
        <v>788</v>
      </c>
      <c r="S372" s="51" t="s">
        <v>1526</v>
      </c>
      <c r="T372" s="55" t="s">
        <v>1820</v>
      </c>
      <c r="U372" s="55" t="s">
        <v>2001</v>
      </c>
      <c r="V372" s="55" t="s">
        <v>2016</v>
      </c>
      <c r="W372" s="77" t="s">
        <v>2017</v>
      </c>
      <c r="X372" s="55" t="s">
        <v>1801</v>
      </c>
      <c r="Y372" s="53" t="s">
        <v>1983</v>
      </c>
      <c r="Z372" s="65" t="s">
        <v>2018</v>
      </c>
      <c r="AA372" s="60" t="s">
        <v>1926</v>
      </c>
    </row>
    <row r="373" spans="2:27" ht="80.25" hidden="1" customHeight="1">
      <c r="B373" s="51" t="s">
        <v>48</v>
      </c>
      <c r="C373" s="51" t="s">
        <v>1796</v>
      </c>
      <c r="D373" s="51" t="s">
        <v>49</v>
      </c>
      <c r="E373" s="52">
        <v>1</v>
      </c>
      <c r="F373" s="51" t="s">
        <v>744</v>
      </c>
      <c r="G373" s="51" t="s">
        <v>1530</v>
      </c>
      <c r="H373" s="54" t="s">
        <v>746</v>
      </c>
      <c r="I373" s="52">
        <v>34</v>
      </c>
      <c r="J373" s="51" t="s">
        <v>123</v>
      </c>
      <c r="K373" s="52">
        <v>3</v>
      </c>
      <c r="L373" s="52"/>
      <c r="M373" s="52"/>
      <c r="N373" s="53" t="s">
        <v>2019</v>
      </c>
      <c r="O373" s="53" t="s">
        <v>748</v>
      </c>
      <c r="P373" s="52"/>
      <c r="Q373" s="53" t="s">
        <v>1681</v>
      </c>
      <c r="R373" s="53"/>
      <c r="S373" s="54"/>
      <c r="T373" s="55" t="s">
        <v>1835</v>
      </c>
      <c r="U373" s="55" t="s">
        <v>1906</v>
      </c>
      <c r="V373" s="55" t="s">
        <v>939</v>
      </c>
      <c r="W373" s="77" t="s">
        <v>2020</v>
      </c>
      <c r="X373" s="55" t="s">
        <v>1801</v>
      </c>
      <c r="Y373" s="65" t="s">
        <v>2021</v>
      </c>
      <c r="Z373" s="65" t="s">
        <v>2022</v>
      </c>
      <c r="AA373" s="60" t="s">
        <v>2023</v>
      </c>
    </row>
    <row r="374" spans="2:27" ht="80.25" hidden="1" customHeight="1">
      <c r="B374" s="51" t="s">
        <v>48</v>
      </c>
      <c r="C374" s="51" t="s">
        <v>1796</v>
      </c>
      <c r="D374" s="51" t="s">
        <v>49</v>
      </c>
      <c r="E374" s="52">
        <v>1</v>
      </c>
      <c r="F374" s="51" t="s">
        <v>755</v>
      </c>
      <c r="G374" s="51" t="s">
        <v>756</v>
      </c>
      <c r="H374" s="54" t="s">
        <v>746</v>
      </c>
      <c r="I374" s="52">
        <v>35</v>
      </c>
      <c r="J374" s="51" t="s">
        <v>123</v>
      </c>
      <c r="K374" s="52">
        <v>3</v>
      </c>
      <c r="L374" s="52"/>
      <c r="M374" s="52"/>
      <c r="N374" s="53" t="s">
        <v>975</v>
      </c>
      <c r="O374" s="53" t="s">
        <v>758</v>
      </c>
      <c r="P374" s="52"/>
      <c r="Q374" s="53" t="s">
        <v>1990</v>
      </c>
      <c r="R374" s="53"/>
      <c r="S374" s="54"/>
      <c r="T374" s="55" t="s">
        <v>1921</v>
      </c>
      <c r="U374" s="55" t="s">
        <v>2024</v>
      </c>
      <c r="V374" s="55" t="s">
        <v>2025</v>
      </c>
      <c r="W374" s="77" t="s">
        <v>2026</v>
      </c>
      <c r="X374" s="55" t="s">
        <v>1801</v>
      </c>
      <c r="Y374" s="65" t="s">
        <v>2027</v>
      </c>
      <c r="Z374" s="53" t="s">
        <v>2028</v>
      </c>
      <c r="AA374" s="60" t="s">
        <v>2029</v>
      </c>
    </row>
    <row r="375" spans="2:27" ht="80.25" hidden="1" customHeight="1">
      <c r="B375" s="51" t="s">
        <v>48</v>
      </c>
      <c r="C375" s="51" t="s">
        <v>1796</v>
      </c>
      <c r="D375" s="51" t="s">
        <v>49</v>
      </c>
      <c r="E375" s="52">
        <v>1</v>
      </c>
      <c r="F375" s="51" t="s">
        <v>765</v>
      </c>
      <c r="G375" s="51" t="s">
        <v>766</v>
      </c>
      <c r="H375" s="54" t="s">
        <v>767</v>
      </c>
      <c r="I375" s="60">
        <v>36</v>
      </c>
      <c r="J375" s="51" t="s">
        <v>250</v>
      </c>
      <c r="K375" s="52">
        <v>23</v>
      </c>
      <c r="L375" s="52">
        <v>6</v>
      </c>
      <c r="M375" s="52"/>
      <c r="N375" s="53" t="s">
        <v>2030</v>
      </c>
      <c r="O375" s="53" t="s">
        <v>769</v>
      </c>
      <c r="P375" s="52"/>
      <c r="Q375" s="54"/>
      <c r="R375" s="53"/>
      <c r="S375" s="54"/>
      <c r="T375" s="55" t="s">
        <v>1921</v>
      </c>
      <c r="U375" s="55" t="s">
        <v>2031</v>
      </c>
      <c r="V375" s="55" t="s">
        <v>2032</v>
      </c>
      <c r="W375" s="77" t="s">
        <v>2033</v>
      </c>
      <c r="X375" s="55" t="s">
        <v>1801</v>
      </c>
      <c r="Y375" s="53" t="s">
        <v>2004</v>
      </c>
      <c r="Z375" s="53" t="s">
        <v>2005</v>
      </c>
      <c r="AA375" s="60" t="s">
        <v>2034</v>
      </c>
    </row>
    <row r="376" spans="2:27" ht="80.25" hidden="1" customHeight="1">
      <c r="B376" s="51" t="s">
        <v>48</v>
      </c>
      <c r="C376" s="51" t="s">
        <v>1796</v>
      </c>
      <c r="D376" s="51" t="s">
        <v>49</v>
      </c>
      <c r="E376" s="52">
        <v>1</v>
      </c>
      <c r="F376" s="51" t="s">
        <v>775</v>
      </c>
      <c r="G376" s="51" t="s">
        <v>776</v>
      </c>
      <c r="H376" s="54" t="s">
        <v>767</v>
      </c>
      <c r="I376" s="52">
        <v>37</v>
      </c>
      <c r="J376" s="51" t="s">
        <v>250</v>
      </c>
      <c r="K376" s="52">
        <v>23</v>
      </c>
      <c r="L376" s="52">
        <v>6</v>
      </c>
      <c r="M376" s="52"/>
      <c r="N376" s="53" t="s">
        <v>987</v>
      </c>
      <c r="O376" s="53" t="s">
        <v>778</v>
      </c>
      <c r="P376" s="52"/>
      <c r="Q376" s="54"/>
      <c r="R376" s="53"/>
      <c r="S376" s="54"/>
      <c r="T376" s="55" t="s">
        <v>1835</v>
      </c>
      <c r="U376" s="55" t="s">
        <v>1906</v>
      </c>
      <c r="V376" s="55" t="s">
        <v>2035</v>
      </c>
      <c r="W376" s="77" t="s">
        <v>2036</v>
      </c>
      <c r="X376" s="55" t="s">
        <v>1801</v>
      </c>
      <c r="Y376" s="53" t="s">
        <v>2021</v>
      </c>
      <c r="Z376" s="53" t="s">
        <v>2037</v>
      </c>
      <c r="AA376" s="60" t="s">
        <v>2038</v>
      </c>
    </row>
    <row r="377" spans="2:27" ht="80.25" hidden="1" customHeight="1">
      <c r="B377" s="51" t="s">
        <v>48</v>
      </c>
      <c r="C377" s="51" t="s">
        <v>1796</v>
      </c>
      <c r="D377" s="51" t="s">
        <v>49</v>
      </c>
      <c r="E377" s="52">
        <v>1</v>
      </c>
      <c r="F377" s="51" t="s">
        <v>784</v>
      </c>
      <c r="G377" s="51" t="s">
        <v>785</v>
      </c>
      <c r="H377" s="54" t="s">
        <v>767</v>
      </c>
      <c r="I377" s="60">
        <v>38</v>
      </c>
      <c r="J377" s="51" t="s">
        <v>250</v>
      </c>
      <c r="K377" s="52">
        <v>23</v>
      </c>
      <c r="L377" s="52">
        <v>6</v>
      </c>
      <c r="M377" s="52"/>
      <c r="N377" s="53" t="s">
        <v>2039</v>
      </c>
      <c r="O377" s="53" t="s">
        <v>787</v>
      </c>
      <c r="P377" s="52"/>
      <c r="Q377" s="54"/>
      <c r="R377" s="55" t="s">
        <v>788</v>
      </c>
      <c r="S377" s="51" t="s">
        <v>789</v>
      </c>
      <c r="T377" s="55" t="s">
        <v>2040</v>
      </c>
      <c r="U377" s="55" t="s">
        <v>2031</v>
      </c>
      <c r="V377" s="55" t="s">
        <v>2041</v>
      </c>
      <c r="W377" s="77" t="s">
        <v>2042</v>
      </c>
      <c r="X377" s="55" t="s">
        <v>1801</v>
      </c>
      <c r="Y377" s="53" t="s">
        <v>1924</v>
      </c>
      <c r="Z377" s="65" t="s">
        <v>2043</v>
      </c>
      <c r="AA377" s="60" t="s">
        <v>2038</v>
      </c>
    </row>
    <row r="378" spans="2:27" ht="80.25" hidden="1" customHeight="1">
      <c r="B378" s="51" t="s">
        <v>48</v>
      </c>
      <c r="C378" s="51" t="s">
        <v>1796</v>
      </c>
      <c r="D378" s="51" t="s">
        <v>49</v>
      </c>
      <c r="E378" s="52">
        <v>1</v>
      </c>
      <c r="F378" s="51" t="s">
        <v>2044</v>
      </c>
      <c r="G378" s="51" t="s">
        <v>2045</v>
      </c>
      <c r="H378" s="54" t="s">
        <v>240</v>
      </c>
      <c r="I378" s="52">
        <v>39</v>
      </c>
      <c r="J378" s="51" t="s">
        <v>123</v>
      </c>
      <c r="K378" s="52"/>
      <c r="L378" s="52"/>
      <c r="M378" s="52"/>
      <c r="N378" s="53" t="s">
        <v>2046</v>
      </c>
      <c r="O378" s="53" t="s">
        <v>2047</v>
      </c>
      <c r="P378" s="52"/>
      <c r="Q378" s="51"/>
      <c r="R378" s="55"/>
      <c r="S378" s="55"/>
      <c r="T378" s="55" t="s">
        <v>1880</v>
      </c>
      <c r="U378" s="55" t="s">
        <v>1902</v>
      </c>
      <c r="V378" s="55" t="s">
        <v>2048</v>
      </c>
      <c r="W378" s="77" t="s">
        <v>2049</v>
      </c>
      <c r="X378" s="55" t="s">
        <v>1801</v>
      </c>
      <c r="Y378" s="55" t="s">
        <v>1949</v>
      </c>
      <c r="Z378" s="55" t="s">
        <v>2050</v>
      </c>
      <c r="AA378" s="60" t="s">
        <v>2051</v>
      </c>
    </row>
    <row r="379" spans="2:27" ht="80.25" hidden="1" customHeight="1">
      <c r="B379" s="51" t="s">
        <v>48</v>
      </c>
      <c r="C379" s="51" t="s">
        <v>1796</v>
      </c>
      <c r="D379" s="51" t="s">
        <v>49</v>
      </c>
      <c r="E379" s="52">
        <v>1</v>
      </c>
      <c r="F379" s="51" t="s">
        <v>293</v>
      </c>
      <c r="G379" s="51" t="s">
        <v>294</v>
      </c>
      <c r="H379" s="54" t="s">
        <v>295</v>
      </c>
      <c r="I379" s="52">
        <v>40</v>
      </c>
      <c r="J379" s="51" t="s">
        <v>123</v>
      </c>
      <c r="K379" s="52">
        <v>3</v>
      </c>
      <c r="L379" s="52"/>
      <c r="M379" s="52"/>
      <c r="N379" s="53" t="s">
        <v>296</v>
      </c>
      <c r="O379" s="53" t="s">
        <v>297</v>
      </c>
      <c r="P379" s="52"/>
      <c r="Q379" s="53" t="s">
        <v>2052</v>
      </c>
      <c r="R379" s="55" t="s">
        <v>299</v>
      </c>
      <c r="S379" s="51" t="s">
        <v>300</v>
      </c>
      <c r="T379" s="55" t="s">
        <v>1797</v>
      </c>
      <c r="U379" s="55" t="s">
        <v>1798</v>
      </c>
      <c r="V379" s="55" t="s">
        <v>1799</v>
      </c>
      <c r="W379" s="77" t="s">
        <v>2053</v>
      </c>
      <c r="X379" s="55" t="s">
        <v>1801</v>
      </c>
      <c r="Y379" s="65" t="s">
        <v>1888</v>
      </c>
      <c r="Z379" s="65" t="s">
        <v>2054</v>
      </c>
      <c r="AA379" s="60" t="s">
        <v>244</v>
      </c>
    </row>
    <row r="380" spans="2:27" ht="80.25" hidden="1" customHeight="1">
      <c r="B380" s="51" t="s">
        <v>48</v>
      </c>
      <c r="C380" s="51" t="s">
        <v>1796</v>
      </c>
      <c r="D380" s="51" t="s">
        <v>49</v>
      </c>
      <c r="E380" s="52">
        <v>1</v>
      </c>
      <c r="F380" s="51" t="s">
        <v>304</v>
      </c>
      <c r="G380" s="51" t="s">
        <v>305</v>
      </c>
      <c r="H380" s="54" t="s">
        <v>295</v>
      </c>
      <c r="I380" s="52">
        <v>41</v>
      </c>
      <c r="J380" s="51" t="s">
        <v>123</v>
      </c>
      <c r="K380" s="52">
        <v>3</v>
      </c>
      <c r="L380" s="52"/>
      <c r="M380" s="52"/>
      <c r="N380" s="53" t="s">
        <v>306</v>
      </c>
      <c r="O380" s="53" t="s">
        <v>307</v>
      </c>
      <c r="P380" s="52"/>
      <c r="Q380" s="53" t="s">
        <v>2055</v>
      </c>
      <c r="R380" s="55" t="s">
        <v>203</v>
      </c>
      <c r="S380" s="51" t="s">
        <v>309</v>
      </c>
      <c r="T380" s="55" t="s">
        <v>2056</v>
      </c>
      <c r="U380" s="55" t="s">
        <v>1798</v>
      </c>
      <c r="V380" s="55" t="s">
        <v>1799</v>
      </c>
      <c r="W380" s="77" t="s">
        <v>2057</v>
      </c>
      <c r="X380" s="55" t="s">
        <v>1801</v>
      </c>
      <c r="Y380" s="53" t="s">
        <v>244</v>
      </c>
      <c r="Z380" s="53" t="s">
        <v>244</v>
      </c>
      <c r="AA380" s="60" t="s">
        <v>2058</v>
      </c>
    </row>
    <row r="381" spans="2:27" ht="80.25" hidden="1" customHeight="1">
      <c r="B381" s="51" t="s">
        <v>48</v>
      </c>
      <c r="C381" s="51" t="s">
        <v>1796</v>
      </c>
      <c r="D381" s="51" t="s">
        <v>49</v>
      </c>
      <c r="E381" s="52">
        <v>1</v>
      </c>
      <c r="F381" s="51" t="s">
        <v>317</v>
      </c>
      <c r="G381" s="51" t="s">
        <v>318</v>
      </c>
      <c r="H381" s="51" t="s">
        <v>319</v>
      </c>
      <c r="I381" s="52">
        <v>42</v>
      </c>
      <c r="J381" s="51" t="s">
        <v>123</v>
      </c>
      <c r="K381" s="52">
        <v>2</v>
      </c>
      <c r="L381" s="52"/>
      <c r="M381" s="52"/>
      <c r="N381" s="53" t="s">
        <v>320</v>
      </c>
      <c r="O381" s="53" t="s">
        <v>321</v>
      </c>
      <c r="P381" s="52"/>
      <c r="Q381" s="53" t="s">
        <v>2059</v>
      </c>
      <c r="R381" s="55"/>
      <c r="S381" s="51"/>
      <c r="T381" s="55" t="s">
        <v>1880</v>
      </c>
      <c r="U381" s="55" t="s">
        <v>1902</v>
      </c>
      <c r="V381" s="55" t="s">
        <v>244</v>
      </c>
      <c r="W381" s="77" t="s">
        <v>2060</v>
      </c>
      <c r="X381" s="55" t="s">
        <v>1801</v>
      </c>
      <c r="Y381" s="53" t="s">
        <v>244</v>
      </c>
      <c r="Z381" s="53" t="s">
        <v>244</v>
      </c>
      <c r="AA381" s="60" t="s">
        <v>2061</v>
      </c>
    </row>
    <row r="382" spans="2:27" ht="80.25" hidden="1" customHeight="1">
      <c r="B382" s="51" t="s">
        <v>48</v>
      </c>
      <c r="C382" s="51" t="s">
        <v>1796</v>
      </c>
      <c r="D382" s="51" t="s">
        <v>49</v>
      </c>
      <c r="E382" s="52">
        <v>1</v>
      </c>
      <c r="F382" s="51" t="s">
        <v>326</v>
      </c>
      <c r="G382" s="51" t="s">
        <v>327</v>
      </c>
      <c r="H382" s="51" t="s">
        <v>328</v>
      </c>
      <c r="I382" s="52">
        <v>43</v>
      </c>
      <c r="J382" s="51" t="s">
        <v>123</v>
      </c>
      <c r="K382" s="52">
        <v>10</v>
      </c>
      <c r="L382" s="52"/>
      <c r="M382" s="52"/>
      <c r="N382" s="53" t="s">
        <v>329</v>
      </c>
      <c r="O382" s="53" t="s">
        <v>361</v>
      </c>
      <c r="P382" s="52" t="s">
        <v>126</v>
      </c>
      <c r="Q382" s="51"/>
      <c r="R382" s="55" t="s">
        <v>275</v>
      </c>
      <c r="S382" s="51" t="s">
        <v>803</v>
      </c>
      <c r="T382" s="55" t="s">
        <v>1880</v>
      </c>
      <c r="U382" s="55" t="s">
        <v>1902</v>
      </c>
      <c r="V382" s="55" t="s">
        <v>2062</v>
      </c>
      <c r="W382" s="77" t="s">
        <v>2063</v>
      </c>
      <c r="X382" s="53" t="s">
        <v>244</v>
      </c>
      <c r="Y382" s="53" t="s">
        <v>244</v>
      </c>
      <c r="Z382" s="53" t="s">
        <v>244</v>
      </c>
      <c r="AA382" s="60" t="s">
        <v>244</v>
      </c>
    </row>
    <row r="383" spans="2:27" ht="80.25" hidden="1" customHeight="1">
      <c r="B383" s="51" t="s">
        <v>48</v>
      </c>
      <c r="C383" s="51" t="s">
        <v>1796</v>
      </c>
      <c r="D383" s="51" t="s">
        <v>49</v>
      </c>
      <c r="E383" s="52">
        <v>1</v>
      </c>
      <c r="F383" s="51" t="s">
        <v>333</v>
      </c>
      <c r="G383" s="51" t="s">
        <v>334</v>
      </c>
      <c r="H383" s="51" t="s">
        <v>335</v>
      </c>
      <c r="I383" s="52">
        <v>44</v>
      </c>
      <c r="J383" s="51" t="s">
        <v>336</v>
      </c>
      <c r="K383" s="52">
        <v>23</v>
      </c>
      <c r="L383" s="52"/>
      <c r="M383" s="52"/>
      <c r="N383" s="53" t="s">
        <v>337</v>
      </c>
      <c r="O383" s="53" t="s">
        <v>338</v>
      </c>
      <c r="P383" s="52"/>
      <c r="Q383" s="51"/>
      <c r="R383" s="55"/>
      <c r="S383" s="51"/>
      <c r="T383" s="55" t="s">
        <v>1880</v>
      </c>
      <c r="U383" s="55" t="s">
        <v>1902</v>
      </c>
      <c r="V383" s="55" t="s">
        <v>244</v>
      </c>
      <c r="W383" s="77" t="s">
        <v>2064</v>
      </c>
      <c r="X383" s="53" t="s">
        <v>244</v>
      </c>
      <c r="Y383" s="53" t="s">
        <v>244</v>
      </c>
      <c r="Z383" s="53" t="s">
        <v>244</v>
      </c>
      <c r="AA383" s="60" t="s">
        <v>244</v>
      </c>
    </row>
    <row r="384" spans="2:27" ht="80.25" hidden="1" customHeight="1">
      <c r="B384" s="51" t="s">
        <v>48</v>
      </c>
      <c r="C384" s="51" t="s">
        <v>2065</v>
      </c>
      <c r="D384" s="51" t="s">
        <v>51</v>
      </c>
      <c r="E384" s="52">
        <v>2</v>
      </c>
      <c r="F384" s="51" t="s">
        <v>120</v>
      </c>
      <c r="G384" s="51" t="s">
        <v>121</v>
      </c>
      <c r="H384" s="51" t="s">
        <v>122</v>
      </c>
      <c r="I384" s="52">
        <v>1</v>
      </c>
      <c r="J384" s="51" t="s">
        <v>123</v>
      </c>
      <c r="K384" s="52">
        <v>4</v>
      </c>
      <c r="L384" s="52"/>
      <c r="M384" s="52"/>
      <c r="N384" s="321" t="s">
        <v>124</v>
      </c>
      <c r="O384" s="53" t="s">
        <v>125</v>
      </c>
      <c r="P384" s="52" t="s">
        <v>126</v>
      </c>
      <c r="Q384" s="51"/>
      <c r="R384" s="55"/>
      <c r="S384" s="51"/>
      <c r="T384" s="110" t="s">
        <v>2066</v>
      </c>
      <c r="U384" s="55" t="s">
        <v>2067</v>
      </c>
      <c r="V384" s="55" t="s">
        <v>369</v>
      </c>
      <c r="W384" s="77" t="s">
        <v>2068</v>
      </c>
      <c r="X384" s="51" t="s">
        <v>2069</v>
      </c>
      <c r="Y384" s="54" t="s">
        <v>372</v>
      </c>
      <c r="Z384" s="54" t="s">
        <v>372</v>
      </c>
      <c r="AA384" s="52" t="s">
        <v>2070</v>
      </c>
    </row>
    <row r="385" spans="2:27" ht="80.25" hidden="1" customHeight="1">
      <c r="B385" s="51" t="s">
        <v>48</v>
      </c>
      <c r="C385" s="51" t="s">
        <v>2065</v>
      </c>
      <c r="D385" s="51" t="s">
        <v>51</v>
      </c>
      <c r="E385" s="52">
        <v>2</v>
      </c>
      <c r="F385" s="51" t="s">
        <v>574</v>
      </c>
      <c r="G385" s="51" t="s">
        <v>575</v>
      </c>
      <c r="H385" s="51" t="s">
        <v>122</v>
      </c>
      <c r="I385" s="52">
        <v>2</v>
      </c>
      <c r="J385" s="51" t="s">
        <v>123</v>
      </c>
      <c r="K385" s="52">
        <v>15</v>
      </c>
      <c r="L385" s="52"/>
      <c r="M385" s="52"/>
      <c r="N385" s="53" t="s">
        <v>2071</v>
      </c>
      <c r="O385" s="53" t="s">
        <v>577</v>
      </c>
      <c r="P385" s="52" t="s">
        <v>126</v>
      </c>
      <c r="Q385" s="51"/>
      <c r="R385" s="55"/>
      <c r="S385" s="51"/>
      <c r="T385" s="169" t="s">
        <v>2072</v>
      </c>
      <c r="U385" s="51" t="s">
        <v>2073</v>
      </c>
      <c r="V385" s="51" t="s">
        <v>2074</v>
      </c>
      <c r="W385" s="77" t="s">
        <v>2075</v>
      </c>
      <c r="X385" s="51" t="s">
        <v>2069</v>
      </c>
      <c r="Y385" s="54" t="s">
        <v>2073</v>
      </c>
      <c r="Z385" s="73" t="s">
        <v>2076</v>
      </c>
      <c r="AA385" s="52" t="s">
        <v>372</v>
      </c>
    </row>
    <row r="386" spans="2:27" ht="80.25" hidden="1" customHeight="1">
      <c r="B386" s="51" t="s">
        <v>48</v>
      </c>
      <c r="C386" s="51" t="s">
        <v>2065</v>
      </c>
      <c r="D386" s="51" t="s">
        <v>51</v>
      </c>
      <c r="E386" s="52">
        <v>2</v>
      </c>
      <c r="F386" s="51" t="s">
        <v>176</v>
      </c>
      <c r="G386" s="51" t="s">
        <v>177</v>
      </c>
      <c r="H386" s="54" t="s">
        <v>150</v>
      </c>
      <c r="I386" s="52">
        <v>3</v>
      </c>
      <c r="J386" s="51" t="s">
        <v>123</v>
      </c>
      <c r="K386" s="52">
        <v>4</v>
      </c>
      <c r="L386" s="52"/>
      <c r="M386" s="52"/>
      <c r="N386" s="53" t="s">
        <v>2077</v>
      </c>
      <c r="O386" s="53" t="s">
        <v>179</v>
      </c>
      <c r="P386" s="52"/>
      <c r="Q386" s="54"/>
      <c r="R386" s="55"/>
      <c r="S386" s="51"/>
      <c r="T386" s="110" t="s">
        <v>2066</v>
      </c>
      <c r="U386" s="55" t="s">
        <v>2067</v>
      </c>
      <c r="V386" s="55" t="s">
        <v>369</v>
      </c>
      <c r="W386" s="77" t="s">
        <v>2078</v>
      </c>
      <c r="X386" s="51" t="s">
        <v>2069</v>
      </c>
      <c r="Y386" s="67" t="s">
        <v>647</v>
      </c>
      <c r="Z386" s="67" t="s">
        <v>647</v>
      </c>
      <c r="AA386" s="52" t="s">
        <v>2079</v>
      </c>
    </row>
    <row r="387" spans="2:27" ht="80.25" hidden="1" customHeight="1">
      <c r="B387" s="51" t="s">
        <v>48</v>
      </c>
      <c r="C387" s="51" t="s">
        <v>2065</v>
      </c>
      <c r="D387" s="51" t="s">
        <v>51</v>
      </c>
      <c r="E387" s="52">
        <v>2</v>
      </c>
      <c r="F387" s="51" t="s">
        <v>187</v>
      </c>
      <c r="G387" s="51" t="s">
        <v>188</v>
      </c>
      <c r="H387" s="54" t="s">
        <v>150</v>
      </c>
      <c r="I387" s="52">
        <v>4</v>
      </c>
      <c r="J387" s="51" t="s">
        <v>123</v>
      </c>
      <c r="K387" s="52">
        <v>30</v>
      </c>
      <c r="L387" s="52"/>
      <c r="M387" s="52"/>
      <c r="N387" s="53" t="s">
        <v>2080</v>
      </c>
      <c r="O387" s="53" t="s">
        <v>190</v>
      </c>
      <c r="P387" s="52"/>
      <c r="Q387" s="54"/>
      <c r="R387" s="55"/>
      <c r="S387" s="51"/>
      <c r="T387" s="110" t="s">
        <v>2081</v>
      </c>
      <c r="U387" s="55" t="s">
        <v>2082</v>
      </c>
      <c r="V387" s="55" t="s">
        <v>2083</v>
      </c>
      <c r="W387" s="77" t="s">
        <v>2084</v>
      </c>
      <c r="X387" s="51" t="s">
        <v>2069</v>
      </c>
      <c r="Y387" s="54" t="s">
        <v>2085</v>
      </c>
      <c r="Z387" s="65" t="s">
        <v>2086</v>
      </c>
      <c r="AA387" s="52" t="s">
        <v>2087</v>
      </c>
    </row>
    <row r="388" spans="2:27" ht="80.25" hidden="1" customHeight="1">
      <c r="B388" s="51" t="s">
        <v>48</v>
      </c>
      <c r="C388" s="51" t="s">
        <v>2065</v>
      </c>
      <c r="D388" s="51" t="s">
        <v>51</v>
      </c>
      <c r="E388" s="52">
        <v>2</v>
      </c>
      <c r="F388" s="51" t="s">
        <v>1842</v>
      </c>
      <c r="G388" s="51" t="s">
        <v>1843</v>
      </c>
      <c r="H388" s="54" t="s">
        <v>150</v>
      </c>
      <c r="I388" s="52">
        <v>5</v>
      </c>
      <c r="J388" s="51" t="s">
        <v>123</v>
      </c>
      <c r="K388" s="52">
        <v>34</v>
      </c>
      <c r="L388" s="52"/>
      <c r="M388" s="52"/>
      <c r="N388" s="53" t="s">
        <v>1844</v>
      </c>
      <c r="O388" s="53" t="s">
        <v>1845</v>
      </c>
      <c r="P388" s="52"/>
      <c r="Q388" s="54"/>
      <c r="R388" s="53"/>
      <c r="S388" s="54"/>
      <c r="T388" s="110" t="s">
        <v>2081</v>
      </c>
      <c r="U388" s="55" t="s">
        <v>2082</v>
      </c>
      <c r="V388" s="55" t="s">
        <v>2083</v>
      </c>
      <c r="W388" s="77" t="s">
        <v>2088</v>
      </c>
      <c r="X388" s="51" t="s">
        <v>2069</v>
      </c>
      <c r="Y388" s="54" t="s">
        <v>2089</v>
      </c>
      <c r="Z388" s="54" t="s">
        <v>2090</v>
      </c>
      <c r="AA388" s="52" t="s">
        <v>372</v>
      </c>
    </row>
    <row r="389" spans="2:27" ht="80.25" hidden="1" customHeight="1">
      <c r="B389" s="51" t="s">
        <v>48</v>
      </c>
      <c r="C389" s="51" t="s">
        <v>2065</v>
      </c>
      <c r="D389" s="51" t="s">
        <v>51</v>
      </c>
      <c r="E389" s="52">
        <v>2</v>
      </c>
      <c r="F389" s="51" t="s">
        <v>1851</v>
      </c>
      <c r="G389" s="51" t="s">
        <v>1852</v>
      </c>
      <c r="H389" s="54" t="s">
        <v>150</v>
      </c>
      <c r="I389" s="52">
        <v>6</v>
      </c>
      <c r="J389" s="51" t="s">
        <v>123</v>
      </c>
      <c r="K389" s="52">
        <v>4</v>
      </c>
      <c r="L389" s="52"/>
      <c r="M389" s="52"/>
      <c r="N389" s="53" t="s">
        <v>2091</v>
      </c>
      <c r="O389" s="53" t="s">
        <v>2092</v>
      </c>
      <c r="P389" s="52"/>
      <c r="Q389" s="54"/>
      <c r="R389" s="55"/>
      <c r="S389" s="51"/>
      <c r="T389" s="110" t="s">
        <v>2066</v>
      </c>
      <c r="U389" s="55" t="s">
        <v>2067</v>
      </c>
      <c r="V389" s="55" t="s">
        <v>369</v>
      </c>
      <c r="W389" s="77" t="s">
        <v>2093</v>
      </c>
      <c r="X389" s="51" t="s">
        <v>2069</v>
      </c>
      <c r="Y389" s="67" t="s">
        <v>647</v>
      </c>
      <c r="Z389" s="67" t="s">
        <v>647</v>
      </c>
      <c r="AA389" s="52" t="s">
        <v>2079</v>
      </c>
    </row>
    <row r="390" spans="2:27" ht="80.25" hidden="1" customHeight="1">
      <c r="B390" s="51" t="s">
        <v>48</v>
      </c>
      <c r="C390" s="51" t="s">
        <v>2065</v>
      </c>
      <c r="D390" s="51" t="s">
        <v>51</v>
      </c>
      <c r="E390" s="52">
        <v>2</v>
      </c>
      <c r="F390" s="51" t="s">
        <v>1860</v>
      </c>
      <c r="G390" s="51" t="s">
        <v>1861</v>
      </c>
      <c r="H390" s="54" t="s">
        <v>150</v>
      </c>
      <c r="I390" s="52">
        <v>7</v>
      </c>
      <c r="J390" s="51" t="s">
        <v>123</v>
      </c>
      <c r="K390" s="52">
        <v>30</v>
      </c>
      <c r="L390" s="52"/>
      <c r="M390" s="52"/>
      <c r="N390" s="53" t="s">
        <v>2094</v>
      </c>
      <c r="O390" s="53" t="s">
        <v>1854</v>
      </c>
      <c r="P390" s="52"/>
      <c r="Q390" s="54"/>
      <c r="R390" s="55"/>
      <c r="S390" s="51"/>
      <c r="T390" s="110" t="s">
        <v>2081</v>
      </c>
      <c r="U390" s="55" t="s">
        <v>2082</v>
      </c>
      <c r="V390" s="55" t="s">
        <v>2095</v>
      </c>
      <c r="W390" s="77" t="s">
        <v>2096</v>
      </c>
      <c r="X390" s="51" t="s">
        <v>2069</v>
      </c>
      <c r="Y390" s="54" t="s">
        <v>2089</v>
      </c>
      <c r="Z390" s="73" t="s">
        <v>2097</v>
      </c>
      <c r="AA390" s="52" t="s">
        <v>2087</v>
      </c>
    </row>
    <row r="391" spans="2:27" ht="80.25" hidden="1" customHeight="1">
      <c r="B391" s="51" t="s">
        <v>48</v>
      </c>
      <c r="C391" s="51" t="s">
        <v>2065</v>
      </c>
      <c r="D391" s="51" t="s">
        <v>51</v>
      </c>
      <c r="E391" s="52">
        <v>2</v>
      </c>
      <c r="F391" s="51" t="s">
        <v>1869</v>
      </c>
      <c r="G391" s="51" t="s">
        <v>1870</v>
      </c>
      <c r="H391" s="54" t="s">
        <v>150</v>
      </c>
      <c r="I391" s="52">
        <v>8</v>
      </c>
      <c r="J391" s="51" t="s">
        <v>123</v>
      </c>
      <c r="K391" s="52">
        <v>34</v>
      </c>
      <c r="L391" s="52"/>
      <c r="M391" s="52"/>
      <c r="N391" s="53" t="s">
        <v>1871</v>
      </c>
      <c r="O391" s="53" t="s">
        <v>1872</v>
      </c>
      <c r="P391" s="52"/>
      <c r="Q391" s="54"/>
      <c r="R391" s="53"/>
      <c r="S391" s="54"/>
      <c r="T391" s="110" t="s">
        <v>2081</v>
      </c>
      <c r="U391" s="55" t="s">
        <v>2082</v>
      </c>
      <c r="V391" s="55" t="s">
        <v>2095</v>
      </c>
      <c r="W391" s="77" t="s">
        <v>2098</v>
      </c>
      <c r="X391" s="51" t="s">
        <v>2069</v>
      </c>
      <c r="Y391" s="54" t="s">
        <v>2089</v>
      </c>
      <c r="Z391" s="73" t="s">
        <v>2099</v>
      </c>
      <c r="AA391" s="52" t="s">
        <v>2100</v>
      </c>
    </row>
    <row r="392" spans="2:27" ht="80.25" hidden="1" customHeight="1">
      <c r="B392" s="51" t="s">
        <v>48</v>
      </c>
      <c r="C392" s="51" t="s">
        <v>2065</v>
      </c>
      <c r="D392" s="51" t="s">
        <v>51</v>
      </c>
      <c r="E392" s="52">
        <v>2</v>
      </c>
      <c r="F392" s="51" t="s">
        <v>198</v>
      </c>
      <c r="G392" s="51" t="s">
        <v>199</v>
      </c>
      <c r="H392" s="54" t="s">
        <v>2101</v>
      </c>
      <c r="I392" s="52">
        <v>9</v>
      </c>
      <c r="J392" s="51" t="s">
        <v>123</v>
      </c>
      <c r="K392" s="52">
        <v>10</v>
      </c>
      <c r="L392" s="52"/>
      <c r="M392" s="52"/>
      <c r="N392" s="53" t="s">
        <v>2102</v>
      </c>
      <c r="O392" s="53" t="s">
        <v>202</v>
      </c>
      <c r="P392" s="52"/>
      <c r="Q392" s="54"/>
      <c r="R392" s="55"/>
      <c r="S392" s="51"/>
      <c r="T392" s="55" t="s">
        <v>2072</v>
      </c>
      <c r="U392" s="51" t="s">
        <v>2073</v>
      </c>
      <c r="V392" s="51" t="s">
        <v>2103</v>
      </c>
      <c r="W392" s="77" t="s">
        <v>2104</v>
      </c>
      <c r="X392" s="51" t="s">
        <v>2069</v>
      </c>
      <c r="Y392" s="54" t="s">
        <v>2073</v>
      </c>
      <c r="Z392" s="54" t="s">
        <v>2105</v>
      </c>
      <c r="AA392" s="52" t="s">
        <v>372</v>
      </c>
    </row>
    <row r="393" spans="2:27" ht="80.25" hidden="1" customHeight="1">
      <c r="B393" s="51" t="s">
        <v>48</v>
      </c>
      <c r="C393" s="51" t="s">
        <v>2065</v>
      </c>
      <c r="D393" s="51" t="s">
        <v>51</v>
      </c>
      <c r="E393" s="52">
        <v>2</v>
      </c>
      <c r="F393" s="51" t="s">
        <v>210</v>
      </c>
      <c r="G393" s="51" t="s">
        <v>211</v>
      </c>
      <c r="H393" s="54" t="s">
        <v>200</v>
      </c>
      <c r="I393" s="52">
        <v>10</v>
      </c>
      <c r="J393" s="51" t="s">
        <v>123</v>
      </c>
      <c r="K393" s="52">
        <v>10</v>
      </c>
      <c r="L393" s="52"/>
      <c r="M393" s="52"/>
      <c r="N393" s="53" t="s">
        <v>2106</v>
      </c>
      <c r="O393" s="53" t="s">
        <v>213</v>
      </c>
      <c r="P393" s="52"/>
      <c r="Q393" s="51"/>
      <c r="R393" s="55"/>
      <c r="S393" s="51"/>
      <c r="T393" s="55" t="s">
        <v>2072</v>
      </c>
      <c r="U393" s="51" t="s">
        <v>2073</v>
      </c>
      <c r="V393" s="51" t="s">
        <v>2107</v>
      </c>
      <c r="W393" s="77" t="s">
        <v>2108</v>
      </c>
      <c r="X393" s="51" t="s">
        <v>2069</v>
      </c>
      <c r="Y393" s="54" t="s">
        <v>2073</v>
      </c>
      <c r="Z393" s="54" t="s">
        <v>2109</v>
      </c>
      <c r="AA393" s="52" t="s">
        <v>372</v>
      </c>
    </row>
    <row r="394" spans="2:27" ht="80.25" hidden="1" customHeight="1">
      <c r="B394" s="51" t="s">
        <v>48</v>
      </c>
      <c r="C394" s="51" t="s">
        <v>2065</v>
      </c>
      <c r="D394" s="51" t="s">
        <v>51</v>
      </c>
      <c r="E394" s="52">
        <v>2</v>
      </c>
      <c r="F394" s="51" t="s">
        <v>222</v>
      </c>
      <c r="G394" s="51" t="s">
        <v>223</v>
      </c>
      <c r="H394" s="54" t="s">
        <v>224</v>
      </c>
      <c r="I394" s="52">
        <v>11</v>
      </c>
      <c r="J394" s="51" t="s">
        <v>123</v>
      </c>
      <c r="K394" s="52">
        <v>4</v>
      </c>
      <c r="L394" s="52"/>
      <c r="M394" s="52"/>
      <c r="N394" s="53" t="s">
        <v>2110</v>
      </c>
      <c r="O394" s="53" t="s">
        <v>226</v>
      </c>
      <c r="P394" s="52"/>
      <c r="Q394" s="55" t="s">
        <v>2111</v>
      </c>
      <c r="R394" s="55"/>
      <c r="S394" s="51"/>
      <c r="T394" s="110" t="s">
        <v>2081</v>
      </c>
      <c r="U394" s="55" t="s">
        <v>2082</v>
      </c>
      <c r="V394" s="55" t="s">
        <v>2112</v>
      </c>
      <c r="W394" s="77" t="s">
        <v>2113</v>
      </c>
      <c r="X394" s="51" t="s">
        <v>2069</v>
      </c>
      <c r="Y394" s="54" t="s">
        <v>2114</v>
      </c>
      <c r="Z394" s="54" t="s">
        <v>2115</v>
      </c>
      <c r="AA394" s="52" t="s">
        <v>372</v>
      </c>
    </row>
    <row r="395" spans="2:27" ht="80.25" hidden="1" customHeight="1">
      <c r="B395" s="51" t="s">
        <v>48</v>
      </c>
      <c r="C395" s="51" t="s">
        <v>2065</v>
      </c>
      <c r="D395" s="51" t="s">
        <v>51</v>
      </c>
      <c r="E395" s="52">
        <v>2</v>
      </c>
      <c r="F395" s="51" t="s">
        <v>247</v>
      </c>
      <c r="G395" s="51" t="s">
        <v>248</v>
      </c>
      <c r="H395" s="51" t="s">
        <v>249</v>
      </c>
      <c r="I395" s="52">
        <v>12</v>
      </c>
      <c r="J395" s="51" t="s">
        <v>250</v>
      </c>
      <c r="K395" s="52">
        <v>23</v>
      </c>
      <c r="L395" s="52">
        <v>6</v>
      </c>
      <c r="M395" s="52"/>
      <c r="N395" s="53" t="s">
        <v>2116</v>
      </c>
      <c r="O395" s="53" t="s">
        <v>252</v>
      </c>
      <c r="P395" s="52"/>
      <c r="Q395" s="54"/>
      <c r="R395" s="55"/>
      <c r="S395" s="51"/>
      <c r="T395" s="110" t="s">
        <v>2117</v>
      </c>
      <c r="U395" s="55" t="s">
        <v>2118</v>
      </c>
      <c r="V395" s="55" t="s">
        <v>2119</v>
      </c>
      <c r="W395" s="77" t="s">
        <v>2120</v>
      </c>
      <c r="X395" s="51" t="s">
        <v>2069</v>
      </c>
      <c r="Y395" s="53" t="s">
        <v>2121</v>
      </c>
      <c r="Z395" s="53" t="s">
        <v>2122</v>
      </c>
      <c r="AA395" s="52" t="s">
        <v>647</v>
      </c>
    </row>
    <row r="396" spans="2:27" ht="80.25" hidden="1" customHeight="1">
      <c r="B396" s="51" t="s">
        <v>48</v>
      </c>
      <c r="C396" s="51" t="s">
        <v>2065</v>
      </c>
      <c r="D396" s="51" t="s">
        <v>51</v>
      </c>
      <c r="E396" s="52">
        <v>2</v>
      </c>
      <c r="F396" s="51" t="s">
        <v>260</v>
      </c>
      <c r="G396" s="51" t="s">
        <v>261</v>
      </c>
      <c r="H396" s="51" t="s">
        <v>249</v>
      </c>
      <c r="I396" s="52">
        <v>13</v>
      </c>
      <c r="J396" s="51" t="s">
        <v>250</v>
      </c>
      <c r="K396" s="52">
        <v>23</v>
      </c>
      <c r="L396" s="52">
        <v>6</v>
      </c>
      <c r="M396" s="52"/>
      <c r="N396" s="53" t="s">
        <v>2123</v>
      </c>
      <c r="O396" s="53" t="s">
        <v>263</v>
      </c>
      <c r="P396" s="52"/>
      <c r="Q396" s="54"/>
      <c r="R396" s="55" t="s">
        <v>203</v>
      </c>
      <c r="S396" s="51" t="s">
        <v>253</v>
      </c>
      <c r="T396" s="110" t="s">
        <v>2081</v>
      </c>
      <c r="U396" s="55" t="s">
        <v>2082</v>
      </c>
      <c r="V396" s="55" t="s">
        <v>2124</v>
      </c>
      <c r="W396" s="77" t="s">
        <v>2125</v>
      </c>
      <c r="X396" s="51" t="s">
        <v>2069</v>
      </c>
      <c r="Y396" s="53" t="s">
        <v>2089</v>
      </c>
      <c r="Z396" s="53" t="s">
        <v>2126</v>
      </c>
      <c r="AA396" s="52" t="s">
        <v>372</v>
      </c>
    </row>
    <row r="397" spans="2:27" ht="80.25" hidden="1" customHeight="1">
      <c r="B397" s="51" t="s">
        <v>48</v>
      </c>
      <c r="C397" s="51" t="s">
        <v>2065</v>
      </c>
      <c r="D397" s="51" t="s">
        <v>51</v>
      </c>
      <c r="E397" s="52">
        <v>2</v>
      </c>
      <c r="F397" s="51" t="s">
        <v>657</v>
      </c>
      <c r="G397" s="51" t="s">
        <v>658</v>
      </c>
      <c r="H397" s="54" t="s">
        <v>295</v>
      </c>
      <c r="I397" s="52">
        <v>14</v>
      </c>
      <c r="J397" s="51" t="s">
        <v>123</v>
      </c>
      <c r="K397" s="52">
        <v>4</v>
      </c>
      <c r="L397" s="52"/>
      <c r="M397" s="52"/>
      <c r="N397" s="53" t="s">
        <v>659</v>
      </c>
      <c r="O397" s="53" t="s">
        <v>660</v>
      </c>
      <c r="P397" s="52"/>
      <c r="Q397" s="53" t="s">
        <v>2127</v>
      </c>
      <c r="R397" s="53"/>
      <c r="S397" s="54"/>
      <c r="T397" s="110" t="s">
        <v>2066</v>
      </c>
      <c r="U397" s="55" t="s">
        <v>2067</v>
      </c>
      <c r="V397" s="55" t="s">
        <v>369</v>
      </c>
      <c r="W397" s="77" t="s">
        <v>2128</v>
      </c>
      <c r="X397" s="51" t="s">
        <v>2069</v>
      </c>
      <c r="Y397" s="54" t="s">
        <v>2073</v>
      </c>
      <c r="Z397" s="54" t="s">
        <v>2129</v>
      </c>
      <c r="AA397" s="52" t="s">
        <v>372</v>
      </c>
    </row>
    <row r="398" spans="2:27" ht="80.25" hidden="1" customHeight="1">
      <c r="B398" s="51" t="s">
        <v>48</v>
      </c>
      <c r="C398" s="51" t="s">
        <v>2065</v>
      </c>
      <c r="D398" s="51" t="s">
        <v>51</v>
      </c>
      <c r="E398" s="52">
        <v>2</v>
      </c>
      <c r="F398" s="51" t="s">
        <v>666</v>
      </c>
      <c r="G398" s="51" t="s">
        <v>667</v>
      </c>
      <c r="H398" s="54" t="s">
        <v>295</v>
      </c>
      <c r="I398" s="52">
        <v>15</v>
      </c>
      <c r="J398" s="51" t="s">
        <v>123</v>
      </c>
      <c r="K398" s="52">
        <v>4</v>
      </c>
      <c r="L398" s="52"/>
      <c r="M398" s="52"/>
      <c r="N398" s="53" t="s">
        <v>668</v>
      </c>
      <c r="O398" s="53" t="s">
        <v>669</v>
      </c>
      <c r="P398" s="52"/>
      <c r="Q398" s="55" t="s">
        <v>670</v>
      </c>
      <c r="R398" s="63"/>
      <c r="S398" s="61"/>
      <c r="T398" s="110" t="s">
        <v>2066</v>
      </c>
      <c r="U398" s="55" t="s">
        <v>2067</v>
      </c>
      <c r="V398" s="55" t="s">
        <v>369</v>
      </c>
      <c r="W398" s="77" t="s">
        <v>2130</v>
      </c>
      <c r="X398" s="51" t="s">
        <v>2069</v>
      </c>
      <c r="Y398" s="54" t="s">
        <v>372</v>
      </c>
      <c r="Z398" s="54" t="s">
        <v>372</v>
      </c>
      <c r="AA398" s="52" t="s">
        <v>462</v>
      </c>
    </row>
    <row r="399" spans="2:27" ht="80.25" hidden="1" customHeight="1">
      <c r="B399" s="51" t="s">
        <v>48</v>
      </c>
      <c r="C399" s="51" t="s">
        <v>2065</v>
      </c>
      <c r="D399" s="51" t="s">
        <v>51</v>
      </c>
      <c r="E399" s="52">
        <v>2</v>
      </c>
      <c r="F399" s="51" t="s">
        <v>326</v>
      </c>
      <c r="G399" s="51" t="s">
        <v>327</v>
      </c>
      <c r="H399" s="51" t="s">
        <v>328</v>
      </c>
      <c r="I399" s="52">
        <v>16</v>
      </c>
      <c r="J399" s="51" t="s">
        <v>123</v>
      </c>
      <c r="K399" s="52">
        <v>10</v>
      </c>
      <c r="L399" s="52"/>
      <c r="M399" s="52"/>
      <c r="N399" s="53" t="s">
        <v>329</v>
      </c>
      <c r="O399" s="53" t="s">
        <v>361</v>
      </c>
      <c r="P399" s="52" t="s">
        <v>126</v>
      </c>
      <c r="Q399" s="51"/>
      <c r="R399" s="55"/>
      <c r="S399" s="51"/>
      <c r="T399" s="55" t="s">
        <v>2072</v>
      </c>
      <c r="U399" s="51" t="s">
        <v>2073</v>
      </c>
      <c r="V399" s="51" t="s">
        <v>678</v>
      </c>
      <c r="W399" s="55" t="s">
        <v>2131</v>
      </c>
      <c r="X399" s="51" t="s">
        <v>372</v>
      </c>
      <c r="Y399" s="54" t="s">
        <v>372</v>
      </c>
      <c r="Z399" s="54" t="s">
        <v>372</v>
      </c>
      <c r="AA399" s="52" t="s">
        <v>372</v>
      </c>
    </row>
    <row r="400" spans="2:27" ht="80.25" hidden="1" customHeight="1">
      <c r="B400" s="51" t="s">
        <v>48</v>
      </c>
      <c r="C400" s="51" t="s">
        <v>2065</v>
      </c>
      <c r="D400" s="51" t="s">
        <v>51</v>
      </c>
      <c r="E400" s="52">
        <v>2</v>
      </c>
      <c r="F400" s="51" t="s">
        <v>333</v>
      </c>
      <c r="G400" s="51" t="s">
        <v>334</v>
      </c>
      <c r="H400" s="51" t="s">
        <v>335</v>
      </c>
      <c r="I400" s="52">
        <v>17</v>
      </c>
      <c r="J400" s="51" t="s">
        <v>336</v>
      </c>
      <c r="K400" s="52">
        <v>23</v>
      </c>
      <c r="L400" s="52"/>
      <c r="M400" s="52"/>
      <c r="N400" s="53" t="s">
        <v>337</v>
      </c>
      <c r="O400" s="53" t="s">
        <v>338</v>
      </c>
      <c r="P400" s="52"/>
      <c r="Q400" s="51"/>
      <c r="R400" s="55"/>
      <c r="S400" s="51"/>
      <c r="T400" s="55" t="s">
        <v>2072</v>
      </c>
      <c r="U400" s="51" t="s">
        <v>2073</v>
      </c>
      <c r="V400" s="51" t="s">
        <v>372</v>
      </c>
      <c r="W400" s="55" t="s">
        <v>2132</v>
      </c>
      <c r="X400" s="51" t="s">
        <v>372</v>
      </c>
      <c r="Y400" s="54" t="s">
        <v>372</v>
      </c>
      <c r="Z400" s="54" t="s">
        <v>372</v>
      </c>
      <c r="AA400" s="52" t="s">
        <v>372</v>
      </c>
    </row>
    <row r="401" spans="2:27" ht="80.25" hidden="1" customHeight="1">
      <c r="B401" s="62" t="s">
        <v>48</v>
      </c>
      <c r="C401" s="62" t="s">
        <v>2133</v>
      </c>
      <c r="D401" s="62" t="s">
        <v>2134</v>
      </c>
      <c r="E401" s="318">
        <v>0</v>
      </c>
      <c r="F401" s="51" t="s">
        <v>120</v>
      </c>
      <c r="G401" s="51" t="s">
        <v>121</v>
      </c>
      <c r="H401" s="74"/>
      <c r="I401" s="318">
        <v>1</v>
      </c>
      <c r="J401" s="62"/>
      <c r="K401" s="318"/>
      <c r="L401" s="318"/>
      <c r="M401" s="318"/>
      <c r="N401" s="84"/>
      <c r="O401" s="53" t="s">
        <v>125</v>
      </c>
      <c r="P401" s="318" t="s">
        <v>126</v>
      </c>
      <c r="Q401" s="62"/>
      <c r="R401" s="168"/>
      <c r="S401" s="74"/>
      <c r="T401" s="84" t="s">
        <v>2135</v>
      </c>
      <c r="U401" s="84" t="s">
        <v>2136</v>
      </c>
      <c r="V401" s="84" t="s">
        <v>323</v>
      </c>
      <c r="W401" s="314" t="s">
        <v>2137</v>
      </c>
      <c r="X401" s="168" t="s">
        <v>2138</v>
      </c>
      <c r="Y401" s="62"/>
      <c r="Z401" s="62"/>
      <c r="AA401" s="318"/>
    </row>
    <row r="402" spans="2:27" ht="80.25" hidden="1" customHeight="1">
      <c r="B402" s="62" t="s">
        <v>48</v>
      </c>
      <c r="C402" s="62" t="s">
        <v>2133</v>
      </c>
      <c r="D402" s="62" t="s">
        <v>2134</v>
      </c>
      <c r="E402" s="318">
        <v>0</v>
      </c>
      <c r="F402" s="62" t="s">
        <v>136</v>
      </c>
      <c r="G402" s="62" t="s">
        <v>137</v>
      </c>
      <c r="H402" s="74"/>
      <c r="I402" s="318">
        <v>2</v>
      </c>
      <c r="J402" s="62"/>
      <c r="K402" s="318"/>
      <c r="L402" s="318"/>
      <c r="M402" s="318"/>
      <c r="N402" s="84"/>
      <c r="O402" s="53" t="s">
        <v>139</v>
      </c>
      <c r="P402" s="318" t="s">
        <v>126</v>
      </c>
      <c r="Q402" s="62"/>
      <c r="R402" s="168"/>
      <c r="S402" s="74"/>
      <c r="T402" s="84" t="s">
        <v>2135</v>
      </c>
      <c r="U402" s="84" t="s">
        <v>2136</v>
      </c>
      <c r="V402" s="84" t="s">
        <v>2139</v>
      </c>
      <c r="W402" s="314" t="s">
        <v>2140</v>
      </c>
      <c r="X402" s="168" t="s">
        <v>2138</v>
      </c>
      <c r="Y402" s="62"/>
      <c r="Z402" s="62"/>
      <c r="AA402" s="318"/>
    </row>
    <row r="403" spans="2:27" ht="80.25" hidden="1" customHeight="1">
      <c r="B403" s="62" t="s">
        <v>48</v>
      </c>
      <c r="C403" s="62" t="s">
        <v>2133</v>
      </c>
      <c r="D403" s="62" t="s">
        <v>2134</v>
      </c>
      <c r="E403" s="318">
        <v>0</v>
      </c>
      <c r="F403" s="62" t="s">
        <v>352</v>
      </c>
      <c r="G403" s="62" t="s">
        <v>353</v>
      </c>
      <c r="H403" s="325" t="s">
        <v>240</v>
      </c>
      <c r="I403" s="318">
        <v>3</v>
      </c>
      <c r="J403" s="323" t="s">
        <v>123</v>
      </c>
      <c r="K403" s="318"/>
      <c r="L403" s="318"/>
      <c r="M403" s="318"/>
      <c r="N403" s="81" t="s">
        <v>354</v>
      </c>
      <c r="O403" s="53" t="s">
        <v>355</v>
      </c>
      <c r="P403" s="318"/>
      <c r="Q403" s="62"/>
      <c r="R403" s="168"/>
      <c r="S403" s="74"/>
      <c r="T403" s="84" t="s">
        <v>2135</v>
      </c>
      <c r="U403" s="84" t="s">
        <v>2136</v>
      </c>
      <c r="V403" s="84" t="s">
        <v>939</v>
      </c>
      <c r="W403" s="314" t="s">
        <v>2141</v>
      </c>
      <c r="X403" s="168" t="s">
        <v>2138</v>
      </c>
      <c r="Y403" s="62"/>
      <c r="Z403" s="62"/>
      <c r="AA403" s="318"/>
    </row>
    <row r="404" spans="2:27" ht="80.25" hidden="1" customHeight="1">
      <c r="B404" s="62" t="s">
        <v>48</v>
      </c>
      <c r="C404" s="62" t="s">
        <v>2133</v>
      </c>
      <c r="D404" s="62" t="s">
        <v>2134</v>
      </c>
      <c r="E404" s="318">
        <v>0</v>
      </c>
      <c r="F404" s="62" t="s">
        <v>317</v>
      </c>
      <c r="G404" s="62" t="s">
        <v>318</v>
      </c>
      <c r="H404" s="74"/>
      <c r="I404" s="318">
        <v>4</v>
      </c>
      <c r="J404" s="62"/>
      <c r="K404" s="318"/>
      <c r="L404" s="318"/>
      <c r="M404" s="318"/>
      <c r="N404" s="84"/>
      <c r="O404" s="53" t="s">
        <v>321</v>
      </c>
      <c r="P404" s="318" t="s">
        <v>126</v>
      </c>
      <c r="Q404" s="62"/>
      <c r="R404" s="168"/>
      <c r="S404" s="74"/>
      <c r="T404" s="84" t="s">
        <v>2135</v>
      </c>
      <c r="U404" s="84" t="s">
        <v>2136</v>
      </c>
      <c r="V404" s="84" t="s">
        <v>939</v>
      </c>
      <c r="W404" s="314" t="s">
        <v>2142</v>
      </c>
      <c r="X404" s="168" t="s">
        <v>2138</v>
      </c>
      <c r="Y404" s="62"/>
      <c r="Z404" s="62"/>
      <c r="AA404" s="318"/>
    </row>
    <row r="405" spans="2:27" ht="80.25" hidden="1" customHeight="1">
      <c r="B405" s="62" t="s">
        <v>48</v>
      </c>
      <c r="C405" s="62" t="s">
        <v>2133</v>
      </c>
      <c r="D405" s="62" t="s">
        <v>2134</v>
      </c>
      <c r="E405" s="318">
        <v>0</v>
      </c>
      <c r="F405" s="51" t="s">
        <v>326</v>
      </c>
      <c r="G405" s="51" t="s">
        <v>327</v>
      </c>
      <c r="H405" s="74"/>
      <c r="I405" s="318">
        <v>5</v>
      </c>
      <c r="J405" s="62"/>
      <c r="K405" s="318"/>
      <c r="L405" s="318"/>
      <c r="M405" s="318"/>
      <c r="N405" s="84"/>
      <c r="O405" s="53" t="s">
        <v>361</v>
      </c>
      <c r="P405" s="318"/>
      <c r="Q405" s="62"/>
      <c r="R405" s="168"/>
      <c r="S405" s="74"/>
      <c r="T405" s="84" t="s">
        <v>2135</v>
      </c>
      <c r="U405" s="84" t="s">
        <v>2143</v>
      </c>
      <c r="V405" s="84" t="s">
        <v>2144</v>
      </c>
      <c r="W405" s="314" t="s">
        <v>2145</v>
      </c>
      <c r="X405" s="168" t="s">
        <v>2138</v>
      </c>
      <c r="Y405" s="62"/>
      <c r="Z405" s="62"/>
      <c r="AA405" s="318"/>
    </row>
    <row r="406" spans="2:27" ht="80.25" hidden="1" customHeight="1">
      <c r="B406" s="62" t="s">
        <v>48</v>
      </c>
      <c r="C406" s="62" t="s">
        <v>2133</v>
      </c>
      <c r="D406" s="62" t="s">
        <v>2134</v>
      </c>
      <c r="E406" s="318">
        <v>0</v>
      </c>
      <c r="F406" s="51" t="s">
        <v>333</v>
      </c>
      <c r="G406" s="51" t="s">
        <v>334</v>
      </c>
      <c r="H406" s="74"/>
      <c r="I406" s="318">
        <v>6</v>
      </c>
      <c r="J406" s="62"/>
      <c r="K406" s="318"/>
      <c r="L406" s="318"/>
      <c r="M406" s="318"/>
      <c r="N406" s="84"/>
      <c r="O406" s="53" t="s">
        <v>338</v>
      </c>
      <c r="P406" s="318"/>
      <c r="Q406" s="62"/>
      <c r="R406" s="168"/>
      <c r="S406" s="74"/>
      <c r="T406" s="84" t="s">
        <v>2135</v>
      </c>
      <c r="U406" s="84" t="s">
        <v>2136</v>
      </c>
      <c r="V406" s="84" t="s">
        <v>939</v>
      </c>
      <c r="W406" s="314" t="s">
        <v>2146</v>
      </c>
      <c r="X406" s="168" t="s">
        <v>2138</v>
      </c>
      <c r="Y406" s="62"/>
      <c r="Z406" s="62"/>
      <c r="AA406" s="318"/>
    </row>
    <row r="407" spans="2:27" ht="80.25" hidden="1" customHeight="1">
      <c r="B407" s="321" t="s">
        <v>53</v>
      </c>
      <c r="C407" s="51" t="s">
        <v>2147</v>
      </c>
      <c r="D407" s="51" t="s">
        <v>54</v>
      </c>
      <c r="E407" s="52">
        <v>1</v>
      </c>
      <c r="F407" s="51" t="s">
        <v>120</v>
      </c>
      <c r="G407" s="51" t="s">
        <v>121</v>
      </c>
      <c r="H407" s="51" t="s">
        <v>122</v>
      </c>
      <c r="I407" s="52">
        <v>1</v>
      </c>
      <c r="J407" s="51" t="s">
        <v>123</v>
      </c>
      <c r="K407" s="52">
        <v>4</v>
      </c>
      <c r="L407" s="52"/>
      <c r="M407" s="52"/>
      <c r="N407" s="321" t="s">
        <v>124</v>
      </c>
      <c r="O407" s="53" t="s">
        <v>125</v>
      </c>
      <c r="P407" s="52" t="s">
        <v>126</v>
      </c>
      <c r="Q407" s="54"/>
      <c r="R407" s="55" t="s">
        <v>127</v>
      </c>
      <c r="S407" s="55" t="s">
        <v>2148</v>
      </c>
      <c r="T407" s="55" t="s">
        <v>2149</v>
      </c>
      <c r="U407" s="55" t="s">
        <v>2150</v>
      </c>
      <c r="V407" s="55" t="s">
        <v>369</v>
      </c>
      <c r="W407" s="346" t="s">
        <v>2151</v>
      </c>
      <c r="X407" s="51" t="s">
        <v>1593</v>
      </c>
      <c r="Y407" s="54" t="s">
        <v>372</v>
      </c>
      <c r="Z407" s="54" t="s">
        <v>372</v>
      </c>
      <c r="AA407" s="52" t="s">
        <v>373</v>
      </c>
    </row>
    <row r="408" spans="2:27" ht="80.25" hidden="1" customHeight="1">
      <c r="B408" s="321" t="s">
        <v>53</v>
      </c>
      <c r="C408" s="51" t="s">
        <v>2147</v>
      </c>
      <c r="D408" s="51" t="s">
        <v>54</v>
      </c>
      <c r="E408" s="52">
        <v>1</v>
      </c>
      <c r="F408" s="51" t="s">
        <v>136</v>
      </c>
      <c r="G408" s="51" t="s">
        <v>137</v>
      </c>
      <c r="H408" s="51" t="s">
        <v>122</v>
      </c>
      <c r="I408" s="52">
        <v>2</v>
      </c>
      <c r="J408" s="51" t="s">
        <v>123</v>
      </c>
      <c r="K408" s="52">
        <v>30</v>
      </c>
      <c r="L408" s="52"/>
      <c r="M408" s="52"/>
      <c r="N408" s="53" t="s">
        <v>138</v>
      </c>
      <c r="O408" s="53" t="s">
        <v>139</v>
      </c>
      <c r="P408" s="52" t="s">
        <v>126</v>
      </c>
      <c r="Q408" s="54"/>
      <c r="R408" s="55" t="s">
        <v>127</v>
      </c>
      <c r="S408" s="55" t="s">
        <v>2148</v>
      </c>
      <c r="T408" s="51" t="s">
        <v>2152</v>
      </c>
      <c r="U408" s="51" t="s">
        <v>426</v>
      </c>
      <c r="V408" s="51" t="s">
        <v>2153</v>
      </c>
      <c r="W408" s="77" t="s">
        <v>2154</v>
      </c>
      <c r="X408" s="51" t="s">
        <v>1593</v>
      </c>
      <c r="Y408" s="54" t="s">
        <v>1590</v>
      </c>
      <c r="Z408" s="54" t="s">
        <v>1591</v>
      </c>
      <c r="AA408" s="52" t="s">
        <v>372</v>
      </c>
    </row>
    <row r="409" spans="2:27" ht="80.25" hidden="1" customHeight="1">
      <c r="B409" s="321" t="s">
        <v>53</v>
      </c>
      <c r="C409" s="51" t="s">
        <v>2147</v>
      </c>
      <c r="D409" s="51" t="s">
        <v>54</v>
      </c>
      <c r="E409" s="52">
        <v>1</v>
      </c>
      <c r="F409" s="51" t="s">
        <v>148</v>
      </c>
      <c r="G409" s="51" t="s">
        <v>149</v>
      </c>
      <c r="H409" s="51" t="s">
        <v>150</v>
      </c>
      <c r="I409" s="52">
        <v>3</v>
      </c>
      <c r="J409" s="51" t="s">
        <v>123</v>
      </c>
      <c r="K409" s="52">
        <v>4</v>
      </c>
      <c r="L409" s="52"/>
      <c r="M409" s="52"/>
      <c r="N409" s="53" t="s">
        <v>151</v>
      </c>
      <c r="O409" s="53" t="s">
        <v>152</v>
      </c>
      <c r="P409" s="52"/>
      <c r="Q409" s="53" t="s">
        <v>586</v>
      </c>
      <c r="R409" s="55"/>
      <c r="S409" s="51"/>
      <c r="T409" s="55" t="s">
        <v>2149</v>
      </c>
      <c r="U409" s="55" t="s">
        <v>2150</v>
      </c>
      <c r="V409" s="55" t="s">
        <v>369</v>
      </c>
      <c r="W409" s="346" t="s">
        <v>2155</v>
      </c>
      <c r="X409" s="55" t="s">
        <v>1593</v>
      </c>
      <c r="Y409" s="53" t="s">
        <v>1590</v>
      </c>
      <c r="Z409" s="55" t="s">
        <v>1594</v>
      </c>
      <c r="AA409" s="52" t="s">
        <v>372</v>
      </c>
    </row>
    <row r="410" spans="2:27" ht="80.25" hidden="1" customHeight="1">
      <c r="B410" s="321" t="s">
        <v>53</v>
      </c>
      <c r="C410" s="51" t="s">
        <v>2147</v>
      </c>
      <c r="D410" s="51" t="s">
        <v>54</v>
      </c>
      <c r="E410" s="52">
        <v>1</v>
      </c>
      <c r="F410" s="51" t="s">
        <v>155</v>
      </c>
      <c r="G410" s="51" t="s">
        <v>156</v>
      </c>
      <c r="H410" s="51" t="s">
        <v>150</v>
      </c>
      <c r="I410" s="52">
        <v>4</v>
      </c>
      <c r="J410" s="51" t="s">
        <v>123</v>
      </c>
      <c r="K410" s="52">
        <v>4</v>
      </c>
      <c r="L410" s="52"/>
      <c r="M410" s="52"/>
      <c r="N410" s="53" t="s">
        <v>157</v>
      </c>
      <c r="O410" s="53" t="s">
        <v>158</v>
      </c>
      <c r="P410" s="52"/>
      <c r="Q410" s="55" t="s">
        <v>1595</v>
      </c>
      <c r="R410" s="55" t="s">
        <v>160</v>
      </c>
      <c r="S410" s="55" t="s">
        <v>161</v>
      </c>
      <c r="T410" s="51" t="s">
        <v>2152</v>
      </c>
      <c r="U410" s="51" t="s">
        <v>426</v>
      </c>
      <c r="V410" s="51" t="s">
        <v>2156</v>
      </c>
      <c r="W410" s="77" t="s">
        <v>2157</v>
      </c>
      <c r="X410" s="51" t="s">
        <v>1593</v>
      </c>
      <c r="Y410" s="54" t="s">
        <v>1590</v>
      </c>
      <c r="Z410" s="54" t="s">
        <v>590</v>
      </c>
      <c r="AA410" s="52" t="s">
        <v>372</v>
      </c>
    </row>
    <row r="411" spans="2:27" ht="80.25" hidden="1" customHeight="1">
      <c r="B411" s="321" t="s">
        <v>53</v>
      </c>
      <c r="C411" s="51" t="s">
        <v>2147</v>
      </c>
      <c r="D411" s="51" t="s">
        <v>54</v>
      </c>
      <c r="E411" s="52">
        <v>1</v>
      </c>
      <c r="F411" s="51" t="s">
        <v>167</v>
      </c>
      <c r="G411" s="51" t="s">
        <v>168</v>
      </c>
      <c r="H411" s="51" t="s">
        <v>150</v>
      </c>
      <c r="I411" s="52">
        <v>5</v>
      </c>
      <c r="J411" s="51" t="s">
        <v>123</v>
      </c>
      <c r="K411" s="52">
        <v>4</v>
      </c>
      <c r="L411" s="52"/>
      <c r="M411" s="52"/>
      <c r="N411" s="53" t="s">
        <v>169</v>
      </c>
      <c r="O411" s="53" t="s">
        <v>170</v>
      </c>
      <c r="P411" s="52"/>
      <c r="Q411" s="55" t="s">
        <v>1598</v>
      </c>
      <c r="R411" s="55" t="s">
        <v>160</v>
      </c>
      <c r="S411" s="55" t="s">
        <v>172</v>
      </c>
      <c r="T411" s="51" t="s">
        <v>2152</v>
      </c>
      <c r="U411" s="51" t="s">
        <v>426</v>
      </c>
      <c r="V411" s="51" t="s">
        <v>2158</v>
      </c>
      <c r="W411" s="77" t="s">
        <v>2159</v>
      </c>
      <c r="X411" s="51" t="s">
        <v>1593</v>
      </c>
      <c r="Y411" s="54" t="s">
        <v>1590</v>
      </c>
      <c r="Z411" s="54" t="s">
        <v>593</v>
      </c>
      <c r="AA411" s="52" t="s">
        <v>372</v>
      </c>
    </row>
    <row r="412" spans="2:27" ht="80.25" hidden="1" customHeight="1">
      <c r="B412" s="321" t="s">
        <v>53</v>
      </c>
      <c r="C412" s="51" t="s">
        <v>2147</v>
      </c>
      <c r="D412" s="51" t="s">
        <v>54</v>
      </c>
      <c r="E412" s="52">
        <v>1</v>
      </c>
      <c r="F412" s="51" t="s">
        <v>176</v>
      </c>
      <c r="G412" s="51" t="s">
        <v>177</v>
      </c>
      <c r="H412" s="51" t="s">
        <v>150</v>
      </c>
      <c r="I412" s="52">
        <v>6</v>
      </c>
      <c r="J412" s="51" t="s">
        <v>123</v>
      </c>
      <c r="K412" s="52">
        <v>4</v>
      </c>
      <c r="L412" s="52"/>
      <c r="M412" s="52"/>
      <c r="N412" s="53" t="s">
        <v>2160</v>
      </c>
      <c r="O412" s="53" t="s">
        <v>179</v>
      </c>
      <c r="P412" s="52"/>
      <c r="Q412" s="54"/>
      <c r="R412" s="55" t="s">
        <v>203</v>
      </c>
      <c r="S412" s="51" t="s">
        <v>409</v>
      </c>
      <c r="T412" s="55" t="s">
        <v>2149</v>
      </c>
      <c r="U412" s="55" t="s">
        <v>2150</v>
      </c>
      <c r="V412" s="55" t="s">
        <v>369</v>
      </c>
      <c r="W412" s="346" t="s">
        <v>2151</v>
      </c>
      <c r="X412" s="51" t="s">
        <v>1593</v>
      </c>
      <c r="Y412" s="54" t="s">
        <v>372</v>
      </c>
      <c r="Z412" s="54" t="s">
        <v>372</v>
      </c>
      <c r="AA412" s="52" t="s">
        <v>373</v>
      </c>
    </row>
    <row r="413" spans="2:27" ht="80.25" hidden="1" customHeight="1">
      <c r="B413" s="321" t="s">
        <v>53</v>
      </c>
      <c r="C413" s="51" t="s">
        <v>2147</v>
      </c>
      <c r="D413" s="51" t="s">
        <v>54</v>
      </c>
      <c r="E413" s="52">
        <v>1</v>
      </c>
      <c r="F413" s="51" t="s">
        <v>187</v>
      </c>
      <c r="G413" s="51" t="s">
        <v>188</v>
      </c>
      <c r="H413" s="51" t="s">
        <v>150</v>
      </c>
      <c r="I413" s="52">
        <v>7</v>
      </c>
      <c r="J413" s="51" t="s">
        <v>123</v>
      </c>
      <c r="K413" s="52">
        <v>30</v>
      </c>
      <c r="L413" s="52"/>
      <c r="M413" s="52"/>
      <c r="N413" s="53" t="s">
        <v>2161</v>
      </c>
      <c r="O413" s="53" t="s">
        <v>190</v>
      </c>
      <c r="P413" s="52"/>
      <c r="Q413" s="54"/>
      <c r="R413" s="55" t="s">
        <v>203</v>
      </c>
      <c r="S413" s="51" t="s">
        <v>409</v>
      </c>
      <c r="T413" s="55" t="s">
        <v>2162</v>
      </c>
      <c r="U413" s="55" t="s">
        <v>2163</v>
      </c>
      <c r="V413" s="55" t="s">
        <v>2164</v>
      </c>
      <c r="W413" s="77" t="s">
        <v>2165</v>
      </c>
      <c r="X413" s="55" t="s">
        <v>2166</v>
      </c>
      <c r="Y413" s="53" t="s">
        <v>2167</v>
      </c>
      <c r="Z413" s="53" t="s">
        <v>2168</v>
      </c>
      <c r="AA413" s="60" t="s">
        <v>500</v>
      </c>
    </row>
    <row r="414" spans="2:27" ht="80.25" hidden="1" customHeight="1">
      <c r="B414" s="321" t="s">
        <v>53</v>
      </c>
      <c r="C414" s="51" t="s">
        <v>2147</v>
      </c>
      <c r="D414" s="51" t="s">
        <v>54</v>
      </c>
      <c r="E414" s="52">
        <v>1</v>
      </c>
      <c r="F414" s="51" t="s">
        <v>198</v>
      </c>
      <c r="G414" s="51" t="s">
        <v>199</v>
      </c>
      <c r="H414" s="51" t="s">
        <v>200</v>
      </c>
      <c r="I414" s="52">
        <v>8</v>
      </c>
      <c r="J414" s="51" t="s">
        <v>123</v>
      </c>
      <c r="K414" s="52">
        <v>10</v>
      </c>
      <c r="L414" s="52"/>
      <c r="M414" s="52"/>
      <c r="N414" s="53" t="s">
        <v>201</v>
      </c>
      <c r="O414" s="53" t="s">
        <v>202</v>
      </c>
      <c r="P414" s="52"/>
      <c r="Q414" s="54"/>
      <c r="R414" s="55" t="s">
        <v>203</v>
      </c>
      <c r="S414" s="51" t="s">
        <v>198</v>
      </c>
      <c r="T414" s="51" t="s">
        <v>2152</v>
      </c>
      <c r="U414" s="51" t="s">
        <v>426</v>
      </c>
      <c r="V414" s="51" t="s">
        <v>2169</v>
      </c>
      <c r="W414" s="77" t="s">
        <v>2170</v>
      </c>
      <c r="X414" s="51" t="s">
        <v>1593</v>
      </c>
      <c r="Y414" s="54" t="s">
        <v>1590</v>
      </c>
      <c r="Z414" s="54" t="s">
        <v>630</v>
      </c>
      <c r="AA414" s="52" t="s">
        <v>372</v>
      </c>
    </row>
    <row r="415" spans="2:27" ht="80.25" hidden="1" customHeight="1">
      <c r="B415" s="321" t="s">
        <v>53</v>
      </c>
      <c r="C415" s="51" t="s">
        <v>2147</v>
      </c>
      <c r="D415" s="51" t="s">
        <v>54</v>
      </c>
      <c r="E415" s="52">
        <v>1</v>
      </c>
      <c r="F415" s="51" t="s">
        <v>210</v>
      </c>
      <c r="G415" s="51" t="s">
        <v>211</v>
      </c>
      <c r="H415" s="51" t="s">
        <v>200</v>
      </c>
      <c r="I415" s="52">
        <v>9</v>
      </c>
      <c r="J415" s="51" t="s">
        <v>123</v>
      </c>
      <c r="K415" s="52">
        <v>10</v>
      </c>
      <c r="L415" s="52"/>
      <c r="M415" s="52"/>
      <c r="N415" s="53" t="s">
        <v>212</v>
      </c>
      <c r="O415" s="53" t="s">
        <v>213</v>
      </c>
      <c r="P415" s="52"/>
      <c r="Q415" s="54"/>
      <c r="R415" s="55"/>
      <c r="S415" s="51"/>
      <c r="T415" s="51" t="s">
        <v>2152</v>
      </c>
      <c r="U415" s="51" t="s">
        <v>426</v>
      </c>
      <c r="V415" s="55" t="s">
        <v>2171</v>
      </c>
      <c r="W415" s="77" t="s">
        <v>2172</v>
      </c>
      <c r="X415" s="51" t="s">
        <v>1593</v>
      </c>
      <c r="Y415" s="54" t="s">
        <v>1590</v>
      </c>
      <c r="Z415" s="53" t="s">
        <v>2109</v>
      </c>
      <c r="AA415" s="52" t="s">
        <v>372</v>
      </c>
    </row>
    <row r="416" spans="2:27" ht="80.25" hidden="1" customHeight="1">
      <c r="B416" s="321" t="s">
        <v>53</v>
      </c>
      <c r="C416" s="51" t="s">
        <v>2147</v>
      </c>
      <c r="D416" s="51" t="s">
        <v>54</v>
      </c>
      <c r="E416" s="52">
        <v>1</v>
      </c>
      <c r="F416" s="51" t="s">
        <v>222</v>
      </c>
      <c r="G416" s="51" t="s">
        <v>223</v>
      </c>
      <c r="H416" s="51" t="s">
        <v>224</v>
      </c>
      <c r="I416" s="52">
        <v>10</v>
      </c>
      <c r="J416" s="51" t="s">
        <v>123</v>
      </c>
      <c r="K416" s="52">
        <v>4</v>
      </c>
      <c r="L416" s="52"/>
      <c r="M416" s="52"/>
      <c r="N416" s="53" t="s">
        <v>225</v>
      </c>
      <c r="O416" s="53" t="s">
        <v>226</v>
      </c>
      <c r="P416" s="52"/>
      <c r="Q416" s="55" t="s">
        <v>419</v>
      </c>
      <c r="R416" s="55" t="s">
        <v>654</v>
      </c>
      <c r="S416" s="55" t="s">
        <v>229</v>
      </c>
      <c r="T416" s="51" t="s">
        <v>2152</v>
      </c>
      <c r="U416" s="51" t="s">
        <v>426</v>
      </c>
      <c r="V416" s="51" t="s">
        <v>2173</v>
      </c>
      <c r="W416" s="77" t="s">
        <v>2174</v>
      </c>
      <c r="X416" s="51" t="s">
        <v>1593</v>
      </c>
      <c r="Y416" s="54" t="s">
        <v>1590</v>
      </c>
      <c r="Z416" s="54" t="s">
        <v>427</v>
      </c>
      <c r="AA416" s="52" t="s">
        <v>372</v>
      </c>
    </row>
    <row r="417" spans="2:27" ht="80.25" hidden="1" customHeight="1">
      <c r="B417" s="321" t="s">
        <v>53</v>
      </c>
      <c r="C417" s="51" t="s">
        <v>2147</v>
      </c>
      <c r="D417" s="51" t="s">
        <v>54</v>
      </c>
      <c r="E417" s="52">
        <v>1</v>
      </c>
      <c r="F417" s="51" t="s">
        <v>1612</v>
      </c>
      <c r="G417" s="51" t="s">
        <v>1613</v>
      </c>
      <c r="H417" s="54" t="s">
        <v>249</v>
      </c>
      <c r="I417" s="52">
        <v>11</v>
      </c>
      <c r="J417" s="51" t="s">
        <v>250</v>
      </c>
      <c r="K417" s="52">
        <v>23</v>
      </c>
      <c r="L417" s="52">
        <v>6</v>
      </c>
      <c r="M417" s="52"/>
      <c r="N417" s="53" t="s">
        <v>1614</v>
      </c>
      <c r="O417" s="53" t="s">
        <v>1615</v>
      </c>
      <c r="P417" s="52"/>
      <c r="Q417" s="54"/>
      <c r="R417" s="53"/>
      <c r="S417" s="54"/>
      <c r="T417" s="51" t="s">
        <v>2152</v>
      </c>
      <c r="U417" s="51" t="s">
        <v>426</v>
      </c>
      <c r="V417" s="51" t="s">
        <v>2175</v>
      </c>
      <c r="W417" s="77" t="s">
        <v>2176</v>
      </c>
      <c r="X417" s="51" t="s">
        <v>1593</v>
      </c>
      <c r="Y417" s="54" t="s">
        <v>1590</v>
      </c>
      <c r="Z417" s="54" t="s">
        <v>652</v>
      </c>
      <c r="AA417" s="52" t="s">
        <v>372</v>
      </c>
    </row>
    <row r="418" spans="2:27" ht="80.25" hidden="1" customHeight="1">
      <c r="B418" s="321" t="s">
        <v>53</v>
      </c>
      <c r="C418" s="51" t="s">
        <v>2147</v>
      </c>
      <c r="D418" s="51" t="s">
        <v>54</v>
      </c>
      <c r="E418" s="52">
        <v>1</v>
      </c>
      <c r="F418" s="51" t="s">
        <v>1618</v>
      </c>
      <c r="G418" s="51" t="s">
        <v>1619</v>
      </c>
      <c r="H418" s="54" t="s">
        <v>249</v>
      </c>
      <c r="I418" s="52">
        <v>12</v>
      </c>
      <c r="J418" s="51" t="s">
        <v>250</v>
      </c>
      <c r="K418" s="52">
        <v>23</v>
      </c>
      <c r="L418" s="52">
        <v>6</v>
      </c>
      <c r="M418" s="52"/>
      <c r="N418" s="53" t="s">
        <v>1620</v>
      </c>
      <c r="O418" s="53" t="s">
        <v>1621</v>
      </c>
      <c r="P418" s="52"/>
      <c r="Q418" s="51"/>
      <c r="R418" s="53"/>
      <c r="S418" s="54"/>
      <c r="T418" s="55" t="s">
        <v>2152</v>
      </c>
      <c r="U418" s="55" t="s">
        <v>426</v>
      </c>
      <c r="V418" s="67" t="s">
        <v>2177</v>
      </c>
      <c r="W418" s="77" t="s">
        <v>2178</v>
      </c>
      <c r="X418" s="55" t="s">
        <v>1593</v>
      </c>
      <c r="Y418" s="53" t="s">
        <v>1590</v>
      </c>
      <c r="Z418" s="51" t="s">
        <v>1624</v>
      </c>
      <c r="AA418" s="60" t="s">
        <v>372</v>
      </c>
    </row>
    <row r="419" spans="2:27" ht="80.25" hidden="1" customHeight="1">
      <c r="B419" s="321" t="s">
        <v>53</v>
      </c>
      <c r="C419" s="51" t="s">
        <v>2147</v>
      </c>
      <c r="D419" s="51" t="s">
        <v>54</v>
      </c>
      <c r="E419" s="52">
        <v>1</v>
      </c>
      <c r="F419" s="51" t="s">
        <v>1625</v>
      </c>
      <c r="G419" s="51" t="s">
        <v>1626</v>
      </c>
      <c r="H419" s="54" t="s">
        <v>249</v>
      </c>
      <c r="I419" s="52">
        <v>13</v>
      </c>
      <c r="J419" s="51" t="s">
        <v>250</v>
      </c>
      <c r="K419" s="52">
        <v>23</v>
      </c>
      <c r="L419" s="52">
        <v>6</v>
      </c>
      <c r="M419" s="52"/>
      <c r="N419" s="53" t="s">
        <v>1627</v>
      </c>
      <c r="O419" s="53" t="s">
        <v>1628</v>
      </c>
      <c r="P419" s="52"/>
      <c r="Q419" s="54"/>
      <c r="R419" s="53" t="s">
        <v>275</v>
      </c>
      <c r="S419" s="54" t="s">
        <v>276</v>
      </c>
      <c r="T419" s="51" t="s">
        <v>2152</v>
      </c>
      <c r="U419" s="51" t="s">
        <v>426</v>
      </c>
      <c r="V419" s="51" t="s">
        <v>2179</v>
      </c>
      <c r="W419" s="77" t="s">
        <v>2180</v>
      </c>
      <c r="X419" s="51" t="s">
        <v>1593</v>
      </c>
      <c r="Y419" s="54" t="s">
        <v>1590</v>
      </c>
      <c r="Z419" s="54" t="s">
        <v>1631</v>
      </c>
      <c r="AA419" s="52" t="s">
        <v>372</v>
      </c>
    </row>
    <row r="420" spans="2:27" ht="80.25" hidden="1" customHeight="1">
      <c r="B420" s="321" t="s">
        <v>53</v>
      </c>
      <c r="C420" s="51" t="s">
        <v>2147</v>
      </c>
      <c r="D420" s="51" t="s">
        <v>54</v>
      </c>
      <c r="E420" s="52">
        <v>1</v>
      </c>
      <c r="F420" s="51" t="s">
        <v>2181</v>
      </c>
      <c r="G420" s="51" t="s">
        <v>2182</v>
      </c>
      <c r="H420" s="54" t="s">
        <v>746</v>
      </c>
      <c r="I420" s="52">
        <v>14</v>
      </c>
      <c r="J420" s="51" t="s">
        <v>123</v>
      </c>
      <c r="K420" s="52">
        <v>4</v>
      </c>
      <c r="L420" s="52"/>
      <c r="M420" s="52"/>
      <c r="N420" s="53" t="s">
        <v>2183</v>
      </c>
      <c r="O420" s="53" t="s">
        <v>2184</v>
      </c>
      <c r="P420" s="52"/>
      <c r="Q420" s="53" t="s">
        <v>1681</v>
      </c>
      <c r="R420" s="53"/>
      <c r="S420" s="54"/>
      <c r="T420" s="51"/>
      <c r="U420" s="51"/>
      <c r="V420" s="51"/>
      <c r="W420" s="51"/>
      <c r="X420" s="51" t="s">
        <v>1682</v>
      </c>
      <c r="Y420" s="51" t="s">
        <v>1682</v>
      </c>
      <c r="Z420" s="51" t="s">
        <v>1682</v>
      </c>
      <c r="AA420" s="60" t="s">
        <v>1682</v>
      </c>
    </row>
    <row r="421" spans="2:27" ht="80.25" hidden="1" customHeight="1">
      <c r="B421" s="321" t="s">
        <v>53</v>
      </c>
      <c r="C421" s="51" t="s">
        <v>2147</v>
      </c>
      <c r="D421" s="51" t="s">
        <v>54</v>
      </c>
      <c r="E421" s="52">
        <v>1</v>
      </c>
      <c r="F421" s="51" t="s">
        <v>2185</v>
      </c>
      <c r="G421" s="51" t="s">
        <v>2186</v>
      </c>
      <c r="H421" s="54" t="s">
        <v>746</v>
      </c>
      <c r="I421" s="52">
        <v>15</v>
      </c>
      <c r="J421" s="51" t="s">
        <v>123</v>
      </c>
      <c r="K421" s="52">
        <v>3</v>
      </c>
      <c r="L421" s="52"/>
      <c r="M421" s="52"/>
      <c r="N421" s="53" t="s">
        <v>1685</v>
      </c>
      <c r="O421" s="53" t="s">
        <v>2187</v>
      </c>
      <c r="P421" s="52"/>
      <c r="Q421" s="53" t="s">
        <v>1687</v>
      </c>
      <c r="R421" s="53"/>
      <c r="S421" s="54"/>
      <c r="T421" s="51"/>
      <c r="U421" s="51"/>
      <c r="V421" s="51"/>
      <c r="W421" s="51"/>
      <c r="X421" s="51" t="s">
        <v>1682</v>
      </c>
      <c r="Y421" s="51" t="s">
        <v>1682</v>
      </c>
      <c r="Z421" s="51" t="s">
        <v>1682</v>
      </c>
      <c r="AA421" s="60" t="s">
        <v>1682</v>
      </c>
    </row>
    <row r="422" spans="2:27" ht="80.25" hidden="1" customHeight="1">
      <c r="B422" s="321" t="s">
        <v>53</v>
      </c>
      <c r="C422" s="51" t="s">
        <v>2147</v>
      </c>
      <c r="D422" s="51" t="s">
        <v>54</v>
      </c>
      <c r="E422" s="52">
        <v>1</v>
      </c>
      <c r="F422" s="51" t="s">
        <v>2188</v>
      </c>
      <c r="G422" s="51" t="s">
        <v>2189</v>
      </c>
      <c r="H422" s="54" t="s">
        <v>767</v>
      </c>
      <c r="I422" s="52">
        <v>16</v>
      </c>
      <c r="J422" s="51" t="s">
        <v>250</v>
      </c>
      <c r="K422" s="52">
        <v>23</v>
      </c>
      <c r="L422" s="52">
        <v>6</v>
      </c>
      <c r="M422" s="52"/>
      <c r="N422" s="53" t="s">
        <v>2190</v>
      </c>
      <c r="O422" s="53" t="s">
        <v>2191</v>
      </c>
      <c r="P422" s="52"/>
      <c r="Q422" s="54"/>
      <c r="R422" s="53"/>
      <c r="S422" s="54"/>
      <c r="T422" s="51"/>
      <c r="U422" s="51"/>
      <c r="V422" s="51"/>
      <c r="W422" s="51"/>
      <c r="X422" s="51" t="s">
        <v>1682</v>
      </c>
      <c r="Y422" s="51" t="s">
        <v>1682</v>
      </c>
      <c r="Z422" s="51" t="s">
        <v>1682</v>
      </c>
      <c r="AA422" s="60" t="s">
        <v>1682</v>
      </c>
    </row>
    <row r="423" spans="2:27" ht="80.25" hidden="1" customHeight="1">
      <c r="B423" s="321" t="s">
        <v>53</v>
      </c>
      <c r="C423" s="51" t="s">
        <v>2147</v>
      </c>
      <c r="D423" s="51" t="s">
        <v>54</v>
      </c>
      <c r="E423" s="52">
        <v>1</v>
      </c>
      <c r="F423" s="51" t="s">
        <v>2192</v>
      </c>
      <c r="G423" s="51" t="s">
        <v>2193</v>
      </c>
      <c r="H423" s="54" t="s">
        <v>767</v>
      </c>
      <c r="I423" s="52">
        <v>17</v>
      </c>
      <c r="J423" s="51" t="s">
        <v>250</v>
      </c>
      <c r="K423" s="52">
        <v>23</v>
      </c>
      <c r="L423" s="52">
        <v>6</v>
      </c>
      <c r="M423" s="52"/>
      <c r="N423" s="53" t="s">
        <v>1694</v>
      </c>
      <c r="O423" s="53" t="s">
        <v>2194</v>
      </c>
      <c r="P423" s="52"/>
      <c r="Q423" s="54"/>
      <c r="R423" s="53"/>
      <c r="S423" s="54"/>
      <c r="T423" s="51"/>
      <c r="U423" s="51"/>
      <c r="V423" s="51"/>
      <c r="W423" s="51"/>
      <c r="X423" s="51" t="s">
        <v>1682</v>
      </c>
      <c r="Y423" s="51" t="s">
        <v>1682</v>
      </c>
      <c r="Z423" s="51" t="s">
        <v>1682</v>
      </c>
      <c r="AA423" s="60" t="s">
        <v>1682</v>
      </c>
    </row>
    <row r="424" spans="2:27" ht="80.25" hidden="1" customHeight="1">
      <c r="B424" s="321" t="s">
        <v>53</v>
      </c>
      <c r="C424" s="51" t="s">
        <v>2147</v>
      </c>
      <c r="D424" s="51" t="s">
        <v>54</v>
      </c>
      <c r="E424" s="52">
        <v>1</v>
      </c>
      <c r="F424" s="51" t="s">
        <v>2195</v>
      </c>
      <c r="G424" s="51" t="s">
        <v>2196</v>
      </c>
      <c r="H424" s="54" t="s">
        <v>767</v>
      </c>
      <c r="I424" s="52">
        <v>18</v>
      </c>
      <c r="J424" s="51" t="s">
        <v>250</v>
      </c>
      <c r="K424" s="52">
        <v>23</v>
      </c>
      <c r="L424" s="52">
        <v>6</v>
      </c>
      <c r="M424" s="52"/>
      <c r="N424" s="53" t="s">
        <v>2197</v>
      </c>
      <c r="O424" s="53" t="s">
        <v>2198</v>
      </c>
      <c r="P424" s="52"/>
      <c r="Q424" s="51"/>
      <c r="R424" s="55" t="s">
        <v>788</v>
      </c>
      <c r="S424" s="51" t="s">
        <v>1526</v>
      </c>
      <c r="T424" s="51"/>
      <c r="U424" s="51"/>
      <c r="V424" s="51"/>
      <c r="W424" s="51"/>
      <c r="X424" s="51" t="s">
        <v>1682</v>
      </c>
      <c r="Y424" s="51" t="s">
        <v>1682</v>
      </c>
      <c r="Z424" s="51" t="s">
        <v>1682</v>
      </c>
      <c r="AA424" s="60" t="s">
        <v>1682</v>
      </c>
    </row>
    <row r="425" spans="2:27" ht="80.25" hidden="1" customHeight="1">
      <c r="B425" s="321" t="s">
        <v>53</v>
      </c>
      <c r="C425" s="51" t="s">
        <v>2147</v>
      </c>
      <c r="D425" s="51" t="s">
        <v>54</v>
      </c>
      <c r="E425" s="52">
        <v>1</v>
      </c>
      <c r="F425" s="51" t="s">
        <v>2199</v>
      </c>
      <c r="G425" s="51" t="s">
        <v>2200</v>
      </c>
      <c r="H425" s="54" t="s">
        <v>746</v>
      </c>
      <c r="I425" s="52">
        <v>19</v>
      </c>
      <c r="J425" s="51" t="s">
        <v>123</v>
      </c>
      <c r="K425" s="52">
        <v>4</v>
      </c>
      <c r="L425" s="52"/>
      <c r="M425" s="52"/>
      <c r="N425" s="53" t="s">
        <v>2201</v>
      </c>
      <c r="O425" s="53" t="s">
        <v>2202</v>
      </c>
      <c r="P425" s="52"/>
      <c r="Q425" s="53" t="s">
        <v>1681</v>
      </c>
      <c r="R425" s="53"/>
      <c r="S425" s="54"/>
      <c r="T425" s="51"/>
      <c r="U425" s="51"/>
      <c r="V425" s="51"/>
      <c r="W425" s="51"/>
      <c r="X425" s="51" t="s">
        <v>1682</v>
      </c>
      <c r="Y425" s="51" t="s">
        <v>1682</v>
      </c>
      <c r="Z425" s="51" t="s">
        <v>1682</v>
      </c>
      <c r="AA425" s="60" t="s">
        <v>1682</v>
      </c>
    </row>
    <row r="426" spans="2:27" ht="80.25" hidden="1" customHeight="1">
      <c r="B426" s="321" t="s">
        <v>53</v>
      </c>
      <c r="C426" s="51" t="s">
        <v>2147</v>
      </c>
      <c r="D426" s="51" t="s">
        <v>54</v>
      </c>
      <c r="E426" s="52">
        <v>1</v>
      </c>
      <c r="F426" s="51" t="s">
        <v>2203</v>
      </c>
      <c r="G426" s="51" t="s">
        <v>2204</v>
      </c>
      <c r="H426" s="54" t="s">
        <v>746</v>
      </c>
      <c r="I426" s="52">
        <v>20</v>
      </c>
      <c r="J426" s="51" t="s">
        <v>123</v>
      </c>
      <c r="K426" s="52">
        <v>3</v>
      </c>
      <c r="L426" s="52"/>
      <c r="M426" s="52"/>
      <c r="N426" s="53" t="s">
        <v>1706</v>
      </c>
      <c r="O426" s="53" t="s">
        <v>2205</v>
      </c>
      <c r="P426" s="52"/>
      <c r="Q426" s="53" t="s">
        <v>1708</v>
      </c>
      <c r="R426" s="53"/>
      <c r="S426" s="54"/>
      <c r="T426" s="51"/>
      <c r="U426" s="51"/>
      <c r="V426" s="51"/>
      <c r="W426" s="51"/>
      <c r="X426" s="51" t="s">
        <v>1682</v>
      </c>
      <c r="Y426" s="51" t="s">
        <v>1682</v>
      </c>
      <c r="Z426" s="51" t="s">
        <v>1682</v>
      </c>
      <c r="AA426" s="60" t="s">
        <v>1682</v>
      </c>
    </row>
    <row r="427" spans="2:27" ht="80.25" hidden="1" customHeight="1">
      <c r="B427" s="321" t="s">
        <v>53</v>
      </c>
      <c r="C427" s="51" t="s">
        <v>2147</v>
      </c>
      <c r="D427" s="51" t="s">
        <v>54</v>
      </c>
      <c r="E427" s="52">
        <v>1</v>
      </c>
      <c r="F427" s="51" t="s">
        <v>2206</v>
      </c>
      <c r="G427" s="51" t="s">
        <v>2207</v>
      </c>
      <c r="H427" s="54" t="s">
        <v>767</v>
      </c>
      <c r="I427" s="52">
        <v>21</v>
      </c>
      <c r="J427" s="51" t="s">
        <v>250</v>
      </c>
      <c r="K427" s="52">
        <v>23</v>
      </c>
      <c r="L427" s="52">
        <v>6</v>
      </c>
      <c r="M427" s="52"/>
      <c r="N427" s="53" t="s">
        <v>2208</v>
      </c>
      <c r="O427" s="53" t="s">
        <v>2209</v>
      </c>
      <c r="P427" s="52"/>
      <c r="Q427" s="54"/>
      <c r="R427" s="53"/>
      <c r="S427" s="54"/>
      <c r="T427" s="51"/>
      <c r="U427" s="51"/>
      <c r="V427" s="51"/>
      <c r="W427" s="51"/>
      <c r="X427" s="51" t="s">
        <v>1682</v>
      </c>
      <c r="Y427" s="51" t="s">
        <v>1682</v>
      </c>
      <c r="Z427" s="51" t="s">
        <v>1682</v>
      </c>
      <c r="AA427" s="60" t="s">
        <v>1682</v>
      </c>
    </row>
    <row r="428" spans="2:27" ht="80.25" hidden="1" customHeight="1">
      <c r="B428" s="321" t="s">
        <v>53</v>
      </c>
      <c r="C428" s="51" t="s">
        <v>2147</v>
      </c>
      <c r="D428" s="51" t="s">
        <v>54</v>
      </c>
      <c r="E428" s="52">
        <v>1</v>
      </c>
      <c r="F428" s="51" t="s">
        <v>2210</v>
      </c>
      <c r="G428" s="51" t="s">
        <v>2211</v>
      </c>
      <c r="H428" s="54" t="s">
        <v>767</v>
      </c>
      <c r="I428" s="52">
        <v>22</v>
      </c>
      <c r="J428" s="51" t="s">
        <v>250</v>
      </c>
      <c r="K428" s="52">
        <v>23</v>
      </c>
      <c r="L428" s="52">
        <v>6</v>
      </c>
      <c r="M428" s="52"/>
      <c r="N428" s="53" t="s">
        <v>777</v>
      </c>
      <c r="O428" s="53" t="s">
        <v>2212</v>
      </c>
      <c r="P428" s="52"/>
      <c r="Q428" s="54"/>
      <c r="R428" s="53"/>
      <c r="S428" s="54"/>
      <c r="T428" s="51"/>
      <c r="U428" s="51"/>
      <c r="V428" s="51"/>
      <c r="W428" s="51"/>
      <c r="X428" s="51" t="s">
        <v>1682</v>
      </c>
      <c r="Y428" s="51" t="s">
        <v>1682</v>
      </c>
      <c r="Z428" s="51" t="s">
        <v>1682</v>
      </c>
      <c r="AA428" s="60" t="s">
        <v>1682</v>
      </c>
    </row>
    <row r="429" spans="2:27" ht="80.25" hidden="1" customHeight="1">
      <c r="B429" s="321" t="s">
        <v>53</v>
      </c>
      <c r="C429" s="51" t="s">
        <v>2147</v>
      </c>
      <c r="D429" s="51" t="s">
        <v>54</v>
      </c>
      <c r="E429" s="52">
        <v>1</v>
      </c>
      <c r="F429" s="51" t="s">
        <v>2213</v>
      </c>
      <c r="G429" s="51" t="s">
        <v>2214</v>
      </c>
      <c r="H429" s="54" t="s">
        <v>767</v>
      </c>
      <c r="I429" s="52">
        <v>23</v>
      </c>
      <c r="J429" s="51" t="s">
        <v>250</v>
      </c>
      <c r="K429" s="52">
        <v>23</v>
      </c>
      <c r="L429" s="52">
        <v>6</v>
      </c>
      <c r="M429" s="52"/>
      <c r="N429" s="53" t="s">
        <v>2215</v>
      </c>
      <c r="O429" s="53" t="s">
        <v>2216</v>
      </c>
      <c r="P429" s="52"/>
      <c r="Q429" s="51"/>
      <c r="R429" s="55" t="s">
        <v>1720</v>
      </c>
      <c r="S429" s="55" t="s">
        <v>1721</v>
      </c>
      <c r="T429" s="51"/>
      <c r="U429" s="51"/>
      <c r="V429" s="51"/>
      <c r="W429" s="51"/>
      <c r="X429" s="51" t="s">
        <v>1682</v>
      </c>
      <c r="Y429" s="51" t="s">
        <v>1682</v>
      </c>
      <c r="Z429" s="51" t="s">
        <v>1682</v>
      </c>
      <c r="AA429" s="60" t="s">
        <v>1682</v>
      </c>
    </row>
    <row r="430" spans="2:27" ht="80.25" hidden="1" customHeight="1">
      <c r="B430" s="321" t="s">
        <v>53</v>
      </c>
      <c r="C430" s="51" t="s">
        <v>2147</v>
      </c>
      <c r="D430" s="51" t="s">
        <v>54</v>
      </c>
      <c r="E430" s="52">
        <v>1</v>
      </c>
      <c r="F430" s="51" t="s">
        <v>293</v>
      </c>
      <c r="G430" s="51" t="s">
        <v>294</v>
      </c>
      <c r="H430" s="51" t="s">
        <v>295</v>
      </c>
      <c r="I430" s="52">
        <v>24</v>
      </c>
      <c r="J430" s="51" t="s">
        <v>123</v>
      </c>
      <c r="K430" s="52">
        <v>4</v>
      </c>
      <c r="L430" s="52"/>
      <c r="M430" s="52"/>
      <c r="N430" s="53" t="s">
        <v>296</v>
      </c>
      <c r="O430" s="53" t="s">
        <v>297</v>
      </c>
      <c r="P430" s="52"/>
      <c r="Q430" s="53" t="s">
        <v>1722</v>
      </c>
      <c r="R430" s="55" t="s">
        <v>299</v>
      </c>
      <c r="S430" s="55" t="s">
        <v>300</v>
      </c>
      <c r="T430" s="55" t="s">
        <v>2149</v>
      </c>
      <c r="U430" s="55" t="s">
        <v>2150</v>
      </c>
      <c r="V430" s="55" t="s">
        <v>369</v>
      </c>
      <c r="W430" s="346" t="s">
        <v>2217</v>
      </c>
      <c r="X430" s="55" t="s">
        <v>1593</v>
      </c>
      <c r="Y430" s="54" t="s">
        <v>1590</v>
      </c>
      <c r="Z430" s="54" t="s">
        <v>1042</v>
      </c>
      <c r="AA430" s="52" t="s">
        <v>372</v>
      </c>
    </row>
    <row r="431" spans="2:27" ht="80.25" hidden="1" customHeight="1">
      <c r="B431" s="321" t="s">
        <v>53</v>
      </c>
      <c r="C431" s="51" t="s">
        <v>2147</v>
      </c>
      <c r="D431" s="51" t="s">
        <v>54</v>
      </c>
      <c r="E431" s="52">
        <v>1</v>
      </c>
      <c r="F431" s="51" t="s">
        <v>304</v>
      </c>
      <c r="G431" s="51" t="s">
        <v>305</v>
      </c>
      <c r="H431" s="51" t="s">
        <v>295</v>
      </c>
      <c r="I431" s="52">
        <v>25</v>
      </c>
      <c r="J431" s="51" t="s">
        <v>123</v>
      </c>
      <c r="K431" s="52">
        <v>4</v>
      </c>
      <c r="L431" s="52"/>
      <c r="M431" s="52"/>
      <c r="N431" s="53" t="s">
        <v>306</v>
      </c>
      <c r="O431" s="53" t="s">
        <v>307</v>
      </c>
      <c r="P431" s="52"/>
      <c r="Q431" s="53" t="s">
        <v>2218</v>
      </c>
      <c r="R431" s="55" t="s">
        <v>203</v>
      </c>
      <c r="S431" s="51" t="s">
        <v>309</v>
      </c>
      <c r="T431" s="51"/>
      <c r="U431" s="51"/>
      <c r="V431" s="51"/>
      <c r="W431" s="51"/>
      <c r="X431" s="61" t="s">
        <v>1682</v>
      </c>
      <c r="Y431" s="61" t="s">
        <v>1682</v>
      </c>
      <c r="Z431" s="61" t="s">
        <v>1682</v>
      </c>
      <c r="AA431" s="52" t="s">
        <v>1682</v>
      </c>
    </row>
    <row r="432" spans="2:27" ht="80.25" hidden="1" customHeight="1">
      <c r="B432" s="321" t="s">
        <v>53</v>
      </c>
      <c r="C432" s="51" t="s">
        <v>2147</v>
      </c>
      <c r="D432" s="51" t="s">
        <v>54</v>
      </c>
      <c r="E432" s="52">
        <v>1</v>
      </c>
      <c r="F432" s="51" t="s">
        <v>317</v>
      </c>
      <c r="G432" s="51" t="s">
        <v>318</v>
      </c>
      <c r="H432" s="51" t="s">
        <v>319</v>
      </c>
      <c r="I432" s="52">
        <v>26</v>
      </c>
      <c r="J432" s="51" t="s">
        <v>123</v>
      </c>
      <c r="K432" s="52">
        <v>2</v>
      </c>
      <c r="L432" s="52"/>
      <c r="M432" s="52"/>
      <c r="N432" s="53" t="s">
        <v>320</v>
      </c>
      <c r="O432" s="53" t="s">
        <v>321</v>
      </c>
      <c r="P432" s="52"/>
      <c r="Q432" s="53" t="s">
        <v>463</v>
      </c>
      <c r="R432" s="55"/>
      <c r="S432" s="51"/>
      <c r="T432" s="51" t="s">
        <v>2152</v>
      </c>
      <c r="U432" s="51" t="s">
        <v>426</v>
      </c>
      <c r="V432" s="51" t="s">
        <v>372</v>
      </c>
      <c r="W432" s="77" t="s">
        <v>2219</v>
      </c>
      <c r="X432" s="55" t="s">
        <v>1593</v>
      </c>
      <c r="Y432" s="55" t="s">
        <v>372</v>
      </c>
      <c r="Z432" s="55" t="s">
        <v>372</v>
      </c>
      <c r="AA432" s="52" t="s">
        <v>1732</v>
      </c>
    </row>
    <row r="433" spans="2:27" ht="80.25" hidden="1" customHeight="1">
      <c r="B433" s="321" t="s">
        <v>53</v>
      </c>
      <c r="C433" s="51" t="s">
        <v>2147</v>
      </c>
      <c r="D433" s="51" t="s">
        <v>54</v>
      </c>
      <c r="E433" s="52">
        <v>1</v>
      </c>
      <c r="F433" s="51" t="s">
        <v>326</v>
      </c>
      <c r="G433" s="51" t="s">
        <v>327</v>
      </c>
      <c r="H433" s="51" t="s">
        <v>328</v>
      </c>
      <c r="I433" s="52">
        <v>27</v>
      </c>
      <c r="J433" s="51" t="s">
        <v>123</v>
      </c>
      <c r="K433" s="52">
        <v>10</v>
      </c>
      <c r="L433" s="52"/>
      <c r="M433" s="52"/>
      <c r="N433" s="53" t="s">
        <v>329</v>
      </c>
      <c r="O433" s="53" t="s">
        <v>361</v>
      </c>
      <c r="P433" s="52" t="s">
        <v>126</v>
      </c>
      <c r="Q433" s="54"/>
      <c r="R433" s="55" t="s">
        <v>275</v>
      </c>
      <c r="S433" s="51" t="s">
        <v>803</v>
      </c>
      <c r="T433" s="51" t="s">
        <v>2152</v>
      </c>
      <c r="U433" s="51" t="s">
        <v>426</v>
      </c>
      <c r="V433" s="74" t="s">
        <v>678</v>
      </c>
      <c r="W433" s="77" t="s">
        <v>2220</v>
      </c>
      <c r="X433" s="55" t="s">
        <v>372</v>
      </c>
      <c r="Y433" s="55" t="s">
        <v>372</v>
      </c>
      <c r="Z433" s="55" t="s">
        <v>372</v>
      </c>
      <c r="AA433" s="52" t="s">
        <v>372</v>
      </c>
    </row>
    <row r="434" spans="2:27" ht="80.25" hidden="1" customHeight="1">
      <c r="B434" s="321" t="s">
        <v>53</v>
      </c>
      <c r="C434" s="51" t="s">
        <v>2147</v>
      </c>
      <c r="D434" s="51" t="s">
        <v>54</v>
      </c>
      <c r="E434" s="52">
        <v>1</v>
      </c>
      <c r="F434" s="51" t="s">
        <v>333</v>
      </c>
      <c r="G434" s="51" t="s">
        <v>334</v>
      </c>
      <c r="H434" s="51" t="s">
        <v>335</v>
      </c>
      <c r="I434" s="52">
        <v>28</v>
      </c>
      <c r="J434" s="51" t="s">
        <v>336</v>
      </c>
      <c r="K434" s="52">
        <v>23</v>
      </c>
      <c r="L434" s="52"/>
      <c r="M434" s="52"/>
      <c r="N434" s="53" t="s">
        <v>337</v>
      </c>
      <c r="O434" s="53" t="s">
        <v>338</v>
      </c>
      <c r="P434" s="52"/>
      <c r="Q434" s="54"/>
      <c r="R434" s="55"/>
      <c r="S434" s="51"/>
      <c r="T434" s="51" t="s">
        <v>2152</v>
      </c>
      <c r="U434" s="51" t="s">
        <v>426</v>
      </c>
      <c r="V434" s="51" t="s">
        <v>372</v>
      </c>
      <c r="W434" s="77" t="s">
        <v>2221</v>
      </c>
      <c r="X434" s="55" t="s">
        <v>372</v>
      </c>
      <c r="Y434" s="55" t="s">
        <v>372</v>
      </c>
      <c r="Z434" s="55" t="s">
        <v>372</v>
      </c>
      <c r="AA434" s="52" t="s">
        <v>372</v>
      </c>
    </row>
    <row r="435" spans="2:27" ht="80.25" hidden="1" customHeight="1">
      <c r="B435" s="51" t="s">
        <v>340</v>
      </c>
      <c r="C435" s="51" t="s">
        <v>2222</v>
      </c>
      <c r="D435" s="51" t="s">
        <v>2223</v>
      </c>
      <c r="E435" s="52">
        <v>0</v>
      </c>
      <c r="F435" s="51" t="s">
        <v>120</v>
      </c>
      <c r="G435" s="51" t="s">
        <v>121</v>
      </c>
      <c r="H435" s="51" t="s">
        <v>122</v>
      </c>
      <c r="I435" s="52">
        <v>1</v>
      </c>
      <c r="J435" s="51" t="s">
        <v>123</v>
      </c>
      <c r="K435" s="52">
        <v>4</v>
      </c>
      <c r="L435" s="52"/>
      <c r="M435" s="52"/>
      <c r="N435" s="321" t="s">
        <v>124</v>
      </c>
      <c r="O435" s="53" t="s">
        <v>125</v>
      </c>
      <c r="P435" s="52" t="s">
        <v>126</v>
      </c>
      <c r="Q435" s="51"/>
      <c r="R435" s="55"/>
      <c r="S435" s="51"/>
      <c r="T435" s="55" t="s">
        <v>2152</v>
      </c>
      <c r="U435" s="55" t="s">
        <v>426</v>
      </c>
      <c r="V435" s="55" t="s">
        <v>372</v>
      </c>
      <c r="W435" s="346" t="s">
        <v>2224</v>
      </c>
      <c r="X435" s="51" t="s">
        <v>1593</v>
      </c>
      <c r="Y435" s="54" t="s">
        <v>372</v>
      </c>
      <c r="Z435" s="54" t="s">
        <v>372</v>
      </c>
      <c r="AA435" s="52" t="s">
        <v>373</v>
      </c>
    </row>
    <row r="436" spans="2:27" ht="80.25" hidden="1" customHeight="1">
      <c r="B436" s="51" t="s">
        <v>340</v>
      </c>
      <c r="C436" s="51" t="s">
        <v>2222</v>
      </c>
      <c r="D436" s="51" t="s">
        <v>2223</v>
      </c>
      <c r="E436" s="52">
        <v>0</v>
      </c>
      <c r="F436" s="51" t="s">
        <v>136</v>
      </c>
      <c r="G436" s="51" t="s">
        <v>137</v>
      </c>
      <c r="H436" s="51" t="s">
        <v>122</v>
      </c>
      <c r="I436" s="52">
        <v>2</v>
      </c>
      <c r="J436" s="51" t="s">
        <v>123</v>
      </c>
      <c r="K436" s="52">
        <v>30</v>
      </c>
      <c r="L436" s="52"/>
      <c r="M436" s="52"/>
      <c r="N436" s="53" t="s">
        <v>138</v>
      </c>
      <c r="O436" s="53" t="s">
        <v>139</v>
      </c>
      <c r="P436" s="52" t="s">
        <v>126</v>
      </c>
      <c r="Q436" s="51"/>
      <c r="R436" s="55"/>
      <c r="S436" s="51"/>
      <c r="T436" s="51" t="s">
        <v>2152</v>
      </c>
      <c r="U436" s="51" t="s">
        <v>426</v>
      </c>
      <c r="V436" s="51" t="s">
        <v>2153</v>
      </c>
      <c r="W436" s="77" t="s">
        <v>2225</v>
      </c>
      <c r="X436" s="51" t="s">
        <v>1593</v>
      </c>
      <c r="Y436" s="54" t="s">
        <v>1590</v>
      </c>
      <c r="Z436" s="54" t="s">
        <v>1591</v>
      </c>
      <c r="AA436" s="52" t="s">
        <v>372</v>
      </c>
    </row>
    <row r="437" spans="2:27" ht="80.25" hidden="1" customHeight="1">
      <c r="B437" s="51" t="s">
        <v>340</v>
      </c>
      <c r="C437" s="51" t="s">
        <v>2222</v>
      </c>
      <c r="D437" s="51" t="s">
        <v>2223</v>
      </c>
      <c r="E437" s="52">
        <v>0</v>
      </c>
      <c r="F437" s="51" t="s">
        <v>352</v>
      </c>
      <c r="G437" s="51" t="s">
        <v>353</v>
      </c>
      <c r="H437" s="51" t="s">
        <v>240</v>
      </c>
      <c r="I437" s="52">
        <v>3</v>
      </c>
      <c r="J437" s="51" t="s">
        <v>123</v>
      </c>
      <c r="K437" s="52">
        <v>1</v>
      </c>
      <c r="L437" s="52"/>
      <c r="M437" s="52"/>
      <c r="N437" s="53" t="s">
        <v>354</v>
      </c>
      <c r="O437" s="53" t="s">
        <v>355</v>
      </c>
      <c r="P437" s="52"/>
      <c r="Q437" s="51"/>
      <c r="R437" s="55"/>
      <c r="S437" s="51"/>
      <c r="T437" s="51" t="s">
        <v>2152</v>
      </c>
      <c r="U437" s="51" t="s">
        <v>426</v>
      </c>
      <c r="V437" s="54" t="s">
        <v>2226</v>
      </c>
      <c r="W437" s="77" t="s">
        <v>2227</v>
      </c>
      <c r="X437" s="51" t="s">
        <v>1593</v>
      </c>
      <c r="Y437" s="54" t="s">
        <v>1590</v>
      </c>
      <c r="Z437" s="51" t="s">
        <v>1042</v>
      </c>
      <c r="AA437" s="52" t="s">
        <v>372</v>
      </c>
    </row>
    <row r="438" spans="2:27" ht="80.25" hidden="1" customHeight="1">
      <c r="B438" s="51" t="s">
        <v>340</v>
      </c>
      <c r="C438" s="51" t="s">
        <v>2222</v>
      </c>
      <c r="D438" s="51" t="s">
        <v>2223</v>
      </c>
      <c r="E438" s="52">
        <v>0</v>
      </c>
      <c r="F438" s="51" t="s">
        <v>317</v>
      </c>
      <c r="G438" s="51" t="s">
        <v>318</v>
      </c>
      <c r="H438" s="51" t="s">
        <v>319</v>
      </c>
      <c r="I438" s="52">
        <v>4</v>
      </c>
      <c r="J438" s="51" t="s">
        <v>123</v>
      </c>
      <c r="K438" s="52">
        <v>2</v>
      </c>
      <c r="L438" s="52"/>
      <c r="M438" s="52"/>
      <c r="N438" s="53" t="s">
        <v>320</v>
      </c>
      <c r="O438" s="53" t="s">
        <v>321</v>
      </c>
      <c r="P438" s="318" t="s">
        <v>126</v>
      </c>
      <c r="Q438" s="53" t="s">
        <v>463</v>
      </c>
      <c r="R438" s="55"/>
      <c r="S438" s="51"/>
      <c r="T438" s="51" t="s">
        <v>2152</v>
      </c>
      <c r="U438" s="51" t="s">
        <v>426</v>
      </c>
      <c r="V438" s="53" t="s">
        <v>372</v>
      </c>
      <c r="W438" s="346" t="s">
        <v>2228</v>
      </c>
      <c r="X438" s="51" t="s">
        <v>1593</v>
      </c>
      <c r="Y438" s="54" t="s">
        <v>1590</v>
      </c>
      <c r="Z438" s="51" t="s">
        <v>372</v>
      </c>
      <c r="AA438" s="370" t="s">
        <v>2229</v>
      </c>
    </row>
    <row r="439" spans="2:27" ht="80.25" hidden="1" customHeight="1">
      <c r="B439" s="51" t="s">
        <v>340</v>
      </c>
      <c r="C439" s="51" t="s">
        <v>2222</v>
      </c>
      <c r="D439" s="51" t="s">
        <v>2223</v>
      </c>
      <c r="E439" s="52">
        <v>0</v>
      </c>
      <c r="F439" s="51" t="s">
        <v>326</v>
      </c>
      <c r="G439" s="51" t="s">
        <v>327</v>
      </c>
      <c r="H439" s="51" t="s">
        <v>328</v>
      </c>
      <c r="I439" s="52">
        <v>5</v>
      </c>
      <c r="J439" s="51" t="s">
        <v>123</v>
      </c>
      <c r="K439" s="52">
        <v>10</v>
      </c>
      <c r="L439" s="52"/>
      <c r="M439" s="52"/>
      <c r="N439" s="53" t="s">
        <v>329</v>
      </c>
      <c r="O439" s="53" t="s">
        <v>361</v>
      </c>
      <c r="P439" s="52"/>
      <c r="Q439" s="51"/>
      <c r="R439" s="55"/>
      <c r="S439" s="51"/>
      <c r="T439" s="51" t="s">
        <v>2152</v>
      </c>
      <c r="U439" s="51" t="s">
        <v>426</v>
      </c>
      <c r="V439" s="54" t="s">
        <v>678</v>
      </c>
      <c r="W439" s="346" t="s">
        <v>2230</v>
      </c>
      <c r="X439" s="51" t="s">
        <v>1593</v>
      </c>
      <c r="Y439" s="54" t="s">
        <v>1590</v>
      </c>
      <c r="Z439" s="51" t="s">
        <v>678</v>
      </c>
      <c r="AA439" s="52" t="s">
        <v>372</v>
      </c>
    </row>
    <row r="440" spans="2:27" ht="80.25" hidden="1" customHeight="1">
      <c r="B440" s="51" t="s">
        <v>340</v>
      </c>
      <c r="C440" s="51" t="s">
        <v>2222</v>
      </c>
      <c r="D440" s="51" t="s">
        <v>2223</v>
      </c>
      <c r="E440" s="52">
        <v>0</v>
      </c>
      <c r="F440" s="51" t="s">
        <v>333</v>
      </c>
      <c r="G440" s="51" t="s">
        <v>334</v>
      </c>
      <c r="H440" s="51" t="s">
        <v>335</v>
      </c>
      <c r="I440" s="52">
        <v>6</v>
      </c>
      <c r="J440" s="51" t="s">
        <v>336</v>
      </c>
      <c r="K440" s="52">
        <v>23</v>
      </c>
      <c r="L440" s="52"/>
      <c r="M440" s="52"/>
      <c r="N440" s="53" t="s">
        <v>337</v>
      </c>
      <c r="O440" s="53" t="s">
        <v>338</v>
      </c>
      <c r="P440" s="52"/>
      <c r="Q440" s="51"/>
      <c r="R440" s="55"/>
      <c r="S440" s="51"/>
      <c r="T440" s="51" t="s">
        <v>2152</v>
      </c>
      <c r="U440" s="51" t="s">
        <v>426</v>
      </c>
      <c r="V440" s="53" t="s">
        <v>372</v>
      </c>
      <c r="W440" s="346" t="s">
        <v>2231</v>
      </c>
      <c r="X440" s="51" t="s">
        <v>1593</v>
      </c>
      <c r="Y440" s="54" t="s">
        <v>1590</v>
      </c>
      <c r="Z440" s="51" t="s">
        <v>372</v>
      </c>
      <c r="AA440" s="52" t="s">
        <v>372</v>
      </c>
    </row>
    <row r="441" spans="2:27" ht="80.25" hidden="1" customHeight="1">
      <c r="B441" s="51" t="s">
        <v>56</v>
      </c>
      <c r="C441" s="51" t="s">
        <v>2232</v>
      </c>
      <c r="D441" s="51" t="s">
        <v>57</v>
      </c>
      <c r="E441" s="52">
        <v>1</v>
      </c>
      <c r="F441" s="51" t="s">
        <v>120</v>
      </c>
      <c r="G441" s="51" t="s">
        <v>121</v>
      </c>
      <c r="H441" s="51" t="s">
        <v>122</v>
      </c>
      <c r="I441" s="52">
        <v>1</v>
      </c>
      <c r="J441" s="51" t="s">
        <v>123</v>
      </c>
      <c r="K441" s="52">
        <v>4</v>
      </c>
      <c r="L441" s="52"/>
      <c r="M441" s="52"/>
      <c r="N441" s="321" t="s">
        <v>124</v>
      </c>
      <c r="O441" s="53" t="s">
        <v>125</v>
      </c>
      <c r="P441" s="52" t="s">
        <v>126</v>
      </c>
      <c r="Q441" s="54"/>
      <c r="R441" s="55" t="s">
        <v>127</v>
      </c>
      <c r="S441" s="55" t="s">
        <v>2148</v>
      </c>
      <c r="T441" s="55" t="s">
        <v>2233</v>
      </c>
      <c r="U441" s="55" t="s">
        <v>2234</v>
      </c>
      <c r="V441" s="55" t="s">
        <v>2235</v>
      </c>
      <c r="W441" s="346" t="s">
        <v>2236</v>
      </c>
      <c r="X441" s="51" t="s">
        <v>1593</v>
      </c>
      <c r="Y441" s="54" t="s">
        <v>372</v>
      </c>
      <c r="Z441" s="54" t="s">
        <v>372</v>
      </c>
      <c r="AA441" s="52" t="s">
        <v>373</v>
      </c>
    </row>
    <row r="442" spans="2:27" ht="80.25" hidden="1" customHeight="1">
      <c r="B442" s="51" t="s">
        <v>56</v>
      </c>
      <c r="C442" s="51" t="s">
        <v>2232</v>
      </c>
      <c r="D442" s="51" t="s">
        <v>57</v>
      </c>
      <c r="E442" s="52">
        <v>1</v>
      </c>
      <c r="F442" s="51" t="s">
        <v>136</v>
      </c>
      <c r="G442" s="51" t="s">
        <v>137</v>
      </c>
      <c r="H442" s="51" t="s">
        <v>122</v>
      </c>
      <c r="I442" s="52">
        <v>2</v>
      </c>
      <c r="J442" s="51" t="s">
        <v>123</v>
      </c>
      <c r="K442" s="52">
        <v>30</v>
      </c>
      <c r="L442" s="52"/>
      <c r="M442" s="52"/>
      <c r="N442" s="53" t="s">
        <v>138</v>
      </c>
      <c r="O442" s="53" t="s">
        <v>139</v>
      </c>
      <c r="P442" s="52" t="s">
        <v>126</v>
      </c>
      <c r="Q442" s="54"/>
      <c r="R442" s="55" t="s">
        <v>127</v>
      </c>
      <c r="S442" s="55" t="s">
        <v>2148</v>
      </c>
      <c r="T442" s="55" t="s">
        <v>2149</v>
      </c>
      <c r="U442" s="55" t="s">
        <v>2237</v>
      </c>
      <c r="V442" s="55" t="s">
        <v>1588</v>
      </c>
      <c r="W442" s="346" t="s">
        <v>2238</v>
      </c>
      <c r="X442" s="51" t="s">
        <v>1593</v>
      </c>
      <c r="Y442" s="54" t="s">
        <v>1590</v>
      </c>
      <c r="Z442" s="54" t="s">
        <v>1591</v>
      </c>
      <c r="AA442" s="52" t="s">
        <v>372</v>
      </c>
    </row>
    <row r="443" spans="2:27" ht="80.25" hidden="1" customHeight="1">
      <c r="B443" s="51" t="s">
        <v>56</v>
      </c>
      <c r="C443" s="51" t="s">
        <v>2232</v>
      </c>
      <c r="D443" s="51" t="s">
        <v>57</v>
      </c>
      <c r="E443" s="52">
        <v>1</v>
      </c>
      <c r="F443" s="51" t="s">
        <v>148</v>
      </c>
      <c r="G443" s="51" t="s">
        <v>149</v>
      </c>
      <c r="H443" s="51" t="s">
        <v>150</v>
      </c>
      <c r="I443" s="52">
        <v>3</v>
      </c>
      <c r="J443" s="51" t="s">
        <v>123</v>
      </c>
      <c r="K443" s="52">
        <v>4</v>
      </c>
      <c r="L443" s="52"/>
      <c r="M443" s="52"/>
      <c r="N443" s="53" t="s">
        <v>151</v>
      </c>
      <c r="O443" s="53" t="s">
        <v>152</v>
      </c>
      <c r="P443" s="52"/>
      <c r="Q443" s="53" t="s">
        <v>586</v>
      </c>
      <c r="R443" s="55"/>
      <c r="S443" s="51"/>
      <c r="T443" s="55" t="s">
        <v>2233</v>
      </c>
      <c r="U443" s="55" t="s">
        <v>2234</v>
      </c>
      <c r="V443" s="55" t="s">
        <v>2235</v>
      </c>
      <c r="W443" s="346" t="s">
        <v>2239</v>
      </c>
      <c r="X443" s="55" t="s">
        <v>1593</v>
      </c>
      <c r="Y443" s="53" t="s">
        <v>1590</v>
      </c>
      <c r="Z443" s="55" t="s">
        <v>1594</v>
      </c>
      <c r="AA443" s="52" t="s">
        <v>372</v>
      </c>
    </row>
    <row r="444" spans="2:27" ht="80.25" hidden="1" customHeight="1">
      <c r="B444" s="51" t="s">
        <v>56</v>
      </c>
      <c r="C444" s="51" t="s">
        <v>2232</v>
      </c>
      <c r="D444" s="51" t="s">
        <v>57</v>
      </c>
      <c r="E444" s="52">
        <v>1</v>
      </c>
      <c r="F444" s="51" t="s">
        <v>155</v>
      </c>
      <c r="G444" s="51" t="s">
        <v>156</v>
      </c>
      <c r="H444" s="51" t="s">
        <v>150</v>
      </c>
      <c r="I444" s="52">
        <v>4</v>
      </c>
      <c r="J444" s="51" t="s">
        <v>123</v>
      </c>
      <c r="K444" s="52">
        <v>4</v>
      </c>
      <c r="L444" s="52"/>
      <c r="M444" s="52"/>
      <c r="N444" s="53" t="s">
        <v>157</v>
      </c>
      <c r="O444" s="53" t="s">
        <v>158</v>
      </c>
      <c r="P444" s="52"/>
      <c r="Q444" s="55" t="s">
        <v>1595</v>
      </c>
      <c r="R444" s="55" t="s">
        <v>160</v>
      </c>
      <c r="S444" s="55" t="s">
        <v>161</v>
      </c>
      <c r="T444" s="55" t="s">
        <v>2149</v>
      </c>
      <c r="U444" s="55" t="s">
        <v>2237</v>
      </c>
      <c r="V444" s="55" t="s">
        <v>2240</v>
      </c>
      <c r="W444" s="346" t="s">
        <v>2241</v>
      </c>
      <c r="X444" s="51" t="s">
        <v>1593</v>
      </c>
      <c r="Y444" s="54" t="s">
        <v>1590</v>
      </c>
      <c r="Z444" s="54" t="s">
        <v>590</v>
      </c>
      <c r="AA444" s="52" t="s">
        <v>372</v>
      </c>
    </row>
    <row r="445" spans="2:27" ht="80.25" hidden="1" customHeight="1">
      <c r="B445" s="51" t="s">
        <v>56</v>
      </c>
      <c r="C445" s="51" t="s">
        <v>2232</v>
      </c>
      <c r="D445" s="51" t="s">
        <v>57</v>
      </c>
      <c r="E445" s="52">
        <v>1</v>
      </c>
      <c r="F445" s="51" t="s">
        <v>167</v>
      </c>
      <c r="G445" s="51" t="s">
        <v>168</v>
      </c>
      <c r="H445" s="51" t="s">
        <v>150</v>
      </c>
      <c r="I445" s="52">
        <v>5</v>
      </c>
      <c r="J445" s="51" t="s">
        <v>123</v>
      </c>
      <c r="K445" s="52">
        <v>4</v>
      </c>
      <c r="L445" s="52"/>
      <c r="M445" s="52"/>
      <c r="N445" s="53" t="s">
        <v>169</v>
      </c>
      <c r="O445" s="53" t="s">
        <v>170</v>
      </c>
      <c r="P445" s="52"/>
      <c r="Q445" s="55" t="s">
        <v>1598</v>
      </c>
      <c r="R445" s="55" t="s">
        <v>160</v>
      </c>
      <c r="S445" s="55" t="s">
        <v>172</v>
      </c>
      <c r="T445" s="55" t="s">
        <v>2149</v>
      </c>
      <c r="U445" s="55" t="s">
        <v>2237</v>
      </c>
      <c r="V445" s="55" t="s">
        <v>1599</v>
      </c>
      <c r="W445" s="346" t="s">
        <v>2242</v>
      </c>
      <c r="X445" s="51" t="s">
        <v>1593</v>
      </c>
      <c r="Y445" s="54" t="s">
        <v>1590</v>
      </c>
      <c r="Z445" s="54" t="s">
        <v>593</v>
      </c>
      <c r="AA445" s="52" t="s">
        <v>372</v>
      </c>
    </row>
    <row r="446" spans="2:27" ht="80.25" hidden="1" customHeight="1">
      <c r="B446" s="51" t="s">
        <v>56</v>
      </c>
      <c r="C446" s="51" t="s">
        <v>2232</v>
      </c>
      <c r="D446" s="51" t="s">
        <v>57</v>
      </c>
      <c r="E446" s="52">
        <v>1</v>
      </c>
      <c r="F446" s="51" t="s">
        <v>198</v>
      </c>
      <c r="G446" s="51" t="s">
        <v>199</v>
      </c>
      <c r="H446" s="51" t="s">
        <v>200</v>
      </c>
      <c r="I446" s="52">
        <v>6</v>
      </c>
      <c r="J446" s="51" t="s">
        <v>123</v>
      </c>
      <c r="K446" s="52">
        <v>10</v>
      </c>
      <c r="L446" s="52"/>
      <c r="M446" s="52"/>
      <c r="N446" s="53" t="s">
        <v>201</v>
      </c>
      <c r="O446" s="53" t="s">
        <v>202</v>
      </c>
      <c r="P446" s="52"/>
      <c r="Q446" s="54"/>
      <c r="R446" s="55" t="s">
        <v>203</v>
      </c>
      <c r="S446" s="51" t="s">
        <v>198</v>
      </c>
      <c r="T446" s="55" t="s">
        <v>2149</v>
      </c>
      <c r="U446" s="55" t="s">
        <v>2237</v>
      </c>
      <c r="V446" s="55" t="s">
        <v>1601</v>
      </c>
      <c r="W446" s="77" t="s">
        <v>2243</v>
      </c>
      <c r="X446" s="51" t="s">
        <v>1593</v>
      </c>
      <c r="Y446" s="54" t="s">
        <v>1590</v>
      </c>
      <c r="Z446" s="54" t="s">
        <v>630</v>
      </c>
      <c r="AA446" s="52" t="s">
        <v>372</v>
      </c>
    </row>
    <row r="447" spans="2:27" ht="80.25" hidden="1" customHeight="1">
      <c r="B447" s="51" t="s">
        <v>56</v>
      </c>
      <c r="C447" s="51" t="s">
        <v>2232</v>
      </c>
      <c r="D447" s="51" t="s">
        <v>57</v>
      </c>
      <c r="E447" s="52">
        <v>1</v>
      </c>
      <c r="F447" s="51" t="s">
        <v>210</v>
      </c>
      <c r="G447" s="51" t="s">
        <v>211</v>
      </c>
      <c r="H447" s="51" t="s">
        <v>200</v>
      </c>
      <c r="I447" s="52">
        <v>7</v>
      </c>
      <c r="J447" s="51" t="s">
        <v>123</v>
      </c>
      <c r="K447" s="52">
        <v>10</v>
      </c>
      <c r="L447" s="52"/>
      <c r="M447" s="52"/>
      <c r="N447" s="53" t="s">
        <v>212</v>
      </c>
      <c r="O447" s="53" t="s">
        <v>213</v>
      </c>
      <c r="P447" s="52"/>
      <c r="Q447" s="54"/>
      <c r="R447" s="55"/>
      <c r="S447" s="51"/>
      <c r="T447" s="55" t="s">
        <v>2149</v>
      </c>
      <c r="U447" s="55" t="s">
        <v>2237</v>
      </c>
      <c r="V447" s="55" t="s">
        <v>2244</v>
      </c>
      <c r="W447" s="346" t="s">
        <v>2245</v>
      </c>
      <c r="X447" s="51" t="s">
        <v>1593</v>
      </c>
      <c r="Y447" s="54" t="s">
        <v>1590</v>
      </c>
      <c r="Z447" s="53" t="s">
        <v>2109</v>
      </c>
      <c r="AA447" s="52" t="s">
        <v>372</v>
      </c>
    </row>
    <row r="448" spans="2:27" ht="80.25" hidden="1" customHeight="1">
      <c r="B448" s="51" t="s">
        <v>56</v>
      </c>
      <c r="C448" s="51" t="s">
        <v>2232</v>
      </c>
      <c r="D448" s="51" t="s">
        <v>57</v>
      </c>
      <c r="E448" s="52">
        <v>1</v>
      </c>
      <c r="F448" s="51" t="s">
        <v>222</v>
      </c>
      <c r="G448" s="51" t="s">
        <v>223</v>
      </c>
      <c r="H448" s="51" t="s">
        <v>224</v>
      </c>
      <c r="I448" s="52">
        <v>8</v>
      </c>
      <c r="J448" s="51" t="s">
        <v>123</v>
      </c>
      <c r="K448" s="52">
        <v>4</v>
      </c>
      <c r="L448" s="52"/>
      <c r="M448" s="52"/>
      <c r="N448" s="53" t="s">
        <v>225</v>
      </c>
      <c r="O448" s="53" t="s">
        <v>226</v>
      </c>
      <c r="P448" s="52"/>
      <c r="Q448" s="55" t="s">
        <v>419</v>
      </c>
      <c r="R448" s="55" t="s">
        <v>654</v>
      </c>
      <c r="S448" s="55" t="s">
        <v>229</v>
      </c>
      <c r="T448" s="55" t="s">
        <v>2149</v>
      </c>
      <c r="U448" s="55" t="s">
        <v>2237</v>
      </c>
      <c r="V448" s="55" t="s">
        <v>1609</v>
      </c>
      <c r="W448" s="346" t="s">
        <v>2246</v>
      </c>
      <c r="X448" s="51" t="s">
        <v>1593</v>
      </c>
      <c r="Y448" s="54" t="s">
        <v>1590</v>
      </c>
      <c r="Z448" s="54" t="s">
        <v>427</v>
      </c>
      <c r="AA448" s="52" t="s">
        <v>372</v>
      </c>
    </row>
    <row r="449" spans="2:27" ht="80.25" hidden="1" customHeight="1">
      <c r="B449" s="51" t="s">
        <v>56</v>
      </c>
      <c r="C449" s="51" t="s">
        <v>2232</v>
      </c>
      <c r="D449" s="51" t="s">
        <v>57</v>
      </c>
      <c r="E449" s="52">
        <v>1</v>
      </c>
      <c r="F449" s="51" t="s">
        <v>1612</v>
      </c>
      <c r="G449" s="51" t="s">
        <v>1613</v>
      </c>
      <c r="H449" s="54" t="s">
        <v>249</v>
      </c>
      <c r="I449" s="52">
        <v>9</v>
      </c>
      <c r="J449" s="51" t="s">
        <v>250</v>
      </c>
      <c r="K449" s="52">
        <v>23</v>
      </c>
      <c r="L449" s="52">
        <v>6</v>
      </c>
      <c r="M449" s="52"/>
      <c r="N449" s="53" t="s">
        <v>1614</v>
      </c>
      <c r="O449" s="53" t="s">
        <v>1615</v>
      </c>
      <c r="P449" s="52"/>
      <c r="Q449" s="54"/>
      <c r="R449" s="53"/>
      <c r="S449" s="54"/>
      <c r="T449" s="55" t="s">
        <v>2149</v>
      </c>
      <c r="U449" s="55" t="s">
        <v>2237</v>
      </c>
      <c r="V449" s="55" t="s">
        <v>1616</v>
      </c>
      <c r="W449" s="346" t="s">
        <v>2247</v>
      </c>
      <c r="X449" s="51" t="s">
        <v>1593</v>
      </c>
      <c r="Y449" s="54" t="s">
        <v>1590</v>
      </c>
      <c r="Z449" s="54" t="s">
        <v>652</v>
      </c>
      <c r="AA449" s="52" t="s">
        <v>372</v>
      </c>
    </row>
    <row r="450" spans="2:27" ht="80.25" hidden="1" customHeight="1">
      <c r="B450" s="51" t="s">
        <v>56</v>
      </c>
      <c r="C450" s="51" t="s">
        <v>2232</v>
      </c>
      <c r="D450" s="51" t="s">
        <v>57</v>
      </c>
      <c r="E450" s="52">
        <v>1</v>
      </c>
      <c r="F450" s="51" t="s">
        <v>1618</v>
      </c>
      <c r="G450" s="51" t="s">
        <v>1619</v>
      </c>
      <c r="H450" s="54" t="s">
        <v>249</v>
      </c>
      <c r="I450" s="52">
        <v>10</v>
      </c>
      <c r="J450" s="51" t="s">
        <v>250</v>
      </c>
      <c r="K450" s="52">
        <v>23</v>
      </c>
      <c r="L450" s="52">
        <v>6</v>
      </c>
      <c r="M450" s="52"/>
      <c r="N450" s="53" t="s">
        <v>1620</v>
      </c>
      <c r="O450" s="53" t="s">
        <v>1621</v>
      </c>
      <c r="P450" s="52"/>
      <c r="Q450" s="51"/>
      <c r="R450" s="53"/>
      <c r="S450" s="54"/>
      <c r="T450" s="55" t="s">
        <v>2149</v>
      </c>
      <c r="U450" s="55" t="s">
        <v>2237</v>
      </c>
      <c r="V450" s="65" t="s">
        <v>1622</v>
      </c>
      <c r="W450" s="346" t="s">
        <v>2248</v>
      </c>
      <c r="X450" s="55" t="s">
        <v>1593</v>
      </c>
      <c r="Y450" s="53" t="s">
        <v>1590</v>
      </c>
      <c r="Z450" s="51" t="s">
        <v>1624</v>
      </c>
      <c r="AA450" s="60" t="s">
        <v>372</v>
      </c>
    </row>
    <row r="451" spans="2:27" ht="80.25" hidden="1" customHeight="1">
      <c r="B451" s="51" t="s">
        <v>56</v>
      </c>
      <c r="C451" s="51" t="s">
        <v>2232</v>
      </c>
      <c r="D451" s="51" t="s">
        <v>57</v>
      </c>
      <c r="E451" s="52">
        <v>1</v>
      </c>
      <c r="F451" s="51" t="s">
        <v>1625</v>
      </c>
      <c r="G451" s="51" t="s">
        <v>1626</v>
      </c>
      <c r="H451" s="54" t="s">
        <v>249</v>
      </c>
      <c r="I451" s="52">
        <v>11</v>
      </c>
      <c r="J451" s="51" t="s">
        <v>250</v>
      </c>
      <c r="K451" s="52">
        <v>23</v>
      </c>
      <c r="L451" s="52">
        <v>6</v>
      </c>
      <c r="M451" s="52"/>
      <c r="N451" s="53" t="s">
        <v>1627</v>
      </c>
      <c r="O451" s="53" t="s">
        <v>1628</v>
      </c>
      <c r="P451" s="52"/>
      <c r="Q451" s="54"/>
      <c r="R451" s="53" t="s">
        <v>275</v>
      </c>
      <c r="S451" s="54" t="s">
        <v>276</v>
      </c>
      <c r="T451" s="55" t="s">
        <v>2149</v>
      </c>
      <c r="U451" s="55" t="s">
        <v>2237</v>
      </c>
      <c r="V451" s="55" t="s">
        <v>2249</v>
      </c>
      <c r="W451" s="346" t="s">
        <v>2250</v>
      </c>
      <c r="X451" s="51" t="s">
        <v>1593</v>
      </c>
      <c r="Y451" s="54" t="s">
        <v>1590</v>
      </c>
      <c r="Z451" s="54" t="s">
        <v>1631</v>
      </c>
      <c r="AA451" s="52" t="s">
        <v>372</v>
      </c>
    </row>
    <row r="452" spans="2:27" ht="80.25" hidden="1" customHeight="1">
      <c r="B452" s="51" t="s">
        <v>56</v>
      </c>
      <c r="C452" s="51" t="s">
        <v>2232</v>
      </c>
      <c r="D452" s="51" t="s">
        <v>57</v>
      </c>
      <c r="E452" s="52">
        <v>1</v>
      </c>
      <c r="F452" s="51" t="s">
        <v>1515</v>
      </c>
      <c r="G452" s="51" t="s">
        <v>1979</v>
      </c>
      <c r="H452" s="54" t="s">
        <v>746</v>
      </c>
      <c r="I452" s="52">
        <v>12</v>
      </c>
      <c r="J452" s="51" t="s">
        <v>123</v>
      </c>
      <c r="K452" s="52">
        <v>4</v>
      </c>
      <c r="L452" s="52"/>
      <c r="M452" s="52"/>
      <c r="N452" s="53" t="s">
        <v>2183</v>
      </c>
      <c r="O452" s="53" t="s">
        <v>2184</v>
      </c>
      <c r="P452" s="52"/>
      <c r="Q452" s="53" t="s">
        <v>1681</v>
      </c>
      <c r="R452" s="53"/>
      <c r="S452" s="54"/>
      <c r="T452" s="51"/>
      <c r="U452" s="51"/>
      <c r="V452" s="51"/>
      <c r="W452" s="51"/>
      <c r="X452" s="51" t="s">
        <v>1682</v>
      </c>
      <c r="Y452" s="51" t="s">
        <v>1682</v>
      </c>
      <c r="Z452" s="51" t="s">
        <v>1682</v>
      </c>
      <c r="AA452" s="60" t="s">
        <v>1682</v>
      </c>
    </row>
    <row r="453" spans="2:27" ht="80.25" hidden="1" customHeight="1">
      <c r="B453" s="51" t="s">
        <v>56</v>
      </c>
      <c r="C453" s="51" t="s">
        <v>2232</v>
      </c>
      <c r="D453" s="51" t="s">
        <v>57</v>
      </c>
      <c r="E453" s="52">
        <v>1</v>
      </c>
      <c r="F453" s="51" t="s">
        <v>1986</v>
      </c>
      <c r="G453" s="51" t="s">
        <v>1987</v>
      </c>
      <c r="H453" s="54" t="s">
        <v>746</v>
      </c>
      <c r="I453" s="52">
        <v>13</v>
      </c>
      <c r="J453" s="51" t="s">
        <v>123</v>
      </c>
      <c r="K453" s="52">
        <v>3</v>
      </c>
      <c r="L453" s="52"/>
      <c r="M453" s="52"/>
      <c r="N453" s="53" t="s">
        <v>1685</v>
      </c>
      <c r="O453" s="53" t="s">
        <v>2187</v>
      </c>
      <c r="P453" s="52"/>
      <c r="Q453" s="53" t="s">
        <v>1687</v>
      </c>
      <c r="R453" s="53"/>
      <c r="S453" s="54"/>
      <c r="T453" s="51"/>
      <c r="U453" s="51"/>
      <c r="V453" s="51"/>
      <c r="W453" s="51"/>
      <c r="X453" s="51" t="s">
        <v>1682</v>
      </c>
      <c r="Y453" s="51" t="s">
        <v>1682</v>
      </c>
      <c r="Z453" s="51" t="s">
        <v>1682</v>
      </c>
      <c r="AA453" s="60" t="s">
        <v>1682</v>
      </c>
    </row>
    <row r="454" spans="2:27" ht="80.25" hidden="1" customHeight="1">
      <c r="B454" s="51" t="s">
        <v>56</v>
      </c>
      <c r="C454" s="51" t="s">
        <v>2232</v>
      </c>
      <c r="D454" s="51" t="s">
        <v>57</v>
      </c>
      <c r="E454" s="52">
        <v>1</v>
      </c>
      <c r="F454" s="51" t="s">
        <v>1997</v>
      </c>
      <c r="G454" s="51" t="s">
        <v>1998</v>
      </c>
      <c r="H454" s="54" t="s">
        <v>767</v>
      </c>
      <c r="I454" s="52">
        <v>14</v>
      </c>
      <c r="J454" s="51" t="s">
        <v>250</v>
      </c>
      <c r="K454" s="52">
        <v>23</v>
      </c>
      <c r="L454" s="52">
        <v>6</v>
      </c>
      <c r="M454" s="52"/>
      <c r="N454" s="53" t="s">
        <v>2190</v>
      </c>
      <c r="O454" s="53" t="s">
        <v>2191</v>
      </c>
      <c r="P454" s="52"/>
      <c r="Q454" s="54"/>
      <c r="R454" s="53"/>
      <c r="S454" s="54"/>
      <c r="T454" s="51"/>
      <c r="U454" s="51"/>
      <c r="V454" s="51"/>
      <c r="W454" s="51"/>
      <c r="X454" s="51" t="s">
        <v>1682</v>
      </c>
      <c r="Y454" s="51" t="s">
        <v>1682</v>
      </c>
      <c r="Z454" s="51" t="s">
        <v>1682</v>
      </c>
      <c r="AA454" s="60" t="s">
        <v>1682</v>
      </c>
    </row>
    <row r="455" spans="2:27" ht="80.25" hidden="1" customHeight="1">
      <c r="B455" s="51" t="s">
        <v>56</v>
      </c>
      <c r="C455" s="51" t="s">
        <v>2232</v>
      </c>
      <c r="D455" s="51" t="s">
        <v>57</v>
      </c>
      <c r="E455" s="52">
        <v>1</v>
      </c>
      <c r="F455" s="51" t="s">
        <v>2007</v>
      </c>
      <c r="G455" s="51" t="s">
        <v>2008</v>
      </c>
      <c r="H455" s="54" t="s">
        <v>767</v>
      </c>
      <c r="I455" s="52">
        <v>15</v>
      </c>
      <c r="J455" s="51" t="s">
        <v>250</v>
      </c>
      <c r="K455" s="52">
        <v>23</v>
      </c>
      <c r="L455" s="52">
        <v>6</v>
      </c>
      <c r="M455" s="52"/>
      <c r="N455" s="53" t="s">
        <v>1694</v>
      </c>
      <c r="O455" s="53" t="s">
        <v>2194</v>
      </c>
      <c r="P455" s="52"/>
      <c r="Q455" s="54"/>
      <c r="R455" s="53"/>
      <c r="S455" s="54"/>
      <c r="T455" s="51"/>
      <c r="U455" s="51"/>
      <c r="V455" s="51"/>
      <c r="W455" s="51"/>
      <c r="X455" s="51" t="s">
        <v>1682</v>
      </c>
      <c r="Y455" s="51" t="s">
        <v>1682</v>
      </c>
      <c r="Z455" s="51" t="s">
        <v>1682</v>
      </c>
      <c r="AA455" s="60" t="s">
        <v>1682</v>
      </c>
    </row>
    <row r="456" spans="2:27" ht="80.25" hidden="1" customHeight="1">
      <c r="B456" s="51" t="s">
        <v>56</v>
      </c>
      <c r="C456" s="51" t="s">
        <v>2232</v>
      </c>
      <c r="D456" s="51" t="s">
        <v>57</v>
      </c>
      <c r="E456" s="52">
        <v>1</v>
      </c>
      <c r="F456" s="51" t="s">
        <v>1522</v>
      </c>
      <c r="G456" s="51" t="s">
        <v>1523</v>
      </c>
      <c r="H456" s="54" t="s">
        <v>767</v>
      </c>
      <c r="I456" s="52">
        <v>16</v>
      </c>
      <c r="J456" s="51" t="s">
        <v>250</v>
      </c>
      <c r="K456" s="52">
        <v>23</v>
      </c>
      <c r="L456" s="52">
        <v>6</v>
      </c>
      <c r="M456" s="52"/>
      <c r="N456" s="53" t="s">
        <v>2197</v>
      </c>
      <c r="O456" s="53" t="s">
        <v>2198</v>
      </c>
      <c r="P456" s="52"/>
      <c r="Q456" s="51"/>
      <c r="R456" s="55" t="s">
        <v>788</v>
      </c>
      <c r="S456" s="51" t="s">
        <v>1526</v>
      </c>
      <c r="T456" s="51"/>
      <c r="U456" s="51"/>
      <c r="V456" s="51"/>
      <c r="W456" s="51"/>
      <c r="X456" s="51" t="s">
        <v>1682</v>
      </c>
      <c r="Y456" s="51" t="s">
        <v>1682</v>
      </c>
      <c r="Z456" s="51" t="s">
        <v>1682</v>
      </c>
      <c r="AA456" s="60" t="s">
        <v>1682</v>
      </c>
    </row>
    <row r="457" spans="2:27" ht="80.25" hidden="1" customHeight="1">
      <c r="B457" s="51" t="s">
        <v>56</v>
      </c>
      <c r="C457" s="51" t="s">
        <v>2232</v>
      </c>
      <c r="D457" s="51" t="s">
        <v>57</v>
      </c>
      <c r="E457" s="52">
        <v>1</v>
      </c>
      <c r="F457" s="51" t="s">
        <v>744</v>
      </c>
      <c r="G457" s="51" t="s">
        <v>745</v>
      </c>
      <c r="H457" s="54" t="s">
        <v>746</v>
      </c>
      <c r="I457" s="52">
        <v>17</v>
      </c>
      <c r="J457" s="51" t="s">
        <v>123</v>
      </c>
      <c r="K457" s="52">
        <v>4</v>
      </c>
      <c r="L457" s="52"/>
      <c r="M457" s="52"/>
      <c r="N457" s="53" t="s">
        <v>2201</v>
      </c>
      <c r="O457" s="53" t="s">
        <v>2202</v>
      </c>
      <c r="P457" s="52"/>
      <c r="Q457" s="53" t="s">
        <v>1681</v>
      </c>
      <c r="R457" s="53"/>
      <c r="S457" s="54"/>
      <c r="T457" s="51"/>
      <c r="U457" s="51"/>
      <c r="V457" s="51"/>
      <c r="W457" s="51"/>
      <c r="X457" s="51" t="s">
        <v>1682</v>
      </c>
      <c r="Y457" s="51" t="s">
        <v>1682</v>
      </c>
      <c r="Z457" s="51" t="s">
        <v>1682</v>
      </c>
      <c r="AA457" s="60" t="s">
        <v>1682</v>
      </c>
    </row>
    <row r="458" spans="2:27" ht="80.25" hidden="1" customHeight="1">
      <c r="B458" s="51" t="s">
        <v>56</v>
      </c>
      <c r="C458" s="51" t="s">
        <v>2232</v>
      </c>
      <c r="D458" s="51" t="s">
        <v>57</v>
      </c>
      <c r="E458" s="52">
        <v>1</v>
      </c>
      <c r="F458" s="51" t="s">
        <v>755</v>
      </c>
      <c r="G458" s="51" t="s">
        <v>756</v>
      </c>
      <c r="H458" s="54" t="s">
        <v>746</v>
      </c>
      <c r="I458" s="52">
        <v>18</v>
      </c>
      <c r="J458" s="51" t="s">
        <v>123</v>
      </c>
      <c r="K458" s="52">
        <v>3</v>
      </c>
      <c r="L458" s="52"/>
      <c r="M458" s="52"/>
      <c r="N458" s="53" t="s">
        <v>1706</v>
      </c>
      <c r="O458" s="53" t="s">
        <v>2251</v>
      </c>
      <c r="P458" s="52"/>
      <c r="Q458" s="53" t="s">
        <v>1708</v>
      </c>
      <c r="R458" s="53"/>
      <c r="S458" s="54"/>
      <c r="T458" s="51"/>
      <c r="U458" s="51"/>
      <c r="V458" s="51"/>
      <c r="W458" s="51"/>
      <c r="X458" s="51" t="s">
        <v>1682</v>
      </c>
      <c r="Y458" s="51" t="s">
        <v>1682</v>
      </c>
      <c r="Z458" s="51" t="s">
        <v>1682</v>
      </c>
      <c r="AA458" s="60" t="s">
        <v>1682</v>
      </c>
    </row>
    <row r="459" spans="2:27" ht="80.25" hidden="1" customHeight="1">
      <c r="B459" s="51" t="s">
        <v>56</v>
      </c>
      <c r="C459" s="51" t="s">
        <v>2232</v>
      </c>
      <c r="D459" s="51" t="s">
        <v>57</v>
      </c>
      <c r="E459" s="52">
        <v>1</v>
      </c>
      <c r="F459" s="51" t="s">
        <v>765</v>
      </c>
      <c r="G459" s="51" t="s">
        <v>766</v>
      </c>
      <c r="H459" s="54" t="s">
        <v>767</v>
      </c>
      <c r="I459" s="52">
        <v>19</v>
      </c>
      <c r="J459" s="51" t="s">
        <v>250</v>
      </c>
      <c r="K459" s="52">
        <v>23</v>
      </c>
      <c r="L459" s="52">
        <v>6</v>
      </c>
      <c r="M459" s="52"/>
      <c r="N459" s="53" t="s">
        <v>2208</v>
      </c>
      <c r="O459" s="53" t="s">
        <v>2209</v>
      </c>
      <c r="P459" s="52"/>
      <c r="Q459" s="54"/>
      <c r="R459" s="53"/>
      <c r="S459" s="54"/>
      <c r="T459" s="51"/>
      <c r="U459" s="51"/>
      <c r="V459" s="51"/>
      <c r="W459" s="51"/>
      <c r="X459" s="51" t="s">
        <v>1682</v>
      </c>
      <c r="Y459" s="51" t="s">
        <v>1682</v>
      </c>
      <c r="Z459" s="51" t="s">
        <v>1682</v>
      </c>
      <c r="AA459" s="60" t="s">
        <v>1682</v>
      </c>
    </row>
    <row r="460" spans="2:27" ht="80.25" hidden="1" customHeight="1">
      <c r="B460" s="51" t="s">
        <v>56</v>
      </c>
      <c r="C460" s="51" t="s">
        <v>2232</v>
      </c>
      <c r="D460" s="51" t="s">
        <v>57</v>
      </c>
      <c r="E460" s="52">
        <v>1</v>
      </c>
      <c r="F460" s="51" t="s">
        <v>775</v>
      </c>
      <c r="G460" s="51" t="s">
        <v>776</v>
      </c>
      <c r="H460" s="54" t="s">
        <v>767</v>
      </c>
      <c r="I460" s="52">
        <v>20</v>
      </c>
      <c r="J460" s="51" t="s">
        <v>250</v>
      </c>
      <c r="K460" s="52">
        <v>23</v>
      </c>
      <c r="L460" s="52">
        <v>6</v>
      </c>
      <c r="M460" s="52"/>
      <c r="N460" s="53" t="s">
        <v>777</v>
      </c>
      <c r="O460" s="53" t="s">
        <v>2212</v>
      </c>
      <c r="P460" s="52"/>
      <c r="Q460" s="54"/>
      <c r="R460" s="53"/>
      <c r="S460" s="54"/>
      <c r="T460" s="51"/>
      <c r="U460" s="51"/>
      <c r="V460" s="51"/>
      <c r="W460" s="51"/>
      <c r="X460" s="51" t="s">
        <v>1682</v>
      </c>
      <c r="Y460" s="51" t="s">
        <v>1682</v>
      </c>
      <c r="Z460" s="51" t="s">
        <v>1682</v>
      </c>
      <c r="AA460" s="60" t="s">
        <v>1682</v>
      </c>
    </row>
    <row r="461" spans="2:27" ht="80.25" hidden="1" customHeight="1">
      <c r="B461" s="51" t="s">
        <v>56</v>
      </c>
      <c r="C461" s="51" t="s">
        <v>2232</v>
      </c>
      <c r="D461" s="51" t="s">
        <v>57</v>
      </c>
      <c r="E461" s="52">
        <v>1</v>
      </c>
      <c r="F461" s="51" t="s">
        <v>784</v>
      </c>
      <c r="G461" s="51" t="s">
        <v>785</v>
      </c>
      <c r="H461" s="54" t="s">
        <v>767</v>
      </c>
      <c r="I461" s="52">
        <v>21</v>
      </c>
      <c r="J461" s="51" t="s">
        <v>250</v>
      </c>
      <c r="K461" s="52">
        <v>23</v>
      </c>
      <c r="L461" s="52">
        <v>6</v>
      </c>
      <c r="M461" s="52"/>
      <c r="N461" s="53" t="s">
        <v>2215</v>
      </c>
      <c r="O461" s="53" t="s">
        <v>2216</v>
      </c>
      <c r="P461" s="52"/>
      <c r="Q461" s="51"/>
      <c r="R461" s="55" t="s">
        <v>1720</v>
      </c>
      <c r="S461" s="55" t="s">
        <v>1721</v>
      </c>
      <c r="T461" s="51"/>
      <c r="U461" s="51"/>
      <c r="V461" s="51"/>
      <c r="W461" s="51"/>
      <c r="X461" s="51" t="s">
        <v>1682</v>
      </c>
      <c r="Y461" s="51" t="s">
        <v>1682</v>
      </c>
      <c r="Z461" s="51" t="s">
        <v>1682</v>
      </c>
      <c r="AA461" s="60" t="s">
        <v>1682</v>
      </c>
    </row>
    <row r="462" spans="2:27" ht="80.25" hidden="1" customHeight="1">
      <c r="B462" s="51" t="s">
        <v>56</v>
      </c>
      <c r="C462" s="51" t="s">
        <v>2232</v>
      </c>
      <c r="D462" s="51" t="s">
        <v>57</v>
      </c>
      <c r="E462" s="52">
        <v>1</v>
      </c>
      <c r="F462" s="213" t="s">
        <v>293</v>
      </c>
      <c r="G462" s="213" t="s">
        <v>294</v>
      </c>
      <c r="H462" s="51" t="s">
        <v>295</v>
      </c>
      <c r="I462" s="52">
        <v>22</v>
      </c>
      <c r="J462" s="51" t="s">
        <v>123</v>
      </c>
      <c r="K462" s="52">
        <v>4</v>
      </c>
      <c r="L462" s="52"/>
      <c r="M462" s="52"/>
      <c r="N462" s="53" t="s">
        <v>296</v>
      </c>
      <c r="O462" s="53" t="s">
        <v>297</v>
      </c>
      <c r="P462" s="52"/>
      <c r="Q462" s="53" t="s">
        <v>1722</v>
      </c>
      <c r="R462" s="55" t="s">
        <v>299</v>
      </c>
      <c r="S462" s="55" t="s">
        <v>300</v>
      </c>
      <c r="T462" s="55" t="s">
        <v>2233</v>
      </c>
      <c r="U462" s="55" t="s">
        <v>2234</v>
      </c>
      <c r="V462" s="55" t="s">
        <v>2235</v>
      </c>
      <c r="W462" s="346" t="s">
        <v>2252</v>
      </c>
      <c r="X462" s="55" t="s">
        <v>1593</v>
      </c>
      <c r="Y462" s="54" t="s">
        <v>1590</v>
      </c>
      <c r="Z462" s="54" t="s">
        <v>1042</v>
      </c>
      <c r="AA462" s="52" t="s">
        <v>372</v>
      </c>
    </row>
    <row r="463" spans="2:27" ht="80.25" hidden="1" customHeight="1">
      <c r="B463" s="51" t="s">
        <v>56</v>
      </c>
      <c r="C463" s="51" t="s">
        <v>2232</v>
      </c>
      <c r="D463" s="51" t="s">
        <v>57</v>
      </c>
      <c r="E463" s="52">
        <v>1</v>
      </c>
      <c r="F463" s="51" t="s">
        <v>304</v>
      </c>
      <c r="G463" s="51" t="s">
        <v>305</v>
      </c>
      <c r="H463" s="51" t="s">
        <v>295</v>
      </c>
      <c r="I463" s="52">
        <v>23</v>
      </c>
      <c r="J463" s="51" t="s">
        <v>123</v>
      </c>
      <c r="K463" s="52">
        <v>4</v>
      </c>
      <c r="L463" s="52"/>
      <c r="M463" s="52"/>
      <c r="N463" s="53" t="s">
        <v>306</v>
      </c>
      <c r="O463" s="53" t="s">
        <v>307</v>
      </c>
      <c r="P463" s="52"/>
      <c r="Q463" s="53" t="s">
        <v>2218</v>
      </c>
      <c r="R463" s="55" t="s">
        <v>203</v>
      </c>
      <c r="S463" s="51" t="s">
        <v>309</v>
      </c>
      <c r="T463" s="55" t="s">
        <v>2233</v>
      </c>
      <c r="U463" s="55" t="s">
        <v>2234</v>
      </c>
      <c r="V463" s="55" t="s">
        <v>2235</v>
      </c>
      <c r="W463" s="346" t="s">
        <v>2253</v>
      </c>
      <c r="X463" s="55" t="s">
        <v>1593</v>
      </c>
      <c r="Y463" s="54" t="s">
        <v>1590</v>
      </c>
      <c r="Z463" s="61" t="s">
        <v>372</v>
      </c>
      <c r="AA463" s="68" t="s">
        <v>462</v>
      </c>
    </row>
    <row r="464" spans="2:27" ht="80.25" hidden="1" customHeight="1">
      <c r="B464" s="51" t="s">
        <v>56</v>
      </c>
      <c r="C464" s="51" t="s">
        <v>2232</v>
      </c>
      <c r="D464" s="51" t="s">
        <v>57</v>
      </c>
      <c r="E464" s="52">
        <v>1</v>
      </c>
      <c r="F464" s="51" t="s">
        <v>317</v>
      </c>
      <c r="G464" s="51" t="s">
        <v>318</v>
      </c>
      <c r="H464" s="51" t="s">
        <v>319</v>
      </c>
      <c r="I464" s="52">
        <v>24</v>
      </c>
      <c r="J464" s="51" t="s">
        <v>123</v>
      </c>
      <c r="K464" s="52">
        <v>2</v>
      </c>
      <c r="L464" s="52"/>
      <c r="M464" s="52"/>
      <c r="N464" s="53" t="s">
        <v>320</v>
      </c>
      <c r="O464" s="53" t="s">
        <v>321</v>
      </c>
      <c r="P464" s="52"/>
      <c r="Q464" s="53" t="s">
        <v>463</v>
      </c>
      <c r="R464" s="55"/>
      <c r="S464" s="51"/>
      <c r="T464" s="55" t="s">
        <v>2149</v>
      </c>
      <c r="U464" s="55" t="s">
        <v>2237</v>
      </c>
      <c r="V464" s="55" t="s">
        <v>351</v>
      </c>
      <c r="W464" s="346" t="s">
        <v>2254</v>
      </c>
      <c r="X464" s="55" t="s">
        <v>1593</v>
      </c>
      <c r="Y464" s="55" t="s">
        <v>372</v>
      </c>
      <c r="Z464" s="55" t="s">
        <v>372</v>
      </c>
      <c r="AA464" s="52" t="s">
        <v>1732</v>
      </c>
    </row>
    <row r="465" spans="2:27" ht="80.25" hidden="1" customHeight="1">
      <c r="B465" s="51" t="s">
        <v>56</v>
      </c>
      <c r="C465" s="51" t="s">
        <v>2232</v>
      </c>
      <c r="D465" s="51" t="s">
        <v>57</v>
      </c>
      <c r="E465" s="52">
        <v>1</v>
      </c>
      <c r="F465" s="51" t="s">
        <v>326</v>
      </c>
      <c r="G465" s="51" t="s">
        <v>327</v>
      </c>
      <c r="H465" s="51" t="s">
        <v>328</v>
      </c>
      <c r="I465" s="52">
        <v>25</v>
      </c>
      <c r="J465" s="51" t="s">
        <v>123</v>
      </c>
      <c r="K465" s="52">
        <v>10</v>
      </c>
      <c r="L465" s="52"/>
      <c r="M465" s="52"/>
      <c r="N465" s="53" t="s">
        <v>329</v>
      </c>
      <c r="O465" s="53" t="s">
        <v>361</v>
      </c>
      <c r="P465" s="52" t="s">
        <v>126</v>
      </c>
      <c r="Q465" s="54"/>
      <c r="R465" s="55" t="s">
        <v>275</v>
      </c>
      <c r="S465" s="51" t="s">
        <v>803</v>
      </c>
      <c r="T465" s="55" t="s">
        <v>2149</v>
      </c>
      <c r="U465" s="55" t="s">
        <v>2237</v>
      </c>
      <c r="V465" s="84" t="s">
        <v>804</v>
      </c>
      <c r="W465" s="346" t="s">
        <v>2255</v>
      </c>
      <c r="X465" s="55" t="s">
        <v>372</v>
      </c>
      <c r="Y465" s="55" t="s">
        <v>372</v>
      </c>
      <c r="Z465" s="55" t="s">
        <v>372</v>
      </c>
      <c r="AA465" s="52" t="s">
        <v>372</v>
      </c>
    </row>
    <row r="466" spans="2:27" ht="80.25" hidden="1" customHeight="1">
      <c r="B466" s="51" t="s">
        <v>56</v>
      </c>
      <c r="C466" s="51" t="s">
        <v>2232</v>
      </c>
      <c r="D466" s="51" t="s">
        <v>57</v>
      </c>
      <c r="E466" s="52">
        <v>1</v>
      </c>
      <c r="F466" s="51" t="s">
        <v>333</v>
      </c>
      <c r="G466" s="51" t="s">
        <v>334</v>
      </c>
      <c r="H466" s="51" t="s">
        <v>335</v>
      </c>
      <c r="I466" s="52">
        <v>25</v>
      </c>
      <c r="J466" s="51" t="s">
        <v>336</v>
      </c>
      <c r="K466" s="52">
        <v>23</v>
      </c>
      <c r="L466" s="52"/>
      <c r="M466" s="52"/>
      <c r="N466" s="53" t="s">
        <v>337</v>
      </c>
      <c r="O466" s="53" t="s">
        <v>338</v>
      </c>
      <c r="P466" s="52"/>
      <c r="Q466" s="54"/>
      <c r="R466" s="55"/>
      <c r="S466" s="51"/>
      <c r="T466" s="55" t="s">
        <v>2149</v>
      </c>
      <c r="U466" s="55" t="s">
        <v>2237</v>
      </c>
      <c r="V466" s="55" t="s">
        <v>351</v>
      </c>
      <c r="W466" s="346" t="s">
        <v>2256</v>
      </c>
      <c r="X466" s="55" t="s">
        <v>372</v>
      </c>
      <c r="Y466" s="55" t="s">
        <v>372</v>
      </c>
      <c r="Z466" s="55" t="s">
        <v>372</v>
      </c>
      <c r="AA466" s="52" t="s">
        <v>372</v>
      </c>
    </row>
    <row r="467" spans="2:27" ht="80.25" hidden="1" customHeight="1">
      <c r="B467" s="51" t="s">
        <v>340</v>
      </c>
      <c r="C467" s="51" t="s">
        <v>2257</v>
      </c>
      <c r="D467" s="51" t="s">
        <v>2258</v>
      </c>
      <c r="E467" s="52">
        <v>0</v>
      </c>
      <c r="F467" s="51" t="s">
        <v>120</v>
      </c>
      <c r="G467" s="51" t="s">
        <v>121</v>
      </c>
      <c r="H467" s="51" t="s">
        <v>122</v>
      </c>
      <c r="I467" s="52">
        <v>1</v>
      </c>
      <c r="J467" s="51" t="s">
        <v>123</v>
      </c>
      <c r="K467" s="52">
        <v>4</v>
      </c>
      <c r="L467" s="52"/>
      <c r="M467" s="52"/>
      <c r="N467" s="321" t="s">
        <v>124</v>
      </c>
      <c r="O467" s="53" t="s">
        <v>125</v>
      </c>
      <c r="P467" s="52" t="s">
        <v>126</v>
      </c>
      <c r="Q467" s="51"/>
      <c r="R467" s="55"/>
      <c r="S467" s="51"/>
      <c r="T467" s="55" t="s">
        <v>2152</v>
      </c>
      <c r="U467" s="55" t="s">
        <v>426</v>
      </c>
      <c r="V467" s="55" t="s">
        <v>372</v>
      </c>
      <c r="W467" s="346" t="s">
        <v>2259</v>
      </c>
      <c r="X467" s="51" t="s">
        <v>1593</v>
      </c>
      <c r="Y467" s="54" t="s">
        <v>372</v>
      </c>
      <c r="Z467" s="54" t="s">
        <v>372</v>
      </c>
      <c r="AA467" s="52" t="s">
        <v>373</v>
      </c>
    </row>
    <row r="468" spans="2:27" ht="80.25" hidden="1" customHeight="1">
      <c r="B468" s="51" t="s">
        <v>340</v>
      </c>
      <c r="C468" s="51" t="s">
        <v>2257</v>
      </c>
      <c r="D468" s="51" t="s">
        <v>2258</v>
      </c>
      <c r="E468" s="52">
        <v>0</v>
      </c>
      <c r="F468" s="51" t="s">
        <v>136</v>
      </c>
      <c r="G468" s="51" t="s">
        <v>137</v>
      </c>
      <c r="H468" s="51" t="s">
        <v>122</v>
      </c>
      <c r="I468" s="52">
        <v>2</v>
      </c>
      <c r="J468" s="51" t="s">
        <v>123</v>
      </c>
      <c r="K468" s="52">
        <v>30</v>
      </c>
      <c r="L468" s="52"/>
      <c r="M468" s="52"/>
      <c r="N468" s="53" t="s">
        <v>138</v>
      </c>
      <c r="O468" s="53" t="s">
        <v>139</v>
      </c>
      <c r="P468" s="52" t="s">
        <v>126</v>
      </c>
      <c r="Q468" s="51"/>
      <c r="R468" s="55"/>
      <c r="S468" s="51"/>
      <c r="T468" s="51" t="s">
        <v>2152</v>
      </c>
      <c r="U468" s="51" t="s">
        <v>426</v>
      </c>
      <c r="V468" s="51" t="s">
        <v>2153</v>
      </c>
      <c r="W468" s="77" t="s">
        <v>2260</v>
      </c>
      <c r="X468" s="51" t="s">
        <v>1593</v>
      </c>
      <c r="Y468" s="54" t="s">
        <v>1590</v>
      </c>
      <c r="Z468" s="54" t="s">
        <v>1591</v>
      </c>
      <c r="AA468" s="52" t="s">
        <v>372</v>
      </c>
    </row>
    <row r="469" spans="2:27" ht="80.25" hidden="1" customHeight="1">
      <c r="B469" s="51" t="s">
        <v>340</v>
      </c>
      <c r="C469" s="51" t="s">
        <v>2257</v>
      </c>
      <c r="D469" s="51" t="s">
        <v>2258</v>
      </c>
      <c r="E469" s="52">
        <v>0</v>
      </c>
      <c r="F469" s="51" t="s">
        <v>352</v>
      </c>
      <c r="G469" s="51" t="s">
        <v>353</v>
      </c>
      <c r="H469" s="51" t="s">
        <v>240</v>
      </c>
      <c r="I469" s="52">
        <v>3</v>
      </c>
      <c r="J469" s="51" t="s">
        <v>123</v>
      </c>
      <c r="K469" s="52">
        <v>1</v>
      </c>
      <c r="L469" s="52"/>
      <c r="M469" s="52"/>
      <c r="N469" s="53" t="s">
        <v>354</v>
      </c>
      <c r="O469" s="53" t="s">
        <v>355</v>
      </c>
      <c r="P469" s="52"/>
      <c r="Q469" s="51"/>
      <c r="R469" s="55"/>
      <c r="S469" s="51"/>
      <c r="T469" s="51" t="s">
        <v>2152</v>
      </c>
      <c r="U469" s="51" t="s">
        <v>426</v>
      </c>
      <c r="V469" s="54" t="s">
        <v>2226</v>
      </c>
      <c r="W469" s="77" t="s">
        <v>2261</v>
      </c>
      <c r="X469" s="51" t="s">
        <v>1593</v>
      </c>
      <c r="Y469" s="54" t="s">
        <v>1590</v>
      </c>
      <c r="Z469" s="51" t="s">
        <v>1042</v>
      </c>
      <c r="AA469" s="52" t="s">
        <v>372</v>
      </c>
    </row>
    <row r="470" spans="2:27" ht="80.25" hidden="1" customHeight="1">
      <c r="B470" s="51" t="s">
        <v>340</v>
      </c>
      <c r="C470" s="51" t="s">
        <v>2257</v>
      </c>
      <c r="D470" s="51" t="s">
        <v>2258</v>
      </c>
      <c r="E470" s="52">
        <v>0</v>
      </c>
      <c r="F470" s="51" t="s">
        <v>317</v>
      </c>
      <c r="G470" s="51" t="s">
        <v>318</v>
      </c>
      <c r="H470" s="51" t="s">
        <v>319</v>
      </c>
      <c r="I470" s="52">
        <v>4</v>
      </c>
      <c r="J470" s="51" t="s">
        <v>123</v>
      </c>
      <c r="K470" s="52">
        <v>2</v>
      </c>
      <c r="L470" s="52"/>
      <c r="M470" s="52"/>
      <c r="N470" s="53" t="s">
        <v>320</v>
      </c>
      <c r="O470" s="53" t="s">
        <v>321</v>
      </c>
      <c r="P470" s="318" t="s">
        <v>126</v>
      </c>
      <c r="Q470" s="53" t="s">
        <v>463</v>
      </c>
      <c r="R470" s="55"/>
      <c r="S470" s="51"/>
      <c r="T470" s="51" t="s">
        <v>2152</v>
      </c>
      <c r="U470" s="51" t="s">
        <v>426</v>
      </c>
      <c r="V470" s="53" t="s">
        <v>372</v>
      </c>
      <c r="W470" s="346" t="s">
        <v>2262</v>
      </c>
      <c r="X470" s="51" t="s">
        <v>1593</v>
      </c>
      <c r="Y470" s="54" t="s">
        <v>1590</v>
      </c>
      <c r="Z470" s="51" t="s">
        <v>372</v>
      </c>
      <c r="AA470" s="370" t="s">
        <v>2229</v>
      </c>
    </row>
    <row r="471" spans="2:27" ht="80.25" hidden="1" customHeight="1">
      <c r="B471" s="51" t="s">
        <v>340</v>
      </c>
      <c r="C471" s="51" t="s">
        <v>2257</v>
      </c>
      <c r="D471" s="51" t="s">
        <v>2258</v>
      </c>
      <c r="E471" s="52">
        <v>0</v>
      </c>
      <c r="F471" s="51" t="s">
        <v>326</v>
      </c>
      <c r="G471" s="51" t="s">
        <v>327</v>
      </c>
      <c r="H471" s="51" t="s">
        <v>328</v>
      </c>
      <c r="I471" s="52">
        <v>5</v>
      </c>
      <c r="J471" s="51" t="s">
        <v>123</v>
      </c>
      <c r="K471" s="52">
        <v>10</v>
      </c>
      <c r="L471" s="52"/>
      <c r="M471" s="52"/>
      <c r="N471" s="53" t="s">
        <v>329</v>
      </c>
      <c r="O471" s="53" t="s">
        <v>361</v>
      </c>
      <c r="P471" s="52"/>
      <c r="Q471" s="51"/>
      <c r="R471" s="55"/>
      <c r="S471" s="51"/>
      <c r="T471" s="51" t="s">
        <v>2152</v>
      </c>
      <c r="U471" s="51" t="s">
        <v>426</v>
      </c>
      <c r="V471" s="54" t="s">
        <v>678</v>
      </c>
      <c r="W471" s="346" t="s">
        <v>2263</v>
      </c>
      <c r="X471" s="51" t="s">
        <v>1593</v>
      </c>
      <c r="Y471" s="54" t="s">
        <v>1590</v>
      </c>
      <c r="Z471" s="51" t="s">
        <v>678</v>
      </c>
      <c r="AA471" s="52" t="s">
        <v>372</v>
      </c>
    </row>
    <row r="472" spans="2:27" ht="80.25" hidden="1" customHeight="1">
      <c r="B472" s="51" t="s">
        <v>340</v>
      </c>
      <c r="C472" s="51" t="s">
        <v>2257</v>
      </c>
      <c r="D472" s="51" t="s">
        <v>2258</v>
      </c>
      <c r="E472" s="52">
        <v>0</v>
      </c>
      <c r="F472" s="51" t="s">
        <v>333</v>
      </c>
      <c r="G472" s="51" t="s">
        <v>334</v>
      </c>
      <c r="H472" s="51" t="s">
        <v>335</v>
      </c>
      <c r="I472" s="52">
        <v>6</v>
      </c>
      <c r="J472" s="51" t="s">
        <v>336</v>
      </c>
      <c r="K472" s="52">
        <v>23</v>
      </c>
      <c r="L472" s="52"/>
      <c r="M472" s="52"/>
      <c r="N472" s="53" t="s">
        <v>337</v>
      </c>
      <c r="O472" s="53" t="s">
        <v>338</v>
      </c>
      <c r="P472" s="52"/>
      <c r="Q472" s="51"/>
      <c r="R472" s="55"/>
      <c r="S472" s="51"/>
      <c r="T472" s="51" t="s">
        <v>2152</v>
      </c>
      <c r="U472" s="51" t="s">
        <v>426</v>
      </c>
      <c r="V472" s="53" t="s">
        <v>372</v>
      </c>
      <c r="W472" s="346" t="s">
        <v>2231</v>
      </c>
      <c r="X472" s="51" t="s">
        <v>1593</v>
      </c>
      <c r="Y472" s="54" t="s">
        <v>1590</v>
      </c>
      <c r="Z472" s="51" t="s">
        <v>372</v>
      </c>
      <c r="AA472" s="52" t="s">
        <v>372</v>
      </c>
    </row>
    <row r="473" spans="2:27" ht="80.25" hidden="1" customHeight="1">
      <c r="B473" s="51" t="s">
        <v>59</v>
      </c>
      <c r="C473" s="51" t="s">
        <v>2264</v>
      </c>
      <c r="D473" s="51" t="s">
        <v>60</v>
      </c>
      <c r="E473" s="52">
        <v>1</v>
      </c>
      <c r="F473" s="51" t="s">
        <v>120</v>
      </c>
      <c r="G473" s="51" t="s">
        <v>121</v>
      </c>
      <c r="H473" s="51" t="s">
        <v>122</v>
      </c>
      <c r="I473" s="52">
        <v>1</v>
      </c>
      <c r="J473" s="51" t="s">
        <v>123</v>
      </c>
      <c r="K473" s="52">
        <v>4</v>
      </c>
      <c r="L473" s="52"/>
      <c r="M473" s="52"/>
      <c r="N473" s="321" t="s">
        <v>124</v>
      </c>
      <c r="O473" s="53" t="s">
        <v>125</v>
      </c>
      <c r="P473" s="52" t="s">
        <v>126</v>
      </c>
      <c r="Q473" s="51"/>
      <c r="R473" s="55" t="s">
        <v>1326</v>
      </c>
      <c r="S473" s="55" t="s">
        <v>2148</v>
      </c>
      <c r="T473" s="55" t="s">
        <v>2265</v>
      </c>
      <c r="U473" s="55" t="s">
        <v>2266</v>
      </c>
      <c r="V473" s="55" t="s">
        <v>2267</v>
      </c>
      <c r="W473" s="313" t="s">
        <v>2268</v>
      </c>
      <c r="X473" s="51" t="s">
        <v>2269</v>
      </c>
      <c r="Y473" s="53" t="s">
        <v>2270</v>
      </c>
      <c r="Z473" s="53" t="s">
        <v>1107</v>
      </c>
      <c r="AA473" s="60" t="s">
        <v>372</v>
      </c>
    </row>
    <row r="474" spans="2:27" ht="80.25" hidden="1" customHeight="1">
      <c r="B474" s="51" t="s">
        <v>59</v>
      </c>
      <c r="C474" s="51" t="s">
        <v>2264</v>
      </c>
      <c r="D474" s="51" t="s">
        <v>60</v>
      </c>
      <c r="E474" s="52">
        <v>1</v>
      </c>
      <c r="F474" s="51" t="s">
        <v>136</v>
      </c>
      <c r="G474" s="51" t="s">
        <v>137</v>
      </c>
      <c r="H474" s="51" t="s">
        <v>122</v>
      </c>
      <c r="I474" s="52">
        <v>2</v>
      </c>
      <c r="J474" s="51" t="s">
        <v>123</v>
      </c>
      <c r="K474" s="52">
        <v>30</v>
      </c>
      <c r="L474" s="52"/>
      <c r="M474" s="52"/>
      <c r="N474" s="53" t="s">
        <v>138</v>
      </c>
      <c r="O474" s="53" t="s">
        <v>139</v>
      </c>
      <c r="P474" s="52" t="s">
        <v>126</v>
      </c>
      <c r="Q474" s="51"/>
      <c r="R474" s="55" t="s">
        <v>1326</v>
      </c>
      <c r="S474" s="55" t="s">
        <v>2148</v>
      </c>
      <c r="T474" s="55" t="s">
        <v>2271</v>
      </c>
      <c r="U474" s="51" t="s">
        <v>2272</v>
      </c>
      <c r="V474" s="51" t="s">
        <v>2273</v>
      </c>
      <c r="W474" s="77" t="s">
        <v>2274</v>
      </c>
      <c r="X474" s="51" t="s">
        <v>2269</v>
      </c>
      <c r="Y474" s="53" t="s">
        <v>2270</v>
      </c>
      <c r="Z474" s="53" t="s">
        <v>2275</v>
      </c>
      <c r="AA474" s="60" t="s">
        <v>372</v>
      </c>
    </row>
    <row r="475" spans="2:27" ht="80.25" hidden="1" customHeight="1">
      <c r="B475" s="51" t="s">
        <v>59</v>
      </c>
      <c r="C475" s="51" t="s">
        <v>2264</v>
      </c>
      <c r="D475" s="51" t="s">
        <v>60</v>
      </c>
      <c r="E475" s="52">
        <v>1</v>
      </c>
      <c r="F475" s="51" t="s">
        <v>148</v>
      </c>
      <c r="G475" s="51" t="s">
        <v>149</v>
      </c>
      <c r="H475" s="54" t="s">
        <v>150</v>
      </c>
      <c r="I475" s="52">
        <v>3</v>
      </c>
      <c r="J475" s="51" t="s">
        <v>123</v>
      </c>
      <c r="K475" s="52">
        <v>4</v>
      </c>
      <c r="L475" s="52"/>
      <c r="M475" s="52"/>
      <c r="N475" s="53" t="s">
        <v>151</v>
      </c>
      <c r="O475" s="53" t="s">
        <v>152</v>
      </c>
      <c r="P475" s="52"/>
      <c r="Q475" s="53" t="s">
        <v>586</v>
      </c>
      <c r="R475" s="55"/>
      <c r="S475" s="51"/>
      <c r="T475" s="55" t="s">
        <v>2265</v>
      </c>
      <c r="U475" s="55" t="s">
        <v>2266</v>
      </c>
      <c r="V475" s="55" t="s">
        <v>369</v>
      </c>
      <c r="W475" s="77" t="s">
        <v>2276</v>
      </c>
      <c r="X475" s="55" t="s">
        <v>372</v>
      </c>
      <c r="Y475" s="55" t="s">
        <v>372</v>
      </c>
      <c r="Z475" s="55" t="s">
        <v>372</v>
      </c>
      <c r="AA475" s="60" t="s">
        <v>372</v>
      </c>
    </row>
    <row r="476" spans="2:27" ht="80.25" hidden="1" customHeight="1">
      <c r="B476" s="51" t="s">
        <v>59</v>
      </c>
      <c r="C476" s="51" t="s">
        <v>2264</v>
      </c>
      <c r="D476" s="51" t="s">
        <v>60</v>
      </c>
      <c r="E476" s="52">
        <v>1</v>
      </c>
      <c r="F476" s="51" t="s">
        <v>155</v>
      </c>
      <c r="G476" s="51" t="s">
        <v>156</v>
      </c>
      <c r="H476" s="54" t="s">
        <v>150</v>
      </c>
      <c r="I476" s="52">
        <v>3</v>
      </c>
      <c r="J476" s="51" t="s">
        <v>123</v>
      </c>
      <c r="K476" s="52">
        <v>4</v>
      </c>
      <c r="L476" s="52"/>
      <c r="M476" s="52"/>
      <c r="N476" s="53" t="s">
        <v>157</v>
      </c>
      <c r="O476" s="53" t="s">
        <v>158</v>
      </c>
      <c r="P476" s="52"/>
      <c r="Q476" s="55" t="s">
        <v>2277</v>
      </c>
      <c r="R476" s="55" t="s">
        <v>160</v>
      </c>
      <c r="S476" s="55" t="s">
        <v>161</v>
      </c>
      <c r="T476" s="51" t="s">
        <v>2271</v>
      </c>
      <c r="U476" s="51" t="s">
        <v>2272</v>
      </c>
      <c r="V476" s="51" t="s">
        <v>2278</v>
      </c>
      <c r="W476" s="77" t="s">
        <v>2279</v>
      </c>
      <c r="X476" s="55" t="s">
        <v>2269</v>
      </c>
      <c r="Y476" s="53" t="s">
        <v>2280</v>
      </c>
      <c r="Z476" s="53" t="s">
        <v>2281</v>
      </c>
      <c r="AA476" s="60" t="s">
        <v>500</v>
      </c>
    </row>
    <row r="477" spans="2:27" ht="80.25" hidden="1" customHeight="1">
      <c r="B477" s="51" t="s">
        <v>59</v>
      </c>
      <c r="C477" s="51" t="s">
        <v>2264</v>
      </c>
      <c r="D477" s="51" t="s">
        <v>60</v>
      </c>
      <c r="E477" s="52">
        <v>1</v>
      </c>
      <c r="F477" s="51" t="s">
        <v>167</v>
      </c>
      <c r="G477" s="51" t="s">
        <v>168</v>
      </c>
      <c r="H477" s="54" t="s">
        <v>150</v>
      </c>
      <c r="I477" s="52">
        <v>3</v>
      </c>
      <c r="J477" s="51" t="s">
        <v>123</v>
      </c>
      <c r="K477" s="52">
        <v>4</v>
      </c>
      <c r="L477" s="52"/>
      <c r="M477" s="52"/>
      <c r="N477" s="53" t="s">
        <v>169</v>
      </c>
      <c r="O477" s="53" t="s">
        <v>170</v>
      </c>
      <c r="P477" s="52"/>
      <c r="Q477" s="55" t="s">
        <v>2282</v>
      </c>
      <c r="R477" s="55" t="s">
        <v>160</v>
      </c>
      <c r="S477" s="55" t="s">
        <v>172</v>
      </c>
      <c r="T477" s="51" t="s">
        <v>2271</v>
      </c>
      <c r="U477" s="51" t="s">
        <v>2272</v>
      </c>
      <c r="V477" s="51" t="s">
        <v>2283</v>
      </c>
      <c r="W477" s="77" t="s">
        <v>2284</v>
      </c>
      <c r="X477" s="55" t="s">
        <v>2269</v>
      </c>
      <c r="Y477" s="53" t="s">
        <v>2285</v>
      </c>
      <c r="Z477" s="53" t="s">
        <v>2286</v>
      </c>
      <c r="AA477" s="60" t="s">
        <v>500</v>
      </c>
    </row>
    <row r="478" spans="2:27" ht="80.25" hidden="1" customHeight="1">
      <c r="B478" s="51" t="s">
        <v>59</v>
      </c>
      <c r="C478" s="51" t="s">
        <v>2264</v>
      </c>
      <c r="D478" s="51" t="s">
        <v>60</v>
      </c>
      <c r="E478" s="52">
        <v>1</v>
      </c>
      <c r="F478" s="51" t="s">
        <v>176</v>
      </c>
      <c r="G478" s="51" t="s">
        <v>177</v>
      </c>
      <c r="H478" s="54" t="s">
        <v>150</v>
      </c>
      <c r="I478" s="52">
        <v>6</v>
      </c>
      <c r="J478" s="51" t="s">
        <v>123</v>
      </c>
      <c r="K478" s="52">
        <v>4</v>
      </c>
      <c r="L478" s="52"/>
      <c r="M478" s="52"/>
      <c r="N478" s="72" t="s">
        <v>2287</v>
      </c>
      <c r="O478" s="53" t="s">
        <v>179</v>
      </c>
      <c r="P478" s="52"/>
      <c r="Q478" s="51"/>
      <c r="R478" s="55" t="s">
        <v>203</v>
      </c>
      <c r="S478" s="51" t="s">
        <v>409</v>
      </c>
      <c r="T478" s="55" t="s">
        <v>2265</v>
      </c>
      <c r="U478" s="55" t="s">
        <v>2266</v>
      </c>
      <c r="V478" s="55" t="s">
        <v>369</v>
      </c>
      <c r="W478" s="77" t="s">
        <v>2288</v>
      </c>
      <c r="X478" s="51" t="s">
        <v>2269</v>
      </c>
      <c r="Y478" s="53" t="s">
        <v>372</v>
      </c>
      <c r="Z478" s="53" t="s">
        <v>372</v>
      </c>
      <c r="AA478" s="60" t="s">
        <v>373</v>
      </c>
    </row>
    <row r="479" spans="2:27" ht="80.25" hidden="1" customHeight="1">
      <c r="B479" s="51" t="s">
        <v>59</v>
      </c>
      <c r="C479" s="51" t="s">
        <v>2264</v>
      </c>
      <c r="D479" s="51" t="s">
        <v>60</v>
      </c>
      <c r="E479" s="52">
        <v>1</v>
      </c>
      <c r="F479" s="51" t="s">
        <v>187</v>
      </c>
      <c r="G479" s="51" t="s">
        <v>188</v>
      </c>
      <c r="H479" s="54" t="s">
        <v>150</v>
      </c>
      <c r="I479" s="52">
        <v>7</v>
      </c>
      <c r="J479" s="51" t="s">
        <v>123</v>
      </c>
      <c r="K479" s="52">
        <v>30</v>
      </c>
      <c r="L479" s="52"/>
      <c r="M479" s="52"/>
      <c r="N479" s="53" t="s">
        <v>2289</v>
      </c>
      <c r="O479" s="53" t="s">
        <v>190</v>
      </c>
      <c r="P479" s="52"/>
      <c r="Q479" s="51"/>
      <c r="R479" s="55" t="s">
        <v>203</v>
      </c>
      <c r="S479" s="51" t="s">
        <v>409</v>
      </c>
      <c r="T479" s="51" t="s">
        <v>2271</v>
      </c>
      <c r="U479" s="51" t="s">
        <v>2272</v>
      </c>
      <c r="V479" s="51" t="s">
        <v>2290</v>
      </c>
      <c r="W479" s="77" t="s">
        <v>2291</v>
      </c>
      <c r="X479" s="51" t="s">
        <v>2269</v>
      </c>
      <c r="Y479" s="53" t="s">
        <v>2270</v>
      </c>
      <c r="Z479" s="53" t="s">
        <v>2292</v>
      </c>
      <c r="AA479" s="60" t="s">
        <v>372</v>
      </c>
    </row>
    <row r="480" spans="2:27" ht="80.25" hidden="1" customHeight="1">
      <c r="B480" s="51" t="s">
        <v>59</v>
      </c>
      <c r="C480" s="51" t="s">
        <v>2264</v>
      </c>
      <c r="D480" s="51" t="s">
        <v>60</v>
      </c>
      <c r="E480" s="52">
        <v>1</v>
      </c>
      <c r="F480" s="51" t="s">
        <v>1842</v>
      </c>
      <c r="G480" s="51" t="s">
        <v>1843</v>
      </c>
      <c r="H480" s="54" t="s">
        <v>1157</v>
      </c>
      <c r="I480" s="52">
        <v>8</v>
      </c>
      <c r="J480" s="51" t="s">
        <v>123</v>
      </c>
      <c r="K480" s="52">
        <v>25</v>
      </c>
      <c r="L480" s="52"/>
      <c r="M480" s="52"/>
      <c r="N480" s="53" t="s">
        <v>2293</v>
      </c>
      <c r="O480" s="53" t="s">
        <v>1845</v>
      </c>
      <c r="P480" s="52"/>
      <c r="Q480" s="54"/>
      <c r="R480" s="55" t="s">
        <v>203</v>
      </c>
      <c r="S480" s="51" t="s">
        <v>409</v>
      </c>
      <c r="T480" s="51" t="s">
        <v>2271</v>
      </c>
      <c r="U480" s="51" t="s">
        <v>2272</v>
      </c>
      <c r="V480" s="51" t="s">
        <v>2294</v>
      </c>
      <c r="W480" s="77" t="s">
        <v>2295</v>
      </c>
      <c r="X480" s="51" t="s">
        <v>2269</v>
      </c>
      <c r="Y480" s="53" t="s">
        <v>2270</v>
      </c>
      <c r="Z480" s="53" t="s">
        <v>2294</v>
      </c>
      <c r="AA480" s="60" t="s">
        <v>372</v>
      </c>
    </row>
    <row r="481" spans="2:27" ht="80.25" hidden="1" customHeight="1">
      <c r="B481" s="51" t="s">
        <v>59</v>
      </c>
      <c r="C481" s="51" t="s">
        <v>2264</v>
      </c>
      <c r="D481" s="51" t="s">
        <v>60</v>
      </c>
      <c r="E481" s="52">
        <v>1</v>
      </c>
      <c r="F481" s="51" t="s">
        <v>2296</v>
      </c>
      <c r="G481" s="51" t="s">
        <v>2297</v>
      </c>
      <c r="H481" s="54" t="s">
        <v>1157</v>
      </c>
      <c r="I481" s="52">
        <v>9</v>
      </c>
      <c r="J481" s="51" t="s">
        <v>123</v>
      </c>
      <c r="K481" s="52">
        <v>21</v>
      </c>
      <c r="L481" s="52"/>
      <c r="M481" s="52"/>
      <c r="N481" s="53" t="s">
        <v>2298</v>
      </c>
      <c r="O481" s="53" t="s">
        <v>2299</v>
      </c>
      <c r="P481" s="52"/>
      <c r="Q481" s="51"/>
      <c r="R481" s="55" t="s">
        <v>203</v>
      </c>
      <c r="S481" s="51" t="s">
        <v>409</v>
      </c>
      <c r="T481" s="51" t="s">
        <v>2271</v>
      </c>
      <c r="U481" s="51" t="s">
        <v>2272</v>
      </c>
      <c r="V481" s="51" t="s">
        <v>2300</v>
      </c>
      <c r="W481" s="77" t="s">
        <v>2301</v>
      </c>
      <c r="X481" s="51" t="s">
        <v>2269</v>
      </c>
      <c r="Y481" s="53" t="s">
        <v>2270</v>
      </c>
      <c r="Z481" s="51" t="s">
        <v>2300</v>
      </c>
      <c r="AA481" s="60" t="s">
        <v>372</v>
      </c>
    </row>
    <row r="482" spans="2:27" ht="80.25" hidden="1" customHeight="1">
      <c r="B482" s="51" t="s">
        <v>59</v>
      </c>
      <c r="C482" s="51" t="s">
        <v>2264</v>
      </c>
      <c r="D482" s="51" t="s">
        <v>60</v>
      </c>
      <c r="E482" s="52">
        <v>1</v>
      </c>
      <c r="F482" s="51" t="s">
        <v>2302</v>
      </c>
      <c r="G482" s="51" t="s">
        <v>2303</v>
      </c>
      <c r="H482" s="54" t="s">
        <v>2304</v>
      </c>
      <c r="I482" s="52">
        <v>10</v>
      </c>
      <c r="J482" s="51" t="s">
        <v>123</v>
      </c>
      <c r="K482" s="52">
        <v>4</v>
      </c>
      <c r="L482" s="52"/>
      <c r="M482" s="52"/>
      <c r="N482" s="53" t="s">
        <v>2305</v>
      </c>
      <c r="O482" s="53" t="s">
        <v>2306</v>
      </c>
      <c r="P482" s="52"/>
      <c r="Q482" s="55" t="s">
        <v>2307</v>
      </c>
      <c r="R482" s="53"/>
      <c r="S482" s="54"/>
      <c r="T482" s="51" t="s">
        <v>2271</v>
      </c>
      <c r="U482" s="51" t="s">
        <v>2272</v>
      </c>
      <c r="V482" s="51" t="s">
        <v>2308</v>
      </c>
      <c r="W482" s="77" t="s">
        <v>2309</v>
      </c>
      <c r="X482" s="51" t="s">
        <v>2269</v>
      </c>
      <c r="Y482" s="53" t="s">
        <v>2270</v>
      </c>
      <c r="Z482" s="51" t="s">
        <v>2308</v>
      </c>
      <c r="AA482" s="60" t="s">
        <v>372</v>
      </c>
    </row>
    <row r="483" spans="2:27" ht="80.25" hidden="1" customHeight="1">
      <c r="B483" s="51" t="s">
        <v>59</v>
      </c>
      <c r="C483" s="51" t="s">
        <v>2264</v>
      </c>
      <c r="D483" s="51" t="s">
        <v>60</v>
      </c>
      <c r="E483" s="52">
        <v>1</v>
      </c>
      <c r="F483" s="51" t="s">
        <v>2310</v>
      </c>
      <c r="G483" s="51" t="s">
        <v>2311</v>
      </c>
      <c r="H483" s="54" t="s">
        <v>150</v>
      </c>
      <c r="I483" s="52">
        <v>11</v>
      </c>
      <c r="J483" s="51" t="s">
        <v>123</v>
      </c>
      <c r="K483" s="52">
        <v>4</v>
      </c>
      <c r="L483" s="52"/>
      <c r="M483" s="52"/>
      <c r="N483" s="53" t="s">
        <v>2312</v>
      </c>
      <c r="O483" s="53" t="s">
        <v>2313</v>
      </c>
      <c r="P483" s="52"/>
      <c r="Q483" s="55" t="s">
        <v>2314</v>
      </c>
      <c r="R483" s="53"/>
      <c r="S483" s="54"/>
      <c r="T483" s="51" t="s">
        <v>2271</v>
      </c>
      <c r="U483" s="51" t="s">
        <v>2272</v>
      </c>
      <c r="V483" s="51" t="s">
        <v>2315</v>
      </c>
      <c r="W483" s="77" t="s">
        <v>2316</v>
      </c>
      <c r="X483" s="51" t="s">
        <v>2269</v>
      </c>
      <c r="Y483" s="53" t="s">
        <v>2270</v>
      </c>
      <c r="Z483" s="51" t="s">
        <v>2315</v>
      </c>
      <c r="AA483" s="60" t="s">
        <v>372</v>
      </c>
    </row>
    <row r="484" spans="2:27" ht="80.25" hidden="1" customHeight="1">
      <c r="B484" s="51" t="s">
        <v>59</v>
      </c>
      <c r="C484" s="51" t="s">
        <v>2264</v>
      </c>
      <c r="D484" s="51" t="s">
        <v>60</v>
      </c>
      <c r="E484" s="52">
        <v>1</v>
      </c>
      <c r="F484" s="51" t="s">
        <v>2317</v>
      </c>
      <c r="G484" s="51" t="s">
        <v>2318</v>
      </c>
      <c r="H484" s="54" t="s">
        <v>1157</v>
      </c>
      <c r="I484" s="52">
        <v>12</v>
      </c>
      <c r="J484" s="51" t="s">
        <v>123</v>
      </c>
      <c r="K484" s="52">
        <v>17</v>
      </c>
      <c r="L484" s="52"/>
      <c r="M484" s="52"/>
      <c r="N484" s="53" t="s">
        <v>2319</v>
      </c>
      <c r="O484" s="53" t="s">
        <v>2320</v>
      </c>
      <c r="P484" s="52"/>
      <c r="Q484" s="51"/>
      <c r="R484" s="55" t="s">
        <v>203</v>
      </c>
      <c r="S484" s="51" t="s">
        <v>409</v>
      </c>
      <c r="T484" s="51" t="s">
        <v>2271</v>
      </c>
      <c r="U484" s="51" t="s">
        <v>2272</v>
      </c>
      <c r="V484" s="51" t="s">
        <v>2321</v>
      </c>
      <c r="W484" s="367" t="s">
        <v>2322</v>
      </c>
      <c r="X484" s="51" t="s">
        <v>2269</v>
      </c>
      <c r="Y484" s="53" t="s">
        <v>2270</v>
      </c>
      <c r="Z484" s="51" t="s">
        <v>2321</v>
      </c>
      <c r="AA484" s="60" t="s">
        <v>372</v>
      </c>
    </row>
    <row r="485" spans="2:27" ht="80.25" hidden="1" customHeight="1">
      <c r="B485" s="51" t="s">
        <v>59</v>
      </c>
      <c r="C485" s="51" t="s">
        <v>2264</v>
      </c>
      <c r="D485" s="51" t="s">
        <v>60</v>
      </c>
      <c r="E485" s="52">
        <v>1</v>
      </c>
      <c r="F485" s="51" t="s">
        <v>198</v>
      </c>
      <c r="G485" s="51" t="s">
        <v>199</v>
      </c>
      <c r="H485" s="54" t="s">
        <v>200</v>
      </c>
      <c r="I485" s="52">
        <v>13</v>
      </c>
      <c r="J485" s="51" t="s">
        <v>123</v>
      </c>
      <c r="K485" s="52">
        <v>10</v>
      </c>
      <c r="L485" s="52"/>
      <c r="M485" s="52"/>
      <c r="N485" s="53" t="s">
        <v>201</v>
      </c>
      <c r="O485" s="53" t="s">
        <v>202</v>
      </c>
      <c r="P485" s="52"/>
      <c r="Q485" s="51"/>
      <c r="R485" s="55" t="s">
        <v>203</v>
      </c>
      <c r="S485" s="51" t="s">
        <v>198</v>
      </c>
      <c r="T485" s="51" t="s">
        <v>2271</v>
      </c>
      <c r="U485" s="51" t="s">
        <v>2272</v>
      </c>
      <c r="V485" s="51" t="s">
        <v>2323</v>
      </c>
      <c r="W485" s="77" t="s">
        <v>2324</v>
      </c>
      <c r="X485" s="51" t="s">
        <v>2269</v>
      </c>
      <c r="Y485" s="53" t="s">
        <v>2270</v>
      </c>
      <c r="Z485" s="53" t="s">
        <v>2323</v>
      </c>
      <c r="AA485" s="60" t="s">
        <v>372</v>
      </c>
    </row>
    <row r="486" spans="2:27" ht="80.25" hidden="1" customHeight="1">
      <c r="B486" s="51" t="s">
        <v>59</v>
      </c>
      <c r="C486" s="51" t="s">
        <v>2264</v>
      </c>
      <c r="D486" s="51" t="s">
        <v>60</v>
      </c>
      <c r="E486" s="52">
        <v>1</v>
      </c>
      <c r="F486" s="51" t="s">
        <v>210</v>
      </c>
      <c r="G486" s="51" t="s">
        <v>211</v>
      </c>
      <c r="H486" s="54" t="s">
        <v>200</v>
      </c>
      <c r="I486" s="52">
        <v>14</v>
      </c>
      <c r="J486" s="51" t="s">
        <v>123</v>
      </c>
      <c r="K486" s="52">
        <v>10</v>
      </c>
      <c r="L486" s="52"/>
      <c r="M486" s="52"/>
      <c r="N486" s="53" t="s">
        <v>212</v>
      </c>
      <c r="O486" s="53" t="s">
        <v>213</v>
      </c>
      <c r="P486" s="52"/>
      <c r="Q486" s="51"/>
      <c r="R486" s="55" t="s">
        <v>214</v>
      </c>
      <c r="S486" s="51" t="s">
        <v>210</v>
      </c>
      <c r="T486" s="51" t="s">
        <v>2271</v>
      </c>
      <c r="U486" s="51" t="s">
        <v>2272</v>
      </c>
      <c r="V486" s="51" t="s">
        <v>2325</v>
      </c>
      <c r="W486" s="367" t="s">
        <v>2326</v>
      </c>
      <c r="X486" s="51" t="s">
        <v>2269</v>
      </c>
      <c r="Y486" s="53" t="s">
        <v>2270</v>
      </c>
      <c r="Z486" s="53" t="s">
        <v>2325</v>
      </c>
      <c r="AA486" s="60" t="s">
        <v>372</v>
      </c>
    </row>
    <row r="487" spans="2:27" ht="80.25" hidden="1" customHeight="1">
      <c r="B487" s="51" t="s">
        <v>59</v>
      </c>
      <c r="C487" s="51" t="s">
        <v>2264</v>
      </c>
      <c r="D487" s="51" t="s">
        <v>60</v>
      </c>
      <c r="E487" s="52">
        <v>1</v>
      </c>
      <c r="F487" s="51" t="s">
        <v>222</v>
      </c>
      <c r="G487" s="51" t="s">
        <v>223</v>
      </c>
      <c r="H487" s="54" t="s">
        <v>224</v>
      </c>
      <c r="I487" s="52">
        <v>15</v>
      </c>
      <c r="J487" s="51" t="s">
        <v>123</v>
      </c>
      <c r="K487" s="52">
        <v>4</v>
      </c>
      <c r="L487" s="52"/>
      <c r="M487" s="52"/>
      <c r="N487" s="53" t="s">
        <v>225</v>
      </c>
      <c r="O487" s="53" t="s">
        <v>226</v>
      </c>
      <c r="P487" s="52"/>
      <c r="Q487" s="55" t="s">
        <v>1277</v>
      </c>
      <c r="R487" s="55" t="s">
        <v>654</v>
      </c>
      <c r="S487" s="55" t="s">
        <v>229</v>
      </c>
      <c r="T487" s="51" t="s">
        <v>2271</v>
      </c>
      <c r="U487" s="51" t="s">
        <v>2272</v>
      </c>
      <c r="V487" s="51" t="s">
        <v>2327</v>
      </c>
      <c r="W487" s="77" t="s">
        <v>2328</v>
      </c>
      <c r="X487" s="51" t="s">
        <v>2269</v>
      </c>
      <c r="Y487" s="53" t="s">
        <v>2329</v>
      </c>
      <c r="Z487" s="53" t="s">
        <v>2330</v>
      </c>
      <c r="AA487" s="60" t="s">
        <v>372</v>
      </c>
    </row>
    <row r="488" spans="2:27" ht="80.25" hidden="1" customHeight="1">
      <c r="B488" s="51" t="s">
        <v>59</v>
      </c>
      <c r="C488" s="51" t="s">
        <v>2264</v>
      </c>
      <c r="D488" s="51" t="s">
        <v>60</v>
      </c>
      <c r="E488" s="52">
        <v>1</v>
      </c>
      <c r="F488" s="51" t="s">
        <v>238</v>
      </c>
      <c r="G488" s="51" t="s">
        <v>239</v>
      </c>
      <c r="H488" s="54" t="s">
        <v>240</v>
      </c>
      <c r="I488" s="52">
        <v>16</v>
      </c>
      <c r="J488" s="51" t="s">
        <v>123</v>
      </c>
      <c r="K488" s="52">
        <v>4</v>
      </c>
      <c r="L488" s="52"/>
      <c r="M488" s="52"/>
      <c r="N488" s="53" t="s">
        <v>241</v>
      </c>
      <c r="O488" s="53" t="s">
        <v>242</v>
      </c>
      <c r="P488" s="52"/>
      <c r="Q488" s="54"/>
      <c r="R488" s="63"/>
      <c r="S488" s="61"/>
      <c r="T488" s="51" t="s">
        <v>2271</v>
      </c>
      <c r="U488" s="51" t="s">
        <v>2272</v>
      </c>
      <c r="V488" s="61" t="s">
        <v>372</v>
      </c>
      <c r="W488" s="77" t="s">
        <v>2331</v>
      </c>
      <c r="X488" s="51" t="s">
        <v>2269</v>
      </c>
      <c r="Y488" s="53" t="s">
        <v>2270</v>
      </c>
      <c r="Z488" s="53" t="s">
        <v>2332</v>
      </c>
      <c r="AA488" s="60" t="s">
        <v>372</v>
      </c>
    </row>
    <row r="489" spans="2:27" ht="80.25" hidden="1" customHeight="1">
      <c r="B489" s="51" t="s">
        <v>59</v>
      </c>
      <c r="C489" s="51" t="s">
        <v>2264</v>
      </c>
      <c r="D489" s="51" t="s">
        <v>60</v>
      </c>
      <c r="E489" s="52">
        <v>1</v>
      </c>
      <c r="F489" s="51" t="s">
        <v>2333</v>
      </c>
      <c r="G489" s="51" t="s">
        <v>2334</v>
      </c>
      <c r="H489" s="54" t="s">
        <v>249</v>
      </c>
      <c r="I489" s="52">
        <v>17</v>
      </c>
      <c r="J489" s="51" t="s">
        <v>471</v>
      </c>
      <c r="K489" s="52"/>
      <c r="L489" s="52"/>
      <c r="M489" s="52"/>
      <c r="N489" s="53" t="s">
        <v>2335</v>
      </c>
      <c r="O489" s="53" t="s">
        <v>2336</v>
      </c>
      <c r="P489" s="52"/>
      <c r="Q489" s="54"/>
      <c r="R489" s="55" t="s">
        <v>722</v>
      </c>
      <c r="S489" s="51" t="s">
        <v>2337</v>
      </c>
      <c r="T489" s="51" t="s">
        <v>2271</v>
      </c>
      <c r="U489" s="51" t="s">
        <v>2272</v>
      </c>
      <c r="V489" s="51" t="s">
        <v>2338</v>
      </c>
      <c r="W489" s="77" t="s">
        <v>2339</v>
      </c>
      <c r="X489" s="51" t="s">
        <v>2269</v>
      </c>
      <c r="Y489" s="53" t="s">
        <v>2340</v>
      </c>
      <c r="Z489" s="53" t="s">
        <v>2338</v>
      </c>
      <c r="AA489" s="60" t="s">
        <v>372</v>
      </c>
    </row>
    <row r="490" spans="2:27" ht="80.25" hidden="1" customHeight="1">
      <c r="B490" s="51" t="s">
        <v>59</v>
      </c>
      <c r="C490" s="51" t="s">
        <v>2264</v>
      </c>
      <c r="D490" s="51" t="s">
        <v>60</v>
      </c>
      <c r="E490" s="52">
        <v>1</v>
      </c>
      <c r="F490" s="51" t="s">
        <v>247</v>
      </c>
      <c r="G490" s="51" t="s">
        <v>248</v>
      </c>
      <c r="H490" s="51" t="s">
        <v>249</v>
      </c>
      <c r="I490" s="52">
        <v>18</v>
      </c>
      <c r="J490" s="51" t="s">
        <v>250</v>
      </c>
      <c r="K490" s="52">
        <v>23</v>
      </c>
      <c r="L490" s="52">
        <v>6</v>
      </c>
      <c r="M490" s="52"/>
      <c r="N490" s="53" t="s">
        <v>2341</v>
      </c>
      <c r="O490" s="53" t="s">
        <v>252</v>
      </c>
      <c r="P490" s="52"/>
      <c r="Q490" s="54"/>
      <c r="R490" s="55" t="s">
        <v>203</v>
      </c>
      <c r="S490" s="51" t="s">
        <v>253</v>
      </c>
      <c r="T490" s="51" t="s">
        <v>2271</v>
      </c>
      <c r="U490" s="51" t="s">
        <v>2272</v>
      </c>
      <c r="V490" s="51" t="s">
        <v>2342</v>
      </c>
      <c r="W490" s="77" t="s">
        <v>2343</v>
      </c>
      <c r="X490" s="51" t="s">
        <v>2269</v>
      </c>
      <c r="Y490" s="53" t="s">
        <v>2270</v>
      </c>
      <c r="Z490" s="65" t="s">
        <v>2342</v>
      </c>
      <c r="AA490" s="60" t="s">
        <v>372</v>
      </c>
    </row>
    <row r="491" spans="2:27" ht="80.25" hidden="1" customHeight="1">
      <c r="B491" s="51" t="s">
        <v>59</v>
      </c>
      <c r="C491" s="51" t="s">
        <v>2264</v>
      </c>
      <c r="D491" s="51" t="s">
        <v>60</v>
      </c>
      <c r="E491" s="52">
        <v>1</v>
      </c>
      <c r="F491" s="51" t="s">
        <v>260</v>
      </c>
      <c r="G491" s="51" t="s">
        <v>261</v>
      </c>
      <c r="H491" s="51" t="s">
        <v>249</v>
      </c>
      <c r="I491" s="52">
        <v>19</v>
      </c>
      <c r="J491" s="51" t="s">
        <v>250</v>
      </c>
      <c r="K491" s="52">
        <v>23</v>
      </c>
      <c r="L491" s="52">
        <v>6</v>
      </c>
      <c r="M491" s="52"/>
      <c r="N491" s="53" t="s">
        <v>2344</v>
      </c>
      <c r="O491" s="53" t="s">
        <v>263</v>
      </c>
      <c r="P491" s="52"/>
      <c r="Q491" s="54"/>
      <c r="R491" s="55"/>
      <c r="S491" s="51"/>
      <c r="T491" s="51" t="s">
        <v>2271</v>
      </c>
      <c r="U491" s="51" t="s">
        <v>2272</v>
      </c>
      <c r="V491" s="51" t="s">
        <v>2342</v>
      </c>
      <c r="W491" s="77" t="s">
        <v>2343</v>
      </c>
      <c r="X491" s="51" t="s">
        <v>2269</v>
      </c>
      <c r="Y491" s="53" t="s">
        <v>2270</v>
      </c>
      <c r="Z491" s="65" t="s">
        <v>2342</v>
      </c>
      <c r="AA491" s="60" t="s">
        <v>372</v>
      </c>
    </row>
    <row r="492" spans="2:27" ht="80.25" hidden="1" customHeight="1">
      <c r="B492" s="51" t="s">
        <v>59</v>
      </c>
      <c r="C492" s="51" t="s">
        <v>2264</v>
      </c>
      <c r="D492" s="51" t="s">
        <v>60</v>
      </c>
      <c r="E492" s="52">
        <v>1</v>
      </c>
      <c r="F492" s="51" t="s">
        <v>2345</v>
      </c>
      <c r="G492" s="51" t="s">
        <v>2346</v>
      </c>
      <c r="H492" s="54" t="s">
        <v>249</v>
      </c>
      <c r="I492" s="52">
        <v>20</v>
      </c>
      <c r="J492" s="51" t="s">
        <v>250</v>
      </c>
      <c r="K492" s="52">
        <v>23</v>
      </c>
      <c r="L492" s="52">
        <v>6</v>
      </c>
      <c r="M492" s="52"/>
      <c r="N492" s="53" t="s">
        <v>2347</v>
      </c>
      <c r="O492" s="53" t="s">
        <v>2348</v>
      </c>
      <c r="P492" s="52"/>
      <c r="Q492" s="51"/>
      <c r="R492" s="55"/>
      <c r="S492" s="51"/>
      <c r="T492" s="51" t="s">
        <v>2271</v>
      </c>
      <c r="U492" s="51" t="s">
        <v>2272</v>
      </c>
      <c r="V492" s="51" t="s">
        <v>2349</v>
      </c>
      <c r="W492" s="77" t="s">
        <v>2350</v>
      </c>
      <c r="X492" s="51" t="s">
        <v>2269</v>
      </c>
      <c r="Y492" s="53" t="s">
        <v>2270</v>
      </c>
      <c r="Z492" s="53" t="s">
        <v>2351</v>
      </c>
      <c r="AA492" s="60" t="s">
        <v>372</v>
      </c>
    </row>
    <row r="493" spans="2:27" ht="80.25" hidden="1" customHeight="1">
      <c r="B493" s="51" t="s">
        <v>59</v>
      </c>
      <c r="C493" s="51" t="s">
        <v>2264</v>
      </c>
      <c r="D493" s="51" t="s">
        <v>60</v>
      </c>
      <c r="E493" s="52">
        <v>1</v>
      </c>
      <c r="F493" s="51" t="s">
        <v>964</v>
      </c>
      <c r="G493" s="51" t="s">
        <v>2352</v>
      </c>
      <c r="H493" s="54" t="s">
        <v>249</v>
      </c>
      <c r="I493" s="52">
        <v>21</v>
      </c>
      <c r="J493" s="51" t="s">
        <v>250</v>
      </c>
      <c r="K493" s="52">
        <v>23</v>
      </c>
      <c r="L493" s="52">
        <v>6</v>
      </c>
      <c r="M493" s="52"/>
      <c r="N493" s="53" t="s">
        <v>2353</v>
      </c>
      <c r="O493" s="53" t="s">
        <v>2354</v>
      </c>
      <c r="P493" s="52"/>
      <c r="Q493" s="51"/>
      <c r="R493" s="55"/>
      <c r="S493" s="51"/>
      <c r="T493" s="51" t="s">
        <v>2271</v>
      </c>
      <c r="U493" s="51" t="s">
        <v>2272</v>
      </c>
      <c r="V493" s="51" t="s">
        <v>2355</v>
      </c>
      <c r="W493" s="77" t="s">
        <v>2356</v>
      </c>
      <c r="X493" s="51" t="s">
        <v>2269</v>
      </c>
      <c r="Y493" s="53" t="s">
        <v>2270</v>
      </c>
      <c r="Z493" s="53" t="s">
        <v>2357</v>
      </c>
      <c r="AA493" s="60" t="s">
        <v>372</v>
      </c>
    </row>
    <row r="494" spans="2:27" ht="80.25" hidden="1" customHeight="1">
      <c r="B494" s="51" t="s">
        <v>59</v>
      </c>
      <c r="C494" s="51" t="s">
        <v>2264</v>
      </c>
      <c r="D494" s="51" t="s">
        <v>60</v>
      </c>
      <c r="E494" s="52">
        <v>1</v>
      </c>
      <c r="F494" s="51" t="s">
        <v>879</v>
      </c>
      <c r="G494" s="51" t="s">
        <v>880</v>
      </c>
      <c r="H494" s="51" t="s">
        <v>249</v>
      </c>
      <c r="I494" s="52">
        <v>22</v>
      </c>
      <c r="J494" s="51" t="s">
        <v>250</v>
      </c>
      <c r="K494" s="52">
        <v>23</v>
      </c>
      <c r="L494" s="52">
        <v>6</v>
      </c>
      <c r="M494" s="52"/>
      <c r="N494" s="53" t="s">
        <v>2358</v>
      </c>
      <c r="O494" s="53" t="s">
        <v>882</v>
      </c>
      <c r="P494" s="52"/>
      <c r="Q494" s="54"/>
      <c r="R494" s="53"/>
      <c r="S494" s="54"/>
      <c r="T494" s="51" t="s">
        <v>2271</v>
      </c>
      <c r="U494" s="51" t="s">
        <v>2272</v>
      </c>
      <c r="V494" s="51" t="s">
        <v>2359</v>
      </c>
      <c r="W494" s="77" t="s">
        <v>2360</v>
      </c>
      <c r="X494" s="51" t="s">
        <v>2269</v>
      </c>
      <c r="Y494" s="53" t="s">
        <v>2329</v>
      </c>
      <c r="Z494" s="53" t="s">
        <v>2361</v>
      </c>
      <c r="AA494" s="60" t="s">
        <v>372</v>
      </c>
    </row>
    <row r="495" spans="2:27" ht="80.25" hidden="1" customHeight="1">
      <c r="B495" s="51" t="s">
        <v>59</v>
      </c>
      <c r="C495" s="51" t="s">
        <v>2264</v>
      </c>
      <c r="D495" s="51" t="s">
        <v>60</v>
      </c>
      <c r="E495" s="52">
        <v>1</v>
      </c>
      <c r="F495" s="51" t="s">
        <v>648</v>
      </c>
      <c r="G495" s="51" t="s">
        <v>649</v>
      </c>
      <c r="H495" s="51" t="s">
        <v>249</v>
      </c>
      <c r="I495" s="52">
        <v>23</v>
      </c>
      <c r="J495" s="51" t="s">
        <v>250</v>
      </c>
      <c r="K495" s="52">
        <v>23</v>
      </c>
      <c r="L495" s="52">
        <v>6</v>
      </c>
      <c r="M495" s="52"/>
      <c r="N495" s="53" t="s">
        <v>650</v>
      </c>
      <c r="O495" s="53" t="s">
        <v>651</v>
      </c>
      <c r="P495" s="52"/>
      <c r="Q495" s="54"/>
      <c r="R495" s="53" t="s">
        <v>685</v>
      </c>
      <c r="S495" s="53" t="s">
        <v>2362</v>
      </c>
      <c r="T495" s="51" t="s">
        <v>2271</v>
      </c>
      <c r="U495" s="51" t="s">
        <v>2272</v>
      </c>
      <c r="V495" s="51" t="s">
        <v>2363</v>
      </c>
      <c r="W495" s="77" t="s">
        <v>2364</v>
      </c>
      <c r="X495" s="51" t="s">
        <v>2269</v>
      </c>
      <c r="Y495" s="53" t="s">
        <v>2365</v>
      </c>
      <c r="Z495" s="62" t="s">
        <v>2363</v>
      </c>
      <c r="AA495" s="60" t="s">
        <v>372</v>
      </c>
    </row>
    <row r="496" spans="2:27" ht="80.25" hidden="1" customHeight="1">
      <c r="B496" s="51" t="s">
        <v>59</v>
      </c>
      <c r="C496" s="51" t="s">
        <v>2264</v>
      </c>
      <c r="D496" s="51" t="s">
        <v>60</v>
      </c>
      <c r="E496" s="52">
        <v>1</v>
      </c>
      <c r="F496" s="51" t="s">
        <v>271</v>
      </c>
      <c r="G496" s="51" t="s">
        <v>272</v>
      </c>
      <c r="H496" s="51" t="s">
        <v>249</v>
      </c>
      <c r="I496" s="52">
        <v>24</v>
      </c>
      <c r="J496" s="51" t="s">
        <v>250</v>
      </c>
      <c r="K496" s="52">
        <v>23</v>
      </c>
      <c r="L496" s="52">
        <v>6</v>
      </c>
      <c r="M496" s="52"/>
      <c r="N496" s="53" t="s">
        <v>273</v>
      </c>
      <c r="O496" s="53" t="s">
        <v>274</v>
      </c>
      <c r="P496" s="52"/>
      <c r="Q496" s="54"/>
      <c r="R496" s="53" t="s">
        <v>275</v>
      </c>
      <c r="S496" s="54" t="s">
        <v>276</v>
      </c>
      <c r="T496" s="51" t="s">
        <v>2271</v>
      </c>
      <c r="U496" s="51" t="s">
        <v>2272</v>
      </c>
      <c r="V496" s="51" t="s">
        <v>2366</v>
      </c>
      <c r="W496" s="77" t="s">
        <v>2367</v>
      </c>
      <c r="X496" s="51" t="s">
        <v>2269</v>
      </c>
      <c r="Y496" s="53" t="s">
        <v>2368</v>
      </c>
      <c r="Z496" s="53" t="s">
        <v>2369</v>
      </c>
      <c r="AA496" s="60" t="s">
        <v>372</v>
      </c>
    </row>
    <row r="497" spans="2:27" ht="80.25" hidden="1" customHeight="1">
      <c r="B497" s="51" t="s">
        <v>59</v>
      </c>
      <c r="C497" s="51" t="s">
        <v>2264</v>
      </c>
      <c r="D497" s="51" t="s">
        <v>60</v>
      </c>
      <c r="E497" s="52">
        <v>1</v>
      </c>
      <c r="F497" s="51" t="s">
        <v>2370</v>
      </c>
      <c r="G497" s="51" t="s">
        <v>2371</v>
      </c>
      <c r="H497" s="51" t="s">
        <v>249</v>
      </c>
      <c r="I497" s="52">
        <v>25</v>
      </c>
      <c r="J497" s="51" t="s">
        <v>250</v>
      </c>
      <c r="K497" s="52">
        <v>23</v>
      </c>
      <c r="L497" s="52">
        <v>6</v>
      </c>
      <c r="M497" s="52"/>
      <c r="N497" s="53" t="s">
        <v>2372</v>
      </c>
      <c r="O497" s="53" t="s">
        <v>2373</v>
      </c>
      <c r="P497" s="52"/>
      <c r="Q497" s="54"/>
      <c r="R497" s="53"/>
      <c r="S497" s="54"/>
      <c r="T497" s="51" t="s">
        <v>2271</v>
      </c>
      <c r="U497" s="51" t="s">
        <v>2272</v>
      </c>
      <c r="V497" s="51" t="s">
        <v>2374</v>
      </c>
      <c r="W497" s="77" t="s">
        <v>2375</v>
      </c>
      <c r="X497" s="51" t="s">
        <v>2269</v>
      </c>
      <c r="Y497" s="53" t="s">
        <v>2368</v>
      </c>
      <c r="Z497" s="53" t="s">
        <v>2374</v>
      </c>
      <c r="AA497" s="60" t="s">
        <v>372</v>
      </c>
    </row>
    <row r="498" spans="2:27" ht="80.25" hidden="1" customHeight="1">
      <c r="B498" s="51" t="s">
        <v>59</v>
      </c>
      <c r="C498" s="51" t="s">
        <v>2264</v>
      </c>
      <c r="D498" s="51" t="s">
        <v>60</v>
      </c>
      <c r="E498" s="52">
        <v>1</v>
      </c>
      <c r="F498" s="51" t="s">
        <v>2376</v>
      </c>
      <c r="G498" s="51" t="s">
        <v>2377</v>
      </c>
      <c r="H498" s="51" t="s">
        <v>249</v>
      </c>
      <c r="I498" s="52">
        <v>26</v>
      </c>
      <c r="J498" s="51" t="s">
        <v>250</v>
      </c>
      <c r="K498" s="52">
        <v>23</v>
      </c>
      <c r="L498" s="52">
        <v>6</v>
      </c>
      <c r="M498" s="52"/>
      <c r="N498" s="53" t="s">
        <v>2378</v>
      </c>
      <c r="O498" s="53" t="s">
        <v>2379</v>
      </c>
      <c r="P498" s="52"/>
      <c r="Q498" s="54"/>
      <c r="R498" s="53"/>
      <c r="S498" s="54"/>
      <c r="T498" s="51" t="s">
        <v>2271</v>
      </c>
      <c r="U498" s="51" t="s">
        <v>2272</v>
      </c>
      <c r="V498" s="51" t="s">
        <v>2380</v>
      </c>
      <c r="W498" s="77" t="s">
        <v>2381</v>
      </c>
      <c r="X498" s="51" t="s">
        <v>2269</v>
      </c>
      <c r="Y498" s="53" t="s">
        <v>2368</v>
      </c>
      <c r="Z498" s="53" t="s">
        <v>2382</v>
      </c>
      <c r="AA498" s="60" t="s">
        <v>372</v>
      </c>
    </row>
    <row r="499" spans="2:27" ht="80.25" hidden="1" customHeight="1">
      <c r="B499" s="51" t="s">
        <v>59</v>
      </c>
      <c r="C499" s="51" t="s">
        <v>2264</v>
      </c>
      <c r="D499" s="51" t="s">
        <v>60</v>
      </c>
      <c r="E499" s="52">
        <v>1</v>
      </c>
      <c r="F499" s="51" t="s">
        <v>2383</v>
      </c>
      <c r="G499" s="51" t="s">
        <v>2384</v>
      </c>
      <c r="H499" s="51" t="s">
        <v>249</v>
      </c>
      <c r="I499" s="52">
        <v>27</v>
      </c>
      <c r="J499" s="51" t="s">
        <v>250</v>
      </c>
      <c r="K499" s="52">
        <v>23</v>
      </c>
      <c r="L499" s="52">
        <v>6</v>
      </c>
      <c r="M499" s="52"/>
      <c r="N499" s="53" t="s">
        <v>2385</v>
      </c>
      <c r="O499" s="53" t="s">
        <v>2386</v>
      </c>
      <c r="P499" s="52"/>
      <c r="Q499" s="54"/>
      <c r="R499" s="53"/>
      <c r="S499" s="54"/>
      <c r="T499" s="51" t="s">
        <v>2271</v>
      </c>
      <c r="U499" s="51" t="s">
        <v>2272</v>
      </c>
      <c r="V499" s="51" t="s">
        <v>2387</v>
      </c>
      <c r="W499" s="77" t="s">
        <v>2388</v>
      </c>
      <c r="X499" s="51" t="s">
        <v>2269</v>
      </c>
      <c r="Y499" s="53" t="s">
        <v>2368</v>
      </c>
      <c r="Z499" s="53" t="s">
        <v>2387</v>
      </c>
      <c r="AA499" s="60" t="s">
        <v>372</v>
      </c>
    </row>
    <row r="500" spans="2:27" ht="80.25" hidden="1" customHeight="1">
      <c r="B500" s="51" t="s">
        <v>59</v>
      </c>
      <c r="C500" s="51" t="s">
        <v>2264</v>
      </c>
      <c r="D500" s="51" t="s">
        <v>60</v>
      </c>
      <c r="E500" s="52">
        <v>1</v>
      </c>
      <c r="F500" s="51" t="s">
        <v>282</v>
      </c>
      <c r="G500" s="51" t="s">
        <v>283</v>
      </c>
      <c r="H500" s="51" t="s">
        <v>249</v>
      </c>
      <c r="I500" s="52">
        <v>28</v>
      </c>
      <c r="J500" s="51" t="s">
        <v>250</v>
      </c>
      <c r="K500" s="52">
        <v>23</v>
      </c>
      <c r="L500" s="52">
        <v>6</v>
      </c>
      <c r="M500" s="52"/>
      <c r="N500" s="53" t="s">
        <v>284</v>
      </c>
      <c r="O500" s="53" t="s">
        <v>285</v>
      </c>
      <c r="P500" s="52"/>
      <c r="Q500" s="54"/>
      <c r="R500" s="63"/>
      <c r="S500" s="61"/>
      <c r="T500" s="51" t="s">
        <v>2271</v>
      </c>
      <c r="U500" s="51" t="s">
        <v>2272</v>
      </c>
      <c r="V500" s="61" t="s">
        <v>2366</v>
      </c>
      <c r="W500" s="77" t="s">
        <v>2389</v>
      </c>
      <c r="X500" s="51" t="s">
        <v>2269</v>
      </c>
      <c r="Y500" s="53" t="s">
        <v>2368</v>
      </c>
      <c r="Z500" s="53" t="s">
        <v>2369</v>
      </c>
      <c r="AA500" s="60" t="s">
        <v>372</v>
      </c>
    </row>
    <row r="501" spans="2:27" ht="80.25" hidden="1" customHeight="1">
      <c r="B501" s="51" t="s">
        <v>59</v>
      </c>
      <c r="C501" s="51" t="s">
        <v>2264</v>
      </c>
      <c r="D501" s="51" t="s">
        <v>60</v>
      </c>
      <c r="E501" s="52">
        <v>1</v>
      </c>
      <c r="F501" s="51" t="s">
        <v>2390</v>
      </c>
      <c r="G501" s="51" t="s">
        <v>2391</v>
      </c>
      <c r="H501" s="51" t="s">
        <v>249</v>
      </c>
      <c r="I501" s="52">
        <v>29</v>
      </c>
      <c r="J501" s="51" t="s">
        <v>250</v>
      </c>
      <c r="K501" s="52">
        <v>23</v>
      </c>
      <c r="L501" s="52">
        <v>6</v>
      </c>
      <c r="M501" s="52"/>
      <c r="N501" s="53" t="s">
        <v>2392</v>
      </c>
      <c r="O501" s="53" t="s">
        <v>2393</v>
      </c>
      <c r="P501" s="52"/>
      <c r="Q501" s="51"/>
      <c r="R501" s="53"/>
      <c r="S501" s="54"/>
      <c r="T501" s="51" t="s">
        <v>2271</v>
      </c>
      <c r="U501" s="51" t="s">
        <v>2272</v>
      </c>
      <c r="V501" s="51" t="s">
        <v>2394</v>
      </c>
      <c r="W501" s="77" t="s">
        <v>2395</v>
      </c>
      <c r="X501" s="51" t="s">
        <v>2269</v>
      </c>
      <c r="Y501" s="53" t="s">
        <v>2396</v>
      </c>
      <c r="Z501" s="51" t="s">
        <v>2397</v>
      </c>
      <c r="AA501" s="60" t="s">
        <v>372</v>
      </c>
    </row>
    <row r="502" spans="2:27" ht="80.25" hidden="1" customHeight="1">
      <c r="B502" s="51" t="s">
        <v>59</v>
      </c>
      <c r="C502" s="51" t="s">
        <v>2264</v>
      </c>
      <c r="D502" s="51" t="s">
        <v>60</v>
      </c>
      <c r="E502" s="52">
        <v>1</v>
      </c>
      <c r="F502" s="51" t="s">
        <v>2398</v>
      </c>
      <c r="G502" s="51" t="s">
        <v>2399</v>
      </c>
      <c r="H502" s="51" t="s">
        <v>249</v>
      </c>
      <c r="I502" s="52">
        <v>30</v>
      </c>
      <c r="J502" s="51" t="s">
        <v>250</v>
      </c>
      <c r="K502" s="52">
        <v>23</v>
      </c>
      <c r="L502" s="52">
        <v>6</v>
      </c>
      <c r="M502" s="52"/>
      <c r="N502" s="53" t="s">
        <v>2400</v>
      </c>
      <c r="O502" s="53" t="s">
        <v>2401</v>
      </c>
      <c r="P502" s="52"/>
      <c r="Q502" s="51"/>
      <c r="R502" s="53"/>
      <c r="S502" s="54"/>
      <c r="T502" s="51" t="s">
        <v>2271</v>
      </c>
      <c r="U502" s="51" t="s">
        <v>2272</v>
      </c>
      <c r="V502" s="51" t="s">
        <v>2402</v>
      </c>
      <c r="W502" s="77" t="s">
        <v>2403</v>
      </c>
      <c r="X502" s="51" t="s">
        <v>2269</v>
      </c>
      <c r="Y502" s="53" t="s">
        <v>2396</v>
      </c>
      <c r="Z502" s="51" t="s">
        <v>2402</v>
      </c>
      <c r="AA502" s="60" t="s">
        <v>372</v>
      </c>
    </row>
    <row r="503" spans="2:27" ht="80.25" hidden="1" customHeight="1">
      <c r="B503" s="51" t="s">
        <v>59</v>
      </c>
      <c r="C503" s="51" t="s">
        <v>2264</v>
      </c>
      <c r="D503" s="51" t="s">
        <v>60</v>
      </c>
      <c r="E503" s="52">
        <v>1</v>
      </c>
      <c r="F503" s="51" t="s">
        <v>2404</v>
      </c>
      <c r="G503" s="51" t="s">
        <v>2405</v>
      </c>
      <c r="H503" s="51" t="s">
        <v>249</v>
      </c>
      <c r="I503" s="52">
        <v>31</v>
      </c>
      <c r="J503" s="51" t="s">
        <v>250</v>
      </c>
      <c r="K503" s="52">
        <v>23</v>
      </c>
      <c r="L503" s="52">
        <v>6</v>
      </c>
      <c r="M503" s="52"/>
      <c r="N503" s="53" t="s">
        <v>2406</v>
      </c>
      <c r="O503" s="53" t="s">
        <v>2407</v>
      </c>
      <c r="P503" s="52"/>
      <c r="Q503" s="51"/>
      <c r="R503" s="53"/>
      <c r="S503" s="54"/>
      <c r="T503" s="51" t="s">
        <v>2271</v>
      </c>
      <c r="U503" s="51" t="s">
        <v>2272</v>
      </c>
      <c r="V503" s="51" t="s">
        <v>2408</v>
      </c>
      <c r="W503" s="77" t="s">
        <v>2409</v>
      </c>
      <c r="X503" s="51" t="s">
        <v>2269</v>
      </c>
      <c r="Y503" s="53" t="s">
        <v>2396</v>
      </c>
      <c r="Z503" s="51" t="s">
        <v>2408</v>
      </c>
      <c r="AA503" s="60" t="s">
        <v>372</v>
      </c>
    </row>
    <row r="504" spans="2:27" ht="80.25" hidden="1" customHeight="1">
      <c r="B504" s="51" t="s">
        <v>59</v>
      </c>
      <c r="C504" s="51" t="s">
        <v>2264</v>
      </c>
      <c r="D504" s="51" t="s">
        <v>60</v>
      </c>
      <c r="E504" s="52">
        <v>1</v>
      </c>
      <c r="F504" s="51" t="s">
        <v>2410</v>
      </c>
      <c r="G504" s="51" t="s">
        <v>2411</v>
      </c>
      <c r="H504" s="51" t="s">
        <v>249</v>
      </c>
      <c r="I504" s="52">
        <v>32</v>
      </c>
      <c r="J504" s="51" t="s">
        <v>250</v>
      </c>
      <c r="K504" s="52">
        <v>23</v>
      </c>
      <c r="L504" s="52">
        <v>6</v>
      </c>
      <c r="M504" s="52"/>
      <c r="N504" s="53" t="s">
        <v>2412</v>
      </c>
      <c r="O504" s="53" t="s">
        <v>2413</v>
      </c>
      <c r="P504" s="52"/>
      <c r="Q504" s="51"/>
      <c r="R504" s="53"/>
      <c r="S504" s="54"/>
      <c r="T504" s="51" t="s">
        <v>2271</v>
      </c>
      <c r="U504" s="51" t="s">
        <v>2272</v>
      </c>
      <c r="V504" s="51" t="s">
        <v>2414</v>
      </c>
      <c r="W504" s="77" t="s">
        <v>2415</v>
      </c>
      <c r="X504" s="51" t="s">
        <v>2269</v>
      </c>
      <c r="Y504" s="53" t="s">
        <v>2396</v>
      </c>
      <c r="Z504" s="51" t="s">
        <v>2414</v>
      </c>
      <c r="AA504" s="60" t="s">
        <v>372</v>
      </c>
    </row>
    <row r="505" spans="2:27" ht="80.25" hidden="1" customHeight="1">
      <c r="B505" s="51" t="s">
        <v>59</v>
      </c>
      <c r="C505" s="51" t="s">
        <v>2264</v>
      </c>
      <c r="D505" s="51" t="s">
        <v>60</v>
      </c>
      <c r="E505" s="52">
        <v>1</v>
      </c>
      <c r="F505" s="51" t="s">
        <v>714</v>
      </c>
      <c r="G505" s="51" t="s">
        <v>715</v>
      </c>
      <c r="H505" s="54" t="s">
        <v>430</v>
      </c>
      <c r="I505" s="52">
        <v>33</v>
      </c>
      <c r="J505" s="51" t="s">
        <v>123</v>
      </c>
      <c r="K505" s="52">
        <v>10</v>
      </c>
      <c r="L505" s="52"/>
      <c r="M505" s="52"/>
      <c r="N505" s="53" t="s">
        <v>2416</v>
      </c>
      <c r="O505" s="53" t="s">
        <v>717</v>
      </c>
      <c r="P505" s="52"/>
      <c r="Q505" s="54"/>
      <c r="R505" s="55"/>
      <c r="S505" s="51"/>
      <c r="T505" s="51" t="s">
        <v>2271</v>
      </c>
      <c r="U505" s="51" t="s">
        <v>2272</v>
      </c>
      <c r="V505" s="51" t="s">
        <v>2417</v>
      </c>
      <c r="W505" s="77" t="s">
        <v>2418</v>
      </c>
      <c r="X505" s="51" t="s">
        <v>2269</v>
      </c>
      <c r="Y505" s="53" t="s">
        <v>2396</v>
      </c>
      <c r="Z505" s="53" t="s">
        <v>2417</v>
      </c>
      <c r="AA505" s="60" t="s">
        <v>372</v>
      </c>
    </row>
    <row r="506" spans="2:27" ht="80.25" hidden="1" customHeight="1">
      <c r="B506" s="51" t="s">
        <v>59</v>
      </c>
      <c r="C506" s="51" t="s">
        <v>2264</v>
      </c>
      <c r="D506" s="51" t="s">
        <v>60</v>
      </c>
      <c r="E506" s="52">
        <v>1</v>
      </c>
      <c r="F506" s="51" t="s">
        <v>1456</v>
      </c>
      <c r="G506" s="51" t="s">
        <v>1457</v>
      </c>
      <c r="H506" s="54" t="s">
        <v>249</v>
      </c>
      <c r="I506" s="52">
        <v>34</v>
      </c>
      <c r="J506" s="51" t="s">
        <v>250</v>
      </c>
      <c r="K506" s="52">
        <v>23</v>
      </c>
      <c r="L506" s="52">
        <v>6</v>
      </c>
      <c r="M506" s="52"/>
      <c r="N506" s="53" t="s">
        <v>2419</v>
      </c>
      <c r="O506" s="53" t="s">
        <v>1459</v>
      </c>
      <c r="P506" s="52"/>
      <c r="Q506" s="54"/>
      <c r="R506" s="55" t="s">
        <v>722</v>
      </c>
      <c r="S506" s="51" t="s">
        <v>2420</v>
      </c>
      <c r="T506" s="51" t="s">
        <v>2271</v>
      </c>
      <c r="U506" s="51" t="s">
        <v>2272</v>
      </c>
      <c r="V506" s="51" t="s">
        <v>2421</v>
      </c>
      <c r="W506" s="77" t="s">
        <v>2422</v>
      </c>
      <c r="X506" s="51" t="s">
        <v>2269</v>
      </c>
      <c r="Y506" s="53" t="s">
        <v>2396</v>
      </c>
      <c r="Z506" s="53" t="s">
        <v>2421</v>
      </c>
      <c r="AA506" s="60" t="s">
        <v>372</v>
      </c>
    </row>
    <row r="507" spans="2:27" ht="80.25" hidden="1" customHeight="1">
      <c r="B507" s="51" t="s">
        <v>59</v>
      </c>
      <c r="C507" s="51" t="s">
        <v>2264</v>
      </c>
      <c r="D507" s="51" t="s">
        <v>60</v>
      </c>
      <c r="E507" s="52">
        <v>1</v>
      </c>
      <c r="F507" s="51" t="s">
        <v>1465</v>
      </c>
      <c r="G507" s="51" t="s">
        <v>1466</v>
      </c>
      <c r="H507" s="54" t="s">
        <v>430</v>
      </c>
      <c r="I507" s="52">
        <v>35</v>
      </c>
      <c r="J507" s="51" t="s">
        <v>123</v>
      </c>
      <c r="K507" s="52">
        <v>10</v>
      </c>
      <c r="L507" s="52"/>
      <c r="M507" s="52"/>
      <c r="N507" s="53" t="s">
        <v>2423</v>
      </c>
      <c r="O507" s="53" t="s">
        <v>1468</v>
      </c>
      <c r="P507" s="52"/>
      <c r="Q507" s="54"/>
      <c r="R507" s="55"/>
      <c r="S507" s="51"/>
      <c r="T507" s="51" t="s">
        <v>2271</v>
      </c>
      <c r="U507" s="55" t="s">
        <v>2272</v>
      </c>
      <c r="V507" s="55" t="s">
        <v>2424</v>
      </c>
      <c r="W507" s="77" t="s">
        <v>2425</v>
      </c>
      <c r="X507" s="51" t="s">
        <v>2269</v>
      </c>
      <c r="Y507" s="53" t="s">
        <v>2396</v>
      </c>
      <c r="Z507" s="53" t="s">
        <v>2426</v>
      </c>
      <c r="AA507" s="60" t="s">
        <v>372</v>
      </c>
    </row>
    <row r="508" spans="2:27" ht="80.25" hidden="1" customHeight="1">
      <c r="B508" s="51" t="s">
        <v>59</v>
      </c>
      <c r="C508" s="51" t="s">
        <v>2264</v>
      </c>
      <c r="D508" s="51" t="s">
        <v>60</v>
      </c>
      <c r="E508" s="52">
        <v>1</v>
      </c>
      <c r="F508" s="51" t="s">
        <v>1474</v>
      </c>
      <c r="G508" s="51" t="s">
        <v>1475</v>
      </c>
      <c r="H508" s="54" t="s">
        <v>249</v>
      </c>
      <c r="I508" s="52">
        <v>36</v>
      </c>
      <c r="J508" s="51" t="s">
        <v>250</v>
      </c>
      <c r="K508" s="52">
        <v>23</v>
      </c>
      <c r="L508" s="52">
        <v>6</v>
      </c>
      <c r="M508" s="52"/>
      <c r="N508" s="53" t="s">
        <v>2427</v>
      </c>
      <c r="O508" s="53" t="s">
        <v>1477</v>
      </c>
      <c r="P508" s="52"/>
      <c r="Q508" s="54"/>
      <c r="R508" s="55"/>
      <c r="S508" s="51"/>
      <c r="T508" s="51" t="s">
        <v>2271</v>
      </c>
      <c r="U508" s="55" t="s">
        <v>2272</v>
      </c>
      <c r="V508" s="51" t="s">
        <v>2428</v>
      </c>
      <c r="W508" s="77" t="s">
        <v>2429</v>
      </c>
      <c r="X508" s="51" t="s">
        <v>2269</v>
      </c>
      <c r="Y508" s="53" t="s">
        <v>2396</v>
      </c>
      <c r="Z508" s="55" t="s">
        <v>2428</v>
      </c>
      <c r="AA508" s="60" t="s">
        <v>372</v>
      </c>
    </row>
    <row r="509" spans="2:27" ht="80.25" hidden="1" customHeight="1">
      <c r="B509" s="51" t="s">
        <v>59</v>
      </c>
      <c r="C509" s="51" t="s">
        <v>2264</v>
      </c>
      <c r="D509" s="51" t="s">
        <v>60</v>
      </c>
      <c r="E509" s="52">
        <v>1</v>
      </c>
      <c r="F509" s="51" t="s">
        <v>2430</v>
      </c>
      <c r="G509" s="51" t="s">
        <v>2431</v>
      </c>
      <c r="H509" s="54" t="s">
        <v>249</v>
      </c>
      <c r="I509" s="52">
        <v>37</v>
      </c>
      <c r="J509" s="51" t="s">
        <v>250</v>
      </c>
      <c r="K509" s="52">
        <v>23</v>
      </c>
      <c r="L509" s="52">
        <v>6</v>
      </c>
      <c r="M509" s="52"/>
      <c r="N509" s="53" t="s">
        <v>2432</v>
      </c>
      <c r="O509" s="53" t="s">
        <v>2433</v>
      </c>
      <c r="P509" s="52"/>
      <c r="Q509" s="54"/>
      <c r="R509" s="63"/>
      <c r="S509" s="61"/>
      <c r="T509" s="51" t="s">
        <v>2271</v>
      </c>
      <c r="U509" s="55" t="s">
        <v>2272</v>
      </c>
      <c r="V509" s="61" t="s">
        <v>2434</v>
      </c>
      <c r="W509" s="77" t="s">
        <v>2435</v>
      </c>
      <c r="X509" s="51" t="s">
        <v>2269</v>
      </c>
      <c r="Y509" s="53" t="s">
        <v>2396</v>
      </c>
      <c r="Z509" s="54" t="s">
        <v>2434</v>
      </c>
      <c r="AA509" s="60" t="s">
        <v>372</v>
      </c>
    </row>
    <row r="510" spans="2:27" ht="80.25" hidden="1" customHeight="1">
      <c r="B510" s="51" t="s">
        <v>59</v>
      </c>
      <c r="C510" s="51" t="s">
        <v>2264</v>
      </c>
      <c r="D510" s="51" t="s">
        <v>60</v>
      </c>
      <c r="E510" s="52">
        <v>1</v>
      </c>
      <c r="F510" s="51" t="s">
        <v>2436</v>
      </c>
      <c r="G510" s="51" t="s">
        <v>2437</v>
      </c>
      <c r="H510" s="54" t="s">
        <v>249</v>
      </c>
      <c r="I510" s="52">
        <v>38</v>
      </c>
      <c r="J510" s="51" t="s">
        <v>250</v>
      </c>
      <c r="K510" s="52">
        <v>23</v>
      </c>
      <c r="L510" s="52">
        <v>6</v>
      </c>
      <c r="M510" s="52"/>
      <c r="N510" s="53" t="s">
        <v>2438</v>
      </c>
      <c r="O510" s="53" t="s">
        <v>2439</v>
      </c>
      <c r="P510" s="52"/>
      <c r="Q510" s="54"/>
      <c r="R510" s="63"/>
      <c r="S510" s="61"/>
      <c r="T510" s="51" t="s">
        <v>2271</v>
      </c>
      <c r="U510" s="55" t="s">
        <v>2272</v>
      </c>
      <c r="V510" s="61" t="s">
        <v>2440</v>
      </c>
      <c r="W510" s="77" t="s">
        <v>2441</v>
      </c>
      <c r="X510" s="51" t="s">
        <v>2269</v>
      </c>
      <c r="Y510" s="53" t="s">
        <v>2396</v>
      </c>
      <c r="Z510" s="54" t="s">
        <v>2440</v>
      </c>
      <c r="AA510" s="60" t="s">
        <v>372</v>
      </c>
    </row>
    <row r="511" spans="2:27" ht="80.25" hidden="1" customHeight="1">
      <c r="B511" s="51" t="s">
        <v>59</v>
      </c>
      <c r="C511" s="51" t="s">
        <v>2264</v>
      </c>
      <c r="D511" s="51" t="s">
        <v>60</v>
      </c>
      <c r="E511" s="52">
        <v>1</v>
      </c>
      <c r="F511" s="51" t="s">
        <v>2442</v>
      </c>
      <c r="G511" s="51" t="s">
        <v>2443</v>
      </c>
      <c r="H511" s="54" t="s">
        <v>249</v>
      </c>
      <c r="I511" s="52">
        <v>39</v>
      </c>
      <c r="J511" s="51" t="s">
        <v>250</v>
      </c>
      <c r="K511" s="52">
        <v>23</v>
      </c>
      <c r="L511" s="52">
        <v>6</v>
      </c>
      <c r="M511" s="52"/>
      <c r="N511" s="53" t="s">
        <v>2444</v>
      </c>
      <c r="O511" s="53" t="s">
        <v>2445</v>
      </c>
      <c r="P511" s="52"/>
      <c r="Q511" s="54"/>
      <c r="R511" s="63"/>
      <c r="S511" s="61"/>
      <c r="T511" s="51" t="s">
        <v>2271</v>
      </c>
      <c r="U511" s="55" t="s">
        <v>2272</v>
      </c>
      <c r="V511" s="61" t="s">
        <v>2446</v>
      </c>
      <c r="W511" s="77" t="s">
        <v>2447</v>
      </c>
      <c r="X511" s="51" t="s">
        <v>2269</v>
      </c>
      <c r="Y511" s="53" t="s">
        <v>2396</v>
      </c>
      <c r="Z511" s="54" t="s">
        <v>2446</v>
      </c>
      <c r="AA511" s="60" t="s">
        <v>372</v>
      </c>
    </row>
    <row r="512" spans="2:27" ht="80.25" hidden="1" customHeight="1">
      <c r="B512" s="51" t="s">
        <v>59</v>
      </c>
      <c r="C512" s="51" t="s">
        <v>2264</v>
      </c>
      <c r="D512" s="51" t="s">
        <v>60</v>
      </c>
      <c r="E512" s="52">
        <v>1</v>
      </c>
      <c r="F512" s="51" t="s">
        <v>1480</v>
      </c>
      <c r="G512" s="51" t="s">
        <v>1481</v>
      </c>
      <c r="H512" s="54" t="s">
        <v>430</v>
      </c>
      <c r="I512" s="52">
        <v>40</v>
      </c>
      <c r="J512" s="51" t="s">
        <v>123</v>
      </c>
      <c r="K512" s="52">
        <v>10</v>
      </c>
      <c r="L512" s="52"/>
      <c r="M512" s="52"/>
      <c r="N512" s="53" t="s">
        <v>2448</v>
      </c>
      <c r="O512" s="53" t="s">
        <v>1482</v>
      </c>
      <c r="P512" s="52"/>
      <c r="Q512" s="54"/>
      <c r="R512" s="55" t="s">
        <v>722</v>
      </c>
      <c r="S512" s="51" t="s">
        <v>723</v>
      </c>
      <c r="T512" s="51" t="s">
        <v>2271</v>
      </c>
      <c r="U512" s="51" t="s">
        <v>2272</v>
      </c>
      <c r="V512" s="51" t="s">
        <v>2449</v>
      </c>
      <c r="W512" s="77" t="s">
        <v>2450</v>
      </c>
      <c r="X512" s="51" t="s">
        <v>2269</v>
      </c>
      <c r="Y512" s="53" t="s">
        <v>2340</v>
      </c>
      <c r="Z512" s="53" t="s">
        <v>2449</v>
      </c>
      <c r="AA512" s="60" t="s">
        <v>372</v>
      </c>
    </row>
    <row r="513" spans="2:27" ht="80.25" hidden="1" customHeight="1">
      <c r="B513" s="51" t="s">
        <v>59</v>
      </c>
      <c r="C513" s="51" t="s">
        <v>2264</v>
      </c>
      <c r="D513" s="213" t="s">
        <v>60</v>
      </c>
      <c r="E513" s="329">
        <v>1</v>
      </c>
      <c r="F513" s="213" t="s">
        <v>1488</v>
      </c>
      <c r="G513" s="51" t="s">
        <v>1489</v>
      </c>
      <c r="H513" s="54" t="s">
        <v>249</v>
      </c>
      <c r="I513" s="52">
        <v>41</v>
      </c>
      <c r="J513" s="51" t="s">
        <v>250</v>
      </c>
      <c r="K513" s="52">
        <v>23</v>
      </c>
      <c r="L513" s="52">
        <v>6</v>
      </c>
      <c r="M513" s="52"/>
      <c r="N513" s="53" t="s">
        <v>2451</v>
      </c>
      <c r="O513" s="53" t="s">
        <v>1491</v>
      </c>
      <c r="P513" s="52"/>
      <c r="Q513" s="54"/>
      <c r="R513" s="55"/>
      <c r="S513" s="51"/>
      <c r="T513" s="51" t="s">
        <v>2271</v>
      </c>
      <c r="U513" s="51" t="s">
        <v>2272</v>
      </c>
      <c r="V513" s="51" t="s">
        <v>2452</v>
      </c>
      <c r="W513" s="77" t="s">
        <v>2453</v>
      </c>
      <c r="X513" s="51" t="s">
        <v>2269</v>
      </c>
      <c r="Y513" s="53" t="s">
        <v>2340</v>
      </c>
      <c r="Z513" s="53" t="s">
        <v>2452</v>
      </c>
      <c r="AA513" s="60" t="s">
        <v>372</v>
      </c>
    </row>
    <row r="514" spans="2:27" ht="80.25" hidden="1" customHeight="1">
      <c r="B514" s="51" t="s">
        <v>59</v>
      </c>
      <c r="C514" s="51" t="s">
        <v>2264</v>
      </c>
      <c r="D514" s="51" t="s">
        <v>60</v>
      </c>
      <c r="E514" s="52">
        <v>1</v>
      </c>
      <c r="F514" s="51" t="s">
        <v>2454</v>
      </c>
      <c r="G514" s="51" t="s">
        <v>2455</v>
      </c>
      <c r="H514" s="54" t="s">
        <v>249</v>
      </c>
      <c r="I514" s="52">
        <v>42</v>
      </c>
      <c r="J514" s="51" t="s">
        <v>250</v>
      </c>
      <c r="K514" s="52">
        <v>23</v>
      </c>
      <c r="L514" s="52">
        <v>6</v>
      </c>
      <c r="M514" s="52"/>
      <c r="N514" s="53" t="s">
        <v>2456</v>
      </c>
      <c r="O514" s="53" t="s">
        <v>2457</v>
      </c>
      <c r="P514" s="52"/>
      <c r="Q514" s="54"/>
      <c r="R514" s="63"/>
      <c r="S514" s="61"/>
      <c r="T514" s="51" t="s">
        <v>2271</v>
      </c>
      <c r="U514" s="51" t="s">
        <v>2272</v>
      </c>
      <c r="V514" s="61" t="s">
        <v>2458</v>
      </c>
      <c r="W514" s="77" t="s">
        <v>2459</v>
      </c>
      <c r="X514" s="51" t="s">
        <v>2269</v>
      </c>
      <c r="Y514" s="53" t="s">
        <v>2340</v>
      </c>
      <c r="Z514" s="54" t="s">
        <v>2458</v>
      </c>
      <c r="AA514" s="60" t="s">
        <v>372</v>
      </c>
    </row>
    <row r="515" spans="2:27" ht="80.25" hidden="1" customHeight="1">
      <c r="B515" s="51" t="s">
        <v>59</v>
      </c>
      <c r="C515" s="51" t="s">
        <v>2264</v>
      </c>
      <c r="D515" s="51" t="s">
        <v>60</v>
      </c>
      <c r="E515" s="52">
        <v>1</v>
      </c>
      <c r="F515" s="51" t="s">
        <v>2460</v>
      </c>
      <c r="G515" s="51" t="s">
        <v>2461</v>
      </c>
      <c r="H515" s="54" t="s">
        <v>249</v>
      </c>
      <c r="I515" s="52">
        <v>43</v>
      </c>
      <c r="J515" s="51" t="s">
        <v>250</v>
      </c>
      <c r="K515" s="52">
        <v>23</v>
      </c>
      <c r="L515" s="52">
        <v>6</v>
      </c>
      <c r="M515" s="52"/>
      <c r="N515" s="53" t="s">
        <v>2462</v>
      </c>
      <c r="O515" s="53" t="s">
        <v>2463</v>
      </c>
      <c r="P515" s="52"/>
      <c r="Q515" s="54"/>
      <c r="R515" s="63"/>
      <c r="S515" s="61"/>
      <c r="T515" s="51" t="s">
        <v>2271</v>
      </c>
      <c r="U515" s="51" t="s">
        <v>2272</v>
      </c>
      <c r="V515" s="61" t="s">
        <v>2464</v>
      </c>
      <c r="W515" s="77" t="s">
        <v>2465</v>
      </c>
      <c r="X515" s="51" t="s">
        <v>2269</v>
      </c>
      <c r="Y515" s="53" t="s">
        <v>2340</v>
      </c>
      <c r="Z515" s="54" t="s">
        <v>2466</v>
      </c>
      <c r="AA515" s="60" t="s">
        <v>372</v>
      </c>
    </row>
    <row r="516" spans="2:27" ht="80.25" hidden="1" customHeight="1">
      <c r="B516" s="51" t="s">
        <v>59</v>
      </c>
      <c r="C516" s="51" t="s">
        <v>2264</v>
      </c>
      <c r="D516" s="51" t="s">
        <v>60</v>
      </c>
      <c r="E516" s="52">
        <v>1</v>
      </c>
      <c r="F516" s="51" t="s">
        <v>428</v>
      </c>
      <c r="G516" s="51" t="s">
        <v>429</v>
      </c>
      <c r="H516" s="54" t="s">
        <v>430</v>
      </c>
      <c r="I516" s="52">
        <v>44</v>
      </c>
      <c r="J516" s="51" t="s">
        <v>123</v>
      </c>
      <c r="K516" s="52">
        <v>10</v>
      </c>
      <c r="L516" s="52"/>
      <c r="M516" s="52"/>
      <c r="N516" s="53" t="s">
        <v>2467</v>
      </c>
      <c r="O516" s="53" t="s">
        <v>432</v>
      </c>
      <c r="P516" s="52"/>
      <c r="Q516" s="54"/>
      <c r="R516" s="55" t="s">
        <v>722</v>
      </c>
      <c r="S516" s="51" t="s">
        <v>723</v>
      </c>
      <c r="T516" s="51" t="s">
        <v>2271</v>
      </c>
      <c r="U516" s="51" t="s">
        <v>2272</v>
      </c>
      <c r="V516" s="51" t="s">
        <v>2468</v>
      </c>
      <c r="W516" s="77" t="s">
        <v>2469</v>
      </c>
      <c r="X516" s="51" t="s">
        <v>2269</v>
      </c>
      <c r="Y516" s="53" t="s">
        <v>2340</v>
      </c>
      <c r="Z516" s="53" t="s">
        <v>2468</v>
      </c>
      <c r="AA516" s="60" t="s">
        <v>372</v>
      </c>
    </row>
    <row r="517" spans="2:27" ht="80.25" hidden="1" customHeight="1">
      <c r="B517" s="51" t="s">
        <v>59</v>
      </c>
      <c r="C517" s="51" t="s">
        <v>2264</v>
      </c>
      <c r="D517" s="51" t="s">
        <v>60</v>
      </c>
      <c r="E517" s="52">
        <v>1</v>
      </c>
      <c r="F517" s="51" t="s">
        <v>438</v>
      </c>
      <c r="G517" s="51" t="s">
        <v>439</v>
      </c>
      <c r="H517" s="54" t="s">
        <v>249</v>
      </c>
      <c r="I517" s="52">
        <v>45</v>
      </c>
      <c r="J517" s="51" t="s">
        <v>250</v>
      </c>
      <c r="K517" s="52">
        <v>23</v>
      </c>
      <c r="L517" s="52">
        <v>6</v>
      </c>
      <c r="M517" s="52"/>
      <c r="N517" s="53" t="s">
        <v>2470</v>
      </c>
      <c r="O517" s="53" t="s">
        <v>441</v>
      </c>
      <c r="P517" s="52"/>
      <c r="Q517" s="54"/>
      <c r="R517" s="55"/>
      <c r="S517" s="51"/>
      <c r="T517" s="51" t="s">
        <v>2271</v>
      </c>
      <c r="U517" s="51" t="s">
        <v>2272</v>
      </c>
      <c r="V517" s="51" t="s">
        <v>2471</v>
      </c>
      <c r="W517" s="77" t="s">
        <v>2472</v>
      </c>
      <c r="X517" s="51" t="s">
        <v>2269</v>
      </c>
      <c r="Y517" s="53" t="s">
        <v>2340</v>
      </c>
      <c r="Z517" s="53" t="s">
        <v>2471</v>
      </c>
      <c r="AA517" s="60" t="s">
        <v>372</v>
      </c>
    </row>
    <row r="518" spans="2:27" ht="80.25" hidden="1" customHeight="1">
      <c r="B518" s="51" t="s">
        <v>59</v>
      </c>
      <c r="C518" s="51" t="s">
        <v>2264</v>
      </c>
      <c r="D518" s="51" t="s">
        <v>60</v>
      </c>
      <c r="E518" s="52">
        <v>1</v>
      </c>
      <c r="F518" s="51" t="s">
        <v>1508</v>
      </c>
      <c r="G518" s="51" t="s">
        <v>1509</v>
      </c>
      <c r="H518" s="54" t="s">
        <v>249</v>
      </c>
      <c r="I518" s="52">
        <v>46</v>
      </c>
      <c r="J518" s="51" t="s">
        <v>471</v>
      </c>
      <c r="K518" s="52"/>
      <c r="L518" s="52"/>
      <c r="M518" s="52"/>
      <c r="N518" s="53" t="s">
        <v>1510</v>
      </c>
      <c r="O518" s="53" t="s">
        <v>1511</v>
      </c>
      <c r="P518" s="52"/>
      <c r="Q518" s="54"/>
      <c r="R518" s="63"/>
      <c r="S518" s="61"/>
      <c r="T518" s="51" t="s">
        <v>2271</v>
      </c>
      <c r="U518" s="61" t="s">
        <v>2272</v>
      </c>
      <c r="V518" s="61" t="s">
        <v>2473</v>
      </c>
      <c r="W518" s="77" t="s">
        <v>2474</v>
      </c>
      <c r="X518" s="51" t="s">
        <v>2269</v>
      </c>
      <c r="Y518" s="53" t="s">
        <v>2340</v>
      </c>
      <c r="Z518" s="53" t="s">
        <v>2475</v>
      </c>
      <c r="AA518" s="60" t="s">
        <v>372</v>
      </c>
    </row>
    <row r="519" spans="2:27" ht="80.25" hidden="1" customHeight="1">
      <c r="B519" s="51" t="s">
        <v>59</v>
      </c>
      <c r="C519" s="51" t="s">
        <v>2264</v>
      </c>
      <c r="D519" s="51" t="s">
        <v>60</v>
      </c>
      <c r="E519" s="52">
        <v>1</v>
      </c>
      <c r="F519" s="51" t="s">
        <v>1515</v>
      </c>
      <c r="G519" s="51" t="s">
        <v>1979</v>
      </c>
      <c r="H519" s="54" t="s">
        <v>1517</v>
      </c>
      <c r="I519" s="52">
        <v>47</v>
      </c>
      <c r="J519" s="51" t="s">
        <v>123</v>
      </c>
      <c r="K519" s="52">
        <v>4</v>
      </c>
      <c r="L519" s="52"/>
      <c r="M519" s="52"/>
      <c r="N519" s="53" t="s">
        <v>2183</v>
      </c>
      <c r="O519" s="53" t="s">
        <v>1519</v>
      </c>
      <c r="P519" s="52"/>
      <c r="Q519" s="53" t="s">
        <v>2476</v>
      </c>
      <c r="R519" s="53"/>
      <c r="S519" s="54"/>
      <c r="T519" s="51" t="s">
        <v>2271</v>
      </c>
      <c r="U519" s="55" t="s">
        <v>2266</v>
      </c>
      <c r="V519" s="55" t="s">
        <v>369</v>
      </c>
      <c r="W519" s="77" t="s">
        <v>2477</v>
      </c>
      <c r="X519" s="51" t="s">
        <v>2269</v>
      </c>
      <c r="Y519" s="53" t="s">
        <v>2270</v>
      </c>
      <c r="Z519" s="53" t="s">
        <v>2478</v>
      </c>
      <c r="AA519" s="60" t="s">
        <v>372</v>
      </c>
    </row>
    <row r="520" spans="2:27" ht="80.25" hidden="1" customHeight="1">
      <c r="B520" s="51" t="s">
        <v>59</v>
      </c>
      <c r="C520" s="51" t="s">
        <v>2264</v>
      </c>
      <c r="D520" s="51" t="s">
        <v>60</v>
      </c>
      <c r="E520" s="52">
        <v>1</v>
      </c>
      <c r="F520" s="51" t="s">
        <v>1986</v>
      </c>
      <c r="G520" s="51" t="s">
        <v>1987</v>
      </c>
      <c r="H520" s="54" t="s">
        <v>746</v>
      </c>
      <c r="I520" s="52">
        <v>48</v>
      </c>
      <c r="J520" s="51" t="s">
        <v>123</v>
      </c>
      <c r="K520" s="52">
        <v>4</v>
      </c>
      <c r="L520" s="52"/>
      <c r="M520" s="52"/>
      <c r="N520" s="53" t="s">
        <v>1685</v>
      </c>
      <c r="O520" s="53" t="s">
        <v>1989</v>
      </c>
      <c r="P520" s="52"/>
      <c r="Q520" s="53" t="s">
        <v>2479</v>
      </c>
      <c r="R520" s="53"/>
      <c r="S520" s="54"/>
      <c r="T520" s="51" t="s">
        <v>2271</v>
      </c>
      <c r="U520" s="51" t="s">
        <v>2272</v>
      </c>
      <c r="V520" s="51" t="s">
        <v>2480</v>
      </c>
      <c r="W520" s="77" t="s">
        <v>2481</v>
      </c>
      <c r="X520" s="51" t="s">
        <v>2269</v>
      </c>
      <c r="Y520" s="53" t="s">
        <v>2396</v>
      </c>
      <c r="Z520" s="62" t="s">
        <v>2480</v>
      </c>
      <c r="AA520" s="60" t="s">
        <v>372</v>
      </c>
    </row>
    <row r="521" spans="2:27" ht="80.25" hidden="1" customHeight="1">
      <c r="B521" s="51" t="s">
        <v>59</v>
      </c>
      <c r="C521" s="51" t="s">
        <v>2264</v>
      </c>
      <c r="D521" s="51" t="s">
        <v>60</v>
      </c>
      <c r="E521" s="52">
        <v>1</v>
      </c>
      <c r="F521" s="51" t="s">
        <v>1997</v>
      </c>
      <c r="G521" s="51" t="s">
        <v>1998</v>
      </c>
      <c r="H521" s="54" t="s">
        <v>767</v>
      </c>
      <c r="I521" s="52">
        <v>49</v>
      </c>
      <c r="J521" s="51" t="s">
        <v>250</v>
      </c>
      <c r="K521" s="52">
        <v>23</v>
      </c>
      <c r="L521" s="52">
        <v>6</v>
      </c>
      <c r="M521" s="52"/>
      <c r="N521" s="53" t="s">
        <v>2190</v>
      </c>
      <c r="O521" s="53" t="s">
        <v>2000</v>
      </c>
      <c r="P521" s="52"/>
      <c r="Q521" s="54"/>
      <c r="R521" s="53"/>
      <c r="S521" s="54"/>
      <c r="T521" s="51" t="s">
        <v>2271</v>
      </c>
      <c r="U521" s="51" t="s">
        <v>2272</v>
      </c>
      <c r="V521" s="51" t="s">
        <v>2482</v>
      </c>
      <c r="W521" s="77" t="s">
        <v>2483</v>
      </c>
      <c r="X521" s="51" t="s">
        <v>2269</v>
      </c>
      <c r="Y521" s="53" t="s">
        <v>2396</v>
      </c>
      <c r="Z521" s="53" t="s">
        <v>2482</v>
      </c>
      <c r="AA521" s="60" t="s">
        <v>372</v>
      </c>
    </row>
    <row r="522" spans="2:27" ht="80.25" hidden="1" customHeight="1">
      <c r="B522" s="51" t="s">
        <v>59</v>
      </c>
      <c r="C522" s="51" t="s">
        <v>2264</v>
      </c>
      <c r="D522" s="51" t="s">
        <v>60</v>
      </c>
      <c r="E522" s="52">
        <v>1</v>
      </c>
      <c r="F522" s="51" t="s">
        <v>2007</v>
      </c>
      <c r="G522" s="51" t="s">
        <v>2008</v>
      </c>
      <c r="H522" s="54" t="s">
        <v>767</v>
      </c>
      <c r="I522" s="52">
        <v>50</v>
      </c>
      <c r="J522" s="51" t="s">
        <v>250</v>
      </c>
      <c r="K522" s="52">
        <v>23</v>
      </c>
      <c r="L522" s="52">
        <v>6</v>
      </c>
      <c r="M522" s="52"/>
      <c r="N522" s="53" t="s">
        <v>1694</v>
      </c>
      <c r="O522" s="53" t="s">
        <v>2010</v>
      </c>
      <c r="P522" s="52"/>
      <c r="Q522" s="54"/>
      <c r="R522" s="53"/>
      <c r="S522" s="54"/>
      <c r="T522" s="51" t="s">
        <v>2271</v>
      </c>
      <c r="U522" s="51" t="s">
        <v>2272</v>
      </c>
      <c r="V522" s="51" t="s">
        <v>2484</v>
      </c>
      <c r="W522" s="77" t="s">
        <v>2485</v>
      </c>
      <c r="X522" s="51" t="s">
        <v>2269</v>
      </c>
      <c r="Y522" s="53" t="s">
        <v>2396</v>
      </c>
      <c r="Z522" s="53" t="s">
        <v>2486</v>
      </c>
      <c r="AA522" s="60" t="s">
        <v>372</v>
      </c>
    </row>
    <row r="523" spans="2:27" ht="80.25" hidden="1" customHeight="1">
      <c r="B523" s="51" t="s">
        <v>59</v>
      </c>
      <c r="C523" s="51" t="s">
        <v>2264</v>
      </c>
      <c r="D523" s="51" t="s">
        <v>60</v>
      </c>
      <c r="E523" s="52">
        <v>1</v>
      </c>
      <c r="F523" s="51" t="s">
        <v>1522</v>
      </c>
      <c r="G523" s="51" t="s">
        <v>1523</v>
      </c>
      <c r="H523" s="54" t="s">
        <v>767</v>
      </c>
      <c r="I523" s="52">
        <v>51</v>
      </c>
      <c r="J523" s="51" t="s">
        <v>250</v>
      </c>
      <c r="K523" s="52">
        <v>23</v>
      </c>
      <c r="L523" s="52">
        <v>6</v>
      </c>
      <c r="M523" s="52"/>
      <c r="N523" s="53" t="s">
        <v>2197</v>
      </c>
      <c r="O523" s="53" t="s">
        <v>1525</v>
      </c>
      <c r="P523" s="52"/>
      <c r="Q523" s="51"/>
      <c r="R523" s="55" t="s">
        <v>788</v>
      </c>
      <c r="S523" s="51" t="s">
        <v>1526</v>
      </c>
      <c r="T523" s="51" t="s">
        <v>2271</v>
      </c>
      <c r="U523" s="51" t="s">
        <v>2272</v>
      </c>
      <c r="V523" s="51" t="s">
        <v>2487</v>
      </c>
      <c r="W523" s="77" t="s">
        <v>2488</v>
      </c>
      <c r="X523" s="51" t="s">
        <v>2269</v>
      </c>
      <c r="Y523" s="53" t="s">
        <v>2270</v>
      </c>
      <c r="Z523" s="53" t="s">
        <v>2487</v>
      </c>
      <c r="AA523" s="60" t="s">
        <v>372</v>
      </c>
    </row>
    <row r="524" spans="2:27" ht="80.25" hidden="1" customHeight="1">
      <c r="B524" s="51" t="s">
        <v>59</v>
      </c>
      <c r="C524" s="51" t="s">
        <v>2264</v>
      </c>
      <c r="D524" s="51" t="s">
        <v>60</v>
      </c>
      <c r="E524" s="52">
        <v>1</v>
      </c>
      <c r="F524" s="51" t="s">
        <v>744</v>
      </c>
      <c r="G524" s="51" t="s">
        <v>1530</v>
      </c>
      <c r="H524" s="54" t="s">
        <v>746</v>
      </c>
      <c r="I524" s="52">
        <v>52</v>
      </c>
      <c r="J524" s="51" t="s">
        <v>123</v>
      </c>
      <c r="K524" s="52">
        <v>4</v>
      </c>
      <c r="L524" s="52"/>
      <c r="M524" s="52"/>
      <c r="N524" s="53" t="s">
        <v>2201</v>
      </c>
      <c r="O524" s="53" t="s">
        <v>748</v>
      </c>
      <c r="P524" s="52"/>
      <c r="Q524" s="53" t="s">
        <v>2476</v>
      </c>
      <c r="R524" s="53"/>
      <c r="S524" s="54"/>
      <c r="T524" s="55" t="s">
        <v>2489</v>
      </c>
      <c r="U524" s="55" t="s">
        <v>2266</v>
      </c>
      <c r="V524" s="55" t="s">
        <v>369</v>
      </c>
      <c r="W524" s="77" t="s">
        <v>2490</v>
      </c>
      <c r="X524" s="51" t="s">
        <v>2269</v>
      </c>
      <c r="Y524" s="53" t="s">
        <v>2270</v>
      </c>
      <c r="Z524" s="53" t="s">
        <v>2491</v>
      </c>
      <c r="AA524" s="60" t="s">
        <v>372</v>
      </c>
    </row>
    <row r="525" spans="2:27" ht="80.25" hidden="1" customHeight="1">
      <c r="B525" s="51" t="s">
        <v>59</v>
      </c>
      <c r="C525" s="51" t="s">
        <v>2264</v>
      </c>
      <c r="D525" s="51" t="s">
        <v>60</v>
      </c>
      <c r="E525" s="52">
        <v>1</v>
      </c>
      <c r="F525" s="51" t="s">
        <v>755</v>
      </c>
      <c r="G525" s="51" t="s">
        <v>756</v>
      </c>
      <c r="H525" s="54" t="s">
        <v>746</v>
      </c>
      <c r="I525" s="52">
        <v>53</v>
      </c>
      <c r="J525" s="51" t="s">
        <v>123</v>
      </c>
      <c r="K525" s="52">
        <v>4</v>
      </c>
      <c r="L525" s="52"/>
      <c r="M525" s="52"/>
      <c r="N525" s="53" t="s">
        <v>1706</v>
      </c>
      <c r="O525" s="53" t="s">
        <v>758</v>
      </c>
      <c r="P525" s="52"/>
      <c r="Q525" s="53" t="s">
        <v>2492</v>
      </c>
      <c r="R525" s="53"/>
      <c r="S525" s="54"/>
      <c r="T525" s="51" t="s">
        <v>2493</v>
      </c>
      <c r="U525" s="51" t="s">
        <v>2272</v>
      </c>
      <c r="V525" s="51" t="s">
        <v>2494</v>
      </c>
      <c r="W525" s="77" t="s">
        <v>2495</v>
      </c>
      <c r="X525" s="51" t="s">
        <v>2269</v>
      </c>
      <c r="Y525" s="53" t="s">
        <v>2396</v>
      </c>
      <c r="Z525" s="53" t="s">
        <v>2494</v>
      </c>
      <c r="AA525" s="60" t="s">
        <v>372</v>
      </c>
    </row>
    <row r="526" spans="2:27" ht="80.25" hidden="1" customHeight="1">
      <c r="B526" s="51" t="s">
        <v>59</v>
      </c>
      <c r="C526" s="51" t="s">
        <v>2264</v>
      </c>
      <c r="D526" s="51" t="s">
        <v>60</v>
      </c>
      <c r="E526" s="52">
        <v>1</v>
      </c>
      <c r="F526" s="51" t="s">
        <v>765</v>
      </c>
      <c r="G526" s="51" t="s">
        <v>766</v>
      </c>
      <c r="H526" s="54" t="s">
        <v>767</v>
      </c>
      <c r="I526" s="52">
        <v>54</v>
      </c>
      <c r="J526" s="51" t="s">
        <v>250</v>
      </c>
      <c r="K526" s="52">
        <v>23</v>
      </c>
      <c r="L526" s="52">
        <v>6</v>
      </c>
      <c r="M526" s="52"/>
      <c r="N526" s="53" t="s">
        <v>2208</v>
      </c>
      <c r="O526" s="53" t="s">
        <v>769</v>
      </c>
      <c r="P526" s="52"/>
      <c r="Q526" s="54"/>
      <c r="R526" s="53"/>
      <c r="S526" s="54"/>
      <c r="T526" s="51" t="s">
        <v>2271</v>
      </c>
      <c r="U526" s="51" t="s">
        <v>2272</v>
      </c>
      <c r="V526" s="51" t="s">
        <v>2496</v>
      </c>
      <c r="W526" s="77" t="s">
        <v>2497</v>
      </c>
      <c r="X526" s="51" t="s">
        <v>2269</v>
      </c>
      <c r="Y526" s="53" t="s">
        <v>2396</v>
      </c>
      <c r="Z526" s="53" t="s">
        <v>2496</v>
      </c>
      <c r="AA526" s="60" t="s">
        <v>372</v>
      </c>
    </row>
    <row r="527" spans="2:27" ht="80.25" hidden="1" customHeight="1">
      <c r="B527" s="51" t="s">
        <v>59</v>
      </c>
      <c r="C527" s="51" t="s">
        <v>2264</v>
      </c>
      <c r="D527" s="51" t="s">
        <v>60</v>
      </c>
      <c r="E527" s="52">
        <v>1</v>
      </c>
      <c r="F527" s="51" t="s">
        <v>775</v>
      </c>
      <c r="G527" s="51" t="s">
        <v>776</v>
      </c>
      <c r="H527" s="54" t="s">
        <v>767</v>
      </c>
      <c r="I527" s="52">
        <v>55</v>
      </c>
      <c r="J527" s="51" t="s">
        <v>250</v>
      </c>
      <c r="K527" s="52">
        <v>23</v>
      </c>
      <c r="L527" s="52">
        <v>6</v>
      </c>
      <c r="M527" s="52"/>
      <c r="N527" s="53" t="s">
        <v>777</v>
      </c>
      <c r="O527" s="53" t="s">
        <v>778</v>
      </c>
      <c r="P527" s="52"/>
      <c r="Q527" s="54"/>
      <c r="R527" s="53"/>
      <c r="S527" s="54"/>
      <c r="T527" s="51" t="s">
        <v>2271</v>
      </c>
      <c r="U527" s="51" t="s">
        <v>2272</v>
      </c>
      <c r="V527" s="51" t="s">
        <v>2498</v>
      </c>
      <c r="W527" s="77" t="s">
        <v>2499</v>
      </c>
      <c r="X527" s="51" t="s">
        <v>2269</v>
      </c>
      <c r="Y527" s="53" t="s">
        <v>2270</v>
      </c>
      <c r="Z527" s="53" t="s">
        <v>2498</v>
      </c>
      <c r="AA527" s="60" t="s">
        <v>372</v>
      </c>
    </row>
    <row r="528" spans="2:27" ht="80.25" hidden="1" customHeight="1">
      <c r="B528" s="51" t="s">
        <v>59</v>
      </c>
      <c r="C528" s="51" t="s">
        <v>2264</v>
      </c>
      <c r="D528" s="51" t="s">
        <v>60</v>
      </c>
      <c r="E528" s="52">
        <v>1</v>
      </c>
      <c r="F528" s="51" t="s">
        <v>784</v>
      </c>
      <c r="G528" s="51" t="s">
        <v>785</v>
      </c>
      <c r="H528" s="54" t="s">
        <v>767</v>
      </c>
      <c r="I528" s="52">
        <v>56</v>
      </c>
      <c r="J528" s="51" t="s">
        <v>250</v>
      </c>
      <c r="K528" s="52">
        <v>23</v>
      </c>
      <c r="L528" s="52">
        <v>6</v>
      </c>
      <c r="M528" s="52"/>
      <c r="N528" s="53" t="s">
        <v>2215</v>
      </c>
      <c r="O528" s="53" t="s">
        <v>787</v>
      </c>
      <c r="P528" s="52"/>
      <c r="Q528" s="51"/>
      <c r="R528" s="55" t="s">
        <v>788</v>
      </c>
      <c r="S528" s="51" t="s">
        <v>789</v>
      </c>
      <c r="T528" s="51" t="s">
        <v>2271</v>
      </c>
      <c r="U528" s="51" t="s">
        <v>2272</v>
      </c>
      <c r="V528" s="51" t="s">
        <v>2500</v>
      </c>
      <c r="W528" s="77" t="s">
        <v>2501</v>
      </c>
      <c r="X528" s="51" t="s">
        <v>2269</v>
      </c>
      <c r="Y528" s="53" t="s">
        <v>2270</v>
      </c>
      <c r="Z528" s="53" t="s">
        <v>2500</v>
      </c>
      <c r="AA528" s="60" t="s">
        <v>372</v>
      </c>
    </row>
    <row r="529" spans="2:27" ht="80.25" hidden="1" customHeight="1">
      <c r="B529" s="51" t="s">
        <v>59</v>
      </c>
      <c r="C529" s="51" t="s">
        <v>2264</v>
      </c>
      <c r="D529" s="51" t="s">
        <v>60</v>
      </c>
      <c r="E529" s="52">
        <v>1</v>
      </c>
      <c r="F529" s="51" t="s">
        <v>293</v>
      </c>
      <c r="G529" s="51" t="s">
        <v>294</v>
      </c>
      <c r="H529" s="54" t="s">
        <v>295</v>
      </c>
      <c r="I529" s="52">
        <v>57</v>
      </c>
      <c r="J529" s="51" t="s">
        <v>123</v>
      </c>
      <c r="K529" s="52">
        <v>4</v>
      </c>
      <c r="L529" s="52"/>
      <c r="M529" s="52"/>
      <c r="N529" s="53" t="s">
        <v>296</v>
      </c>
      <c r="O529" s="53" t="s">
        <v>297</v>
      </c>
      <c r="P529" s="52"/>
      <c r="Q529" s="53" t="s">
        <v>2502</v>
      </c>
      <c r="R529" s="55" t="s">
        <v>299</v>
      </c>
      <c r="S529" s="51" t="s">
        <v>300</v>
      </c>
      <c r="T529" s="55" t="s">
        <v>2265</v>
      </c>
      <c r="U529" s="55" t="s">
        <v>2266</v>
      </c>
      <c r="V529" s="55" t="s">
        <v>369</v>
      </c>
      <c r="W529" s="77" t="s">
        <v>2503</v>
      </c>
      <c r="X529" s="51" t="s">
        <v>2269</v>
      </c>
      <c r="Y529" s="53" t="s">
        <v>2270</v>
      </c>
      <c r="Z529" s="53" t="s">
        <v>2332</v>
      </c>
      <c r="AA529" s="60" t="s">
        <v>372</v>
      </c>
    </row>
    <row r="530" spans="2:27" ht="80.25" hidden="1" customHeight="1">
      <c r="B530" s="51" t="s">
        <v>59</v>
      </c>
      <c r="C530" s="51" t="s">
        <v>2264</v>
      </c>
      <c r="D530" s="51" t="s">
        <v>60</v>
      </c>
      <c r="E530" s="52">
        <v>1</v>
      </c>
      <c r="F530" s="51" t="s">
        <v>304</v>
      </c>
      <c r="G530" s="51" t="s">
        <v>305</v>
      </c>
      <c r="H530" s="54" t="s">
        <v>295</v>
      </c>
      <c r="I530" s="52">
        <v>58</v>
      </c>
      <c r="J530" s="51" t="s">
        <v>123</v>
      </c>
      <c r="K530" s="52">
        <v>4</v>
      </c>
      <c r="L530" s="52"/>
      <c r="M530" s="52"/>
      <c r="N530" s="53" t="s">
        <v>306</v>
      </c>
      <c r="O530" s="53" t="s">
        <v>307</v>
      </c>
      <c r="P530" s="52"/>
      <c r="Q530" s="55" t="s">
        <v>459</v>
      </c>
      <c r="R530" s="55" t="s">
        <v>203</v>
      </c>
      <c r="S530" s="51" t="s">
        <v>309</v>
      </c>
      <c r="T530" s="55" t="s">
        <v>2504</v>
      </c>
      <c r="U530" s="55" t="s">
        <v>2505</v>
      </c>
      <c r="V530" s="55" t="s">
        <v>555</v>
      </c>
      <c r="W530" s="77" t="s">
        <v>2506</v>
      </c>
      <c r="X530" s="51" t="s">
        <v>2507</v>
      </c>
      <c r="Y530" s="53" t="s">
        <v>2508</v>
      </c>
      <c r="Z530" s="53" t="s">
        <v>2509</v>
      </c>
      <c r="AA530" s="60" t="s">
        <v>372</v>
      </c>
    </row>
    <row r="531" spans="2:27" ht="80.25" hidden="1" customHeight="1">
      <c r="B531" s="51" t="s">
        <v>59</v>
      </c>
      <c r="C531" s="51" t="s">
        <v>2264</v>
      </c>
      <c r="D531" s="51" t="s">
        <v>60</v>
      </c>
      <c r="E531" s="52">
        <v>1</v>
      </c>
      <c r="F531" s="51" t="s">
        <v>317</v>
      </c>
      <c r="G531" s="51" t="s">
        <v>318</v>
      </c>
      <c r="H531" s="51" t="s">
        <v>319</v>
      </c>
      <c r="I531" s="52">
        <v>59</v>
      </c>
      <c r="J531" s="51" t="s">
        <v>123</v>
      </c>
      <c r="K531" s="52">
        <v>2</v>
      </c>
      <c r="L531" s="52"/>
      <c r="M531" s="52"/>
      <c r="N531" s="53" t="s">
        <v>320</v>
      </c>
      <c r="O531" s="53" t="s">
        <v>321</v>
      </c>
      <c r="P531" s="52"/>
      <c r="Q531" s="53" t="s">
        <v>463</v>
      </c>
      <c r="R531" s="55"/>
      <c r="S531" s="51"/>
      <c r="T531" s="51" t="s">
        <v>2271</v>
      </c>
      <c r="U531" s="51" t="s">
        <v>2272</v>
      </c>
      <c r="V531" s="51" t="s">
        <v>372</v>
      </c>
      <c r="W531" s="77" t="s">
        <v>2510</v>
      </c>
      <c r="X531" s="51" t="s">
        <v>2269</v>
      </c>
      <c r="Y531" s="54" t="s">
        <v>372</v>
      </c>
      <c r="Z531" s="54" t="s">
        <v>372</v>
      </c>
      <c r="AA531" s="60" t="s">
        <v>2511</v>
      </c>
    </row>
    <row r="532" spans="2:27" ht="80.25" hidden="1" customHeight="1">
      <c r="B532" s="51" t="s">
        <v>59</v>
      </c>
      <c r="C532" s="51" t="s">
        <v>2264</v>
      </c>
      <c r="D532" s="51" t="s">
        <v>60</v>
      </c>
      <c r="E532" s="52">
        <v>1</v>
      </c>
      <c r="F532" s="51" t="s">
        <v>326</v>
      </c>
      <c r="G532" s="51" t="s">
        <v>327</v>
      </c>
      <c r="H532" s="51" t="s">
        <v>328</v>
      </c>
      <c r="I532" s="52">
        <v>60</v>
      </c>
      <c r="J532" s="51" t="s">
        <v>123</v>
      </c>
      <c r="K532" s="52">
        <v>10</v>
      </c>
      <c r="L532" s="52"/>
      <c r="M532" s="52"/>
      <c r="N532" s="53" t="s">
        <v>329</v>
      </c>
      <c r="O532" s="53" t="s">
        <v>361</v>
      </c>
      <c r="P532" s="52" t="s">
        <v>126</v>
      </c>
      <c r="Q532" s="51"/>
      <c r="R532" s="55" t="s">
        <v>275</v>
      </c>
      <c r="S532" s="51" t="s">
        <v>803</v>
      </c>
      <c r="T532" s="51" t="s">
        <v>2271</v>
      </c>
      <c r="U532" s="51" t="s">
        <v>2272</v>
      </c>
      <c r="V532" s="51" t="s">
        <v>678</v>
      </c>
      <c r="W532" s="77" t="s">
        <v>2512</v>
      </c>
      <c r="X532" s="54" t="s">
        <v>372</v>
      </c>
      <c r="Y532" s="54" t="s">
        <v>372</v>
      </c>
      <c r="Z532" s="54" t="s">
        <v>372</v>
      </c>
      <c r="AA532" s="60" t="s">
        <v>372</v>
      </c>
    </row>
    <row r="533" spans="2:27" ht="80.25" hidden="1" customHeight="1">
      <c r="B533" s="51" t="s">
        <v>59</v>
      </c>
      <c r="C533" s="51" t="s">
        <v>2264</v>
      </c>
      <c r="D533" s="51" t="s">
        <v>60</v>
      </c>
      <c r="E533" s="52">
        <v>1</v>
      </c>
      <c r="F533" s="51" t="s">
        <v>333</v>
      </c>
      <c r="G533" s="51" t="s">
        <v>334</v>
      </c>
      <c r="H533" s="51" t="s">
        <v>335</v>
      </c>
      <c r="I533" s="52">
        <v>61</v>
      </c>
      <c r="J533" s="51" t="s">
        <v>336</v>
      </c>
      <c r="K533" s="52">
        <v>23</v>
      </c>
      <c r="L533" s="52"/>
      <c r="M533" s="52"/>
      <c r="N533" s="53" t="s">
        <v>337</v>
      </c>
      <c r="O533" s="53" t="s">
        <v>338</v>
      </c>
      <c r="P533" s="52"/>
      <c r="Q533" s="51"/>
      <c r="R533" s="55"/>
      <c r="S533" s="51"/>
      <c r="T533" s="51" t="s">
        <v>2271</v>
      </c>
      <c r="U533" s="51" t="s">
        <v>2272</v>
      </c>
      <c r="V533" s="51" t="s">
        <v>372</v>
      </c>
      <c r="W533" s="77" t="s">
        <v>551</v>
      </c>
      <c r="X533" s="54" t="s">
        <v>372</v>
      </c>
      <c r="Y533" s="54" t="s">
        <v>372</v>
      </c>
      <c r="Z533" s="54" t="s">
        <v>372</v>
      </c>
      <c r="AA533" s="60" t="s">
        <v>372</v>
      </c>
    </row>
    <row r="534" spans="2:27" ht="80.25" hidden="1" customHeight="1">
      <c r="B534" s="51" t="s">
        <v>340</v>
      </c>
      <c r="C534" s="51" t="s">
        <v>2513</v>
      </c>
      <c r="D534" s="51" t="s">
        <v>62</v>
      </c>
      <c r="E534" s="52">
        <v>0</v>
      </c>
      <c r="F534" s="51" t="s">
        <v>120</v>
      </c>
      <c r="G534" s="51" t="s">
        <v>121</v>
      </c>
      <c r="H534" s="51" t="s">
        <v>122</v>
      </c>
      <c r="I534" s="52">
        <v>1</v>
      </c>
      <c r="J534" s="51" t="s">
        <v>123</v>
      </c>
      <c r="K534" s="52">
        <v>4</v>
      </c>
      <c r="L534" s="52"/>
      <c r="M534" s="52"/>
      <c r="N534" s="321" t="s">
        <v>124</v>
      </c>
      <c r="O534" s="53" t="s">
        <v>125</v>
      </c>
      <c r="P534" s="52" t="s">
        <v>126</v>
      </c>
      <c r="Q534" s="51"/>
      <c r="R534" s="55"/>
      <c r="S534" s="51"/>
      <c r="T534" s="51" t="s">
        <v>2271</v>
      </c>
      <c r="U534" s="51" t="s">
        <v>2272</v>
      </c>
      <c r="V534" s="51" t="s">
        <v>1107</v>
      </c>
      <c r="W534" s="77" t="s">
        <v>2514</v>
      </c>
      <c r="X534" s="51" t="s">
        <v>2269</v>
      </c>
      <c r="Y534" s="53" t="s">
        <v>2270</v>
      </c>
      <c r="Z534" s="53" t="s">
        <v>1107</v>
      </c>
      <c r="AA534" s="60" t="s">
        <v>372</v>
      </c>
    </row>
    <row r="535" spans="2:27" ht="80.25" hidden="1" customHeight="1">
      <c r="B535" s="51" t="s">
        <v>340</v>
      </c>
      <c r="C535" s="51" t="s">
        <v>2513</v>
      </c>
      <c r="D535" s="51" t="s">
        <v>62</v>
      </c>
      <c r="E535" s="52">
        <v>0</v>
      </c>
      <c r="F535" s="51" t="s">
        <v>136</v>
      </c>
      <c r="G535" s="51" t="s">
        <v>137</v>
      </c>
      <c r="H535" s="51" t="s">
        <v>122</v>
      </c>
      <c r="I535" s="52">
        <v>2</v>
      </c>
      <c r="J535" s="51" t="s">
        <v>123</v>
      </c>
      <c r="K535" s="52">
        <v>30</v>
      </c>
      <c r="L535" s="52"/>
      <c r="M535" s="52"/>
      <c r="N535" s="53" t="s">
        <v>138</v>
      </c>
      <c r="O535" s="53" t="s">
        <v>139</v>
      </c>
      <c r="P535" s="52" t="s">
        <v>126</v>
      </c>
      <c r="Q535" s="51"/>
      <c r="R535" s="55"/>
      <c r="S535" s="51"/>
      <c r="T535" s="51" t="s">
        <v>2271</v>
      </c>
      <c r="U535" s="51" t="s">
        <v>2272</v>
      </c>
      <c r="V535" s="51" t="s">
        <v>2273</v>
      </c>
      <c r="W535" s="77" t="s">
        <v>2515</v>
      </c>
      <c r="X535" s="51" t="s">
        <v>2269</v>
      </c>
      <c r="Y535" s="53" t="s">
        <v>2270</v>
      </c>
      <c r="Z535" s="53" t="s">
        <v>2516</v>
      </c>
      <c r="AA535" s="60" t="s">
        <v>372</v>
      </c>
    </row>
    <row r="536" spans="2:27" ht="80.25" hidden="1" customHeight="1">
      <c r="B536" s="51" t="s">
        <v>340</v>
      </c>
      <c r="C536" s="51" t="s">
        <v>2513</v>
      </c>
      <c r="D536" s="51" t="s">
        <v>62</v>
      </c>
      <c r="E536" s="52">
        <v>0</v>
      </c>
      <c r="F536" s="51" t="s">
        <v>352</v>
      </c>
      <c r="G536" s="51" t="s">
        <v>353</v>
      </c>
      <c r="H536" s="51" t="s">
        <v>240</v>
      </c>
      <c r="I536" s="52">
        <v>3</v>
      </c>
      <c r="J536" s="51" t="s">
        <v>123</v>
      </c>
      <c r="K536" s="52">
        <v>1</v>
      </c>
      <c r="L536" s="52"/>
      <c r="M536" s="52"/>
      <c r="N536" s="53" t="s">
        <v>354</v>
      </c>
      <c r="O536" s="53" t="s">
        <v>355</v>
      </c>
      <c r="P536" s="52"/>
      <c r="Q536" s="51"/>
      <c r="R536" s="55"/>
      <c r="S536" s="51"/>
      <c r="T536" s="51" t="s">
        <v>2271</v>
      </c>
      <c r="U536" s="51" t="s">
        <v>2272</v>
      </c>
      <c r="V536" s="74" t="s">
        <v>372</v>
      </c>
      <c r="W536" s="77" t="s">
        <v>2517</v>
      </c>
      <c r="X536" s="51" t="s">
        <v>2269</v>
      </c>
      <c r="Y536" s="51" t="s">
        <v>372</v>
      </c>
      <c r="Z536" s="51" t="s">
        <v>372</v>
      </c>
      <c r="AA536" s="52" t="s">
        <v>2518</v>
      </c>
    </row>
    <row r="537" spans="2:27" ht="80.25" hidden="1" customHeight="1">
      <c r="B537" s="51" t="s">
        <v>340</v>
      </c>
      <c r="C537" s="51" t="s">
        <v>2513</v>
      </c>
      <c r="D537" s="51" t="s">
        <v>62</v>
      </c>
      <c r="E537" s="52">
        <v>0</v>
      </c>
      <c r="F537" s="51" t="s">
        <v>317</v>
      </c>
      <c r="G537" s="51" t="s">
        <v>318</v>
      </c>
      <c r="H537" s="51" t="s">
        <v>319</v>
      </c>
      <c r="I537" s="52">
        <v>4</v>
      </c>
      <c r="J537" s="51" t="s">
        <v>123</v>
      </c>
      <c r="K537" s="52">
        <v>2</v>
      </c>
      <c r="L537" s="52"/>
      <c r="M537" s="52"/>
      <c r="N537" s="53" t="s">
        <v>320</v>
      </c>
      <c r="O537" s="53" t="s">
        <v>321</v>
      </c>
      <c r="P537" s="318" t="s">
        <v>126</v>
      </c>
      <c r="Q537" s="53" t="s">
        <v>463</v>
      </c>
      <c r="R537" s="55"/>
      <c r="S537" s="51"/>
      <c r="T537" s="51" t="s">
        <v>2271</v>
      </c>
      <c r="U537" s="51" t="s">
        <v>2272</v>
      </c>
      <c r="V537" s="51" t="s">
        <v>372</v>
      </c>
      <c r="W537" s="77" t="s">
        <v>2510</v>
      </c>
      <c r="X537" s="51" t="s">
        <v>2269</v>
      </c>
      <c r="Y537" s="54" t="s">
        <v>372</v>
      </c>
      <c r="Z537" s="54" t="s">
        <v>372</v>
      </c>
      <c r="AA537" s="60" t="s">
        <v>2511</v>
      </c>
    </row>
    <row r="538" spans="2:27" ht="80.25" hidden="1" customHeight="1">
      <c r="B538" s="51" t="s">
        <v>340</v>
      </c>
      <c r="C538" s="51" t="s">
        <v>2513</v>
      </c>
      <c r="D538" s="51" t="s">
        <v>62</v>
      </c>
      <c r="E538" s="52">
        <v>0</v>
      </c>
      <c r="F538" s="51" t="s">
        <v>326</v>
      </c>
      <c r="G538" s="51" t="s">
        <v>327</v>
      </c>
      <c r="H538" s="51" t="s">
        <v>328</v>
      </c>
      <c r="I538" s="52">
        <v>5</v>
      </c>
      <c r="J538" s="51" t="s">
        <v>123</v>
      </c>
      <c r="K538" s="52">
        <v>10</v>
      </c>
      <c r="L538" s="52"/>
      <c r="M538" s="52"/>
      <c r="N538" s="53" t="s">
        <v>329</v>
      </c>
      <c r="O538" s="53" t="s">
        <v>361</v>
      </c>
      <c r="P538" s="52"/>
      <c r="Q538" s="51"/>
      <c r="R538" s="55"/>
      <c r="S538" s="51"/>
      <c r="T538" s="51" t="s">
        <v>2271</v>
      </c>
      <c r="U538" s="51" t="s">
        <v>2272</v>
      </c>
      <c r="V538" s="51" t="s">
        <v>678</v>
      </c>
      <c r="W538" s="77" t="s">
        <v>2512</v>
      </c>
      <c r="X538" s="54" t="s">
        <v>372</v>
      </c>
      <c r="Y538" s="54" t="s">
        <v>372</v>
      </c>
      <c r="Z538" s="54" t="s">
        <v>372</v>
      </c>
      <c r="AA538" s="60" t="s">
        <v>372</v>
      </c>
    </row>
    <row r="539" spans="2:27" ht="80.25" hidden="1" customHeight="1">
      <c r="B539" s="51" t="s">
        <v>340</v>
      </c>
      <c r="C539" s="51" t="s">
        <v>2513</v>
      </c>
      <c r="D539" s="51" t="s">
        <v>62</v>
      </c>
      <c r="E539" s="52">
        <v>0</v>
      </c>
      <c r="F539" s="51" t="s">
        <v>333</v>
      </c>
      <c r="G539" s="51" t="s">
        <v>334</v>
      </c>
      <c r="H539" s="51" t="s">
        <v>335</v>
      </c>
      <c r="I539" s="52">
        <v>6</v>
      </c>
      <c r="J539" s="51" t="s">
        <v>336</v>
      </c>
      <c r="K539" s="52">
        <v>23</v>
      </c>
      <c r="L539" s="52"/>
      <c r="M539" s="52"/>
      <c r="N539" s="53" t="s">
        <v>337</v>
      </c>
      <c r="O539" s="53" t="s">
        <v>338</v>
      </c>
      <c r="P539" s="52"/>
      <c r="Q539" s="51"/>
      <c r="R539" s="55"/>
      <c r="S539" s="51"/>
      <c r="T539" s="51" t="s">
        <v>2271</v>
      </c>
      <c r="U539" s="51" t="s">
        <v>2272</v>
      </c>
      <c r="V539" s="51" t="s">
        <v>372</v>
      </c>
      <c r="W539" s="77" t="s">
        <v>806</v>
      </c>
      <c r="X539" s="54" t="s">
        <v>372</v>
      </c>
      <c r="Y539" s="54" t="s">
        <v>372</v>
      </c>
      <c r="Z539" s="54" t="s">
        <v>372</v>
      </c>
      <c r="AA539" s="60" t="s">
        <v>372</v>
      </c>
    </row>
    <row r="540" spans="2:27" ht="217.5" hidden="1" customHeight="1">
      <c r="B540" s="51" t="s">
        <v>64</v>
      </c>
      <c r="C540" s="51" t="s">
        <v>2519</v>
      </c>
      <c r="D540" s="51" t="s">
        <v>65</v>
      </c>
      <c r="E540" s="52">
        <v>1</v>
      </c>
      <c r="F540" s="51" t="s">
        <v>120</v>
      </c>
      <c r="G540" s="51" t="s">
        <v>121</v>
      </c>
      <c r="H540" s="51" t="s">
        <v>122</v>
      </c>
      <c r="I540" s="52">
        <v>1</v>
      </c>
      <c r="J540" s="51" t="s">
        <v>123</v>
      </c>
      <c r="K540" s="52">
        <v>4</v>
      </c>
      <c r="L540" s="52"/>
      <c r="M540" s="52"/>
      <c r="N540" s="321" t="s">
        <v>124</v>
      </c>
      <c r="O540" s="53" t="s">
        <v>125</v>
      </c>
      <c r="P540" s="52" t="s">
        <v>126</v>
      </c>
      <c r="Q540" s="51"/>
      <c r="R540" s="55" t="s">
        <v>1326</v>
      </c>
      <c r="S540" s="55" t="s">
        <v>1327</v>
      </c>
      <c r="T540" s="168" t="s">
        <v>2520</v>
      </c>
      <c r="U540" s="84" t="s">
        <v>2521</v>
      </c>
      <c r="V540" s="84" t="s">
        <v>2522</v>
      </c>
      <c r="W540" s="373" t="s">
        <v>2523</v>
      </c>
      <c r="X540" s="55" t="s">
        <v>2524</v>
      </c>
      <c r="Y540" s="53" t="s">
        <v>2525</v>
      </c>
      <c r="Z540" s="53" t="s">
        <v>2526</v>
      </c>
      <c r="AA540" s="60" t="s">
        <v>2527</v>
      </c>
    </row>
    <row r="541" spans="2:27" ht="80.25" hidden="1" customHeight="1">
      <c r="B541" s="51" t="s">
        <v>64</v>
      </c>
      <c r="C541" s="51" t="s">
        <v>2519</v>
      </c>
      <c r="D541" s="51" t="s">
        <v>65</v>
      </c>
      <c r="E541" s="52">
        <v>1</v>
      </c>
      <c r="F541" s="51" t="s">
        <v>136</v>
      </c>
      <c r="G541" s="51" t="s">
        <v>137</v>
      </c>
      <c r="H541" s="51" t="s">
        <v>122</v>
      </c>
      <c r="I541" s="52">
        <v>2</v>
      </c>
      <c r="J541" s="51" t="s">
        <v>123</v>
      </c>
      <c r="K541" s="52">
        <v>30</v>
      </c>
      <c r="L541" s="52"/>
      <c r="M541" s="52"/>
      <c r="N541" s="53" t="s">
        <v>138</v>
      </c>
      <c r="O541" s="53" t="s">
        <v>139</v>
      </c>
      <c r="P541" s="52" t="s">
        <v>126</v>
      </c>
      <c r="Q541" s="51"/>
      <c r="R541" s="55" t="s">
        <v>1326</v>
      </c>
      <c r="S541" s="55" t="s">
        <v>1327</v>
      </c>
      <c r="T541" s="168" t="s">
        <v>2528</v>
      </c>
      <c r="U541" s="84" t="s">
        <v>2529</v>
      </c>
      <c r="V541" s="55" t="s">
        <v>2530</v>
      </c>
      <c r="W541" s="312" t="s">
        <v>2531</v>
      </c>
      <c r="X541" s="55" t="s">
        <v>2532</v>
      </c>
      <c r="Y541" s="53" t="s">
        <v>2533</v>
      </c>
      <c r="Z541" s="53" t="s">
        <v>2534</v>
      </c>
      <c r="AA541" s="60" t="s">
        <v>2535</v>
      </c>
    </row>
    <row r="542" spans="2:27" ht="80.25" hidden="1" customHeight="1">
      <c r="B542" s="51" t="s">
        <v>64</v>
      </c>
      <c r="C542" s="51" t="s">
        <v>2519</v>
      </c>
      <c r="D542" s="51" t="s">
        <v>65</v>
      </c>
      <c r="E542" s="52">
        <v>1</v>
      </c>
      <c r="F542" s="51" t="s">
        <v>148</v>
      </c>
      <c r="G542" s="51" t="s">
        <v>149</v>
      </c>
      <c r="H542" s="54" t="s">
        <v>150</v>
      </c>
      <c r="I542" s="52">
        <v>3</v>
      </c>
      <c r="J542" s="51" t="s">
        <v>123</v>
      </c>
      <c r="K542" s="52">
        <v>4</v>
      </c>
      <c r="L542" s="52"/>
      <c r="M542" s="52"/>
      <c r="N542" s="53" t="s">
        <v>151</v>
      </c>
      <c r="O542" s="53" t="s">
        <v>152</v>
      </c>
      <c r="P542" s="52"/>
      <c r="Q542" s="53" t="s">
        <v>586</v>
      </c>
      <c r="R542" s="55"/>
      <c r="S542" s="51"/>
      <c r="T542" s="168" t="s">
        <v>2520</v>
      </c>
      <c r="U542" s="84" t="s">
        <v>2521</v>
      </c>
      <c r="V542" s="84" t="s">
        <v>2522</v>
      </c>
      <c r="W542" s="373" t="s">
        <v>2536</v>
      </c>
      <c r="X542" s="55" t="s">
        <v>351</v>
      </c>
      <c r="Y542" s="55" t="s">
        <v>351</v>
      </c>
      <c r="Z542" s="55" t="s">
        <v>351</v>
      </c>
      <c r="AA542" s="60" t="s">
        <v>351</v>
      </c>
    </row>
    <row r="543" spans="2:27" ht="80.25" hidden="1" customHeight="1">
      <c r="B543" s="51" t="s">
        <v>64</v>
      </c>
      <c r="C543" s="51" t="s">
        <v>2519</v>
      </c>
      <c r="D543" s="51" t="s">
        <v>65</v>
      </c>
      <c r="E543" s="52">
        <v>1</v>
      </c>
      <c r="F543" s="51" t="s">
        <v>155</v>
      </c>
      <c r="G543" s="51" t="s">
        <v>156</v>
      </c>
      <c r="H543" s="54" t="s">
        <v>150</v>
      </c>
      <c r="I543" s="52">
        <v>3</v>
      </c>
      <c r="J543" s="51" t="s">
        <v>123</v>
      </c>
      <c r="K543" s="52">
        <v>4</v>
      </c>
      <c r="L543" s="52"/>
      <c r="M543" s="52"/>
      <c r="N543" s="53" t="s">
        <v>157</v>
      </c>
      <c r="O543" s="53" t="s">
        <v>158</v>
      </c>
      <c r="P543" s="52"/>
      <c r="Q543" s="55" t="s">
        <v>2537</v>
      </c>
      <c r="R543" s="55" t="s">
        <v>160</v>
      </c>
      <c r="S543" s="55" t="s">
        <v>161</v>
      </c>
      <c r="T543" s="168" t="s">
        <v>2528</v>
      </c>
      <c r="U543" s="84" t="s">
        <v>2538</v>
      </c>
      <c r="V543" s="55" t="s">
        <v>2539</v>
      </c>
      <c r="W543" s="312" t="s">
        <v>2540</v>
      </c>
      <c r="X543" s="55" t="s">
        <v>2532</v>
      </c>
      <c r="Y543" s="65" t="s">
        <v>2541</v>
      </c>
      <c r="Z543" s="75" t="s">
        <v>2542</v>
      </c>
      <c r="AA543" s="60" t="s">
        <v>2535</v>
      </c>
    </row>
    <row r="544" spans="2:27" ht="80.25" hidden="1" customHeight="1">
      <c r="B544" s="51" t="s">
        <v>64</v>
      </c>
      <c r="C544" s="51" t="s">
        <v>2519</v>
      </c>
      <c r="D544" s="51" t="s">
        <v>65</v>
      </c>
      <c r="E544" s="52">
        <v>1</v>
      </c>
      <c r="F544" s="51" t="s">
        <v>167</v>
      </c>
      <c r="G544" s="51" t="s">
        <v>168</v>
      </c>
      <c r="H544" s="54" t="s">
        <v>150</v>
      </c>
      <c r="I544" s="52">
        <v>3</v>
      </c>
      <c r="J544" s="51" t="s">
        <v>123</v>
      </c>
      <c r="K544" s="52">
        <v>4</v>
      </c>
      <c r="L544" s="52"/>
      <c r="M544" s="52"/>
      <c r="N544" s="53" t="s">
        <v>169</v>
      </c>
      <c r="O544" s="53" t="s">
        <v>170</v>
      </c>
      <c r="P544" s="52"/>
      <c r="Q544" s="55" t="s">
        <v>2543</v>
      </c>
      <c r="R544" s="55" t="s">
        <v>160</v>
      </c>
      <c r="S544" s="55" t="s">
        <v>172</v>
      </c>
      <c r="T544" s="168" t="s">
        <v>2528</v>
      </c>
      <c r="U544" s="84" t="s">
        <v>2538</v>
      </c>
      <c r="V544" s="55" t="s">
        <v>2544</v>
      </c>
      <c r="W544" s="312" t="s">
        <v>2545</v>
      </c>
      <c r="X544" s="55" t="s">
        <v>2532</v>
      </c>
      <c r="Y544" s="65" t="s">
        <v>2541</v>
      </c>
      <c r="Z544" s="338" t="s">
        <v>2546</v>
      </c>
      <c r="AA544" s="60" t="s">
        <v>2535</v>
      </c>
    </row>
    <row r="545" spans="2:27" ht="80.25" hidden="1" customHeight="1">
      <c r="B545" s="51" t="s">
        <v>64</v>
      </c>
      <c r="C545" s="51" t="s">
        <v>2519</v>
      </c>
      <c r="D545" s="51" t="s">
        <v>65</v>
      </c>
      <c r="E545" s="52">
        <v>1</v>
      </c>
      <c r="F545" s="51" t="s">
        <v>176</v>
      </c>
      <c r="G545" s="51" t="s">
        <v>177</v>
      </c>
      <c r="H545" s="54" t="s">
        <v>150</v>
      </c>
      <c r="I545" s="52">
        <v>6</v>
      </c>
      <c r="J545" s="51" t="s">
        <v>123</v>
      </c>
      <c r="K545" s="52">
        <v>4</v>
      </c>
      <c r="L545" s="52"/>
      <c r="M545" s="52"/>
      <c r="N545" s="72" t="s">
        <v>2547</v>
      </c>
      <c r="O545" s="53" t="s">
        <v>179</v>
      </c>
      <c r="P545" s="52"/>
      <c r="Q545" s="51"/>
      <c r="R545" s="55" t="s">
        <v>180</v>
      </c>
      <c r="S545" s="55" t="s">
        <v>181</v>
      </c>
      <c r="T545" s="168" t="s">
        <v>2520</v>
      </c>
      <c r="U545" s="84" t="s">
        <v>2521</v>
      </c>
      <c r="V545" s="84" t="s">
        <v>2522</v>
      </c>
      <c r="W545" s="373" t="s">
        <v>2548</v>
      </c>
      <c r="X545" s="55" t="s">
        <v>2524</v>
      </c>
      <c r="Y545" s="53" t="s">
        <v>351</v>
      </c>
      <c r="Z545" s="53" t="s">
        <v>351</v>
      </c>
      <c r="AA545" s="60" t="s">
        <v>2527</v>
      </c>
    </row>
    <row r="546" spans="2:27" ht="80.25" hidden="1" customHeight="1">
      <c r="B546" s="51" t="s">
        <v>64</v>
      </c>
      <c r="C546" s="51" t="s">
        <v>2519</v>
      </c>
      <c r="D546" s="51" t="s">
        <v>65</v>
      </c>
      <c r="E546" s="52">
        <v>1</v>
      </c>
      <c r="F546" s="51" t="s">
        <v>187</v>
      </c>
      <c r="G546" s="51" t="s">
        <v>188</v>
      </c>
      <c r="H546" s="54" t="s">
        <v>150</v>
      </c>
      <c r="I546" s="52">
        <v>7</v>
      </c>
      <c r="J546" s="51" t="s">
        <v>123</v>
      </c>
      <c r="K546" s="52">
        <v>30</v>
      </c>
      <c r="L546" s="52"/>
      <c r="M546" s="52"/>
      <c r="N546" s="53" t="s">
        <v>2549</v>
      </c>
      <c r="O546" s="53" t="s">
        <v>190</v>
      </c>
      <c r="P546" s="52"/>
      <c r="Q546" s="51"/>
      <c r="R546" s="55" t="s">
        <v>180</v>
      </c>
      <c r="S546" s="55" t="s">
        <v>181</v>
      </c>
      <c r="T546" s="168" t="s">
        <v>2550</v>
      </c>
      <c r="U546" s="84" t="s">
        <v>2551</v>
      </c>
      <c r="V546" s="55" t="s">
        <v>2552</v>
      </c>
      <c r="W546" s="312" t="s">
        <v>2553</v>
      </c>
      <c r="X546" s="55" t="s">
        <v>2532</v>
      </c>
      <c r="Y546" s="53" t="s">
        <v>2554</v>
      </c>
      <c r="Z546" s="53" t="s">
        <v>2555</v>
      </c>
      <c r="AA546" s="60" t="s">
        <v>2535</v>
      </c>
    </row>
    <row r="547" spans="2:27" ht="80.25" hidden="1" customHeight="1">
      <c r="B547" s="51" t="s">
        <v>64</v>
      </c>
      <c r="C547" s="51" t="s">
        <v>2519</v>
      </c>
      <c r="D547" s="51" t="s">
        <v>65</v>
      </c>
      <c r="E547" s="52">
        <v>1</v>
      </c>
      <c r="F547" s="51" t="s">
        <v>198</v>
      </c>
      <c r="G547" s="51" t="s">
        <v>199</v>
      </c>
      <c r="H547" s="54" t="s">
        <v>200</v>
      </c>
      <c r="I547" s="52">
        <v>8</v>
      </c>
      <c r="J547" s="51" t="s">
        <v>123</v>
      </c>
      <c r="K547" s="52">
        <v>10</v>
      </c>
      <c r="L547" s="52"/>
      <c r="M547" s="52"/>
      <c r="N547" s="53" t="s">
        <v>201</v>
      </c>
      <c r="O547" s="53" t="s">
        <v>202</v>
      </c>
      <c r="P547" s="52"/>
      <c r="Q547" s="51"/>
      <c r="R547" s="55" t="s">
        <v>203</v>
      </c>
      <c r="S547" s="51" t="s">
        <v>198</v>
      </c>
      <c r="T547" s="168" t="s">
        <v>2556</v>
      </c>
      <c r="U547" s="84" t="s">
        <v>2557</v>
      </c>
      <c r="V547" s="55" t="s">
        <v>2558</v>
      </c>
      <c r="W547" s="312" t="s">
        <v>2559</v>
      </c>
      <c r="X547" s="55" t="s">
        <v>2524</v>
      </c>
      <c r="Y547" s="53" t="s">
        <v>2560</v>
      </c>
      <c r="Z547" s="53" t="s">
        <v>2561</v>
      </c>
      <c r="AA547" s="60" t="s">
        <v>351</v>
      </c>
    </row>
    <row r="548" spans="2:27" ht="80.25" hidden="1" customHeight="1">
      <c r="B548" s="51" t="s">
        <v>64</v>
      </c>
      <c r="C548" s="51" t="s">
        <v>2519</v>
      </c>
      <c r="D548" s="51" t="s">
        <v>65</v>
      </c>
      <c r="E548" s="52">
        <v>1</v>
      </c>
      <c r="F548" s="51" t="s">
        <v>210</v>
      </c>
      <c r="G548" s="51" t="s">
        <v>211</v>
      </c>
      <c r="H548" s="54" t="s">
        <v>200</v>
      </c>
      <c r="I548" s="52">
        <v>9</v>
      </c>
      <c r="J548" s="51" t="s">
        <v>123</v>
      </c>
      <c r="K548" s="52">
        <v>10</v>
      </c>
      <c r="L548" s="52"/>
      <c r="M548" s="52"/>
      <c r="N548" s="53" t="s">
        <v>212</v>
      </c>
      <c r="O548" s="53" t="s">
        <v>213</v>
      </c>
      <c r="P548" s="52"/>
      <c r="Q548" s="51"/>
      <c r="R548" s="55" t="s">
        <v>214</v>
      </c>
      <c r="S548" s="51" t="s">
        <v>210</v>
      </c>
      <c r="T548" s="168" t="s">
        <v>2556</v>
      </c>
      <c r="U548" s="84" t="s">
        <v>2557</v>
      </c>
      <c r="V548" s="55" t="s">
        <v>2562</v>
      </c>
      <c r="W548" s="312" t="s">
        <v>2563</v>
      </c>
      <c r="X548" s="55" t="s">
        <v>2564</v>
      </c>
      <c r="Y548" s="53" t="s">
        <v>2565</v>
      </c>
      <c r="Z548" s="53" t="s">
        <v>2566</v>
      </c>
      <c r="AA548" s="60" t="s">
        <v>2567</v>
      </c>
    </row>
    <row r="549" spans="2:27" ht="80.25" hidden="1" customHeight="1">
      <c r="B549" s="51" t="s">
        <v>64</v>
      </c>
      <c r="C549" s="51" t="s">
        <v>2519</v>
      </c>
      <c r="D549" s="51" t="s">
        <v>65</v>
      </c>
      <c r="E549" s="52">
        <v>1</v>
      </c>
      <c r="F549" s="51" t="s">
        <v>222</v>
      </c>
      <c r="G549" s="51" t="s">
        <v>223</v>
      </c>
      <c r="H549" s="54" t="s">
        <v>224</v>
      </c>
      <c r="I549" s="52">
        <v>10</v>
      </c>
      <c r="J549" s="51" t="s">
        <v>123</v>
      </c>
      <c r="K549" s="52">
        <v>4</v>
      </c>
      <c r="L549" s="52"/>
      <c r="M549" s="52"/>
      <c r="N549" s="53" t="s">
        <v>225</v>
      </c>
      <c r="O549" s="53" t="s">
        <v>226</v>
      </c>
      <c r="P549" s="52"/>
      <c r="Q549" s="55" t="s">
        <v>2568</v>
      </c>
      <c r="R549" s="55" t="s">
        <v>654</v>
      </c>
      <c r="S549" s="55" t="s">
        <v>229</v>
      </c>
      <c r="T549" s="168" t="s">
        <v>2528</v>
      </c>
      <c r="U549" s="84" t="s">
        <v>2569</v>
      </c>
      <c r="V549" s="55" t="s">
        <v>2570</v>
      </c>
      <c r="W549" s="312" t="s">
        <v>2571</v>
      </c>
      <c r="X549" s="55" t="s">
        <v>2532</v>
      </c>
      <c r="Y549" s="53" t="s">
        <v>2572</v>
      </c>
      <c r="Z549" s="53" t="s">
        <v>2573</v>
      </c>
      <c r="AA549" s="60" t="s">
        <v>2535</v>
      </c>
    </row>
    <row r="550" spans="2:27" ht="80.25" hidden="1" customHeight="1">
      <c r="B550" s="51" t="s">
        <v>64</v>
      </c>
      <c r="C550" s="51" t="s">
        <v>2519</v>
      </c>
      <c r="D550" s="51" t="s">
        <v>65</v>
      </c>
      <c r="E550" s="52">
        <v>1</v>
      </c>
      <c r="F550" s="51" t="s">
        <v>238</v>
      </c>
      <c r="G550" s="51" t="s">
        <v>239</v>
      </c>
      <c r="H550" s="54" t="s">
        <v>240</v>
      </c>
      <c r="I550" s="52">
        <v>11</v>
      </c>
      <c r="J550" s="51" t="s">
        <v>123</v>
      </c>
      <c r="K550" s="52">
        <v>4</v>
      </c>
      <c r="L550" s="52"/>
      <c r="M550" s="52"/>
      <c r="N550" s="53" t="s">
        <v>241</v>
      </c>
      <c r="O550" s="53" t="s">
        <v>242</v>
      </c>
      <c r="P550" s="52"/>
      <c r="Q550" s="54"/>
      <c r="R550" s="63"/>
      <c r="S550" s="61"/>
      <c r="T550" s="168" t="s">
        <v>2556</v>
      </c>
      <c r="U550" s="84" t="s">
        <v>2557</v>
      </c>
      <c r="V550" s="55" t="s">
        <v>134</v>
      </c>
      <c r="W550" s="312" t="s">
        <v>2574</v>
      </c>
      <c r="X550" s="55" t="s">
        <v>2564</v>
      </c>
      <c r="Y550" s="53" t="s">
        <v>2567</v>
      </c>
      <c r="Z550" s="53" t="s">
        <v>2567</v>
      </c>
      <c r="AA550" s="60" t="s">
        <v>2575</v>
      </c>
    </row>
    <row r="551" spans="2:27" ht="80.25" hidden="1" customHeight="1">
      <c r="B551" s="235" t="s">
        <v>64</v>
      </c>
      <c r="C551" s="235" t="s">
        <v>2519</v>
      </c>
      <c r="D551" s="235" t="s">
        <v>65</v>
      </c>
      <c r="E551" s="236">
        <v>1</v>
      </c>
      <c r="F551" s="235" t="s">
        <v>2333</v>
      </c>
      <c r="G551" s="235" t="s">
        <v>2334</v>
      </c>
      <c r="H551" s="237" t="s">
        <v>249</v>
      </c>
      <c r="I551" s="236">
        <v>12</v>
      </c>
      <c r="J551" s="235" t="s">
        <v>471</v>
      </c>
      <c r="K551" s="236"/>
      <c r="L551" s="236"/>
      <c r="M551" s="236"/>
      <c r="N551" s="238" t="s">
        <v>2335</v>
      </c>
      <c r="O551" s="238" t="s">
        <v>2336</v>
      </c>
      <c r="P551" s="236"/>
      <c r="Q551" s="237"/>
      <c r="R551" s="239" t="s">
        <v>722</v>
      </c>
      <c r="S551" s="235" t="s">
        <v>2337</v>
      </c>
      <c r="T551" s="238" t="s">
        <v>2576</v>
      </c>
      <c r="U551" s="238" t="s">
        <v>2577</v>
      </c>
      <c r="V551" s="238" t="s">
        <v>2578</v>
      </c>
      <c r="W551" s="316" t="s">
        <v>2579</v>
      </c>
      <c r="X551" s="239" t="s">
        <v>2524</v>
      </c>
      <c r="Y551" s="238" t="s">
        <v>2580</v>
      </c>
      <c r="Z551" s="238" t="s">
        <v>2581</v>
      </c>
      <c r="AA551" s="240" t="s">
        <v>351</v>
      </c>
    </row>
    <row r="552" spans="2:27" ht="80.25" hidden="1" customHeight="1">
      <c r="B552" s="51" t="s">
        <v>64</v>
      </c>
      <c r="C552" s="51" t="s">
        <v>2519</v>
      </c>
      <c r="D552" s="51" t="s">
        <v>65</v>
      </c>
      <c r="E552" s="52">
        <v>1</v>
      </c>
      <c r="F552" s="51" t="s">
        <v>2582</v>
      </c>
      <c r="G552" s="51" t="s">
        <v>2583</v>
      </c>
      <c r="H552" s="54" t="s">
        <v>249</v>
      </c>
      <c r="I552" s="52">
        <v>13</v>
      </c>
      <c r="J552" s="51" t="s">
        <v>250</v>
      </c>
      <c r="K552" s="52">
        <v>23</v>
      </c>
      <c r="L552" s="52">
        <v>6</v>
      </c>
      <c r="M552" s="52"/>
      <c r="N552" s="53" t="s">
        <v>2584</v>
      </c>
      <c r="O552" s="53" t="s">
        <v>2585</v>
      </c>
      <c r="P552" s="52"/>
      <c r="Q552" s="51"/>
      <c r="R552" s="74"/>
      <c r="S552" s="74"/>
      <c r="T552" s="168" t="s">
        <v>2576</v>
      </c>
      <c r="U552" s="84" t="s">
        <v>2586</v>
      </c>
      <c r="V552" s="55" t="s">
        <v>2587</v>
      </c>
      <c r="W552" s="312" t="s">
        <v>2588</v>
      </c>
      <c r="X552" s="55" t="s">
        <v>2524</v>
      </c>
      <c r="Y552" s="53" t="s">
        <v>2589</v>
      </c>
      <c r="Z552" s="168" t="s">
        <v>2590</v>
      </c>
      <c r="AA552" s="60" t="s">
        <v>351</v>
      </c>
    </row>
    <row r="553" spans="2:27" ht="80.25" hidden="1" customHeight="1">
      <c r="B553" s="51" t="s">
        <v>64</v>
      </c>
      <c r="C553" s="51" t="s">
        <v>2519</v>
      </c>
      <c r="D553" s="51" t="s">
        <v>65</v>
      </c>
      <c r="E553" s="52">
        <v>1</v>
      </c>
      <c r="F553" s="51" t="s">
        <v>260</v>
      </c>
      <c r="G553" s="51" t="s">
        <v>261</v>
      </c>
      <c r="H553" s="54" t="s">
        <v>249</v>
      </c>
      <c r="I553" s="52">
        <v>14</v>
      </c>
      <c r="J553" s="51" t="s">
        <v>250</v>
      </c>
      <c r="K553" s="52">
        <v>23</v>
      </c>
      <c r="L553" s="52">
        <v>6</v>
      </c>
      <c r="M553" s="52"/>
      <c r="N553" s="53" t="s">
        <v>2344</v>
      </c>
      <c r="O553" s="53" t="s">
        <v>263</v>
      </c>
      <c r="P553" s="52"/>
      <c r="Q553" s="51"/>
      <c r="R553" s="55" t="s">
        <v>203</v>
      </c>
      <c r="S553" s="51" t="s">
        <v>253</v>
      </c>
      <c r="T553" s="168" t="s">
        <v>2576</v>
      </c>
      <c r="U553" s="84" t="s">
        <v>2586</v>
      </c>
      <c r="V553" s="55" t="s">
        <v>2591</v>
      </c>
      <c r="W553" s="312" t="s">
        <v>2592</v>
      </c>
      <c r="X553" s="55" t="s">
        <v>2524</v>
      </c>
      <c r="Y553" s="53" t="s">
        <v>2589</v>
      </c>
      <c r="Z553" s="53" t="s">
        <v>2593</v>
      </c>
      <c r="AA553" s="60" t="s">
        <v>351</v>
      </c>
    </row>
    <row r="554" spans="2:27" ht="80.25" hidden="1" customHeight="1">
      <c r="B554" s="51" t="s">
        <v>64</v>
      </c>
      <c r="C554" s="51" t="s">
        <v>2519</v>
      </c>
      <c r="D554" s="51" t="s">
        <v>65</v>
      </c>
      <c r="E554" s="52">
        <v>1</v>
      </c>
      <c r="F554" s="51" t="s">
        <v>964</v>
      </c>
      <c r="G554" s="51" t="s">
        <v>965</v>
      </c>
      <c r="H554" s="51" t="s">
        <v>249</v>
      </c>
      <c r="I554" s="52">
        <v>15</v>
      </c>
      <c r="J554" s="51" t="s">
        <v>250</v>
      </c>
      <c r="K554" s="52">
        <v>23</v>
      </c>
      <c r="L554" s="52">
        <v>6</v>
      </c>
      <c r="M554" s="52"/>
      <c r="N554" s="53" t="s">
        <v>966</v>
      </c>
      <c r="O554" s="53" t="s">
        <v>2594</v>
      </c>
      <c r="P554" s="52"/>
      <c r="Q554" s="54"/>
      <c r="R554" s="53" t="s">
        <v>912</v>
      </c>
      <c r="S554" s="54" t="s">
        <v>968</v>
      </c>
      <c r="T554" s="168" t="s">
        <v>2576</v>
      </c>
      <c r="U554" s="84" t="s">
        <v>2586</v>
      </c>
      <c r="V554" s="55" t="s">
        <v>2595</v>
      </c>
      <c r="W554" s="312" t="s">
        <v>2596</v>
      </c>
      <c r="X554" s="55" t="s">
        <v>2524</v>
      </c>
      <c r="Y554" s="53" t="s">
        <v>2589</v>
      </c>
      <c r="Z554" s="53" t="s">
        <v>2597</v>
      </c>
      <c r="AA554" s="60" t="s">
        <v>351</v>
      </c>
    </row>
    <row r="555" spans="2:27" ht="80.25" hidden="1" customHeight="1">
      <c r="B555" s="51" t="s">
        <v>64</v>
      </c>
      <c r="C555" s="51" t="s">
        <v>2519</v>
      </c>
      <c r="D555" s="51" t="s">
        <v>65</v>
      </c>
      <c r="E555" s="52">
        <v>1</v>
      </c>
      <c r="F555" s="51" t="s">
        <v>648</v>
      </c>
      <c r="G555" s="51" t="s">
        <v>649</v>
      </c>
      <c r="H555" s="51" t="s">
        <v>249</v>
      </c>
      <c r="I555" s="52">
        <v>16</v>
      </c>
      <c r="J555" s="51" t="s">
        <v>250</v>
      </c>
      <c r="K555" s="52">
        <v>23</v>
      </c>
      <c r="L555" s="52">
        <v>6</v>
      </c>
      <c r="M555" s="52"/>
      <c r="N555" s="53" t="s">
        <v>650</v>
      </c>
      <c r="O555" s="53" t="s">
        <v>651</v>
      </c>
      <c r="P555" s="52"/>
      <c r="Q555" s="54"/>
      <c r="R555" s="53" t="s">
        <v>685</v>
      </c>
      <c r="S555" s="53" t="s">
        <v>2362</v>
      </c>
      <c r="T555" s="168" t="s">
        <v>2598</v>
      </c>
      <c r="U555" s="84" t="s">
        <v>2599</v>
      </c>
      <c r="V555" s="55" t="s">
        <v>2600</v>
      </c>
      <c r="W555" s="312" t="s">
        <v>2601</v>
      </c>
      <c r="X555" s="55" t="s">
        <v>2564</v>
      </c>
      <c r="Y555" s="53" t="s">
        <v>2602</v>
      </c>
      <c r="Z555" s="53" t="s">
        <v>2603</v>
      </c>
      <c r="AA555" s="60" t="s">
        <v>2604</v>
      </c>
    </row>
    <row r="556" spans="2:27" ht="80.25" hidden="1" customHeight="1">
      <c r="B556" s="51" t="s">
        <v>64</v>
      </c>
      <c r="C556" s="51" t="s">
        <v>2519</v>
      </c>
      <c r="D556" s="51" t="s">
        <v>65</v>
      </c>
      <c r="E556" s="52">
        <v>1</v>
      </c>
      <c r="F556" s="51" t="s">
        <v>271</v>
      </c>
      <c r="G556" s="51" t="s">
        <v>272</v>
      </c>
      <c r="H556" s="51" t="s">
        <v>249</v>
      </c>
      <c r="I556" s="52">
        <v>17</v>
      </c>
      <c r="J556" s="51" t="s">
        <v>250</v>
      </c>
      <c r="K556" s="52">
        <v>23</v>
      </c>
      <c r="L556" s="52">
        <v>6</v>
      </c>
      <c r="M556" s="52"/>
      <c r="N556" s="53" t="s">
        <v>273</v>
      </c>
      <c r="O556" s="53" t="s">
        <v>2605</v>
      </c>
      <c r="P556" s="52"/>
      <c r="Q556" s="54"/>
      <c r="R556" s="53" t="s">
        <v>275</v>
      </c>
      <c r="S556" s="54" t="s">
        <v>2606</v>
      </c>
      <c r="T556" s="168" t="s">
        <v>2576</v>
      </c>
      <c r="U556" s="84" t="s">
        <v>2599</v>
      </c>
      <c r="V556" s="55" t="s">
        <v>2607</v>
      </c>
      <c r="W556" s="312" t="s">
        <v>2608</v>
      </c>
      <c r="X556" s="55" t="s">
        <v>2564</v>
      </c>
      <c r="Y556" s="53" t="s">
        <v>2609</v>
      </c>
      <c r="Z556" s="53" t="s">
        <v>2610</v>
      </c>
      <c r="AA556" s="60" t="s">
        <v>2604</v>
      </c>
    </row>
    <row r="557" spans="2:27" ht="80.25" hidden="1" customHeight="1">
      <c r="B557" s="51" t="s">
        <v>64</v>
      </c>
      <c r="C557" s="51" t="s">
        <v>2519</v>
      </c>
      <c r="D557" s="51" t="s">
        <v>65</v>
      </c>
      <c r="E557" s="52">
        <v>1</v>
      </c>
      <c r="F557" s="51" t="s">
        <v>282</v>
      </c>
      <c r="G557" s="51" t="s">
        <v>283</v>
      </c>
      <c r="H557" s="51" t="s">
        <v>249</v>
      </c>
      <c r="I557" s="52">
        <v>18</v>
      </c>
      <c r="J557" s="51" t="s">
        <v>250</v>
      </c>
      <c r="K557" s="52">
        <v>23</v>
      </c>
      <c r="L557" s="52">
        <v>6</v>
      </c>
      <c r="M557" s="52"/>
      <c r="N557" s="53" t="s">
        <v>284</v>
      </c>
      <c r="O557" s="53" t="s">
        <v>285</v>
      </c>
      <c r="P557" s="52"/>
      <c r="Q557" s="54"/>
      <c r="R557" s="63"/>
      <c r="S557" s="61"/>
      <c r="T557" s="168" t="s">
        <v>2611</v>
      </c>
      <c r="U557" s="84" t="s">
        <v>2612</v>
      </c>
      <c r="V557" s="55" t="s">
        <v>2613</v>
      </c>
      <c r="W557" s="312" t="s">
        <v>2614</v>
      </c>
      <c r="X557" s="55" t="s">
        <v>2564</v>
      </c>
      <c r="Y557" s="53" t="s">
        <v>2615</v>
      </c>
      <c r="Z557" s="53" t="s">
        <v>2616</v>
      </c>
      <c r="AA557" s="60" t="s">
        <v>2617</v>
      </c>
    </row>
    <row r="558" spans="2:27" ht="80.25" hidden="1" customHeight="1">
      <c r="B558" s="51" t="s">
        <v>64</v>
      </c>
      <c r="C558" s="51" t="s">
        <v>2519</v>
      </c>
      <c r="D558" s="51" t="s">
        <v>65</v>
      </c>
      <c r="E558" s="52">
        <v>1</v>
      </c>
      <c r="F558" s="51" t="s">
        <v>714</v>
      </c>
      <c r="G558" s="51" t="s">
        <v>715</v>
      </c>
      <c r="H558" s="54" t="s">
        <v>430</v>
      </c>
      <c r="I558" s="52">
        <v>19</v>
      </c>
      <c r="J558" s="51" t="s">
        <v>123</v>
      </c>
      <c r="K558" s="52">
        <v>10</v>
      </c>
      <c r="L558" s="52"/>
      <c r="M558" s="52"/>
      <c r="N558" s="53" t="s">
        <v>2618</v>
      </c>
      <c r="O558" s="53" t="s">
        <v>717</v>
      </c>
      <c r="P558" s="52"/>
      <c r="Q558" s="54"/>
      <c r="R558" s="55"/>
      <c r="S558" s="51"/>
      <c r="T558" s="55" t="s">
        <v>2556</v>
      </c>
      <c r="U558" s="55" t="s">
        <v>2557</v>
      </c>
      <c r="V558" s="55" t="s">
        <v>2619</v>
      </c>
      <c r="W558" s="312" t="s">
        <v>2620</v>
      </c>
      <c r="X558" s="55" t="s">
        <v>2524</v>
      </c>
      <c r="Y558" s="53" t="s">
        <v>2560</v>
      </c>
      <c r="Z558" s="53" t="s">
        <v>2621</v>
      </c>
      <c r="AA558" s="60" t="s">
        <v>351</v>
      </c>
    </row>
    <row r="559" spans="2:27" ht="80.25" hidden="1" customHeight="1">
      <c r="B559" s="51" t="s">
        <v>64</v>
      </c>
      <c r="C559" s="51" t="s">
        <v>2519</v>
      </c>
      <c r="D559" s="51" t="s">
        <v>65</v>
      </c>
      <c r="E559" s="52">
        <v>1</v>
      </c>
      <c r="F559" s="51" t="s">
        <v>2622</v>
      </c>
      <c r="G559" s="51" t="s">
        <v>2623</v>
      </c>
      <c r="H559" s="54" t="s">
        <v>249</v>
      </c>
      <c r="I559" s="52">
        <v>20</v>
      </c>
      <c r="J559" s="51" t="s">
        <v>250</v>
      </c>
      <c r="K559" s="52">
        <v>23</v>
      </c>
      <c r="L559" s="52">
        <v>6</v>
      </c>
      <c r="M559" s="52"/>
      <c r="N559" s="53" t="s">
        <v>2624</v>
      </c>
      <c r="O559" s="53" t="s">
        <v>2625</v>
      </c>
      <c r="P559" s="52"/>
      <c r="Q559" s="54"/>
      <c r="R559" s="55" t="s">
        <v>722</v>
      </c>
      <c r="S559" s="51" t="s">
        <v>2420</v>
      </c>
      <c r="T559" s="55" t="s">
        <v>2598</v>
      </c>
      <c r="U559" s="55" t="s">
        <v>2626</v>
      </c>
      <c r="V559" s="55" t="s">
        <v>2627</v>
      </c>
      <c r="W559" s="312" t="s">
        <v>2628</v>
      </c>
      <c r="X559" s="55" t="s">
        <v>2524</v>
      </c>
      <c r="Y559" s="53" t="s">
        <v>2629</v>
      </c>
      <c r="Z559" s="53" t="s">
        <v>2630</v>
      </c>
      <c r="AA559" s="60" t="s">
        <v>351</v>
      </c>
    </row>
    <row r="560" spans="2:27" ht="111.75" hidden="1" customHeight="1">
      <c r="B560" s="51" t="s">
        <v>64</v>
      </c>
      <c r="C560" s="51" t="s">
        <v>2519</v>
      </c>
      <c r="D560" s="51" t="s">
        <v>65</v>
      </c>
      <c r="E560" s="52">
        <v>1</v>
      </c>
      <c r="F560" s="51" t="s">
        <v>2631</v>
      </c>
      <c r="G560" s="51" t="s">
        <v>2632</v>
      </c>
      <c r="H560" s="54" t="s">
        <v>249</v>
      </c>
      <c r="I560" s="52">
        <v>22</v>
      </c>
      <c r="J560" s="51" t="s">
        <v>250</v>
      </c>
      <c r="K560" s="52">
        <v>23</v>
      </c>
      <c r="L560" s="52">
        <v>6</v>
      </c>
      <c r="M560" s="52"/>
      <c r="N560" s="53" t="s">
        <v>2633</v>
      </c>
      <c r="O560" s="53" t="s">
        <v>2634</v>
      </c>
      <c r="P560" s="52"/>
      <c r="Q560" s="54"/>
      <c r="R560" s="55" t="s">
        <v>722</v>
      </c>
      <c r="S560" s="51" t="s">
        <v>2420</v>
      </c>
      <c r="T560" s="55" t="s">
        <v>2576</v>
      </c>
      <c r="U560" s="55" t="s">
        <v>2635</v>
      </c>
      <c r="V560" s="55" t="s">
        <v>2636</v>
      </c>
      <c r="W560" s="312" t="s">
        <v>2637</v>
      </c>
      <c r="X560" s="55" t="s">
        <v>2524</v>
      </c>
      <c r="Y560" s="53" t="s">
        <v>2638</v>
      </c>
      <c r="Z560" s="53" t="s">
        <v>2639</v>
      </c>
      <c r="AA560" s="60" t="s">
        <v>2640</v>
      </c>
    </row>
    <row r="561" spans="2:27" ht="80.25" hidden="1" customHeight="1">
      <c r="B561" s="51" t="s">
        <v>64</v>
      </c>
      <c r="C561" s="51" t="s">
        <v>2519</v>
      </c>
      <c r="D561" s="51" t="s">
        <v>65</v>
      </c>
      <c r="E561" s="52">
        <v>1</v>
      </c>
      <c r="F561" s="51" t="s">
        <v>1465</v>
      </c>
      <c r="G561" s="51" t="s">
        <v>1466</v>
      </c>
      <c r="H561" s="54" t="s">
        <v>430</v>
      </c>
      <c r="I561" s="52">
        <v>23</v>
      </c>
      <c r="J561" s="51" t="s">
        <v>123</v>
      </c>
      <c r="K561" s="52">
        <v>10</v>
      </c>
      <c r="L561" s="52"/>
      <c r="M561" s="52"/>
      <c r="N561" s="53" t="s">
        <v>2641</v>
      </c>
      <c r="O561" s="53" t="s">
        <v>1468</v>
      </c>
      <c r="P561" s="52"/>
      <c r="Q561" s="54"/>
      <c r="R561" s="55"/>
      <c r="S561" s="51"/>
      <c r="T561" s="55" t="s">
        <v>2598</v>
      </c>
      <c r="U561" s="55" t="s">
        <v>2642</v>
      </c>
      <c r="V561" s="55" t="s">
        <v>2643</v>
      </c>
      <c r="W561" s="77" t="s">
        <v>2644</v>
      </c>
      <c r="X561" s="55" t="s">
        <v>2524</v>
      </c>
      <c r="Y561" s="55" t="s">
        <v>2645</v>
      </c>
      <c r="Z561" s="53" t="s">
        <v>2646</v>
      </c>
      <c r="AA561" s="60" t="s">
        <v>351</v>
      </c>
    </row>
    <row r="562" spans="2:27" ht="174" hidden="1" customHeight="1">
      <c r="B562" s="51" t="s">
        <v>64</v>
      </c>
      <c r="C562" s="51" t="s">
        <v>2519</v>
      </c>
      <c r="D562" s="51" t="s">
        <v>65</v>
      </c>
      <c r="E562" s="52">
        <v>1</v>
      </c>
      <c r="F562" s="51" t="s">
        <v>1474</v>
      </c>
      <c r="G562" s="51" t="s">
        <v>1475</v>
      </c>
      <c r="H562" s="54" t="s">
        <v>249</v>
      </c>
      <c r="I562" s="52">
        <v>24</v>
      </c>
      <c r="J562" s="51" t="s">
        <v>250</v>
      </c>
      <c r="K562" s="52">
        <v>23</v>
      </c>
      <c r="L562" s="52">
        <v>6</v>
      </c>
      <c r="M562" s="52"/>
      <c r="N562" s="53" t="s">
        <v>1476</v>
      </c>
      <c r="O562" s="53" t="s">
        <v>1477</v>
      </c>
      <c r="P562" s="52"/>
      <c r="Q562" s="54"/>
      <c r="R562" s="55"/>
      <c r="S562" s="51"/>
      <c r="T562" s="55" t="s">
        <v>2647</v>
      </c>
      <c r="U562" s="55" t="s">
        <v>2648</v>
      </c>
      <c r="V562" s="55" t="s">
        <v>2649</v>
      </c>
      <c r="W562" s="312" t="s">
        <v>2650</v>
      </c>
      <c r="X562" s="55" t="s">
        <v>2651</v>
      </c>
      <c r="Y562" s="55" t="s">
        <v>2645</v>
      </c>
      <c r="Z562" s="55" t="s">
        <v>2652</v>
      </c>
      <c r="AA562" s="60" t="s">
        <v>351</v>
      </c>
    </row>
    <row r="563" spans="2:27" ht="80.25" hidden="1" customHeight="1">
      <c r="B563" s="51" t="s">
        <v>64</v>
      </c>
      <c r="C563" s="51" t="s">
        <v>2519</v>
      </c>
      <c r="D563" s="51" t="s">
        <v>65</v>
      </c>
      <c r="E563" s="52">
        <v>1</v>
      </c>
      <c r="F563" s="51" t="s">
        <v>1480</v>
      </c>
      <c r="G563" s="51" t="s">
        <v>1481</v>
      </c>
      <c r="H563" s="54" t="s">
        <v>430</v>
      </c>
      <c r="I563" s="52">
        <v>25</v>
      </c>
      <c r="J563" s="51" t="s">
        <v>123</v>
      </c>
      <c r="K563" s="52">
        <v>10</v>
      </c>
      <c r="L563" s="52"/>
      <c r="M563" s="52"/>
      <c r="N563" s="53" t="s">
        <v>1458</v>
      </c>
      <c r="O563" s="53" t="s">
        <v>1482</v>
      </c>
      <c r="P563" s="52"/>
      <c r="Q563" s="54"/>
      <c r="R563" s="55" t="s">
        <v>722</v>
      </c>
      <c r="S563" s="51" t="s">
        <v>723</v>
      </c>
      <c r="T563" s="55" t="s">
        <v>2647</v>
      </c>
      <c r="U563" s="55" t="s">
        <v>2653</v>
      </c>
      <c r="V563" s="55" t="s">
        <v>2654</v>
      </c>
      <c r="W563" s="312" t="s">
        <v>2655</v>
      </c>
      <c r="X563" s="55" t="s">
        <v>2524</v>
      </c>
      <c r="Y563" s="53" t="s">
        <v>2656</v>
      </c>
      <c r="Z563" s="53" t="s">
        <v>2657</v>
      </c>
      <c r="AA563" s="60" t="s">
        <v>351</v>
      </c>
    </row>
    <row r="564" spans="2:27" ht="80.25" hidden="1" customHeight="1">
      <c r="B564" s="51" t="s">
        <v>64</v>
      </c>
      <c r="C564" s="51" t="s">
        <v>2519</v>
      </c>
      <c r="D564" s="51" t="s">
        <v>65</v>
      </c>
      <c r="E564" s="52">
        <v>1</v>
      </c>
      <c r="F564" s="51" t="s">
        <v>1488</v>
      </c>
      <c r="G564" s="51" t="s">
        <v>1489</v>
      </c>
      <c r="H564" s="54" t="s">
        <v>249</v>
      </c>
      <c r="I564" s="52">
        <v>26</v>
      </c>
      <c r="J564" s="51" t="s">
        <v>250</v>
      </c>
      <c r="K564" s="52">
        <v>23</v>
      </c>
      <c r="L564" s="52">
        <v>6</v>
      </c>
      <c r="M564" s="52"/>
      <c r="N564" s="53" t="s">
        <v>1490</v>
      </c>
      <c r="O564" s="53" t="s">
        <v>1491</v>
      </c>
      <c r="P564" s="52"/>
      <c r="Q564" s="54"/>
      <c r="R564" s="55"/>
      <c r="S564" s="51"/>
      <c r="T564" s="55" t="s">
        <v>2647</v>
      </c>
      <c r="U564" s="55" t="s">
        <v>2653</v>
      </c>
      <c r="V564" s="55" t="s">
        <v>2658</v>
      </c>
      <c r="W564" s="312" t="s">
        <v>2659</v>
      </c>
      <c r="X564" s="55" t="s">
        <v>2524</v>
      </c>
      <c r="Y564" s="53" t="s">
        <v>2656</v>
      </c>
      <c r="Z564" s="53" t="s">
        <v>2660</v>
      </c>
      <c r="AA564" s="60" t="s">
        <v>351</v>
      </c>
    </row>
    <row r="565" spans="2:27" ht="80.25" hidden="1" customHeight="1">
      <c r="B565" s="51" t="s">
        <v>64</v>
      </c>
      <c r="C565" s="51" t="s">
        <v>2519</v>
      </c>
      <c r="D565" s="51" t="s">
        <v>65</v>
      </c>
      <c r="E565" s="52">
        <v>1</v>
      </c>
      <c r="F565" s="51" t="s">
        <v>428</v>
      </c>
      <c r="G565" s="51" t="s">
        <v>429</v>
      </c>
      <c r="H565" s="54" t="s">
        <v>430</v>
      </c>
      <c r="I565" s="52">
        <v>27</v>
      </c>
      <c r="J565" s="51" t="s">
        <v>123</v>
      </c>
      <c r="K565" s="52">
        <v>10</v>
      </c>
      <c r="L565" s="52"/>
      <c r="M565" s="52"/>
      <c r="N565" s="53" t="s">
        <v>2661</v>
      </c>
      <c r="O565" s="53" t="s">
        <v>432</v>
      </c>
      <c r="P565" s="52"/>
      <c r="Q565" s="54"/>
      <c r="R565" s="55" t="s">
        <v>722</v>
      </c>
      <c r="S565" s="51" t="s">
        <v>723</v>
      </c>
      <c r="T565" s="55" t="s">
        <v>2647</v>
      </c>
      <c r="U565" s="55" t="s">
        <v>2653</v>
      </c>
      <c r="V565" s="55" t="s">
        <v>2654</v>
      </c>
      <c r="W565" s="312" t="s">
        <v>2662</v>
      </c>
      <c r="X565" s="55" t="s">
        <v>2524</v>
      </c>
      <c r="Y565" s="53" t="s">
        <v>2656</v>
      </c>
      <c r="Z565" s="53" t="s">
        <v>2657</v>
      </c>
      <c r="AA565" s="60" t="s">
        <v>351</v>
      </c>
    </row>
    <row r="566" spans="2:27" ht="80.25" hidden="1" customHeight="1">
      <c r="B566" s="51" t="s">
        <v>64</v>
      </c>
      <c r="C566" s="51" t="s">
        <v>2519</v>
      </c>
      <c r="D566" s="51" t="s">
        <v>65</v>
      </c>
      <c r="E566" s="52">
        <v>1</v>
      </c>
      <c r="F566" s="51" t="s">
        <v>438</v>
      </c>
      <c r="G566" s="51" t="s">
        <v>439</v>
      </c>
      <c r="H566" s="54" t="s">
        <v>249</v>
      </c>
      <c r="I566" s="52">
        <v>28</v>
      </c>
      <c r="J566" s="51" t="s">
        <v>250</v>
      </c>
      <c r="K566" s="52">
        <v>23</v>
      </c>
      <c r="L566" s="52">
        <v>6</v>
      </c>
      <c r="M566" s="52"/>
      <c r="N566" s="53" t="s">
        <v>2663</v>
      </c>
      <c r="O566" s="53" t="s">
        <v>441</v>
      </c>
      <c r="P566" s="52"/>
      <c r="Q566" s="54"/>
      <c r="R566" s="55"/>
      <c r="S566" s="51"/>
      <c r="T566" s="55" t="s">
        <v>2647</v>
      </c>
      <c r="U566" s="55" t="s">
        <v>2653</v>
      </c>
      <c r="V566" s="55" t="s">
        <v>2658</v>
      </c>
      <c r="W566" s="312" t="s">
        <v>2664</v>
      </c>
      <c r="X566" s="55" t="s">
        <v>2524</v>
      </c>
      <c r="Y566" s="53" t="s">
        <v>2656</v>
      </c>
      <c r="Z566" s="53" t="s">
        <v>2660</v>
      </c>
      <c r="AA566" s="60" t="s">
        <v>351</v>
      </c>
    </row>
    <row r="567" spans="2:27" ht="80.25" hidden="1" customHeight="1">
      <c r="B567" s="51" t="s">
        <v>64</v>
      </c>
      <c r="C567" s="51" t="s">
        <v>2519</v>
      </c>
      <c r="D567" s="51" t="s">
        <v>65</v>
      </c>
      <c r="E567" s="52">
        <v>1</v>
      </c>
      <c r="F567" s="51" t="s">
        <v>1508</v>
      </c>
      <c r="G567" s="51" t="s">
        <v>1509</v>
      </c>
      <c r="H567" s="54" t="s">
        <v>249</v>
      </c>
      <c r="I567" s="52">
        <v>29</v>
      </c>
      <c r="J567" s="51" t="s">
        <v>471</v>
      </c>
      <c r="K567" s="52"/>
      <c r="L567" s="52"/>
      <c r="M567" s="52"/>
      <c r="N567" s="53" t="s">
        <v>1510</v>
      </c>
      <c r="O567" s="53" t="s">
        <v>1511</v>
      </c>
      <c r="P567" s="52"/>
      <c r="Q567" s="54"/>
      <c r="R567" s="63"/>
      <c r="S567" s="61"/>
      <c r="T567" s="55" t="s">
        <v>2665</v>
      </c>
      <c r="U567" s="55" t="s">
        <v>2666</v>
      </c>
      <c r="V567" s="55" t="s">
        <v>2667</v>
      </c>
      <c r="W567" s="312" t="s">
        <v>2668</v>
      </c>
      <c r="X567" s="55" t="s">
        <v>2524</v>
      </c>
      <c r="Y567" s="53" t="s">
        <v>2669</v>
      </c>
      <c r="Z567" s="53" t="s">
        <v>2670</v>
      </c>
      <c r="AA567" s="60" t="s">
        <v>351</v>
      </c>
    </row>
    <row r="568" spans="2:27" ht="80.25" hidden="1" customHeight="1">
      <c r="B568" s="51" t="s">
        <v>64</v>
      </c>
      <c r="C568" s="51" t="s">
        <v>2519</v>
      </c>
      <c r="D568" s="51" t="s">
        <v>65</v>
      </c>
      <c r="E568" s="52">
        <v>1</v>
      </c>
      <c r="F568" s="51" t="s">
        <v>2671</v>
      </c>
      <c r="G568" s="51" t="s">
        <v>2672</v>
      </c>
      <c r="H568" s="54" t="s">
        <v>1517</v>
      </c>
      <c r="I568" s="52">
        <v>30</v>
      </c>
      <c r="J568" s="51" t="s">
        <v>123</v>
      </c>
      <c r="K568" s="52">
        <v>4</v>
      </c>
      <c r="L568" s="52"/>
      <c r="M568" s="52"/>
      <c r="N568" s="53" t="s">
        <v>2673</v>
      </c>
      <c r="O568" s="53" t="s">
        <v>2674</v>
      </c>
      <c r="P568" s="52"/>
      <c r="Q568" s="53" t="s">
        <v>2675</v>
      </c>
      <c r="R568" s="53"/>
      <c r="S568" s="54"/>
      <c r="T568" s="55" t="s">
        <v>2556</v>
      </c>
      <c r="U568" s="55" t="s">
        <v>2557</v>
      </c>
      <c r="V568" s="55" t="s">
        <v>2676</v>
      </c>
      <c r="W568" s="77" t="s">
        <v>2677</v>
      </c>
      <c r="X568" s="55" t="s">
        <v>2524</v>
      </c>
      <c r="Y568" s="53" t="s">
        <v>2678</v>
      </c>
      <c r="Z568" s="53" t="s">
        <v>2679</v>
      </c>
      <c r="AA568" s="60" t="s">
        <v>2680</v>
      </c>
    </row>
    <row r="569" spans="2:27" ht="80.25" hidden="1" customHeight="1">
      <c r="B569" s="51" t="s">
        <v>64</v>
      </c>
      <c r="C569" s="51" t="s">
        <v>2519</v>
      </c>
      <c r="D569" s="51" t="s">
        <v>65</v>
      </c>
      <c r="E569" s="52">
        <v>1</v>
      </c>
      <c r="F569" s="51" t="s">
        <v>1515</v>
      </c>
      <c r="G569" s="51" t="s">
        <v>1979</v>
      </c>
      <c r="H569" s="54" t="s">
        <v>1517</v>
      </c>
      <c r="I569" s="52">
        <v>31</v>
      </c>
      <c r="J569" s="51" t="s">
        <v>123</v>
      </c>
      <c r="K569" s="52">
        <v>4</v>
      </c>
      <c r="L569" s="52"/>
      <c r="M569" s="52"/>
      <c r="N569" s="53" t="s">
        <v>2183</v>
      </c>
      <c r="O569" s="53" t="s">
        <v>1519</v>
      </c>
      <c r="P569" s="52"/>
      <c r="Q569" s="53"/>
      <c r="R569" s="53"/>
      <c r="S569" s="54"/>
      <c r="T569" s="168" t="s">
        <v>2598</v>
      </c>
      <c r="U569" s="84" t="s">
        <v>2681</v>
      </c>
      <c r="V569" s="55" t="s">
        <v>2682</v>
      </c>
      <c r="W569" s="77" t="s">
        <v>2683</v>
      </c>
      <c r="X569" s="55" t="s">
        <v>2532</v>
      </c>
      <c r="Y569" s="53" t="s">
        <v>2684</v>
      </c>
      <c r="Z569" s="53" t="s">
        <v>2685</v>
      </c>
      <c r="AA569" s="60" t="s">
        <v>2535</v>
      </c>
    </row>
    <row r="570" spans="2:27" ht="80.25" hidden="1" customHeight="1">
      <c r="B570" s="51" t="s">
        <v>64</v>
      </c>
      <c r="C570" s="51" t="s">
        <v>2519</v>
      </c>
      <c r="D570" s="51" t="s">
        <v>65</v>
      </c>
      <c r="E570" s="52">
        <v>1</v>
      </c>
      <c r="F570" s="51" t="s">
        <v>1986</v>
      </c>
      <c r="G570" s="51" t="s">
        <v>1987</v>
      </c>
      <c r="H570" s="54" t="s">
        <v>746</v>
      </c>
      <c r="I570" s="52">
        <v>32</v>
      </c>
      <c r="J570" s="51" t="s">
        <v>123</v>
      </c>
      <c r="K570" s="52">
        <v>20</v>
      </c>
      <c r="L570" s="52"/>
      <c r="M570" s="52"/>
      <c r="N570" s="53" t="s">
        <v>1685</v>
      </c>
      <c r="O570" s="53" t="s">
        <v>1989</v>
      </c>
      <c r="P570" s="52"/>
      <c r="Q570" s="53" t="s">
        <v>2686</v>
      </c>
      <c r="R570" s="53"/>
      <c r="S570" s="54"/>
      <c r="T570" s="168" t="s">
        <v>2687</v>
      </c>
      <c r="U570" s="84" t="s">
        <v>2688</v>
      </c>
      <c r="V570" s="55" t="s">
        <v>2689</v>
      </c>
      <c r="W570" s="77" t="s">
        <v>2690</v>
      </c>
      <c r="X570" s="55" t="s">
        <v>2532</v>
      </c>
      <c r="Y570" s="53" t="s">
        <v>2691</v>
      </c>
      <c r="Z570" s="53" t="s">
        <v>2692</v>
      </c>
      <c r="AA570" s="60" t="s">
        <v>2693</v>
      </c>
    </row>
    <row r="571" spans="2:27" ht="80.25" hidden="1" customHeight="1">
      <c r="B571" s="51" t="s">
        <v>64</v>
      </c>
      <c r="C571" s="51" t="s">
        <v>2519</v>
      </c>
      <c r="D571" s="51" t="s">
        <v>65</v>
      </c>
      <c r="E571" s="52">
        <v>1</v>
      </c>
      <c r="F571" s="51" t="s">
        <v>1997</v>
      </c>
      <c r="G571" s="51" t="s">
        <v>1998</v>
      </c>
      <c r="H571" s="54" t="s">
        <v>767</v>
      </c>
      <c r="I571" s="52">
        <v>33</v>
      </c>
      <c r="J571" s="51" t="s">
        <v>250</v>
      </c>
      <c r="K571" s="52">
        <v>23</v>
      </c>
      <c r="L571" s="52">
        <v>6</v>
      </c>
      <c r="M571" s="52"/>
      <c r="N571" s="53" t="s">
        <v>2190</v>
      </c>
      <c r="O571" s="53" t="s">
        <v>2000</v>
      </c>
      <c r="P571" s="52"/>
      <c r="Q571" s="54"/>
      <c r="R571" s="53"/>
      <c r="S571" s="54"/>
      <c r="T571" s="168" t="s">
        <v>2647</v>
      </c>
      <c r="U571" s="84" t="s">
        <v>2694</v>
      </c>
      <c r="V571" s="55" t="s">
        <v>2695</v>
      </c>
      <c r="W571" s="77" t="s">
        <v>2696</v>
      </c>
      <c r="X571" s="55" t="s">
        <v>2524</v>
      </c>
      <c r="Y571" s="53" t="s">
        <v>2697</v>
      </c>
      <c r="Z571" s="53" t="s">
        <v>2698</v>
      </c>
      <c r="AA571" s="60" t="s">
        <v>2699</v>
      </c>
    </row>
    <row r="572" spans="2:27" ht="80.25" hidden="1" customHeight="1">
      <c r="B572" s="51" t="s">
        <v>64</v>
      </c>
      <c r="C572" s="51" t="s">
        <v>2519</v>
      </c>
      <c r="D572" s="51" t="s">
        <v>65</v>
      </c>
      <c r="E572" s="52">
        <v>1</v>
      </c>
      <c r="F572" s="51" t="s">
        <v>2007</v>
      </c>
      <c r="G572" s="51" t="s">
        <v>2008</v>
      </c>
      <c r="H572" s="54" t="s">
        <v>767</v>
      </c>
      <c r="I572" s="52">
        <v>34</v>
      </c>
      <c r="J572" s="51" t="s">
        <v>250</v>
      </c>
      <c r="K572" s="52">
        <v>23</v>
      </c>
      <c r="L572" s="52">
        <v>6</v>
      </c>
      <c r="M572" s="52"/>
      <c r="N572" s="53" t="s">
        <v>1694</v>
      </c>
      <c r="O572" s="53" t="s">
        <v>2010</v>
      </c>
      <c r="P572" s="52"/>
      <c r="Q572" s="54"/>
      <c r="R572" s="53"/>
      <c r="S572" s="54"/>
      <c r="T572" s="168" t="s">
        <v>2598</v>
      </c>
      <c r="U572" s="84" t="s">
        <v>2700</v>
      </c>
      <c r="V572" s="55" t="s">
        <v>2701</v>
      </c>
      <c r="W572" s="77" t="s">
        <v>2702</v>
      </c>
      <c r="X572" s="55" t="s">
        <v>2524</v>
      </c>
      <c r="Y572" s="53" t="s">
        <v>2703</v>
      </c>
      <c r="Z572" s="53" t="s">
        <v>2704</v>
      </c>
      <c r="AA572" s="60" t="s">
        <v>351</v>
      </c>
    </row>
    <row r="573" spans="2:27" ht="80.25" hidden="1" customHeight="1">
      <c r="B573" s="51" t="s">
        <v>64</v>
      </c>
      <c r="C573" s="51" t="s">
        <v>2519</v>
      </c>
      <c r="D573" s="51" t="s">
        <v>65</v>
      </c>
      <c r="E573" s="52">
        <v>1</v>
      </c>
      <c r="F573" s="51" t="s">
        <v>1522</v>
      </c>
      <c r="G573" s="51" t="s">
        <v>1523</v>
      </c>
      <c r="H573" s="54" t="s">
        <v>767</v>
      </c>
      <c r="I573" s="52">
        <v>35</v>
      </c>
      <c r="J573" s="51" t="s">
        <v>250</v>
      </c>
      <c r="K573" s="52">
        <v>23</v>
      </c>
      <c r="L573" s="52">
        <v>6</v>
      </c>
      <c r="M573" s="52"/>
      <c r="N573" s="53" t="s">
        <v>2197</v>
      </c>
      <c r="O573" s="53" t="s">
        <v>1525</v>
      </c>
      <c r="P573" s="52"/>
      <c r="Q573" s="51"/>
      <c r="R573" s="74"/>
      <c r="S573" s="62"/>
      <c r="T573" s="168" t="s">
        <v>2598</v>
      </c>
      <c r="U573" s="84" t="s">
        <v>2700</v>
      </c>
      <c r="V573" s="55" t="s">
        <v>2705</v>
      </c>
      <c r="W573" s="77" t="s">
        <v>2706</v>
      </c>
      <c r="X573" s="55" t="s">
        <v>2524</v>
      </c>
      <c r="Y573" s="53" t="s">
        <v>2703</v>
      </c>
      <c r="Z573" s="53" t="s">
        <v>2707</v>
      </c>
      <c r="AA573" s="60" t="s">
        <v>351</v>
      </c>
    </row>
    <row r="574" spans="2:27" ht="80.25" hidden="1" customHeight="1">
      <c r="B574" s="51" t="s">
        <v>64</v>
      </c>
      <c r="C574" s="51" t="s">
        <v>2519</v>
      </c>
      <c r="D574" s="51" t="s">
        <v>65</v>
      </c>
      <c r="E574" s="52">
        <v>1</v>
      </c>
      <c r="F574" s="51" t="s">
        <v>2708</v>
      </c>
      <c r="G574" s="51" t="s">
        <v>2709</v>
      </c>
      <c r="H574" s="54" t="s">
        <v>767</v>
      </c>
      <c r="I574" s="52">
        <v>36</v>
      </c>
      <c r="J574" s="51" t="s">
        <v>250</v>
      </c>
      <c r="K574" s="52">
        <v>23</v>
      </c>
      <c r="L574" s="52">
        <v>6</v>
      </c>
      <c r="M574" s="52"/>
      <c r="N574" s="53" t="s">
        <v>2710</v>
      </c>
      <c r="O574" s="53" t="s">
        <v>2711</v>
      </c>
      <c r="P574" s="52"/>
      <c r="Q574" s="54"/>
      <c r="R574" s="55" t="s">
        <v>788</v>
      </c>
      <c r="S574" s="51" t="s">
        <v>1526</v>
      </c>
      <c r="T574" s="55" t="s">
        <v>2576</v>
      </c>
      <c r="U574" s="55" t="s">
        <v>2635</v>
      </c>
      <c r="V574" s="55" t="s">
        <v>2712</v>
      </c>
      <c r="W574" s="77" t="s">
        <v>2713</v>
      </c>
      <c r="X574" s="55" t="s">
        <v>2524</v>
      </c>
      <c r="Y574" s="53" t="s">
        <v>2638</v>
      </c>
      <c r="Z574" s="53" t="s">
        <v>2714</v>
      </c>
      <c r="AA574" s="60" t="s">
        <v>2640</v>
      </c>
    </row>
    <row r="575" spans="2:27" ht="80.25" hidden="1" customHeight="1">
      <c r="B575" s="51" t="s">
        <v>64</v>
      </c>
      <c r="C575" s="51" t="s">
        <v>2519</v>
      </c>
      <c r="D575" s="51" t="s">
        <v>65</v>
      </c>
      <c r="E575" s="52">
        <v>1</v>
      </c>
      <c r="F575" s="51" t="s">
        <v>744</v>
      </c>
      <c r="G575" s="51" t="s">
        <v>1530</v>
      </c>
      <c r="H575" s="54" t="s">
        <v>746</v>
      </c>
      <c r="I575" s="52">
        <v>37</v>
      </c>
      <c r="J575" s="51" t="s">
        <v>123</v>
      </c>
      <c r="K575" s="52">
        <v>3</v>
      </c>
      <c r="L575" s="52"/>
      <c r="M575" s="52"/>
      <c r="N575" s="53" t="s">
        <v>2201</v>
      </c>
      <c r="O575" s="53" t="s">
        <v>748</v>
      </c>
      <c r="P575" s="52"/>
      <c r="Q575" s="53" t="s">
        <v>2715</v>
      </c>
      <c r="R575" s="53"/>
      <c r="S575" s="54"/>
      <c r="T575" s="168" t="s">
        <v>2598</v>
      </c>
      <c r="U575" s="84" t="s">
        <v>2681</v>
      </c>
      <c r="V575" s="55" t="s">
        <v>2682</v>
      </c>
      <c r="W575" s="77" t="s">
        <v>2716</v>
      </c>
      <c r="X575" s="55" t="s">
        <v>2524</v>
      </c>
      <c r="Y575" s="53" t="s">
        <v>2717</v>
      </c>
      <c r="Z575" s="53" t="s">
        <v>2718</v>
      </c>
      <c r="AA575" s="60" t="s">
        <v>351</v>
      </c>
    </row>
    <row r="576" spans="2:27" ht="80.25" hidden="1" customHeight="1">
      <c r="B576" s="51" t="s">
        <v>64</v>
      </c>
      <c r="C576" s="51" t="s">
        <v>2519</v>
      </c>
      <c r="D576" s="51" t="s">
        <v>65</v>
      </c>
      <c r="E576" s="52">
        <v>1</v>
      </c>
      <c r="F576" s="51" t="s">
        <v>755</v>
      </c>
      <c r="G576" s="51" t="s">
        <v>756</v>
      </c>
      <c r="H576" s="54" t="s">
        <v>746</v>
      </c>
      <c r="I576" s="52">
        <v>38</v>
      </c>
      <c r="J576" s="51" t="s">
        <v>123</v>
      </c>
      <c r="K576" s="52">
        <v>20</v>
      </c>
      <c r="L576" s="52"/>
      <c r="M576" s="52"/>
      <c r="N576" s="53" t="s">
        <v>1706</v>
      </c>
      <c r="O576" s="53" t="s">
        <v>758</v>
      </c>
      <c r="P576" s="52"/>
      <c r="Q576" s="53" t="s">
        <v>2686</v>
      </c>
      <c r="R576" s="53"/>
      <c r="S576" s="54"/>
      <c r="T576" s="168" t="s">
        <v>2687</v>
      </c>
      <c r="U576" s="84" t="s">
        <v>2688</v>
      </c>
      <c r="V576" s="55" t="s">
        <v>2689</v>
      </c>
      <c r="W576" s="77" t="s">
        <v>2719</v>
      </c>
      <c r="X576" s="55" t="s">
        <v>2532</v>
      </c>
      <c r="Y576" s="53" t="s">
        <v>2691</v>
      </c>
      <c r="Z576" s="53" t="s">
        <v>2692</v>
      </c>
      <c r="AA576" s="60" t="s">
        <v>2693</v>
      </c>
    </row>
    <row r="577" spans="2:27" ht="80.25" customHeight="1">
      <c r="B577" s="51" t="s">
        <v>64</v>
      </c>
      <c r="C577" s="51" t="s">
        <v>2519</v>
      </c>
      <c r="D577" s="51" t="s">
        <v>65</v>
      </c>
      <c r="E577" s="52">
        <v>1</v>
      </c>
      <c r="F577" s="51" t="s">
        <v>765</v>
      </c>
      <c r="G577" s="51" t="s">
        <v>766</v>
      </c>
      <c r="H577" s="54" t="s">
        <v>767</v>
      </c>
      <c r="I577" s="52">
        <v>39</v>
      </c>
      <c r="J577" s="51" t="s">
        <v>250</v>
      </c>
      <c r="K577" s="52">
        <v>23</v>
      </c>
      <c r="L577" s="52">
        <v>6</v>
      </c>
      <c r="M577" s="52"/>
      <c r="N577" s="53" t="s">
        <v>2208</v>
      </c>
      <c r="O577" s="53" t="s">
        <v>769</v>
      </c>
      <c r="P577" s="52"/>
      <c r="Q577" s="54"/>
      <c r="R577" s="53"/>
      <c r="S577" s="54"/>
      <c r="T577" s="168" t="s">
        <v>2647</v>
      </c>
      <c r="U577" s="84" t="s">
        <v>2694</v>
      </c>
      <c r="V577" s="55" t="s">
        <v>2695</v>
      </c>
      <c r="W577" s="77" t="s">
        <v>2720</v>
      </c>
      <c r="X577" s="55" t="s">
        <v>2524</v>
      </c>
      <c r="Y577" s="53" t="s">
        <v>2697</v>
      </c>
      <c r="Z577" s="53" t="s">
        <v>2698</v>
      </c>
      <c r="AA577" s="60" t="s">
        <v>2721</v>
      </c>
    </row>
    <row r="578" spans="2:27" ht="80.25" hidden="1" customHeight="1">
      <c r="B578" s="51" t="s">
        <v>64</v>
      </c>
      <c r="C578" s="51" t="s">
        <v>2519</v>
      </c>
      <c r="D578" s="51" t="s">
        <v>65</v>
      </c>
      <c r="E578" s="52">
        <v>1</v>
      </c>
      <c r="F578" s="51" t="s">
        <v>775</v>
      </c>
      <c r="G578" s="51" t="s">
        <v>776</v>
      </c>
      <c r="H578" s="54" t="s">
        <v>767</v>
      </c>
      <c r="I578" s="52">
        <v>40</v>
      </c>
      <c r="J578" s="51" t="s">
        <v>250</v>
      </c>
      <c r="K578" s="52">
        <v>23</v>
      </c>
      <c r="L578" s="52">
        <v>6</v>
      </c>
      <c r="M578" s="52"/>
      <c r="N578" s="53" t="s">
        <v>777</v>
      </c>
      <c r="O578" s="53" t="s">
        <v>778</v>
      </c>
      <c r="P578" s="52"/>
      <c r="Q578" s="54"/>
      <c r="R578" s="53"/>
      <c r="S578" s="54"/>
      <c r="T578" s="168" t="s">
        <v>2598</v>
      </c>
      <c r="U578" s="84" t="s">
        <v>2700</v>
      </c>
      <c r="V578" s="55" t="s">
        <v>2701</v>
      </c>
      <c r="W578" s="77" t="s">
        <v>2722</v>
      </c>
      <c r="X578" s="55" t="s">
        <v>2524</v>
      </c>
      <c r="Y578" s="53" t="s">
        <v>2703</v>
      </c>
      <c r="Z578" s="53" t="s">
        <v>2704</v>
      </c>
      <c r="AA578" s="60" t="s">
        <v>351</v>
      </c>
    </row>
    <row r="579" spans="2:27" ht="80.25" hidden="1" customHeight="1">
      <c r="B579" s="51" t="s">
        <v>64</v>
      </c>
      <c r="C579" s="51" t="s">
        <v>2519</v>
      </c>
      <c r="D579" s="51" t="s">
        <v>65</v>
      </c>
      <c r="E579" s="52">
        <v>1</v>
      </c>
      <c r="F579" s="51" t="s">
        <v>784</v>
      </c>
      <c r="G579" s="51" t="s">
        <v>785</v>
      </c>
      <c r="H579" s="54" t="s">
        <v>767</v>
      </c>
      <c r="I579" s="52">
        <v>41</v>
      </c>
      <c r="J579" s="51" t="s">
        <v>250</v>
      </c>
      <c r="K579" s="52">
        <v>23</v>
      </c>
      <c r="L579" s="52">
        <v>6</v>
      </c>
      <c r="M579" s="52"/>
      <c r="N579" s="53" t="s">
        <v>2215</v>
      </c>
      <c r="O579" s="53" t="s">
        <v>787</v>
      </c>
      <c r="P579" s="52"/>
      <c r="Q579" s="51"/>
      <c r="R579" s="74"/>
      <c r="S579" s="62"/>
      <c r="T579" s="168" t="s">
        <v>2598</v>
      </c>
      <c r="U579" s="84" t="s">
        <v>2700</v>
      </c>
      <c r="V579" s="55" t="s">
        <v>2705</v>
      </c>
      <c r="W579" s="77" t="s">
        <v>2723</v>
      </c>
      <c r="X579" s="55" t="s">
        <v>2524</v>
      </c>
      <c r="Y579" s="53" t="s">
        <v>2703</v>
      </c>
      <c r="Z579" s="53" t="s">
        <v>2707</v>
      </c>
      <c r="AA579" s="60" t="s">
        <v>351</v>
      </c>
    </row>
    <row r="580" spans="2:27" ht="80.25" hidden="1" customHeight="1">
      <c r="B580" s="51" t="s">
        <v>64</v>
      </c>
      <c r="C580" s="51" t="s">
        <v>2519</v>
      </c>
      <c r="D580" s="51" t="s">
        <v>65</v>
      </c>
      <c r="E580" s="52">
        <v>1</v>
      </c>
      <c r="F580" s="51" t="s">
        <v>2724</v>
      </c>
      <c r="G580" s="51" t="s">
        <v>2725</v>
      </c>
      <c r="H580" s="54" t="s">
        <v>767</v>
      </c>
      <c r="I580" s="52">
        <v>42</v>
      </c>
      <c r="J580" s="51" t="s">
        <v>250</v>
      </c>
      <c r="K580" s="52">
        <v>23</v>
      </c>
      <c r="L580" s="52">
        <v>6</v>
      </c>
      <c r="M580" s="52"/>
      <c r="N580" s="53" t="s">
        <v>2726</v>
      </c>
      <c r="O580" s="53" t="s">
        <v>2727</v>
      </c>
      <c r="P580" s="52"/>
      <c r="Q580" s="54"/>
      <c r="R580" s="55" t="s">
        <v>788</v>
      </c>
      <c r="S580" s="51" t="s">
        <v>789</v>
      </c>
      <c r="T580" s="55" t="s">
        <v>2576</v>
      </c>
      <c r="U580" s="55" t="s">
        <v>2635</v>
      </c>
      <c r="V580" s="55" t="s">
        <v>2712</v>
      </c>
      <c r="W580" s="77" t="s">
        <v>2728</v>
      </c>
      <c r="X580" s="55" t="s">
        <v>2524</v>
      </c>
      <c r="Y580" s="53" t="s">
        <v>2638</v>
      </c>
      <c r="Z580" s="53" t="s">
        <v>2714</v>
      </c>
      <c r="AA580" s="60" t="s">
        <v>2640</v>
      </c>
    </row>
    <row r="581" spans="2:27" ht="80.25" hidden="1" customHeight="1">
      <c r="B581" s="51" t="s">
        <v>64</v>
      </c>
      <c r="C581" s="51" t="s">
        <v>2519</v>
      </c>
      <c r="D581" s="51" t="s">
        <v>65</v>
      </c>
      <c r="E581" s="52">
        <v>1</v>
      </c>
      <c r="F581" s="51" t="s">
        <v>293</v>
      </c>
      <c r="G581" s="51" t="s">
        <v>294</v>
      </c>
      <c r="H581" s="54" t="s">
        <v>295</v>
      </c>
      <c r="I581" s="52">
        <v>43</v>
      </c>
      <c r="J581" s="51" t="s">
        <v>123</v>
      </c>
      <c r="K581" s="52">
        <v>4</v>
      </c>
      <c r="L581" s="52"/>
      <c r="M581" s="52"/>
      <c r="N581" s="53" t="s">
        <v>296</v>
      </c>
      <c r="O581" s="53" t="s">
        <v>297</v>
      </c>
      <c r="P581" s="52"/>
      <c r="Q581" s="53" t="s">
        <v>2729</v>
      </c>
      <c r="R581" s="55" t="s">
        <v>299</v>
      </c>
      <c r="S581" s="51" t="s">
        <v>300</v>
      </c>
      <c r="T581" s="55" t="s">
        <v>2520</v>
      </c>
      <c r="U581" s="55" t="s">
        <v>2521</v>
      </c>
      <c r="V581" s="55" t="s">
        <v>2522</v>
      </c>
      <c r="W581" s="346" t="s">
        <v>2730</v>
      </c>
      <c r="X581" s="55" t="s">
        <v>2532</v>
      </c>
      <c r="Y581" s="53" t="s">
        <v>2731</v>
      </c>
      <c r="Z581" s="53" t="s">
        <v>2732</v>
      </c>
      <c r="AA581" s="60" t="s">
        <v>2535</v>
      </c>
    </row>
    <row r="582" spans="2:27" ht="80.25" hidden="1" customHeight="1">
      <c r="B582" s="51" t="s">
        <v>64</v>
      </c>
      <c r="C582" s="51" t="s">
        <v>2519</v>
      </c>
      <c r="D582" s="51" t="s">
        <v>65</v>
      </c>
      <c r="E582" s="52">
        <v>1</v>
      </c>
      <c r="F582" s="51" t="s">
        <v>304</v>
      </c>
      <c r="G582" s="51" t="s">
        <v>305</v>
      </c>
      <c r="H582" s="54" t="s">
        <v>295</v>
      </c>
      <c r="I582" s="52">
        <v>44</v>
      </c>
      <c r="J582" s="51" t="s">
        <v>123</v>
      </c>
      <c r="K582" s="52">
        <v>4</v>
      </c>
      <c r="L582" s="52"/>
      <c r="M582" s="52"/>
      <c r="N582" s="53" t="s">
        <v>306</v>
      </c>
      <c r="O582" s="53" t="s">
        <v>307</v>
      </c>
      <c r="P582" s="52"/>
      <c r="Q582" s="55" t="s">
        <v>2733</v>
      </c>
      <c r="R582" s="55" t="s">
        <v>203</v>
      </c>
      <c r="S582" s="51" t="s">
        <v>309</v>
      </c>
      <c r="T582" s="55" t="s">
        <v>2734</v>
      </c>
      <c r="U582" s="55" t="s">
        <v>2735</v>
      </c>
      <c r="V582" s="55" t="s">
        <v>1787</v>
      </c>
      <c r="W582" s="77" t="s">
        <v>2736</v>
      </c>
      <c r="X582" s="55" t="s">
        <v>2737</v>
      </c>
      <c r="Y582" s="53" t="s">
        <v>2738</v>
      </c>
      <c r="Z582" s="53" t="s">
        <v>2739</v>
      </c>
      <c r="AA582" s="60" t="s">
        <v>351</v>
      </c>
    </row>
    <row r="583" spans="2:27" ht="80.25" hidden="1" customHeight="1">
      <c r="B583" s="51" t="s">
        <v>64</v>
      </c>
      <c r="C583" s="51" t="s">
        <v>2519</v>
      </c>
      <c r="D583" s="51" t="s">
        <v>65</v>
      </c>
      <c r="E583" s="52">
        <v>1</v>
      </c>
      <c r="F583" s="51" t="s">
        <v>317</v>
      </c>
      <c r="G583" s="51" t="s">
        <v>318</v>
      </c>
      <c r="H583" s="51" t="s">
        <v>319</v>
      </c>
      <c r="I583" s="52">
        <v>45</v>
      </c>
      <c r="J583" s="51" t="s">
        <v>123</v>
      </c>
      <c r="K583" s="52">
        <v>2</v>
      </c>
      <c r="L583" s="52"/>
      <c r="M583" s="52"/>
      <c r="N583" s="53" t="s">
        <v>320</v>
      </c>
      <c r="O583" s="53" t="s">
        <v>321</v>
      </c>
      <c r="P583" s="52"/>
      <c r="Q583" s="53" t="s">
        <v>2740</v>
      </c>
      <c r="R583" s="55"/>
      <c r="S583" s="51"/>
      <c r="T583" s="55" t="s">
        <v>2556</v>
      </c>
      <c r="U583" s="55" t="s">
        <v>2557</v>
      </c>
      <c r="V583" s="55" t="s">
        <v>134</v>
      </c>
      <c r="W583" s="77" t="s">
        <v>2741</v>
      </c>
      <c r="X583" s="55" t="s">
        <v>2564</v>
      </c>
      <c r="Y583" s="53" t="s">
        <v>2567</v>
      </c>
      <c r="Z583" s="53" t="s">
        <v>2567</v>
      </c>
      <c r="AA583" s="60" t="s">
        <v>2742</v>
      </c>
    </row>
    <row r="584" spans="2:27" ht="80.25" hidden="1" customHeight="1">
      <c r="B584" s="51" t="s">
        <v>64</v>
      </c>
      <c r="C584" s="51" t="s">
        <v>2519</v>
      </c>
      <c r="D584" s="51" t="s">
        <v>65</v>
      </c>
      <c r="E584" s="52">
        <v>1</v>
      </c>
      <c r="F584" s="51" t="s">
        <v>326</v>
      </c>
      <c r="G584" s="51" t="s">
        <v>327</v>
      </c>
      <c r="H584" s="51" t="s">
        <v>328</v>
      </c>
      <c r="I584" s="52">
        <v>46</v>
      </c>
      <c r="J584" s="51" t="s">
        <v>123</v>
      </c>
      <c r="K584" s="52">
        <v>10</v>
      </c>
      <c r="L584" s="52"/>
      <c r="M584" s="52"/>
      <c r="N584" s="53" t="s">
        <v>329</v>
      </c>
      <c r="O584" s="53" t="s">
        <v>361</v>
      </c>
      <c r="P584" s="52" t="s">
        <v>126</v>
      </c>
      <c r="Q584" s="51"/>
      <c r="R584" s="55" t="s">
        <v>275</v>
      </c>
      <c r="S584" s="51" t="s">
        <v>803</v>
      </c>
      <c r="T584" s="55" t="s">
        <v>2556</v>
      </c>
      <c r="U584" s="55" t="s">
        <v>2557</v>
      </c>
      <c r="V584" s="55" t="s">
        <v>2743</v>
      </c>
      <c r="W584" s="77" t="s">
        <v>2744</v>
      </c>
      <c r="X584" s="55" t="s">
        <v>351</v>
      </c>
      <c r="Y584" s="55" t="s">
        <v>351</v>
      </c>
      <c r="Z584" s="55" t="s">
        <v>351</v>
      </c>
      <c r="AA584" s="60" t="s">
        <v>351</v>
      </c>
    </row>
    <row r="585" spans="2:27" ht="80.25" hidden="1" customHeight="1">
      <c r="B585" s="51" t="s">
        <v>64</v>
      </c>
      <c r="C585" s="51" t="s">
        <v>2519</v>
      </c>
      <c r="D585" s="51" t="s">
        <v>65</v>
      </c>
      <c r="E585" s="52">
        <v>1</v>
      </c>
      <c r="F585" s="51" t="s">
        <v>333</v>
      </c>
      <c r="G585" s="51" t="s">
        <v>334</v>
      </c>
      <c r="H585" s="51" t="s">
        <v>335</v>
      </c>
      <c r="I585" s="52">
        <v>47</v>
      </c>
      <c r="J585" s="51" t="s">
        <v>336</v>
      </c>
      <c r="K585" s="52">
        <v>23</v>
      </c>
      <c r="L585" s="52"/>
      <c r="M585" s="52"/>
      <c r="N585" s="53" t="s">
        <v>337</v>
      </c>
      <c r="O585" s="53" t="s">
        <v>338</v>
      </c>
      <c r="P585" s="52"/>
      <c r="Q585" s="51"/>
      <c r="R585" s="55"/>
      <c r="S585" s="51"/>
      <c r="T585" s="55" t="s">
        <v>2556</v>
      </c>
      <c r="U585" s="55" t="s">
        <v>2557</v>
      </c>
      <c r="V585" s="55" t="s">
        <v>134</v>
      </c>
      <c r="W585" s="77" t="s">
        <v>2745</v>
      </c>
      <c r="X585" s="55" t="s">
        <v>351</v>
      </c>
      <c r="Y585" s="55" t="s">
        <v>351</v>
      </c>
      <c r="Z585" s="55" t="s">
        <v>351</v>
      </c>
      <c r="AA585" s="60" t="s">
        <v>351</v>
      </c>
    </row>
    <row r="586" spans="2:27" ht="80.25" hidden="1" customHeight="1">
      <c r="B586" s="51" t="s">
        <v>340</v>
      </c>
      <c r="C586" s="62" t="s">
        <v>2746</v>
      </c>
      <c r="D586" s="62" t="s">
        <v>2747</v>
      </c>
      <c r="E586" s="318">
        <v>0</v>
      </c>
      <c r="F586" s="51" t="s">
        <v>120</v>
      </c>
      <c r="G586" s="51" t="s">
        <v>121</v>
      </c>
      <c r="H586" s="74" t="s">
        <v>122</v>
      </c>
      <c r="I586" s="318">
        <v>1</v>
      </c>
      <c r="J586" s="62" t="s">
        <v>123</v>
      </c>
      <c r="K586" s="318">
        <v>2</v>
      </c>
      <c r="L586" s="318"/>
      <c r="M586" s="341"/>
      <c r="N586" s="321" t="s">
        <v>124</v>
      </c>
      <c r="O586" s="53" t="s">
        <v>125</v>
      </c>
      <c r="P586" s="318" t="s">
        <v>126</v>
      </c>
      <c r="Q586" s="62"/>
      <c r="R586" s="55"/>
      <c r="S586" s="51"/>
      <c r="T586" s="55" t="s">
        <v>2748</v>
      </c>
      <c r="U586" s="55" t="s">
        <v>2749</v>
      </c>
      <c r="V586" s="55" t="s">
        <v>323</v>
      </c>
      <c r="W586" s="77" t="s">
        <v>2750</v>
      </c>
      <c r="X586" s="51"/>
      <c r="Y586" s="51"/>
      <c r="Z586" s="51"/>
      <c r="AA586" s="52"/>
    </row>
    <row r="587" spans="2:27" ht="183.75" hidden="1" customHeight="1">
      <c r="B587" s="51" t="s">
        <v>340</v>
      </c>
      <c r="C587" s="62" t="s">
        <v>2746</v>
      </c>
      <c r="D587" s="62" t="s">
        <v>2747</v>
      </c>
      <c r="E587" s="318">
        <v>0</v>
      </c>
      <c r="F587" s="62" t="s">
        <v>136</v>
      </c>
      <c r="G587" s="62" t="s">
        <v>137</v>
      </c>
      <c r="H587" s="74" t="s">
        <v>122</v>
      </c>
      <c r="I587" s="318">
        <v>2</v>
      </c>
      <c r="J587" s="62" t="s">
        <v>123</v>
      </c>
      <c r="K587" s="318">
        <v>30</v>
      </c>
      <c r="L587" s="318"/>
      <c r="M587" s="341"/>
      <c r="N587" s="53" t="s">
        <v>138</v>
      </c>
      <c r="O587" s="53" t="s">
        <v>139</v>
      </c>
      <c r="P587" s="318" t="s">
        <v>126</v>
      </c>
      <c r="Q587" s="62"/>
      <c r="R587" s="55"/>
      <c r="S587" s="51"/>
      <c r="T587" s="55" t="s">
        <v>2751</v>
      </c>
      <c r="U587" s="55" t="s">
        <v>2752</v>
      </c>
      <c r="V587" s="55" t="s">
        <v>2753</v>
      </c>
      <c r="W587" s="77" t="s">
        <v>2754</v>
      </c>
      <c r="X587" s="51"/>
      <c r="Y587" s="51"/>
      <c r="Z587" s="51"/>
      <c r="AA587" s="52"/>
    </row>
    <row r="588" spans="2:27" ht="183.75" hidden="1" customHeight="1">
      <c r="B588" s="51" t="s">
        <v>340</v>
      </c>
      <c r="C588" s="62" t="s">
        <v>2746</v>
      </c>
      <c r="D588" s="62" t="s">
        <v>2747</v>
      </c>
      <c r="E588" s="318">
        <v>0</v>
      </c>
      <c r="F588" s="62" t="s">
        <v>2755</v>
      </c>
      <c r="G588" s="62" t="s">
        <v>2756</v>
      </c>
      <c r="H588" s="51" t="s">
        <v>240</v>
      </c>
      <c r="I588" s="318">
        <v>3</v>
      </c>
      <c r="J588" s="62" t="s">
        <v>123</v>
      </c>
      <c r="K588" s="318">
        <v>1</v>
      </c>
      <c r="L588" s="318"/>
      <c r="M588" s="341"/>
      <c r="N588" s="53" t="s">
        <v>2757</v>
      </c>
      <c r="O588" s="53"/>
      <c r="P588" s="318"/>
      <c r="Q588" s="62"/>
      <c r="R588" s="55"/>
      <c r="S588" s="51"/>
      <c r="T588" s="55"/>
      <c r="U588" s="54"/>
      <c r="V588" s="54"/>
      <c r="W588" s="77"/>
      <c r="X588" s="51"/>
      <c r="Y588" s="51"/>
      <c r="Z588" s="51"/>
      <c r="AA588" s="52"/>
    </row>
    <row r="589" spans="2:27" ht="80.25" hidden="1" customHeight="1">
      <c r="B589" s="51" t="s">
        <v>340</v>
      </c>
      <c r="C589" s="62" t="s">
        <v>2746</v>
      </c>
      <c r="D589" s="62" t="s">
        <v>2747</v>
      </c>
      <c r="E589" s="318">
        <v>0</v>
      </c>
      <c r="F589" s="62" t="s">
        <v>352</v>
      </c>
      <c r="G589" s="62" t="s">
        <v>353</v>
      </c>
      <c r="H589" s="51" t="s">
        <v>240</v>
      </c>
      <c r="I589" s="318">
        <v>4</v>
      </c>
      <c r="J589" s="62" t="s">
        <v>123</v>
      </c>
      <c r="K589" s="318">
        <v>4</v>
      </c>
      <c r="L589" s="318"/>
      <c r="M589" s="341"/>
      <c r="N589" s="53" t="s">
        <v>354</v>
      </c>
      <c r="O589" s="53" t="s">
        <v>355</v>
      </c>
      <c r="P589" s="318"/>
      <c r="Q589" s="62"/>
      <c r="R589" s="55"/>
      <c r="S589" s="51"/>
      <c r="T589" s="55" t="s">
        <v>2748</v>
      </c>
      <c r="U589" s="55" t="s">
        <v>2749</v>
      </c>
      <c r="V589" s="55" t="s">
        <v>323</v>
      </c>
      <c r="W589" s="77" t="s">
        <v>2758</v>
      </c>
      <c r="X589" s="51"/>
      <c r="Y589" s="51"/>
      <c r="Z589" s="51"/>
      <c r="AA589" s="52"/>
    </row>
    <row r="590" spans="2:27" ht="80.25" hidden="1" customHeight="1">
      <c r="B590" s="51" t="s">
        <v>340</v>
      </c>
      <c r="C590" s="62" t="s">
        <v>2746</v>
      </c>
      <c r="D590" s="62" t="s">
        <v>2747</v>
      </c>
      <c r="E590" s="318">
        <v>0</v>
      </c>
      <c r="F590" s="62" t="s">
        <v>317</v>
      </c>
      <c r="G590" s="62" t="s">
        <v>318</v>
      </c>
      <c r="H590" s="51" t="s">
        <v>319</v>
      </c>
      <c r="I590" s="318">
        <v>5</v>
      </c>
      <c r="J590" s="62" t="s">
        <v>123</v>
      </c>
      <c r="K590" s="318">
        <v>4</v>
      </c>
      <c r="L590" s="318"/>
      <c r="M590" s="341"/>
      <c r="N590" s="53" t="s">
        <v>320</v>
      </c>
      <c r="O590" s="53" t="s">
        <v>321</v>
      </c>
      <c r="P590" s="318" t="s">
        <v>126</v>
      </c>
      <c r="Q590" s="62"/>
      <c r="R590" s="55"/>
      <c r="S590" s="51"/>
      <c r="T590" s="55" t="s">
        <v>2748</v>
      </c>
      <c r="U590" s="55" t="s">
        <v>2749</v>
      </c>
      <c r="V590" s="55" t="s">
        <v>323</v>
      </c>
      <c r="W590" s="77" t="s">
        <v>2759</v>
      </c>
      <c r="X590" s="51"/>
      <c r="Y590" s="51"/>
      <c r="Z590" s="51"/>
      <c r="AA590" s="52"/>
    </row>
    <row r="591" spans="2:27" ht="80.25" hidden="1" customHeight="1">
      <c r="B591" s="51" t="s">
        <v>340</v>
      </c>
      <c r="C591" s="62" t="s">
        <v>2746</v>
      </c>
      <c r="D591" s="62" t="s">
        <v>2747</v>
      </c>
      <c r="E591" s="318">
        <v>0</v>
      </c>
      <c r="F591" s="51" t="s">
        <v>326</v>
      </c>
      <c r="G591" s="51" t="s">
        <v>327</v>
      </c>
      <c r="H591" s="51" t="s">
        <v>335</v>
      </c>
      <c r="I591" s="318">
        <v>5</v>
      </c>
      <c r="J591" s="62" t="s">
        <v>123</v>
      </c>
      <c r="K591" s="318">
        <v>10</v>
      </c>
      <c r="L591" s="318"/>
      <c r="M591" s="341"/>
      <c r="N591" s="53" t="s">
        <v>329</v>
      </c>
      <c r="O591" s="53" t="s">
        <v>361</v>
      </c>
      <c r="P591" s="318"/>
      <c r="Q591" s="62"/>
      <c r="R591" s="55"/>
      <c r="S591" s="51"/>
      <c r="T591" s="55" t="s">
        <v>2748</v>
      </c>
      <c r="U591" s="55" t="s">
        <v>2749</v>
      </c>
      <c r="V591" s="55" t="s">
        <v>323</v>
      </c>
      <c r="W591" s="77" t="s">
        <v>2760</v>
      </c>
      <c r="X591" s="51"/>
      <c r="Y591" s="51"/>
      <c r="Z591" s="51"/>
      <c r="AA591" s="52"/>
    </row>
    <row r="592" spans="2:27" ht="80.25" hidden="1" customHeight="1">
      <c r="B592" s="51" t="s">
        <v>340</v>
      </c>
      <c r="C592" s="62" t="s">
        <v>2746</v>
      </c>
      <c r="D592" s="62" t="s">
        <v>2747</v>
      </c>
      <c r="E592" s="318">
        <v>0</v>
      </c>
      <c r="F592" s="51" t="s">
        <v>333</v>
      </c>
      <c r="G592" s="51" t="s">
        <v>334</v>
      </c>
      <c r="H592" s="51" t="s">
        <v>335</v>
      </c>
      <c r="I592" s="318">
        <v>6</v>
      </c>
      <c r="J592" s="51" t="s">
        <v>336</v>
      </c>
      <c r="K592" s="52">
        <v>23</v>
      </c>
      <c r="L592" s="318"/>
      <c r="M592" s="341"/>
      <c r="N592" s="53" t="s">
        <v>337</v>
      </c>
      <c r="O592" s="53" t="s">
        <v>338</v>
      </c>
      <c r="P592" s="318"/>
      <c r="Q592" s="62"/>
      <c r="R592" s="55"/>
      <c r="S592" s="51"/>
      <c r="T592" s="55" t="s">
        <v>2748</v>
      </c>
      <c r="U592" s="55" t="s">
        <v>2749</v>
      </c>
      <c r="V592" s="55" t="s">
        <v>323</v>
      </c>
      <c r="W592" s="77" t="s">
        <v>2761</v>
      </c>
      <c r="X592" s="51"/>
      <c r="Y592" s="51"/>
      <c r="Z592" s="51"/>
      <c r="AA592" s="52"/>
    </row>
    <row r="593" spans="2:27" ht="80.25" hidden="1" customHeight="1">
      <c r="B593" s="51" t="s">
        <v>67</v>
      </c>
      <c r="C593" s="51" t="s">
        <v>2762</v>
      </c>
      <c r="D593" s="51" t="s">
        <v>68</v>
      </c>
      <c r="E593" s="52">
        <v>1</v>
      </c>
      <c r="F593" s="51" t="s">
        <v>120</v>
      </c>
      <c r="G593" s="51" t="s">
        <v>121</v>
      </c>
      <c r="H593" s="51" t="s">
        <v>122</v>
      </c>
      <c r="I593" s="52">
        <v>1</v>
      </c>
      <c r="J593" s="51" t="s">
        <v>123</v>
      </c>
      <c r="K593" s="52">
        <v>4</v>
      </c>
      <c r="L593" s="52"/>
      <c r="M593" s="52"/>
      <c r="N593" s="321" t="s">
        <v>124</v>
      </c>
      <c r="O593" s="53" t="s">
        <v>125</v>
      </c>
      <c r="P593" s="52" t="s">
        <v>126</v>
      </c>
      <c r="Q593" s="51"/>
      <c r="R593" s="55" t="s">
        <v>127</v>
      </c>
      <c r="S593" s="55" t="s">
        <v>2148</v>
      </c>
      <c r="T593" s="55" t="s">
        <v>1583</v>
      </c>
      <c r="U593" s="55" t="s">
        <v>1584</v>
      </c>
      <c r="V593" s="55" t="s">
        <v>555</v>
      </c>
      <c r="W593" s="77" t="s">
        <v>2763</v>
      </c>
      <c r="X593" s="51" t="s">
        <v>1593</v>
      </c>
      <c r="Y593" s="54" t="s">
        <v>372</v>
      </c>
      <c r="Z593" s="54" t="s">
        <v>372</v>
      </c>
      <c r="AA593" s="52" t="s">
        <v>373</v>
      </c>
    </row>
    <row r="594" spans="2:27" ht="80.25" hidden="1" customHeight="1">
      <c r="B594" s="51" t="s">
        <v>67</v>
      </c>
      <c r="C594" s="51" t="s">
        <v>2762</v>
      </c>
      <c r="D594" s="51" t="s">
        <v>68</v>
      </c>
      <c r="E594" s="52">
        <v>1</v>
      </c>
      <c r="F594" s="51" t="s">
        <v>136</v>
      </c>
      <c r="G594" s="51" t="s">
        <v>137</v>
      </c>
      <c r="H594" s="51" t="s">
        <v>122</v>
      </c>
      <c r="I594" s="52">
        <v>2</v>
      </c>
      <c r="J594" s="51" t="s">
        <v>123</v>
      </c>
      <c r="K594" s="52">
        <v>30</v>
      </c>
      <c r="L594" s="52"/>
      <c r="M594" s="52"/>
      <c r="N594" s="53" t="s">
        <v>138</v>
      </c>
      <c r="O594" s="53" t="s">
        <v>139</v>
      </c>
      <c r="P594" s="52" t="s">
        <v>126</v>
      </c>
      <c r="Q594" s="51"/>
      <c r="R594" s="55" t="s">
        <v>127</v>
      </c>
      <c r="S594" s="55" t="s">
        <v>2148</v>
      </c>
      <c r="T594" s="55" t="s">
        <v>1586</v>
      </c>
      <c r="U594" s="55" t="s">
        <v>1587</v>
      </c>
      <c r="V594" s="55" t="s">
        <v>1588</v>
      </c>
      <c r="W594" s="77" t="s">
        <v>2764</v>
      </c>
      <c r="X594" s="51" t="s">
        <v>1593</v>
      </c>
      <c r="Y594" s="54" t="s">
        <v>1590</v>
      </c>
      <c r="Z594" s="54" t="s">
        <v>1591</v>
      </c>
      <c r="AA594" s="52" t="s">
        <v>372</v>
      </c>
    </row>
    <row r="595" spans="2:27" ht="80.25" hidden="1" customHeight="1">
      <c r="B595" s="51" t="s">
        <v>67</v>
      </c>
      <c r="C595" s="51" t="s">
        <v>2762</v>
      </c>
      <c r="D595" s="51" t="s">
        <v>68</v>
      </c>
      <c r="E595" s="52">
        <v>1</v>
      </c>
      <c r="F595" s="51" t="s">
        <v>148</v>
      </c>
      <c r="G595" s="51" t="s">
        <v>149</v>
      </c>
      <c r="H595" s="54" t="s">
        <v>150</v>
      </c>
      <c r="I595" s="52">
        <v>3</v>
      </c>
      <c r="J595" s="51" t="s">
        <v>123</v>
      </c>
      <c r="K595" s="52">
        <v>4</v>
      </c>
      <c r="L595" s="52"/>
      <c r="M595" s="52"/>
      <c r="N595" s="53" t="s">
        <v>151</v>
      </c>
      <c r="O595" s="53" t="s">
        <v>152</v>
      </c>
      <c r="P595" s="52"/>
      <c r="Q595" s="53" t="s">
        <v>586</v>
      </c>
      <c r="R595" s="55"/>
      <c r="S595" s="51"/>
      <c r="T595" s="55" t="s">
        <v>1583</v>
      </c>
      <c r="U595" s="55" t="s">
        <v>1584</v>
      </c>
      <c r="V595" s="55" t="s">
        <v>555</v>
      </c>
      <c r="W595" s="77" t="s">
        <v>2765</v>
      </c>
      <c r="X595" s="55" t="s">
        <v>1593</v>
      </c>
      <c r="Y595" s="53" t="s">
        <v>1590</v>
      </c>
      <c r="Z595" s="55" t="s">
        <v>1594</v>
      </c>
      <c r="AA595" s="52" t="s">
        <v>372</v>
      </c>
    </row>
    <row r="596" spans="2:27" ht="80.25" hidden="1" customHeight="1">
      <c r="B596" s="51" t="s">
        <v>67</v>
      </c>
      <c r="C596" s="51" t="s">
        <v>2762</v>
      </c>
      <c r="D596" s="51" t="s">
        <v>68</v>
      </c>
      <c r="E596" s="52">
        <v>1</v>
      </c>
      <c r="F596" s="51" t="s">
        <v>155</v>
      </c>
      <c r="G596" s="51" t="s">
        <v>156</v>
      </c>
      <c r="H596" s="54" t="s">
        <v>150</v>
      </c>
      <c r="I596" s="52">
        <v>3</v>
      </c>
      <c r="J596" s="51" t="s">
        <v>123</v>
      </c>
      <c r="K596" s="52">
        <v>4</v>
      </c>
      <c r="L596" s="52"/>
      <c r="M596" s="52"/>
      <c r="N596" s="53" t="s">
        <v>157</v>
      </c>
      <c r="O596" s="53" t="s">
        <v>158</v>
      </c>
      <c r="P596" s="52"/>
      <c r="Q596" s="55" t="s">
        <v>2766</v>
      </c>
      <c r="R596" s="55" t="s">
        <v>160</v>
      </c>
      <c r="S596" s="55" t="s">
        <v>161</v>
      </c>
      <c r="T596" s="55" t="s">
        <v>1586</v>
      </c>
      <c r="U596" s="55" t="s">
        <v>1587</v>
      </c>
      <c r="V596" s="55" t="s">
        <v>2240</v>
      </c>
      <c r="W596" s="77" t="s">
        <v>2767</v>
      </c>
      <c r="X596" s="51" t="s">
        <v>1593</v>
      </c>
      <c r="Y596" s="54" t="s">
        <v>1590</v>
      </c>
      <c r="Z596" s="54" t="s">
        <v>590</v>
      </c>
      <c r="AA596" s="52" t="s">
        <v>372</v>
      </c>
    </row>
    <row r="597" spans="2:27" ht="80.25" hidden="1" customHeight="1">
      <c r="B597" s="51" t="s">
        <v>67</v>
      </c>
      <c r="C597" s="51" t="s">
        <v>2762</v>
      </c>
      <c r="D597" s="51" t="s">
        <v>68</v>
      </c>
      <c r="E597" s="52">
        <v>1</v>
      </c>
      <c r="F597" s="51" t="s">
        <v>167</v>
      </c>
      <c r="G597" s="51" t="s">
        <v>168</v>
      </c>
      <c r="H597" s="54" t="s">
        <v>150</v>
      </c>
      <c r="I597" s="52">
        <v>3</v>
      </c>
      <c r="J597" s="51" t="s">
        <v>123</v>
      </c>
      <c r="K597" s="52">
        <v>4</v>
      </c>
      <c r="L597" s="52"/>
      <c r="M597" s="52"/>
      <c r="N597" s="53" t="s">
        <v>169</v>
      </c>
      <c r="O597" s="53" t="s">
        <v>170</v>
      </c>
      <c r="P597" s="52"/>
      <c r="Q597" s="55" t="s">
        <v>2768</v>
      </c>
      <c r="R597" s="55" t="s">
        <v>160</v>
      </c>
      <c r="S597" s="55" t="s">
        <v>172</v>
      </c>
      <c r="T597" s="55" t="s">
        <v>1586</v>
      </c>
      <c r="U597" s="55" t="s">
        <v>1587</v>
      </c>
      <c r="V597" s="55" t="s">
        <v>1599</v>
      </c>
      <c r="W597" s="77" t="s">
        <v>2769</v>
      </c>
      <c r="X597" s="51" t="s">
        <v>1593</v>
      </c>
      <c r="Y597" s="54" t="s">
        <v>1590</v>
      </c>
      <c r="Z597" s="54" t="s">
        <v>593</v>
      </c>
      <c r="AA597" s="52" t="s">
        <v>372</v>
      </c>
    </row>
    <row r="598" spans="2:27" ht="80.25" hidden="1" customHeight="1">
      <c r="B598" s="51" t="s">
        <v>67</v>
      </c>
      <c r="C598" s="51" t="s">
        <v>2762</v>
      </c>
      <c r="D598" s="51" t="s">
        <v>68</v>
      </c>
      <c r="E598" s="52">
        <v>1</v>
      </c>
      <c r="F598" s="51" t="s">
        <v>176</v>
      </c>
      <c r="G598" s="51" t="s">
        <v>177</v>
      </c>
      <c r="H598" s="54" t="s">
        <v>150</v>
      </c>
      <c r="I598" s="52">
        <v>6</v>
      </c>
      <c r="J598" s="51" t="s">
        <v>123</v>
      </c>
      <c r="K598" s="52">
        <v>4</v>
      </c>
      <c r="L598" s="52"/>
      <c r="M598" s="52"/>
      <c r="N598" s="72" t="s">
        <v>2770</v>
      </c>
      <c r="O598" s="53" t="s">
        <v>179</v>
      </c>
      <c r="P598" s="52"/>
      <c r="Q598" s="51"/>
      <c r="R598" s="55" t="s">
        <v>203</v>
      </c>
      <c r="S598" s="55" t="s">
        <v>409</v>
      </c>
      <c r="T598" s="55" t="s">
        <v>1583</v>
      </c>
      <c r="U598" s="55" t="s">
        <v>1584</v>
      </c>
      <c r="V598" s="55" t="s">
        <v>555</v>
      </c>
      <c r="W598" s="77" t="s">
        <v>2771</v>
      </c>
      <c r="X598" s="51" t="s">
        <v>1593</v>
      </c>
      <c r="Y598" s="54" t="s">
        <v>372</v>
      </c>
      <c r="Z598" s="54" t="s">
        <v>372</v>
      </c>
      <c r="AA598" s="52" t="s">
        <v>373</v>
      </c>
    </row>
    <row r="599" spans="2:27" ht="80.25" hidden="1" customHeight="1">
      <c r="B599" s="51" t="s">
        <v>67</v>
      </c>
      <c r="C599" s="51" t="s">
        <v>2762</v>
      </c>
      <c r="D599" s="51" t="s">
        <v>68</v>
      </c>
      <c r="E599" s="52">
        <v>1</v>
      </c>
      <c r="F599" s="51" t="s">
        <v>187</v>
      </c>
      <c r="G599" s="51" t="s">
        <v>188</v>
      </c>
      <c r="H599" s="54" t="s">
        <v>150</v>
      </c>
      <c r="I599" s="52">
        <v>7</v>
      </c>
      <c r="J599" s="51" t="s">
        <v>123</v>
      </c>
      <c r="K599" s="52">
        <v>30</v>
      </c>
      <c r="L599" s="52"/>
      <c r="M599" s="52"/>
      <c r="N599" s="53" t="s">
        <v>2772</v>
      </c>
      <c r="O599" s="53" t="s">
        <v>190</v>
      </c>
      <c r="P599" s="52"/>
      <c r="Q599" s="51"/>
      <c r="R599" s="55" t="s">
        <v>203</v>
      </c>
      <c r="S599" s="55" t="s">
        <v>409</v>
      </c>
      <c r="T599" s="55" t="s">
        <v>2773</v>
      </c>
      <c r="U599" s="55" t="s">
        <v>2774</v>
      </c>
      <c r="V599" s="55" t="s">
        <v>2775</v>
      </c>
      <c r="W599" s="77" t="s">
        <v>2776</v>
      </c>
      <c r="X599" s="55" t="s">
        <v>2166</v>
      </c>
      <c r="Y599" s="53" t="s">
        <v>2167</v>
      </c>
      <c r="Z599" s="53" t="s">
        <v>2168</v>
      </c>
      <c r="AA599" s="60" t="s">
        <v>500</v>
      </c>
    </row>
    <row r="600" spans="2:27" ht="80.25" hidden="1" customHeight="1">
      <c r="B600" s="51" t="s">
        <v>67</v>
      </c>
      <c r="C600" s="51" t="s">
        <v>2762</v>
      </c>
      <c r="D600" s="51" t="s">
        <v>68</v>
      </c>
      <c r="E600" s="52">
        <v>1</v>
      </c>
      <c r="F600" s="51" t="s">
        <v>198</v>
      </c>
      <c r="G600" s="51" t="s">
        <v>199</v>
      </c>
      <c r="H600" s="54" t="s">
        <v>200</v>
      </c>
      <c r="I600" s="52">
        <v>8</v>
      </c>
      <c r="J600" s="51" t="s">
        <v>123</v>
      </c>
      <c r="K600" s="52">
        <v>10</v>
      </c>
      <c r="L600" s="52"/>
      <c r="M600" s="52"/>
      <c r="N600" s="53" t="s">
        <v>201</v>
      </c>
      <c r="O600" s="53" t="s">
        <v>202</v>
      </c>
      <c r="P600" s="52"/>
      <c r="Q600" s="51"/>
      <c r="R600" s="55" t="s">
        <v>203</v>
      </c>
      <c r="S600" s="51" t="s">
        <v>198</v>
      </c>
      <c r="T600" s="55" t="s">
        <v>1586</v>
      </c>
      <c r="U600" s="55" t="s">
        <v>1587</v>
      </c>
      <c r="V600" s="55" t="s">
        <v>1601</v>
      </c>
      <c r="W600" s="77" t="s">
        <v>2777</v>
      </c>
      <c r="X600" s="51" t="s">
        <v>1593</v>
      </c>
      <c r="Y600" s="54" t="s">
        <v>1590</v>
      </c>
      <c r="Z600" s="54" t="s">
        <v>630</v>
      </c>
      <c r="AA600" s="52" t="s">
        <v>372</v>
      </c>
    </row>
    <row r="601" spans="2:27" ht="80.25" hidden="1" customHeight="1">
      <c r="B601" s="51" t="s">
        <v>67</v>
      </c>
      <c r="C601" s="51" t="s">
        <v>2762</v>
      </c>
      <c r="D601" s="51" t="s">
        <v>68</v>
      </c>
      <c r="E601" s="52">
        <v>1</v>
      </c>
      <c r="F601" s="51" t="s">
        <v>210</v>
      </c>
      <c r="G601" s="51" t="s">
        <v>211</v>
      </c>
      <c r="H601" s="54" t="s">
        <v>200</v>
      </c>
      <c r="I601" s="52">
        <v>9</v>
      </c>
      <c r="J601" s="51" t="s">
        <v>123</v>
      </c>
      <c r="K601" s="52">
        <v>10</v>
      </c>
      <c r="L601" s="52"/>
      <c r="M601" s="52"/>
      <c r="N601" s="53" t="s">
        <v>212</v>
      </c>
      <c r="O601" s="53" t="s">
        <v>213</v>
      </c>
      <c r="P601" s="52"/>
      <c r="Q601" s="51"/>
      <c r="R601" s="55" t="s">
        <v>214</v>
      </c>
      <c r="S601" s="51" t="s">
        <v>210</v>
      </c>
      <c r="T601" s="55" t="s">
        <v>1586</v>
      </c>
      <c r="U601" s="55" t="s">
        <v>1587</v>
      </c>
      <c r="V601" s="55" t="s">
        <v>1603</v>
      </c>
      <c r="W601" s="77" t="s">
        <v>2778</v>
      </c>
      <c r="X601" s="55" t="s">
        <v>1605</v>
      </c>
      <c r="Y601" s="53" t="s">
        <v>1606</v>
      </c>
      <c r="Z601" s="53" t="s">
        <v>2779</v>
      </c>
      <c r="AA601" s="64" t="s">
        <v>647</v>
      </c>
    </row>
    <row r="602" spans="2:27" ht="80.25" hidden="1" customHeight="1">
      <c r="B602" s="51" t="s">
        <v>67</v>
      </c>
      <c r="C602" s="51" t="s">
        <v>2762</v>
      </c>
      <c r="D602" s="51" t="s">
        <v>68</v>
      </c>
      <c r="E602" s="52">
        <v>1</v>
      </c>
      <c r="F602" s="51" t="s">
        <v>222</v>
      </c>
      <c r="G602" s="51" t="s">
        <v>223</v>
      </c>
      <c r="H602" s="54" t="s">
        <v>224</v>
      </c>
      <c r="I602" s="52">
        <v>10</v>
      </c>
      <c r="J602" s="51" t="s">
        <v>123</v>
      </c>
      <c r="K602" s="52">
        <v>4</v>
      </c>
      <c r="L602" s="52"/>
      <c r="M602" s="52"/>
      <c r="N602" s="53" t="s">
        <v>225</v>
      </c>
      <c r="O602" s="53" t="s">
        <v>226</v>
      </c>
      <c r="P602" s="52"/>
      <c r="Q602" s="55" t="s">
        <v>1277</v>
      </c>
      <c r="R602" s="55" t="s">
        <v>228</v>
      </c>
      <c r="S602" s="55" t="s">
        <v>229</v>
      </c>
      <c r="T602" s="242" t="s">
        <v>1586</v>
      </c>
      <c r="U602" s="242" t="s">
        <v>1587</v>
      </c>
      <c r="V602" s="55" t="s">
        <v>1609</v>
      </c>
      <c r="W602" s="77" t="s">
        <v>2780</v>
      </c>
      <c r="X602" s="51" t="s">
        <v>1593</v>
      </c>
      <c r="Y602" s="54" t="s">
        <v>1590</v>
      </c>
      <c r="Z602" s="54" t="s">
        <v>427</v>
      </c>
      <c r="AA602" s="52" t="s">
        <v>372</v>
      </c>
    </row>
    <row r="603" spans="2:27" ht="80.25" hidden="1" customHeight="1">
      <c r="B603" s="51" t="s">
        <v>67</v>
      </c>
      <c r="C603" s="51" t="s">
        <v>2762</v>
      </c>
      <c r="D603" s="51" t="s">
        <v>68</v>
      </c>
      <c r="E603" s="52">
        <v>1</v>
      </c>
      <c r="F603" s="51" t="s">
        <v>238</v>
      </c>
      <c r="G603" s="51" t="s">
        <v>239</v>
      </c>
      <c r="H603" s="54" t="s">
        <v>240</v>
      </c>
      <c r="I603" s="52">
        <v>11</v>
      </c>
      <c r="J603" s="51" t="s">
        <v>123</v>
      </c>
      <c r="K603" s="52">
        <v>4</v>
      </c>
      <c r="L603" s="52"/>
      <c r="M603" s="52"/>
      <c r="N603" s="53" t="s">
        <v>241</v>
      </c>
      <c r="O603" s="53" t="s">
        <v>242</v>
      </c>
      <c r="P603" s="52"/>
      <c r="Q603" s="54"/>
      <c r="R603" s="63"/>
      <c r="S603" s="61"/>
      <c r="T603" s="242" t="s">
        <v>1586</v>
      </c>
      <c r="U603" s="242" t="s">
        <v>1587</v>
      </c>
      <c r="V603" s="63" t="s">
        <v>351</v>
      </c>
      <c r="W603" s="77" t="s">
        <v>2781</v>
      </c>
      <c r="X603" s="55" t="s">
        <v>1605</v>
      </c>
      <c r="Y603" s="53" t="s">
        <v>647</v>
      </c>
      <c r="Z603" s="53" t="s">
        <v>647</v>
      </c>
      <c r="AA603" s="60" t="s">
        <v>665</v>
      </c>
    </row>
    <row r="604" spans="2:27" ht="80.25" hidden="1" customHeight="1">
      <c r="B604" s="51" t="s">
        <v>67</v>
      </c>
      <c r="C604" s="51" t="s">
        <v>2762</v>
      </c>
      <c r="D604" s="51" t="s">
        <v>68</v>
      </c>
      <c r="E604" s="52">
        <v>1</v>
      </c>
      <c r="F604" s="51" t="s">
        <v>260</v>
      </c>
      <c r="G604" s="51" t="s">
        <v>261</v>
      </c>
      <c r="H604" s="51" t="s">
        <v>249</v>
      </c>
      <c r="I604" s="52">
        <v>12</v>
      </c>
      <c r="J604" s="51" t="s">
        <v>250</v>
      </c>
      <c r="K604" s="52">
        <v>23</v>
      </c>
      <c r="L604" s="52">
        <v>6</v>
      </c>
      <c r="M604" s="52"/>
      <c r="N604" s="53" t="s">
        <v>2782</v>
      </c>
      <c r="O604" s="53" t="s">
        <v>263</v>
      </c>
      <c r="P604" s="52"/>
      <c r="Q604" s="54"/>
      <c r="R604" s="53" t="s">
        <v>203</v>
      </c>
      <c r="S604" s="53" t="s">
        <v>253</v>
      </c>
      <c r="T604" s="242" t="s">
        <v>1586</v>
      </c>
      <c r="U604" s="242" t="s">
        <v>1587</v>
      </c>
      <c r="V604" s="83" t="s">
        <v>2783</v>
      </c>
      <c r="W604" s="313" t="s">
        <v>2784</v>
      </c>
      <c r="X604" s="51" t="s">
        <v>1593</v>
      </c>
      <c r="Y604" s="54" t="s">
        <v>2785</v>
      </c>
      <c r="Z604" s="54" t="s">
        <v>2786</v>
      </c>
      <c r="AA604" s="52" t="s">
        <v>647</v>
      </c>
    </row>
    <row r="605" spans="2:27" ht="80.25" hidden="1" customHeight="1">
      <c r="B605" s="51" t="s">
        <v>67</v>
      </c>
      <c r="C605" s="51" t="s">
        <v>2762</v>
      </c>
      <c r="D605" s="51" t="s">
        <v>68</v>
      </c>
      <c r="E605" s="52">
        <v>1</v>
      </c>
      <c r="F605" s="51" t="s">
        <v>879</v>
      </c>
      <c r="G605" s="51" t="s">
        <v>880</v>
      </c>
      <c r="H605" s="51" t="s">
        <v>249</v>
      </c>
      <c r="I605" s="52">
        <v>13</v>
      </c>
      <c r="J605" s="51" t="s">
        <v>250</v>
      </c>
      <c r="K605" s="52">
        <v>23</v>
      </c>
      <c r="L605" s="52">
        <v>6</v>
      </c>
      <c r="M605" s="52"/>
      <c r="N605" s="53" t="s">
        <v>2787</v>
      </c>
      <c r="O605" s="53" t="s">
        <v>882</v>
      </c>
      <c r="P605" s="52"/>
      <c r="Q605" s="54"/>
      <c r="R605" s="53" t="s">
        <v>275</v>
      </c>
      <c r="S605" s="54" t="s">
        <v>276</v>
      </c>
      <c r="T605" s="242" t="s">
        <v>1586</v>
      </c>
      <c r="U605" s="242" t="s">
        <v>1587</v>
      </c>
      <c r="V605" s="55" t="s">
        <v>1629</v>
      </c>
      <c r="W605" s="77" t="s">
        <v>2788</v>
      </c>
      <c r="X605" s="55" t="s">
        <v>1605</v>
      </c>
      <c r="Y605" s="54" t="s">
        <v>2789</v>
      </c>
      <c r="Z605" s="54" t="s">
        <v>2790</v>
      </c>
      <c r="AA605" s="60" t="s">
        <v>1676</v>
      </c>
    </row>
    <row r="606" spans="2:27" ht="80.25" hidden="1" customHeight="1">
      <c r="B606" s="51" t="s">
        <v>67</v>
      </c>
      <c r="C606" s="51" t="s">
        <v>2762</v>
      </c>
      <c r="D606" s="51" t="s">
        <v>68</v>
      </c>
      <c r="E606" s="52">
        <v>1</v>
      </c>
      <c r="F606" s="51" t="s">
        <v>1618</v>
      </c>
      <c r="G606" s="51" t="s">
        <v>1619</v>
      </c>
      <c r="H606" s="54" t="s">
        <v>249</v>
      </c>
      <c r="I606" s="52">
        <v>14</v>
      </c>
      <c r="J606" s="51" t="s">
        <v>250</v>
      </c>
      <c r="K606" s="52">
        <v>23</v>
      </c>
      <c r="L606" s="52">
        <v>6</v>
      </c>
      <c r="M606" s="52"/>
      <c r="N606" s="53" t="s">
        <v>1620</v>
      </c>
      <c r="O606" s="53" t="s">
        <v>1621</v>
      </c>
      <c r="P606" s="52"/>
      <c r="Q606" s="51"/>
      <c r="R606" s="53"/>
      <c r="S606" s="54"/>
      <c r="T606" s="242" t="s">
        <v>1586</v>
      </c>
      <c r="U606" s="242" t="s">
        <v>1587</v>
      </c>
      <c r="V606" s="63" t="s">
        <v>1622</v>
      </c>
      <c r="W606" s="77" t="s">
        <v>2791</v>
      </c>
      <c r="X606" s="55" t="s">
        <v>1593</v>
      </c>
      <c r="Y606" s="53" t="s">
        <v>1590</v>
      </c>
      <c r="Z606" s="51" t="s">
        <v>1624</v>
      </c>
      <c r="AA606" s="60" t="s">
        <v>372</v>
      </c>
    </row>
    <row r="607" spans="2:27" ht="80.25" hidden="1" customHeight="1">
      <c r="B607" s="51" t="s">
        <v>67</v>
      </c>
      <c r="C607" s="51" t="s">
        <v>2762</v>
      </c>
      <c r="D607" s="51" t="s">
        <v>68</v>
      </c>
      <c r="E607" s="52">
        <v>1</v>
      </c>
      <c r="F607" s="51" t="s">
        <v>648</v>
      </c>
      <c r="G607" s="51" t="s">
        <v>649</v>
      </c>
      <c r="H607" s="51" t="s">
        <v>249</v>
      </c>
      <c r="I607" s="52">
        <v>15</v>
      </c>
      <c r="J607" s="51" t="s">
        <v>250</v>
      </c>
      <c r="K607" s="52">
        <v>23</v>
      </c>
      <c r="L607" s="52">
        <v>6</v>
      </c>
      <c r="M607" s="52"/>
      <c r="N607" s="53" t="s">
        <v>650</v>
      </c>
      <c r="O607" s="53" t="s">
        <v>651</v>
      </c>
      <c r="P607" s="52"/>
      <c r="Q607" s="54"/>
      <c r="R607" s="53"/>
      <c r="S607" s="54"/>
      <c r="T607" s="242" t="s">
        <v>1586</v>
      </c>
      <c r="U607" s="242" t="s">
        <v>1587</v>
      </c>
      <c r="V607" s="55" t="s">
        <v>1616</v>
      </c>
      <c r="W607" s="77" t="s">
        <v>2792</v>
      </c>
      <c r="X607" s="55" t="s">
        <v>1605</v>
      </c>
      <c r="Y607" s="54" t="s">
        <v>2789</v>
      </c>
      <c r="Z607" s="54" t="s">
        <v>2793</v>
      </c>
      <c r="AA607" s="60" t="s">
        <v>1676</v>
      </c>
    </row>
    <row r="608" spans="2:27" ht="80.25" hidden="1" customHeight="1">
      <c r="B608" s="51" t="s">
        <v>67</v>
      </c>
      <c r="C608" s="51" t="s">
        <v>2762</v>
      </c>
      <c r="D608" s="51" t="s">
        <v>68</v>
      </c>
      <c r="E608" s="52">
        <v>1</v>
      </c>
      <c r="F608" s="51" t="s">
        <v>271</v>
      </c>
      <c r="G608" s="51" t="s">
        <v>272</v>
      </c>
      <c r="H608" s="51" t="s">
        <v>249</v>
      </c>
      <c r="I608" s="52">
        <v>16</v>
      </c>
      <c r="J608" s="51" t="s">
        <v>250</v>
      </c>
      <c r="K608" s="52">
        <v>23</v>
      </c>
      <c r="L608" s="52">
        <v>6</v>
      </c>
      <c r="M608" s="52"/>
      <c r="N608" s="53" t="s">
        <v>273</v>
      </c>
      <c r="O608" s="53" t="s">
        <v>2605</v>
      </c>
      <c r="P608" s="52"/>
      <c r="Q608" s="54"/>
      <c r="R608" s="53"/>
      <c r="S608" s="54"/>
      <c r="T608" s="242" t="s">
        <v>1586</v>
      </c>
      <c r="U608" s="242" t="s">
        <v>1587</v>
      </c>
      <c r="V608" s="55" t="s">
        <v>1616</v>
      </c>
      <c r="W608" s="77" t="s">
        <v>2794</v>
      </c>
      <c r="X608" s="55" t="s">
        <v>1605</v>
      </c>
      <c r="Y608" s="54" t="s">
        <v>2789</v>
      </c>
      <c r="Z608" s="54" t="s">
        <v>2793</v>
      </c>
      <c r="AA608" s="60" t="s">
        <v>1676</v>
      </c>
    </row>
    <row r="609" spans="2:27" ht="80.25" hidden="1" customHeight="1">
      <c r="B609" s="51" t="s">
        <v>67</v>
      </c>
      <c r="C609" s="51" t="s">
        <v>2762</v>
      </c>
      <c r="D609" s="51" t="s">
        <v>68</v>
      </c>
      <c r="E609" s="52">
        <v>1</v>
      </c>
      <c r="F609" s="51" t="s">
        <v>282</v>
      </c>
      <c r="G609" s="51" t="s">
        <v>283</v>
      </c>
      <c r="H609" s="51" t="s">
        <v>249</v>
      </c>
      <c r="I609" s="52">
        <v>17</v>
      </c>
      <c r="J609" s="51" t="s">
        <v>250</v>
      </c>
      <c r="K609" s="52">
        <v>23</v>
      </c>
      <c r="L609" s="52">
        <v>6</v>
      </c>
      <c r="M609" s="52"/>
      <c r="N609" s="53" t="s">
        <v>284</v>
      </c>
      <c r="O609" s="53" t="s">
        <v>285</v>
      </c>
      <c r="P609" s="52"/>
      <c r="Q609" s="54"/>
      <c r="R609" s="63"/>
      <c r="S609" s="61"/>
      <c r="T609" s="242" t="s">
        <v>1669</v>
      </c>
      <c r="U609" s="242" t="s">
        <v>2795</v>
      </c>
      <c r="V609" s="55" t="s">
        <v>2796</v>
      </c>
      <c r="W609" s="77" t="s">
        <v>2797</v>
      </c>
      <c r="X609" s="55" t="s">
        <v>1605</v>
      </c>
      <c r="Y609" s="66" t="s">
        <v>741</v>
      </c>
      <c r="Z609" s="53" t="s">
        <v>2798</v>
      </c>
      <c r="AA609" s="60" t="s">
        <v>743</v>
      </c>
    </row>
    <row r="610" spans="2:27" ht="80.25" hidden="1" customHeight="1">
      <c r="B610" s="51" t="s">
        <v>67</v>
      </c>
      <c r="C610" s="51" t="s">
        <v>2762</v>
      </c>
      <c r="D610" s="51" t="s">
        <v>68</v>
      </c>
      <c r="E610" s="52">
        <v>1</v>
      </c>
      <c r="F610" s="51" t="s">
        <v>1515</v>
      </c>
      <c r="G610" s="51" t="s">
        <v>1979</v>
      </c>
      <c r="H610" s="54" t="s">
        <v>1517</v>
      </c>
      <c r="I610" s="52">
        <v>18</v>
      </c>
      <c r="J610" s="51" t="s">
        <v>123</v>
      </c>
      <c r="K610" s="52">
        <v>4</v>
      </c>
      <c r="L610" s="52"/>
      <c r="M610" s="52"/>
      <c r="N610" s="53" t="s">
        <v>2183</v>
      </c>
      <c r="O610" s="53" t="s">
        <v>1519</v>
      </c>
      <c r="P610" s="52"/>
      <c r="Q610" s="53"/>
      <c r="R610" s="53"/>
      <c r="S610" s="54"/>
      <c r="T610" s="131"/>
      <c r="U610" s="124"/>
      <c r="V610" s="51"/>
      <c r="W610" s="51"/>
      <c r="X610" s="51" t="s">
        <v>1682</v>
      </c>
      <c r="Y610" s="53" t="s">
        <v>1682</v>
      </c>
      <c r="Z610" s="53" t="s">
        <v>1682</v>
      </c>
      <c r="AA610" s="60" t="s">
        <v>1682</v>
      </c>
    </row>
    <row r="611" spans="2:27" ht="80.25" hidden="1" customHeight="1">
      <c r="B611" s="51" t="s">
        <v>67</v>
      </c>
      <c r="C611" s="51" t="s">
        <v>2762</v>
      </c>
      <c r="D611" s="51" t="s">
        <v>68</v>
      </c>
      <c r="E611" s="52">
        <v>1</v>
      </c>
      <c r="F611" s="51" t="s">
        <v>1986</v>
      </c>
      <c r="G611" s="51" t="s">
        <v>1987</v>
      </c>
      <c r="H611" s="54" t="s">
        <v>746</v>
      </c>
      <c r="I611" s="52">
        <v>19</v>
      </c>
      <c r="J611" s="51" t="s">
        <v>123</v>
      </c>
      <c r="K611" s="52">
        <v>4</v>
      </c>
      <c r="L611" s="52"/>
      <c r="M611" s="52"/>
      <c r="N611" s="53" t="s">
        <v>1685</v>
      </c>
      <c r="O611" s="53" t="s">
        <v>1989</v>
      </c>
      <c r="P611" s="52"/>
      <c r="Q611" s="53" t="s">
        <v>1687</v>
      </c>
      <c r="R611" s="53"/>
      <c r="S611" s="54"/>
      <c r="T611" s="51"/>
      <c r="U611" s="54"/>
      <c r="V611" s="51"/>
      <c r="W611" s="51"/>
      <c r="X611" s="51" t="s">
        <v>1682</v>
      </c>
      <c r="Y611" s="53" t="s">
        <v>1682</v>
      </c>
      <c r="Z611" s="53" t="s">
        <v>1682</v>
      </c>
      <c r="AA611" s="60" t="s">
        <v>1682</v>
      </c>
    </row>
    <row r="612" spans="2:27" ht="80.25" hidden="1" customHeight="1">
      <c r="B612" s="51" t="s">
        <v>67</v>
      </c>
      <c r="C612" s="51" t="s">
        <v>2762</v>
      </c>
      <c r="D612" s="51" t="s">
        <v>68</v>
      </c>
      <c r="E612" s="52">
        <v>1</v>
      </c>
      <c r="F612" s="51" t="s">
        <v>1997</v>
      </c>
      <c r="G612" s="51" t="s">
        <v>1998</v>
      </c>
      <c r="H612" s="54" t="s">
        <v>767</v>
      </c>
      <c r="I612" s="52">
        <v>20</v>
      </c>
      <c r="J612" s="51" t="s">
        <v>250</v>
      </c>
      <c r="K612" s="52">
        <v>23</v>
      </c>
      <c r="L612" s="52">
        <v>6</v>
      </c>
      <c r="M612" s="52"/>
      <c r="N612" s="53" t="s">
        <v>2190</v>
      </c>
      <c r="O612" s="53" t="s">
        <v>2000</v>
      </c>
      <c r="P612" s="52"/>
      <c r="Q612" s="54"/>
      <c r="R612" s="53"/>
      <c r="S612" s="54"/>
      <c r="T612" s="131"/>
      <c r="U612" s="124"/>
      <c r="V612" s="51"/>
      <c r="W612" s="51"/>
      <c r="X612" s="51" t="s">
        <v>1682</v>
      </c>
      <c r="Y612" s="53" t="s">
        <v>1682</v>
      </c>
      <c r="Z612" s="53" t="s">
        <v>1682</v>
      </c>
      <c r="AA612" s="60" t="s">
        <v>1682</v>
      </c>
    </row>
    <row r="613" spans="2:27" ht="80.25" hidden="1" customHeight="1">
      <c r="B613" s="51" t="s">
        <v>67</v>
      </c>
      <c r="C613" s="51" t="s">
        <v>2762</v>
      </c>
      <c r="D613" s="51" t="s">
        <v>68</v>
      </c>
      <c r="E613" s="52">
        <v>1</v>
      </c>
      <c r="F613" s="51" t="s">
        <v>2007</v>
      </c>
      <c r="G613" s="51" t="s">
        <v>2008</v>
      </c>
      <c r="H613" s="54" t="s">
        <v>767</v>
      </c>
      <c r="I613" s="52">
        <v>21</v>
      </c>
      <c r="J613" s="51" t="s">
        <v>250</v>
      </c>
      <c r="K613" s="52">
        <v>23</v>
      </c>
      <c r="L613" s="52">
        <v>6</v>
      </c>
      <c r="M613" s="52"/>
      <c r="N613" s="53" t="s">
        <v>1694</v>
      </c>
      <c r="O613" s="53" t="s">
        <v>2010</v>
      </c>
      <c r="P613" s="52"/>
      <c r="Q613" s="54"/>
      <c r="R613" s="53"/>
      <c r="S613" s="54"/>
      <c r="T613" s="131"/>
      <c r="U613" s="124"/>
      <c r="V613" s="51"/>
      <c r="W613" s="51"/>
      <c r="X613" s="51" t="s">
        <v>1682</v>
      </c>
      <c r="Y613" s="53" t="s">
        <v>1682</v>
      </c>
      <c r="Z613" s="53" t="s">
        <v>1682</v>
      </c>
      <c r="AA613" s="60" t="s">
        <v>1682</v>
      </c>
    </row>
    <row r="614" spans="2:27" ht="80.25" hidden="1" customHeight="1">
      <c r="B614" s="51" t="s">
        <v>67</v>
      </c>
      <c r="C614" s="51" t="s">
        <v>2762</v>
      </c>
      <c r="D614" s="51" t="s">
        <v>68</v>
      </c>
      <c r="E614" s="52">
        <v>1</v>
      </c>
      <c r="F614" s="51" t="s">
        <v>1522</v>
      </c>
      <c r="G614" s="51" t="s">
        <v>1523</v>
      </c>
      <c r="H614" s="54" t="s">
        <v>767</v>
      </c>
      <c r="I614" s="52">
        <v>22</v>
      </c>
      <c r="J614" s="51" t="s">
        <v>250</v>
      </c>
      <c r="K614" s="52">
        <v>23</v>
      </c>
      <c r="L614" s="52">
        <v>6</v>
      </c>
      <c r="M614" s="52"/>
      <c r="N614" s="53" t="s">
        <v>2197</v>
      </c>
      <c r="O614" s="53" t="s">
        <v>1525</v>
      </c>
      <c r="P614" s="52"/>
      <c r="Q614" s="51"/>
      <c r="R614" s="55" t="s">
        <v>788</v>
      </c>
      <c r="S614" s="51" t="s">
        <v>1526</v>
      </c>
      <c r="T614" s="52"/>
      <c r="U614" s="52"/>
      <c r="V614" s="51"/>
      <c r="W614" s="51"/>
      <c r="X614" s="51" t="s">
        <v>1682</v>
      </c>
      <c r="Y614" s="53" t="s">
        <v>1682</v>
      </c>
      <c r="Z614" s="53" t="s">
        <v>1682</v>
      </c>
      <c r="AA614" s="60" t="s">
        <v>1682</v>
      </c>
    </row>
    <row r="615" spans="2:27" ht="80.25" hidden="1" customHeight="1">
      <c r="B615" s="51" t="s">
        <v>67</v>
      </c>
      <c r="C615" s="51" t="s">
        <v>2762</v>
      </c>
      <c r="D615" s="51" t="s">
        <v>68</v>
      </c>
      <c r="E615" s="52">
        <v>1</v>
      </c>
      <c r="F615" s="213" t="s">
        <v>744</v>
      </c>
      <c r="G615" s="213" t="s">
        <v>745</v>
      </c>
      <c r="H615" s="54" t="s">
        <v>746</v>
      </c>
      <c r="I615" s="52">
        <v>23</v>
      </c>
      <c r="J615" s="51" t="s">
        <v>123</v>
      </c>
      <c r="K615" s="52">
        <v>4</v>
      </c>
      <c r="L615" s="52"/>
      <c r="M615" s="52"/>
      <c r="N615" s="53" t="s">
        <v>2201</v>
      </c>
      <c r="O615" s="53" t="s">
        <v>748</v>
      </c>
      <c r="P615" s="52"/>
      <c r="Q615" s="53" t="s">
        <v>1681</v>
      </c>
      <c r="R615" s="53"/>
      <c r="S615" s="54"/>
      <c r="T615" s="51"/>
      <c r="U615" s="54"/>
      <c r="V615" s="51"/>
      <c r="W615" s="51"/>
      <c r="X615" s="51" t="s">
        <v>1682</v>
      </c>
      <c r="Y615" s="53" t="s">
        <v>1682</v>
      </c>
      <c r="Z615" s="53" t="s">
        <v>1682</v>
      </c>
      <c r="AA615" s="60" t="s">
        <v>1682</v>
      </c>
    </row>
    <row r="616" spans="2:27" ht="80.25" hidden="1" customHeight="1">
      <c r="B616" s="51" t="s">
        <v>67</v>
      </c>
      <c r="C616" s="51" t="s">
        <v>2762</v>
      </c>
      <c r="D616" s="51" t="s">
        <v>68</v>
      </c>
      <c r="E616" s="52">
        <v>1</v>
      </c>
      <c r="F616" s="51" t="s">
        <v>755</v>
      </c>
      <c r="G616" s="51" t="s">
        <v>756</v>
      </c>
      <c r="H616" s="54" t="s">
        <v>746</v>
      </c>
      <c r="I616" s="52">
        <v>24</v>
      </c>
      <c r="J616" s="51" t="s">
        <v>123</v>
      </c>
      <c r="K616" s="52">
        <v>4</v>
      </c>
      <c r="L616" s="52"/>
      <c r="M616" s="52"/>
      <c r="N616" s="53" t="s">
        <v>1706</v>
      </c>
      <c r="O616" s="53" t="s">
        <v>758</v>
      </c>
      <c r="P616" s="52"/>
      <c r="Q616" s="53" t="s">
        <v>1708</v>
      </c>
      <c r="R616" s="53"/>
      <c r="S616" s="54"/>
      <c r="T616" s="51"/>
      <c r="U616" s="54"/>
      <c r="V616" s="51"/>
      <c r="W616" s="51"/>
      <c r="X616" s="51" t="s">
        <v>1682</v>
      </c>
      <c r="Y616" s="53" t="s">
        <v>1682</v>
      </c>
      <c r="Z616" s="53" t="s">
        <v>1682</v>
      </c>
      <c r="AA616" s="60" t="s">
        <v>1682</v>
      </c>
    </row>
    <row r="617" spans="2:27" ht="80.25" hidden="1" customHeight="1">
      <c r="B617" s="51" t="s">
        <v>67</v>
      </c>
      <c r="C617" s="51" t="s">
        <v>2762</v>
      </c>
      <c r="D617" s="51" t="s">
        <v>68</v>
      </c>
      <c r="E617" s="52">
        <v>1</v>
      </c>
      <c r="F617" s="51" t="s">
        <v>765</v>
      </c>
      <c r="G617" s="51" t="s">
        <v>766</v>
      </c>
      <c r="H617" s="54" t="s">
        <v>767</v>
      </c>
      <c r="I617" s="52">
        <v>25</v>
      </c>
      <c r="J617" s="51" t="s">
        <v>250</v>
      </c>
      <c r="K617" s="52">
        <v>23</v>
      </c>
      <c r="L617" s="52">
        <v>6</v>
      </c>
      <c r="M617" s="52"/>
      <c r="N617" s="53" t="s">
        <v>2208</v>
      </c>
      <c r="O617" s="53" t="s">
        <v>769</v>
      </c>
      <c r="P617" s="52"/>
      <c r="Q617" s="54"/>
      <c r="R617" s="53"/>
      <c r="S617" s="54"/>
      <c r="T617" s="51"/>
      <c r="U617" s="54"/>
      <c r="V617" s="51"/>
      <c r="W617" s="51"/>
      <c r="X617" s="51" t="s">
        <v>1682</v>
      </c>
      <c r="Y617" s="53" t="s">
        <v>1682</v>
      </c>
      <c r="Z617" s="53" t="s">
        <v>1682</v>
      </c>
      <c r="AA617" s="60" t="s">
        <v>1682</v>
      </c>
    </row>
    <row r="618" spans="2:27" ht="80.25" hidden="1" customHeight="1">
      <c r="B618" s="51" t="s">
        <v>67</v>
      </c>
      <c r="C618" s="51" t="s">
        <v>2762</v>
      </c>
      <c r="D618" s="51" t="s">
        <v>68</v>
      </c>
      <c r="E618" s="52">
        <v>1</v>
      </c>
      <c r="F618" s="51" t="s">
        <v>775</v>
      </c>
      <c r="G618" s="51" t="s">
        <v>776</v>
      </c>
      <c r="H618" s="54" t="s">
        <v>767</v>
      </c>
      <c r="I618" s="52">
        <v>26</v>
      </c>
      <c r="J618" s="51" t="s">
        <v>250</v>
      </c>
      <c r="K618" s="52">
        <v>23</v>
      </c>
      <c r="L618" s="52">
        <v>6</v>
      </c>
      <c r="M618" s="52"/>
      <c r="N618" s="53" t="s">
        <v>777</v>
      </c>
      <c r="O618" s="53" t="s">
        <v>778</v>
      </c>
      <c r="P618" s="52"/>
      <c r="Q618" s="54"/>
      <c r="R618" s="53"/>
      <c r="S618" s="54"/>
      <c r="T618" s="51"/>
      <c r="U618" s="54"/>
      <c r="V618" s="51"/>
      <c r="W618" s="51"/>
      <c r="X618" s="51" t="s">
        <v>1682</v>
      </c>
      <c r="Y618" s="53" t="s">
        <v>1682</v>
      </c>
      <c r="Z618" s="53" t="s">
        <v>1682</v>
      </c>
      <c r="AA618" s="60" t="s">
        <v>1682</v>
      </c>
    </row>
    <row r="619" spans="2:27" ht="80.25" hidden="1" customHeight="1">
      <c r="B619" s="51" t="s">
        <v>67</v>
      </c>
      <c r="C619" s="51" t="s">
        <v>2762</v>
      </c>
      <c r="D619" s="51" t="s">
        <v>68</v>
      </c>
      <c r="E619" s="52">
        <v>1</v>
      </c>
      <c r="F619" s="51" t="s">
        <v>784</v>
      </c>
      <c r="G619" s="51" t="s">
        <v>785</v>
      </c>
      <c r="H619" s="54" t="s">
        <v>767</v>
      </c>
      <c r="I619" s="52">
        <v>27</v>
      </c>
      <c r="J619" s="51" t="s">
        <v>250</v>
      </c>
      <c r="K619" s="52">
        <v>23</v>
      </c>
      <c r="L619" s="52">
        <v>6</v>
      </c>
      <c r="M619" s="52"/>
      <c r="N619" s="53" t="s">
        <v>2215</v>
      </c>
      <c r="O619" s="53" t="s">
        <v>787</v>
      </c>
      <c r="P619" s="52"/>
      <c r="Q619" s="51"/>
      <c r="R619" s="55" t="s">
        <v>1720</v>
      </c>
      <c r="S619" s="55" t="s">
        <v>1721</v>
      </c>
      <c r="T619" s="52"/>
      <c r="U619" s="52"/>
      <c r="V619" s="51"/>
      <c r="W619" s="51"/>
      <c r="X619" s="51" t="s">
        <v>1682</v>
      </c>
      <c r="Y619" s="53" t="s">
        <v>1682</v>
      </c>
      <c r="Z619" s="53" t="s">
        <v>1682</v>
      </c>
      <c r="AA619" s="60" t="s">
        <v>1682</v>
      </c>
    </row>
    <row r="620" spans="2:27" ht="80.25" hidden="1" customHeight="1">
      <c r="B620" s="51" t="s">
        <v>67</v>
      </c>
      <c r="C620" s="51" t="s">
        <v>2762</v>
      </c>
      <c r="D620" s="51" t="s">
        <v>68</v>
      </c>
      <c r="E620" s="52">
        <v>1</v>
      </c>
      <c r="F620" s="51" t="s">
        <v>293</v>
      </c>
      <c r="G620" s="51" t="s">
        <v>294</v>
      </c>
      <c r="H620" s="54" t="s">
        <v>295</v>
      </c>
      <c r="I620" s="52">
        <v>28</v>
      </c>
      <c r="J620" s="51" t="s">
        <v>123</v>
      </c>
      <c r="K620" s="52">
        <v>4</v>
      </c>
      <c r="L620" s="52"/>
      <c r="M620" s="52"/>
      <c r="N620" s="53" t="s">
        <v>296</v>
      </c>
      <c r="O620" s="53" t="s">
        <v>297</v>
      </c>
      <c r="P620" s="52"/>
      <c r="Q620" s="53" t="s">
        <v>2799</v>
      </c>
      <c r="R620" s="55" t="s">
        <v>299</v>
      </c>
      <c r="S620" s="51" t="s">
        <v>300</v>
      </c>
      <c r="T620" s="55" t="s">
        <v>1583</v>
      </c>
      <c r="U620" s="55" t="s">
        <v>1584</v>
      </c>
      <c r="V620" s="57" t="s">
        <v>555</v>
      </c>
      <c r="W620" s="298" t="s">
        <v>2800</v>
      </c>
      <c r="X620" s="55" t="s">
        <v>1605</v>
      </c>
      <c r="Y620" s="54" t="s">
        <v>1606</v>
      </c>
      <c r="Z620" s="54" t="s">
        <v>1726</v>
      </c>
      <c r="AA620" s="52" t="s">
        <v>647</v>
      </c>
    </row>
    <row r="621" spans="2:27" ht="80.25" hidden="1" customHeight="1">
      <c r="B621" s="51" t="s">
        <v>67</v>
      </c>
      <c r="C621" s="51" t="s">
        <v>2762</v>
      </c>
      <c r="D621" s="51" t="s">
        <v>68</v>
      </c>
      <c r="E621" s="52">
        <v>1</v>
      </c>
      <c r="F621" s="51" t="s">
        <v>304</v>
      </c>
      <c r="G621" s="51" t="s">
        <v>305</v>
      </c>
      <c r="H621" s="54" t="s">
        <v>295</v>
      </c>
      <c r="I621" s="52">
        <v>29</v>
      </c>
      <c r="J621" s="51" t="s">
        <v>123</v>
      </c>
      <c r="K621" s="52">
        <v>4</v>
      </c>
      <c r="L621" s="52"/>
      <c r="M621" s="52"/>
      <c r="N621" s="53" t="s">
        <v>306</v>
      </c>
      <c r="O621" s="53" t="s">
        <v>307</v>
      </c>
      <c r="P621" s="52"/>
      <c r="Q621" s="55" t="s">
        <v>459</v>
      </c>
      <c r="R621" s="55" t="s">
        <v>203</v>
      </c>
      <c r="S621" s="51" t="s">
        <v>309</v>
      </c>
      <c r="T621" s="55" t="s">
        <v>1583</v>
      </c>
      <c r="U621" s="242" t="s">
        <v>1584</v>
      </c>
      <c r="V621" s="55" t="s">
        <v>555</v>
      </c>
      <c r="W621" s="77" t="s">
        <v>2781</v>
      </c>
      <c r="X621" s="51" t="s">
        <v>1593</v>
      </c>
      <c r="Y621" s="55" t="s">
        <v>372</v>
      </c>
      <c r="Z621" s="55" t="s">
        <v>372</v>
      </c>
      <c r="AA621" s="52" t="s">
        <v>462</v>
      </c>
    </row>
    <row r="622" spans="2:27" ht="80.25" hidden="1" customHeight="1">
      <c r="B622" s="51" t="s">
        <v>67</v>
      </c>
      <c r="C622" s="51" t="s">
        <v>2762</v>
      </c>
      <c r="D622" s="51" t="s">
        <v>68</v>
      </c>
      <c r="E622" s="52">
        <v>1</v>
      </c>
      <c r="F622" s="51" t="s">
        <v>317</v>
      </c>
      <c r="G622" s="51" t="s">
        <v>318</v>
      </c>
      <c r="H622" s="51" t="s">
        <v>319</v>
      </c>
      <c r="I622" s="52">
        <v>30</v>
      </c>
      <c r="J622" s="51" t="s">
        <v>123</v>
      </c>
      <c r="K622" s="52">
        <v>2</v>
      </c>
      <c r="L622" s="52"/>
      <c r="M622" s="52"/>
      <c r="N622" s="53" t="s">
        <v>320</v>
      </c>
      <c r="O622" s="53" t="s">
        <v>321</v>
      </c>
      <c r="P622" s="52"/>
      <c r="Q622" s="53" t="s">
        <v>463</v>
      </c>
      <c r="R622" s="55"/>
      <c r="S622" s="51"/>
      <c r="T622" s="57" t="s">
        <v>1586</v>
      </c>
      <c r="U622" s="209" t="s">
        <v>1587</v>
      </c>
      <c r="V622" s="55" t="s">
        <v>351</v>
      </c>
      <c r="W622" s="77" t="s">
        <v>2801</v>
      </c>
      <c r="X622" s="55" t="s">
        <v>1605</v>
      </c>
      <c r="Y622" s="55" t="s">
        <v>372</v>
      </c>
      <c r="Z622" s="55" t="s">
        <v>372</v>
      </c>
      <c r="AA622" s="52" t="s">
        <v>2802</v>
      </c>
    </row>
    <row r="623" spans="2:27" ht="80.25" hidden="1" customHeight="1">
      <c r="B623" s="51" t="s">
        <v>67</v>
      </c>
      <c r="C623" s="51" t="s">
        <v>2762</v>
      </c>
      <c r="D623" s="51" t="s">
        <v>68</v>
      </c>
      <c r="E623" s="52">
        <v>1</v>
      </c>
      <c r="F623" s="51" t="s">
        <v>326</v>
      </c>
      <c r="G623" s="51" t="s">
        <v>327</v>
      </c>
      <c r="H623" s="51" t="s">
        <v>328</v>
      </c>
      <c r="I623" s="52">
        <v>31</v>
      </c>
      <c r="J623" s="51" t="s">
        <v>123</v>
      </c>
      <c r="K623" s="52">
        <v>10</v>
      </c>
      <c r="L623" s="52"/>
      <c r="M623" s="52"/>
      <c r="N623" s="53" t="s">
        <v>329</v>
      </c>
      <c r="O623" s="53" t="s">
        <v>361</v>
      </c>
      <c r="P623" s="52" t="s">
        <v>126</v>
      </c>
      <c r="Q623" s="51"/>
      <c r="R623" s="55" t="s">
        <v>275</v>
      </c>
      <c r="S623" s="51" t="s">
        <v>803</v>
      </c>
      <c r="T623" s="55" t="s">
        <v>1586</v>
      </c>
      <c r="U623" s="242" t="s">
        <v>1587</v>
      </c>
      <c r="V623" s="55" t="s">
        <v>804</v>
      </c>
      <c r="W623" s="77" t="s">
        <v>2803</v>
      </c>
      <c r="X623" s="55" t="s">
        <v>372</v>
      </c>
      <c r="Y623" s="55" t="s">
        <v>372</v>
      </c>
      <c r="Z623" s="55" t="s">
        <v>372</v>
      </c>
      <c r="AA623" s="52" t="s">
        <v>372</v>
      </c>
    </row>
    <row r="624" spans="2:27" ht="80.25" hidden="1" customHeight="1">
      <c r="B624" s="51" t="s">
        <v>67</v>
      </c>
      <c r="C624" s="51" t="s">
        <v>2762</v>
      </c>
      <c r="D624" s="51" t="s">
        <v>68</v>
      </c>
      <c r="E624" s="52">
        <v>1</v>
      </c>
      <c r="F624" s="51" t="s">
        <v>333</v>
      </c>
      <c r="G624" s="51" t="s">
        <v>334</v>
      </c>
      <c r="H624" s="51" t="s">
        <v>335</v>
      </c>
      <c r="I624" s="52">
        <v>32</v>
      </c>
      <c r="J624" s="51" t="s">
        <v>336</v>
      </c>
      <c r="K624" s="52">
        <v>23</v>
      </c>
      <c r="L624" s="52"/>
      <c r="M624" s="52"/>
      <c r="N624" s="53" t="s">
        <v>337</v>
      </c>
      <c r="O624" s="53" t="s">
        <v>338</v>
      </c>
      <c r="P624" s="52"/>
      <c r="Q624" s="51"/>
      <c r="R624" s="55"/>
      <c r="S624" s="51"/>
      <c r="T624" s="55" t="s">
        <v>1586</v>
      </c>
      <c r="U624" s="55" t="s">
        <v>1587</v>
      </c>
      <c r="V624" s="55" t="s">
        <v>351</v>
      </c>
      <c r="W624" s="360" t="s">
        <v>2804</v>
      </c>
      <c r="X624" s="55" t="s">
        <v>372</v>
      </c>
      <c r="Y624" s="55" t="s">
        <v>372</v>
      </c>
      <c r="Z624" s="55" t="s">
        <v>372</v>
      </c>
      <c r="AA624" s="52" t="s">
        <v>372</v>
      </c>
    </row>
    <row r="625" spans="2:27" ht="80.25" hidden="1" customHeight="1">
      <c r="B625" s="51" t="s">
        <v>340</v>
      </c>
      <c r="C625" s="51" t="s">
        <v>2805</v>
      </c>
      <c r="D625" s="51" t="s">
        <v>2806</v>
      </c>
      <c r="E625" s="52">
        <v>0</v>
      </c>
      <c r="F625" s="51" t="s">
        <v>120</v>
      </c>
      <c r="G625" s="51" t="s">
        <v>121</v>
      </c>
      <c r="H625" s="51" t="s">
        <v>122</v>
      </c>
      <c r="I625" s="52">
        <v>1</v>
      </c>
      <c r="J625" s="51" t="s">
        <v>123</v>
      </c>
      <c r="K625" s="52">
        <v>4</v>
      </c>
      <c r="L625" s="52"/>
      <c r="M625" s="52"/>
      <c r="N625" s="322" t="s">
        <v>124</v>
      </c>
      <c r="O625" s="53" t="s">
        <v>125</v>
      </c>
      <c r="P625" s="52" t="s">
        <v>126</v>
      </c>
      <c r="Q625" s="51"/>
      <c r="R625" s="55"/>
      <c r="S625" s="51"/>
      <c r="T625" s="55" t="s">
        <v>2152</v>
      </c>
      <c r="U625" s="55" t="s">
        <v>426</v>
      </c>
      <c r="V625" s="55" t="s">
        <v>372</v>
      </c>
      <c r="W625" s="346" t="s">
        <v>2807</v>
      </c>
      <c r="X625" s="51" t="s">
        <v>1593</v>
      </c>
      <c r="Y625" s="54" t="s">
        <v>372</v>
      </c>
      <c r="Z625" s="54" t="s">
        <v>372</v>
      </c>
      <c r="AA625" s="52" t="s">
        <v>373</v>
      </c>
    </row>
    <row r="626" spans="2:27" ht="80.25" hidden="1" customHeight="1">
      <c r="B626" s="51" t="s">
        <v>340</v>
      </c>
      <c r="C626" s="51" t="s">
        <v>2805</v>
      </c>
      <c r="D626" s="51" t="s">
        <v>2806</v>
      </c>
      <c r="E626" s="52">
        <v>0</v>
      </c>
      <c r="F626" s="51" t="s">
        <v>136</v>
      </c>
      <c r="G626" s="51" t="s">
        <v>137</v>
      </c>
      <c r="H626" s="51" t="s">
        <v>122</v>
      </c>
      <c r="I626" s="52">
        <v>2</v>
      </c>
      <c r="J626" s="51" t="s">
        <v>123</v>
      </c>
      <c r="K626" s="52">
        <v>30</v>
      </c>
      <c r="L626" s="52"/>
      <c r="M626" s="52"/>
      <c r="N626" s="53" t="s">
        <v>138</v>
      </c>
      <c r="O626" s="53" t="s">
        <v>139</v>
      </c>
      <c r="P626" s="52" t="s">
        <v>126</v>
      </c>
      <c r="Q626" s="51"/>
      <c r="R626" s="55"/>
      <c r="S626" s="51"/>
      <c r="T626" s="51" t="s">
        <v>2152</v>
      </c>
      <c r="U626" s="51" t="s">
        <v>426</v>
      </c>
      <c r="V626" s="51" t="s">
        <v>2153</v>
      </c>
      <c r="W626" s="77" t="s">
        <v>2808</v>
      </c>
      <c r="X626" s="51" t="s">
        <v>1593</v>
      </c>
      <c r="Y626" s="54" t="s">
        <v>1590</v>
      </c>
      <c r="Z626" s="54" t="s">
        <v>1591</v>
      </c>
      <c r="AA626" s="52" t="s">
        <v>372</v>
      </c>
    </row>
    <row r="627" spans="2:27" ht="80.25" hidden="1" customHeight="1">
      <c r="B627" s="51" t="s">
        <v>340</v>
      </c>
      <c r="C627" s="51" t="s">
        <v>2805</v>
      </c>
      <c r="D627" s="51" t="s">
        <v>2806</v>
      </c>
      <c r="E627" s="52">
        <v>0</v>
      </c>
      <c r="F627" s="51" t="s">
        <v>352</v>
      </c>
      <c r="G627" s="51" t="s">
        <v>353</v>
      </c>
      <c r="H627" s="51" t="s">
        <v>240</v>
      </c>
      <c r="I627" s="52">
        <v>3</v>
      </c>
      <c r="J627" s="51" t="s">
        <v>123</v>
      </c>
      <c r="K627" s="52">
        <v>1</v>
      </c>
      <c r="L627" s="52"/>
      <c r="M627" s="52"/>
      <c r="N627" s="53" t="s">
        <v>354</v>
      </c>
      <c r="O627" s="53" t="s">
        <v>355</v>
      </c>
      <c r="P627" s="52"/>
      <c r="Q627" s="51"/>
      <c r="R627" s="55"/>
      <c r="S627" s="51"/>
      <c r="T627" s="51" t="s">
        <v>2152</v>
      </c>
      <c r="U627" s="51" t="s">
        <v>426</v>
      </c>
      <c r="V627" s="54" t="s">
        <v>2226</v>
      </c>
      <c r="W627" s="77" t="s">
        <v>2809</v>
      </c>
      <c r="X627" s="51" t="s">
        <v>1593</v>
      </c>
      <c r="Y627" s="54" t="s">
        <v>1590</v>
      </c>
      <c r="Z627" s="51" t="s">
        <v>1042</v>
      </c>
      <c r="AA627" s="52" t="s">
        <v>372</v>
      </c>
    </row>
    <row r="628" spans="2:27" ht="80.25" hidden="1" customHeight="1">
      <c r="B628" s="51" t="s">
        <v>340</v>
      </c>
      <c r="C628" s="51" t="s">
        <v>2805</v>
      </c>
      <c r="D628" s="51" t="s">
        <v>2806</v>
      </c>
      <c r="E628" s="52">
        <v>0</v>
      </c>
      <c r="F628" s="51" t="s">
        <v>317</v>
      </c>
      <c r="G628" s="51" t="s">
        <v>318</v>
      </c>
      <c r="H628" s="51" t="s">
        <v>319</v>
      </c>
      <c r="I628" s="52">
        <v>4</v>
      </c>
      <c r="J628" s="51" t="s">
        <v>123</v>
      </c>
      <c r="K628" s="52">
        <v>2</v>
      </c>
      <c r="L628" s="52"/>
      <c r="M628" s="52"/>
      <c r="N628" s="53" t="s">
        <v>320</v>
      </c>
      <c r="O628" s="53" t="s">
        <v>321</v>
      </c>
      <c r="P628" s="318" t="s">
        <v>126</v>
      </c>
      <c r="Q628" s="53" t="s">
        <v>463</v>
      </c>
      <c r="R628" s="55"/>
      <c r="S628" s="51"/>
      <c r="T628" s="51" t="s">
        <v>2152</v>
      </c>
      <c r="U628" s="51" t="s">
        <v>426</v>
      </c>
      <c r="V628" s="53" t="s">
        <v>372</v>
      </c>
      <c r="W628" s="346" t="s">
        <v>2810</v>
      </c>
      <c r="X628" s="51" t="s">
        <v>1593</v>
      </c>
      <c r="Y628" s="54" t="s">
        <v>1590</v>
      </c>
      <c r="Z628" s="51" t="s">
        <v>372</v>
      </c>
      <c r="AA628" s="370" t="s">
        <v>2229</v>
      </c>
    </row>
    <row r="629" spans="2:27" ht="80.25" hidden="1" customHeight="1">
      <c r="B629" s="51" t="s">
        <v>340</v>
      </c>
      <c r="C629" s="51" t="s">
        <v>2805</v>
      </c>
      <c r="D629" s="51" t="s">
        <v>2806</v>
      </c>
      <c r="E629" s="52">
        <v>0</v>
      </c>
      <c r="F629" s="51" t="s">
        <v>326</v>
      </c>
      <c r="G629" s="51" t="s">
        <v>327</v>
      </c>
      <c r="H629" s="51" t="s">
        <v>328</v>
      </c>
      <c r="I629" s="52">
        <v>5</v>
      </c>
      <c r="J629" s="51" t="s">
        <v>123</v>
      </c>
      <c r="K629" s="52">
        <v>10</v>
      </c>
      <c r="L629" s="52"/>
      <c r="M629" s="52"/>
      <c r="N629" s="53" t="s">
        <v>329</v>
      </c>
      <c r="O629" s="53" t="s">
        <v>361</v>
      </c>
      <c r="P629" s="52"/>
      <c r="Q629" s="51"/>
      <c r="R629" s="55"/>
      <c r="S629" s="51"/>
      <c r="T629" s="51" t="s">
        <v>2152</v>
      </c>
      <c r="U629" s="51" t="s">
        <v>426</v>
      </c>
      <c r="V629" s="54" t="s">
        <v>678</v>
      </c>
      <c r="W629" s="346" t="s">
        <v>2811</v>
      </c>
      <c r="X629" s="51" t="s">
        <v>1593</v>
      </c>
      <c r="Y629" s="54" t="s">
        <v>1590</v>
      </c>
      <c r="Z629" s="51" t="s">
        <v>678</v>
      </c>
      <c r="AA629" s="52" t="s">
        <v>372</v>
      </c>
    </row>
    <row r="630" spans="2:27" ht="80.25" hidden="1" customHeight="1">
      <c r="B630" s="51" t="s">
        <v>70</v>
      </c>
      <c r="C630" s="51" t="s">
        <v>2812</v>
      </c>
      <c r="D630" s="51" t="s">
        <v>71</v>
      </c>
      <c r="E630" s="52">
        <v>1</v>
      </c>
      <c r="F630" s="51" t="s">
        <v>120</v>
      </c>
      <c r="G630" s="51" t="s">
        <v>121</v>
      </c>
      <c r="H630" s="51" t="s">
        <v>122</v>
      </c>
      <c r="I630" s="52">
        <v>1</v>
      </c>
      <c r="J630" s="51" t="s">
        <v>123</v>
      </c>
      <c r="K630" s="52">
        <v>4</v>
      </c>
      <c r="L630" s="52"/>
      <c r="M630" s="52"/>
      <c r="N630" s="321" t="s">
        <v>124</v>
      </c>
      <c r="O630" s="53" t="s">
        <v>125</v>
      </c>
      <c r="P630" s="52" t="s">
        <v>126</v>
      </c>
      <c r="Q630" s="54"/>
      <c r="R630" s="55" t="s">
        <v>127</v>
      </c>
      <c r="S630" s="55" t="s">
        <v>2148</v>
      </c>
      <c r="T630" s="55" t="s">
        <v>1583</v>
      </c>
      <c r="U630" s="55" t="s">
        <v>1584</v>
      </c>
      <c r="V630" s="55" t="s">
        <v>555</v>
      </c>
      <c r="W630" s="360" t="s">
        <v>2813</v>
      </c>
      <c r="X630" s="51" t="s">
        <v>1593</v>
      </c>
      <c r="Y630" s="54" t="s">
        <v>372</v>
      </c>
      <c r="Z630" s="54" t="s">
        <v>372</v>
      </c>
      <c r="AA630" s="52" t="s">
        <v>373</v>
      </c>
    </row>
    <row r="631" spans="2:27" ht="80.25" hidden="1" customHeight="1">
      <c r="B631" s="51" t="s">
        <v>70</v>
      </c>
      <c r="C631" s="51" t="s">
        <v>2812</v>
      </c>
      <c r="D631" s="51" t="s">
        <v>71</v>
      </c>
      <c r="E631" s="52">
        <v>1</v>
      </c>
      <c r="F631" s="51" t="s">
        <v>136</v>
      </c>
      <c r="G631" s="51" t="s">
        <v>137</v>
      </c>
      <c r="H631" s="51" t="s">
        <v>122</v>
      </c>
      <c r="I631" s="52">
        <v>2</v>
      </c>
      <c r="J631" s="51" t="s">
        <v>123</v>
      </c>
      <c r="K631" s="52">
        <v>30</v>
      </c>
      <c r="L631" s="52"/>
      <c r="M631" s="52"/>
      <c r="N631" s="53" t="s">
        <v>138</v>
      </c>
      <c r="O631" s="53" t="s">
        <v>139</v>
      </c>
      <c r="P631" s="52" t="s">
        <v>126</v>
      </c>
      <c r="Q631" s="54"/>
      <c r="R631" s="55" t="s">
        <v>127</v>
      </c>
      <c r="S631" s="55" t="s">
        <v>2148</v>
      </c>
      <c r="T631" s="55" t="s">
        <v>1586</v>
      </c>
      <c r="U631" s="242" t="s">
        <v>1587</v>
      </c>
      <c r="V631" s="55" t="s">
        <v>1588</v>
      </c>
      <c r="W631" s="77" t="s">
        <v>2814</v>
      </c>
      <c r="X631" s="51" t="s">
        <v>1593</v>
      </c>
      <c r="Y631" s="54" t="s">
        <v>1590</v>
      </c>
      <c r="Z631" s="54" t="s">
        <v>1591</v>
      </c>
      <c r="AA631" s="52" t="s">
        <v>372</v>
      </c>
    </row>
    <row r="632" spans="2:27" ht="80.25" hidden="1" customHeight="1">
      <c r="B632" s="51" t="s">
        <v>70</v>
      </c>
      <c r="C632" s="51" t="s">
        <v>2812</v>
      </c>
      <c r="D632" s="51" t="s">
        <v>71</v>
      </c>
      <c r="E632" s="52">
        <v>1</v>
      </c>
      <c r="F632" s="51" t="s">
        <v>148</v>
      </c>
      <c r="G632" s="51" t="s">
        <v>149</v>
      </c>
      <c r="H632" s="51" t="s">
        <v>150</v>
      </c>
      <c r="I632" s="52">
        <v>3</v>
      </c>
      <c r="J632" s="51" t="s">
        <v>123</v>
      </c>
      <c r="K632" s="52">
        <v>4</v>
      </c>
      <c r="L632" s="52"/>
      <c r="M632" s="52"/>
      <c r="N632" s="53" t="s">
        <v>151</v>
      </c>
      <c r="O632" s="53" t="s">
        <v>152</v>
      </c>
      <c r="P632" s="52"/>
      <c r="Q632" s="53" t="s">
        <v>586</v>
      </c>
      <c r="R632" s="55"/>
      <c r="S632" s="51"/>
      <c r="T632" s="55" t="s">
        <v>1583</v>
      </c>
      <c r="U632" s="55" t="s">
        <v>1584</v>
      </c>
      <c r="V632" s="83" t="s">
        <v>555</v>
      </c>
      <c r="W632" s="77" t="s">
        <v>2815</v>
      </c>
      <c r="X632" s="55" t="s">
        <v>1593</v>
      </c>
      <c r="Y632" s="53" t="s">
        <v>1590</v>
      </c>
      <c r="Z632" s="55" t="s">
        <v>1594</v>
      </c>
      <c r="AA632" s="52" t="s">
        <v>372</v>
      </c>
    </row>
    <row r="633" spans="2:27" ht="80.25" hidden="1" customHeight="1">
      <c r="B633" s="51" t="s">
        <v>70</v>
      </c>
      <c r="C633" s="51" t="s">
        <v>2812</v>
      </c>
      <c r="D633" s="51" t="s">
        <v>71</v>
      </c>
      <c r="E633" s="52">
        <v>1</v>
      </c>
      <c r="F633" s="51" t="s">
        <v>155</v>
      </c>
      <c r="G633" s="51" t="s">
        <v>156</v>
      </c>
      <c r="H633" s="51" t="s">
        <v>150</v>
      </c>
      <c r="I633" s="52">
        <v>3</v>
      </c>
      <c r="J633" s="51" t="s">
        <v>123</v>
      </c>
      <c r="K633" s="52">
        <v>4</v>
      </c>
      <c r="L633" s="52"/>
      <c r="M633" s="52"/>
      <c r="N633" s="53" t="s">
        <v>157</v>
      </c>
      <c r="O633" s="53" t="s">
        <v>158</v>
      </c>
      <c r="P633" s="52"/>
      <c r="Q633" s="55" t="s">
        <v>2766</v>
      </c>
      <c r="R633" s="55" t="s">
        <v>160</v>
      </c>
      <c r="S633" s="55" t="s">
        <v>161</v>
      </c>
      <c r="T633" s="55" t="s">
        <v>1586</v>
      </c>
      <c r="U633" s="55" t="s">
        <v>1587</v>
      </c>
      <c r="V633" s="55" t="s">
        <v>2240</v>
      </c>
      <c r="W633" s="77" t="s">
        <v>2816</v>
      </c>
      <c r="X633" s="51" t="s">
        <v>1593</v>
      </c>
      <c r="Y633" s="54" t="s">
        <v>1590</v>
      </c>
      <c r="Z633" s="54" t="s">
        <v>590</v>
      </c>
      <c r="AA633" s="52" t="s">
        <v>372</v>
      </c>
    </row>
    <row r="634" spans="2:27" ht="80.25" hidden="1" customHeight="1">
      <c r="B634" s="51" t="s">
        <v>70</v>
      </c>
      <c r="C634" s="51" t="s">
        <v>2812</v>
      </c>
      <c r="D634" s="51" t="s">
        <v>71</v>
      </c>
      <c r="E634" s="52">
        <v>1</v>
      </c>
      <c r="F634" s="51" t="s">
        <v>167</v>
      </c>
      <c r="G634" s="51" t="s">
        <v>168</v>
      </c>
      <c r="H634" s="51" t="s">
        <v>150</v>
      </c>
      <c r="I634" s="52">
        <v>3</v>
      </c>
      <c r="J634" s="51" t="s">
        <v>123</v>
      </c>
      <c r="K634" s="52">
        <v>4</v>
      </c>
      <c r="L634" s="52"/>
      <c r="M634" s="52"/>
      <c r="N634" s="53" t="s">
        <v>169</v>
      </c>
      <c r="O634" s="53" t="s">
        <v>170</v>
      </c>
      <c r="P634" s="52"/>
      <c r="Q634" s="55" t="s">
        <v>2768</v>
      </c>
      <c r="R634" s="55" t="s">
        <v>160</v>
      </c>
      <c r="S634" s="55" t="s">
        <v>172</v>
      </c>
      <c r="T634" s="55" t="s">
        <v>1586</v>
      </c>
      <c r="U634" s="55" t="s">
        <v>1587</v>
      </c>
      <c r="V634" s="55" t="s">
        <v>1599</v>
      </c>
      <c r="W634" s="77" t="s">
        <v>2817</v>
      </c>
      <c r="X634" s="51" t="s">
        <v>1593</v>
      </c>
      <c r="Y634" s="54" t="s">
        <v>1590</v>
      </c>
      <c r="Z634" s="54" t="s">
        <v>593</v>
      </c>
      <c r="AA634" s="52" t="s">
        <v>372</v>
      </c>
    </row>
    <row r="635" spans="2:27" ht="80.25" hidden="1" customHeight="1">
      <c r="B635" s="51" t="s">
        <v>70</v>
      </c>
      <c r="C635" s="51" t="s">
        <v>2812</v>
      </c>
      <c r="D635" s="51" t="s">
        <v>71</v>
      </c>
      <c r="E635" s="52">
        <v>1</v>
      </c>
      <c r="F635" s="51" t="s">
        <v>198</v>
      </c>
      <c r="G635" s="51" t="s">
        <v>199</v>
      </c>
      <c r="H635" s="51" t="s">
        <v>200</v>
      </c>
      <c r="I635" s="52">
        <v>6</v>
      </c>
      <c r="J635" s="51" t="s">
        <v>123</v>
      </c>
      <c r="K635" s="52">
        <v>10</v>
      </c>
      <c r="L635" s="52"/>
      <c r="M635" s="52"/>
      <c r="N635" s="53" t="s">
        <v>201</v>
      </c>
      <c r="O635" s="53" t="s">
        <v>202</v>
      </c>
      <c r="P635" s="52"/>
      <c r="Q635" s="54"/>
      <c r="R635" s="55" t="s">
        <v>203</v>
      </c>
      <c r="S635" s="51" t="s">
        <v>198</v>
      </c>
      <c r="T635" s="55" t="s">
        <v>1586</v>
      </c>
      <c r="U635" s="55" t="s">
        <v>1587</v>
      </c>
      <c r="V635" s="55" t="s">
        <v>1601</v>
      </c>
      <c r="W635" s="77" t="s">
        <v>2818</v>
      </c>
      <c r="X635" s="51" t="s">
        <v>1593</v>
      </c>
      <c r="Y635" s="54" t="s">
        <v>1590</v>
      </c>
      <c r="Z635" s="54" t="s">
        <v>630</v>
      </c>
      <c r="AA635" s="52" t="s">
        <v>372</v>
      </c>
    </row>
    <row r="636" spans="2:27" ht="80.25" hidden="1" customHeight="1">
      <c r="B636" s="51" t="s">
        <v>70</v>
      </c>
      <c r="C636" s="51" t="s">
        <v>2812</v>
      </c>
      <c r="D636" s="51" t="s">
        <v>71</v>
      </c>
      <c r="E636" s="52">
        <v>1</v>
      </c>
      <c r="F636" s="51" t="s">
        <v>210</v>
      </c>
      <c r="G636" s="51" t="s">
        <v>211</v>
      </c>
      <c r="H636" s="51" t="s">
        <v>200</v>
      </c>
      <c r="I636" s="52">
        <v>7</v>
      </c>
      <c r="J636" s="51" t="s">
        <v>123</v>
      </c>
      <c r="K636" s="52">
        <v>10</v>
      </c>
      <c r="L636" s="52"/>
      <c r="M636" s="52"/>
      <c r="N636" s="53" t="s">
        <v>212</v>
      </c>
      <c r="O636" s="53" t="s">
        <v>213</v>
      </c>
      <c r="P636" s="52"/>
      <c r="Q636" s="54"/>
      <c r="R636" s="55"/>
      <c r="S636" s="51"/>
      <c r="T636" s="83" t="s">
        <v>1586</v>
      </c>
      <c r="U636" s="55" t="s">
        <v>1587</v>
      </c>
      <c r="V636" s="55" t="s">
        <v>1603</v>
      </c>
      <c r="W636" s="77" t="s">
        <v>2819</v>
      </c>
      <c r="X636" s="55" t="s">
        <v>1605</v>
      </c>
      <c r="Y636" s="53" t="s">
        <v>2820</v>
      </c>
      <c r="Z636" s="53" t="s">
        <v>2779</v>
      </c>
      <c r="AA636" s="64" t="s">
        <v>647</v>
      </c>
    </row>
    <row r="637" spans="2:27" ht="80.25" hidden="1" customHeight="1">
      <c r="B637" s="51" t="s">
        <v>70</v>
      </c>
      <c r="C637" s="51" t="s">
        <v>2812</v>
      </c>
      <c r="D637" s="51" t="s">
        <v>71</v>
      </c>
      <c r="E637" s="52">
        <v>1</v>
      </c>
      <c r="F637" s="51" t="s">
        <v>222</v>
      </c>
      <c r="G637" s="51" t="s">
        <v>223</v>
      </c>
      <c r="H637" s="51" t="s">
        <v>224</v>
      </c>
      <c r="I637" s="52">
        <v>8</v>
      </c>
      <c r="J637" s="51" t="s">
        <v>123</v>
      </c>
      <c r="K637" s="52">
        <v>4</v>
      </c>
      <c r="L637" s="52"/>
      <c r="M637" s="52"/>
      <c r="N637" s="53" t="s">
        <v>225</v>
      </c>
      <c r="O637" s="53" t="s">
        <v>226</v>
      </c>
      <c r="P637" s="52"/>
      <c r="Q637" s="55" t="s">
        <v>1277</v>
      </c>
      <c r="R637" s="55" t="s">
        <v>654</v>
      </c>
      <c r="S637" s="55" t="s">
        <v>229</v>
      </c>
      <c r="T637" s="55" t="s">
        <v>1586</v>
      </c>
      <c r="U637" s="55" t="s">
        <v>1587</v>
      </c>
      <c r="V637" s="55" t="s">
        <v>1609</v>
      </c>
      <c r="W637" s="77" t="s">
        <v>2821</v>
      </c>
      <c r="X637" s="51" t="s">
        <v>1593</v>
      </c>
      <c r="Y637" s="54" t="s">
        <v>1590</v>
      </c>
      <c r="Z637" s="54" t="s">
        <v>427</v>
      </c>
      <c r="AA637" s="52" t="s">
        <v>372</v>
      </c>
    </row>
    <row r="638" spans="2:27" ht="80.25" hidden="1" customHeight="1">
      <c r="B638" s="51" t="s">
        <v>70</v>
      </c>
      <c r="C638" s="51" t="s">
        <v>2812</v>
      </c>
      <c r="D638" s="51" t="s">
        <v>71</v>
      </c>
      <c r="E638" s="52">
        <v>1</v>
      </c>
      <c r="F638" s="51" t="s">
        <v>238</v>
      </c>
      <c r="G638" s="51" t="s">
        <v>239</v>
      </c>
      <c r="H638" s="54" t="s">
        <v>240</v>
      </c>
      <c r="I638" s="52">
        <v>9</v>
      </c>
      <c r="J638" s="51" t="s">
        <v>123</v>
      </c>
      <c r="K638" s="52">
        <v>4</v>
      </c>
      <c r="L638" s="52"/>
      <c r="M638" s="52"/>
      <c r="N638" s="53" t="s">
        <v>241</v>
      </c>
      <c r="O638" s="53" t="s">
        <v>242</v>
      </c>
      <c r="P638" s="52"/>
      <c r="Q638" s="54"/>
      <c r="R638" s="63"/>
      <c r="S638" s="61"/>
      <c r="T638" s="55" t="s">
        <v>1586</v>
      </c>
      <c r="U638" s="55" t="s">
        <v>1587</v>
      </c>
      <c r="V638" s="63" t="s">
        <v>351</v>
      </c>
      <c r="W638" s="77" t="s">
        <v>2822</v>
      </c>
      <c r="X638" s="55" t="s">
        <v>1605</v>
      </c>
      <c r="Y638" s="53" t="s">
        <v>647</v>
      </c>
      <c r="Z638" s="53" t="s">
        <v>647</v>
      </c>
      <c r="AA638" s="60" t="s">
        <v>665</v>
      </c>
    </row>
    <row r="639" spans="2:27" ht="80.25" hidden="1" customHeight="1">
      <c r="B639" s="51" t="s">
        <v>70</v>
      </c>
      <c r="C639" s="51" t="s">
        <v>2812</v>
      </c>
      <c r="D639" s="51" t="s">
        <v>71</v>
      </c>
      <c r="E639" s="52">
        <v>1</v>
      </c>
      <c r="F639" s="51" t="s">
        <v>1612</v>
      </c>
      <c r="G639" s="51" t="s">
        <v>1613</v>
      </c>
      <c r="H639" s="54" t="s">
        <v>249</v>
      </c>
      <c r="I639" s="52">
        <v>10</v>
      </c>
      <c r="J639" s="51" t="s">
        <v>250</v>
      </c>
      <c r="K639" s="52">
        <v>23</v>
      </c>
      <c r="L639" s="52">
        <v>6</v>
      </c>
      <c r="M639" s="52"/>
      <c r="N639" s="53" t="s">
        <v>1614</v>
      </c>
      <c r="O639" s="53" t="s">
        <v>1615</v>
      </c>
      <c r="P639" s="52"/>
      <c r="Q639" s="54"/>
      <c r="R639" s="53"/>
      <c r="S639" s="54"/>
      <c r="T639" s="55" t="s">
        <v>1586</v>
      </c>
      <c r="U639" s="55" t="s">
        <v>1587</v>
      </c>
      <c r="V639" s="55" t="s">
        <v>1616</v>
      </c>
      <c r="W639" s="77" t="s">
        <v>2823</v>
      </c>
      <c r="X639" s="51" t="s">
        <v>1593</v>
      </c>
      <c r="Y639" s="54" t="s">
        <v>1590</v>
      </c>
      <c r="Z639" s="54" t="s">
        <v>652</v>
      </c>
      <c r="AA639" s="52" t="s">
        <v>372</v>
      </c>
    </row>
    <row r="640" spans="2:27" ht="80.25" hidden="1" customHeight="1">
      <c r="B640" s="51" t="s">
        <v>70</v>
      </c>
      <c r="C640" s="51" t="s">
        <v>2812</v>
      </c>
      <c r="D640" s="51" t="s">
        <v>71</v>
      </c>
      <c r="E640" s="52">
        <v>1</v>
      </c>
      <c r="F640" s="51" t="s">
        <v>1618</v>
      </c>
      <c r="G640" s="51" t="s">
        <v>1619</v>
      </c>
      <c r="H640" s="54" t="s">
        <v>249</v>
      </c>
      <c r="I640" s="52">
        <v>11</v>
      </c>
      <c r="J640" s="51" t="s">
        <v>250</v>
      </c>
      <c r="K640" s="52">
        <v>23</v>
      </c>
      <c r="L640" s="52">
        <v>6</v>
      </c>
      <c r="M640" s="52"/>
      <c r="N640" s="53" t="s">
        <v>1620</v>
      </c>
      <c r="O640" s="53" t="s">
        <v>1621</v>
      </c>
      <c r="P640" s="52"/>
      <c r="Q640" s="51"/>
      <c r="R640" s="53"/>
      <c r="S640" s="54"/>
      <c r="T640" s="55" t="s">
        <v>1586</v>
      </c>
      <c r="U640" s="55" t="s">
        <v>1587</v>
      </c>
      <c r="V640" s="65" t="s">
        <v>1622</v>
      </c>
      <c r="W640" s="77" t="s">
        <v>2824</v>
      </c>
      <c r="X640" s="55" t="s">
        <v>1593</v>
      </c>
      <c r="Y640" s="53" t="s">
        <v>1590</v>
      </c>
      <c r="Z640" s="51" t="s">
        <v>1624</v>
      </c>
      <c r="AA640" s="60" t="s">
        <v>372</v>
      </c>
    </row>
    <row r="641" spans="2:27" ht="80.25" hidden="1" customHeight="1">
      <c r="B641" s="51" t="s">
        <v>70</v>
      </c>
      <c r="C641" s="51" t="s">
        <v>2812</v>
      </c>
      <c r="D641" s="51" t="s">
        <v>71</v>
      </c>
      <c r="E641" s="52">
        <v>1</v>
      </c>
      <c r="F641" s="51" t="s">
        <v>1625</v>
      </c>
      <c r="G641" s="51" t="s">
        <v>1626</v>
      </c>
      <c r="H641" s="54" t="s">
        <v>249</v>
      </c>
      <c r="I641" s="52">
        <v>12</v>
      </c>
      <c r="J641" s="51" t="s">
        <v>250</v>
      </c>
      <c r="K641" s="52">
        <v>23</v>
      </c>
      <c r="L641" s="52">
        <v>6</v>
      </c>
      <c r="M641" s="52"/>
      <c r="N641" s="53" t="s">
        <v>1627</v>
      </c>
      <c r="O641" s="53" t="s">
        <v>1628</v>
      </c>
      <c r="P641" s="52"/>
      <c r="Q641" s="54"/>
      <c r="R641" s="53" t="s">
        <v>275</v>
      </c>
      <c r="S641" s="54" t="s">
        <v>276</v>
      </c>
      <c r="T641" s="55" t="s">
        <v>1586</v>
      </c>
      <c r="U641" s="55" t="s">
        <v>1587</v>
      </c>
      <c r="V641" s="55" t="s">
        <v>2249</v>
      </c>
      <c r="W641" s="77" t="s">
        <v>2825</v>
      </c>
      <c r="X641" s="51" t="s">
        <v>1593</v>
      </c>
      <c r="Y641" s="54" t="s">
        <v>1590</v>
      </c>
      <c r="Z641" s="54" t="s">
        <v>1631</v>
      </c>
      <c r="AA641" s="52" t="s">
        <v>372</v>
      </c>
    </row>
    <row r="642" spans="2:27" ht="80.25" hidden="1" customHeight="1">
      <c r="B642" s="51" t="s">
        <v>70</v>
      </c>
      <c r="C642" s="51" t="s">
        <v>2812</v>
      </c>
      <c r="D642" s="51" t="s">
        <v>71</v>
      </c>
      <c r="E642" s="52">
        <v>1</v>
      </c>
      <c r="F642" s="51" t="s">
        <v>282</v>
      </c>
      <c r="G642" s="51" t="s">
        <v>283</v>
      </c>
      <c r="H642" s="51" t="s">
        <v>249</v>
      </c>
      <c r="I642" s="52">
        <v>13</v>
      </c>
      <c r="J642" s="51" t="s">
        <v>250</v>
      </c>
      <c r="K642" s="52">
        <v>23</v>
      </c>
      <c r="L642" s="52">
        <v>6</v>
      </c>
      <c r="M642" s="52"/>
      <c r="N642" s="53" t="s">
        <v>284</v>
      </c>
      <c r="O642" s="53" t="s">
        <v>285</v>
      </c>
      <c r="P642" s="52"/>
      <c r="Q642" s="54"/>
      <c r="R642" s="63"/>
      <c r="S642" s="61"/>
      <c r="T642" s="55" t="s">
        <v>1669</v>
      </c>
      <c r="U642" s="55" t="s">
        <v>1670</v>
      </c>
      <c r="V642" s="63" t="s">
        <v>1671</v>
      </c>
      <c r="W642" s="77" t="s">
        <v>2826</v>
      </c>
      <c r="X642" s="55" t="s">
        <v>1605</v>
      </c>
      <c r="Y642" s="66" t="s">
        <v>741</v>
      </c>
      <c r="Z642" s="53" t="s">
        <v>2798</v>
      </c>
      <c r="AA642" s="60" t="s">
        <v>743</v>
      </c>
    </row>
    <row r="643" spans="2:27" ht="80.25" hidden="1" customHeight="1">
      <c r="B643" s="51" t="s">
        <v>70</v>
      </c>
      <c r="C643" s="51" t="s">
        <v>2812</v>
      </c>
      <c r="D643" s="51" t="s">
        <v>71</v>
      </c>
      <c r="E643" s="52">
        <v>1</v>
      </c>
      <c r="F643" s="51" t="s">
        <v>1515</v>
      </c>
      <c r="G643" s="51" t="s">
        <v>1979</v>
      </c>
      <c r="H643" s="54" t="s">
        <v>1517</v>
      </c>
      <c r="I643" s="52">
        <v>14</v>
      </c>
      <c r="J643" s="51" t="s">
        <v>123</v>
      </c>
      <c r="K643" s="52">
        <v>4</v>
      </c>
      <c r="L643" s="52"/>
      <c r="M643" s="52"/>
      <c r="N643" s="53" t="s">
        <v>2183</v>
      </c>
      <c r="O643" s="53" t="s">
        <v>1519</v>
      </c>
      <c r="P643" s="52"/>
      <c r="Q643" s="53"/>
      <c r="R643" s="53"/>
      <c r="S643" s="54"/>
      <c r="T643" s="51"/>
      <c r="U643" s="54"/>
      <c r="V643" s="54"/>
      <c r="W643" s="52"/>
      <c r="X643" s="51" t="s">
        <v>1682</v>
      </c>
      <c r="Y643" s="53" t="s">
        <v>1682</v>
      </c>
      <c r="Z643" s="53" t="s">
        <v>1682</v>
      </c>
      <c r="AA643" s="60" t="s">
        <v>1682</v>
      </c>
    </row>
    <row r="644" spans="2:27" ht="80.25" hidden="1" customHeight="1">
      <c r="B644" s="51" t="s">
        <v>70</v>
      </c>
      <c r="C644" s="51" t="s">
        <v>2812</v>
      </c>
      <c r="D644" s="51" t="s">
        <v>71</v>
      </c>
      <c r="E644" s="52">
        <v>1</v>
      </c>
      <c r="F644" s="51" t="s">
        <v>1986</v>
      </c>
      <c r="G644" s="51" t="s">
        <v>1987</v>
      </c>
      <c r="H644" s="54" t="s">
        <v>746</v>
      </c>
      <c r="I644" s="52">
        <v>15</v>
      </c>
      <c r="J644" s="51" t="s">
        <v>123</v>
      </c>
      <c r="K644" s="52">
        <v>4</v>
      </c>
      <c r="L644" s="52"/>
      <c r="M644" s="52"/>
      <c r="N644" s="53" t="s">
        <v>1685</v>
      </c>
      <c r="O644" s="53" t="s">
        <v>1989</v>
      </c>
      <c r="P644" s="52"/>
      <c r="Q644" s="53" t="s">
        <v>1687</v>
      </c>
      <c r="R644" s="53"/>
      <c r="S644" s="54"/>
      <c r="T644" s="51"/>
      <c r="U644" s="54"/>
      <c r="V644" s="54"/>
      <c r="W644" s="52"/>
      <c r="X644" s="51" t="s">
        <v>1682</v>
      </c>
      <c r="Y644" s="53" t="s">
        <v>1682</v>
      </c>
      <c r="Z644" s="53" t="s">
        <v>1682</v>
      </c>
      <c r="AA644" s="60" t="s">
        <v>1682</v>
      </c>
    </row>
    <row r="645" spans="2:27" ht="80.25" hidden="1" customHeight="1">
      <c r="B645" s="51" t="s">
        <v>70</v>
      </c>
      <c r="C645" s="51" t="s">
        <v>2812</v>
      </c>
      <c r="D645" s="51" t="s">
        <v>71</v>
      </c>
      <c r="E645" s="52">
        <v>1</v>
      </c>
      <c r="F645" s="51" t="s">
        <v>1997</v>
      </c>
      <c r="G645" s="51" t="s">
        <v>1998</v>
      </c>
      <c r="H645" s="54" t="s">
        <v>767</v>
      </c>
      <c r="I645" s="52">
        <v>16</v>
      </c>
      <c r="J645" s="51" t="s">
        <v>250</v>
      </c>
      <c r="K645" s="52">
        <v>23</v>
      </c>
      <c r="L645" s="52">
        <v>6</v>
      </c>
      <c r="M645" s="52"/>
      <c r="N645" s="53" t="s">
        <v>2190</v>
      </c>
      <c r="O645" s="53" t="s">
        <v>2000</v>
      </c>
      <c r="P645" s="52"/>
      <c r="Q645" s="54"/>
      <c r="R645" s="53"/>
      <c r="S645" s="54"/>
      <c r="T645" s="51"/>
      <c r="U645" s="54"/>
      <c r="V645" s="54"/>
      <c r="W645" s="52"/>
      <c r="X645" s="51" t="s">
        <v>1682</v>
      </c>
      <c r="Y645" s="53" t="s">
        <v>1682</v>
      </c>
      <c r="Z645" s="53" t="s">
        <v>1682</v>
      </c>
      <c r="AA645" s="60" t="s">
        <v>1682</v>
      </c>
    </row>
    <row r="646" spans="2:27" ht="80.25" hidden="1" customHeight="1">
      <c r="B646" s="51" t="s">
        <v>70</v>
      </c>
      <c r="C646" s="51" t="s">
        <v>2812</v>
      </c>
      <c r="D646" s="51" t="s">
        <v>71</v>
      </c>
      <c r="E646" s="52">
        <v>1</v>
      </c>
      <c r="F646" s="51" t="s">
        <v>2007</v>
      </c>
      <c r="G646" s="51" t="s">
        <v>2008</v>
      </c>
      <c r="H646" s="54" t="s">
        <v>767</v>
      </c>
      <c r="I646" s="52">
        <v>17</v>
      </c>
      <c r="J646" s="51" t="s">
        <v>250</v>
      </c>
      <c r="K646" s="52">
        <v>23</v>
      </c>
      <c r="L646" s="52">
        <v>6</v>
      </c>
      <c r="M646" s="52"/>
      <c r="N646" s="53" t="s">
        <v>1694</v>
      </c>
      <c r="O646" s="53" t="s">
        <v>2010</v>
      </c>
      <c r="P646" s="52"/>
      <c r="Q646" s="54"/>
      <c r="R646" s="53"/>
      <c r="S646" s="54"/>
      <c r="T646" s="51"/>
      <c r="U646" s="54"/>
      <c r="V646" s="54"/>
      <c r="W646" s="52"/>
      <c r="X646" s="51" t="s">
        <v>1682</v>
      </c>
      <c r="Y646" s="53" t="s">
        <v>1682</v>
      </c>
      <c r="Z646" s="53" t="s">
        <v>1682</v>
      </c>
      <c r="AA646" s="60" t="s">
        <v>1682</v>
      </c>
    </row>
    <row r="647" spans="2:27" ht="80.25" hidden="1" customHeight="1">
      <c r="B647" s="51" t="s">
        <v>70</v>
      </c>
      <c r="C647" s="51" t="s">
        <v>2812</v>
      </c>
      <c r="D647" s="51" t="s">
        <v>71</v>
      </c>
      <c r="E647" s="52">
        <v>1</v>
      </c>
      <c r="F647" s="51" t="s">
        <v>1522</v>
      </c>
      <c r="G647" s="51" t="s">
        <v>1523</v>
      </c>
      <c r="H647" s="54" t="s">
        <v>767</v>
      </c>
      <c r="I647" s="52">
        <v>18</v>
      </c>
      <c r="J647" s="51" t="s">
        <v>250</v>
      </c>
      <c r="K647" s="52">
        <v>23</v>
      </c>
      <c r="L647" s="52">
        <v>6</v>
      </c>
      <c r="M647" s="52"/>
      <c r="N647" s="53" t="s">
        <v>2197</v>
      </c>
      <c r="O647" s="53" t="s">
        <v>1525</v>
      </c>
      <c r="P647" s="52"/>
      <c r="Q647" s="51"/>
      <c r="R647" s="55" t="s">
        <v>788</v>
      </c>
      <c r="S647" s="51" t="s">
        <v>1526</v>
      </c>
      <c r="T647" s="52"/>
      <c r="U647" s="52"/>
      <c r="V647" s="52"/>
      <c r="W647" s="52"/>
      <c r="X647" s="51" t="s">
        <v>1682</v>
      </c>
      <c r="Y647" s="53" t="s">
        <v>1682</v>
      </c>
      <c r="Z647" s="53" t="s">
        <v>1682</v>
      </c>
      <c r="AA647" s="60" t="s">
        <v>1682</v>
      </c>
    </row>
    <row r="648" spans="2:27" ht="80.25" hidden="1" customHeight="1">
      <c r="B648" s="51" t="s">
        <v>70</v>
      </c>
      <c r="C648" s="51" t="s">
        <v>2812</v>
      </c>
      <c r="D648" s="51" t="s">
        <v>71</v>
      </c>
      <c r="E648" s="52">
        <v>1</v>
      </c>
      <c r="F648" s="51" t="s">
        <v>744</v>
      </c>
      <c r="G648" s="51" t="s">
        <v>1530</v>
      </c>
      <c r="H648" s="54" t="s">
        <v>746</v>
      </c>
      <c r="I648" s="52">
        <v>19</v>
      </c>
      <c r="J648" s="51" t="s">
        <v>123</v>
      </c>
      <c r="K648" s="52">
        <v>4</v>
      </c>
      <c r="L648" s="52"/>
      <c r="M648" s="52"/>
      <c r="N648" s="53" t="s">
        <v>2201</v>
      </c>
      <c r="O648" s="53" t="s">
        <v>748</v>
      </c>
      <c r="P648" s="52"/>
      <c r="Q648" s="53" t="s">
        <v>1681</v>
      </c>
      <c r="R648" s="53"/>
      <c r="S648" s="54"/>
      <c r="T648" s="51"/>
      <c r="U648" s="54"/>
      <c r="V648" s="54"/>
      <c r="W648" s="52"/>
      <c r="X648" s="51" t="s">
        <v>1682</v>
      </c>
      <c r="Y648" s="53" t="s">
        <v>1682</v>
      </c>
      <c r="Z648" s="53" t="s">
        <v>1682</v>
      </c>
      <c r="AA648" s="60" t="s">
        <v>1682</v>
      </c>
    </row>
    <row r="649" spans="2:27" ht="80.25" hidden="1" customHeight="1">
      <c r="B649" s="51" t="s">
        <v>70</v>
      </c>
      <c r="C649" s="51" t="s">
        <v>2812</v>
      </c>
      <c r="D649" s="51" t="s">
        <v>71</v>
      </c>
      <c r="E649" s="52">
        <v>1</v>
      </c>
      <c r="F649" s="51" t="s">
        <v>755</v>
      </c>
      <c r="G649" s="51" t="s">
        <v>756</v>
      </c>
      <c r="H649" s="54" t="s">
        <v>746</v>
      </c>
      <c r="I649" s="52">
        <v>20</v>
      </c>
      <c r="J649" s="51" t="s">
        <v>123</v>
      </c>
      <c r="K649" s="52">
        <v>4</v>
      </c>
      <c r="L649" s="52"/>
      <c r="M649" s="52"/>
      <c r="N649" s="53" t="s">
        <v>1706</v>
      </c>
      <c r="O649" s="53" t="s">
        <v>758</v>
      </c>
      <c r="P649" s="52"/>
      <c r="Q649" s="53" t="s">
        <v>1708</v>
      </c>
      <c r="R649" s="53"/>
      <c r="S649" s="54"/>
      <c r="T649" s="51"/>
      <c r="U649" s="54"/>
      <c r="V649" s="54"/>
      <c r="W649" s="52"/>
      <c r="X649" s="51" t="s">
        <v>1682</v>
      </c>
      <c r="Y649" s="53" t="s">
        <v>1682</v>
      </c>
      <c r="Z649" s="53" t="s">
        <v>1682</v>
      </c>
      <c r="AA649" s="60" t="s">
        <v>1682</v>
      </c>
    </row>
    <row r="650" spans="2:27" ht="80.25" hidden="1" customHeight="1">
      <c r="B650" s="51" t="s">
        <v>70</v>
      </c>
      <c r="C650" s="51" t="s">
        <v>2812</v>
      </c>
      <c r="D650" s="51" t="s">
        <v>71</v>
      </c>
      <c r="E650" s="52">
        <v>1</v>
      </c>
      <c r="F650" s="51" t="s">
        <v>765</v>
      </c>
      <c r="G650" s="51" t="s">
        <v>766</v>
      </c>
      <c r="H650" s="54" t="s">
        <v>767</v>
      </c>
      <c r="I650" s="52">
        <v>27</v>
      </c>
      <c r="J650" s="51" t="s">
        <v>250</v>
      </c>
      <c r="K650" s="52">
        <v>23</v>
      </c>
      <c r="L650" s="52">
        <v>6</v>
      </c>
      <c r="M650" s="52"/>
      <c r="N650" s="53" t="s">
        <v>2208</v>
      </c>
      <c r="O650" s="53" t="s">
        <v>769</v>
      </c>
      <c r="P650" s="52"/>
      <c r="Q650" s="54"/>
      <c r="R650" s="53"/>
      <c r="S650" s="54"/>
      <c r="T650" s="51"/>
      <c r="U650" s="54"/>
      <c r="V650" s="54"/>
      <c r="W650" s="52"/>
      <c r="X650" s="51" t="s">
        <v>1682</v>
      </c>
      <c r="Y650" s="53" t="s">
        <v>1682</v>
      </c>
      <c r="Z650" s="53" t="s">
        <v>1682</v>
      </c>
      <c r="AA650" s="60" t="s">
        <v>1682</v>
      </c>
    </row>
    <row r="651" spans="2:27" ht="80.25" hidden="1" customHeight="1">
      <c r="B651" s="51" t="s">
        <v>70</v>
      </c>
      <c r="C651" s="51" t="s">
        <v>2812</v>
      </c>
      <c r="D651" s="51" t="s">
        <v>71</v>
      </c>
      <c r="E651" s="52">
        <v>1</v>
      </c>
      <c r="F651" s="51" t="s">
        <v>2827</v>
      </c>
      <c r="G651" s="51" t="s">
        <v>776</v>
      </c>
      <c r="H651" s="54" t="s">
        <v>767</v>
      </c>
      <c r="I651" s="52">
        <v>28</v>
      </c>
      <c r="J651" s="51" t="s">
        <v>250</v>
      </c>
      <c r="K651" s="52">
        <v>23</v>
      </c>
      <c r="L651" s="52">
        <v>6</v>
      </c>
      <c r="M651" s="52"/>
      <c r="N651" s="53" t="s">
        <v>777</v>
      </c>
      <c r="O651" s="53" t="s">
        <v>778</v>
      </c>
      <c r="P651" s="52"/>
      <c r="Q651" s="54"/>
      <c r="R651" s="53"/>
      <c r="S651" s="54"/>
      <c r="T651" s="51"/>
      <c r="U651" s="54"/>
      <c r="V651" s="54"/>
      <c r="W651" s="52"/>
      <c r="X651" s="51" t="s">
        <v>1682</v>
      </c>
      <c r="Y651" s="53" t="s">
        <v>1682</v>
      </c>
      <c r="Z651" s="53" t="s">
        <v>1682</v>
      </c>
      <c r="AA651" s="60" t="s">
        <v>1682</v>
      </c>
    </row>
    <row r="652" spans="2:27" ht="80.25" hidden="1" customHeight="1">
      <c r="B652" s="51" t="s">
        <v>70</v>
      </c>
      <c r="C652" s="51" t="s">
        <v>2812</v>
      </c>
      <c r="D652" s="51" t="s">
        <v>71</v>
      </c>
      <c r="E652" s="52">
        <v>1</v>
      </c>
      <c r="F652" s="51" t="s">
        <v>784</v>
      </c>
      <c r="G652" s="213" t="s">
        <v>785</v>
      </c>
      <c r="H652" s="54" t="s">
        <v>767</v>
      </c>
      <c r="I652" s="52">
        <v>29</v>
      </c>
      <c r="J652" s="51" t="s">
        <v>250</v>
      </c>
      <c r="K652" s="52">
        <v>23</v>
      </c>
      <c r="L652" s="52">
        <v>6</v>
      </c>
      <c r="M652" s="52"/>
      <c r="N652" s="53" t="s">
        <v>2215</v>
      </c>
      <c r="O652" s="53" t="s">
        <v>787</v>
      </c>
      <c r="P652" s="52"/>
      <c r="Q652" s="51"/>
      <c r="R652" s="55" t="s">
        <v>1720</v>
      </c>
      <c r="S652" s="55" t="s">
        <v>1721</v>
      </c>
      <c r="T652" s="52"/>
      <c r="U652" s="52"/>
      <c r="V652" s="52"/>
      <c r="W652" s="52"/>
      <c r="X652" s="51" t="s">
        <v>1682</v>
      </c>
      <c r="Y652" s="53" t="s">
        <v>1682</v>
      </c>
      <c r="Z652" s="53" t="s">
        <v>1682</v>
      </c>
      <c r="AA652" s="60" t="s">
        <v>1682</v>
      </c>
    </row>
    <row r="653" spans="2:27" ht="80.25" hidden="1" customHeight="1">
      <c r="B653" s="51" t="s">
        <v>70</v>
      </c>
      <c r="C653" s="51" t="s">
        <v>2812</v>
      </c>
      <c r="D653" s="51" t="s">
        <v>71</v>
      </c>
      <c r="E653" s="52">
        <v>1</v>
      </c>
      <c r="F653" s="51" t="s">
        <v>293</v>
      </c>
      <c r="G653" s="213" t="s">
        <v>294</v>
      </c>
      <c r="H653" s="51" t="s">
        <v>295</v>
      </c>
      <c r="I653" s="52">
        <v>30</v>
      </c>
      <c r="J653" s="51" t="s">
        <v>123</v>
      </c>
      <c r="K653" s="52">
        <v>4</v>
      </c>
      <c r="L653" s="52"/>
      <c r="M653" s="52"/>
      <c r="N653" s="53" t="s">
        <v>296</v>
      </c>
      <c r="O653" s="53" t="s">
        <v>297</v>
      </c>
      <c r="P653" s="52"/>
      <c r="Q653" s="53" t="s">
        <v>2799</v>
      </c>
      <c r="R653" s="55" t="s">
        <v>299</v>
      </c>
      <c r="S653" s="55" t="s">
        <v>300</v>
      </c>
      <c r="T653" s="55" t="s">
        <v>1583</v>
      </c>
      <c r="U653" s="55" t="s">
        <v>1584</v>
      </c>
      <c r="V653" s="55" t="s">
        <v>555</v>
      </c>
      <c r="W653" s="77" t="s">
        <v>2828</v>
      </c>
      <c r="X653" s="51" t="s">
        <v>1593</v>
      </c>
      <c r="Y653" s="54" t="s">
        <v>1590</v>
      </c>
      <c r="Z653" s="54" t="s">
        <v>1042</v>
      </c>
      <c r="AA653" s="52" t="s">
        <v>372</v>
      </c>
    </row>
    <row r="654" spans="2:27" ht="80.25" hidden="1" customHeight="1">
      <c r="B654" s="51" t="s">
        <v>70</v>
      </c>
      <c r="C654" s="51" t="s">
        <v>2812</v>
      </c>
      <c r="D654" s="51" t="s">
        <v>71</v>
      </c>
      <c r="E654" s="52">
        <v>1</v>
      </c>
      <c r="F654" s="51" t="s">
        <v>304</v>
      </c>
      <c r="G654" s="51" t="s">
        <v>305</v>
      </c>
      <c r="H654" s="51" t="s">
        <v>295</v>
      </c>
      <c r="I654" s="52">
        <v>31</v>
      </c>
      <c r="J654" s="51" t="s">
        <v>123</v>
      </c>
      <c r="K654" s="52">
        <v>4</v>
      </c>
      <c r="L654" s="52"/>
      <c r="M654" s="52"/>
      <c r="N654" s="53" t="s">
        <v>306</v>
      </c>
      <c r="O654" s="53" t="s">
        <v>307</v>
      </c>
      <c r="P654" s="52"/>
      <c r="Q654" s="55" t="s">
        <v>459</v>
      </c>
      <c r="R654" s="55" t="s">
        <v>203</v>
      </c>
      <c r="S654" s="51" t="s">
        <v>309</v>
      </c>
      <c r="T654" s="55" t="s">
        <v>1583</v>
      </c>
      <c r="U654" s="55" t="s">
        <v>1584</v>
      </c>
      <c r="V654" s="55" t="s">
        <v>555</v>
      </c>
      <c r="W654" s="77" t="s">
        <v>2829</v>
      </c>
      <c r="X654" s="51" t="s">
        <v>1593</v>
      </c>
      <c r="Y654" s="55" t="s">
        <v>372</v>
      </c>
      <c r="Z654" s="55" t="s">
        <v>372</v>
      </c>
      <c r="AA654" s="52" t="s">
        <v>462</v>
      </c>
    </row>
    <row r="655" spans="2:27" ht="80.25" hidden="1" customHeight="1">
      <c r="B655" s="51" t="s">
        <v>70</v>
      </c>
      <c r="C655" s="51" t="s">
        <v>2812</v>
      </c>
      <c r="D655" s="51" t="s">
        <v>71</v>
      </c>
      <c r="E655" s="52">
        <v>1</v>
      </c>
      <c r="F655" s="51" t="s">
        <v>317</v>
      </c>
      <c r="G655" s="51" t="s">
        <v>318</v>
      </c>
      <c r="H655" s="51" t="s">
        <v>319</v>
      </c>
      <c r="I655" s="52">
        <v>32</v>
      </c>
      <c r="J655" s="51" t="s">
        <v>123</v>
      </c>
      <c r="K655" s="52">
        <v>2</v>
      </c>
      <c r="L655" s="52"/>
      <c r="M655" s="52"/>
      <c r="N655" s="53" t="s">
        <v>320</v>
      </c>
      <c r="O655" s="53" t="s">
        <v>321</v>
      </c>
      <c r="P655" s="52"/>
      <c r="Q655" s="53" t="s">
        <v>463</v>
      </c>
      <c r="R655" s="55"/>
      <c r="S655" s="51"/>
      <c r="T655" s="55" t="s">
        <v>1586</v>
      </c>
      <c r="U655" s="55" t="s">
        <v>1587</v>
      </c>
      <c r="V655" s="55" t="s">
        <v>351</v>
      </c>
      <c r="W655" s="77" t="s">
        <v>2830</v>
      </c>
      <c r="X655" s="55" t="s">
        <v>1605</v>
      </c>
      <c r="Y655" s="55" t="s">
        <v>372</v>
      </c>
      <c r="Z655" s="55" t="s">
        <v>372</v>
      </c>
      <c r="AA655" s="52" t="s">
        <v>2802</v>
      </c>
    </row>
    <row r="656" spans="2:27" ht="80.25" hidden="1" customHeight="1">
      <c r="B656" s="51" t="s">
        <v>70</v>
      </c>
      <c r="C656" s="51" t="s">
        <v>2812</v>
      </c>
      <c r="D656" s="51" t="s">
        <v>71</v>
      </c>
      <c r="E656" s="52">
        <v>1</v>
      </c>
      <c r="F656" s="51" t="s">
        <v>326</v>
      </c>
      <c r="G656" s="51" t="s">
        <v>327</v>
      </c>
      <c r="H656" s="51" t="s">
        <v>328</v>
      </c>
      <c r="I656" s="52">
        <v>33</v>
      </c>
      <c r="J656" s="51" t="s">
        <v>123</v>
      </c>
      <c r="K656" s="52">
        <v>10</v>
      </c>
      <c r="L656" s="52"/>
      <c r="M656" s="52"/>
      <c r="N656" s="53" t="s">
        <v>329</v>
      </c>
      <c r="O656" s="53" t="s">
        <v>361</v>
      </c>
      <c r="P656" s="52" t="s">
        <v>126</v>
      </c>
      <c r="Q656" s="54"/>
      <c r="R656" s="55" t="s">
        <v>275</v>
      </c>
      <c r="S656" s="51" t="s">
        <v>803</v>
      </c>
      <c r="T656" s="55" t="s">
        <v>1586</v>
      </c>
      <c r="U656" s="55" t="s">
        <v>1587</v>
      </c>
      <c r="V656" s="55" t="s">
        <v>804</v>
      </c>
      <c r="W656" s="77" t="s">
        <v>2831</v>
      </c>
      <c r="X656" s="55" t="s">
        <v>372</v>
      </c>
      <c r="Y656" s="55" t="s">
        <v>372</v>
      </c>
      <c r="Z656" s="55" t="s">
        <v>372</v>
      </c>
      <c r="AA656" s="52" t="s">
        <v>372</v>
      </c>
    </row>
    <row r="657" spans="2:27" ht="80.25" hidden="1" customHeight="1">
      <c r="B657" s="51" t="s">
        <v>70</v>
      </c>
      <c r="C657" s="51" t="s">
        <v>2812</v>
      </c>
      <c r="D657" s="51" t="s">
        <v>71</v>
      </c>
      <c r="E657" s="52">
        <v>1</v>
      </c>
      <c r="F657" s="51" t="s">
        <v>333</v>
      </c>
      <c r="G657" s="51" t="s">
        <v>334</v>
      </c>
      <c r="H657" s="51" t="s">
        <v>335</v>
      </c>
      <c r="I657" s="52">
        <v>34</v>
      </c>
      <c r="J657" s="51" t="s">
        <v>336</v>
      </c>
      <c r="K657" s="52">
        <v>23</v>
      </c>
      <c r="L657" s="52"/>
      <c r="M657" s="52"/>
      <c r="N657" s="53" t="s">
        <v>337</v>
      </c>
      <c r="O657" s="53" t="s">
        <v>338</v>
      </c>
      <c r="P657" s="52"/>
      <c r="Q657" s="54"/>
      <c r="R657" s="55"/>
      <c r="S657" s="51"/>
      <c r="T657" s="55" t="s">
        <v>1586</v>
      </c>
      <c r="U657" s="55" t="s">
        <v>1587</v>
      </c>
      <c r="V657" s="55" t="s">
        <v>351</v>
      </c>
      <c r="W657" s="77" t="s">
        <v>2832</v>
      </c>
      <c r="X657" s="55" t="s">
        <v>372</v>
      </c>
      <c r="Y657" s="55" t="s">
        <v>372</v>
      </c>
      <c r="Z657" s="55" t="s">
        <v>372</v>
      </c>
      <c r="AA657" s="52" t="s">
        <v>372</v>
      </c>
    </row>
    <row r="658" spans="2:27" ht="80.25" hidden="1" customHeight="1">
      <c r="B658" s="51" t="s">
        <v>340</v>
      </c>
      <c r="C658" s="51" t="s">
        <v>2833</v>
      </c>
      <c r="D658" s="51" t="s">
        <v>2834</v>
      </c>
      <c r="E658" s="52">
        <v>0</v>
      </c>
      <c r="F658" s="51" t="s">
        <v>120</v>
      </c>
      <c r="G658" s="51" t="s">
        <v>121</v>
      </c>
      <c r="H658" s="51" t="s">
        <v>122</v>
      </c>
      <c r="I658" s="52">
        <v>1</v>
      </c>
      <c r="J658" s="51" t="s">
        <v>123</v>
      </c>
      <c r="K658" s="52">
        <v>4</v>
      </c>
      <c r="L658" s="52"/>
      <c r="M658" s="52"/>
      <c r="N658" s="322" t="s">
        <v>124</v>
      </c>
      <c r="O658" s="53" t="s">
        <v>125</v>
      </c>
      <c r="P658" s="52" t="s">
        <v>126</v>
      </c>
      <c r="Q658" s="51"/>
      <c r="R658" s="55"/>
      <c r="S658" s="51"/>
      <c r="T658" s="55" t="s">
        <v>2152</v>
      </c>
      <c r="U658" s="55" t="s">
        <v>426</v>
      </c>
      <c r="V658" s="55" t="s">
        <v>372</v>
      </c>
      <c r="W658" s="346" t="s">
        <v>2835</v>
      </c>
      <c r="X658" s="51" t="s">
        <v>1593</v>
      </c>
      <c r="Y658" s="54" t="s">
        <v>372</v>
      </c>
      <c r="Z658" s="54" t="s">
        <v>372</v>
      </c>
      <c r="AA658" s="52" t="s">
        <v>373</v>
      </c>
    </row>
    <row r="659" spans="2:27" ht="80.25" hidden="1" customHeight="1">
      <c r="B659" s="51" t="s">
        <v>340</v>
      </c>
      <c r="C659" s="51" t="s">
        <v>2833</v>
      </c>
      <c r="D659" s="51" t="s">
        <v>2834</v>
      </c>
      <c r="E659" s="52">
        <v>0</v>
      </c>
      <c r="F659" s="51" t="s">
        <v>136</v>
      </c>
      <c r="G659" s="51" t="s">
        <v>137</v>
      </c>
      <c r="H659" s="51" t="s">
        <v>122</v>
      </c>
      <c r="I659" s="52">
        <v>2</v>
      </c>
      <c r="J659" s="51" t="s">
        <v>123</v>
      </c>
      <c r="K659" s="52">
        <v>30</v>
      </c>
      <c r="L659" s="52"/>
      <c r="M659" s="52"/>
      <c r="N659" s="53" t="s">
        <v>138</v>
      </c>
      <c r="O659" s="53" t="s">
        <v>139</v>
      </c>
      <c r="P659" s="52" t="s">
        <v>126</v>
      </c>
      <c r="Q659" s="51"/>
      <c r="R659" s="55"/>
      <c r="S659" s="51"/>
      <c r="T659" s="51" t="s">
        <v>2152</v>
      </c>
      <c r="U659" s="51" t="s">
        <v>426</v>
      </c>
      <c r="V659" s="51" t="s">
        <v>2153</v>
      </c>
      <c r="W659" s="77" t="s">
        <v>2836</v>
      </c>
      <c r="X659" s="51" t="s">
        <v>1593</v>
      </c>
      <c r="Y659" s="54" t="s">
        <v>1590</v>
      </c>
      <c r="Z659" s="54" t="s">
        <v>1591</v>
      </c>
      <c r="AA659" s="52" t="s">
        <v>372</v>
      </c>
    </row>
    <row r="660" spans="2:27" ht="80.25" hidden="1" customHeight="1">
      <c r="B660" s="51" t="s">
        <v>340</v>
      </c>
      <c r="C660" s="51" t="s">
        <v>2833</v>
      </c>
      <c r="D660" s="51" t="s">
        <v>2834</v>
      </c>
      <c r="E660" s="52">
        <v>0</v>
      </c>
      <c r="F660" s="51" t="s">
        <v>352</v>
      </c>
      <c r="G660" s="51" t="s">
        <v>353</v>
      </c>
      <c r="H660" s="51" t="s">
        <v>240</v>
      </c>
      <c r="I660" s="52">
        <v>3</v>
      </c>
      <c r="J660" s="51" t="s">
        <v>123</v>
      </c>
      <c r="K660" s="52">
        <v>1</v>
      </c>
      <c r="L660" s="52"/>
      <c r="M660" s="52"/>
      <c r="N660" s="53" t="s">
        <v>354</v>
      </c>
      <c r="O660" s="53" t="s">
        <v>355</v>
      </c>
      <c r="P660" s="52"/>
      <c r="Q660" s="51"/>
      <c r="R660" s="55"/>
      <c r="S660" s="51"/>
      <c r="T660" s="51" t="s">
        <v>2152</v>
      </c>
      <c r="U660" s="51" t="s">
        <v>426</v>
      </c>
      <c r="V660" s="54" t="s">
        <v>2226</v>
      </c>
      <c r="W660" s="77" t="s">
        <v>2837</v>
      </c>
      <c r="X660" s="51" t="s">
        <v>1593</v>
      </c>
      <c r="Y660" s="54" t="s">
        <v>1590</v>
      </c>
      <c r="Z660" s="51" t="s">
        <v>1042</v>
      </c>
      <c r="AA660" s="52" t="s">
        <v>372</v>
      </c>
    </row>
    <row r="661" spans="2:27" ht="80.25" hidden="1" customHeight="1">
      <c r="B661" s="51" t="s">
        <v>340</v>
      </c>
      <c r="C661" s="51" t="s">
        <v>2833</v>
      </c>
      <c r="D661" s="51" t="s">
        <v>2834</v>
      </c>
      <c r="E661" s="52">
        <v>0</v>
      </c>
      <c r="F661" s="51" t="s">
        <v>317</v>
      </c>
      <c r="G661" s="51" t="s">
        <v>318</v>
      </c>
      <c r="H661" s="51" t="s">
        <v>319</v>
      </c>
      <c r="I661" s="52">
        <v>4</v>
      </c>
      <c r="J661" s="51" t="s">
        <v>123</v>
      </c>
      <c r="K661" s="52">
        <v>2</v>
      </c>
      <c r="L661" s="52"/>
      <c r="M661" s="52"/>
      <c r="N661" s="53" t="s">
        <v>320</v>
      </c>
      <c r="O661" s="53" t="s">
        <v>321</v>
      </c>
      <c r="P661" s="318" t="s">
        <v>126</v>
      </c>
      <c r="Q661" s="53" t="s">
        <v>463</v>
      </c>
      <c r="R661" s="55"/>
      <c r="S661" s="51"/>
      <c r="T661" s="51" t="s">
        <v>2152</v>
      </c>
      <c r="U661" s="51" t="s">
        <v>426</v>
      </c>
      <c r="V661" s="53" t="s">
        <v>372</v>
      </c>
      <c r="W661" s="346" t="s">
        <v>2838</v>
      </c>
      <c r="X661" s="51" t="s">
        <v>1593</v>
      </c>
      <c r="Y661" s="54" t="s">
        <v>1590</v>
      </c>
      <c r="Z661" s="51" t="s">
        <v>372</v>
      </c>
      <c r="AA661" s="370" t="s">
        <v>2229</v>
      </c>
    </row>
    <row r="662" spans="2:27" ht="80.25" hidden="1" customHeight="1">
      <c r="B662" s="51" t="s">
        <v>340</v>
      </c>
      <c r="C662" s="51" t="s">
        <v>2833</v>
      </c>
      <c r="D662" s="51" t="s">
        <v>2834</v>
      </c>
      <c r="E662" s="52">
        <v>0</v>
      </c>
      <c r="F662" s="51" t="s">
        <v>326</v>
      </c>
      <c r="G662" s="51" t="s">
        <v>327</v>
      </c>
      <c r="H662" s="51" t="s">
        <v>328</v>
      </c>
      <c r="I662" s="52">
        <v>5</v>
      </c>
      <c r="J662" s="51" t="s">
        <v>123</v>
      </c>
      <c r="K662" s="52">
        <v>10</v>
      </c>
      <c r="L662" s="52"/>
      <c r="M662" s="52"/>
      <c r="N662" s="53" t="s">
        <v>329</v>
      </c>
      <c r="O662" s="53" t="s">
        <v>361</v>
      </c>
      <c r="P662" s="52"/>
      <c r="Q662" s="51"/>
      <c r="R662" s="55"/>
      <c r="S662" s="51"/>
      <c r="T662" s="51" t="s">
        <v>2152</v>
      </c>
      <c r="U662" s="51" t="s">
        <v>426</v>
      </c>
      <c r="V662" s="54" t="s">
        <v>678</v>
      </c>
      <c r="W662" s="346" t="s">
        <v>2839</v>
      </c>
      <c r="X662" s="51" t="s">
        <v>1593</v>
      </c>
      <c r="Y662" s="54" t="s">
        <v>1590</v>
      </c>
      <c r="Z662" s="51" t="s">
        <v>678</v>
      </c>
      <c r="AA662" s="52" t="s">
        <v>372</v>
      </c>
    </row>
    <row r="663" spans="2:27" ht="80.25" hidden="1" customHeight="1">
      <c r="B663" s="51" t="s">
        <v>73</v>
      </c>
      <c r="C663" s="51" t="s">
        <v>2840</v>
      </c>
      <c r="D663" s="51" t="s">
        <v>74</v>
      </c>
      <c r="E663" s="52">
        <v>2</v>
      </c>
      <c r="F663" s="51" t="s">
        <v>1155</v>
      </c>
      <c r="G663" s="51" t="s">
        <v>1156</v>
      </c>
      <c r="H663" s="54" t="s">
        <v>1157</v>
      </c>
      <c r="I663" s="52">
        <v>1</v>
      </c>
      <c r="J663" s="51" t="s">
        <v>123</v>
      </c>
      <c r="K663" s="52">
        <v>16</v>
      </c>
      <c r="L663" s="52"/>
      <c r="M663" s="52"/>
      <c r="N663" s="322" t="s">
        <v>1158</v>
      </c>
      <c r="O663" s="54" t="s">
        <v>1159</v>
      </c>
      <c r="P663" s="52" t="s">
        <v>126</v>
      </c>
      <c r="Q663" s="54"/>
      <c r="R663" s="55" t="s">
        <v>1160</v>
      </c>
      <c r="S663" s="51" t="s">
        <v>1155</v>
      </c>
      <c r="T663" s="53" t="s">
        <v>1161</v>
      </c>
      <c r="U663" s="53" t="s">
        <v>1736</v>
      </c>
      <c r="V663" s="53" t="s">
        <v>1163</v>
      </c>
      <c r="W663" s="312" t="s">
        <v>2841</v>
      </c>
      <c r="X663" s="51" t="s">
        <v>1165</v>
      </c>
      <c r="Y663" s="67" t="s">
        <v>1166</v>
      </c>
      <c r="Z663" s="67" t="s">
        <v>1167</v>
      </c>
      <c r="AA663" s="52" t="s">
        <v>372</v>
      </c>
    </row>
    <row r="664" spans="2:27" ht="80.25" hidden="1" customHeight="1">
      <c r="B664" s="51" t="s">
        <v>73</v>
      </c>
      <c r="C664" s="51" t="s">
        <v>2840</v>
      </c>
      <c r="D664" s="51" t="s">
        <v>74</v>
      </c>
      <c r="E664" s="52">
        <v>2</v>
      </c>
      <c r="F664" s="51" t="s">
        <v>120</v>
      </c>
      <c r="G664" s="51" t="s">
        <v>121</v>
      </c>
      <c r="H664" s="54" t="s">
        <v>150</v>
      </c>
      <c r="I664" s="52">
        <v>2</v>
      </c>
      <c r="J664" s="51" t="s">
        <v>123</v>
      </c>
      <c r="K664" s="52">
        <v>4</v>
      </c>
      <c r="L664" s="52"/>
      <c r="M664" s="52"/>
      <c r="N664" s="321" t="s">
        <v>124</v>
      </c>
      <c r="O664" s="53" t="s">
        <v>125</v>
      </c>
      <c r="P664" s="52"/>
      <c r="Q664" s="54"/>
      <c r="R664" s="55" t="s">
        <v>1160</v>
      </c>
      <c r="S664" s="51" t="s">
        <v>136</v>
      </c>
      <c r="T664" s="55" t="s">
        <v>1170</v>
      </c>
      <c r="U664" s="55" t="s">
        <v>1738</v>
      </c>
      <c r="V664" s="55" t="s">
        <v>555</v>
      </c>
      <c r="W664" s="346" t="s">
        <v>2842</v>
      </c>
      <c r="X664" s="51" t="s">
        <v>1165</v>
      </c>
      <c r="Y664" s="54" t="s">
        <v>372</v>
      </c>
      <c r="Z664" s="54" t="s">
        <v>372</v>
      </c>
      <c r="AA664" s="52" t="s">
        <v>373</v>
      </c>
    </row>
    <row r="665" spans="2:27" ht="80.25" hidden="1" customHeight="1">
      <c r="B665" s="51" t="s">
        <v>73</v>
      </c>
      <c r="C665" s="51" t="s">
        <v>2840</v>
      </c>
      <c r="D665" s="51" t="s">
        <v>74</v>
      </c>
      <c r="E665" s="52">
        <v>2</v>
      </c>
      <c r="F665" s="51" t="s">
        <v>136</v>
      </c>
      <c r="G665" s="51" t="s">
        <v>137</v>
      </c>
      <c r="H665" s="54" t="s">
        <v>150</v>
      </c>
      <c r="I665" s="52">
        <v>3</v>
      </c>
      <c r="J665" s="51" t="s">
        <v>123</v>
      </c>
      <c r="K665" s="52">
        <v>30</v>
      </c>
      <c r="L665" s="52"/>
      <c r="M665" s="52"/>
      <c r="N665" s="53" t="s">
        <v>1740</v>
      </c>
      <c r="O665" s="53" t="s">
        <v>1741</v>
      </c>
      <c r="P665" s="52"/>
      <c r="Q665" s="54"/>
      <c r="R665" s="55" t="s">
        <v>1160</v>
      </c>
      <c r="S665" s="51" t="s">
        <v>136</v>
      </c>
      <c r="T665" s="53" t="s">
        <v>1178</v>
      </c>
      <c r="U665" s="53" t="s">
        <v>2843</v>
      </c>
      <c r="V665" s="53" t="s">
        <v>1180</v>
      </c>
      <c r="W665" s="312" t="s">
        <v>2844</v>
      </c>
      <c r="X665" s="51" t="s">
        <v>1165</v>
      </c>
      <c r="Y665" s="54" t="s">
        <v>1182</v>
      </c>
      <c r="Z665" s="54" t="s">
        <v>1029</v>
      </c>
      <c r="AA665" s="52" t="s">
        <v>372</v>
      </c>
    </row>
    <row r="666" spans="2:27" ht="80.25" hidden="1" customHeight="1">
      <c r="B666" s="51" t="s">
        <v>73</v>
      </c>
      <c r="C666" s="51" t="s">
        <v>2840</v>
      </c>
      <c r="D666" s="51" t="s">
        <v>74</v>
      </c>
      <c r="E666" s="52">
        <v>2</v>
      </c>
      <c r="F666" s="51" t="s">
        <v>1183</v>
      </c>
      <c r="G666" s="51" t="s">
        <v>1184</v>
      </c>
      <c r="H666" s="54" t="s">
        <v>150</v>
      </c>
      <c r="I666" s="52">
        <v>4</v>
      </c>
      <c r="J666" s="51" t="s">
        <v>123</v>
      </c>
      <c r="K666" s="52">
        <v>4</v>
      </c>
      <c r="L666" s="52"/>
      <c r="M666" s="52"/>
      <c r="N666" s="53" t="s">
        <v>1745</v>
      </c>
      <c r="O666" s="53" t="s">
        <v>1186</v>
      </c>
      <c r="P666" s="52"/>
      <c r="Q666" s="54"/>
      <c r="R666" s="55"/>
      <c r="S666" s="51"/>
      <c r="T666" s="53" t="s">
        <v>1161</v>
      </c>
      <c r="U666" s="53" t="s">
        <v>1736</v>
      </c>
      <c r="V666" s="53" t="s">
        <v>1188</v>
      </c>
      <c r="W666" s="312" t="s">
        <v>1747</v>
      </c>
      <c r="X666" s="51" t="s">
        <v>1165</v>
      </c>
      <c r="Y666" s="54" t="s">
        <v>1166</v>
      </c>
      <c r="Z666" s="54" t="s">
        <v>1190</v>
      </c>
      <c r="AA666" s="52" t="s">
        <v>372</v>
      </c>
    </row>
    <row r="667" spans="2:27" ht="80.25" hidden="1" customHeight="1">
      <c r="B667" s="51" t="s">
        <v>73</v>
      </c>
      <c r="C667" s="51" t="s">
        <v>2840</v>
      </c>
      <c r="D667" s="51" t="s">
        <v>74</v>
      </c>
      <c r="E667" s="52">
        <v>2</v>
      </c>
      <c r="F667" s="51" t="s">
        <v>1191</v>
      </c>
      <c r="G667" s="51" t="s">
        <v>1192</v>
      </c>
      <c r="H667" s="54" t="s">
        <v>150</v>
      </c>
      <c r="I667" s="52">
        <v>5</v>
      </c>
      <c r="J667" s="51" t="s">
        <v>1136</v>
      </c>
      <c r="K667" s="52"/>
      <c r="L667" s="52"/>
      <c r="M667" s="52"/>
      <c r="N667" s="53" t="s">
        <v>1193</v>
      </c>
      <c r="O667" s="53" t="s">
        <v>1194</v>
      </c>
      <c r="P667" s="52"/>
      <c r="Q667" s="51"/>
      <c r="R667" s="55"/>
      <c r="S667" s="51"/>
      <c r="T667" s="53" t="s">
        <v>1195</v>
      </c>
      <c r="U667" s="53" t="s">
        <v>2845</v>
      </c>
      <c r="V667" s="53" t="s">
        <v>1197</v>
      </c>
      <c r="W667" s="312" t="s">
        <v>1749</v>
      </c>
      <c r="X667" s="51" t="s">
        <v>1165</v>
      </c>
      <c r="Y667" s="54" t="s">
        <v>1166</v>
      </c>
      <c r="Z667" s="54" t="s">
        <v>1190</v>
      </c>
      <c r="AA667" s="52" t="s">
        <v>372</v>
      </c>
    </row>
    <row r="668" spans="2:27" ht="80.25" hidden="1" customHeight="1">
      <c r="B668" s="51" t="s">
        <v>73</v>
      </c>
      <c r="C668" s="51" t="s">
        <v>2840</v>
      </c>
      <c r="D668" s="51" t="s">
        <v>74</v>
      </c>
      <c r="E668" s="52">
        <v>2</v>
      </c>
      <c r="F668" s="51" t="s">
        <v>1199</v>
      </c>
      <c r="G668" s="51" t="s">
        <v>1200</v>
      </c>
      <c r="H668" s="54" t="s">
        <v>200</v>
      </c>
      <c r="I668" s="52">
        <v>6</v>
      </c>
      <c r="J668" s="51" t="s">
        <v>123</v>
      </c>
      <c r="K668" s="52">
        <v>10</v>
      </c>
      <c r="L668" s="52"/>
      <c r="M668" s="52"/>
      <c r="N668" s="53" t="s">
        <v>1201</v>
      </c>
      <c r="O668" s="53" t="s">
        <v>1202</v>
      </c>
      <c r="P668" s="52"/>
      <c r="Q668" s="54"/>
      <c r="R668" s="55" t="s">
        <v>1160</v>
      </c>
      <c r="S668" s="51" t="s">
        <v>1203</v>
      </c>
      <c r="T668" s="53" t="s">
        <v>1161</v>
      </c>
      <c r="U668" s="53" t="s">
        <v>1736</v>
      </c>
      <c r="V668" s="53" t="s">
        <v>1204</v>
      </c>
      <c r="W668" s="312" t="s">
        <v>2846</v>
      </c>
      <c r="X668" s="51" t="s">
        <v>1165</v>
      </c>
      <c r="Y668" s="67" t="s">
        <v>1166</v>
      </c>
      <c r="Z668" s="67" t="s">
        <v>1206</v>
      </c>
      <c r="AA668" s="52" t="s">
        <v>372</v>
      </c>
    </row>
    <row r="669" spans="2:27" ht="80.25" hidden="1" customHeight="1">
      <c r="B669" s="51" t="s">
        <v>73</v>
      </c>
      <c r="C669" s="51" t="s">
        <v>2840</v>
      </c>
      <c r="D669" s="51" t="s">
        <v>74</v>
      </c>
      <c r="E669" s="52">
        <v>2</v>
      </c>
      <c r="F669" s="51" t="s">
        <v>1207</v>
      </c>
      <c r="G669" s="51" t="s">
        <v>1208</v>
      </c>
      <c r="H669" s="54" t="s">
        <v>200</v>
      </c>
      <c r="I669" s="52">
        <v>7</v>
      </c>
      <c r="J669" s="51" t="s">
        <v>123</v>
      </c>
      <c r="K669" s="52">
        <v>10</v>
      </c>
      <c r="L669" s="52"/>
      <c r="M669" s="52"/>
      <c r="N669" s="53" t="s">
        <v>1209</v>
      </c>
      <c r="O669" s="53" t="s">
        <v>1210</v>
      </c>
      <c r="P669" s="52"/>
      <c r="Q669" s="54"/>
      <c r="R669" s="55" t="s">
        <v>1160</v>
      </c>
      <c r="S669" s="51" t="s">
        <v>1211</v>
      </c>
      <c r="T669" s="53" t="s">
        <v>1161</v>
      </c>
      <c r="U669" s="53" t="s">
        <v>1736</v>
      </c>
      <c r="V669" s="53" t="s">
        <v>1212</v>
      </c>
      <c r="W669" s="312" t="s">
        <v>2847</v>
      </c>
      <c r="X669" s="51" t="s">
        <v>1165</v>
      </c>
      <c r="Y669" s="67" t="s">
        <v>1166</v>
      </c>
      <c r="Z669" s="67" t="s">
        <v>1214</v>
      </c>
      <c r="AA669" s="52" t="s">
        <v>372</v>
      </c>
    </row>
    <row r="670" spans="2:27" ht="80.25" hidden="1" customHeight="1">
      <c r="B670" s="51" t="s">
        <v>73</v>
      </c>
      <c r="C670" s="51" t="s">
        <v>2840</v>
      </c>
      <c r="D670" s="51" t="s">
        <v>74</v>
      </c>
      <c r="E670" s="52">
        <v>2</v>
      </c>
      <c r="F670" s="51" t="s">
        <v>1215</v>
      </c>
      <c r="G670" s="51" t="s">
        <v>1216</v>
      </c>
      <c r="H670" s="54" t="s">
        <v>1217</v>
      </c>
      <c r="I670" s="52">
        <v>8</v>
      </c>
      <c r="J670" s="51" t="s">
        <v>250</v>
      </c>
      <c r="K670" s="52">
        <v>23</v>
      </c>
      <c r="L670" s="52">
        <v>6</v>
      </c>
      <c r="M670" s="52"/>
      <c r="N670" s="53" t="s">
        <v>1218</v>
      </c>
      <c r="O670" s="53" t="s">
        <v>1219</v>
      </c>
      <c r="P670" s="52"/>
      <c r="Q670" s="54"/>
      <c r="R670" s="55" t="s">
        <v>1160</v>
      </c>
      <c r="S670" s="51" t="s">
        <v>1220</v>
      </c>
      <c r="T670" s="53" t="s">
        <v>1161</v>
      </c>
      <c r="U670" s="53" t="s">
        <v>2848</v>
      </c>
      <c r="V670" s="53" t="s">
        <v>1222</v>
      </c>
      <c r="W670" s="312" t="s">
        <v>2849</v>
      </c>
      <c r="X670" s="51" t="s">
        <v>1165</v>
      </c>
      <c r="Y670" s="67" t="s">
        <v>1224</v>
      </c>
      <c r="Z670" s="67" t="s">
        <v>1225</v>
      </c>
      <c r="AA670" s="52" t="s">
        <v>372</v>
      </c>
    </row>
    <row r="671" spans="2:27" ht="80.25" hidden="1" customHeight="1">
      <c r="B671" s="51" t="s">
        <v>73</v>
      </c>
      <c r="C671" s="51" t="s">
        <v>2840</v>
      </c>
      <c r="D671" s="51" t="s">
        <v>74</v>
      </c>
      <c r="E671" s="52">
        <v>2</v>
      </c>
      <c r="F671" s="51" t="s">
        <v>1226</v>
      </c>
      <c r="G671" s="51" t="s">
        <v>1227</v>
      </c>
      <c r="H671" s="54" t="s">
        <v>1217</v>
      </c>
      <c r="I671" s="52">
        <v>9</v>
      </c>
      <c r="J671" s="51" t="s">
        <v>250</v>
      </c>
      <c r="K671" s="52">
        <v>23</v>
      </c>
      <c r="L671" s="52">
        <v>6</v>
      </c>
      <c r="M671" s="52"/>
      <c r="N671" s="53" t="s">
        <v>1228</v>
      </c>
      <c r="O671" s="53" t="s">
        <v>1229</v>
      </c>
      <c r="P671" s="52"/>
      <c r="Q671" s="54"/>
      <c r="R671" s="55" t="s">
        <v>1160</v>
      </c>
      <c r="S671" s="51" t="s">
        <v>1230</v>
      </c>
      <c r="T671" s="53" t="s">
        <v>1161</v>
      </c>
      <c r="U671" s="53" t="s">
        <v>2848</v>
      </c>
      <c r="V671" s="53" t="s">
        <v>1231</v>
      </c>
      <c r="W671" s="312" t="s">
        <v>2850</v>
      </c>
      <c r="X671" s="51" t="s">
        <v>1165</v>
      </c>
      <c r="Y671" s="67" t="s">
        <v>1224</v>
      </c>
      <c r="Z671" s="67" t="s">
        <v>1233</v>
      </c>
      <c r="AA671" s="52" t="s">
        <v>372</v>
      </c>
    </row>
    <row r="672" spans="2:27" ht="80.25" hidden="1" customHeight="1">
      <c r="B672" s="51" t="s">
        <v>73</v>
      </c>
      <c r="C672" s="51" t="s">
        <v>2840</v>
      </c>
      <c r="D672" s="51" t="s">
        <v>74</v>
      </c>
      <c r="E672" s="52">
        <v>2</v>
      </c>
      <c r="F672" s="51" t="s">
        <v>1234</v>
      </c>
      <c r="G672" s="51" t="s">
        <v>1235</v>
      </c>
      <c r="H672" s="54" t="s">
        <v>295</v>
      </c>
      <c r="I672" s="52">
        <v>10</v>
      </c>
      <c r="J672" s="51" t="s">
        <v>123</v>
      </c>
      <c r="K672" s="52">
        <v>4</v>
      </c>
      <c r="L672" s="52"/>
      <c r="M672" s="52"/>
      <c r="N672" s="53" t="s">
        <v>1236</v>
      </c>
      <c r="O672" s="53" t="s">
        <v>1237</v>
      </c>
      <c r="P672" s="52"/>
      <c r="Q672" s="53" t="s">
        <v>1238</v>
      </c>
      <c r="R672" s="55" t="s">
        <v>1160</v>
      </c>
      <c r="S672" s="51" t="s">
        <v>1239</v>
      </c>
      <c r="T672" s="55" t="s">
        <v>1170</v>
      </c>
      <c r="U672" s="55" t="s">
        <v>1738</v>
      </c>
      <c r="V672" s="55" t="s">
        <v>2522</v>
      </c>
      <c r="W672" s="346" t="s">
        <v>2851</v>
      </c>
      <c r="X672" s="51" t="s">
        <v>1165</v>
      </c>
      <c r="Y672" s="67" t="s">
        <v>1166</v>
      </c>
      <c r="Z672" s="67" t="s">
        <v>1241</v>
      </c>
      <c r="AA672" s="52" t="s">
        <v>372</v>
      </c>
    </row>
    <row r="673" spans="2:27" ht="80.25" hidden="1" customHeight="1">
      <c r="B673" s="51" t="s">
        <v>73</v>
      </c>
      <c r="C673" s="51" t="s">
        <v>2840</v>
      </c>
      <c r="D673" s="51" t="s">
        <v>74</v>
      </c>
      <c r="E673" s="52">
        <v>2</v>
      </c>
      <c r="F673" s="51" t="s">
        <v>326</v>
      </c>
      <c r="G673" s="51" t="s">
        <v>327</v>
      </c>
      <c r="H673" s="51" t="s">
        <v>328</v>
      </c>
      <c r="I673" s="52">
        <v>11</v>
      </c>
      <c r="J673" s="51" t="s">
        <v>123</v>
      </c>
      <c r="K673" s="52">
        <v>10</v>
      </c>
      <c r="L673" s="52"/>
      <c r="M673" s="52"/>
      <c r="N673" s="53" t="s">
        <v>329</v>
      </c>
      <c r="O673" s="53" t="s">
        <v>361</v>
      </c>
      <c r="P673" s="52" t="s">
        <v>126</v>
      </c>
      <c r="Q673" s="54"/>
      <c r="R673" s="55"/>
      <c r="S673" s="51"/>
      <c r="T673" s="53" t="s">
        <v>1161</v>
      </c>
      <c r="U673" s="53" t="s">
        <v>1736</v>
      </c>
      <c r="V673" s="53" t="s">
        <v>804</v>
      </c>
      <c r="W673" s="312" t="s">
        <v>2852</v>
      </c>
      <c r="X673" s="51" t="s">
        <v>372</v>
      </c>
      <c r="Y673" s="51" t="s">
        <v>372</v>
      </c>
      <c r="Z673" s="51" t="s">
        <v>372</v>
      </c>
      <c r="AA673" s="52" t="s">
        <v>372</v>
      </c>
    </row>
    <row r="674" spans="2:27" ht="80.25" hidden="1" customHeight="1">
      <c r="B674" s="51" t="s">
        <v>73</v>
      </c>
      <c r="C674" s="51" t="s">
        <v>2840</v>
      </c>
      <c r="D674" s="51" t="s">
        <v>74</v>
      </c>
      <c r="E674" s="52">
        <v>2</v>
      </c>
      <c r="F674" s="51" t="s">
        <v>333</v>
      </c>
      <c r="G674" s="51" t="s">
        <v>334</v>
      </c>
      <c r="H674" s="51" t="s">
        <v>335</v>
      </c>
      <c r="I674" s="52">
        <v>12</v>
      </c>
      <c r="J674" s="51" t="s">
        <v>336</v>
      </c>
      <c r="K674" s="52">
        <v>23</v>
      </c>
      <c r="L674" s="52"/>
      <c r="M674" s="52"/>
      <c r="N674" s="53" t="s">
        <v>337</v>
      </c>
      <c r="O674" s="53" t="s">
        <v>338</v>
      </c>
      <c r="P674" s="52"/>
      <c r="Q674" s="54"/>
      <c r="R674" s="55"/>
      <c r="S674" s="51"/>
      <c r="T674" s="53" t="s">
        <v>1161</v>
      </c>
      <c r="U674" s="53" t="s">
        <v>1736</v>
      </c>
      <c r="V674" s="53" t="s">
        <v>351</v>
      </c>
      <c r="W674" s="312" t="s">
        <v>2853</v>
      </c>
      <c r="X674" s="51" t="s">
        <v>372</v>
      </c>
      <c r="Y674" s="51" t="s">
        <v>372</v>
      </c>
      <c r="Z674" s="51" t="s">
        <v>372</v>
      </c>
      <c r="AA674" s="52" t="s">
        <v>372</v>
      </c>
    </row>
    <row r="675" spans="2:27" ht="80.25" hidden="1" customHeight="1">
      <c r="B675" s="51" t="s">
        <v>73</v>
      </c>
      <c r="C675" s="51" t="s">
        <v>2854</v>
      </c>
      <c r="D675" s="51" t="s">
        <v>76</v>
      </c>
      <c r="E675" s="52">
        <v>1</v>
      </c>
      <c r="F675" s="51" t="s">
        <v>120</v>
      </c>
      <c r="G675" s="51" t="s">
        <v>121</v>
      </c>
      <c r="H675" s="51" t="s">
        <v>122</v>
      </c>
      <c r="I675" s="52">
        <v>1</v>
      </c>
      <c r="J675" s="51" t="s">
        <v>123</v>
      </c>
      <c r="K675" s="52">
        <v>4</v>
      </c>
      <c r="L675" s="52"/>
      <c r="M675" s="52"/>
      <c r="N675" s="321" t="s">
        <v>124</v>
      </c>
      <c r="O675" s="53" t="s">
        <v>125</v>
      </c>
      <c r="P675" s="52" t="s">
        <v>126</v>
      </c>
      <c r="Q675" s="54"/>
      <c r="R675" s="55" t="s">
        <v>1760</v>
      </c>
      <c r="S675" s="55" t="s">
        <v>1327</v>
      </c>
      <c r="T675" s="53" t="s">
        <v>1170</v>
      </c>
      <c r="U675" s="53" t="s">
        <v>2855</v>
      </c>
      <c r="V675" s="53" t="s">
        <v>555</v>
      </c>
      <c r="W675" s="319" t="s">
        <v>2856</v>
      </c>
      <c r="X675" s="51" t="s">
        <v>1165</v>
      </c>
      <c r="Y675" s="54" t="s">
        <v>372</v>
      </c>
      <c r="Z675" s="54" t="s">
        <v>372</v>
      </c>
      <c r="AA675" s="52" t="s">
        <v>373</v>
      </c>
    </row>
    <row r="676" spans="2:27" ht="80.25" hidden="1" customHeight="1">
      <c r="B676" s="51" t="s">
        <v>73</v>
      </c>
      <c r="C676" s="51" t="s">
        <v>2854</v>
      </c>
      <c r="D676" s="51" t="s">
        <v>76</v>
      </c>
      <c r="E676" s="52">
        <v>1</v>
      </c>
      <c r="F676" s="51" t="s">
        <v>136</v>
      </c>
      <c r="G676" s="51" t="s">
        <v>137</v>
      </c>
      <c r="H676" s="51" t="s">
        <v>122</v>
      </c>
      <c r="I676" s="52">
        <v>2</v>
      </c>
      <c r="J676" s="51" t="s">
        <v>123</v>
      </c>
      <c r="K676" s="52">
        <v>15</v>
      </c>
      <c r="L676" s="52"/>
      <c r="M676" s="52"/>
      <c r="N676" s="53" t="s">
        <v>138</v>
      </c>
      <c r="O676" s="53" t="s">
        <v>139</v>
      </c>
      <c r="P676" s="52" t="s">
        <v>126</v>
      </c>
      <c r="Q676" s="54"/>
      <c r="R676" s="55" t="s">
        <v>1760</v>
      </c>
      <c r="S676" s="55" t="s">
        <v>1327</v>
      </c>
      <c r="T676" s="53" t="s">
        <v>1161</v>
      </c>
      <c r="U676" s="53" t="s">
        <v>2857</v>
      </c>
      <c r="V676" s="53" t="s">
        <v>633</v>
      </c>
      <c r="W676" s="312" t="s">
        <v>2858</v>
      </c>
      <c r="X676" s="51" t="s">
        <v>1165</v>
      </c>
      <c r="Y676" s="54" t="s">
        <v>1182</v>
      </c>
      <c r="Z676" s="54" t="s">
        <v>1029</v>
      </c>
      <c r="AA676" s="52" t="s">
        <v>372</v>
      </c>
    </row>
    <row r="677" spans="2:27" ht="80.25" hidden="1" customHeight="1">
      <c r="B677" s="51" t="s">
        <v>73</v>
      </c>
      <c r="C677" s="51" t="s">
        <v>2854</v>
      </c>
      <c r="D677" s="51" t="s">
        <v>76</v>
      </c>
      <c r="E677" s="52">
        <v>1</v>
      </c>
      <c r="F677" s="51" t="s">
        <v>148</v>
      </c>
      <c r="G677" s="51" t="s">
        <v>149</v>
      </c>
      <c r="H677" s="54" t="s">
        <v>150</v>
      </c>
      <c r="I677" s="52">
        <v>3</v>
      </c>
      <c r="J677" s="51" t="s">
        <v>123</v>
      </c>
      <c r="K677" s="52">
        <v>4</v>
      </c>
      <c r="L677" s="52"/>
      <c r="M677" s="52"/>
      <c r="N677" s="53" t="s">
        <v>151</v>
      </c>
      <c r="O677" s="53" t="s">
        <v>152</v>
      </c>
      <c r="P677" s="52"/>
      <c r="Q677" s="53" t="s">
        <v>586</v>
      </c>
      <c r="R677" s="55"/>
      <c r="S677" s="51"/>
      <c r="T677" s="53" t="s">
        <v>1170</v>
      </c>
      <c r="U677" s="53" t="s">
        <v>2855</v>
      </c>
      <c r="V677" s="53" t="s">
        <v>555</v>
      </c>
      <c r="W677" s="312" t="s">
        <v>2859</v>
      </c>
      <c r="X677" s="51" t="s">
        <v>372</v>
      </c>
      <c r="Y677" s="54" t="s">
        <v>372</v>
      </c>
      <c r="Z677" s="54" t="s">
        <v>372</v>
      </c>
      <c r="AA677" s="52" t="s">
        <v>372</v>
      </c>
    </row>
    <row r="678" spans="2:27" ht="80.25" hidden="1" customHeight="1">
      <c r="B678" s="51" t="s">
        <v>73</v>
      </c>
      <c r="C678" s="51" t="s">
        <v>2854</v>
      </c>
      <c r="D678" s="51" t="s">
        <v>76</v>
      </c>
      <c r="E678" s="52">
        <v>1</v>
      </c>
      <c r="F678" s="51" t="s">
        <v>155</v>
      </c>
      <c r="G678" s="51" t="s">
        <v>156</v>
      </c>
      <c r="H678" s="54" t="s">
        <v>150</v>
      </c>
      <c r="I678" s="52">
        <v>3</v>
      </c>
      <c r="J678" s="51" t="s">
        <v>123</v>
      </c>
      <c r="K678" s="52">
        <v>4</v>
      </c>
      <c r="L678" s="52"/>
      <c r="M678" s="52"/>
      <c r="N678" s="53" t="s">
        <v>157</v>
      </c>
      <c r="O678" s="53" t="s">
        <v>158</v>
      </c>
      <c r="P678" s="52"/>
      <c r="Q678" s="53" t="s">
        <v>1252</v>
      </c>
      <c r="R678" s="55" t="s">
        <v>203</v>
      </c>
      <c r="S678" s="51" t="s">
        <v>1766</v>
      </c>
      <c r="T678" s="53" t="s">
        <v>1178</v>
      </c>
      <c r="U678" s="53" t="s">
        <v>2860</v>
      </c>
      <c r="V678" s="53" t="s">
        <v>1254</v>
      </c>
      <c r="W678" s="312" t="s">
        <v>2861</v>
      </c>
      <c r="X678" s="51" t="s">
        <v>1165</v>
      </c>
      <c r="Y678" s="65" t="s">
        <v>1256</v>
      </c>
      <c r="Z678" s="65" t="s">
        <v>590</v>
      </c>
      <c r="AA678" s="52" t="s">
        <v>372</v>
      </c>
    </row>
    <row r="679" spans="2:27" ht="80.25" hidden="1" customHeight="1">
      <c r="B679" s="51" t="s">
        <v>73</v>
      </c>
      <c r="C679" s="51" t="s">
        <v>2854</v>
      </c>
      <c r="D679" s="51" t="s">
        <v>76</v>
      </c>
      <c r="E679" s="52">
        <v>1</v>
      </c>
      <c r="F679" s="51" t="s">
        <v>167</v>
      </c>
      <c r="G679" s="51" t="s">
        <v>168</v>
      </c>
      <c r="H679" s="54" t="s">
        <v>150</v>
      </c>
      <c r="I679" s="52">
        <v>3</v>
      </c>
      <c r="J679" s="51" t="s">
        <v>123</v>
      </c>
      <c r="K679" s="52">
        <v>4</v>
      </c>
      <c r="L679" s="52"/>
      <c r="M679" s="52"/>
      <c r="N679" s="53" t="s">
        <v>169</v>
      </c>
      <c r="O679" s="53" t="s">
        <v>170</v>
      </c>
      <c r="P679" s="52"/>
      <c r="Q679" s="53" t="s">
        <v>1257</v>
      </c>
      <c r="R679" s="55" t="s">
        <v>203</v>
      </c>
      <c r="S679" s="51" t="s">
        <v>1769</v>
      </c>
      <c r="T679" s="53" t="s">
        <v>1178</v>
      </c>
      <c r="U679" s="53" t="s">
        <v>2860</v>
      </c>
      <c r="V679" s="53" t="s">
        <v>1258</v>
      </c>
      <c r="W679" s="312" t="s">
        <v>2862</v>
      </c>
      <c r="X679" s="51" t="s">
        <v>1165</v>
      </c>
      <c r="Y679" s="65" t="s">
        <v>1256</v>
      </c>
      <c r="Z679" s="65" t="s">
        <v>593</v>
      </c>
      <c r="AA679" s="52" t="s">
        <v>372</v>
      </c>
    </row>
    <row r="680" spans="2:27" ht="80.25" hidden="1" customHeight="1">
      <c r="B680" s="51" t="s">
        <v>73</v>
      </c>
      <c r="C680" s="51" t="s">
        <v>2854</v>
      </c>
      <c r="D680" s="51" t="s">
        <v>76</v>
      </c>
      <c r="E680" s="52">
        <v>1</v>
      </c>
      <c r="F680" s="51" t="s">
        <v>176</v>
      </c>
      <c r="G680" s="51" t="s">
        <v>177</v>
      </c>
      <c r="H680" s="54" t="s">
        <v>150</v>
      </c>
      <c r="I680" s="52">
        <v>6</v>
      </c>
      <c r="J680" s="51" t="s">
        <v>123</v>
      </c>
      <c r="K680" s="52">
        <v>4</v>
      </c>
      <c r="L680" s="52"/>
      <c r="M680" s="52"/>
      <c r="N680" s="72" t="s">
        <v>1771</v>
      </c>
      <c r="O680" s="53" t="s">
        <v>179</v>
      </c>
      <c r="P680" s="52"/>
      <c r="Q680" s="54"/>
      <c r="R680" s="53" t="s">
        <v>1393</v>
      </c>
      <c r="S680" s="53" t="s">
        <v>181</v>
      </c>
      <c r="T680" s="53" t="s">
        <v>1170</v>
      </c>
      <c r="U680" s="53" t="s">
        <v>2863</v>
      </c>
      <c r="V680" s="53" t="s">
        <v>555</v>
      </c>
      <c r="W680" s="319" t="s">
        <v>2864</v>
      </c>
      <c r="X680" s="51" t="s">
        <v>1165</v>
      </c>
      <c r="Y680" s="54" t="s">
        <v>372</v>
      </c>
      <c r="Z680" s="54" t="s">
        <v>372</v>
      </c>
      <c r="AA680" s="52" t="s">
        <v>373</v>
      </c>
    </row>
    <row r="681" spans="2:27" ht="80.25" hidden="1" customHeight="1">
      <c r="B681" s="51" t="s">
        <v>73</v>
      </c>
      <c r="C681" s="51" t="s">
        <v>2854</v>
      </c>
      <c r="D681" s="51" t="s">
        <v>76</v>
      </c>
      <c r="E681" s="52">
        <v>1</v>
      </c>
      <c r="F681" s="51" t="s">
        <v>187</v>
      </c>
      <c r="G681" s="51" t="s">
        <v>188</v>
      </c>
      <c r="H681" s="54" t="s">
        <v>150</v>
      </c>
      <c r="I681" s="52">
        <v>7</v>
      </c>
      <c r="J681" s="51" t="s">
        <v>123</v>
      </c>
      <c r="K681" s="52">
        <v>30</v>
      </c>
      <c r="L681" s="52"/>
      <c r="M681" s="52"/>
      <c r="N681" s="53" t="s">
        <v>1773</v>
      </c>
      <c r="O681" s="53" t="s">
        <v>190</v>
      </c>
      <c r="P681" s="52"/>
      <c r="Q681" s="54"/>
      <c r="R681" s="53" t="s">
        <v>1393</v>
      </c>
      <c r="S681" s="53" t="s">
        <v>181</v>
      </c>
      <c r="T681" s="53" t="s">
        <v>1178</v>
      </c>
      <c r="U681" s="53" t="s">
        <v>2865</v>
      </c>
      <c r="V681" s="53" t="s">
        <v>1265</v>
      </c>
      <c r="W681" s="312" t="s">
        <v>2866</v>
      </c>
      <c r="X681" s="51" t="s">
        <v>1165</v>
      </c>
      <c r="Y681" s="65" t="s">
        <v>1267</v>
      </c>
      <c r="Z681" s="67" t="s">
        <v>1776</v>
      </c>
      <c r="AA681" s="52" t="s">
        <v>372</v>
      </c>
    </row>
    <row r="682" spans="2:27" ht="80.25" hidden="1" customHeight="1">
      <c r="B682" s="51" t="s">
        <v>73</v>
      </c>
      <c r="C682" s="51" t="s">
        <v>2854</v>
      </c>
      <c r="D682" s="51" t="s">
        <v>76</v>
      </c>
      <c r="E682" s="52">
        <v>1</v>
      </c>
      <c r="F682" s="51" t="s">
        <v>198</v>
      </c>
      <c r="G682" s="51" t="s">
        <v>199</v>
      </c>
      <c r="H682" s="54" t="s">
        <v>200</v>
      </c>
      <c r="I682" s="52">
        <v>8</v>
      </c>
      <c r="J682" s="51" t="s">
        <v>123</v>
      </c>
      <c r="K682" s="52">
        <v>10</v>
      </c>
      <c r="L682" s="52"/>
      <c r="M682" s="52"/>
      <c r="N682" s="53" t="s">
        <v>1777</v>
      </c>
      <c r="O682" s="53" t="s">
        <v>202</v>
      </c>
      <c r="P682" s="52"/>
      <c r="Q682" s="54"/>
      <c r="R682" s="55" t="s">
        <v>203</v>
      </c>
      <c r="S682" s="51" t="s">
        <v>198</v>
      </c>
      <c r="T682" s="53" t="s">
        <v>1161</v>
      </c>
      <c r="U682" s="53" t="s">
        <v>2857</v>
      </c>
      <c r="V682" s="53" t="s">
        <v>1271</v>
      </c>
      <c r="W682" s="312" t="s">
        <v>2867</v>
      </c>
      <c r="X682" s="51" t="s">
        <v>1165</v>
      </c>
      <c r="Y682" s="54" t="s">
        <v>1182</v>
      </c>
      <c r="Z682" s="54" t="s">
        <v>1273</v>
      </c>
      <c r="AA682" s="52" t="s">
        <v>372</v>
      </c>
    </row>
    <row r="683" spans="2:27" ht="80.25" hidden="1" customHeight="1">
      <c r="B683" s="51" t="s">
        <v>73</v>
      </c>
      <c r="C683" s="51" t="s">
        <v>2854</v>
      </c>
      <c r="D683" s="51" t="s">
        <v>76</v>
      </c>
      <c r="E683" s="52">
        <v>1</v>
      </c>
      <c r="F683" s="51" t="s">
        <v>210</v>
      </c>
      <c r="G683" s="51" t="s">
        <v>211</v>
      </c>
      <c r="H683" s="54" t="s">
        <v>200</v>
      </c>
      <c r="I683" s="52">
        <v>9</v>
      </c>
      <c r="J683" s="51" t="s">
        <v>123</v>
      </c>
      <c r="K683" s="52">
        <v>10</v>
      </c>
      <c r="L683" s="52"/>
      <c r="M683" s="52"/>
      <c r="N683" s="53" t="s">
        <v>212</v>
      </c>
      <c r="O683" s="53" t="s">
        <v>213</v>
      </c>
      <c r="P683" s="52"/>
      <c r="Q683" s="54"/>
      <c r="R683" s="53"/>
      <c r="S683" s="54"/>
      <c r="T683" s="53" t="s">
        <v>1170</v>
      </c>
      <c r="U683" s="53" t="s">
        <v>2855</v>
      </c>
      <c r="V683" s="53" t="s">
        <v>351</v>
      </c>
      <c r="W683" s="312" t="s">
        <v>2868</v>
      </c>
      <c r="X683" s="51" t="s">
        <v>1165</v>
      </c>
      <c r="Y683" s="54" t="s">
        <v>372</v>
      </c>
      <c r="Z683" s="54" t="s">
        <v>372</v>
      </c>
      <c r="AA683" s="64" t="s">
        <v>636</v>
      </c>
    </row>
    <row r="684" spans="2:27" ht="80.25" hidden="1" customHeight="1">
      <c r="B684" s="51" t="s">
        <v>73</v>
      </c>
      <c r="C684" s="51" t="s">
        <v>2854</v>
      </c>
      <c r="D684" s="51" t="s">
        <v>76</v>
      </c>
      <c r="E684" s="52">
        <v>1</v>
      </c>
      <c r="F684" s="51" t="s">
        <v>222</v>
      </c>
      <c r="G684" s="51" t="s">
        <v>223</v>
      </c>
      <c r="H684" s="54" t="s">
        <v>224</v>
      </c>
      <c r="I684" s="52">
        <v>10</v>
      </c>
      <c r="J684" s="51" t="s">
        <v>123</v>
      </c>
      <c r="K684" s="52">
        <v>4</v>
      </c>
      <c r="L684" s="52"/>
      <c r="M684" s="52"/>
      <c r="N684" s="53" t="s">
        <v>1780</v>
      </c>
      <c r="O684" s="53" t="s">
        <v>226</v>
      </c>
      <c r="P684" s="52"/>
      <c r="Q684" s="53" t="s">
        <v>1277</v>
      </c>
      <c r="R684" s="55" t="s">
        <v>654</v>
      </c>
      <c r="S684" s="55" t="s">
        <v>229</v>
      </c>
      <c r="T684" s="53" t="s">
        <v>1161</v>
      </c>
      <c r="U684" s="53" t="s">
        <v>2869</v>
      </c>
      <c r="V684" s="53" t="s">
        <v>1278</v>
      </c>
      <c r="W684" s="312" t="s">
        <v>2870</v>
      </c>
      <c r="X684" s="51" t="s">
        <v>1165</v>
      </c>
      <c r="Y684" s="54" t="s">
        <v>1182</v>
      </c>
      <c r="Z684" s="54" t="s">
        <v>1280</v>
      </c>
      <c r="AA684" s="52" t="s">
        <v>372</v>
      </c>
    </row>
    <row r="685" spans="2:27" ht="80.25" hidden="1" customHeight="1">
      <c r="B685" s="51" t="s">
        <v>73</v>
      </c>
      <c r="C685" s="51" t="s">
        <v>2854</v>
      </c>
      <c r="D685" s="51" t="s">
        <v>76</v>
      </c>
      <c r="E685" s="52">
        <v>1</v>
      </c>
      <c r="F685" s="51" t="s">
        <v>293</v>
      </c>
      <c r="G685" s="51" t="s">
        <v>294</v>
      </c>
      <c r="H685" s="54" t="s">
        <v>295</v>
      </c>
      <c r="I685" s="52">
        <v>12</v>
      </c>
      <c r="J685" s="51" t="s">
        <v>123</v>
      </c>
      <c r="K685" s="52">
        <v>4</v>
      </c>
      <c r="L685" s="52"/>
      <c r="M685" s="52"/>
      <c r="N685" s="53" t="s">
        <v>1782</v>
      </c>
      <c r="O685" s="53" t="s">
        <v>297</v>
      </c>
      <c r="P685" s="52"/>
      <c r="Q685" s="53" t="s">
        <v>1285</v>
      </c>
      <c r="R685" s="53" t="s">
        <v>299</v>
      </c>
      <c r="S685" s="54" t="s">
        <v>300</v>
      </c>
      <c r="T685" s="55" t="s">
        <v>1170</v>
      </c>
      <c r="U685" s="55" t="s">
        <v>2855</v>
      </c>
      <c r="V685" s="55" t="s">
        <v>555</v>
      </c>
      <c r="W685" s="346" t="s">
        <v>2871</v>
      </c>
      <c r="X685" s="51" t="s">
        <v>1165</v>
      </c>
      <c r="Y685" s="54" t="s">
        <v>1182</v>
      </c>
      <c r="Z685" s="54" t="s">
        <v>1288</v>
      </c>
      <c r="AA685" s="52" t="s">
        <v>372</v>
      </c>
    </row>
    <row r="686" spans="2:27" ht="80.25" hidden="1" customHeight="1">
      <c r="B686" s="51" t="s">
        <v>73</v>
      </c>
      <c r="C686" s="51" t="s">
        <v>2854</v>
      </c>
      <c r="D686" s="51" t="s">
        <v>76</v>
      </c>
      <c r="E686" s="52">
        <v>1</v>
      </c>
      <c r="F686" s="51" t="s">
        <v>304</v>
      </c>
      <c r="G686" s="51" t="s">
        <v>305</v>
      </c>
      <c r="H686" s="54" t="s">
        <v>295</v>
      </c>
      <c r="I686" s="52">
        <v>13</v>
      </c>
      <c r="J686" s="51" t="s">
        <v>123</v>
      </c>
      <c r="K686" s="52">
        <v>4</v>
      </c>
      <c r="L686" s="52"/>
      <c r="M686" s="52"/>
      <c r="N686" s="53" t="s">
        <v>306</v>
      </c>
      <c r="O686" s="53" t="s">
        <v>307</v>
      </c>
      <c r="P686" s="52"/>
      <c r="Q686" s="53" t="s">
        <v>1784</v>
      </c>
      <c r="R686" s="55" t="s">
        <v>203</v>
      </c>
      <c r="S686" s="51" t="s">
        <v>309</v>
      </c>
      <c r="T686" s="55" t="s">
        <v>1785</v>
      </c>
      <c r="U686" s="55" t="s">
        <v>2872</v>
      </c>
      <c r="V686" s="55" t="s">
        <v>1787</v>
      </c>
      <c r="W686" s="346" t="s">
        <v>2873</v>
      </c>
      <c r="X686" s="51" t="s">
        <v>1165</v>
      </c>
      <c r="Y686" s="65" t="s">
        <v>1789</v>
      </c>
      <c r="Z686" s="65" t="s">
        <v>1790</v>
      </c>
      <c r="AA686" s="52" t="s">
        <v>1791</v>
      </c>
    </row>
    <row r="687" spans="2:27" ht="80.25" hidden="1" customHeight="1">
      <c r="B687" s="51" t="s">
        <v>73</v>
      </c>
      <c r="C687" s="51" t="s">
        <v>2854</v>
      </c>
      <c r="D687" s="51" t="s">
        <v>76</v>
      </c>
      <c r="E687" s="52">
        <v>1</v>
      </c>
      <c r="F687" s="51" t="s">
        <v>317</v>
      </c>
      <c r="G687" s="51" t="s">
        <v>318</v>
      </c>
      <c r="H687" s="51" t="s">
        <v>319</v>
      </c>
      <c r="I687" s="52">
        <v>14</v>
      </c>
      <c r="J687" s="51" t="s">
        <v>123</v>
      </c>
      <c r="K687" s="52">
        <v>2</v>
      </c>
      <c r="L687" s="52"/>
      <c r="M687" s="52"/>
      <c r="N687" s="53" t="s">
        <v>320</v>
      </c>
      <c r="O687" s="53" t="s">
        <v>321</v>
      </c>
      <c r="P687" s="52"/>
      <c r="Q687" s="53" t="s">
        <v>463</v>
      </c>
      <c r="R687" s="55"/>
      <c r="S687" s="51"/>
      <c r="T687" s="53" t="s">
        <v>1161</v>
      </c>
      <c r="U687" s="53" t="s">
        <v>2869</v>
      </c>
      <c r="V687" s="84" t="s">
        <v>351</v>
      </c>
      <c r="W687" s="314" t="s">
        <v>2874</v>
      </c>
      <c r="X687" s="51" t="s">
        <v>1165</v>
      </c>
      <c r="Y687" s="54" t="s">
        <v>372</v>
      </c>
      <c r="Z687" s="54" t="s">
        <v>372</v>
      </c>
      <c r="AA687" s="52" t="s">
        <v>1793</v>
      </c>
    </row>
    <row r="688" spans="2:27" ht="80.25" hidden="1" customHeight="1">
      <c r="B688" s="51" t="s">
        <v>73</v>
      </c>
      <c r="C688" s="51" t="s">
        <v>2854</v>
      </c>
      <c r="D688" s="51" t="s">
        <v>76</v>
      </c>
      <c r="E688" s="52">
        <v>1</v>
      </c>
      <c r="F688" s="51" t="s">
        <v>326</v>
      </c>
      <c r="G688" s="51" t="s">
        <v>327</v>
      </c>
      <c r="H688" s="51" t="s">
        <v>328</v>
      </c>
      <c r="I688" s="52">
        <v>15</v>
      </c>
      <c r="J688" s="51" t="s">
        <v>123</v>
      </c>
      <c r="K688" s="52">
        <v>10</v>
      </c>
      <c r="L688" s="52"/>
      <c r="M688" s="52"/>
      <c r="N688" s="53" t="s">
        <v>329</v>
      </c>
      <c r="O688" s="53" t="s">
        <v>361</v>
      </c>
      <c r="P688" s="52" t="s">
        <v>126</v>
      </c>
      <c r="Q688" s="54"/>
      <c r="R688" s="55" t="s">
        <v>275</v>
      </c>
      <c r="S688" s="51" t="s">
        <v>803</v>
      </c>
      <c r="T688" s="53" t="s">
        <v>1161</v>
      </c>
      <c r="U688" s="53" t="s">
        <v>2869</v>
      </c>
      <c r="V688" s="53" t="s">
        <v>804</v>
      </c>
      <c r="W688" s="312" t="s">
        <v>2875</v>
      </c>
      <c r="X688" s="51" t="s">
        <v>372</v>
      </c>
      <c r="Y688" s="54" t="s">
        <v>372</v>
      </c>
      <c r="Z688" s="54" t="s">
        <v>372</v>
      </c>
      <c r="AA688" s="52" t="s">
        <v>372</v>
      </c>
    </row>
    <row r="689" spans="2:27" ht="80.25" hidden="1" customHeight="1">
      <c r="B689" s="51" t="s">
        <v>73</v>
      </c>
      <c r="C689" s="51" t="s">
        <v>2854</v>
      </c>
      <c r="D689" s="51" t="s">
        <v>76</v>
      </c>
      <c r="E689" s="52">
        <v>1</v>
      </c>
      <c r="F689" s="51" t="s">
        <v>333</v>
      </c>
      <c r="G689" s="51" t="s">
        <v>334</v>
      </c>
      <c r="H689" s="51" t="s">
        <v>335</v>
      </c>
      <c r="I689" s="52">
        <v>16</v>
      </c>
      <c r="J689" s="51" t="s">
        <v>336</v>
      </c>
      <c r="K689" s="52">
        <v>23</v>
      </c>
      <c r="L689" s="52"/>
      <c r="M689" s="52"/>
      <c r="N689" s="53" t="s">
        <v>337</v>
      </c>
      <c r="O689" s="53" t="s">
        <v>338</v>
      </c>
      <c r="P689" s="52"/>
      <c r="Q689" s="54"/>
      <c r="R689" s="55"/>
      <c r="S689" s="51"/>
      <c r="T689" s="53" t="s">
        <v>1161</v>
      </c>
      <c r="U689" s="53" t="s">
        <v>2869</v>
      </c>
      <c r="V689" s="53" t="s">
        <v>351</v>
      </c>
      <c r="W689" s="312" t="s">
        <v>2876</v>
      </c>
      <c r="X689" s="51" t="s">
        <v>372</v>
      </c>
      <c r="Y689" s="54" t="s">
        <v>372</v>
      </c>
      <c r="Z689" s="54" t="s">
        <v>372</v>
      </c>
      <c r="AA689" s="52" t="s">
        <v>372</v>
      </c>
    </row>
    <row r="690" spans="2:27" ht="108" hidden="1" customHeight="1">
      <c r="B690" s="51" t="s">
        <v>78</v>
      </c>
      <c r="C690" s="51" t="s">
        <v>2877</v>
      </c>
      <c r="D690" s="51" t="s">
        <v>79</v>
      </c>
      <c r="E690" s="52">
        <v>1</v>
      </c>
      <c r="F690" s="51" t="s">
        <v>120</v>
      </c>
      <c r="G690" s="51" t="s">
        <v>121</v>
      </c>
      <c r="H690" s="51" t="s">
        <v>122</v>
      </c>
      <c r="I690" s="52">
        <v>1</v>
      </c>
      <c r="J690" s="51" t="s">
        <v>123</v>
      </c>
      <c r="K690" s="52">
        <v>4</v>
      </c>
      <c r="L690" s="52"/>
      <c r="M690" s="52"/>
      <c r="N690" s="321" t="s">
        <v>124</v>
      </c>
      <c r="O690" s="53" t="s">
        <v>125</v>
      </c>
      <c r="P690" s="52" t="s">
        <v>126</v>
      </c>
      <c r="Q690" s="54"/>
      <c r="R690" s="55" t="s">
        <v>2878</v>
      </c>
      <c r="S690" s="55" t="s">
        <v>2879</v>
      </c>
      <c r="T690" s="53" t="s">
        <v>2880</v>
      </c>
      <c r="U690" s="53" t="s">
        <v>2881</v>
      </c>
      <c r="V690" s="53" t="s">
        <v>369</v>
      </c>
      <c r="W690" s="77" t="s">
        <v>2882</v>
      </c>
      <c r="X690" s="51" t="s">
        <v>2883</v>
      </c>
      <c r="Y690" s="54" t="s">
        <v>372</v>
      </c>
      <c r="Z690" s="54" t="s">
        <v>372</v>
      </c>
      <c r="AA690" s="52" t="s">
        <v>373</v>
      </c>
    </row>
    <row r="691" spans="2:27" ht="80.25" hidden="1" customHeight="1">
      <c r="B691" s="51" t="s">
        <v>78</v>
      </c>
      <c r="C691" s="51" t="s">
        <v>2877</v>
      </c>
      <c r="D691" s="51" t="s">
        <v>79</v>
      </c>
      <c r="E691" s="52">
        <v>1</v>
      </c>
      <c r="F691" s="51" t="s">
        <v>136</v>
      </c>
      <c r="G691" s="51" t="s">
        <v>137</v>
      </c>
      <c r="H691" s="51" t="s">
        <v>122</v>
      </c>
      <c r="I691" s="52">
        <v>2</v>
      </c>
      <c r="J691" s="51" t="s">
        <v>123</v>
      </c>
      <c r="K691" s="52">
        <v>30</v>
      </c>
      <c r="L691" s="52"/>
      <c r="M691" s="52"/>
      <c r="N691" s="53" t="s">
        <v>138</v>
      </c>
      <c r="O691" s="53" t="s">
        <v>139</v>
      </c>
      <c r="P691" s="52" t="s">
        <v>126</v>
      </c>
      <c r="Q691" s="51"/>
      <c r="R691" s="55" t="s">
        <v>2878</v>
      </c>
      <c r="S691" s="55" t="s">
        <v>2879</v>
      </c>
      <c r="T691" s="53" t="s">
        <v>2884</v>
      </c>
      <c r="U691" s="53" t="s">
        <v>2885</v>
      </c>
      <c r="V691" s="53" t="s">
        <v>2273</v>
      </c>
      <c r="W691" s="77" t="s">
        <v>2886</v>
      </c>
      <c r="X691" s="51" t="s">
        <v>2883</v>
      </c>
      <c r="Y691" s="53" t="s">
        <v>2887</v>
      </c>
      <c r="Z691" s="54" t="s">
        <v>2888</v>
      </c>
      <c r="AA691" s="52" t="s">
        <v>372</v>
      </c>
    </row>
    <row r="692" spans="2:27" ht="80.25" hidden="1" customHeight="1">
      <c r="B692" s="51" t="s">
        <v>78</v>
      </c>
      <c r="C692" s="51" t="s">
        <v>2877</v>
      </c>
      <c r="D692" s="51" t="s">
        <v>79</v>
      </c>
      <c r="E692" s="52">
        <v>1</v>
      </c>
      <c r="F692" s="51" t="s">
        <v>198</v>
      </c>
      <c r="G692" s="51" t="s">
        <v>199</v>
      </c>
      <c r="H692" s="54" t="s">
        <v>200</v>
      </c>
      <c r="I692" s="52">
        <v>3</v>
      </c>
      <c r="J692" s="51" t="s">
        <v>123</v>
      </c>
      <c r="K692" s="52">
        <v>10</v>
      </c>
      <c r="L692" s="52"/>
      <c r="M692" s="52"/>
      <c r="N692" s="53" t="s">
        <v>201</v>
      </c>
      <c r="O692" s="53" t="s">
        <v>202</v>
      </c>
      <c r="P692" s="52" t="s">
        <v>126</v>
      </c>
      <c r="Q692" s="51"/>
      <c r="R692" s="55" t="s">
        <v>203</v>
      </c>
      <c r="S692" s="51" t="s">
        <v>198</v>
      </c>
      <c r="T692" s="53" t="s">
        <v>2884</v>
      </c>
      <c r="U692" s="53" t="s">
        <v>2885</v>
      </c>
      <c r="V692" s="51" t="s">
        <v>630</v>
      </c>
      <c r="W692" s="77" t="s">
        <v>2889</v>
      </c>
      <c r="X692" s="51" t="s">
        <v>2883</v>
      </c>
      <c r="Y692" s="53" t="s">
        <v>2887</v>
      </c>
      <c r="Z692" s="53" t="s">
        <v>630</v>
      </c>
      <c r="AA692" s="52" t="s">
        <v>372</v>
      </c>
    </row>
    <row r="693" spans="2:27" ht="80.25" hidden="1" customHeight="1">
      <c r="B693" s="51" t="s">
        <v>78</v>
      </c>
      <c r="C693" s="51" t="s">
        <v>2877</v>
      </c>
      <c r="D693" s="51" t="s">
        <v>79</v>
      </c>
      <c r="E693" s="52">
        <v>1</v>
      </c>
      <c r="F693" s="51" t="s">
        <v>148</v>
      </c>
      <c r="G693" s="51" t="s">
        <v>149</v>
      </c>
      <c r="H693" s="54" t="s">
        <v>150</v>
      </c>
      <c r="I693" s="52">
        <v>4</v>
      </c>
      <c r="J693" s="51" t="s">
        <v>123</v>
      </c>
      <c r="K693" s="52">
        <v>4</v>
      </c>
      <c r="L693" s="52"/>
      <c r="M693" s="52"/>
      <c r="N693" s="53" t="s">
        <v>151</v>
      </c>
      <c r="O693" s="53" t="s">
        <v>152</v>
      </c>
      <c r="P693" s="52"/>
      <c r="Q693" s="53" t="s">
        <v>586</v>
      </c>
      <c r="R693" s="55"/>
      <c r="S693" s="51"/>
      <c r="T693" s="53" t="s">
        <v>2880</v>
      </c>
      <c r="U693" s="53" t="s">
        <v>2881</v>
      </c>
      <c r="V693" s="53" t="s">
        <v>369</v>
      </c>
      <c r="W693" s="346" t="s">
        <v>2890</v>
      </c>
      <c r="X693" s="51" t="s">
        <v>372</v>
      </c>
      <c r="Y693" s="51" t="s">
        <v>372</v>
      </c>
      <c r="Z693" s="51" t="s">
        <v>372</v>
      </c>
      <c r="AA693" s="52" t="s">
        <v>372</v>
      </c>
    </row>
    <row r="694" spans="2:27" ht="80.25" hidden="1" customHeight="1">
      <c r="B694" s="51" t="s">
        <v>78</v>
      </c>
      <c r="C694" s="51" t="s">
        <v>2877</v>
      </c>
      <c r="D694" s="51" t="s">
        <v>79</v>
      </c>
      <c r="E694" s="52">
        <v>1</v>
      </c>
      <c r="F694" s="51" t="s">
        <v>155</v>
      </c>
      <c r="G694" s="51" t="s">
        <v>156</v>
      </c>
      <c r="H694" s="54" t="s">
        <v>150</v>
      </c>
      <c r="I694" s="52">
        <v>5</v>
      </c>
      <c r="J694" s="51" t="s">
        <v>123</v>
      </c>
      <c r="K694" s="52">
        <v>4</v>
      </c>
      <c r="L694" s="52"/>
      <c r="M694" s="52"/>
      <c r="N694" s="53" t="s">
        <v>157</v>
      </c>
      <c r="O694" s="53" t="s">
        <v>158</v>
      </c>
      <c r="P694" s="52"/>
      <c r="Q694" s="55" t="s">
        <v>2766</v>
      </c>
      <c r="R694" s="55" t="s">
        <v>160</v>
      </c>
      <c r="S694" s="55" t="s">
        <v>161</v>
      </c>
      <c r="T694" s="53" t="s">
        <v>2884</v>
      </c>
      <c r="U694" s="53" t="s">
        <v>2885</v>
      </c>
      <c r="V694" s="53" t="s">
        <v>590</v>
      </c>
      <c r="W694" s="314" t="s">
        <v>2891</v>
      </c>
      <c r="X694" s="51" t="s">
        <v>2883</v>
      </c>
      <c r="Y694" s="53" t="s">
        <v>2887</v>
      </c>
      <c r="Z694" s="53" t="s">
        <v>590</v>
      </c>
      <c r="AA694" s="52" t="s">
        <v>372</v>
      </c>
    </row>
    <row r="695" spans="2:27" ht="80.25" hidden="1" customHeight="1">
      <c r="B695" s="51" t="s">
        <v>78</v>
      </c>
      <c r="C695" s="51" t="s">
        <v>2877</v>
      </c>
      <c r="D695" s="51" t="s">
        <v>79</v>
      </c>
      <c r="E695" s="52">
        <v>1</v>
      </c>
      <c r="F695" s="51" t="s">
        <v>167</v>
      </c>
      <c r="G695" s="51" t="s">
        <v>168</v>
      </c>
      <c r="H695" s="54" t="s">
        <v>150</v>
      </c>
      <c r="I695" s="52">
        <v>6</v>
      </c>
      <c r="J695" s="51" t="s">
        <v>123</v>
      </c>
      <c r="K695" s="52">
        <v>4</v>
      </c>
      <c r="L695" s="52"/>
      <c r="M695" s="52"/>
      <c r="N695" s="53" t="s">
        <v>169</v>
      </c>
      <c r="O695" s="53" t="s">
        <v>170</v>
      </c>
      <c r="P695" s="52"/>
      <c r="Q695" s="55" t="s">
        <v>2768</v>
      </c>
      <c r="R695" s="55" t="s">
        <v>160</v>
      </c>
      <c r="S695" s="55" t="s">
        <v>172</v>
      </c>
      <c r="T695" s="53" t="s">
        <v>2884</v>
      </c>
      <c r="U695" s="53" t="s">
        <v>2885</v>
      </c>
      <c r="V695" s="53" t="s">
        <v>593</v>
      </c>
      <c r="W695" s="314" t="s">
        <v>2892</v>
      </c>
      <c r="X695" s="51" t="s">
        <v>2883</v>
      </c>
      <c r="Y695" s="53" t="s">
        <v>2887</v>
      </c>
      <c r="Z695" s="53" t="s">
        <v>593</v>
      </c>
      <c r="AA695" s="52" t="s">
        <v>372</v>
      </c>
    </row>
    <row r="696" spans="2:27" ht="80.25" hidden="1" customHeight="1">
      <c r="B696" s="51" t="s">
        <v>78</v>
      </c>
      <c r="C696" s="51" t="s">
        <v>2877</v>
      </c>
      <c r="D696" s="51" t="s">
        <v>79</v>
      </c>
      <c r="E696" s="52">
        <v>1</v>
      </c>
      <c r="F696" s="51" t="s">
        <v>176</v>
      </c>
      <c r="G696" s="51" t="s">
        <v>177</v>
      </c>
      <c r="H696" s="54" t="s">
        <v>150</v>
      </c>
      <c r="I696" s="52">
        <v>7</v>
      </c>
      <c r="J696" s="51" t="s">
        <v>123</v>
      </c>
      <c r="K696" s="52">
        <v>4</v>
      </c>
      <c r="L696" s="52"/>
      <c r="M696" s="52"/>
      <c r="N696" s="72" t="s">
        <v>2160</v>
      </c>
      <c r="O696" s="53" t="s">
        <v>179</v>
      </c>
      <c r="P696" s="52"/>
      <c r="Q696" s="51"/>
      <c r="R696" s="55" t="s">
        <v>2893</v>
      </c>
      <c r="S696" s="55" t="s">
        <v>181</v>
      </c>
      <c r="T696" s="53" t="s">
        <v>2880</v>
      </c>
      <c r="U696" s="53" t="s">
        <v>2881</v>
      </c>
      <c r="V696" s="53" t="s">
        <v>369</v>
      </c>
      <c r="W696" s="77" t="s">
        <v>2894</v>
      </c>
      <c r="X696" s="51" t="s">
        <v>2883</v>
      </c>
      <c r="Y696" s="62" t="s">
        <v>372</v>
      </c>
      <c r="Z696" s="62" t="s">
        <v>372</v>
      </c>
      <c r="AA696" s="52" t="s">
        <v>373</v>
      </c>
    </row>
    <row r="697" spans="2:27" ht="80.25" hidden="1" customHeight="1">
      <c r="B697" s="51" t="s">
        <v>78</v>
      </c>
      <c r="C697" s="51" t="s">
        <v>2877</v>
      </c>
      <c r="D697" s="51" t="s">
        <v>79</v>
      </c>
      <c r="E697" s="52">
        <v>1</v>
      </c>
      <c r="F697" s="51" t="s">
        <v>187</v>
      </c>
      <c r="G697" s="51" t="s">
        <v>188</v>
      </c>
      <c r="H697" s="54" t="s">
        <v>150</v>
      </c>
      <c r="I697" s="52">
        <v>8</v>
      </c>
      <c r="J697" s="51" t="s">
        <v>123</v>
      </c>
      <c r="K697" s="52">
        <v>30</v>
      </c>
      <c r="L697" s="52"/>
      <c r="M697" s="52"/>
      <c r="N697" s="53" t="s">
        <v>2895</v>
      </c>
      <c r="O697" s="53" t="s">
        <v>190</v>
      </c>
      <c r="P697" s="52"/>
      <c r="Q697" s="51"/>
      <c r="R697" s="55" t="s">
        <v>2893</v>
      </c>
      <c r="S697" s="55" t="s">
        <v>181</v>
      </c>
      <c r="T697" s="53" t="s">
        <v>2896</v>
      </c>
      <c r="U697" s="53" t="s">
        <v>2897</v>
      </c>
      <c r="V697" s="53" t="s">
        <v>2898</v>
      </c>
      <c r="W697" s="77" t="s">
        <v>2899</v>
      </c>
      <c r="X697" s="55" t="s">
        <v>2166</v>
      </c>
      <c r="Y697" s="53" t="s">
        <v>2167</v>
      </c>
      <c r="Z697" s="53" t="s">
        <v>2168</v>
      </c>
      <c r="AA697" s="52" t="s">
        <v>372</v>
      </c>
    </row>
    <row r="698" spans="2:27" ht="80.25" hidden="1" customHeight="1">
      <c r="B698" s="51" t="s">
        <v>78</v>
      </c>
      <c r="C698" s="51" t="s">
        <v>2877</v>
      </c>
      <c r="D698" s="51" t="s">
        <v>79</v>
      </c>
      <c r="E698" s="52">
        <v>1</v>
      </c>
      <c r="F698" s="51" t="s">
        <v>210</v>
      </c>
      <c r="G698" s="51" t="s">
        <v>211</v>
      </c>
      <c r="H698" s="54" t="s">
        <v>200</v>
      </c>
      <c r="I698" s="52">
        <v>9</v>
      </c>
      <c r="J698" s="51" t="s">
        <v>123</v>
      </c>
      <c r="K698" s="52">
        <v>10</v>
      </c>
      <c r="L698" s="52"/>
      <c r="M698" s="52"/>
      <c r="N698" s="53" t="s">
        <v>212</v>
      </c>
      <c r="O698" s="53" t="s">
        <v>213</v>
      </c>
      <c r="P698" s="52"/>
      <c r="Q698" s="51"/>
      <c r="R698" s="55" t="s">
        <v>2900</v>
      </c>
      <c r="S698" s="55" t="s">
        <v>2901</v>
      </c>
      <c r="T698" s="53" t="s">
        <v>2884</v>
      </c>
      <c r="U698" s="53" t="s">
        <v>2885</v>
      </c>
      <c r="V698" s="51" t="s">
        <v>2902</v>
      </c>
      <c r="W698" s="77" t="s">
        <v>2903</v>
      </c>
      <c r="X698" s="51" t="s">
        <v>2883</v>
      </c>
      <c r="Y698" s="53" t="s">
        <v>2887</v>
      </c>
      <c r="Z698" s="53" t="s">
        <v>2902</v>
      </c>
      <c r="AA698" s="52" t="s">
        <v>372</v>
      </c>
    </row>
    <row r="699" spans="2:27" ht="80.25" hidden="1" customHeight="1">
      <c r="B699" s="51" t="s">
        <v>78</v>
      </c>
      <c r="C699" s="51" t="s">
        <v>2877</v>
      </c>
      <c r="D699" s="51" t="s">
        <v>79</v>
      </c>
      <c r="E699" s="52">
        <v>1</v>
      </c>
      <c r="F699" s="51" t="s">
        <v>222</v>
      </c>
      <c r="G699" s="51" t="s">
        <v>223</v>
      </c>
      <c r="H699" s="54" t="s">
        <v>224</v>
      </c>
      <c r="I699" s="52">
        <v>10</v>
      </c>
      <c r="J699" s="51" t="s">
        <v>123</v>
      </c>
      <c r="K699" s="52">
        <v>4</v>
      </c>
      <c r="L699" s="52"/>
      <c r="M699" s="52"/>
      <c r="N699" s="53" t="s">
        <v>225</v>
      </c>
      <c r="O699" s="53" t="s">
        <v>226</v>
      </c>
      <c r="P699" s="52"/>
      <c r="Q699" s="53" t="s">
        <v>1277</v>
      </c>
      <c r="R699" s="55" t="s">
        <v>2904</v>
      </c>
      <c r="S699" s="77" t="s">
        <v>864</v>
      </c>
      <c r="T699" s="53" t="s">
        <v>2905</v>
      </c>
      <c r="U699" s="53" t="s">
        <v>2906</v>
      </c>
      <c r="V699" s="55" t="s">
        <v>2907</v>
      </c>
      <c r="W699" s="77" t="s">
        <v>2908</v>
      </c>
      <c r="X699" s="51" t="s">
        <v>2883</v>
      </c>
      <c r="Y699" s="53" t="s">
        <v>2909</v>
      </c>
      <c r="Z699" s="53" t="s">
        <v>2910</v>
      </c>
      <c r="AA699" s="52" t="s">
        <v>372</v>
      </c>
    </row>
    <row r="700" spans="2:27" ht="80.25" hidden="1" customHeight="1">
      <c r="B700" s="51" t="s">
        <v>78</v>
      </c>
      <c r="C700" s="51" t="s">
        <v>2877</v>
      </c>
      <c r="D700" s="51" t="s">
        <v>79</v>
      </c>
      <c r="E700" s="52">
        <v>1</v>
      </c>
      <c r="F700" s="51" t="s">
        <v>2911</v>
      </c>
      <c r="G700" s="51" t="s">
        <v>2912</v>
      </c>
      <c r="H700" s="54" t="s">
        <v>2913</v>
      </c>
      <c r="I700" s="52">
        <v>11</v>
      </c>
      <c r="J700" s="51" t="s">
        <v>250</v>
      </c>
      <c r="K700" s="52">
        <v>23</v>
      </c>
      <c r="L700" s="52">
        <v>6</v>
      </c>
      <c r="M700" s="52"/>
      <c r="N700" s="53" t="s">
        <v>2914</v>
      </c>
      <c r="O700" s="53" t="s">
        <v>2915</v>
      </c>
      <c r="P700" s="52"/>
      <c r="Q700" s="54"/>
      <c r="R700" s="55" t="s">
        <v>2916</v>
      </c>
      <c r="S700" s="51" t="s">
        <v>2917</v>
      </c>
      <c r="T700" s="53" t="s">
        <v>2905</v>
      </c>
      <c r="U700" s="53" t="s">
        <v>2906</v>
      </c>
      <c r="V700" s="55" t="s">
        <v>2918</v>
      </c>
      <c r="W700" s="77" t="s">
        <v>2919</v>
      </c>
      <c r="X700" s="51" t="s">
        <v>2883</v>
      </c>
      <c r="Y700" s="53" t="s">
        <v>2920</v>
      </c>
      <c r="Z700" s="54" t="s">
        <v>677</v>
      </c>
      <c r="AA700" s="52" t="s">
        <v>372</v>
      </c>
    </row>
    <row r="701" spans="2:27" ht="80.25" hidden="1" customHeight="1">
      <c r="B701" s="51" t="s">
        <v>78</v>
      </c>
      <c r="C701" s="51" t="s">
        <v>2877</v>
      </c>
      <c r="D701" s="51" t="s">
        <v>79</v>
      </c>
      <c r="E701" s="52">
        <v>1</v>
      </c>
      <c r="F701" s="51" t="s">
        <v>1612</v>
      </c>
      <c r="G701" s="51" t="s">
        <v>1613</v>
      </c>
      <c r="H701" s="54" t="s">
        <v>249</v>
      </c>
      <c r="I701" s="52">
        <v>12</v>
      </c>
      <c r="J701" s="51" t="s">
        <v>250</v>
      </c>
      <c r="K701" s="52">
        <v>23</v>
      </c>
      <c r="L701" s="52">
        <v>6</v>
      </c>
      <c r="M701" s="52"/>
      <c r="N701" s="53" t="s">
        <v>1627</v>
      </c>
      <c r="O701" s="53" t="s">
        <v>1615</v>
      </c>
      <c r="P701" s="52"/>
      <c r="Q701" s="54"/>
      <c r="R701" s="53" t="s">
        <v>275</v>
      </c>
      <c r="S701" s="53" t="s">
        <v>276</v>
      </c>
      <c r="T701" s="53" t="s">
        <v>2905</v>
      </c>
      <c r="U701" s="53" t="s">
        <v>2906</v>
      </c>
      <c r="V701" s="55" t="s">
        <v>2918</v>
      </c>
      <c r="W701" s="77" t="s">
        <v>2921</v>
      </c>
      <c r="X701" s="51" t="s">
        <v>2883</v>
      </c>
      <c r="Y701" s="54" t="s">
        <v>2909</v>
      </c>
      <c r="Z701" s="54" t="s">
        <v>652</v>
      </c>
      <c r="AA701" s="52" t="s">
        <v>372</v>
      </c>
    </row>
    <row r="702" spans="2:27" ht="80.25" hidden="1" customHeight="1">
      <c r="B702" s="51" t="s">
        <v>78</v>
      </c>
      <c r="C702" s="51" t="s">
        <v>2877</v>
      </c>
      <c r="D702" s="51" t="s">
        <v>79</v>
      </c>
      <c r="E702" s="52">
        <v>1</v>
      </c>
      <c r="F702" s="51" t="s">
        <v>2922</v>
      </c>
      <c r="G702" s="51" t="s">
        <v>2923</v>
      </c>
      <c r="H702" s="51" t="s">
        <v>2913</v>
      </c>
      <c r="I702" s="52">
        <v>13</v>
      </c>
      <c r="J702" s="51" t="s">
        <v>250</v>
      </c>
      <c r="K702" s="52">
        <v>23</v>
      </c>
      <c r="L702" s="52">
        <v>6</v>
      </c>
      <c r="M702" s="52"/>
      <c r="N702" s="53" t="s">
        <v>2924</v>
      </c>
      <c r="O702" s="53" t="s">
        <v>2925</v>
      </c>
      <c r="P702" s="52"/>
      <c r="Q702" s="54"/>
      <c r="R702" s="55" t="s">
        <v>2916</v>
      </c>
      <c r="S702" s="51" t="s">
        <v>2926</v>
      </c>
      <c r="T702" s="52"/>
      <c r="U702" s="52"/>
      <c r="V702" s="52"/>
      <c r="W702" s="51"/>
      <c r="X702" s="51" t="s">
        <v>1682</v>
      </c>
      <c r="Y702" s="51" t="s">
        <v>1682</v>
      </c>
      <c r="Z702" s="51" t="s">
        <v>1682</v>
      </c>
      <c r="AA702" s="52" t="s">
        <v>1682</v>
      </c>
    </row>
    <row r="703" spans="2:27" ht="80.25" hidden="1" customHeight="1">
      <c r="B703" s="51" t="s">
        <v>78</v>
      </c>
      <c r="C703" s="51" t="s">
        <v>2877</v>
      </c>
      <c r="D703" s="51" t="s">
        <v>79</v>
      </c>
      <c r="E703" s="52">
        <v>1</v>
      </c>
      <c r="F703" s="51" t="s">
        <v>2181</v>
      </c>
      <c r="G703" s="51" t="s">
        <v>2182</v>
      </c>
      <c r="H703" s="54" t="s">
        <v>746</v>
      </c>
      <c r="I703" s="52">
        <v>14</v>
      </c>
      <c r="J703" s="51" t="s">
        <v>123</v>
      </c>
      <c r="K703" s="52">
        <v>4</v>
      </c>
      <c r="L703" s="52"/>
      <c r="M703" s="52"/>
      <c r="N703" s="53" t="s">
        <v>2183</v>
      </c>
      <c r="O703" s="53" t="s">
        <v>2184</v>
      </c>
      <c r="P703" s="52"/>
      <c r="Q703" s="53" t="s">
        <v>1681</v>
      </c>
      <c r="R703" s="53"/>
      <c r="S703" s="54"/>
      <c r="T703" s="51"/>
      <c r="U703" s="54"/>
      <c r="V703" s="54"/>
      <c r="W703" s="51"/>
      <c r="X703" s="51" t="s">
        <v>1682</v>
      </c>
      <c r="Y703" s="51" t="s">
        <v>1682</v>
      </c>
      <c r="Z703" s="51" t="s">
        <v>1682</v>
      </c>
      <c r="AA703" s="60" t="s">
        <v>1682</v>
      </c>
    </row>
    <row r="704" spans="2:27" ht="80.25" hidden="1" customHeight="1">
      <c r="B704" s="51" t="s">
        <v>78</v>
      </c>
      <c r="C704" s="51" t="s">
        <v>2877</v>
      </c>
      <c r="D704" s="51" t="s">
        <v>79</v>
      </c>
      <c r="E704" s="52">
        <v>1</v>
      </c>
      <c r="F704" s="51" t="s">
        <v>2185</v>
      </c>
      <c r="G704" s="51" t="s">
        <v>2186</v>
      </c>
      <c r="H704" s="54" t="s">
        <v>746</v>
      </c>
      <c r="I704" s="52">
        <v>15</v>
      </c>
      <c r="J704" s="51" t="s">
        <v>123</v>
      </c>
      <c r="K704" s="52">
        <v>20</v>
      </c>
      <c r="L704" s="52"/>
      <c r="M704" s="52"/>
      <c r="N704" s="53" t="s">
        <v>1685</v>
      </c>
      <c r="O704" s="53" t="s">
        <v>2187</v>
      </c>
      <c r="P704" s="52"/>
      <c r="Q704" s="53" t="s">
        <v>1687</v>
      </c>
      <c r="R704" s="53"/>
      <c r="S704" s="54"/>
      <c r="T704" s="51"/>
      <c r="U704" s="54"/>
      <c r="V704" s="54"/>
      <c r="W704" s="51"/>
      <c r="X704" s="51" t="s">
        <v>1682</v>
      </c>
      <c r="Y704" s="51" t="s">
        <v>1682</v>
      </c>
      <c r="Z704" s="51" t="s">
        <v>1682</v>
      </c>
      <c r="AA704" s="60" t="s">
        <v>1682</v>
      </c>
    </row>
    <row r="705" spans="2:27" ht="80.25" hidden="1" customHeight="1">
      <c r="B705" s="51" t="s">
        <v>78</v>
      </c>
      <c r="C705" s="51" t="s">
        <v>2877</v>
      </c>
      <c r="D705" s="51" t="s">
        <v>79</v>
      </c>
      <c r="E705" s="52">
        <v>1</v>
      </c>
      <c r="F705" s="51" t="s">
        <v>2188</v>
      </c>
      <c r="G705" s="51" t="s">
        <v>2189</v>
      </c>
      <c r="H705" s="54" t="s">
        <v>767</v>
      </c>
      <c r="I705" s="52">
        <v>16</v>
      </c>
      <c r="J705" s="51" t="s">
        <v>250</v>
      </c>
      <c r="K705" s="52">
        <v>23</v>
      </c>
      <c r="L705" s="52">
        <v>6</v>
      </c>
      <c r="M705" s="52"/>
      <c r="N705" s="53" t="s">
        <v>2190</v>
      </c>
      <c r="O705" s="53" t="s">
        <v>2191</v>
      </c>
      <c r="P705" s="52"/>
      <c r="Q705" s="54"/>
      <c r="R705" s="53"/>
      <c r="S705" s="54"/>
      <c r="T705" s="51"/>
      <c r="U705" s="54"/>
      <c r="V705" s="54"/>
      <c r="W705" s="51"/>
      <c r="X705" s="51" t="s">
        <v>1682</v>
      </c>
      <c r="Y705" s="51" t="s">
        <v>1682</v>
      </c>
      <c r="Z705" s="51" t="s">
        <v>1682</v>
      </c>
      <c r="AA705" s="60" t="s">
        <v>1682</v>
      </c>
    </row>
    <row r="706" spans="2:27" ht="80.25" hidden="1" customHeight="1">
      <c r="B706" s="51" t="s">
        <v>78</v>
      </c>
      <c r="C706" s="51" t="s">
        <v>2877</v>
      </c>
      <c r="D706" s="51" t="s">
        <v>79</v>
      </c>
      <c r="E706" s="52">
        <v>1</v>
      </c>
      <c r="F706" s="51" t="s">
        <v>2192</v>
      </c>
      <c r="G706" s="51" t="s">
        <v>2193</v>
      </c>
      <c r="H706" s="54" t="s">
        <v>767</v>
      </c>
      <c r="I706" s="52">
        <v>17</v>
      </c>
      <c r="J706" s="51" t="s">
        <v>250</v>
      </c>
      <c r="K706" s="52">
        <v>23</v>
      </c>
      <c r="L706" s="52">
        <v>6</v>
      </c>
      <c r="M706" s="52"/>
      <c r="N706" s="53" t="s">
        <v>1694</v>
      </c>
      <c r="O706" s="53" t="s">
        <v>2194</v>
      </c>
      <c r="P706" s="52"/>
      <c r="Q706" s="54"/>
      <c r="R706" s="53"/>
      <c r="S706" s="54"/>
      <c r="T706" s="51"/>
      <c r="U706" s="54"/>
      <c r="V706" s="54"/>
      <c r="W706" s="51"/>
      <c r="X706" s="51" t="s">
        <v>1682</v>
      </c>
      <c r="Y706" s="51" t="s">
        <v>1682</v>
      </c>
      <c r="Z706" s="51" t="s">
        <v>1682</v>
      </c>
      <c r="AA706" s="60" t="s">
        <v>1682</v>
      </c>
    </row>
    <row r="707" spans="2:27" ht="80.25" hidden="1" customHeight="1">
      <c r="B707" s="51" t="s">
        <v>78</v>
      </c>
      <c r="C707" s="51" t="s">
        <v>2877</v>
      </c>
      <c r="D707" s="51" t="s">
        <v>79</v>
      </c>
      <c r="E707" s="52">
        <v>1</v>
      </c>
      <c r="F707" s="51" t="s">
        <v>2195</v>
      </c>
      <c r="G707" s="51" t="s">
        <v>2196</v>
      </c>
      <c r="H707" s="54" t="s">
        <v>767</v>
      </c>
      <c r="I707" s="52">
        <v>18</v>
      </c>
      <c r="J707" s="51" t="s">
        <v>250</v>
      </c>
      <c r="K707" s="52">
        <v>23</v>
      </c>
      <c r="L707" s="52">
        <v>6</v>
      </c>
      <c r="M707" s="52"/>
      <c r="N707" s="53" t="s">
        <v>2197</v>
      </c>
      <c r="O707" s="53" t="s">
        <v>2198</v>
      </c>
      <c r="P707" s="52"/>
      <c r="Q707" s="51"/>
      <c r="R707" s="55" t="s">
        <v>788</v>
      </c>
      <c r="S707" s="51" t="s">
        <v>1526</v>
      </c>
      <c r="T707" s="52"/>
      <c r="U707" s="52"/>
      <c r="V707" s="52"/>
      <c r="W707" s="51"/>
      <c r="X707" s="51" t="s">
        <v>1682</v>
      </c>
      <c r="Y707" s="51" t="s">
        <v>1682</v>
      </c>
      <c r="Z707" s="51" t="s">
        <v>1682</v>
      </c>
      <c r="AA707" s="60" t="s">
        <v>1682</v>
      </c>
    </row>
    <row r="708" spans="2:27" ht="80.25" hidden="1" customHeight="1">
      <c r="B708" s="51" t="s">
        <v>78</v>
      </c>
      <c r="C708" s="51" t="s">
        <v>2877</v>
      </c>
      <c r="D708" s="51" t="s">
        <v>79</v>
      </c>
      <c r="E708" s="52">
        <v>1</v>
      </c>
      <c r="F708" s="51" t="s">
        <v>2199</v>
      </c>
      <c r="G708" s="51" t="s">
        <v>2200</v>
      </c>
      <c r="H708" s="54" t="s">
        <v>746</v>
      </c>
      <c r="I708" s="52">
        <v>19</v>
      </c>
      <c r="J708" s="51" t="s">
        <v>123</v>
      </c>
      <c r="K708" s="52">
        <v>4</v>
      </c>
      <c r="L708" s="52"/>
      <c r="M708" s="52"/>
      <c r="N708" s="53" t="s">
        <v>2201</v>
      </c>
      <c r="O708" s="53" t="s">
        <v>2202</v>
      </c>
      <c r="P708" s="52"/>
      <c r="Q708" s="53" t="s">
        <v>1681</v>
      </c>
      <c r="R708" s="53"/>
      <c r="S708" s="54"/>
      <c r="T708" s="51"/>
      <c r="U708" s="54"/>
      <c r="V708" s="54"/>
      <c r="W708" s="51"/>
      <c r="X708" s="51" t="s">
        <v>1682</v>
      </c>
      <c r="Y708" s="51" t="s">
        <v>1682</v>
      </c>
      <c r="Z708" s="51" t="s">
        <v>1682</v>
      </c>
      <c r="AA708" s="60" t="s">
        <v>1682</v>
      </c>
    </row>
    <row r="709" spans="2:27" ht="80.25" hidden="1" customHeight="1">
      <c r="B709" s="51" t="s">
        <v>78</v>
      </c>
      <c r="C709" s="51" t="s">
        <v>2877</v>
      </c>
      <c r="D709" s="51" t="s">
        <v>79</v>
      </c>
      <c r="E709" s="52">
        <v>1</v>
      </c>
      <c r="F709" s="51" t="s">
        <v>2203</v>
      </c>
      <c r="G709" s="51" t="s">
        <v>2204</v>
      </c>
      <c r="H709" s="54" t="s">
        <v>746</v>
      </c>
      <c r="I709" s="52">
        <v>20</v>
      </c>
      <c r="J709" s="51" t="s">
        <v>123</v>
      </c>
      <c r="K709" s="52">
        <v>20</v>
      </c>
      <c r="L709" s="52"/>
      <c r="M709" s="52"/>
      <c r="N709" s="53" t="s">
        <v>1706</v>
      </c>
      <c r="O709" s="53" t="s">
        <v>2251</v>
      </c>
      <c r="P709" s="52"/>
      <c r="Q709" s="53" t="s">
        <v>1708</v>
      </c>
      <c r="R709" s="53"/>
      <c r="S709" s="54"/>
      <c r="T709" s="51"/>
      <c r="U709" s="54"/>
      <c r="V709" s="54"/>
      <c r="W709" s="51"/>
      <c r="X709" s="51" t="s">
        <v>1682</v>
      </c>
      <c r="Y709" s="51" t="s">
        <v>1682</v>
      </c>
      <c r="Z709" s="51" t="s">
        <v>1682</v>
      </c>
      <c r="AA709" s="60" t="s">
        <v>1682</v>
      </c>
    </row>
    <row r="710" spans="2:27" ht="80.25" hidden="1" customHeight="1">
      <c r="B710" s="51" t="s">
        <v>78</v>
      </c>
      <c r="C710" s="51" t="s">
        <v>2877</v>
      </c>
      <c r="D710" s="51" t="s">
        <v>79</v>
      </c>
      <c r="E710" s="52">
        <v>1</v>
      </c>
      <c r="F710" s="51" t="s">
        <v>2206</v>
      </c>
      <c r="G710" s="51" t="s">
        <v>2207</v>
      </c>
      <c r="H710" s="54" t="s">
        <v>767</v>
      </c>
      <c r="I710" s="52">
        <v>21</v>
      </c>
      <c r="J710" s="51" t="s">
        <v>250</v>
      </c>
      <c r="K710" s="52">
        <v>23</v>
      </c>
      <c r="L710" s="52">
        <v>6</v>
      </c>
      <c r="M710" s="52"/>
      <c r="N710" s="53" t="s">
        <v>2208</v>
      </c>
      <c r="O710" s="53" t="s">
        <v>2209</v>
      </c>
      <c r="P710" s="52"/>
      <c r="Q710" s="54"/>
      <c r="R710" s="53"/>
      <c r="S710" s="54"/>
      <c r="T710" s="51"/>
      <c r="U710" s="54"/>
      <c r="V710" s="54"/>
      <c r="W710" s="51"/>
      <c r="X710" s="51" t="s">
        <v>1682</v>
      </c>
      <c r="Y710" s="51" t="s">
        <v>1682</v>
      </c>
      <c r="Z710" s="51" t="s">
        <v>1682</v>
      </c>
      <c r="AA710" s="60" t="s">
        <v>1682</v>
      </c>
    </row>
    <row r="711" spans="2:27" ht="80.25" hidden="1" customHeight="1">
      <c r="B711" s="51" t="s">
        <v>78</v>
      </c>
      <c r="C711" s="51" t="s">
        <v>2877</v>
      </c>
      <c r="D711" s="51" t="s">
        <v>79</v>
      </c>
      <c r="E711" s="52">
        <v>1</v>
      </c>
      <c r="F711" s="51" t="s">
        <v>2210</v>
      </c>
      <c r="G711" s="51" t="s">
        <v>2211</v>
      </c>
      <c r="H711" s="54" t="s">
        <v>767</v>
      </c>
      <c r="I711" s="52">
        <v>22</v>
      </c>
      <c r="J711" s="51" t="s">
        <v>250</v>
      </c>
      <c r="K711" s="52">
        <v>23</v>
      </c>
      <c r="L711" s="52">
        <v>6</v>
      </c>
      <c r="M711" s="52"/>
      <c r="N711" s="53" t="s">
        <v>777</v>
      </c>
      <c r="O711" s="53" t="s">
        <v>2212</v>
      </c>
      <c r="P711" s="52"/>
      <c r="Q711" s="54"/>
      <c r="R711" s="53"/>
      <c r="S711" s="54"/>
      <c r="T711" s="51"/>
      <c r="U711" s="54"/>
      <c r="V711" s="54"/>
      <c r="W711" s="51"/>
      <c r="X711" s="51" t="s">
        <v>1682</v>
      </c>
      <c r="Y711" s="51" t="s">
        <v>1682</v>
      </c>
      <c r="Z711" s="51" t="s">
        <v>1682</v>
      </c>
      <c r="AA711" s="60" t="s">
        <v>1682</v>
      </c>
    </row>
    <row r="712" spans="2:27" ht="80.25" hidden="1" customHeight="1">
      <c r="B712" s="51" t="s">
        <v>78</v>
      </c>
      <c r="C712" s="51" t="s">
        <v>2877</v>
      </c>
      <c r="D712" s="51" t="s">
        <v>79</v>
      </c>
      <c r="E712" s="52">
        <v>1</v>
      </c>
      <c r="F712" s="51" t="s">
        <v>2213</v>
      </c>
      <c r="G712" s="51" t="s">
        <v>2214</v>
      </c>
      <c r="H712" s="54" t="s">
        <v>767</v>
      </c>
      <c r="I712" s="52">
        <v>23</v>
      </c>
      <c r="J712" s="51" t="s">
        <v>250</v>
      </c>
      <c r="K712" s="52">
        <v>23</v>
      </c>
      <c r="L712" s="52">
        <v>6</v>
      </c>
      <c r="M712" s="52"/>
      <c r="N712" s="53" t="s">
        <v>2215</v>
      </c>
      <c r="O712" s="53" t="s">
        <v>2216</v>
      </c>
      <c r="P712" s="52"/>
      <c r="Q712" s="51"/>
      <c r="R712" s="55" t="s">
        <v>1720</v>
      </c>
      <c r="S712" s="55" t="s">
        <v>1721</v>
      </c>
      <c r="T712" s="52"/>
      <c r="U712" s="52"/>
      <c r="V712" s="52"/>
      <c r="W712" s="51"/>
      <c r="X712" s="51" t="s">
        <v>1682</v>
      </c>
      <c r="Y712" s="51" t="s">
        <v>1682</v>
      </c>
      <c r="Z712" s="51" t="s">
        <v>1682</v>
      </c>
      <c r="AA712" s="60" t="s">
        <v>1682</v>
      </c>
    </row>
    <row r="713" spans="2:27" ht="80.25" hidden="1" customHeight="1">
      <c r="B713" s="51" t="s">
        <v>78</v>
      </c>
      <c r="C713" s="51" t="s">
        <v>2877</v>
      </c>
      <c r="D713" s="51" t="s">
        <v>79</v>
      </c>
      <c r="E713" s="52">
        <v>1</v>
      </c>
      <c r="F713" s="51" t="s">
        <v>293</v>
      </c>
      <c r="G713" s="51" t="s">
        <v>294</v>
      </c>
      <c r="H713" s="54" t="s">
        <v>295</v>
      </c>
      <c r="I713" s="52">
        <v>24</v>
      </c>
      <c r="J713" s="51" t="s">
        <v>123</v>
      </c>
      <c r="K713" s="52">
        <v>4</v>
      </c>
      <c r="L713" s="52"/>
      <c r="M713" s="52"/>
      <c r="N713" s="53" t="s">
        <v>296</v>
      </c>
      <c r="O713" s="53" t="s">
        <v>297</v>
      </c>
      <c r="P713" s="52"/>
      <c r="Q713" s="53" t="s">
        <v>2927</v>
      </c>
      <c r="R713" s="55" t="s">
        <v>2928</v>
      </c>
      <c r="S713" s="55" t="s">
        <v>1724</v>
      </c>
      <c r="T713" s="53" t="s">
        <v>2880</v>
      </c>
      <c r="U713" s="53" t="s">
        <v>2881</v>
      </c>
      <c r="V713" s="53" t="s">
        <v>369</v>
      </c>
      <c r="W713" s="346" t="s">
        <v>2929</v>
      </c>
      <c r="X713" s="51" t="s">
        <v>2883</v>
      </c>
      <c r="Y713" s="53" t="s">
        <v>2887</v>
      </c>
      <c r="Z713" s="53" t="s">
        <v>1042</v>
      </c>
      <c r="AA713" s="60" t="s">
        <v>372</v>
      </c>
    </row>
    <row r="714" spans="2:27" ht="80.25" hidden="1" customHeight="1">
      <c r="B714" s="51" t="s">
        <v>78</v>
      </c>
      <c r="C714" s="51" t="s">
        <v>2877</v>
      </c>
      <c r="D714" s="51" t="s">
        <v>79</v>
      </c>
      <c r="E714" s="52">
        <v>1</v>
      </c>
      <c r="F714" s="51" t="s">
        <v>304</v>
      </c>
      <c r="G714" s="51" t="s">
        <v>305</v>
      </c>
      <c r="H714" s="54" t="s">
        <v>295</v>
      </c>
      <c r="I714" s="52">
        <v>25</v>
      </c>
      <c r="J714" s="51" t="s">
        <v>123</v>
      </c>
      <c r="K714" s="52">
        <v>4</v>
      </c>
      <c r="L714" s="52"/>
      <c r="M714" s="52"/>
      <c r="N714" s="53" t="s">
        <v>306</v>
      </c>
      <c r="O714" s="53" t="s">
        <v>307</v>
      </c>
      <c r="P714" s="52"/>
      <c r="Q714" s="55" t="s">
        <v>1784</v>
      </c>
      <c r="R714" s="55" t="s">
        <v>203</v>
      </c>
      <c r="S714" s="51" t="s">
        <v>309</v>
      </c>
      <c r="T714" s="53" t="s">
        <v>2930</v>
      </c>
      <c r="U714" s="53" t="s">
        <v>2931</v>
      </c>
      <c r="V714" s="53" t="s">
        <v>2522</v>
      </c>
      <c r="W714" s="346" t="s">
        <v>2932</v>
      </c>
      <c r="X714" s="51" t="s">
        <v>2933</v>
      </c>
      <c r="Y714" s="51" t="s">
        <v>2934</v>
      </c>
      <c r="Z714" s="51" t="s">
        <v>2935</v>
      </c>
      <c r="AA714" s="60" t="s">
        <v>1791</v>
      </c>
    </row>
    <row r="715" spans="2:27" ht="80.25" hidden="1" customHeight="1">
      <c r="B715" s="51" t="s">
        <v>78</v>
      </c>
      <c r="C715" s="51" t="s">
        <v>2877</v>
      </c>
      <c r="D715" s="51" t="s">
        <v>79</v>
      </c>
      <c r="E715" s="52">
        <v>1</v>
      </c>
      <c r="F715" s="51" t="s">
        <v>317</v>
      </c>
      <c r="G715" s="51" t="s">
        <v>318</v>
      </c>
      <c r="H715" s="51" t="s">
        <v>319</v>
      </c>
      <c r="I715" s="52">
        <v>26</v>
      </c>
      <c r="J715" s="51" t="s">
        <v>123</v>
      </c>
      <c r="K715" s="52">
        <v>2</v>
      </c>
      <c r="L715" s="52"/>
      <c r="M715" s="52"/>
      <c r="N715" s="53" t="s">
        <v>320</v>
      </c>
      <c r="O715" s="53" t="s">
        <v>321</v>
      </c>
      <c r="P715" s="52"/>
      <c r="Q715" s="53" t="s">
        <v>463</v>
      </c>
      <c r="R715" s="55"/>
      <c r="S715" s="51"/>
      <c r="T715" s="53" t="s">
        <v>2884</v>
      </c>
      <c r="U715" s="53" t="s">
        <v>2885</v>
      </c>
      <c r="V715" s="51" t="s">
        <v>372</v>
      </c>
      <c r="W715" s="77" t="s">
        <v>2936</v>
      </c>
      <c r="X715" s="51" t="s">
        <v>2883</v>
      </c>
      <c r="Y715" s="54" t="s">
        <v>372</v>
      </c>
      <c r="Z715" s="54" t="s">
        <v>372</v>
      </c>
      <c r="AA715" s="52" t="s">
        <v>2937</v>
      </c>
    </row>
    <row r="716" spans="2:27" ht="80.25" hidden="1" customHeight="1">
      <c r="B716" s="51" t="s">
        <v>78</v>
      </c>
      <c r="C716" s="51" t="s">
        <v>2877</v>
      </c>
      <c r="D716" s="51" t="s">
        <v>79</v>
      </c>
      <c r="E716" s="52">
        <v>1</v>
      </c>
      <c r="F716" s="51" t="s">
        <v>326</v>
      </c>
      <c r="G716" s="51" t="s">
        <v>327</v>
      </c>
      <c r="H716" s="51" t="s">
        <v>328</v>
      </c>
      <c r="I716" s="52">
        <v>27</v>
      </c>
      <c r="J716" s="51" t="s">
        <v>123</v>
      </c>
      <c r="K716" s="52">
        <v>27</v>
      </c>
      <c r="L716" s="52"/>
      <c r="M716" s="52"/>
      <c r="N716" s="53" t="s">
        <v>329</v>
      </c>
      <c r="O716" s="53" t="s">
        <v>361</v>
      </c>
      <c r="P716" s="52" t="s">
        <v>126</v>
      </c>
      <c r="Q716" s="51"/>
      <c r="R716" s="55" t="s">
        <v>275</v>
      </c>
      <c r="S716" s="51" t="s">
        <v>803</v>
      </c>
      <c r="T716" s="53" t="s">
        <v>2884</v>
      </c>
      <c r="U716" s="53" t="s">
        <v>2885</v>
      </c>
      <c r="V716" s="51" t="s">
        <v>678</v>
      </c>
      <c r="W716" s="77" t="s">
        <v>2938</v>
      </c>
      <c r="X716" s="54" t="s">
        <v>372</v>
      </c>
      <c r="Y716" s="54" t="s">
        <v>372</v>
      </c>
      <c r="Z716" s="54" t="s">
        <v>372</v>
      </c>
      <c r="AA716" s="60" t="s">
        <v>372</v>
      </c>
    </row>
    <row r="717" spans="2:27" ht="80.25" hidden="1" customHeight="1">
      <c r="B717" s="51" t="s">
        <v>78</v>
      </c>
      <c r="C717" s="51" t="s">
        <v>2877</v>
      </c>
      <c r="D717" s="51" t="s">
        <v>79</v>
      </c>
      <c r="E717" s="52">
        <v>1</v>
      </c>
      <c r="F717" s="51" t="s">
        <v>333</v>
      </c>
      <c r="G717" s="51" t="s">
        <v>334</v>
      </c>
      <c r="H717" s="51" t="s">
        <v>335</v>
      </c>
      <c r="I717" s="52">
        <v>28</v>
      </c>
      <c r="J717" s="51" t="s">
        <v>336</v>
      </c>
      <c r="K717" s="52">
        <v>28</v>
      </c>
      <c r="L717" s="52"/>
      <c r="M717" s="52"/>
      <c r="N717" s="53" t="s">
        <v>337</v>
      </c>
      <c r="O717" s="53" t="s">
        <v>338</v>
      </c>
      <c r="P717" s="52"/>
      <c r="Q717" s="51"/>
      <c r="R717" s="55"/>
      <c r="S717" s="51"/>
      <c r="T717" s="53" t="s">
        <v>2884</v>
      </c>
      <c r="U717" s="53" t="s">
        <v>2885</v>
      </c>
      <c r="V717" s="51" t="s">
        <v>372</v>
      </c>
      <c r="W717" s="77" t="s">
        <v>2939</v>
      </c>
      <c r="X717" s="54" t="s">
        <v>372</v>
      </c>
      <c r="Y717" s="54" t="s">
        <v>372</v>
      </c>
      <c r="Z717" s="54" t="s">
        <v>372</v>
      </c>
      <c r="AA717" s="60" t="s">
        <v>372</v>
      </c>
    </row>
    <row r="718" spans="2:27" ht="80.25" hidden="1" customHeight="1">
      <c r="B718" s="51" t="s">
        <v>340</v>
      </c>
      <c r="C718" s="62" t="s">
        <v>2940</v>
      </c>
      <c r="D718" s="62" t="s">
        <v>2941</v>
      </c>
      <c r="E718" s="318">
        <v>0</v>
      </c>
      <c r="F718" s="51" t="s">
        <v>120</v>
      </c>
      <c r="G718" s="51" t="s">
        <v>121</v>
      </c>
      <c r="H718" s="74" t="s">
        <v>122</v>
      </c>
      <c r="I718" s="318">
        <v>1</v>
      </c>
      <c r="J718" s="62" t="s">
        <v>123</v>
      </c>
      <c r="K718" s="318">
        <v>2</v>
      </c>
      <c r="L718" s="318"/>
      <c r="M718" s="318"/>
      <c r="N718" s="321" t="s">
        <v>124</v>
      </c>
      <c r="O718" s="53" t="s">
        <v>125</v>
      </c>
      <c r="P718" s="318" t="s">
        <v>126</v>
      </c>
      <c r="Q718" s="51"/>
      <c r="R718" s="55"/>
      <c r="S718" s="51"/>
      <c r="T718" s="53" t="s">
        <v>2880</v>
      </c>
      <c r="U718" s="53" t="s">
        <v>2885</v>
      </c>
      <c r="V718" s="53" t="s">
        <v>372</v>
      </c>
      <c r="W718" s="77" t="s">
        <v>2942</v>
      </c>
      <c r="X718" s="51" t="s">
        <v>2883</v>
      </c>
      <c r="Y718" s="54" t="s">
        <v>372</v>
      </c>
      <c r="Z718" s="54" t="s">
        <v>372</v>
      </c>
      <c r="AA718" s="52" t="s">
        <v>373</v>
      </c>
    </row>
    <row r="719" spans="2:27" ht="80.25" hidden="1" customHeight="1">
      <c r="B719" s="51" t="s">
        <v>340</v>
      </c>
      <c r="C719" s="62" t="s">
        <v>2940</v>
      </c>
      <c r="D719" s="62" t="s">
        <v>2941</v>
      </c>
      <c r="E719" s="318">
        <v>0</v>
      </c>
      <c r="F719" s="62" t="s">
        <v>136</v>
      </c>
      <c r="G719" s="62" t="s">
        <v>137</v>
      </c>
      <c r="H719" s="74" t="s">
        <v>122</v>
      </c>
      <c r="I719" s="318">
        <v>2</v>
      </c>
      <c r="J719" s="62" t="s">
        <v>123</v>
      </c>
      <c r="K719" s="318">
        <v>30</v>
      </c>
      <c r="L719" s="318"/>
      <c r="M719" s="318"/>
      <c r="N719" s="53" t="s">
        <v>138</v>
      </c>
      <c r="O719" s="53" t="s">
        <v>139</v>
      </c>
      <c r="P719" s="318" t="s">
        <v>126</v>
      </c>
      <c r="Q719" s="51"/>
      <c r="R719" s="55"/>
      <c r="S719" s="51"/>
      <c r="T719" s="53" t="s">
        <v>2884</v>
      </c>
      <c r="U719" s="53" t="s">
        <v>2885</v>
      </c>
      <c r="V719" s="53" t="s">
        <v>2273</v>
      </c>
      <c r="W719" s="77" t="s">
        <v>2943</v>
      </c>
      <c r="X719" s="51" t="s">
        <v>2883</v>
      </c>
      <c r="Y719" s="53" t="s">
        <v>2887</v>
      </c>
      <c r="Z719" s="54" t="s">
        <v>2888</v>
      </c>
      <c r="AA719" s="52" t="s">
        <v>372</v>
      </c>
    </row>
    <row r="720" spans="2:27" ht="80.25" hidden="1" customHeight="1">
      <c r="B720" s="51" t="s">
        <v>340</v>
      </c>
      <c r="C720" s="62" t="s">
        <v>2940</v>
      </c>
      <c r="D720" s="62" t="s">
        <v>2941</v>
      </c>
      <c r="E720" s="318">
        <v>0</v>
      </c>
      <c r="F720" s="62" t="s">
        <v>293</v>
      </c>
      <c r="G720" s="62" t="s">
        <v>294</v>
      </c>
      <c r="H720" s="54" t="s">
        <v>295</v>
      </c>
      <c r="I720" s="52">
        <v>3</v>
      </c>
      <c r="J720" s="51" t="s">
        <v>123</v>
      </c>
      <c r="K720" s="52">
        <v>4</v>
      </c>
      <c r="L720" s="52"/>
      <c r="M720" s="52"/>
      <c r="N720" s="53" t="s">
        <v>296</v>
      </c>
      <c r="O720" s="53" t="s">
        <v>297</v>
      </c>
      <c r="P720" s="52"/>
      <c r="Q720" s="53"/>
      <c r="R720" s="55"/>
      <c r="S720" s="55"/>
      <c r="T720" s="53" t="s">
        <v>2884</v>
      </c>
      <c r="U720" s="53" t="s">
        <v>2885</v>
      </c>
      <c r="V720" s="54" t="s">
        <v>1042</v>
      </c>
      <c r="W720" s="77" t="s">
        <v>2944</v>
      </c>
      <c r="X720" s="51" t="s">
        <v>2883</v>
      </c>
      <c r="Y720" s="53" t="s">
        <v>2887</v>
      </c>
      <c r="Z720" s="51" t="s">
        <v>1042</v>
      </c>
      <c r="AA720" s="52" t="s">
        <v>372</v>
      </c>
    </row>
    <row r="721" spans="2:27" ht="80.25" hidden="1" customHeight="1">
      <c r="B721" s="51" t="s">
        <v>340</v>
      </c>
      <c r="C721" s="62" t="s">
        <v>2940</v>
      </c>
      <c r="D721" s="62" t="s">
        <v>2941</v>
      </c>
      <c r="E721" s="318">
        <v>0</v>
      </c>
      <c r="F721" s="62" t="s">
        <v>198</v>
      </c>
      <c r="G721" s="62" t="s">
        <v>199</v>
      </c>
      <c r="H721" s="54" t="s">
        <v>200</v>
      </c>
      <c r="I721" s="52">
        <v>3</v>
      </c>
      <c r="J721" s="51" t="s">
        <v>123</v>
      </c>
      <c r="K721" s="52">
        <v>10</v>
      </c>
      <c r="L721" s="52"/>
      <c r="M721" s="52"/>
      <c r="N721" s="53" t="s">
        <v>201</v>
      </c>
      <c r="O721" s="53" t="s">
        <v>202</v>
      </c>
      <c r="P721" s="52" t="s">
        <v>126</v>
      </c>
      <c r="Q721" s="51"/>
      <c r="R721" s="55"/>
      <c r="S721" s="51"/>
      <c r="T721" s="53" t="s">
        <v>2884</v>
      </c>
      <c r="U721" s="53" t="s">
        <v>2885</v>
      </c>
      <c r="V721" s="54" t="s">
        <v>630</v>
      </c>
      <c r="W721" s="77" t="s">
        <v>2945</v>
      </c>
      <c r="X721" s="51" t="s">
        <v>2883</v>
      </c>
      <c r="Y721" s="53" t="s">
        <v>2887</v>
      </c>
      <c r="Z721" s="51" t="s">
        <v>630</v>
      </c>
      <c r="AA721" s="52" t="s">
        <v>372</v>
      </c>
    </row>
    <row r="722" spans="2:27" ht="80.25" hidden="1" customHeight="1">
      <c r="B722" s="51" t="s">
        <v>340</v>
      </c>
      <c r="C722" s="62" t="s">
        <v>2940</v>
      </c>
      <c r="D722" s="62" t="s">
        <v>2941</v>
      </c>
      <c r="E722" s="318">
        <v>0</v>
      </c>
      <c r="F722" s="62" t="s">
        <v>352</v>
      </c>
      <c r="G722" s="62" t="s">
        <v>353</v>
      </c>
      <c r="H722" s="51" t="s">
        <v>240</v>
      </c>
      <c r="I722" s="318">
        <v>3</v>
      </c>
      <c r="J722" s="62" t="s">
        <v>123</v>
      </c>
      <c r="K722" s="318">
        <v>4</v>
      </c>
      <c r="L722" s="318"/>
      <c r="M722" s="318"/>
      <c r="N722" s="53" t="s">
        <v>354</v>
      </c>
      <c r="O722" s="53" t="s">
        <v>355</v>
      </c>
      <c r="P722" s="318"/>
      <c r="Q722" s="51"/>
      <c r="R722" s="55"/>
      <c r="S722" s="51"/>
      <c r="T722" s="53" t="s">
        <v>2884</v>
      </c>
      <c r="U722" s="53" t="s">
        <v>2885</v>
      </c>
      <c r="V722" s="54" t="s">
        <v>2946</v>
      </c>
      <c r="W722" s="77" t="s">
        <v>2947</v>
      </c>
      <c r="X722" s="51" t="s">
        <v>2883</v>
      </c>
      <c r="Y722" s="53" t="s">
        <v>2887</v>
      </c>
      <c r="Z722" s="51" t="s">
        <v>1042</v>
      </c>
      <c r="AA722" s="52"/>
    </row>
    <row r="723" spans="2:27" ht="80.25" hidden="1" customHeight="1">
      <c r="B723" s="51" t="s">
        <v>340</v>
      </c>
      <c r="C723" s="62" t="s">
        <v>2940</v>
      </c>
      <c r="D723" s="62" t="s">
        <v>2941</v>
      </c>
      <c r="E723" s="318">
        <v>0</v>
      </c>
      <c r="F723" s="62" t="s">
        <v>317</v>
      </c>
      <c r="G723" s="62" t="s">
        <v>318</v>
      </c>
      <c r="H723" s="51" t="s">
        <v>319</v>
      </c>
      <c r="I723" s="318">
        <v>4</v>
      </c>
      <c r="J723" s="62" t="s">
        <v>123</v>
      </c>
      <c r="K723" s="318">
        <v>4</v>
      </c>
      <c r="L723" s="318"/>
      <c r="M723" s="318"/>
      <c r="N723" s="53" t="s">
        <v>320</v>
      </c>
      <c r="O723" s="53" t="s">
        <v>321</v>
      </c>
      <c r="P723" s="318" t="s">
        <v>126</v>
      </c>
      <c r="Q723" s="51"/>
      <c r="R723" s="55"/>
      <c r="S723" s="51"/>
      <c r="T723" s="53" t="s">
        <v>2884</v>
      </c>
      <c r="U723" s="53" t="s">
        <v>2885</v>
      </c>
      <c r="V723" s="54" t="s">
        <v>2946</v>
      </c>
      <c r="W723" s="77" t="s">
        <v>2948</v>
      </c>
      <c r="X723" s="51"/>
      <c r="Y723" s="51"/>
      <c r="Z723" s="51"/>
      <c r="AA723" s="52"/>
    </row>
    <row r="724" spans="2:27" ht="80.25" hidden="1" customHeight="1">
      <c r="B724" s="51" t="s">
        <v>340</v>
      </c>
      <c r="C724" s="62" t="s">
        <v>2940</v>
      </c>
      <c r="D724" s="62" t="s">
        <v>2941</v>
      </c>
      <c r="E724" s="318">
        <v>0</v>
      </c>
      <c r="F724" s="51" t="s">
        <v>326</v>
      </c>
      <c r="G724" s="51" t="s">
        <v>327</v>
      </c>
      <c r="H724" s="51" t="s">
        <v>335</v>
      </c>
      <c r="I724" s="318">
        <v>5</v>
      </c>
      <c r="J724" s="62" t="s">
        <v>123</v>
      </c>
      <c r="K724" s="318">
        <v>10</v>
      </c>
      <c r="L724" s="318"/>
      <c r="M724" s="318"/>
      <c r="N724" s="53" t="s">
        <v>329</v>
      </c>
      <c r="O724" s="53" t="s">
        <v>361</v>
      </c>
      <c r="P724" s="318"/>
      <c r="Q724" s="51"/>
      <c r="R724" s="55"/>
      <c r="S724" s="51"/>
      <c r="T724" s="53" t="s">
        <v>2884</v>
      </c>
      <c r="U724" s="53" t="s">
        <v>2885</v>
      </c>
      <c r="V724" s="51" t="s">
        <v>372</v>
      </c>
      <c r="W724" s="77" t="s">
        <v>2949</v>
      </c>
      <c r="X724" s="51" t="s">
        <v>2883</v>
      </c>
      <c r="Y724" s="54" t="s">
        <v>372</v>
      </c>
      <c r="Z724" s="54" t="s">
        <v>372</v>
      </c>
      <c r="AA724" s="52" t="s">
        <v>2937</v>
      </c>
    </row>
    <row r="725" spans="2:27" ht="80.25" hidden="1" customHeight="1">
      <c r="B725" s="51" t="s">
        <v>340</v>
      </c>
      <c r="C725" s="62" t="s">
        <v>2940</v>
      </c>
      <c r="D725" s="62" t="s">
        <v>2941</v>
      </c>
      <c r="E725" s="318">
        <v>0</v>
      </c>
      <c r="F725" s="51" t="s">
        <v>333</v>
      </c>
      <c r="G725" s="51" t="s">
        <v>334</v>
      </c>
      <c r="H725" s="51" t="s">
        <v>335</v>
      </c>
      <c r="I725" s="318">
        <v>6</v>
      </c>
      <c r="J725" s="51" t="s">
        <v>336</v>
      </c>
      <c r="K725" s="52">
        <v>23</v>
      </c>
      <c r="L725" s="318"/>
      <c r="M725" s="318"/>
      <c r="N725" s="53" t="s">
        <v>337</v>
      </c>
      <c r="O725" s="53" t="s">
        <v>338</v>
      </c>
      <c r="P725" s="318"/>
      <c r="Q725" s="51"/>
      <c r="R725" s="55"/>
      <c r="S725" s="51"/>
      <c r="T725" s="53" t="s">
        <v>2884</v>
      </c>
      <c r="U725" s="53" t="s">
        <v>2885</v>
      </c>
      <c r="V725" s="51" t="s">
        <v>678</v>
      </c>
      <c r="W725" s="77" t="s">
        <v>2950</v>
      </c>
      <c r="X725" s="54" t="s">
        <v>372</v>
      </c>
      <c r="Y725" s="54" t="s">
        <v>372</v>
      </c>
      <c r="Z725" s="54" t="s">
        <v>372</v>
      </c>
      <c r="AA725" s="60" t="s">
        <v>372</v>
      </c>
    </row>
    <row r="726" spans="2:27" ht="80.25" hidden="1" customHeight="1">
      <c r="B726" s="51" t="s">
        <v>81</v>
      </c>
      <c r="C726" s="51" t="s">
        <v>2951</v>
      </c>
      <c r="D726" s="51" t="s">
        <v>82</v>
      </c>
      <c r="E726" s="52">
        <v>1</v>
      </c>
      <c r="F726" s="51" t="s">
        <v>120</v>
      </c>
      <c r="G726" s="51" t="s">
        <v>121</v>
      </c>
      <c r="H726" s="51" t="s">
        <v>122</v>
      </c>
      <c r="I726" s="52">
        <v>1</v>
      </c>
      <c r="J726" s="51" t="s">
        <v>123</v>
      </c>
      <c r="K726" s="52">
        <v>4</v>
      </c>
      <c r="L726" s="52"/>
      <c r="M726" s="52"/>
      <c r="N726" s="321" t="s">
        <v>124</v>
      </c>
      <c r="O726" s="53" t="s">
        <v>125</v>
      </c>
      <c r="P726" s="52" t="s">
        <v>126</v>
      </c>
      <c r="Q726" s="54"/>
      <c r="R726" s="55" t="s">
        <v>2952</v>
      </c>
      <c r="S726" s="55" t="s">
        <v>2148</v>
      </c>
      <c r="T726" s="55" t="s">
        <v>2953</v>
      </c>
      <c r="U726" s="55" t="s">
        <v>2954</v>
      </c>
      <c r="V726" s="55" t="s">
        <v>2955</v>
      </c>
      <c r="W726" s="77" t="s">
        <v>2956</v>
      </c>
      <c r="X726" s="63" t="s">
        <v>2957</v>
      </c>
      <c r="Y726" s="53" t="s">
        <v>939</v>
      </c>
      <c r="Z726" s="53" t="s">
        <v>939</v>
      </c>
      <c r="AA726" s="60" t="s">
        <v>2958</v>
      </c>
    </row>
    <row r="727" spans="2:27" ht="80.25" hidden="1" customHeight="1">
      <c r="B727" s="51" t="s">
        <v>81</v>
      </c>
      <c r="C727" s="51" t="s">
        <v>2951</v>
      </c>
      <c r="D727" s="51" t="s">
        <v>82</v>
      </c>
      <c r="E727" s="52">
        <v>1</v>
      </c>
      <c r="F727" s="51" t="s">
        <v>136</v>
      </c>
      <c r="G727" s="51" t="s">
        <v>137</v>
      </c>
      <c r="H727" s="51" t="s">
        <v>122</v>
      </c>
      <c r="I727" s="52">
        <v>2</v>
      </c>
      <c r="J727" s="51" t="s">
        <v>123</v>
      </c>
      <c r="K727" s="52">
        <v>30</v>
      </c>
      <c r="L727" s="52"/>
      <c r="M727" s="52"/>
      <c r="N727" s="53" t="s">
        <v>138</v>
      </c>
      <c r="O727" s="53" t="s">
        <v>139</v>
      </c>
      <c r="P727" s="52" t="s">
        <v>126</v>
      </c>
      <c r="Q727" s="54"/>
      <c r="R727" s="55" t="s">
        <v>2952</v>
      </c>
      <c r="S727" s="55" t="s">
        <v>2148</v>
      </c>
      <c r="T727" s="55" t="s">
        <v>2959</v>
      </c>
      <c r="U727" s="55" t="s">
        <v>2960</v>
      </c>
      <c r="V727" s="55" t="s">
        <v>2961</v>
      </c>
      <c r="W727" s="77" t="s">
        <v>2962</v>
      </c>
      <c r="X727" s="63" t="s">
        <v>2957</v>
      </c>
      <c r="Y727" s="65" t="s">
        <v>2963</v>
      </c>
      <c r="Z727" s="65" t="s">
        <v>2964</v>
      </c>
      <c r="AA727" s="60" t="s">
        <v>939</v>
      </c>
    </row>
    <row r="728" spans="2:27" ht="80.25" hidden="1" customHeight="1">
      <c r="B728" s="51" t="s">
        <v>81</v>
      </c>
      <c r="C728" s="51" t="s">
        <v>2951</v>
      </c>
      <c r="D728" s="51" t="s">
        <v>82</v>
      </c>
      <c r="E728" s="52">
        <v>1</v>
      </c>
      <c r="F728" s="51" t="s">
        <v>148</v>
      </c>
      <c r="G728" s="51" t="s">
        <v>149</v>
      </c>
      <c r="H728" s="54" t="s">
        <v>150</v>
      </c>
      <c r="I728" s="52">
        <v>3</v>
      </c>
      <c r="J728" s="51" t="s">
        <v>123</v>
      </c>
      <c r="K728" s="52">
        <v>3</v>
      </c>
      <c r="L728" s="52"/>
      <c r="M728" s="52"/>
      <c r="N728" s="53" t="s">
        <v>151</v>
      </c>
      <c r="O728" s="53" t="s">
        <v>152</v>
      </c>
      <c r="P728" s="52"/>
      <c r="Q728" s="53" t="s">
        <v>2965</v>
      </c>
      <c r="R728" s="55"/>
      <c r="S728" s="51"/>
      <c r="T728" s="55" t="s">
        <v>2966</v>
      </c>
      <c r="U728" s="55" t="s">
        <v>2967</v>
      </c>
      <c r="V728" s="55" t="s">
        <v>2955</v>
      </c>
      <c r="W728" s="346" t="s">
        <v>2968</v>
      </c>
      <c r="X728" s="53" t="s">
        <v>939</v>
      </c>
      <c r="Y728" s="53" t="s">
        <v>939</v>
      </c>
      <c r="Z728" s="53" t="s">
        <v>939</v>
      </c>
      <c r="AA728" s="60" t="s">
        <v>939</v>
      </c>
    </row>
    <row r="729" spans="2:27" ht="80.25" hidden="1" customHeight="1">
      <c r="B729" s="51" t="s">
        <v>81</v>
      </c>
      <c r="C729" s="51" t="s">
        <v>2951</v>
      </c>
      <c r="D729" s="51" t="s">
        <v>82</v>
      </c>
      <c r="E729" s="52">
        <v>1</v>
      </c>
      <c r="F729" s="51" t="s">
        <v>155</v>
      </c>
      <c r="G729" s="51" t="s">
        <v>156</v>
      </c>
      <c r="H729" s="54" t="s">
        <v>150</v>
      </c>
      <c r="I729" s="52">
        <v>4</v>
      </c>
      <c r="J729" s="51" t="s">
        <v>123</v>
      </c>
      <c r="K729" s="52">
        <v>20</v>
      </c>
      <c r="L729" s="52"/>
      <c r="M729" s="52"/>
      <c r="N729" s="53" t="s">
        <v>157</v>
      </c>
      <c r="O729" s="53" t="s">
        <v>158</v>
      </c>
      <c r="P729" s="52"/>
      <c r="Q729" s="53" t="s">
        <v>2969</v>
      </c>
      <c r="R729" s="55" t="s">
        <v>160</v>
      </c>
      <c r="S729" s="55" t="s">
        <v>161</v>
      </c>
      <c r="T729" s="55" t="s">
        <v>2959</v>
      </c>
      <c r="U729" s="55" t="s">
        <v>2970</v>
      </c>
      <c r="V729" s="55" t="s">
        <v>2971</v>
      </c>
      <c r="W729" s="77" t="s">
        <v>2972</v>
      </c>
      <c r="X729" s="63" t="s">
        <v>2957</v>
      </c>
      <c r="Y729" s="65" t="s">
        <v>2973</v>
      </c>
      <c r="Z729" s="53" t="s">
        <v>2974</v>
      </c>
      <c r="AA729" s="60" t="s">
        <v>939</v>
      </c>
    </row>
    <row r="730" spans="2:27" ht="80.25" hidden="1" customHeight="1">
      <c r="B730" s="51" t="s">
        <v>81</v>
      </c>
      <c r="C730" s="51" t="s">
        <v>2951</v>
      </c>
      <c r="D730" s="51" t="s">
        <v>82</v>
      </c>
      <c r="E730" s="52">
        <v>1</v>
      </c>
      <c r="F730" s="51" t="s">
        <v>167</v>
      </c>
      <c r="G730" s="51" t="s">
        <v>168</v>
      </c>
      <c r="H730" s="54" t="s">
        <v>150</v>
      </c>
      <c r="I730" s="52">
        <v>5</v>
      </c>
      <c r="J730" s="51" t="s">
        <v>123</v>
      </c>
      <c r="K730" s="52">
        <v>20</v>
      </c>
      <c r="L730" s="52"/>
      <c r="M730" s="52"/>
      <c r="N730" s="53" t="s">
        <v>169</v>
      </c>
      <c r="O730" s="53" t="s">
        <v>170</v>
      </c>
      <c r="P730" s="52"/>
      <c r="Q730" s="53" t="s">
        <v>2975</v>
      </c>
      <c r="R730" s="55" t="s">
        <v>160</v>
      </c>
      <c r="S730" s="55" t="s">
        <v>172</v>
      </c>
      <c r="T730" s="55" t="s">
        <v>2959</v>
      </c>
      <c r="U730" s="55" t="s">
        <v>2970</v>
      </c>
      <c r="V730" s="55" t="s">
        <v>2976</v>
      </c>
      <c r="W730" s="77" t="s">
        <v>2977</v>
      </c>
      <c r="X730" s="63" t="s">
        <v>2957</v>
      </c>
      <c r="Y730" s="65" t="s">
        <v>2973</v>
      </c>
      <c r="Z730" s="65" t="s">
        <v>2978</v>
      </c>
      <c r="AA730" s="60" t="s">
        <v>939</v>
      </c>
    </row>
    <row r="731" spans="2:27" ht="80.25" hidden="1" customHeight="1">
      <c r="B731" s="51" t="s">
        <v>81</v>
      </c>
      <c r="C731" s="51" t="s">
        <v>2951</v>
      </c>
      <c r="D731" s="51" t="s">
        <v>82</v>
      </c>
      <c r="E731" s="52">
        <v>1</v>
      </c>
      <c r="F731" s="51" t="s">
        <v>176</v>
      </c>
      <c r="G731" s="51" t="s">
        <v>177</v>
      </c>
      <c r="H731" s="54" t="s">
        <v>150</v>
      </c>
      <c r="I731" s="52">
        <v>6</v>
      </c>
      <c r="J731" s="51" t="s">
        <v>123</v>
      </c>
      <c r="K731" s="52">
        <v>4</v>
      </c>
      <c r="L731" s="52"/>
      <c r="M731" s="52"/>
      <c r="N731" s="72" t="s">
        <v>2979</v>
      </c>
      <c r="O731" s="53" t="s">
        <v>179</v>
      </c>
      <c r="P731" s="52"/>
      <c r="Q731" s="54"/>
      <c r="R731" s="55" t="s">
        <v>2980</v>
      </c>
      <c r="S731" s="55" t="s">
        <v>181</v>
      </c>
      <c r="T731" s="55" t="s">
        <v>2981</v>
      </c>
      <c r="U731" s="55" t="s">
        <v>2967</v>
      </c>
      <c r="V731" s="55" t="s">
        <v>2982</v>
      </c>
      <c r="W731" s="77" t="s">
        <v>2983</v>
      </c>
      <c r="X731" s="63" t="s">
        <v>2957</v>
      </c>
      <c r="Y731" s="53" t="s">
        <v>939</v>
      </c>
      <c r="Z731" s="53" t="s">
        <v>939</v>
      </c>
      <c r="AA731" s="60" t="s">
        <v>2984</v>
      </c>
    </row>
    <row r="732" spans="2:27" ht="80.25" hidden="1" customHeight="1">
      <c r="B732" s="51" t="s">
        <v>81</v>
      </c>
      <c r="C732" s="51" t="s">
        <v>2951</v>
      </c>
      <c r="D732" s="51" t="s">
        <v>82</v>
      </c>
      <c r="E732" s="52">
        <v>1</v>
      </c>
      <c r="F732" s="51" t="s">
        <v>187</v>
      </c>
      <c r="G732" s="51" t="s">
        <v>188</v>
      </c>
      <c r="H732" s="54" t="s">
        <v>150</v>
      </c>
      <c r="I732" s="52">
        <v>7</v>
      </c>
      <c r="J732" s="51" t="s">
        <v>123</v>
      </c>
      <c r="K732" s="52">
        <v>30</v>
      </c>
      <c r="L732" s="52"/>
      <c r="M732" s="52"/>
      <c r="N732" s="53" t="s">
        <v>2985</v>
      </c>
      <c r="O732" s="53" t="s">
        <v>190</v>
      </c>
      <c r="P732" s="52"/>
      <c r="Q732" s="54"/>
      <c r="R732" s="55" t="s">
        <v>2980</v>
      </c>
      <c r="S732" s="55" t="s">
        <v>181</v>
      </c>
      <c r="T732" s="55" t="s">
        <v>2959</v>
      </c>
      <c r="U732" s="279" t="s">
        <v>2970</v>
      </c>
      <c r="V732" s="55" t="s">
        <v>2986</v>
      </c>
      <c r="W732" s="77" t="s">
        <v>2987</v>
      </c>
      <c r="X732" s="63" t="s">
        <v>2957</v>
      </c>
      <c r="Y732" s="65" t="s">
        <v>2988</v>
      </c>
      <c r="Z732" s="65" t="s">
        <v>2989</v>
      </c>
      <c r="AA732" s="60" t="s">
        <v>2990</v>
      </c>
    </row>
    <row r="733" spans="2:27" ht="80.25" hidden="1" customHeight="1">
      <c r="B733" s="51" t="s">
        <v>81</v>
      </c>
      <c r="C733" s="51" t="s">
        <v>2951</v>
      </c>
      <c r="D733" s="51" t="s">
        <v>82</v>
      </c>
      <c r="E733" s="52">
        <v>1</v>
      </c>
      <c r="F733" s="51" t="s">
        <v>198</v>
      </c>
      <c r="G733" s="51" t="s">
        <v>199</v>
      </c>
      <c r="H733" s="54" t="s">
        <v>200</v>
      </c>
      <c r="I733" s="52">
        <v>8</v>
      </c>
      <c r="J733" s="51" t="s">
        <v>123</v>
      </c>
      <c r="K733" s="52">
        <v>10</v>
      </c>
      <c r="L733" s="52"/>
      <c r="M733" s="52"/>
      <c r="N733" s="53" t="s">
        <v>201</v>
      </c>
      <c r="O733" s="53" t="s">
        <v>202</v>
      </c>
      <c r="P733" s="52"/>
      <c r="Q733" s="54"/>
      <c r="R733" s="55" t="s">
        <v>203</v>
      </c>
      <c r="S733" s="51" t="s">
        <v>198</v>
      </c>
      <c r="T733" s="55" t="s">
        <v>2959</v>
      </c>
      <c r="U733" s="55" t="s">
        <v>2960</v>
      </c>
      <c r="V733" s="55" t="s">
        <v>2991</v>
      </c>
      <c r="W733" s="77" t="s">
        <v>2992</v>
      </c>
      <c r="X733" s="63" t="s">
        <v>2957</v>
      </c>
      <c r="Y733" s="65" t="s">
        <v>2993</v>
      </c>
      <c r="Z733" s="65" t="s">
        <v>2994</v>
      </c>
      <c r="AA733" s="60" t="s">
        <v>2995</v>
      </c>
    </row>
    <row r="734" spans="2:27" ht="80.25" hidden="1" customHeight="1">
      <c r="B734" s="51" t="s">
        <v>81</v>
      </c>
      <c r="C734" s="51" t="s">
        <v>2951</v>
      </c>
      <c r="D734" s="51" t="s">
        <v>82</v>
      </c>
      <c r="E734" s="52">
        <v>1</v>
      </c>
      <c r="F734" s="51" t="s">
        <v>210</v>
      </c>
      <c r="G734" s="51" t="s">
        <v>211</v>
      </c>
      <c r="H734" s="54" t="s">
        <v>200</v>
      </c>
      <c r="I734" s="52">
        <v>9</v>
      </c>
      <c r="J734" s="51" t="s">
        <v>123</v>
      </c>
      <c r="K734" s="52">
        <v>10</v>
      </c>
      <c r="L734" s="52"/>
      <c r="M734" s="52"/>
      <c r="N734" s="53" t="s">
        <v>212</v>
      </c>
      <c r="O734" s="53" t="s">
        <v>213</v>
      </c>
      <c r="P734" s="52"/>
      <c r="Q734" s="54"/>
      <c r="R734" s="55" t="s">
        <v>214</v>
      </c>
      <c r="S734" s="51" t="s">
        <v>210</v>
      </c>
      <c r="T734" s="55" t="s">
        <v>2959</v>
      </c>
      <c r="U734" s="55" t="s">
        <v>2960</v>
      </c>
      <c r="V734" s="55" t="s">
        <v>2996</v>
      </c>
      <c r="W734" s="77" t="s">
        <v>2997</v>
      </c>
      <c r="X734" s="63" t="s">
        <v>2957</v>
      </c>
      <c r="Y734" s="65" t="s">
        <v>2998</v>
      </c>
      <c r="Z734" s="65" t="s">
        <v>2999</v>
      </c>
      <c r="AA734" s="60" t="s">
        <v>3000</v>
      </c>
    </row>
    <row r="735" spans="2:27" ht="80.25" hidden="1" customHeight="1">
      <c r="B735" s="51" t="s">
        <v>81</v>
      </c>
      <c r="C735" s="51" t="s">
        <v>2951</v>
      </c>
      <c r="D735" s="51" t="s">
        <v>82</v>
      </c>
      <c r="E735" s="52">
        <v>1</v>
      </c>
      <c r="F735" s="51" t="s">
        <v>222</v>
      </c>
      <c r="G735" s="51" t="s">
        <v>223</v>
      </c>
      <c r="H735" s="54" t="s">
        <v>224</v>
      </c>
      <c r="I735" s="52">
        <v>10</v>
      </c>
      <c r="J735" s="51" t="s">
        <v>123</v>
      </c>
      <c r="K735" s="52">
        <v>3</v>
      </c>
      <c r="L735" s="52"/>
      <c r="M735" s="52"/>
      <c r="N735" s="53" t="s">
        <v>225</v>
      </c>
      <c r="O735" s="53" t="s">
        <v>226</v>
      </c>
      <c r="P735" s="52"/>
      <c r="Q735" s="53" t="s">
        <v>3001</v>
      </c>
      <c r="R735" s="55" t="s">
        <v>3002</v>
      </c>
      <c r="S735" s="55" t="s">
        <v>864</v>
      </c>
      <c r="T735" s="55" t="s">
        <v>3003</v>
      </c>
      <c r="U735" s="55" t="s">
        <v>3004</v>
      </c>
      <c r="V735" s="55" t="s">
        <v>3005</v>
      </c>
      <c r="W735" s="77" t="s">
        <v>3006</v>
      </c>
      <c r="X735" s="63" t="s">
        <v>3007</v>
      </c>
      <c r="Y735" s="65" t="s">
        <v>3008</v>
      </c>
      <c r="Z735" s="65" t="s">
        <v>3009</v>
      </c>
      <c r="AA735" s="60" t="s">
        <v>3010</v>
      </c>
    </row>
    <row r="736" spans="2:27" ht="80.25" hidden="1" customHeight="1">
      <c r="B736" s="51" t="s">
        <v>81</v>
      </c>
      <c r="C736" s="51" t="s">
        <v>2951</v>
      </c>
      <c r="D736" s="51" t="s">
        <v>82</v>
      </c>
      <c r="E736" s="52">
        <v>1</v>
      </c>
      <c r="F736" s="51" t="s">
        <v>238</v>
      </c>
      <c r="G736" s="51" t="s">
        <v>239</v>
      </c>
      <c r="H736" s="54" t="s">
        <v>240</v>
      </c>
      <c r="I736" s="52">
        <v>11</v>
      </c>
      <c r="J736" s="51" t="s">
        <v>123</v>
      </c>
      <c r="K736" s="52">
        <v>4</v>
      </c>
      <c r="L736" s="52"/>
      <c r="M736" s="52"/>
      <c r="N736" s="53" t="s">
        <v>241</v>
      </c>
      <c r="O736" s="53" t="s">
        <v>242</v>
      </c>
      <c r="P736" s="52"/>
      <c r="Q736" s="60"/>
      <c r="R736" s="63"/>
      <c r="S736" s="61"/>
      <c r="T736" s="55" t="s">
        <v>3011</v>
      </c>
      <c r="U736" s="55" t="s">
        <v>2970</v>
      </c>
      <c r="V736" s="63" t="s">
        <v>3012</v>
      </c>
      <c r="W736" s="77" t="s">
        <v>3013</v>
      </c>
      <c r="X736" s="63" t="s">
        <v>2957</v>
      </c>
      <c r="Y736" s="53" t="s">
        <v>939</v>
      </c>
      <c r="Z736" s="53" t="s">
        <v>939</v>
      </c>
      <c r="AA736" s="60" t="s">
        <v>3014</v>
      </c>
    </row>
    <row r="737" spans="2:27" ht="80.25" hidden="1" customHeight="1">
      <c r="B737" s="51" t="s">
        <v>81</v>
      </c>
      <c r="C737" s="51" t="s">
        <v>2951</v>
      </c>
      <c r="D737" s="51" t="s">
        <v>82</v>
      </c>
      <c r="E737" s="52">
        <v>1</v>
      </c>
      <c r="F737" s="51" t="s">
        <v>3015</v>
      </c>
      <c r="G737" s="51" t="s">
        <v>3016</v>
      </c>
      <c r="H737" s="54" t="s">
        <v>3017</v>
      </c>
      <c r="I737" s="52">
        <v>12</v>
      </c>
      <c r="J737" s="51" t="s">
        <v>123</v>
      </c>
      <c r="K737" s="52">
        <v>4</v>
      </c>
      <c r="L737" s="52"/>
      <c r="M737" s="52"/>
      <c r="N737" s="53" t="s">
        <v>3018</v>
      </c>
      <c r="O737" s="53" t="s">
        <v>3019</v>
      </c>
      <c r="P737" s="52"/>
      <c r="Q737" s="54"/>
      <c r="R737" s="55" t="s">
        <v>3020</v>
      </c>
      <c r="S737" s="51" t="s">
        <v>3021</v>
      </c>
      <c r="T737" s="55" t="s">
        <v>3011</v>
      </c>
      <c r="U737" s="55" t="s">
        <v>2970</v>
      </c>
      <c r="V737" s="63" t="s">
        <v>3012</v>
      </c>
      <c r="W737" s="77" t="s">
        <v>3022</v>
      </c>
      <c r="X737" s="63" t="s">
        <v>2957</v>
      </c>
      <c r="Y737" s="65" t="s">
        <v>3023</v>
      </c>
      <c r="Z737" s="65" t="s">
        <v>939</v>
      </c>
      <c r="AA737" s="60" t="s">
        <v>3024</v>
      </c>
    </row>
    <row r="738" spans="2:27" ht="80.25" hidden="1" customHeight="1">
      <c r="B738" s="51" t="s">
        <v>81</v>
      </c>
      <c r="C738" s="51" t="s">
        <v>2951</v>
      </c>
      <c r="D738" s="51" t="s">
        <v>82</v>
      </c>
      <c r="E738" s="52">
        <v>1</v>
      </c>
      <c r="F738" s="51" t="s">
        <v>3025</v>
      </c>
      <c r="G738" s="51" t="s">
        <v>3026</v>
      </c>
      <c r="H738" s="54" t="s">
        <v>3027</v>
      </c>
      <c r="I738" s="52">
        <v>13</v>
      </c>
      <c r="J738" s="51" t="s">
        <v>123</v>
      </c>
      <c r="K738" s="52">
        <v>4</v>
      </c>
      <c r="L738" s="52"/>
      <c r="M738" s="52"/>
      <c r="N738" s="53" t="s">
        <v>3028</v>
      </c>
      <c r="O738" s="53" t="s">
        <v>3029</v>
      </c>
      <c r="P738" s="52"/>
      <c r="Q738" s="55" t="s">
        <v>3030</v>
      </c>
      <c r="R738" s="55"/>
      <c r="S738" s="55"/>
      <c r="T738" s="55" t="s">
        <v>3011</v>
      </c>
      <c r="U738" s="55" t="s">
        <v>2970</v>
      </c>
      <c r="V738" s="55" t="s">
        <v>3031</v>
      </c>
      <c r="W738" s="77" t="s">
        <v>3032</v>
      </c>
      <c r="X738" s="63" t="s">
        <v>2957</v>
      </c>
      <c r="Y738" s="65" t="s">
        <v>2988</v>
      </c>
      <c r="Z738" s="63" t="s">
        <v>3033</v>
      </c>
      <c r="AA738" s="60" t="s">
        <v>3034</v>
      </c>
    </row>
    <row r="739" spans="2:27" ht="80.25" hidden="1" customHeight="1">
      <c r="B739" s="51" t="s">
        <v>81</v>
      </c>
      <c r="C739" s="51" t="s">
        <v>2951</v>
      </c>
      <c r="D739" s="51" t="s">
        <v>82</v>
      </c>
      <c r="E739" s="52">
        <v>1</v>
      </c>
      <c r="F739" s="51" t="s">
        <v>3035</v>
      </c>
      <c r="G739" s="51" t="s">
        <v>3036</v>
      </c>
      <c r="H739" s="54" t="s">
        <v>3037</v>
      </c>
      <c r="I739" s="52">
        <v>14</v>
      </c>
      <c r="J739" s="51" t="s">
        <v>123</v>
      </c>
      <c r="K739" s="52">
        <v>10</v>
      </c>
      <c r="L739" s="52"/>
      <c r="M739" s="52"/>
      <c r="N739" s="53" t="s">
        <v>3038</v>
      </c>
      <c r="O739" s="53" t="s">
        <v>3039</v>
      </c>
      <c r="P739" s="52"/>
      <c r="Q739" s="53" t="s">
        <v>3040</v>
      </c>
      <c r="R739" s="53" t="s">
        <v>3020</v>
      </c>
      <c r="S739" s="53" t="s">
        <v>3041</v>
      </c>
      <c r="T739" s="55" t="s">
        <v>2959</v>
      </c>
      <c r="U739" s="55" t="s">
        <v>2970</v>
      </c>
      <c r="V739" s="63" t="s">
        <v>3042</v>
      </c>
      <c r="W739" s="77" t="s">
        <v>3043</v>
      </c>
      <c r="X739" s="63" t="s">
        <v>2957</v>
      </c>
      <c r="Y739" s="65" t="s">
        <v>3044</v>
      </c>
      <c r="Z739" s="65" t="s">
        <v>3042</v>
      </c>
      <c r="AA739" s="69" t="s">
        <v>3045</v>
      </c>
    </row>
    <row r="740" spans="2:27" ht="80.25" hidden="1" customHeight="1">
      <c r="B740" s="51" t="s">
        <v>81</v>
      </c>
      <c r="C740" s="51" t="s">
        <v>2951</v>
      </c>
      <c r="D740" s="51" t="s">
        <v>82</v>
      </c>
      <c r="E740" s="52">
        <v>1</v>
      </c>
      <c r="F740" s="51" t="s">
        <v>3046</v>
      </c>
      <c r="G740" s="51" t="s">
        <v>3047</v>
      </c>
      <c r="H740" s="54" t="s">
        <v>3048</v>
      </c>
      <c r="I740" s="52">
        <v>15</v>
      </c>
      <c r="J740" s="51" t="s">
        <v>123</v>
      </c>
      <c r="K740" s="52">
        <v>10</v>
      </c>
      <c r="L740" s="52"/>
      <c r="M740" s="52"/>
      <c r="N740" s="53" t="s">
        <v>3049</v>
      </c>
      <c r="O740" s="53" t="s">
        <v>3050</v>
      </c>
      <c r="P740" s="52"/>
      <c r="Q740" s="53" t="s">
        <v>3051</v>
      </c>
      <c r="R740" s="55" t="s">
        <v>3020</v>
      </c>
      <c r="S740" s="51" t="s">
        <v>3052</v>
      </c>
      <c r="T740" s="55" t="s">
        <v>2959</v>
      </c>
      <c r="U740" s="55" t="s">
        <v>2970</v>
      </c>
      <c r="V740" s="63" t="s">
        <v>3053</v>
      </c>
      <c r="W740" s="77" t="s">
        <v>3054</v>
      </c>
      <c r="X740" s="63" t="s">
        <v>2957</v>
      </c>
      <c r="Y740" s="65" t="s">
        <v>3044</v>
      </c>
      <c r="Z740" s="65" t="s">
        <v>3053</v>
      </c>
      <c r="AA740" s="69" t="s">
        <v>3045</v>
      </c>
    </row>
    <row r="741" spans="2:27" ht="80.25" hidden="1" customHeight="1">
      <c r="B741" s="51" t="s">
        <v>81</v>
      </c>
      <c r="C741" s="51" t="s">
        <v>2951</v>
      </c>
      <c r="D741" s="51" t="s">
        <v>82</v>
      </c>
      <c r="E741" s="52">
        <v>1</v>
      </c>
      <c r="F741" s="51" t="s">
        <v>3055</v>
      </c>
      <c r="G741" s="51" t="s">
        <v>3056</v>
      </c>
      <c r="H741" s="54" t="s">
        <v>3057</v>
      </c>
      <c r="I741" s="52">
        <v>16</v>
      </c>
      <c r="J741" s="51" t="s">
        <v>123</v>
      </c>
      <c r="K741" s="52">
        <v>10</v>
      </c>
      <c r="L741" s="52"/>
      <c r="M741" s="52"/>
      <c r="N741" s="53" t="s">
        <v>3058</v>
      </c>
      <c r="O741" s="53" t="s">
        <v>3059</v>
      </c>
      <c r="P741" s="52"/>
      <c r="Q741" s="54"/>
      <c r="R741" s="55" t="s">
        <v>3020</v>
      </c>
      <c r="S741" s="51" t="s">
        <v>3060</v>
      </c>
      <c r="T741" s="55" t="s">
        <v>2959</v>
      </c>
      <c r="U741" s="55" t="s">
        <v>2970</v>
      </c>
      <c r="V741" s="63" t="s">
        <v>3061</v>
      </c>
      <c r="W741" s="346" t="s">
        <v>3062</v>
      </c>
      <c r="X741" s="63" t="s">
        <v>2957</v>
      </c>
      <c r="Y741" s="65" t="s">
        <v>3044</v>
      </c>
      <c r="Z741" s="65" t="s">
        <v>3061</v>
      </c>
      <c r="AA741" s="69" t="s">
        <v>3063</v>
      </c>
    </row>
    <row r="742" spans="2:27" ht="80.25" hidden="1" customHeight="1">
      <c r="B742" s="51" t="s">
        <v>81</v>
      </c>
      <c r="C742" s="51" t="s">
        <v>2951</v>
      </c>
      <c r="D742" s="51" t="s">
        <v>82</v>
      </c>
      <c r="E742" s="52">
        <v>1</v>
      </c>
      <c r="F742" s="51" t="s">
        <v>3064</v>
      </c>
      <c r="G742" s="51" t="s">
        <v>3065</v>
      </c>
      <c r="H742" s="54" t="s">
        <v>3057</v>
      </c>
      <c r="I742" s="52">
        <v>17</v>
      </c>
      <c r="J742" s="51" t="s">
        <v>123</v>
      </c>
      <c r="K742" s="52">
        <v>10</v>
      </c>
      <c r="L742" s="52"/>
      <c r="M742" s="52"/>
      <c r="N742" s="53" t="s">
        <v>3066</v>
      </c>
      <c r="O742" s="53" t="s">
        <v>3067</v>
      </c>
      <c r="P742" s="52"/>
      <c r="Q742" s="54"/>
      <c r="R742" s="55" t="s">
        <v>3020</v>
      </c>
      <c r="S742" s="51" t="s">
        <v>3068</v>
      </c>
      <c r="T742" s="55" t="s">
        <v>2959</v>
      </c>
      <c r="U742" s="55" t="s">
        <v>2970</v>
      </c>
      <c r="V742" s="63" t="s">
        <v>3069</v>
      </c>
      <c r="W742" s="346" t="s">
        <v>3070</v>
      </c>
      <c r="X742" s="63" t="s">
        <v>2957</v>
      </c>
      <c r="Y742" s="65" t="s">
        <v>3044</v>
      </c>
      <c r="Z742" s="65" t="s">
        <v>3069</v>
      </c>
      <c r="AA742" s="60" t="s">
        <v>3071</v>
      </c>
    </row>
    <row r="743" spans="2:27" ht="80.25" hidden="1" customHeight="1">
      <c r="B743" s="51" t="s">
        <v>81</v>
      </c>
      <c r="C743" s="51" t="s">
        <v>2951</v>
      </c>
      <c r="D743" s="51" t="s">
        <v>82</v>
      </c>
      <c r="E743" s="52">
        <v>1</v>
      </c>
      <c r="F743" s="51" t="s">
        <v>3072</v>
      </c>
      <c r="G743" s="51" t="s">
        <v>3073</v>
      </c>
      <c r="H743" s="54" t="s">
        <v>3074</v>
      </c>
      <c r="I743" s="52">
        <v>18</v>
      </c>
      <c r="J743" s="51" t="s">
        <v>123</v>
      </c>
      <c r="K743" s="52">
        <v>20</v>
      </c>
      <c r="L743" s="52"/>
      <c r="M743" s="52"/>
      <c r="N743" s="53" t="s">
        <v>3075</v>
      </c>
      <c r="O743" s="53" t="s">
        <v>3076</v>
      </c>
      <c r="P743" s="52"/>
      <c r="Q743" s="53" t="s">
        <v>3077</v>
      </c>
      <c r="R743" s="55" t="s">
        <v>3020</v>
      </c>
      <c r="S743" s="51" t="s">
        <v>3078</v>
      </c>
      <c r="T743" s="55" t="s">
        <v>2959</v>
      </c>
      <c r="U743" s="55" t="s">
        <v>2970</v>
      </c>
      <c r="V743" s="63" t="s">
        <v>3079</v>
      </c>
      <c r="W743" s="346" t="s">
        <v>3080</v>
      </c>
      <c r="X743" s="63" t="s">
        <v>2957</v>
      </c>
      <c r="Y743" s="65" t="s">
        <v>3044</v>
      </c>
      <c r="Z743" s="65" t="s">
        <v>3079</v>
      </c>
      <c r="AA743" s="69" t="s">
        <v>3045</v>
      </c>
    </row>
    <row r="744" spans="2:27" ht="80.25" hidden="1" customHeight="1">
      <c r="B744" s="51" t="s">
        <v>81</v>
      </c>
      <c r="C744" s="51" t="s">
        <v>2951</v>
      </c>
      <c r="D744" s="51" t="s">
        <v>82</v>
      </c>
      <c r="E744" s="52">
        <v>1</v>
      </c>
      <c r="F744" s="51" t="s">
        <v>247</v>
      </c>
      <c r="G744" s="51" t="s">
        <v>248</v>
      </c>
      <c r="H744" s="51" t="s">
        <v>249</v>
      </c>
      <c r="I744" s="52">
        <v>19</v>
      </c>
      <c r="J744" s="51" t="s">
        <v>250</v>
      </c>
      <c r="K744" s="52">
        <v>23</v>
      </c>
      <c r="L744" s="52">
        <v>6</v>
      </c>
      <c r="M744" s="52"/>
      <c r="N744" s="53" t="s">
        <v>3081</v>
      </c>
      <c r="O744" s="53" t="s">
        <v>252</v>
      </c>
      <c r="P744" s="52"/>
      <c r="Q744" s="54"/>
      <c r="R744" s="55" t="s">
        <v>203</v>
      </c>
      <c r="S744" s="55" t="s">
        <v>253</v>
      </c>
      <c r="T744" s="55" t="s">
        <v>3011</v>
      </c>
      <c r="U744" s="55" t="s">
        <v>3082</v>
      </c>
      <c r="V744" s="55" t="s">
        <v>3083</v>
      </c>
      <c r="W744" s="346" t="s">
        <v>3084</v>
      </c>
      <c r="X744" s="63" t="s">
        <v>2957</v>
      </c>
      <c r="Y744" s="65" t="s">
        <v>3085</v>
      </c>
      <c r="Z744" s="65" t="s">
        <v>3086</v>
      </c>
      <c r="AA744" s="60" t="s">
        <v>3087</v>
      </c>
    </row>
    <row r="745" spans="2:27" ht="80.25" hidden="1" customHeight="1">
      <c r="B745" s="51" t="s">
        <v>81</v>
      </c>
      <c r="C745" s="51" t="s">
        <v>2951</v>
      </c>
      <c r="D745" s="51" t="s">
        <v>82</v>
      </c>
      <c r="E745" s="52">
        <v>1</v>
      </c>
      <c r="F745" s="51" t="s">
        <v>260</v>
      </c>
      <c r="G745" s="51" t="s">
        <v>261</v>
      </c>
      <c r="H745" s="51" t="s">
        <v>249</v>
      </c>
      <c r="I745" s="52">
        <v>20</v>
      </c>
      <c r="J745" s="51" t="s">
        <v>250</v>
      </c>
      <c r="K745" s="52">
        <v>23</v>
      </c>
      <c r="L745" s="52">
        <v>6</v>
      </c>
      <c r="M745" s="52"/>
      <c r="N745" s="53" t="s">
        <v>3088</v>
      </c>
      <c r="O745" s="53" t="s">
        <v>263</v>
      </c>
      <c r="P745" s="52"/>
      <c r="Q745" s="54"/>
      <c r="R745" s="55"/>
      <c r="S745" s="51"/>
      <c r="T745" s="55" t="s">
        <v>2959</v>
      </c>
      <c r="U745" s="55" t="s">
        <v>3023</v>
      </c>
      <c r="V745" s="55" t="s">
        <v>3089</v>
      </c>
      <c r="W745" s="346" t="s">
        <v>3090</v>
      </c>
      <c r="X745" s="63" t="s">
        <v>2957</v>
      </c>
      <c r="Y745" s="53" t="s">
        <v>3085</v>
      </c>
      <c r="Z745" s="53" t="s">
        <v>3086</v>
      </c>
      <c r="AA745" s="60" t="s">
        <v>3087</v>
      </c>
    </row>
    <row r="746" spans="2:27" ht="80.25" hidden="1" customHeight="1">
      <c r="B746" s="51" t="s">
        <v>81</v>
      </c>
      <c r="C746" s="56" t="s">
        <v>2951</v>
      </c>
      <c r="D746" s="56" t="s">
        <v>82</v>
      </c>
      <c r="E746" s="328">
        <v>1</v>
      </c>
      <c r="F746" s="51" t="s">
        <v>1918</v>
      </c>
      <c r="G746" s="51" t="s">
        <v>1919</v>
      </c>
      <c r="H746" s="56" t="s">
        <v>249</v>
      </c>
      <c r="I746" s="328">
        <v>21</v>
      </c>
      <c r="J746" s="56" t="s">
        <v>250</v>
      </c>
      <c r="K746" s="328">
        <v>23</v>
      </c>
      <c r="L746" s="328">
        <v>6</v>
      </c>
      <c r="M746" s="328"/>
      <c r="N746" s="53" t="s">
        <v>3091</v>
      </c>
      <c r="O746" s="53" t="s">
        <v>3092</v>
      </c>
      <c r="P746" s="328"/>
      <c r="Q746" s="193"/>
      <c r="R746" s="148"/>
      <c r="S746" s="147"/>
      <c r="T746" s="55" t="s">
        <v>2959</v>
      </c>
      <c r="U746" s="55" t="s">
        <v>2970</v>
      </c>
      <c r="V746" s="55" t="s">
        <v>3093</v>
      </c>
      <c r="W746" s="346" t="s">
        <v>3094</v>
      </c>
      <c r="X746" s="336" t="s">
        <v>2957</v>
      </c>
      <c r="Y746" s="148" t="s">
        <v>3023</v>
      </c>
      <c r="Z746" s="148" t="s">
        <v>3093</v>
      </c>
      <c r="AA746" s="332" t="s">
        <v>3095</v>
      </c>
    </row>
    <row r="747" spans="2:27" ht="80.25" hidden="1" customHeight="1">
      <c r="B747" s="56" t="s">
        <v>81</v>
      </c>
      <c r="C747" s="56" t="s">
        <v>2951</v>
      </c>
      <c r="D747" s="56" t="s">
        <v>82</v>
      </c>
      <c r="E747" s="328">
        <v>1</v>
      </c>
      <c r="F747" s="56" t="s">
        <v>879</v>
      </c>
      <c r="G747" s="56" t="s">
        <v>880</v>
      </c>
      <c r="H747" s="56" t="s">
        <v>249</v>
      </c>
      <c r="I747" s="328">
        <v>22</v>
      </c>
      <c r="J747" s="56" t="s">
        <v>250</v>
      </c>
      <c r="K747" s="328">
        <v>23</v>
      </c>
      <c r="L747" s="328">
        <v>6</v>
      </c>
      <c r="M747" s="328"/>
      <c r="N747" s="53" t="s">
        <v>3096</v>
      </c>
      <c r="O747" s="53"/>
      <c r="P747" s="328"/>
      <c r="Q747" s="56"/>
      <c r="R747" s="148"/>
      <c r="S747" s="147"/>
      <c r="T747" s="55" t="s">
        <v>2959</v>
      </c>
      <c r="U747" s="55" t="s">
        <v>3023</v>
      </c>
      <c r="V747" s="55" t="s">
        <v>244</v>
      </c>
      <c r="W747" s="346" t="s">
        <v>3097</v>
      </c>
      <c r="X747" s="336" t="s">
        <v>2957</v>
      </c>
      <c r="Y747" s="148" t="s">
        <v>3085</v>
      </c>
      <c r="Z747" s="330" t="s">
        <v>3098</v>
      </c>
      <c r="AA747" s="60" t="s">
        <v>3099</v>
      </c>
    </row>
    <row r="748" spans="2:27" ht="225" hidden="1" customHeight="1">
      <c r="B748" s="56" t="s">
        <v>81</v>
      </c>
      <c r="C748" s="56" t="s">
        <v>2951</v>
      </c>
      <c r="D748" s="56" t="s">
        <v>82</v>
      </c>
      <c r="E748" s="328">
        <v>1</v>
      </c>
      <c r="F748" s="56" t="s">
        <v>648</v>
      </c>
      <c r="G748" s="56" t="s">
        <v>649</v>
      </c>
      <c r="H748" s="51" t="s">
        <v>249</v>
      </c>
      <c r="I748" s="328">
        <v>24</v>
      </c>
      <c r="J748" s="56" t="s">
        <v>250</v>
      </c>
      <c r="K748" s="328">
        <v>23</v>
      </c>
      <c r="L748" s="328">
        <v>6</v>
      </c>
      <c r="M748" s="328"/>
      <c r="N748" s="53" t="s">
        <v>650</v>
      </c>
      <c r="O748" s="53" t="s">
        <v>651</v>
      </c>
      <c r="P748" s="328"/>
      <c r="Q748" s="193"/>
      <c r="R748" s="148" t="s">
        <v>685</v>
      </c>
      <c r="S748" s="148" t="s">
        <v>686</v>
      </c>
      <c r="T748" s="55" t="s">
        <v>2959</v>
      </c>
      <c r="U748" s="55" t="s">
        <v>2970</v>
      </c>
      <c r="V748" s="55" t="s">
        <v>3100</v>
      </c>
      <c r="W748" s="346" t="s">
        <v>3101</v>
      </c>
      <c r="X748" s="63" t="s">
        <v>2957</v>
      </c>
      <c r="Y748" s="330" t="s">
        <v>3085</v>
      </c>
      <c r="Z748" s="330" t="s">
        <v>3102</v>
      </c>
      <c r="AA748" s="332" t="s">
        <v>3103</v>
      </c>
    </row>
    <row r="749" spans="2:27" ht="80.25" hidden="1" customHeight="1">
      <c r="B749" s="361" t="s">
        <v>81</v>
      </c>
      <c r="C749" s="361" t="s">
        <v>2951</v>
      </c>
      <c r="D749" s="361" t="s">
        <v>82</v>
      </c>
      <c r="E749" s="362">
        <v>1</v>
      </c>
      <c r="F749" s="347" t="s">
        <v>271</v>
      </c>
      <c r="G749" s="347" t="s">
        <v>272</v>
      </c>
      <c r="H749" s="347" t="s">
        <v>249</v>
      </c>
      <c r="I749" s="362">
        <v>25</v>
      </c>
      <c r="J749" s="361" t="s">
        <v>250</v>
      </c>
      <c r="K749" s="348">
        <v>23</v>
      </c>
      <c r="L749" s="348">
        <v>6</v>
      </c>
      <c r="M749" s="348"/>
      <c r="N749" s="184" t="s">
        <v>273</v>
      </c>
      <c r="O749" s="184" t="s">
        <v>274</v>
      </c>
      <c r="P749" s="348"/>
      <c r="Q749" s="364"/>
      <c r="R749" s="363" t="s">
        <v>275</v>
      </c>
      <c r="S749" s="364" t="s">
        <v>276</v>
      </c>
      <c r="T749" s="279" t="s">
        <v>2959</v>
      </c>
      <c r="U749" s="279" t="s">
        <v>2970</v>
      </c>
      <c r="V749" s="279" t="s">
        <v>3104</v>
      </c>
      <c r="W749" s="353" t="s">
        <v>3105</v>
      </c>
      <c r="X749" s="351" t="s">
        <v>2957</v>
      </c>
      <c r="Y749" s="368" t="s">
        <v>3106</v>
      </c>
      <c r="Z749" s="368" t="s">
        <v>3104</v>
      </c>
      <c r="AA749" s="369" t="s">
        <v>3107</v>
      </c>
    </row>
    <row r="750" spans="2:27" ht="80.25" hidden="1" customHeight="1">
      <c r="B750" s="56" t="s">
        <v>81</v>
      </c>
      <c r="C750" s="56" t="s">
        <v>2951</v>
      </c>
      <c r="D750" s="56" t="s">
        <v>82</v>
      </c>
      <c r="E750" s="328">
        <v>1</v>
      </c>
      <c r="F750" s="56" t="s">
        <v>282</v>
      </c>
      <c r="G750" s="56" t="s">
        <v>283</v>
      </c>
      <c r="H750" s="51" t="s">
        <v>249</v>
      </c>
      <c r="I750" s="328">
        <v>26</v>
      </c>
      <c r="J750" s="56" t="s">
        <v>250</v>
      </c>
      <c r="K750" s="328">
        <v>23</v>
      </c>
      <c r="L750" s="328">
        <v>6</v>
      </c>
      <c r="M750" s="328"/>
      <c r="N750" s="148" t="s">
        <v>284</v>
      </c>
      <c r="O750" s="53" t="s">
        <v>285</v>
      </c>
      <c r="P750" s="328"/>
      <c r="Q750" s="193"/>
      <c r="R750" s="337"/>
      <c r="S750" s="365"/>
      <c r="T750" s="55" t="s">
        <v>3108</v>
      </c>
      <c r="U750" s="55" t="s">
        <v>3109</v>
      </c>
      <c r="V750" s="63" t="s">
        <v>3110</v>
      </c>
      <c r="W750" s="346" t="s">
        <v>3111</v>
      </c>
      <c r="X750" s="63" t="s">
        <v>2957</v>
      </c>
      <c r="Y750" s="148" t="s">
        <v>3112</v>
      </c>
      <c r="Z750" s="148" t="s">
        <v>1942</v>
      </c>
      <c r="AA750" s="60" t="s">
        <v>3113</v>
      </c>
    </row>
    <row r="751" spans="2:27" ht="169.5" hidden="1" customHeight="1">
      <c r="B751" s="56" t="s">
        <v>81</v>
      </c>
      <c r="C751" s="56" t="s">
        <v>2951</v>
      </c>
      <c r="D751" s="56" t="s">
        <v>82</v>
      </c>
      <c r="E751" s="328">
        <v>1</v>
      </c>
      <c r="F751" s="51" t="s">
        <v>703</v>
      </c>
      <c r="G751" s="51" t="s">
        <v>704</v>
      </c>
      <c r="H751" s="51" t="s">
        <v>249</v>
      </c>
      <c r="I751" s="52">
        <v>27</v>
      </c>
      <c r="J751" s="56" t="s">
        <v>250</v>
      </c>
      <c r="K751" s="328">
        <v>23</v>
      </c>
      <c r="L751" s="328">
        <v>6</v>
      </c>
      <c r="M751" s="341"/>
      <c r="N751" s="53" t="s">
        <v>705</v>
      </c>
      <c r="O751" s="53" t="s">
        <v>706</v>
      </c>
      <c r="P751" s="52"/>
      <c r="Q751" s="51"/>
      <c r="R751" s="63"/>
      <c r="S751" s="61"/>
      <c r="T751" s="279" t="s">
        <v>2959</v>
      </c>
      <c r="U751" s="279" t="s">
        <v>2970</v>
      </c>
      <c r="V751" s="279" t="s">
        <v>3114</v>
      </c>
      <c r="W751" s="353" t="s">
        <v>3115</v>
      </c>
      <c r="X751" s="351" t="s">
        <v>2957</v>
      </c>
      <c r="Y751" s="51"/>
      <c r="Z751" s="51"/>
      <c r="AA751" s="52"/>
    </row>
    <row r="752" spans="2:27" ht="216" hidden="1" customHeight="1">
      <c r="B752" s="56" t="s">
        <v>81</v>
      </c>
      <c r="C752" s="56" t="s">
        <v>2951</v>
      </c>
      <c r="D752" s="56" t="s">
        <v>82</v>
      </c>
      <c r="E752" s="328">
        <v>1</v>
      </c>
      <c r="F752" s="51" t="s">
        <v>708</v>
      </c>
      <c r="G752" s="51" t="s">
        <v>709</v>
      </c>
      <c r="H752" s="51" t="s">
        <v>249</v>
      </c>
      <c r="I752" s="52">
        <v>28</v>
      </c>
      <c r="J752" s="56" t="s">
        <v>250</v>
      </c>
      <c r="K752" s="328">
        <v>23</v>
      </c>
      <c r="L752" s="328">
        <v>6</v>
      </c>
      <c r="M752" s="341"/>
      <c r="N752" s="53" t="s">
        <v>705</v>
      </c>
      <c r="O752" s="53" t="s">
        <v>706</v>
      </c>
      <c r="P752" s="52"/>
      <c r="Q752" s="51"/>
      <c r="R752" s="63"/>
      <c r="S752" s="61"/>
      <c r="T752" s="279" t="s">
        <v>2959</v>
      </c>
      <c r="U752" s="279" t="s">
        <v>2970</v>
      </c>
      <c r="V752" s="279" t="s">
        <v>3114</v>
      </c>
      <c r="W752" s="353" t="s">
        <v>3116</v>
      </c>
      <c r="X752" s="351" t="s">
        <v>2957</v>
      </c>
      <c r="Y752" s="51"/>
      <c r="Z752" s="51"/>
      <c r="AA752" s="52"/>
    </row>
    <row r="753" spans="2:27" ht="152.25" hidden="1" customHeight="1">
      <c r="B753" s="361" t="s">
        <v>81</v>
      </c>
      <c r="C753" s="361" t="s">
        <v>2951</v>
      </c>
      <c r="D753" s="361" t="s">
        <v>82</v>
      </c>
      <c r="E753" s="362">
        <v>1</v>
      </c>
      <c r="F753" s="347" t="s">
        <v>1522</v>
      </c>
      <c r="G753" s="347" t="s">
        <v>1523</v>
      </c>
      <c r="H753" s="349" t="s">
        <v>767</v>
      </c>
      <c r="I753" s="362">
        <v>29</v>
      </c>
      <c r="J753" s="347" t="s">
        <v>250</v>
      </c>
      <c r="K753" s="348">
        <v>23</v>
      </c>
      <c r="L753" s="348">
        <v>6</v>
      </c>
      <c r="M753" s="362"/>
      <c r="N753" s="363" t="s">
        <v>2197</v>
      </c>
      <c r="O753" s="184" t="s">
        <v>1525</v>
      </c>
      <c r="P753" s="362"/>
      <c r="Q753" s="361"/>
      <c r="R753" s="282" t="s">
        <v>788</v>
      </c>
      <c r="S753" s="361" t="s">
        <v>1526</v>
      </c>
      <c r="T753" s="279" t="s">
        <v>2981</v>
      </c>
      <c r="U753" s="279" t="s">
        <v>3117</v>
      </c>
      <c r="V753" s="279" t="s">
        <v>3118</v>
      </c>
      <c r="W753" s="350" t="s">
        <v>3119</v>
      </c>
      <c r="X753" s="351" t="s">
        <v>2957</v>
      </c>
      <c r="Y753" s="363" t="s">
        <v>3120</v>
      </c>
      <c r="Z753" s="363" t="s">
        <v>3121</v>
      </c>
      <c r="AA753" s="352" t="s">
        <v>3122</v>
      </c>
    </row>
    <row r="754" spans="2:27" ht="199.5" hidden="1" customHeight="1">
      <c r="B754" s="361" t="s">
        <v>81</v>
      </c>
      <c r="C754" s="361" t="s">
        <v>2951</v>
      </c>
      <c r="D754" s="361" t="s">
        <v>82</v>
      </c>
      <c r="E754" s="362">
        <v>1</v>
      </c>
      <c r="F754" s="347" t="s">
        <v>784</v>
      </c>
      <c r="G754" s="347" t="s">
        <v>785</v>
      </c>
      <c r="H754" s="349" t="s">
        <v>767</v>
      </c>
      <c r="I754" s="348">
        <v>30</v>
      </c>
      <c r="J754" s="347" t="s">
        <v>250</v>
      </c>
      <c r="K754" s="348">
        <v>23</v>
      </c>
      <c r="L754" s="348">
        <v>6</v>
      </c>
      <c r="M754" s="348"/>
      <c r="N754" s="184" t="s">
        <v>2215</v>
      </c>
      <c r="O754" s="184" t="s">
        <v>787</v>
      </c>
      <c r="P754" s="348"/>
      <c r="Q754" s="347"/>
      <c r="R754" s="279" t="s">
        <v>788</v>
      </c>
      <c r="S754" s="347" t="s">
        <v>789</v>
      </c>
      <c r="T754" s="279" t="s">
        <v>2959</v>
      </c>
      <c r="U754" s="279" t="s">
        <v>2970</v>
      </c>
      <c r="V754" s="282" t="s">
        <v>3123</v>
      </c>
      <c r="W754" s="350" t="s">
        <v>3124</v>
      </c>
      <c r="X754" s="351" t="s">
        <v>2957</v>
      </c>
      <c r="Y754" s="363" t="s">
        <v>3125</v>
      </c>
      <c r="Z754" s="363" t="s">
        <v>3126</v>
      </c>
      <c r="AA754" s="352" t="s">
        <v>3122</v>
      </c>
    </row>
    <row r="755" spans="2:27" ht="80.25" hidden="1" customHeight="1">
      <c r="B755" s="56" t="s">
        <v>81</v>
      </c>
      <c r="C755" s="56" t="s">
        <v>2951</v>
      </c>
      <c r="D755" s="56" t="s">
        <v>82</v>
      </c>
      <c r="E755" s="328">
        <v>1</v>
      </c>
      <c r="F755" s="51" t="s">
        <v>3127</v>
      </c>
      <c r="G755" s="51" t="s">
        <v>3128</v>
      </c>
      <c r="H755" s="193" t="s">
        <v>3129</v>
      </c>
      <c r="I755" s="328">
        <v>31</v>
      </c>
      <c r="J755" s="56" t="s">
        <v>123</v>
      </c>
      <c r="K755" s="328">
        <v>4</v>
      </c>
      <c r="L755" s="328"/>
      <c r="M755" s="328"/>
      <c r="N755" s="53" t="s">
        <v>3130</v>
      </c>
      <c r="O755" s="53" t="s">
        <v>3131</v>
      </c>
      <c r="P755" s="328"/>
      <c r="Q755" s="193"/>
      <c r="R755" s="57" t="s">
        <v>3020</v>
      </c>
      <c r="S755" s="56" t="s">
        <v>3127</v>
      </c>
      <c r="T755" s="55" t="s">
        <v>3011</v>
      </c>
      <c r="U755" s="55" t="s">
        <v>3132</v>
      </c>
      <c r="V755" s="55" t="s">
        <v>3133</v>
      </c>
      <c r="W755" s="346" t="s">
        <v>3134</v>
      </c>
      <c r="X755" s="337" t="s">
        <v>2957</v>
      </c>
      <c r="Y755" s="65" t="s">
        <v>3135</v>
      </c>
      <c r="Z755" s="65" t="s">
        <v>3136</v>
      </c>
      <c r="AA755" s="332" t="s">
        <v>3034</v>
      </c>
    </row>
    <row r="756" spans="2:27" ht="80.25" hidden="1" customHeight="1">
      <c r="B756" s="56" t="s">
        <v>81</v>
      </c>
      <c r="C756" s="56" t="s">
        <v>2951</v>
      </c>
      <c r="D756" s="56" t="s">
        <v>82</v>
      </c>
      <c r="E756" s="328">
        <v>1</v>
      </c>
      <c r="F756" s="56" t="s">
        <v>3137</v>
      </c>
      <c r="G756" s="56" t="s">
        <v>3138</v>
      </c>
      <c r="H756" s="193" t="s">
        <v>3139</v>
      </c>
      <c r="I756" s="328">
        <v>32</v>
      </c>
      <c r="J756" s="56" t="s">
        <v>123</v>
      </c>
      <c r="K756" s="328">
        <v>10</v>
      </c>
      <c r="L756" s="52"/>
      <c r="M756" s="52"/>
      <c r="N756" s="53" t="s">
        <v>3140</v>
      </c>
      <c r="O756" s="53" t="s">
        <v>3141</v>
      </c>
      <c r="P756" s="328"/>
      <c r="Q756" s="54"/>
      <c r="R756" s="55" t="s">
        <v>3020</v>
      </c>
      <c r="S756" s="51" t="s">
        <v>3137</v>
      </c>
      <c r="T756" s="55" t="s">
        <v>2959</v>
      </c>
      <c r="U756" s="55" t="s">
        <v>2970</v>
      </c>
      <c r="V756" s="55" t="s">
        <v>3142</v>
      </c>
      <c r="W756" s="346" t="s">
        <v>3143</v>
      </c>
      <c r="X756" s="63" t="s">
        <v>2957</v>
      </c>
      <c r="Y756" s="65" t="s">
        <v>3044</v>
      </c>
      <c r="Z756" s="65" t="s">
        <v>3142</v>
      </c>
      <c r="AA756" s="60" t="s">
        <v>3071</v>
      </c>
    </row>
    <row r="757" spans="2:27" ht="80.25" hidden="1" customHeight="1">
      <c r="B757" s="56" t="s">
        <v>81</v>
      </c>
      <c r="C757" s="56" t="s">
        <v>2951</v>
      </c>
      <c r="D757" s="56" t="s">
        <v>82</v>
      </c>
      <c r="E757" s="328">
        <v>1</v>
      </c>
      <c r="F757" s="56" t="s">
        <v>3144</v>
      </c>
      <c r="G757" s="56" t="s">
        <v>3145</v>
      </c>
      <c r="H757" s="54" t="s">
        <v>3146</v>
      </c>
      <c r="I757" s="328">
        <v>33</v>
      </c>
      <c r="J757" s="56" t="s">
        <v>123</v>
      </c>
      <c r="K757" s="328"/>
      <c r="L757" s="52"/>
      <c r="M757" s="52"/>
      <c r="N757" s="53" t="s">
        <v>3147</v>
      </c>
      <c r="O757" s="53" t="s">
        <v>3148</v>
      </c>
      <c r="P757" s="52"/>
      <c r="Q757" s="53" t="s">
        <v>3149</v>
      </c>
      <c r="R757" s="55" t="s">
        <v>3020</v>
      </c>
      <c r="S757" s="51" t="s">
        <v>3150</v>
      </c>
      <c r="T757" s="55" t="s">
        <v>3011</v>
      </c>
      <c r="U757" s="55" t="s">
        <v>3132</v>
      </c>
      <c r="V757" s="55" t="s">
        <v>3133</v>
      </c>
      <c r="W757" s="346" t="s">
        <v>3151</v>
      </c>
      <c r="X757" s="63" t="s">
        <v>2957</v>
      </c>
      <c r="Y757" s="65" t="s">
        <v>3135</v>
      </c>
      <c r="Z757" s="65" t="s">
        <v>3136</v>
      </c>
      <c r="AA757" s="60" t="s">
        <v>3034</v>
      </c>
    </row>
    <row r="758" spans="2:27" ht="80.25" hidden="1" customHeight="1">
      <c r="B758" s="56" t="s">
        <v>81</v>
      </c>
      <c r="C758" s="56" t="s">
        <v>2951</v>
      </c>
      <c r="D758" s="56" t="s">
        <v>82</v>
      </c>
      <c r="E758" s="328">
        <v>1</v>
      </c>
      <c r="F758" s="56" t="s">
        <v>3152</v>
      </c>
      <c r="G758" s="56" t="s">
        <v>3153</v>
      </c>
      <c r="H758" s="193" t="s">
        <v>3146</v>
      </c>
      <c r="I758" s="328">
        <v>34</v>
      </c>
      <c r="J758" s="56" t="s">
        <v>123</v>
      </c>
      <c r="K758" s="328"/>
      <c r="L758" s="328"/>
      <c r="M758" s="328"/>
      <c r="N758" s="148" t="s">
        <v>3154</v>
      </c>
      <c r="O758" s="148" t="s">
        <v>3155</v>
      </c>
      <c r="P758" s="328"/>
      <c r="Q758" s="148" t="s">
        <v>3149</v>
      </c>
      <c r="R758" s="57" t="s">
        <v>3020</v>
      </c>
      <c r="S758" s="56" t="s">
        <v>3150</v>
      </c>
      <c r="T758" s="57" t="s">
        <v>3011</v>
      </c>
      <c r="U758" s="57" t="s">
        <v>3132</v>
      </c>
      <c r="V758" s="57" t="s">
        <v>3133</v>
      </c>
      <c r="W758" s="366" t="s">
        <v>3156</v>
      </c>
      <c r="X758" s="337" t="s">
        <v>2957</v>
      </c>
      <c r="Y758" s="330" t="s">
        <v>3135</v>
      </c>
      <c r="Z758" s="330" t="s">
        <v>3136</v>
      </c>
      <c r="AA758" s="332" t="s">
        <v>3034</v>
      </c>
    </row>
    <row r="759" spans="2:27" ht="80.25" hidden="1" customHeight="1">
      <c r="B759" s="51" t="s">
        <v>81</v>
      </c>
      <c r="C759" s="51" t="s">
        <v>2951</v>
      </c>
      <c r="D759" s="51" t="s">
        <v>82</v>
      </c>
      <c r="E759" s="52">
        <v>1</v>
      </c>
      <c r="F759" s="51" t="s">
        <v>3157</v>
      </c>
      <c r="G759" s="51" t="s">
        <v>3158</v>
      </c>
      <c r="H759" s="54" t="s">
        <v>3146</v>
      </c>
      <c r="I759" s="52">
        <v>35</v>
      </c>
      <c r="J759" s="51" t="s">
        <v>123</v>
      </c>
      <c r="K759" s="52"/>
      <c r="L759" s="52"/>
      <c r="M759" s="52"/>
      <c r="N759" s="53" t="s">
        <v>3159</v>
      </c>
      <c r="O759" s="53" t="s">
        <v>3160</v>
      </c>
      <c r="P759" s="52"/>
      <c r="Q759" s="54"/>
      <c r="R759" s="55" t="s">
        <v>3020</v>
      </c>
      <c r="S759" s="51" t="s">
        <v>3157</v>
      </c>
      <c r="T759" s="55" t="s">
        <v>2981</v>
      </c>
      <c r="U759" s="55" t="s">
        <v>3161</v>
      </c>
      <c r="V759" s="55" t="s">
        <v>3162</v>
      </c>
      <c r="W759" s="346" t="s">
        <v>3163</v>
      </c>
      <c r="X759" s="63" t="s">
        <v>2957</v>
      </c>
      <c r="Y759" s="53" t="s">
        <v>3164</v>
      </c>
      <c r="Z759" s="53" t="s">
        <v>3165</v>
      </c>
      <c r="AA759" s="69" t="s">
        <v>3071</v>
      </c>
    </row>
    <row r="760" spans="2:27" ht="80.25" hidden="1" customHeight="1">
      <c r="B760" s="51" t="s">
        <v>81</v>
      </c>
      <c r="C760" s="51" t="s">
        <v>2951</v>
      </c>
      <c r="D760" s="51" t="s">
        <v>82</v>
      </c>
      <c r="E760" s="52">
        <v>1</v>
      </c>
      <c r="F760" s="51" t="s">
        <v>293</v>
      </c>
      <c r="G760" s="51" t="s">
        <v>294</v>
      </c>
      <c r="H760" s="54" t="s">
        <v>295</v>
      </c>
      <c r="I760" s="52">
        <v>36</v>
      </c>
      <c r="J760" s="51" t="s">
        <v>123</v>
      </c>
      <c r="K760" s="52">
        <v>3</v>
      </c>
      <c r="L760" s="52"/>
      <c r="M760" s="52"/>
      <c r="N760" s="53" t="s">
        <v>296</v>
      </c>
      <c r="O760" s="53" t="s">
        <v>297</v>
      </c>
      <c r="P760" s="52"/>
      <c r="Q760" s="53" t="s">
        <v>3166</v>
      </c>
      <c r="R760" s="55" t="s">
        <v>299</v>
      </c>
      <c r="S760" s="51" t="s">
        <v>300</v>
      </c>
      <c r="T760" s="55" t="s">
        <v>3167</v>
      </c>
      <c r="U760" s="55" t="s">
        <v>2967</v>
      </c>
      <c r="V760" s="55" t="s">
        <v>3168</v>
      </c>
      <c r="W760" s="346" t="s">
        <v>3169</v>
      </c>
      <c r="X760" s="63" t="s">
        <v>2957</v>
      </c>
      <c r="Y760" s="65" t="s">
        <v>2973</v>
      </c>
      <c r="Z760" s="53" t="s">
        <v>3170</v>
      </c>
      <c r="AA760" s="60" t="s">
        <v>939</v>
      </c>
    </row>
    <row r="761" spans="2:27" ht="80.25" hidden="1" customHeight="1">
      <c r="B761" s="51" t="s">
        <v>81</v>
      </c>
      <c r="C761" s="51" t="s">
        <v>2951</v>
      </c>
      <c r="D761" s="51" t="s">
        <v>82</v>
      </c>
      <c r="E761" s="52">
        <v>1</v>
      </c>
      <c r="F761" s="51" t="s">
        <v>304</v>
      </c>
      <c r="G761" s="51" t="s">
        <v>305</v>
      </c>
      <c r="H761" s="54" t="s">
        <v>295</v>
      </c>
      <c r="I761" s="52">
        <v>37</v>
      </c>
      <c r="J761" s="51" t="s">
        <v>123</v>
      </c>
      <c r="K761" s="52">
        <v>3</v>
      </c>
      <c r="L761" s="52"/>
      <c r="M761" s="52"/>
      <c r="N761" s="53" t="s">
        <v>306</v>
      </c>
      <c r="O761" s="53" t="s">
        <v>307</v>
      </c>
      <c r="P761" s="52"/>
      <c r="Q761" s="53" t="s">
        <v>3171</v>
      </c>
      <c r="R761" s="55" t="s">
        <v>203</v>
      </c>
      <c r="S761" s="51" t="s">
        <v>309</v>
      </c>
      <c r="T761" s="55" t="s">
        <v>3172</v>
      </c>
      <c r="U761" s="55" t="s">
        <v>3173</v>
      </c>
      <c r="V761" s="55" t="s">
        <v>1787</v>
      </c>
      <c r="W761" s="346" t="s">
        <v>3174</v>
      </c>
      <c r="X761" s="63" t="s">
        <v>2957</v>
      </c>
      <c r="Y761" s="65" t="s">
        <v>3175</v>
      </c>
      <c r="Z761" s="63" t="s">
        <v>3176</v>
      </c>
      <c r="AA761" s="60" t="s">
        <v>3177</v>
      </c>
    </row>
    <row r="762" spans="2:27" ht="80.25" hidden="1" customHeight="1">
      <c r="B762" s="51" t="s">
        <v>81</v>
      </c>
      <c r="C762" s="51" t="s">
        <v>2951</v>
      </c>
      <c r="D762" s="51" t="s">
        <v>82</v>
      </c>
      <c r="E762" s="52">
        <v>1</v>
      </c>
      <c r="F762" s="51" t="s">
        <v>317</v>
      </c>
      <c r="G762" s="51" t="s">
        <v>318</v>
      </c>
      <c r="H762" s="51" t="s">
        <v>319</v>
      </c>
      <c r="I762" s="52">
        <v>38</v>
      </c>
      <c r="J762" s="51" t="s">
        <v>123</v>
      </c>
      <c r="K762" s="52">
        <v>2</v>
      </c>
      <c r="L762" s="52"/>
      <c r="M762" s="52"/>
      <c r="N762" s="53" t="s">
        <v>320</v>
      </c>
      <c r="O762" s="53" t="s">
        <v>321</v>
      </c>
      <c r="P762" s="52"/>
      <c r="Q762" s="53" t="s">
        <v>3178</v>
      </c>
      <c r="R762" s="55"/>
      <c r="S762" s="51"/>
      <c r="T762" s="55" t="s">
        <v>2959</v>
      </c>
      <c r="U762" s="55" t="s">
        <v>2970</v>
      </c>
      <c r="V762" s="55" t="s">
        <v>939</v>
      </c>
      <c r="W762" s="346" t="s">
        <v>3179</v>
      </c>
      <c r="X762" s="63" t="s">
        <v>2957</v>
      </c>
      <c r="Y762" s="53" t="s">
        <v>939</v>
      </c>
      <c r="Z762" s="53" t="s">
        <v>939</v>
      </c>
      <c r="AA762" s="60" t="s">
        <v>3180</v>
      </c>
    </row>
    <row r="763" spans="2:27" ht="80.25" hidden="1" customHeight="1">
      <c r="B763" s="56" t="s">
        <v>81</v>
      </c>
      <c r="C763" s="51" t="s">
        <v>2951</v>
      </c>
      <c r="D763" s="56" t="s">
        <v>82</v>
      </c>
      <c r="E763" s="328">
        <v>1</v>
      </c>
      <c r="F763" s="51" t="s">
        <v>326</v>
      </c>
      <c r="G763" s="51" t="s">
        <v>327</v>
      </c>
      <c r="H763" s="56" t="s">
        <v>328</v>
      </c>
      <c r="I763" s="328">
        <v>39</v>
      </c>
      <c r="J763" s="56" t="s">
        <v>123</v>
      </c>
      <c r="K763" s="328">
        <v>10</v>
      </c>
      <c r="L763" s="328"/>
      <c r="M763" s="328"/>
      <c r="N763" s="148" t="s">
        <v>329</v>
      </c>
      <c r="O763" s="53" t="s">
        <v>361</v>
      </c>
      <c r="P763" s="328" t="s">
        <v>126</v>
      </c>
      <c r="Q763" s="193"/>
      <c r="R763" s="57" t="s">
        <v>275</v>
      </c>
      <c r="S763" s="56" t="s">
        <v>803</v>
      </c>
      <c r="T763" s="55" t="s">
        <v>2959</v>
      </c>
      <c r="U763" s="55" t="s">
        <v>2970</v>
      </c>
      <c r="V763" s="55" t="s">
        <v>3181</v>
      </c>
      <c r="W763" s="366" t="s">
        <v>3182</v>
      </c>
      <c r="X763" s="53" t="s">
        <v>939</v>
      </c>
      <c r="Y763" s="148" t="s">
        <v>939</v>
      </c>
      <c r="Z763" s="148" t="s">
        <v>939</v>
      </c>
      <c r="AA763" s="332" t="s">
        <v>939</v>
      </c>
    </row>
    <row r="764" spans="2:27" ht="80.25" hidden="1" customHeight="1">
      <c r="B764" s="56" t="s">
        <v>81</v>
      </c>
      <c r="C764" s="51" t="s">
        <v>2951</v>
      </c>
      <c r="D764" s="56" t="s">
        <v>82</v>
      </c>
      <c r="E764" s="328">
        <v>1</v>
      </c>
      <c r="F764" s="51" t="s">
        <v>333</v>
      </c>
      <c r="G764" s="51" t="s">
        <v>334</v>
      </c>
      <c r="H764" s="56" t="s">
        <v>335</v>
      </c>
      <c r="I764" s="328">
        <v>40</v>
      </c>
      <c r="J764" s="56" t="s">
        <v>336</v>
      </c>
      <c r="K764" s="328">
        <v>23</v>
      </c>
      <c r="L764" s="328"/>
      <c r="M764" s="328"/>
      <c r="N764" s="148" t="s">
        <v>337</v>
      </c>
      <c r="O764" s="53" t="s">
        <v>338</v>
      </c>
      <c r="P764" s="328"/>
      <c r="Q764" s="193"/>
      <c r="R764" s="57"/>
      <c r="S764" s="56"/>
      <c r="T764" s="55" t="s">
        <v>2959</v>
      </c>
      <c r="U764" s="55" t="s">
        <v>2970</v>
      </c>
      <c r="V764" s="55" t="s">
        <v>244</v>
      </c>
      <c r="W764" s="366" t="s">
        <v>3183</v>
      </c>
      <c r="X764" s="53" t="s">
        <v>939</v>
      </c>
      <c r="Y764" s="148" t="s">
        <v>939</v>
      </c>
      <c r="Z764" s="148" t="s">
        <v>939</v>
      </c>
      <c r="AA764" s="332" t="s">
        <v>939</v>
      </c>
    </row>
    <row r="765" spans="2:27" ht="80.25" hidden="1" customHeight="1">
      <c r="B765" s="62" t="s">
        <v>81</v>
      </c>
      <c r="C765" s="62" t="s">
        <v>3184</v>
      </c>
      <c r="D765" s="62" t="s">
        <v>3185</v>
      </c>
      <c r="E765" s="318">
        <v>0</v>
      </c>
      <c r="F765" s="51" t="s">
        <v>120</v>
      </c>
      <c r="G765" s="51" t="s">
        <v>121</v>
      </c>
      <c r="H765" s="74"/>
      <c r="I765" s="318">
        <v>1</v>
      </c>
      <c r="J765" s="62"/>
      <c r="K765" s="318"/>
      <c r="L765" s="318"/>
      <c r="M765" s="318"/>
      <c r="N765" s="84"/>
      <c r="O765" s="53" t="s">
        <v>125</v>
      </c>
      <c r="P765" s="318" t="s">
        <v>126</v>
      </c>
      <c r="Q765" s="62"/>
      <c r="R765" s="168"/>
      <c r="S765" s="74"/>
      <c r="T765" s="84" t="s">
        <v>2981</v>
      </c>
      <c r="U765" s="84" t="s">
        <v>3186</v>
      </c>
      <c r="V765" s="84" t="s">
        <v>3187</v>
      </c>
      <c r="W765" s="374" t="s">
        <v>3188</v>
      </c>
      <c r="X765" s="62"/>
      <c r="Y765" s="62"/>
      <c r="Z765" s="62"/>
      <c r="AA765" s="318"/>
    </row>
    <row r="766" spans="2:27" ht="80.25" hidden="1" customHeight="1">
      <c r="B766" s="62" t="s">
        <v>81</v>
      </c>
      <c r="C766" s="62" t="s">
        <v>3184</v>
      </c>
      <c r="D766" s="62" t="s">
        <v>3185</v>
      </c>
      <c r="E766" s="318">
        <v>0</v>
      </c>
      <c r="F766" s="62" t="s">
        <v>136</v>
      </c>
      <c r="G766" s="62" t="s">
        <v>137</v>
      </c>
      <c r="H766" s="74"/>
      <c r="I766" s="318">
        <v>2</v>
      </c>
      <c r="J766" s="62"/>
      <c r="K766" s="318"/>
      <c r="L766" s="318"/>
      <c r="M766" s="318"/>
      <c r="N766" s="84"/>
      <c r="O766" s="53" t="s">
        <v>139</v>
      </c>
      <c r="P766" s="318" t="s">
        <v>126</v>
      </c>
      <c r="Q766" s="62"/>
      <c r="R766" s="168"/>
      <c r="S766" s="74"/>
      <c r="T766" s="84" t="s">
        <v>3189</v>
      </c>
      <c r="U766" s="84" t="s">
        <v>3190</v>
      </c>
      <c r="V766" s="84" t="s">
        <v>3191</v>
      </c>
      <c r="W766" s="374" t="s">
        <v>3192</v>
      </c>
      <c r="X766" s="62"/>
      <c r="Y766" s="62"/>
      <c r="Z766" s="62"/>
      <c r="AA766" s="318"/>
    </row>
    <row r="767" spans="2:27" ht="80.25" hidden="1" customHeight="1">
      <c r="B767" s="340" t="s">
        <v>81</v>
      </c>
      <c r="C767" s="62" t="s">
        <v>3184</v>
      </c>
      <c r="D767" s="62" t="s">
        <v>3185</v>
      </c>
      <c r="E767" s="341">
        <v>0</v>
      </c>
      <c r="F767" s="340" t="s">
        <v>352</v>
      </c>
      <c r="G767" s="340" t="s">
        <v>353</v>
      </c>
      <c r="H767" s="325" t="s">
        <v>240</v>
      </c>
      <c r="I767" s="341">
        <v>3</v>
      </c>
      <c r="J767" s="323" t="s">
        <v>123</v>
      </c>
      <c r="K767" s="341"/>
      <c r="L767" s="341"/>
      <c r="M767" s="341"/>
      <c r="N767" s="81" t="s">
        <v>354</v>
      </c>
      <c r="O767" s="148" t="s">
        <v>355</v>
      </c>
      <c r="P767" s="341"/>
      <c r="Q767" s="340"/>
      <c r="R767" s="344"/>
      <c r="S767" s="342"/>
      <c r="T767" s="84" t="s">
        <v>2981</v>
      </c>
      <c r="U767" s="84" t="s">
        <v>3193</v>
      </c>
      <c r="V767" s="343" t="s">
        <v>3187</v>
      </c>
      <c r="W767" s="374" t="s">
        <v>3194</v>
      </c>
      <c r="X767" s="340"/>
      <c r="Y767" s="340"/>
      <c r="Z767" s="340"/>
      <c r="AA767" s="341"/>
    </row>
    <row r="768" spans="2:27" ht="80.25" hidden="1" customHeight="1">
      <c r="B768" s="340" t="s">
        <v>81</v>
      </c>
      <c r="C768" s="62" t="s">
        <v>3184</v>
      </c>
      <c r="D768" s="62" t="s">
        <v>3185</v>
      </c>
      <c r="E768" s="341">
        <v>0</v>
      </c>
      <c r="F768" s="62" t="s">
        <v>317</v>
      </c>
      <c r="G768" s="62" t="s">
        <v>318</v>
      </c>
      <c r="H768" s="74"/>
      <c r="I768" s="318">
        <v>4</v>
      </c>
      <c r="J768" s="62"/>
      <c r="K768" s="318"/>
      <c r="L768" s="318"/>
      <c r="M768" s="318"/>
      <c r="N768" s="84"/>
      <c r="O768" s="53" t="s">
        <v>321</v>
      </c>
      <c r="P768" s="318" t="s">
        <v>126</v>
      </c>
      <c r="Q768" s="62"/>
      <c r="R768" s="168"/>
      <c r="S768" s="74"/>
      <c r="T768" s="84" t="s">
        <v>3011</v>
      </c>
      <c r="U768" s="84" t="s">
        <v>3193</v>
      </c>
      <c r="V768" s="84" t="s">
        <v>3187</v>
      </c>
      <c r="W768" s="374" t="s">
        <v>3195</v>
      </c>
      <c r="X768" s="62"/>
      <c r="Y768" s="62"/>
      <c r="Z768" s="62"/>
      <c r="AA768" s="318"/>
    </row>
    <row r="769" spans="2:27" ht="80.25" hidden="1" customHeight="1">
      <c r="B769" s="340" t="s">
        <v>81</v>
      </c>
      <c r="C769" s="62" t="s">
        <v>3184</v>
      </c>
      <c r="D769" s="62" t="s">
        <v>3185</v>
      </c>
      <c r="E769" s="341">
        <v>0</v>
      </c>
      <c r="F769" s="51" t="s">
        <v>326</v>
      </c>
      <c r="G769" s="51" t="s">
        <v>327</v>
      </c>
      <c r="H769" s="342"/>
      <c r="I769" s="341">
        <v>5</v>
      </c>
      <c r="J769" s="340"/>
      <c r="K769" s="341"/>
      <c r="L769" s="341"/>
      <c r="M769" s="341"/>
      <c r="N769" s="343"/>
      <c r="O769" s="53" t="s">
        <v>361</v>
      </c>
      <c r="P769" s="341"/>
      <c r="Q769" s="62"/>
      <c r="R769" s="168"/>
      <c r="S769" s="74"/>
      <c r="T769" s="84" t="s">
        <v>2981</v>
      </c>
      <c r="U769" s="84" t="s">
        <v>3193</v>
      </c>
      <c r="V769" s="84" t="s">
        <v>3196</v>
      </c>
      <c r="W769" s="374" t="s">
        <v>3197</v>
      </c>
      <c r="X769" s="62"/>
      <c r="Y769" s="62"/>
      <c r="Z769" s="62"/>
      <c r="AA769" s="318"/>
    </row>
    <row r="770" spans="2:27" ht="80.25" hidden="1" customHeight="1">
      <c r="B770" s="340" t="s">
        <v>81</v>
      </c>
      <c r="C770" s="62" t="s">
        <v>3184</v>
      </c>
      <c r="D770" s="62" t="s">
        <v>3185</v>
      </c>
      <c r="E770" s="341">
        <v>0</v>
      </c>
      <c r="F770" s="51" t="s">
        <v>333</v>
      </c>
      <c r="G770" s="51" t="s">
        <v>334</v>
      </c>
      <c r="H770" s="342"/>
      <c r="I770" s="341">
        <v>6</v>
      </c>
      <c r="J770" s="340"/>
      <c r="K770" s="341"/>
      <c r="L770" s="341"/>
      <c r="M770" s="341"/>
      <c r="N770" s="343"/>
      <c r="O770" s="53" t="s">
        <v>338</v>
      </c>
      <c r="P770" s="341"/>
      <c r="Q770" s="340"/>
      <c r="R770" s="344"/>
      <c r="S770" s="342"/>
      <c r="T770" s="84" t="s">
        <v>2959</v>
      </c>
      <c r="U770" s="84" t="s">
        <v>2970</v>
      </c>
      <c r="V770" s="84" t="s">
        <v>3012</v>
      </c>
      <c r="W770" s="374" t="s">
        <v>3198</v>
      </c>
      <c r="X770" s="340"/>
      <c r="Y770" s="340"/>
      <c r="Z770" s="340"/>
      <c r="AA770" s="341"/>
    </row>
    <row r="771" spans="2:27" ht="87" hidden="1" customHeight="1">
      <c r="B771" s="51" t="s">
        <v>340</v>
      </c>
      <c r="C771" s="51" t="s">
        <v>2222</v>
      </c>
      <c r="D771" s="51" t="s">
        <v>2223</v>
      </c>
      <c r="E771" s="52">
        <v>0</v>
      </c>
      <c r="F771" s="51" t="s">
        <v>333</v>
      </c>
      <c r="G771" s="51" t="s">
        <v>334</v>
      </c>
      <c r="H771" s="51" t="s">
        <v>335</v>
      </c>
      <c r="I771" s="52">
        <v>6</v>
      </c>
      <c r="J771" s="51" t="s">
        <v>336</v>
      </c>
      <c r="K771" s="52">
        <v>23</v>
      </c>
      <c r="L771" s="52"/>
      <c r="M771" s="52"/>
      <c r="N771" s="53" t="s">
        <v>337</v>
      </c>
      <c r="O771" s="53" t="s">
        <v>338</v>
      </c>
      <c r="P771" s="52"/>
      <c r="Q771" s="51"/>
      <c r="R771" s="55"/>
      <c r="S771" s="51"/>
      <c r="T771" s="51" t="s">
        <v>2152</v>
      </c>
      <c r="U771" s="51" t="s">
        <v>426</v>
      </c>
      <c r="V771" s="53" t="s">
        <v>372</v>
      </c>
      <c r="W771" s="346" t="s">
        <v>3199</v>
      </c>
      <c r="X771" s="51" t="s">
        <v>1593</v>
      </c>
      <c r="Y771" s="54" t="s">
        <v>1590</v>
      </c>
      <c r="Z771" s="51" t="s">
        <v>372</v>
      </c>
      <c r="AA771" s="52" t="s">
        <v>372</v>
      </c>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2"/>
  <sheetViews>
    <sheetView showGridLines="0" topLeftCell="D1" workbookViewId="0">
      <selection activeCell="G108" sqref="G108"/>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3200</v>
      </c>
      <c r="C2" s="58" t="s">
        <v>95</v>
      </c>
      <c r="D2" s="58" t="s">
        <v>3201</v>
      </c>
      <c r="E2" s="58" t="s">
        <v>3202</v>
      </c>
      <c r="F2" s="58" t="s">
        <v>3203</v>
      </c>
      <c r="G2" s="58" t="s">
        <v>3204</v>
      </c>
      <c r="H2" s="59" t="s">
        <v>3205</v>
      </c>
      <c r="I2" s="109" t="s">
        <v>3206</v>
      </c>
    </row>
    <row r="3" spans="2:9" ht="30" hidden="1" customHeight="1">
      <c r="B3" s="51" t="s">
        <v>4</v>
      </c>
      <c r="C3" s="51" t="s">
        <v>5</v>
      </c>
      <c r="D3" s="51" t="s">
        <v>3207</v>
      </c>
      <c r="E3" s="51" t="s">
        <v>3208</v>
      </c>
      <c r="F3" s="51" t="s">
        <v>3207</v>
      </c>
      <c r="G3" s="51" t="s">
        <v>3209</v>
      </c>
      <c r="H3" s="55" t="s">
        <v>3210</v>
      </c>
      <c r="I3" s="55" t="s">
        <v>3211</v>
      </c>
    </row>
    <row r="4" spans="2:9" ht="30" hidden="1" customHeight="1">
      <c r="B4" s="51" t="s">
        <v>4</v>
      </c>
      <c r="C4" s="51" t="s">
        <v>5</v>
      </c>
      <c r="D4" s="51" t="s">
        <v>3207</v>
      </c>
      <c r="E4" s="51" t="s">
        <v>3208</v>
      </c>
      <c r="F4" s="51" t="s">
        <v>3207</v>
      </c>
      <c r="G4" s="51" t="s">
        <v>3212</v>
      </c>
      <c r="H4" s="55" t="s">
        <v>3213</v>
      </c>
      <c r="I4" s="55" t="s">
        <v>3211</v>
      </c>
    </row>
    <row r="5" spans="2:9" ht="30" hidden="1" customHeight="1">
      <c r="B5" s="51" t="s">
        <v>4</v>
      </c>
      <c r="C5" s="51" t="s">
        <v>5</v>
      </c>
      <c r="D5" s="51" t="s">
        <v>3207</v>
      </c>
      <c r="E5" s="51" t="s">
        <v>3208</v>
      </c>
      <c r="F5" s="51" t="s">
        <v>3207</v>
      </c>
      <c r="G5" s="51" t="s">
        <v>3214</v>
      </c>
      <c r="H5" s="55" t="s">
        <v>3215</v>
      </c>
      <c r="I5" s="55" t="s">
        <v>3211</v>
      </c>
    </row>
    <row r="6" spans="2:9" ht="30" hidden="1" customHeight="1">
      <c r="B6" s="51" t="s">
        <v>4</v>
      </c>
      <c r="C6" s="51" t="s">
        <v>5</v>
      </c>
      <c r="D6" s="51" t="s">
        <v>3207</v>
      </c>
      <c r="E6" s="51" t="s">
        <v>3208</v>
      </c>
      <c r="F6" s="51" t="s">
        <v>3216</v>
      </c>
      <c r="G6" s="51" t="s">
        <v>3217</v>
      </c>
      <c r="H6" s="55" t="s">
        <v>3218</v>
      </c>
      <c r="I6" s="55" t="s">
        <v>3219</v>
      </c>
    </row>
    <row r="7" spans="2:9" ht="30" hidden="1" customHeight="1">
      <c r="B7" s="51" t="s">
        <v>4</v>
      </c>
      <c r="C7" s="51" t="s">
        <v>5</v>
      </c>
      <c r="D7" s="51" t="s">
        <v>3207</v>
      </c>
      <c r="E7" s="51" t="s">
        <v>3208</v>
      </c>
      <c r="F7" s="51" t="s">
        <v>3216</v>
      </c>
      <c r="G7" s="51" t="s">
        <v>3220</v>
      </c>
      <c r="H7" s="55" t="s">
        <v>3221</v>
      </c>
      <c r="I7" s="55" t="s">
        <v>3211</v>
      </c>
    </row>
    <row r="8" spans="2:9" ht="30" hidden="1" customHeight="1">
      <c r="B8" s="51" t="s">
        <v>4</v>
      </c>
      <c r="C8" s="51" t="s">
        <v>5</v>
      </c>
      <c r="D8" s="51" t="s">
        <v>3207</v>
      </c>
      <c r="E8" s="51" t="s">
        <v>3208</v>
      </c>
      <c r="F8" s="51" t="s">
        <v>3216</v>
      </c>
      <c r="G8" s="51" t="s">
        <v>3222</v>
      </c>
      <c r="H8" s="55" t="s">
        <v>3223</v>
      </c>
      <c r="I8" s="55" t="s">
        <v>3211</v>
      </c>
    </row>
    <row r="9" spans="2:9" ht="30" hidden="1" customHeight="1">
      <c r="B9" s="51" t="s">
        <v>4</v>
      </c>
      <c r="C9" s="51" t="s">
        <v>5</v>
      </c>
      <c r="D9" s="51" t="s">
        <v>3207</v>
      </c>
      <c r="E9" s="51" t="s">
        <v>3208</v>
      </c>
      <c r="F9" s="51" t="s">
        <v>3216</v>
      </c>
      <c r="G9" s="51" t="s">
        <v>3224</v>
      </c>
      <c r="H9" s="55" t="s">
        <v>3225</v>
      </c>
      <c r="I9" s="55" t="s">
        <v>3211</v>
      </c>
    </row>
    <row r="10" spans="2:9" ht="30" hidden="1" customHeight="1">
      <c r="B10" s="51" t="s">
        <v>4</v>
      </c>
      <c r="C10" s="51" t="s">
        <v>5</v>
      </c>
      <c r="D10" s="51" t="s">
        <v>3216</v>
      </c>
      <c r="E10" s="103" t="s">
        <v>3226</v>
      </c>
      <c r="F10" s="51" t="s">
        <v>3216</v>
      </c>
      <c r="G10" s="51" t="s">
        <v>3217</v>
      </c>
      <c r="H10" s="55" t="s">
        <v>3227</v>
      </c>
      <c r="I10" s="55" t="s">
        <v>3211</v>
      </c>
    </row>
    <row r="11" spans="2:9" ht="30" hidden="1" customHeight="1">
      <c r="B11" s="51" t="s">
        <v>4</v>
      </c>
      <c r="C11" s="51" t="s">
        <v>5</v>
      </c>
      <c r="D11" s="51" t="s">
        <v>3228</v>
      </c>
      <c r="E11" s="51" t="s">
        <v>3229</v>
      </c>
      <c r="F11" s="51" t="s">
        <v>3228</v>
      </c>
      <c r="G11" s="51" t="s">
        <v>3230</v>
      </c>
      <c r="H11" s="55" t="s">
        <v>3231</v>
      </c>
      <c r="I11" s="55" t="s">
        <v>3211</v>
      </c>
    </row>
    <row r="12" spans="2:9" ht="30" hidden="1" customHeight="1">
      <c r="B12" s="51" t="s">
        <v>4</v>
      </c>
      <c r="C12" s="51" t="s">
        <v>5</v>
      </c>
      <c r="D12" s="51" t="s">
        <v>3228</v>
      </c>
      <c r="E12" s="51" t="s">
        <v>3229</v>
      </c>
      <c r="F12" s="51" t="s">
        <v>3216</v>
      </c>
      <c r="G12" s="51" t="s">
        <v>3232</v>
      </c>
      <c r="H12" s="55" t="s">
        <v>3233</v>
      </c>
      <c r="I12" s="55" t="s">
        <v>3211</v>
      </c>
    </row>
    <row r="13" spans="2:9" ht="30" hidden="1" customHeight="1">
      <c r="B13" s="51" t="s">
        <v>4</v>
      </c>
      <c r="C13" s="51" t="s">
        <v>5</v>
      </c>
      <c r="D13" s="51" t="s">
        <v>3207</v>
      </c>
      <c r="E13" s="50" t="s">
        <v>3208</v>
      </c>
      <c r="F13" s="51" t="s">
        <v>3216</v>
      </c>
      <c r="G13" s="51" t="s">
        <v>3234</v>
      </c>
      <c r="H13" s="55" t="s">
        <v>3235</v>
      </c>
      <c r="I13" s="55" t="s">
        <v>3211</v>
      </c>
    </row>
    <row r="14" spans="2:9" ht="30" hidden="1" customHeight="1">
      <c r="B14" s="51" t="s">
        <v>4</v>
      </c>
      <c r="C14" s="51" t="s">
        <v>5</v>
      </c>
      <c r="D14" s="56" t="s">
        <v>3216</v>
      </c>
      <c r="E14" s="56" t="s">
        <v>3234</v>
      </c>
      <c r="F14" s="56" t="s">
        <v>3216</v>
      </c>
      <c r="G14" s="56" t="s">
        <v>3232</v>
      </c>
      <c r="H14" s="57" t="s">
        <v>3236</v>
      </c>
      <c r="I14" s="55" t="s">
        <v>3211</v>
      </c>
    </row>
    <row r="15" spans="2:9" ht="30" customHeight="1">
      <c r="B15" s="51" t="s">
        <v>4</v>
      </c>
      <c r="C15" s="51" t="s">
        <v>5</v>
      </c>
      <c r="D15" s="56" t="s">
        <v>3216</v>
      </c>
      <c r="E15" s="56" t="s">
        <v>3217</v>
      </c>
      <c r="F15" s="388" t="s">
        <v>340</v>
      </c>
      <c r="G15" s="388" t="s">
        <v>7</v>
      </c>
      <c r="H15" s="389" t="s">
        <v>3237</v>
      </c>
      <c r="I15" s="388" t="s">
        <v>3219</v>
      </c>
    </row>
    <row r="16" spans="2:9" ht="30" customHeight="1">
      <c r="B16" s="51" t="s">
        <v>4</v>
      </c>
      <c r="C16" s="51" t="s">
        <v>5</v>
      </c>
      <c r="D16" s="390" t="s">
        <v>3238</v>
      </c>
      <c r="E16" s="390" t="s">
        <v>3239</v>
      </c>
      <c r="F16" s="390" t="s">
        <v>340</v>
      </c>
      <c r="G16" s="390" t="s">
        <v>7</v>
      </c>
      <c r="H16" s="391" t="s">
        <v>3240</v>
      </c>
      <c r="I16" s="388" t="s">
        <v>3219</v>
      </c>
    </row>
    <row r="17" spans="2:9" ht="30" customHeight="1">
      <c r="B17" s="51" t="s">
        <v>4</v>
      </c>
      <c r="C17" s="51" t="s">
        <v>5</v>
      </c>
      <c r="D17" s="390" t="s">
        <v>3228</v>
      </c>
      <c r="E17" s="390" t="s">
        <v>3229</v>
      </c>
      <c r="F17" s="390" t="s">
        <v>340</v>
      </c>
      <c r="G17" s="390" t="s">
        <v>7</v>
      </c>
      <c r="H17" s="391" t="s">
        <v>3241</v>
      </c>
      <c r="I17" s="388" t="s">
        <v>3219</v>
      </c>
    </row>
    <row r="18" spans="2:9" ht="30" hidden="1" customHeight="1">
      <c r="B18" s="51" t="s">
        <v>9</v>
      </c>
      <c r="C18" s="51" t="s">
        <v>10</v>
      </c>
      <c r="D18" s="51" t="s">
        <v>3242</v>
      </c>
      <c r="E18" s="51" t="s">
        <v>3243</v>
      </c>
      <c r="F18" s="51" t="s">
        <v>3242</v>
      </c>
      <c r="G18" s="51" t="s">
        <v>3244</v>
      </c>
      <c r="H18" s="55" t="s">
        <v>3245</v>
      </c>
      <c r="I18" s="55" t="s">
        <v>3211</v>
      </c>
    </row>
    <row r="19" spans="2:9" ht="30" hidden="1" customHeight="1">
      <c r="B19" s="51" t="s">
        <v>9</v>
      </c>
      <c r="C19" s="51" t="s">
        <v>10</v>
      </c>
      <c r="D19" s="51" t="s">
        <v>3242</v>
      </c>
      <c r="E19" s="51" t="s">
        <v>3243</v>
      </c>
      <c r="F19" s="51" t="s">
        <v>3242</v>
      </c>
      <c r="G19" s="51" t="s">
        <v>3246</v>
      </c>
      <c r="H19" s="55" t="s">
        <v>3247</v>
      </c>
      <c r="I19" s="55" t="s">
        <v>3211</v>
      </c>
    </row>
    <row r="20" spans="2:9" ht="30" hidden="1" customHeight="1">
      <c r="B20" s="51" t="s">
        <v>9</v>
      </c>
      <c r="C20" s="51" t="s">
        <v>10</v>
      </c>
      <c r="D20" s="51" t="s">
        <v>3242</v>
      </c>
      <c r="E20" s="51" t="s">
        <v>3243</v>
      </c>
      <c r="F20" s="51" t="s">
        <v>3238</v>
      </c>
      <c r="G20" s="51" t="s">
        <v>3239</v>
      </c>
      <c r="H20" s="55" t="s">
        <v>3248</v>
      </c>
      <c r="I20" s="55" t="s">
        <v>3211</v>
      </c>
    </row>
    <row r="21" spans="2:9" ht="30" hidden="1" customHeight="1">
      <c r="B21" s="51" t="s">
        <v>9</v>
      </c>
      <c r="C21" s="51" t="s">
        <v>12</v>
      </c>
      <c r="D21" s="51" t="s">
        <v>3242</v>
      </c>
      <c r="E21" s="51" t="s">
        <v>3249</v>
      </c>
      <c r="F21" s="51" t="s">
        <v>3242</v>
      </c>
      <c r="G21" s="51" t="s">
        <v>3243</v>
      </c>
      <c r="H21" s="55" t="s">
        <v>3250</v>
      </c>
      <c r="I21" s="55" t="s">
        <v>3219</v>
      </c>
    </row>
    <row r="22" spans="2:9" ht="30" hidden="1" customHeight="1">
      <c r="B22" s="56" t="s">
        <v>9</v>
      </c>
      <c r="C22" s="51" t="s">
        <v>12</v>
      </c>
      <c r="D22" s="51" t="s">
        <v>3242</v>
      </c>
      <c r="E22" s="51" t="s">
        <v>3249</v>
      </c>
      <c r="F22" s="51" t="s">
        <v>3251</v>
      </c>
      <c r="G22" s="56" t="s">
        <v>3252</v>
      </c>
      <c r="H22" s="57" t="s">
        <v>3253</v>
      </c>
      <c r="I22" s="55" t="s">
        <v>3211</v>
      </c>
    </row>
    <row r="23" spans="2:9" ht="30" hidden="1" customHeight="1">
      <c r="B23" s="51" t="s">
        <v>9</v>
      </c>
      <c r="C23" s="51" t="s">
        <v>12</v>
      </c>
      <c r="D23" s="51" t="s">
        <v>3242</v>
      </c>
      <c r="E23" s="51" t="s">
        <v>3249</v>
      </c>
      <c r="F23" s="51" t="s">
        <v>3251</v>
      </c>
      <c r="G23" s="51" t="s">
        <v>3252</v>
      </c>
      <c r="H23" s="57" t="s">
        <v>3254</v>
      </c>
      <c r="I23" s="55" t="s">
        <v>3211</v>
      </c>
    </row>
    <row r="24" spans="2:9" ht="30" hidden="1" customHeight="1">
      <c r="B24" s="56" t="s">
        <v>14</v>
      </c>
      <c r="C24" s="56" t="s">
        <v>15</v>
      </c>
      <c r="D24" s="57" t="s">
        <v>3255</v>
      </c>
      <c r="E24" s="56" t="s">
        <v>3256</v>
      </c>
      <c r="F24" s="57" t="s">
        <v>3255</v>
      </c>
      <c r="G24" s="56" t="s">
        <v>3257</v>
      </c>
      <c r="H24" s="57" t="s">
        <v>3258</v>
      </c>
      <c r="I24" s="110" t="s">
        <v>3211</v>
      </c>
    </row>
    <row r="25" spans="2:9" ht="30" hidden="1" customHeight="1">
      <c r="B25" s="56" t="s">
        <v>14</v>
      </c>
      <c r="C25" s="56" t="s">
        <v>15</v>
      </c>
      <c r="D25" s="57" t="s">
        <v>3255</v>
      </c>
      <c r="E25" s="57" t="s">
        <v>3259</v>
      </c>
      <c r="F25" s="56" t="s">
        <v>3228</v>
      </c>
      <c r="G25" s="51" t="s">
        <v>3260</v>
      </c>
      <c r="H25" s="77" t="s">
        <v>3261</v>
      </c>
      <c r="I25" s="110" t="s">
        <v>3211</v>
      </c>
    </row>
    <row r="26" spans="2:9" ht="30" hidden="1" customHeight="1">
      <c r="B26" s="56" t="s">
        <v>14</v>
      </c>
      <c r="C26" s="56" t="s">
        <v>15</v>
      </c>
      <c r="D26" s="57" t="s">
        <v>3255</v>
      </c>
      <c r="E26" s="57" t="s">
        <v>3259</v>
      </c>
      <c r="F26" s="55" t="s">
        <v>3255</v>
      </c>
      <c r="G26" s="51" t="s">
        <v>3256</v>
      </c>
      <c r="H26" s="77" t="s">
        <v>3262</v>
      </c>
      <c r="I26" s="110" t="s">
        <v>3211</v>
      </c>
    </row>
    <row r="27" spans="2:9" ht="30" hidden="1" customHeight="1">
      <c r="B27" s="56" t="s">
        <v>14</v>
      </c>
      <c r="C27" s="56" t="s">
        <v>15</v>
      </c>
      <c r="D27" s="55" t="s">
        <v>3255</v>
      </c>
      <c r="E27" s="55" t="s">
        <v>3259</v>
      </c>
      <c r="F27" s="55" t="s">
        <v>3255</v>
      </c>
      <c r="G27" s="51" t="s">
        <v>3263</v>
      </c>
      <c r="H27" s="55" t="s">
        <v>3264</v>
      </c>
      <c r="I27" s="110" t="s">
        <v>3211</v>
      </c>
    </row>
    <row r="28" spans="2:9" ht="30" hidden="1" customHeight="1">
      <c r="B28" s="56" t="s">
        <v>14</v>
      </c>
      <c r="C28" s="56" t="s">
        <v>15</v>
      </c>
      <c r="D28" s="51" t="s">
        <v>3228</v>
      </c>
      <c r="E28" s="51" t="s">
        <v>3229</v>
      </c>
      <c r="F28" s="51" t="s">
        <v>3228</v>
      </c>
      <c r="G28" s="51" t="s">
        <v>3230</v>
      </c>
      <c r="H28" s="55" t="s">
        <v>3231</v>
      </c>
      <c r="I28" s="110" t="s">
        <v>3211</v>
      </c>
    </row>
    <row r="29" spans="2:9" ht="30" customHeight="1">
      <c r="B29" s="388" t="s">
        <v>14</v>
      </c>
      <c r="C29" s="388" t="s">
        <v>15</v>
      </c>
      <c r="D29" s="55" t="s">
        <v>3255</v>
      </c>
      <c r="E29" s="55" t="s">
        <v>3259</v>
      </c>
      <c r="F29" s="390" t="s">
        <v>340</v>
      </c>
      <c r="G29" s="390" t="s">
        <v>19</v>
      </c>
      <c r="H29" s="392" t="s">
        <v>3265</v>
      </c>
      <c r="I29" s="390" t="s">
        <v>3219</v>
      </c>
    </row>
    <row r="30" spans="2:9" ht="30" hidden="1" customHeight="1">
      <c r="B30" s="56" t="s">
        <v>14</v>
      </c>
      <c r="C30" s="56" t="s">
        <v>17</v>
      </c>
      <c r="D30" s="56" t="s">
        <v>3255</v>
      </c>
      <c r="E30" s="56" t="s">
        <v>3256</v>
      </c>
      <c r="F30" s="51" t="s">
        <v>372</v>
      </c>
      <c r="G30" s="51" t="s">
        <v>372</v>
      </c>
      <c r="H30" s="51" t="s">
        <v>372</v>
      </c>
      <c r="I30" s="51" t="s">
        <v>372</v>
      </c>
    </row>
    <row r="31" spans="2:9" ht="30" hidden="1" customHeight="1">
      <c r="B31" s="56" t="s">
        <v>14</v>
      </c>
      <c r="C31" s="56" t="s">
        <v>15</v>
      </c>
      <c r="D31" s="56" t="s">
        <v>3255</v>
      </c>
      <c r="E31" s="56" t="s">
        <v>3256</v>
      </c>
      <c r="F31" s="390" t="s">
        <v>3266</v>
      </c>
      <c r="G31" s="390" t="s">
        <v>3267</v>
      </c>
      <c r="H31" s="391" t="s">
        <v>3268</v>
      </c>
      <c r="I31" s="388" t="s">
        <v>3211</v>
      </c>
    </row>
    <row r="32" spans="2:9" ht="30" hidden="1" customHeight="1">
      <c r="B32" s="388" t="s">
        <v>340</v>
      </c>
      <c r="C32" s="388" t="s">
        <v>19</v>
      </c>
      <c r="D32" s="56" t="s">
        <v>3228</v>
      </c>
      <c r="E32" s="56" t="s">
        <v>3260</v>
      </c>
      <c r="F32" s="57" t="s">
        <v>3255</v>
      </c>
      <c r="G32" s="57" t="s">
        <v>3259</v>
      </c>
      <c r="H32" s="298" t="s">
        <v>3269</v>
      </c>
      <c r="I32" s="388" t="s">
        <v>3219</v>
      </c>
    </row>
    <row r="33" spans="2:9" ht="30" hidden="1" customHeight="1">
      <c r="B33" s="56" t="s">
        <v>21</v>
      </c>
      <c r="C33" s="56" t="s">
        <v>22</v>
      </c>
      <c r="D33" s="56" t="s">
        <v>3270</v>
      </c>
      <c r="E33" s="56" t="s">
        <v>3271</v>
      </c>
      <c r="F33" s="56" t="s">
        <v>3270</v>
      </c>
      <c r="G33" s="56" t="s">
        <v>3272</v>
      </c>
      <c r="H33" s="57" t="s">
        <v>3273</v>
      </c>
      <c r="I33" s="55" t="s">
        <v>3211</v>
      </c>
    </row>
    <row r="34" spans="2:9" ht="30" hidden="1" customHeight="1">
      <c r="B34" s="56" t="s">
        <v>21</v>
      </c>
      <c r="C34" s="56" t="s">
        <v>22</v>
      </c>
      <c r="D34" s="56" t="s">
        <v>3270</v>
      </c>
      <c r="E34" s="56" t="s">
        <v>3271</v>
      </c>
      <c r="F34" s="56" t="s">
        <v>3270</v>
      </c>
      <c r="G34" s="56" t="s">
        <v>3274</v>
      </c>
      <c r="H34" s="57" t="s">
        <v>3275</v>
      </c>
      <c r="I34" s="55" t="s">
        <v>3211</v>
      </c>
    </row>
    <row r="35" spans="2:9" ht="30" hidden="1" customHeight="1">
      <c r="B35" s="56" t="s">
        <v>21</v>
      </c>
      <c r="C35" s="56" t="s">
        <v>22</v>
      </c>
      <c r="D35" s="56" t="s">
        <v>3270</v>
      </c>
      <c r="E35" s="56" t="s">
        <v>3271</v>
      </c>
      <c r="F35" s="56" t="s">
        <v>3238</v>
      </c>
      <c r="G35" s="56" t="s">
        <v>3276</v>
      </c>
      <c r="H35" s="57" t="s">
        <v>3277</v>
      </c>
      <c r="I35" s="55" t="s">
        <v>3211</v>
      </c>
    </row>
    <row r="36" spans="2:9" ht="30" hidden="1" customHeight="1">
      <c r="B36" s="56" t="s">
        <v>21</v>
      </c>
      <c r="C36" s="56" t="s">
        <v>22</v>
      </c>
      <c r="D36" s="56" t="s">
        <v>3270</v>
      </c>
      <c r="E36" s="56" t="s">
        <v>3271</v>
      </c>
      <c r="F36" s="56" t="s">
        <v>3270</v>
      </c>
      <c r="G36" s="390" t="s">
        <v>3278</v>
      </c>
      <c r="H36" s="391" t="s">
        <v>3279</v>
      </c>
      <c r="I36" s="390" t="s">
        <v>3211</v>
      </c>
    </row>
    <row r="37" spans="2:9" ht="30" hidden="1" customHeight="1">
      <c r="B37" s="56" t="s">
        <v>21</v>
      </c>
      <c r="C37" s="56" t="s">
        <v>22</v>
      </c>
      <c r="D37" s="56" t="s">
        <v>3270</v>
      </c>
      <c r="E37" s="56" t="s">
        <v>3272</v>
      </c>
      <c r="F37" s="51" t="s">
        <v>3238</v>
      </c>
      <c r="G37" s="51" t="s">
        <v>3276</v>
      </c>
      <c r="H37" s="57" t="s">
        <v>3280</v>
      </c>
      <c r="I37" s="55" t="s">
        <v>3211</v>
      </c>
    </row>
    <row r="38" spans="2:9" ht="30" hidden="1" customHeight="1">
      <c r="B38" s="56" t="s">
        <v>21</v>
      </c>
      <c r="C38" s="56" t="s">
        <v>22</v>
      </c>
      <c r="D38" s="51" t="s">
        <v>3270</v>
      </c>
      <c r="E38" s="51" t="s">
        <v>3272</v>
      </c>
      <c r="F38" s="51" t="s">
        <v>3281</v>
      </c>
      <c r="G38" s="51" t="s">
        <v>3282</v>
      </c>
      <c r="H38" s="57" t="s">
        <v>3283</v>
      </c>
      <c r="I38" s="55" t="s">
        <v>3211</v>
      </c>
    </row>
    <row r="39" spans="2:9" ht="30" hidden="1" customHeight="1">
      <c r="B39" s="56" t="s">
        <v>21</v>
      </c>
      <c r="C39" s="56" t="s">
        <v>22</v>
      </c>
      <c r="D39" s="56" t="s">
        <v>3228</v>
      </c>
      <c r="E39" s="56" t="s">
        <v>3229</v>
      </c>
      <c r="F39" s="56" t="s">
        <v>3228</v>
      </c>
      <c r="G39" s="56" t="s">
        <v>3230</v>
      </c>
      <c r="H39" s="57" t="s">
        <v>3231</v>
      </c>
      <c r="I39" s="55" t="s">
        <v>3211</v>
      </c>
    </row>
    <row r="40" spans="2:9" ht="30" hidden="1" customHeight="1">
      <c r="B40" s="56" t="s">
        <v>21</v>
      </c>
      <c r="C40" s="56" t="s">
        <v>22</v>
      </c>
      <c r="D40" s="56" t="s">
        <v>3228</v>
      </c>
      <c r="E40" s="56" t="s">
        <v>3229</v>
      </c>
      <c r="F40" s="56" t="s">
        <v>3216</v>
      </c>
      <c r="G40" s="56" t="s">
        <v>3232</v>
      </c>
      <c r="H40" s="57" t="s">
        <v>3233</v>
      </c>
      <c r="I40" s="51" t="s">
        <v>3211</v>
      </c>
    </row>
    <row r="41" spans="2:9" ht="30" customHeight="1">
      <c r="B41" s="388" t="s">
        <v>21</v>
      </c>
      <c r="C41" s="388" t="s">
        <v>22</v>
      </c>
      <c r="D41" s="388" t="s">
        <v>3228</v>
      </c>
      <c r="E41" s="56" t="s">
        <v>3260</v>
      </c>
      <c r="F41" s="388" t="s">
        <v>340</v>
      </c>
      <c r="G41" s="388" t="s">
        <v>26</v>
      </c>
      <c r="H41" s="389" t="s">
        <v>3284</v>
      </c>
      <c r="I41" s="390" t="s">
        <v>3219</v>
      </c>
    </row>
    <row r="42" spans="2:9" ht="30" customHeight="1">
      <c r="B42" s="388" t="s">
        <v>21</v>
      </c>
      <c r="C42" s="388" t="s">
        <v>22</v>
      </c>
      <c r="D42" s="388" t="s">
        <v>3238</v>
      </c>
      <c r="E42" s="388" t="s">
        <v>3239</v>
      </c>
      <c r="F42" s="388" t="s">
        <v>340</v>
      </c>
      <c r="G42" s="388" t="s">
        <v>26</v>
      </c>
      <c r="H42" s="389" t="s">
        <v>3285</v>
      </c>
      <c r="I42" s="390" t="s">
        <v>3219</v>
      </c>
    </row>
    <row r="43" spans="2:9" ht="30" customHeight="1">
      <c r="B43" s="388" t="s">
        <v>21</v>
      </c>
      <c r="C43" s="388" t="s">
        <v>22</v>
      </c>
      <c r="D43" s="388" t="s">
        <v>3270</v>
      </c>
      <c r="E43" s="388" t="s">
        <v>3272</v>
      </c>
      <c r="F43" s="388" t="s">
        <v>340</v>
      </c>
      <c r="G43" s="388" t="s">
        <v>26</v>
      </c>
      <c r="H43" s="389" t="s">
        <v>3286</v>
      </c>
      <c r="I43" s="390" t="s">
        <v>3219</v>
      </c>
    </row>
    <row r="44" spans="2:9" ht="30" customHeight="1">
      <c r="B44" s="388" t="s">
        <v>21</v>
      </c>
      <c r="C44" s="388" t="s">
        <v>22</v>
      </c>
      <c r="D44" s="388" t="s">
        <v>3270</v>
      </c>
      <c r="E44" s="388" t="s">
        <v>3271</v>
      </c>
      <c r="F44" s="390" t="s">
        <v>340</v>
      </c>
      <c r="G44" s="390" t="s">
        <v>26</v>
      </c>
      <c r="H44" s="391" t="s">
        <v>3287</v>
      </c>
      <c r="I44" s="390" t="s">
        <v>3219</v>
      </c>
    </row>
    <row r="45" spans="2:9" ht="30" hidden="1" customHeight="1">
      <c r="B45" s="51" t="s">
        <v>21</v>
      </c>
      <c r="C45" s="51" t="s">
        <v>24</v>
      </c>
      <c r="D45" s="51" t="s">
        <v>3270</v>
      </c>
      <c r="E45" s="51" t="s">
        <v>3272</v>
      </c>
      <c r="F45" s="51" t="s">
        <v>3238</v>
      </c>
      <c r="G45" s="51" t="s">
        <v>3276</v>
      </c>
      <c r="H45" s="55" t="s">
        <v>3280</v>
      </c>
      <c r="I45" s="55" t="s">
        <v>3211</v>
      </c>
    </row>
    <row r="46" spans="2:9" ht="30" hidden="1" customHeight="1">
      <c r="B46" s="390" t="s">
        <v>340</v>
      </c>
      <c r="C46" s="390" t="s">
        <v>26</v>
      </c>
      <c r="D46" s="390" t="s">
        <v>3238</v>
      </c>
      <c r="E46" s="390" t="s">
        <v>3239</v>
      </c>
      <c r="F46" s="390" t="s">
        <v>340</v>
      </c>
      <c r="G46" s="390" t="s">
        <v>3288</v>
      </c>
      <c r="H46" s="391" t="s">
        <v>3289</v>
      </c>
      <c r="I46" s="390" t="s">
        <v>3219</v>
      </c>
    </row>
    <row r="47" spans="2:9" ht="30" hidden="1" customHeight="1">
      <c r="B47" s="390" t="s">
        <v>340</v>
      </c>
      <c r="C47" s="390" t="s">
        <v>26</v>
      </c>
      <c r="D47" s="390" t="s">
        <v>3228</v>
      </c>
      <c r="E47" s="51" t="s">
        <v>3260</v>
      </c>
      <c r="F47" s="390" t="s">
        <v>340</v>
      </c>
      <c r="G47" s="390" t="s">
        <v>3288</v>
      </c>
      <c r="H47" s="391" t="s">
        <v>3290</v>
      </c>
      <c r="I47" s="390" t="s">
        <v>3219</v>
      </c>
    </row>
    <row r="48" spans="2:9" ht="30" hidden="1" customHeight="1">
      <c r="B48" s="51" t="s">
        <v>28</v>
      </c>
      <c r="C48" s="51" t="s">
        <v>3291</v>
      </c>
      <c r="D48" s="56" t="s">
        <v>3292</v>
      </c>
      <c r="E48" s="56" t="s">
        <v>3293</v>
      </c>
      <c r="F48" s="56" t="s">
        <v>372</v>
      </c>
      <c r="G48" s="56" t="s">
        <v>372</v>
      </c>
      <c r="H48" s="56" t="s">
        <v>372</v>
      </c>
      <c r="I48" s="56" t="s">
        <v>372</v>
      </c>
    </row>
    <row r="49" spans="2:9" ht="30" hidden="1" customHeight="1">
      <c r="B49" s="51" t="s">
        <v>33</v>
      </c>
      <c r="C49" s="51" t="s">
        <v>34</v>
      </c>
      <c r="D49" s="51" t="s">
        <v>3294</v>
      </c>
      <c r="E49" s="51" t="s">
        <v>3295</v>
      </c>
      <c r="F49" s="51" t="s">
        <v>3294</v>
      </c>
      <c r="G49" s="51" t="s">
        <v>3296</v>
      </c>
      <c r="H49" s="55" t="s">
        <v>3297</v>
      </c>
      <c r="I49" s="55" t="s">
        <v>3219</v>
      </c>
    </row>
    <row r="50" spans="2:9" ht="30" hidden="1" customHeight="1">
      <c r="B50" s="51" t="s">
        <v>33</v>
      </c>
      <c r="C50" s="51" t="s">
        <v>34</v>
      </c>
      <c r="D50" s="51" t="s">
        <v>3294</v>
      </c>
      <c r="E50" s="51" t="s">
        <v>3295</v>
      </c>
      <c r="F50" s="51" t="s">
        <v>3294</v>
      </c>
      <c r="G50" s="51" t="s">
        <v>3298</v>
      </c>
      <c r="H50" s="55" t="s">
        <v>3299</v>
      </c>
      <c r="I50" s="55" t="s">
        <v>3211</v>
      </c>
    </row>
    <row r="51" spans="2:9" ht="30" hidden="1" customHeight="1">
      <c r="B51" s="51" t="s">
        <v>33</v>
      </c>
      <c r="C51" s="51" t="s">
        <v>34</v>
      </c>
      <c r="D51" s="51" t="s">
        <v>3294</v>
      </c>
      <c r="E51" s="51" t="s">
        <v>3298</v>
      </c>
      <c r="F51" s="390" t="s">
        <v>3216</v>
      </c>
      <c r="G51" s="51" t="s">
        <v>3232</v>
      </c>
      <c r="H51" s="55" t="s">
        <v>3300</v>
      </c>
      <c r="I51" s="55" t="s">
        <v>3219</v>
      </c>
    </row>
    <row r="52" spans="2:9" ht="30" hidden="1" customHeight="1">
      <c r="B52" s="51" t="s">
        <v>33</v>
      </c>
      <c r="C52" s="51" t="s">
        <v>34</v>
      </c>
      <c r="D52" s="51" t="s">
        <v>3294</v>
      </c>
      <c r="E52" s="51" t="s">
        <v>3298</v>
      </c>
      <c r="F52" s="51" t="s">
        <v>3301</v>
      </c>
      <c r="G52" s="51" t="s">
        <v>3302</v>
      </c>
      <c r="H52" s="391" t="s">
        <v>3303</v>
      </c>
      <c r="I52" s="51" t="s">
        <v>3211</v>
      </c>
    </row>
    <row r="53" spans="2:9" ht="30" hidden="1" customHeight="1">
      <c r="B53" s="51" t="s">
        <v>33</v>
      </c>
      <c r="C53" s="51" t="s">
        <v>34</v>
      </c>
      <c r="D53" s="51" t="s">
        <v>3294</v>
      </c>
      <c r="E53" s="51" t="s">
        <v>3298</v>
      </c>
      <c r="F53" s="51" t="s">
        <v>3228</v>
      </c>
      <c r="G53" s="51" t="s">
        <v>3260</v>
      </c>
      <c r="H53" s="55" t="s">
        <v>3304</v>
      </c>
      <c r="I53" s="51" t="s">
        <v>3211</v>
      </c>
    </row>
    <row r="54" spans="2:9" ht="30" hidden="1" customHeight="1">
      <c r="B54" s="51" t="s">
        <v>33</v>
      </c>
      <c r="C54" s="51" t="s">
        <v>36</v>
      </c>
      <c r="D54" s="56" t="s">
        <v>3294</v>
      </c>
      <c r="E54" s="56" t="s">
        <v>3298</v>
      </c>
      <c r="F54" s="56" t="s">
        <v>3216</v>
      </c>
      <c r="G54" s="56" t="s">
        <v>3232</v>
      </c>
      <c r="H54" s="57" t="s">
        <v>3300</v>
      </c>
      <c r="I54" s="56" t="s">
        <v>3219</v>
      </c>
    </row>
    <row r="55" spans="2:9" ht="30" hidden="1" customHeight="1">
      <c r="B55" s="56" t="s">
        <v>33</v>
      </c>
      <c r="C55" s="56" t="s">
        <v>36</v>
      </c>
      <c r="D55" s="56" t="s">
        <v>3294</v>
      </c>
      <c r="E55" s="56" t="s">
        <v>3298</v>
      </c>
      <c r="F55" s="56" t="s">
        <v>3294</v>
      </c>
      <c r="G55" s="56" t="s">
        <v>3305</v>
      </c>
      <c r="H55" s="57" t="s">
        <v>3306</v>
      </c>
      <c r="I55" s="56" t="s">
        <v>3211</v>
      </c>
    </row>
    <row r="56" spans="2:9" ht="30" hidden="1" customHeight="1">
      <c r="B56" s="56" t="s">
        <v>33</v>
      </c>
      <c r="C56" s="56" t="s">
        <v>36</v>
      </c>
      <c r="D56" s="56" t="s">
        <v>3294</v>
      </c>
      <c r="E56" s="56" t="s">
        <v>3298</v>
      </c>
      <c r="F56" s="388" t="s">
        <v>3294</v>
      </c>
      <c r="G56" s="56" t="s">
        <v>3307</v>
      </c>
      <c r="H56" s="57" t="s">
        <v>3308</v>
      </c>
      <c r="I56" s="51" t="s">
        <v>3211</v>
      </c>
    </row>
    <row r="57" spans="2:9" ht="30" hidden="1" customHeight="1">
      <c r="B57" s="56" t="s">
        <v>33</v>
      </c>
      <c r="C57" s="56" t="s">
        <v>38</v>
      </c>
      <c r="D57" s="56" t="s">
        <v>3294</v>
      </c>
      <c r="E57" s="56" t="s">
        <v>3298</v>
      </c>
      <c r="F57" s="56" t="s">
        <v>3281</v>
      </c>
      <c r="G57" s="56" t="s">
        <v>3282</v>
      </c>
      <c r="H57" s="57" t="s">
        <v>3309</v>
      </c>
      <c r="I57" s="51" t="s">
        <v>3211</v>
      </c>
    </row>
    <row r="58" spans="2:9" ht="30" hidden="1" customHeight="1">
      <c r="B58" s="56" t="s">
        <v>33</v>
      </c>
      <c r="C58" s="51" t="s">
        <v>38</v>
      </c>
      <c r="D58" s="56" t="s">
        <v>3294</v>
      </c>
      <c r="E58" s="56" t="s">
        <v>3298</v>
      </c>
      <c r="F58" s="56" t="s">
        <v>3294</v>
      </c>
      <c r="G58" s="56" t="s">
        <v>3310</v>
      </c>
      <c r="H58" s="57" t="s">
        <v>3311</v>
      </c>
      <c r="I58" s="56" t="s">
        <v>3211</v>
      </c>
    </row>
    <row r="59" spans="2:9" ht="30" hidden="1" customHeight="1">
      <c r="B59" s="56" t="s">
        <v>33</v>
      </c>
      <c r="C59" s="56" t="s">
        <v>38</v>
      </c>
      <c r="D59" s="56" t="s">
        <v>3294</v>
      </c>
      <c r="E59" s="56" t="s">
        <v>3298</v>
      </c>
      <c r="F59" s="56" t="s">
        <v>3294</v>
      </c>
      <c r="G59" s="56" t="s">
        <v>3312</v>
      </c>
      <c r="H59" s="57" t="s">
        <v>3313</v>
      </c>
      <c r="I59" s="51" t="s">
        <v>3211</v>
      </c>
    </row>
    <row r="60" spans="2:9" ht="30" hidden="1" customHeight="1">
      <c r="B60" s="56" t="s">
        <v>33</v>
      </c>
      <c r="C60" s="56" t="s">
        <v>38</v>
      </c>
      <c r="D60" s="56" t="s">
        <v>3294</v>
      </c>
      <c r="E60" s="56" t="s">
        <v>3298</v>
      </c>
      <c r="F60" s="56" t="s">
        <v>3294</v>
      </c>
      <c r="G60" s="56" t="s">
        <v>3314</v>
      </c>
      <c r="H60" s="57" t="s">
        <v>3315</v>
      </c>
      <c r="I60" s="56" t="s">
        <v>3211</v>
      </c>
    </row>
    <row r="61" spans="2:9" ht="30" hidden="1" customHeight="1">
      <c r="B61" s="56" t="s">
        <v>33</v>
      </c>
      <c r="C61" s="56" t="s">
        <v>38</v>
      </c>
      <c r="D61" s="56" t="s">
        <v>3294</v>
      </c>
      <c r="E61" s="56" t="s">
        <v>3298</v>
      </c>
      <c r="F61" s="56" t="s">
        <v>3294</v>
      </c>
      <c r="G61" s="56" t="s">
        <v>3307</v>
      </c>
      <c r="H61" s="57" t="s">
        <v>3316</v>
      </c>
      <c r="I61" s="56" t="s">
        <v>3211</v>
      </c>
    </row>
    <row r="62" spans="2:9" ht="30" hidden="1" customHeight="1">
      <c r="B62" s="56" t="s">
        <v>33</v>
      </c>
      <c r="C62" s="56" t="s">
        <v>38</v>
      </c>
      <c r="D62" s="56" t="s">
        <v>3294</v>
      </c>
      <c r="E62" s="56" t="s">
        <v>3298</v>
      </c>
      <c r="F62" s="56" t="s">
        <v>3294</v>
      </c>
      <c r="G62" s="56" t="s">
        <v>3317</v>
      </c>
      <c r="H62" s="57" t="s">
        <v>3318</v>
      </c>
      <c r="I62" s="56" t="s">
        <v>3211</v>
      </c>
    </row>
    <row r="63" spans="2:9" ht="30" hidden="1" customHeight="1">
      <c r="B63" s="56" t="s">
        <v>33</v>
      </c>
      <c r="C63" s="56" t="s">
        <v>38</v>
      </c>
      <c r="D63" s="56" t="s">
        <v>3294</v>
      </c>
      <c r="E63" s="56" t="s">
        <v>3298</v>
      </c>
      <c r="F63" s="56" t="s">
        <v>3294</v>
      </c>
      <c r="G63" s="56" t="s">
        <v>3305</v>
      </c>
      <c r="H63" s="55" t="s">
        <v>3319</v>
      </c>
      <c r="I63" s="56" t="s">
        <v>3211</v>
      </c>
    </row>
    <row r="64" spans="2:9" ht="30" hidden="1" customHeight="1">
      <c r="B64" s="51" t="s">
        <v>33</v>
      </c>
      <c r="C64" s="51" t="s">
        <v>38</v>
      </c>
      <c r="D64" s="56" t="s">
        <v>3294</v>
      </c>
      <c r="E64" s="56" t="s">
        <v>3298</v>
      </c>
      <c r="F64" s="56" t="s">
        <v>3216</v>
      </c>
      <c r="G64" s="56" t="s">
        <v>3320</v>
      </c>
      <c r="H64" s="57" t="s">
        <v>3321</v>
      </c>
      <c r="I64" s="388" t="s">
        <v>3219</v>
      </c>
    </row>
    <row r="65" spans="2:9" ht="30" hidden="1" customHeight="1">
      <c r="B65" s="51" t="s">
        <v>33</v>
      </c>
      <c r="C65" s="51" t="s">
        <v>38</v>
      </c>
      <c r="D65" s="51" t="s">
        <v>3294</v>
      </c>
      <c r="E65" s="51" t="s">
        <v>3298</v>
      </c>
      <c r="F65" s="51" t="s">
        <v>3228</v>
      </c>
      <c r="G65" s="51" t="s">
        <v>3260</v>
      </c>
      <c r="H65" s="55" t="s">
        <v>3304</v>
      </c>
      <c r="I65" s="51" t="s">
        <v>3211</v>
      </c>
    </row>
    <row r="66" spans="2:9" ht="30" hidden="1" customHeight="1">
      <c r="B66" s="51" t="s">
        <v>33</v>
      </c>
      <c r="C66" s="51" t="s">
        <v>38</v>
      </c>
      <c r="D66" s="51" t="s">
        <v>3294</v>
      </c>
      <c r="E66" s="51" t="s">
        <v>3312</v>
      </c>
      <c r="F66" s="51" t="s">
        <v>3294</v>
      </c>
      <c r="G66" s="390" t="s">
        <v>3322</v>
      </c>
      <c r="H66" s="391" t="s">
        <v>3323</v>
      </c>
      <c r="I66" s="56" t="s">
        <v>3211</v>
      </c>
    </row>
    <row r="67" spans="2:9" ht="30" hidden="1" customHeight="1">
      <c r="B67" s="51" t="s">
        <v>33</v>
      </c>
      <c r="C67" s="51" t="s">
        <v>38</v>
      </c>
      <c r="D67" s="51" t="s">
        <v>3294</v>
      </c>
      <c r="E67" s="51" t="s">
        <v>3324</v>
      </c>
      <c r="F67" s="51" t="s">
        <v>3294</v>
      </c>
      <c r="G67" s="51" t="s">
        <v>3298</v>
      </c>
      <c r="H67" s="55" t="s">
        <v>3325</v>
      </c>
      <c r="I67" s="56" t="s">
        <v>3219</v>
      </c>
    </row>
    <row r="68" spans="2:9" ht="30" hidden="1" customHeight="1">
      <c r="B68" s="51" t="s">
        <v>33</v>
      </c>
      <c r="C68" s="51" t="s">
        <v>38</v>
      </c>
      <c r="D68" s="56" t="s">
        <v>3294</v>
      </c>
      <c r="E68" s="56" t="s">
        <v>3324</v>
      </c>
      <c r="F68" s="56" t="s">
        <v>3294</v>
      </c>
      <c r="G68" s="56" t="s">
        <v>3326</v>
      </c>
      <c r="H68" s="57" t="s">
        <v>3327</v>
      </c>
      <c r="I68" s="56" t="s">
        <v>3211</v>
      </c>
    </row>
    <row r="69" spans="2:9" ht="30" hidden="1" customHeight="1">
      <c r="B69" s="51" t="s">
        <v>33</v>
      </c>
      <c r="C69" s="51" t="s">
        <v>38</v>
      </c>
      <c r="D69" s="388" t="s">
        <v>3328</v>
      </c>
      <c r="E69" s="388" t="s">
        <v>3329</v>
      </c>
      <c r="F69" s="56" t="s">
        <v>3294</v>
      </c>
      <c r="G69" s="56" t="s">
        <v>3298</v>
      </c>
      <c r="H69" s="389" t="s">
        <v>3330</v>
      </c>
      <c r="I69" s="388" t="s">
        <v>3211</v>
      </c>
    </row>
    <row r="70" spans="2:9" ht="30" hidden="1" customHeight="1">
      <c r="B70" s="56" t="s">
        <v>33</v>
      </c>
      <c r="C70" s="56" t="s">
        <v>38</v>
      </c>
      <c r="D70" s="388" t="s">
        <v>3328</v>
      </c>
      <c r="E70" s="388" t="s">
        <v>3331</v>
      </c>
      <c r="F70" s="388" t="s">
        <v>3328</v>
      </c>
      <c r="G70" s="388" t="s">
        <v>3329</v>
      </c>
      <c r="H70" s="389" t="s">
        <v>3332</v>
      </c>
      <c r="I70" s="390" t="s">
        <v>3211</v>
      </c>
    </row>
    <row r="71" spans="2:9" ht="30" hidden="1" customHeight="1">
      <c r="B71" s="56" t="s">
        <v>33</v>
      </c>
      <c r="C71" s="56" t="s">
        <v>38</v>
      </c>
      <c r="D71" s="388" t="s">
        <v>3328</v>
      </c>
      <c r="E71" s="388" t="s">
        <v>3333</v>
      </c>
      <c r="F71" s="56" t="s">
        <v>3294</v>
      </c>
      <c r="G71" s="56" t="s">
        <v>3298</v>
      </c>
      <c r="H71" s="389" t="s">
        <v>3334</v>
      </c>
      <c r="I71" s="390" t="s">
        <v>3211</v>
      </c>
    </row>
    <row r="72" spans="2:9" ht="30" hidden="1" customHeight="1">
      <c r="B72" s="56" t="s">
        <v>33</v>
      </c>
      <c r="C72" s="56" t="s">
        <v>38</v>
      </c>
      <c r="D72" s="388" t="s">
        <v>3328</v>
      </c>
      <c r="E72" s="388" t="s">
        <v>3333</v>
      </c>
      <c r="F72" s="388" t="s">
        <v>3328</v>
      </c>
      <c r="G72" s="388" t="s">
        <v>3331</v>
      </c>
      <c r="H72" s="389" t="s">
        <v>3335</v>
      </c>
      <c r="I72" s="390" t="s">
        <v>3211</v>
      </c>
    </row>
    <row r="73" spans="2:9" ht="30" hidden="1" customHeight="1">
      <c r="B73" s="56" t="s">
        <v>33</v>
      </c>
      <c r="C73" s="56" t="s">
        <v>38</v>
      </c>
      <c r="D73" s="56" t="s">
        <v>3228</v>
      </c>
      <c r="E73" s="56" t="s">
        <v>3260</v>
      </c>
      <c r="F73" s="56" t="s">
        <v>3216</v>
      </c>
      <c r="G73" s="56" t="s">
        <v>3320</v>
      </c>
      <c r="H73" s="57" t="s">
        <v>3336</v>
      </c>
      <c r="I73" s="51" t="s">
        <v>3211</v>
      </c>
    </row>
    <row r="74" spans="2:9" ht="30" hidden="1" customHeight="1">
      <c r="B74" s="56" t="s">
        <v>33</v>
      </c>
      <c r="C74" s="56" t="s">
        <v>38</v>
      </c>
      <c r="D74" s="56" t="s">
        <v>3228</v>
      </c>
      <c r="E74" s="56" t="s">
        <v>3260</v>
      </c>
      <c r="F74" s="56" t="s">
        <v>3228</v>
      </c>
      <c r="G74" s="56" t="s">
        <v>3230</v>
      </c>
      <c r="H74" s="57" t="s">
        <v>3337</v>
      </c>
      <c r="I74" s="51" t="s">
        <v>3211</v>
      </c>
    </row>
    <row r="75" spans="2:9" ht="30" hidden="1" customHeight="1">
      <c r="B75" s="56" t="s">
        <v>40</v>
      </c>
      <c r="C75" s="56" t="s">
        <v>41</v>
      </c>
      <c r="D75" s="56" t="s">
        <v>3238</v>
      </c>
      <c r="E75" s="56" t="s">
        <v>3239</v>
      </c>
      <c r="F75" s="56" t="s">
        <v>3338</v>
      </c>
      <c r="G75" s="56" t="s">
        <v>3339</v>
      </c>
      <c r="H75" s="57" t="s">
        <v>3340</v>
      </c>
      <c r="I75" s="55" t="s">
        <v>3211</v>
      </c>
    </row>
    <row r="76" spans="2:9" ht="30" hidden="1" customHeight="1">
      <c r="B76" s="56" t="s">
        <v>40</v>
      </c>
      <c r="C76" s="56" t="s">
        <v>41</v>
      </c>
      <c r="D76" s="56" t="s">
        <v>3238</v>
      </c>
      <c r="E76" s="56" t="s">
        <v>3239</v>
      </c>
      <c r="F76" s="56" t="s">
        <v>3228</v>
      </c>
      <c r="G76" s="56" t="s">
        <v>3229</v>
      </c>
      <c r="H76" s="57" t="s">
        <v>3341</v>
      </c>
      <c r="I76" s="55" t="s">
        <v>3211</v>
      </c>
    </row>
    <row r="77" spans="2:9" ht="30" hidden="1" customHeight="1">
      <c r="B77" s="56" t="s">
        <v>40</v>
      </c>
      <c r="C77" s="56" t="s">
        <v>41</v>
      </c>
      <c r="D77" s="56" t="s">
        <v>3228</v>
      </c>
      <c r="E77" s="56" t="s">
        <v>3229</v>
      </c>
      <c r="F77" s="56" t="s">
        <v>3228</v>
      </c>
      <c r="G77" s="56" t="s">
        <v>3230</v>
      </c>
      <c r="H77" s="57" t="s">
        <v>3231</v>
      </c>
      <c r="I77" s="55" t="s">
        <v>3211</v>
      </c>
    </row>
    <row r="78" spans="2:9" ht="30" hidden="1" customHeight="1">
      <c r="B78" s="56" t="s">
        <v>43</v>
      </c>
      <c r="C78" s="56" t="s">
        <v>44</v>
      </c>
      <c r="D78" s="56" t="s">
        <v>3294</v>
      </c>
      <c r="E78" s="56" t="s">
        <v>3295</v>
      </c>
      <c r="F78" s="56" t="s">
        <v>3294</v>
      </c>
      <c r="G78" s="56" t="s">
        <v>3298</v>
      </c>
      <c r="H78" s="57" t="s">
        <v>3299</v>
      </c>
      <c r="I78" s="51" t="s">
        <v>3219</v>
      </c>
    </row>
    <row r="79" spans="2:9" ht="30" hidden="1" customHeight="1">
      <c r="B79" s="56" t="s">
        <v>43</v>
      </c>
      <c r="C79" s="56" t="s">
        <v>44</v>
      </c>
      <c r="D79" s="56" t="s">
        <v>3294</v>
      </c>
      <c r="E79" s="56" t="s">
        <v>3295</v>
      </c>
      <c r="F79" s="56" t="s">
        <v>3294</v>
      </c>
      <c r="G79" s="56" t="s">
        <v>3296</v>
      </c>
      <c r="H79" s="57" t="s">
        <v>3342</v>
      </c>
      <c r="I79" s="51" t="s">
        <v>3211</v>
      </c>
    </row>
    <row r="80" spans="2:9" ht="30" hidden="1" customHeight="1">
      <c r="B80" s="56" t="s">
        <v>43</v>
      </c>
      <c r="C80" s="56" t="s">
        <v>44</v>
      </c>
      <c r="D80" s="56" t="s">
        <v>3294</v>
      </c>
      <c r="E80" s="56" t="s">
        <v>3298</v>
      </c>
      <c r="F80" s="56" t="s">
        <v>3301</v>
      </c>
      <c r="G80" s="51" t="s">
        <v>3302</v>
      </c>
      <c r="H80" s="391" t="s">
        <v>3303</v>
      </c>
      <c r="I80" s="51" t="s">
        <v>3211</v>
      </c>
    </row>
    <row r="81" spans="2:9" ht="30" hidden="1" customHeight="1">
      <c r="B81" s="56" t="s">
        <v>43</v>
      </c>
      <c r="C81" s="56" t="s">
        <v>44</v>
      </c>
      <c r="D81" s="56" t="s">
        <v>3294</v>
      </c>
      <c r="E81" s="56" t="s">
        <v>3298</v>
      </c>
      <c r="F81" s="56" t="s">
        <v>3216</v>
      </c>
      <c r="G81" s="56" t="s">
        <v>3232</v>
      </c>
      <c r="H81" s="57" t="s">
        <v>3300</v>
      </c>
      <c r="I81" s="51" t="s">
        <v>3219</v>
      </c>
    </row>
    <row r="82" spans="2:9" ht="30" hidden="1" customHeight="1">
      <c r="B82" s="56" t="s">
        <v>43</v>
      </c>
      <c r="C82" s="56" t="s">
        <v>46</v>
      </c>
      <c r="D82" s="56" t="s">
        <v>3294</v>
      </c>
      <c r="E82" s="56" t="s">
        <v>3298</v>
      </c>
      <c r="F82" s="56" t="s">
        <v>3216</v>
      </c>
      <c r="G82" s="56" t="s">
        <v>3232</v>
      </c>
      <c r="H82" s="57" t="s">
        <v>3300</v>
      </c>
      <c r="I82" s="51" t="s">
        <v>3219</v>
      </c>
    </row>
    <row r="83" spans="2:9" ht="30" hidden="1" customHeight="1">
      <c r="B83" s="56" t="s">
        <v>43</v>
      </c>
      <c r="C83" s="56" t="s">
        <v>46</v>
      </c>
      <c r="D83" s="51" t="s">
        <v>3294</v>
      </c>
      <c r="E83" s="51" t="s">
        <v>3298</v>
      </c>
      <c r="F83" s="51" t="s">
        <v>3294</v>
      </c>
      <c r="G83" s="51" t="s">
        <v>3305</v>
      </c>
      <c r="H83" s="55" t="s">
        <v>3306</v>
      </c>
      <c r="I83" s="51" t="s">
        <v>3211</v>
      </c>
    </row>
    <row r="84" spans="2:9" ht="30" hidden="1" customHeight="1">
      <c r="B84" s="56" t="s">
        <v>43</v>
      </c>
      <c r="C84" s="56" t="s">
        <v>46</v>
      </c>
      <c r="D84" s="51" t="s">
        <v>3294</v>
      </c>
      <c r="E84" s="51" t="s">
        <v>3298</v>
      </c>
      <c r="F84" s="56" t="s">
        <v>3294</v>
      </c>
      <c r="G84" s="56" t="s">
        <v>3307</v>
      </c>
      <c r="H84" s="55" t="s">
        <v>3308</v>
      </c>
      <c r="I84" s="51" t="s">
        <v>3211</v>
      </c>
    </row>
    <row r="85" spans="2:9" ht="30" hidden="1" customHeight="1">
      <c r="B85" s="56" t="s">
        <v>43</v>
      </c>
      <c r="C85" s="56" t="s">
        <v>46</v>
      </c>
      <c r="D85" s="51" t="s">
        <v>3294</v>
      </c>
      <c r="E85" s="51" t="s">
        <v>3298</v>
      </c>
      <c r="F85" s="51" t="s">
        <v>3294</v>
      </c>
      <c r="G85" s="51" t="s">
        <v>3343</v>
      </c>
      <c r="H85" s="55" t="s">
        <v>3344</v>
      </c>
      <c r="I85" s="51" t="s">
        <v>3211</v>
      </c>
    </row>
    <row r="86" spans="2:9" ht="30" hidden="1" customHeight="1">
      <c r="B86" s="56" t="s">
        <v>43</v>
      </c>
      <c r="C86" s="56" t="s">
        <v>46</v>
      </c>
      <c r="D86" s="51" t="s">
        <v>3294</v>
      </c>
      <c r="E86" s="51" t="s">
        <v>3343</v>
      </c>
      <c r="F86" s="56" t="s">
        <v>3345</v>
      </c>
      <c r="G86" s="56" t="s">
        <v>3346</v>
      </c>
      <c r="H86" s="55" t="s">
        <v>3347</v>
      </c>
      <c r="I86" s="51" t="s">
        <v>3211</v>
      </c>
    </row>
    <row r="87" spans="2:9" ht="30" hidden="1" customHeight="1">
      <c r="B87" s="56" t="s">
        <v>43</v>
      </c>
      <c r="C87" s="56" t="s">
        <v>46</v>
      </c>
      <c r="D87" s="56" t="s">
        <v>3345</v>
      </c>
      <c r="E87" s="56" t="s">
        <v>3346</v>
      </c>
      <c r="F87" s="56" t="s">
        <v>3216</v>
      </c>
      <c r="G87" s="56" t="s">
        <v>3232</v>
      </c>
      <c r="H87" s="57" t="s">
        <v>3348</v>
      </c>
      <c r="I87" s="51" t="s">
        <v>3211</v>
      </c>
    </row>
    <row r="88" spans="2:9" ht="30" hidden="1" customHeight="1">
      <c r="B88" s="56" t="s">
        <v>48</v>
      </c>
      <c r="C88" s="51" t="s">
        <v>51</v>
      </c>
      <c r="D88" s="56" t="s">
        <v>3349</v>
      </c>
      <c r="E88" s="56" t="s">
        <v>3350</v>
      </c>
      <c r="F88" s="56" t="s">
        <v>3349</v>
      </c>
      <c r="G88" s="56" t="s">
        <v>3351</v>
      </c>
      <c r="H88" s="57" t="s">
        <v>3352</v>
      </c>
      <c r="I88" s="55" t="s">
        <v>3211</v>
      </c>
    </row>
    <row r="89" spans="2:9" ht="30" hidden="1" customHeight="1">
      <c r="B89" s="56" t="s">
        <v>48</v>
      </c>
      <c r="C89" s="56" t="s">
        <v>51</v>
      </c>
      <c r="D89" s="56" t="s">
        <v>3349</v>
      </c>
      <c r="E89" s="56" t="s">
        <v>3350</v>
      </c>
      <c r="F89" s="56" t="s">
        <v>3349</v>
      </c>
      <c r="G89" s="56" t="s">
        <v>3353</v>
      </c>
      <c r="H89" s="57" t="s">
        <v>3354</v>
      </c>
      <c r="I89" s="55" t="s">
        <v>3211</v>
      </c>
    </row>
    <row r="90" spans="2:9" ht="30" hidden="1" customHeight="1">
      <c r="B90" s="56" t="s">
        <v>48</v>
      </c>
      <c r="C90" s="56" t="s">
        <v>49</v>
      </c>
      <c r="D90" s="390" t="s">
        <v>3349</v>
      </c>
      <c r="E90" s="390" t="s">
        <v>3355</v>
      </c>
      <c r="F90" s="390" t="s">
        <v>3349</v>
      </c>
      <c r="G90" s="390" t="s">
        <v>3356</v>
      </c>
      <c r="H90" s="391" t="s">
        <v>3357</v>
      </c>
      <c r="I90" s="390" t="s">
        <v>3211</v>
      </c>
    </row>
    <row r="91" spans="2:9" ht="30" hidden="1" customHeight="1">
      <c r="B91" s="56" t="s">
        <v>48</v>
      </c>
      <c r="C91" s="56" t="s">
        <v>49</v>
      </c>
      <c r="D91" s="51" t="s">
        <v>3349</v>
      </c>
      <c r="E91" s="390" t="s">
        <v>3353</v>
      </c>
      <c r="F91" s="51" t="s">
        <v>3349</v>
      </c>
      <c r="G91" s="390" t="s">
        <v>3358</v>
      </c>
      <c r="H91" s="391" t="s">
        <v>3359</v>
      </c>
      <c r="I91" s="390" t="s">
        <v>3211</v>
      </c>
    </row>
    <row r="92" spans="2:9" ht="30" hidden="1" customHeight="1">
      <c r="B92" s="56" t="s">
        <v>48</v>
      </c>
      <c r="C92" s="56" t="s">
        <v>49</v>
      </c>
      <c r="D92" s="390" t="s">
        <v>3349</v>
      </c>
      <c r="E92" s="390" t="s">
        <v>3353</v>
      </c>
      <c r="F92" s="390" t="s">
        <v>3349</v>
      </c>
      <c r="G92" s="390" t="s">
        <v>3355</v>
      </c>
      <c r="H92" s="391" t="s">
        <v>3360</v>
      </c>
      <c r="I92" s="390" t="s">
        <v>3211</v>
      </c>
    </row>
    <row r="93" spans="2:9" ht="30" hidden="1" customHeight="1">
      <c r="B93" s="56" t="s">
        <v>48</v>
      </c>
      <c r="C93" s="56" t="s">
        <v>49</v>
      </c>
      <c r="D93" s="390" t="s">
        <v>3349</v>
      </c>
      <c r="E93" s="390" t="s">
        <v>3358</v>
      </c>
      <c r="F93" s="390" t="s">
        <v>3349</v>
      </c>
      <c r="G93" s="390" t="s">
        <v>3351</v>
      </c>
      <c r="H93" s="391" t="s">
        <v>3361</v>
      </c>
      <c r="I93" s="390" t="s">
        <v>3211</v>
      </c>
    </row>
    <row r="94" spans="2:9" ht="30" hidden="1" customHeight="1">
      <c r="B94" s="56" t="s">
        <v>48</v>
      </c>
      <c r="C94" s="56" t="s">
        <v>49</v>
      </c>
      <c r="D94" s="390" t="s">
        <v>3349</v>
      </c>
      <c r="E94" s="390" t="s">
        <v>3351</v>
      </c>
      <c r="F94" s="390" t="s">
        <v>3349</v>
      </c>
      <c r="G94" s="390" t="s">
        <v>3362</v>
      </c>
      <c r="H94" s="391" t="s">
        <v>3363</v>
      </c>
      <c r="I94" s="390" t="s">
        <v>3211</v>
      </c>
    </row>
    <row r="95" spans="2:9" ht="30" hidden="1" customHeight="1">
      <c r="B95" s="56" t="s">
        <v>48</v>
      </c>
      <c r="C95" s="56" t="s">
        <v>49</v>
      </c>
      <c r="D95" s="390" t="s">
        <v>3349</v>
      </c>
      <c r="E95" s="390" t="s">
        <v>3351</v>
      </c>
      <c r="F95" s="390" t="s">
        <v>3349</v>
      </c>
      <c r="G95" s="390" t="s">
        <v>3364</v>
      </c>
      <c r="H95" s="391" t="s">
        <v>3365</v>
      </c>
      <c r="I95" s="390" t="s">
        <v>3211</v>
      </c>
    </row>
    <row r="96" spans="2:9" ht="30" hidden="1" customHeight="1">
      <c r="B96" s="56" t="s">
        <v>48</v>
      </c>
      <c r="C96" s="56" t="s">
        <v>49</v>
      </c>
      <c r="D96" s="390" t="s">
        <v>3349</v>
      </c>
      <c r="E96" s="390" t="s">
        <v>3366</v>
      </c>
      <c r="F96" s="393" t="s">
        <v>3349</v>
      </c>
      <c r="G96" s="390" t="s">
        <v>3367</v>
      </c>
      <c r="H96" s="391" t="s">
        <v>3368</v>
      </c>
      <c r="I96" s="390" t="s">
        <v>3211</v>
      </c>
    </row>
    <row r="97" spans="2:9" ht="30" hidden="1" customHeight="1">
      <c r="B97" s="390" t="s">
        <v>48</v>
      </c>
      <c r="C97" s="390" t="s">
        <v>49</v>
      </c>
      <c r="D97" s="390" t="s">
        <v>3349</v>
      </c>
      <c r="E97" s="390" t="s">
        <v>3358</v>
      </c>
      <c r="F97" s="393" t="s">
        <v>3349</v>
      </c>
      <c r="G97" s="390" t="s">
        <v>3369</v>
      </c>
      <c r="H97" s="391" t="s">
        <v>3370</v>
      </c>
      <c r="I97" s="390" t="s">
        <v>3211</v>
      </c>
    </row>
    <row r="98" spans="2:9" ht="30" hidden="1" customHeight="1">
      <c r="B98" s="390" t="s">
        <v>48</v>
      </c>
      <c r="C98" s="390" t="s">
        <v>49</v>
      </c>
      <c r="D98" s="390" t="s">
        <v>3349</v>
      </c>
      <c r="E98" s="390" t="s">
        <v>3358</v>
      </c>
      <c r="F98" s="393" t="s">
        <v>3349</v>
      </c>
      <c r="G98" s="390" t="s">
        <v>3366</v>
      </c>
      <c r="H98" s="391" t="s">
        <v>3371</v>
      </c>
      <c r="I98" s="390" t="s">
        <v>3211</v>
      </c>
    </row>
    <row r="99" spans="2:9" ht="30" customHeight="1">
      <c r="B99" s="56" t="s">
        <v>48</v>
      </c>
      <c r="C99" s="56" t="s">
        <v>49</v>
      </c>
      <c r="D99" s="390" t="s">
        <v>3349</v>
      </c>
      <c r="E99" s="390" t="s">
        <v>3358</v>
      </c>
      <c r="F99" s="390" t="s">
        <v>340</v>
      </c>
      <c r="G99" s="390" t="s">
        <v>2134</v>
      </c>
      <c r="H99" s="391" t="s">
        <v>3372</v>
      </c>
      <c r="I99" s="390" t="s">
        <v>3219</v>
      </c>
    </row>
    <row r="100" spans="2:9" ht="30" hidden="1" customHeight="1">
      <c r="B100" s="390" t="s">
        <v>48</v>
      </c>
      <c r="C100" s="390" t="s">
        <v>49</v>
      </c>
      <c r="D100" s="390" t="s">
        <v>3349</v>
      </c>
      <c r="E100" s="390" t="s">
        <v>3351</v>
      </c>
      <c r="F100" s="390" t="s">
        <v>3349</v>
      </c>
      <c r="G100" s="390" t="s">
        <v>3350</v>
      </c>
      <c r="H100" s="391" t="s">
        <v>3373</v>
      </c>
      <c r="I100" s="390" t="s">
        <v>3211</v>
      </c>
    </row>
    <row r="101" spans="2:9" ht="30" hidden="1" customHeight="1">
      <c r="B101" s="390" t="s">
        <v>48</v>
      </c>
      <c r="C101" s="390" t="s">
        <v>49</v>
      </c>
      <c r="D101" s="390" t="s">
        <v>3349</v>
      </c>
      <c r="E101" s="390" t="s">
        <v>3358</v>
      </c>
      <c r="F101" s="390" t="s">
        <v>3349</v>
      </c>
      <c r="G101" s="390" t="s">
        <v>3350</v>
      </c>
      <c r="H101" s="391" t="s">
        <v>3374</v>
      </c>
      <c r="I101" s="390" t="s">
        <v>3211</v>
      </c>
    </row>
    <row r="102" spans="2:9" ht="30" hidden="1" customHeight="1">
      <c r="B102" s="390" t="s">
        <v>48</v>
      </c>
      <c r="C102" s="390" t="s">
        <v>49</v>
      </c>
      <c r="D102" s="390" t="s">
        <v>3349</v>
      </c>
      <c r="E102" s="390" t="s">
        <v>3358</v>
      </c>
      <c r="F102" s="390" t="s">
        <v>3216</v>
      </c>
      <c r="G102" s="390" t="s">
        <v>3320</v>
      </c>
      <c r="H102" s="391" t="s">
        <v>3375</v>
      </c>
      <c r="I102" s="390" t="s">
        <v>3211</v>
      </c>
    </row>
    <row r="103" spans="2:9" ht="30" hidden="1" customHeight="1">
      <c r="B103" s="390" t="s">
        <v>48</v>
      </c>
      <c r="C103" s="390" t="s">
        <v>49</v>
      </c>
      <c r="D103" s="390" t="s">
        <v>3349</v>
      </c>
      <c r="E103" s="390" t="s">
        <v>3351</v>
      </c>
      <c r="F103" s="390" t="s">
        <v>3216</v>
      </c>
      <c r="G103" s="390" t="s">
        <v>3320</v>
      </c>
      <c r="H103" s="391" t="s">
        <v>3376</v>
      </c>
      <c r="I103" s="390" t="s">
        <v>3211</v>
      </c>
    </row>
    <row r="104" spans="2:9" ht="30" hidden="1" customHeight="1">
      <c r="B104" s="390" t="s">
        <v>48</v>
      </c>
      <c r="C104" s="390" t="s">
        <v>49</v>
      </c>
      <c r="D104" s="390" t="s">
        <v>3349</v>
      </c>
      <c r="E104" s="390" t="s">
        <v>3351</v>
      </c>
      <c r="F104" s="390" t="s">
        <v>3349</v>
      </c>
      <c r="G104" s="390" t="s">
        <v>3377</v>
      </c>
      <c r="H104" s="391" t="s">
        <v>3378</v>
      </c>
      <c r="I104" s="390" t="s">
        <v>3211</v>
      </c>
    </row>
    <row r="105" spans="2:9" ht="30" customHeight="1">
      <c r="B105" s="56" t="s">
        <v>48</v>
      </c>
      <c r="C105" s="56" t="s">
        <v>49</v>
      </c>
      <c r="D105" s="390" t="s">
        <v>3349</v>
      </c>
      <c r="E105" s="390" t="s">
        <v>3351</v>
      </c>
      <c r="F105" s="390" t="s">
        <v>340</v>
      </c>
      <c r="G105" s="390" t="s">
        <v>3379</v>
      </c>
      <c r="H105" s="391" t="s">
        <v>3380</v>
      </c>
      <c r="I105" s="390" t="s">
        <v>3219</v>
      </c>
    </row>
    <row r="106" spans="2:9" ht="30" customHeight="1">
      <c r="B106" s="56" t="s">
        <v>48</v>
      </c>
      <c r="C106" s="56" t="s">
        <v>49</v>
      </c>
      <c r="D106" s="390" t="s">
        <v>3349</v>
      </c>
      <c r="E106" s="390" t="s">
        <v>3351</v>
      </c>
      <c r="F106" s="390" t="s">
        <v>340</v>
      </c>
      <c r="G106" s="390" t="s">
        <v>3381</v>
      </c>
      <c r="H106" s="391" t="s">
        <v>3382</v>
      </c>
      <c r="I106" s="390"/>
    </row>
    <row r="107" spans="2:9" ht="30" customHeight="1">
      <c r="B107" s="56" t="s">
        <v>48</v>
      </c>
      <c r="C107" s="56" t="s">
        <v>49</v>
      </c>
      <c r="D107" s="390" t="s">
        <v>3238</v>
      </c>
      <c r="E107" s="390" t="s">
        <v>3239</v>
      </c>
      <c r="F107" s="390" t="s">
        <v>340</v>
      </c>
      <c r="G107" s="390" t="s">
        <v>2134</v>
      </c>
      <c r="H107" s="391" t="s">
        <v>3383</v>
      </c>
      <c r="I107" s="390" t="s">
        <v>3219</v>
      </c>
    </row>
    <row r="108" spans="2:9" ht="30" customHeight="1">
      <c r="B108" s="56" t="s">
        <v>48</v>
      </c>
      <c r="C108" s="56" t="s">
        <v>49</v>
      </c>
      <c r="D108" s="390" t="s">
        <v>3228</v>
      </c>
      <c r="E108" s="390" t="s">
        <v>3260</v>
      </c>
      <c r="F108" s="390" t="s">
        <v>340</v>
      </c>
      <c r="G108" s="390" t="s">
        <v>2134</v>
      </c>
      <c r="H108" s="391" t="s">
        <v>3384</v>
      </c>
      <c r="I108" s="390" t="s">
        <v>3219</v>
      </c>
    </row>
    <row r="109" spans="2:9" ht="30" hidden="1" customHeight="1">
      <c r="B109" s="56" t="s">
        <v>48</v>
      </c>
      <c r="C109" s="56" t="s">
        <v>49</v>
      </c>
      <c r="D109" s="390" t="s">
        <v>3228</v>
      </c>
      <c r="E109" s="390" t="s">
        <v>3260</v>
      </c>
      <c r="F109" s="390" t="s">
        <v>3228</v>
      </c>
      <c r="G109" s="390" t="s">
        <v>3230</v>
      </c>
      <c r="H109" s="391" t="s">
        <v>3385</v>
      </c>
      <c r="I109" s="390" t="s">
        <v>3211</v>
      </c>
    </row>
    <row r="110" spans="2:9" ht="30" hidden="1" customHeight="1">
      <c r="B110" s="56" t="s">
        <v>48</v>
      </c>
      <c r="C110" s="56" t="s">
        <v>49</v>
      </c>
      <c r="D110" s="390" t="s">
        <v>3228</v>
      </c>
      <c r="E110" s="390" t="s">
        <v>3260</v>
      </c>
      <c r="F110" s="390" t="s">
        <v>3216</v>
      </c>
      <c r="G110" s="390" t="s">
        <v>3320</v>
      </c>
      <c r="H110" s="391" t="s">
        <v>3386</v>
      </c>
      <c r="I110" s="390" t="s">
        <v>3211</v>
      </c>
    </row>
    <row r="111" spans="2:9" ht="30" hidden="1" customHeight="1">
      <c r="B111" s="390" t="s">
        <v>48</v>
      </c>
      <c r="C111" s="390" t="s">
        <v>2134</v>
      </c>
      <c r="D111" s="390" t="s">
        <v>3349</v>
      </c>
      <c r="E111" s="390" t="s">
        <v>3351</v>
      </c>
      <c r="F111" s="390" t="s">
        <v>3349</v>
      </c>
      <c r="G111" s="390" t="s">
        <v>3350</v>
      </c>
      <c r="H111" s="391" t="s">
        <v>3373</v>
      </c>
      <c r="I111" s="390" t="s">
        <v>3211</v>
      </c>
    </row>
    <row r="112" spans="2:9" ht="30" hidden="1" customHeight="1">
      <c r="B112" s="321" t="s">
        <v>53</v>
      </c>
      <c r="C112" s="56" t="s">
        <v>54</v>
      </c>
      <c r="D112" s="56" t="s">
        <v>3238</v>
      </c>
      <c r="E112" s="56" t="s">
        <v>3239</v>
      </c>
      <c r="F112" s="56" t="s">
        <v>3216</v>
      </c>
      <c r="G112" s="56" t="s">
        <v>3226</v>
      </c>
      <c r="H112" s="57" t="s">
        <v>3387</v>
      </c>
      <c r="I112" s="55" t="s">
        <v>3211</v>
      </c>
    </row>
    <row r="113" spans="2:9" ht="30" hidden="1" customHeight="1">
      <c r="B113" s="321" t="s">
        <v>53</v>
      </c>
      <c r="C113" s="56" t="s">
        <v>54</v>
      </c>
      <c r="D113" s="56" t="s">
        <v>3216</v>
      </c>
      <c r="E113" s="56" t="s">
        <v>3226</v>
      </c>
      <c r="F113" s="56" t="s">
        <v>3216</v>
      </c>
      <c r="G113" s="56" t="s">
        <v>3217</v>
      </c>
      <c r="H113" s="57" t="s">
        <v>3388</v>
      </c>
      <c r="I113" s="55" t="s">
        <v>3211</v>
      </c>
    </row>
    <row r="114" spans="2:9" ht="30" customHeight="1">
      <c r="B114" s="56" t="s">
        <v>59</v>
      </c>
      <c r="C114" s="56" t="s">
        <v>60</v>
      </c>
      <c r="D114" s="56" t="s">
        <v>3389</v>
      </c>
      <c r="E114" s="56" t="s">
        <v>3390</v>
      </c>
      <c r="F114" s="56" t="s">
        <v>340</v>
      </c>
      <c r="G114" s="56" t="s">
        <v>62</v>
      </c>
      <c r="H114" s="389" t="s">
        <v>3391</v>
      </c>
      <c r="I114" s="390" t="s">
        <v>3219</v>
      </c>
    </row>
    <row r="115" spans="2:9" ht="30" hidden="1" customHeight="1">
      <c r="B115" s="56" t="s">
        <v>59</v>
      </c>
      <c r="C115" s="56" t="s">
        <v>60</v>
      </c>
      <c r="D115" s="56" t="s">
        <v>3389</v>
      </c>
      <c r="E115" s="56" t="s">
        <v>3390</v>
      </c>
      <c r="F115" s="56" t="s">
        <v>3328</v>
      </c>
      <c r="G115" s="56" t="s">
        <v>3331</v>
      </c>
      <c r="H115" s="57" t="s">
        <v>3392</v>
      </c>
      <c r="I115" s="51" t="s">
        <v>3211</v>
      </c>
    </row>
    <row r="116" spans="2:9" ht="30" hidden="1" customHeight="1">
      <c r="B116" s="56" t="s">
        <v>64</v>
      </c>
      <c r="C116" s="56" t="s">
        <v>65</v>
      </c>
      <c r="D116" s="56" t="s">
        <v>3216</v>
      </c>
      <c r="E116" s="56" t="s">
        <v>3217</v>
      </c>
      <c r="F116" s="56" t="s">
        <v>3393</v>
      </c>
      <c r="G116" s="51" t="s">
        <v>3394</v>
      </c>
      <c r="H116" s="55" t="s">
        <v>3395</v>
      </c>
      <c r="I116" s="51" t="s">
        <v>3211</v>
      </c>
    </row>
    <row r="117" spans="2:9" ht="30" hidden="1" customHeight="1">
      <c r="B117" s="56" t="s">
        <v>64</v>
      </c>
      <c r="C117" s="56" t="s">
        <v>65</v>
      </c>
      <c r="D117" s="56" t="s">
        <v>3216</v>
      </c>
      <c r="E117" s="56" t="s">
        <v>3217</v>
      </c>
      <c r="F117" s="56" t="s">
        <v>3328</v>
      </c>
      <c r="G117" s="56" t="s">
        <v>3396</v>
      </c>
      <c r="H117" s="57" t="s">
        <v>3397</v>
      </c>
      <c r="I117" s="51" t="s">
        <v>3211</v>
      </c>
    </row>
    <row r="118" spans="2:9" ht="30" hidden="1" customHeight="1">
      <c r="B118" s="56" t="s">
        <v>64</v>
      </c>
      <c r="C118" s="56" t="s">
        <v>65</v>
      </c>
      <c r="D118" s="56" t="s">
        <v>3216</v>
      </c>
      <c r="E118" s="56" t="s">
        <v>3217</v>
      </c>
      <c r="F118" s="56" t="s">
        <v>3228</v>
      </c>
      <c r="G118" s="56" t="s">
        <v>3260</v>
      </c>
      <c r="H118" s="57" t="s">
        <v>3398</v>
      </c>
      <c r="I118" s="51" t="s">
        <v>3211</v>
      </c>
    </row>
    <row r="119" spans="2:9" ht="30" hidden="1" customHeight="1">
      <c r="B119" s="56" t="s">
        <v>64</v>
      </c>
      <c r="C119" s="56" t="s">
        <v>65</v>
      </c>
      <c r="D119" s="56" t="s">
        <v>3393</v>
      </c>
      <c r="E119" s="56" t="s">
        <v>3399</v>
      </c>
      <c r="F119" s="56" t="s">
        <v>3216</v>
      </c>
      <c r="G119" s="56" t="s">
        <v>3217</v>
      </c>
      <c r="H119" s="57" t="s">
        <v>3400</v>
      </c>
      <c r="I119" s="51" t="s">
        <v>3211</v>
      </c>
    </row>
    <row r="120" spans="2:9" ht="30" hidden="1" customHeight="1">
      <c r="B120" s="56" t="s">
        <v>64</v>
      </c>
      <c r="C120" s="56" t="s">
        <v>65</v>
      </c>
      <c r="D120" s="56" t="s">
        <v>3393</v>
      </c>
      <c r="E120" s="56" t="s">
        <v>3399</v>
      </c>
      <c r="F120" s="56" t="s">
        <v>3393</v>
      </c>
      <c r="G120" s="56" t="s">
        <v>3401</v>
      </c>
      <c r="H120" s="57" t="s">
        <v>3402</v>
      </c>
      <c r="I120" s="51" t="s">
        <v>3211</v>
      </c>
    </row>
    <row r="121" spans="2:9" ht="30" hidden="1" customHeight="1">
      <c r="B121" s="56" t="s">
        <v>64</v>
      </c>
      <c r="C121" s="56" t="s">
        <v>65</v>
      </c>
      <c r="D121" s="56" t="s">
        <v>3393</v>
      </c>
      <c r="E121" s="56" t="s">
        <v>3399</v>
      </c>
      <c r="F121" s="56" t="s">
        <v>3393</v>
      </c>
      <c r="G121" s="56" t="s">
        <v>3403</v>
      </c>
      <c r="H121" s="57" t="s">
        <v>3404</v>
      </c>
      <c r="I121" s="51" t="s">
        <v>3211</v>
      </c>
    </row>
    <row r="122" spans="2:9" ht="30" hidden="1" customHeight="1">
      <c r="B122" s="56" t="s">
        <v>64</v>
      </c>
      <c r="C122" s="56" t="s">
        <v>65</v>
      </c>
      <c r="D122" s="56" t="s">
        <v>3393</v>
      </c>
      <c r="E122" s="56" t="s">
        <v>3399</v>
      </c>
      <c r="F122" s="56" t="s">
        <v>3393</v>
      </c>
      <c r="G122" s="56" t="s">
        <v>3405</v>
      </c>
      <c r="H122" s="57" t="s">
        <v>3406</v>
      </c>
      <c r="I122" s="51" t="s">
        <v>3211</v>
      </c>
    </row>
    <row r="123" spans="2:9" ht="30" hidden="1" customHeight="1">
      <c r="B123" s="56" t="s">
        <v>64</v>
      </c>
      <c r="C123" s="56" t="s">
        <v>65</v>
      </c>
      <c r="D123" s="56" t="s">
        <v>3393</v>
      </c>
      <c r="E123" s="56" t="s">
        <v>3399</v>
      </c>
      <c r="F123" s="56" t="s">
        <v>3393</v>
      </c>
      <c r="G123" s="56" t="s">
        <v>3407</v>
      </c>
      <c r="H123" s="57" t="s">
        <v>3408</v>
      </c>
      <c r="I123" s="51" t="s">
        <v>3211</v>
      </c>
    </row>
    <row r="124" spans="2:9" ht="30" hidden="1" customHeight="1">
      <c r="B124" s="56" t="s">
        <v>64</v>
      </c>
      <c r="C124" s="56" t="s">
        <v>65</v>
      </c>
      <c r="D124" s="56" t="s">
        <v>3393</v>
      </c>
      <c r="E124" s="56" t="s">
        <v>3399</v>
      </c>
      <c r="F124" s="56" t="s">
        <v>3393</v>
      </c>
      <c r="G124" s="56" t="s">
        <v>3409</v>
      </c>
      <c r="H124" s="57" t="s">
        <v>3410</v>
      </c>
      <c r="I124" s="51" t="s">
        <v>3211</v>
      </c>
    </row>
    <row r="125" spans="2:9" ht="30" hidden="1" customHeight="1">
      <c r="B125" s="56" t="s">
        <v>64</v>
      </c>
      <c r="C125" s="56" t="s">
        <v>65</v>
      </c>
      <c r="D125" s="56" t="s">
        <v>3393</v>
      </c>
      <c r="E125" s="56" t="s">
        <v>3399</v>
      </c>
      <c r="F125" s="56" t="s">
        <v>3216</v>
      </c>
      <c r="G125" s="56" t="s">
        <v>3226</v>
      </c>
      <c r="H125" s="57" t="s">
        <v>3411</v>
      </c>
      <c r="I125" s="51" t="s">
        <v>3211</v>
      </c>
    </row>
    <row r="126" spans="2:9" ht="30" hidden="1" customHeight="1">
      <c r="B126" s="56" t="s">
        <v>64</v>
      </c>
      <c r="C126" s="56" t="s">
        <v>65</v>
      </c>
      <c r="D126" s="56" t="s">
        <v>3393</v>
      </c>
      <c r="E126" s="56" t="s">
        <v>3399</v>
      </c>
      <c r="F126" s="56" t="s">
        <v>3216</v>
      </c>
      <c r="G126" s="56" t="s">
        <v>3222</v>
      </c>
      <c r="H126" s="57" t="s">
        <v>3412</v>
      </c>
      <c r="I126" s="51" t="s">
        <v>3211</v>
      </c>
    </row>
    <row r="127" spans="2:9" ht="30" hidden="1" customHeight="1">
      <c r="B127" s="56" t="s">
        <v>64</v>
      </c>
      <c r="C127" s="56" t="s">
        <v>65</v>
      </c>
      <c r="D127" s="56" t="s">
        <v>3393</v>
      </c>
      <c r="E127" s="56" t="s">
        <v>3399</v>
      </c>
      <c r="F127" s="56" t="s">
        <v>3216</v>
      </c>
      <c r="G127" s="56" t="s">
        <v>3220</v>
      </c>
      <c r="H127" s="57" t="s">
        <v>3413</v>
      </c>
      <c r="I127" s="51" t="s">
        <v>3211</v>
      </c>
    </row>
    <row r="128" spans="2:9" ht="30" hidden="1" customHeight="1">
      <c r="B128" s="56" t="s">
        <v>64</v>
      </c>
      <c r="C128" s="56" t="s">
        <v>65</v>
      </c>
      <c r="D128" s="56" t="s">
        <v>3393</v>
      </c>
      <c r="E128" s="56" t="s">
        <v>3407</v>
      </c>
      <c r="F128" s="56" t="s">
        <v>3393</v>
      </c>
      <c r="G128" s="56" t="s">
        <v>3414</v>
      </c>
      <c r="H128" s="57" t="s">
        <v>3415</v>
      </c>
      <c r="I128" s="51" t="s">
        <v>3211</v>
      </c>
    </row>
    <row r="129" spans="2:9" ht="30" hidden="1" customHeight="1">
      <c r="B129" s="56" t="s">
        <v>64</v>
      </c>
      <c r="C129" s="56" t="s">
        <v>65</v>
      </c>
      <c r="D129" s="56" t="s">
        <v>3393</v>
      </c>
      <c r="E129" s="56" t="s">
        <v>3416</v>
      </c>
      <c r="F129" s="56" t="s">
        <v>3393</v>
      </c>
      <c r="G129" s="56" t="s">
        <v>3417</v>
      </c>
      <c r="H129" s="57" t="s">
        <v>3418</v>
      </c>
      <c r="I129" s="51" t="s">
        <v>3211</v>
      </c>
    </row>
    <row r="130" spans="2:9" ht="30" hidden="1" customHeight="1">
      <c r="B130" s="56" t="s">
        <v>64</v>
      </c>
      <c r="C130" s="56" t="s">
        <v>65</v>
      </c>
      <c r="D130" s="56" t="s">
        <v>3393</v>
      </c>
      <c r="E130" s="56" t="s">
        <v>3416</v>
      </c>
      <c r="F130" s="56" t="s">
        <v>3393</v>
      </c>
      <c r="G130" s="56" t="s">
        <v>3419</v>
      </c>
      <c r="H130" s="57" t="s">
        <v>3420</v>
      </c>
      <c r="I130" s="51" t="s">
        <v>3211</v>
      </c>
    </row>
    <row r="131" spans="2:9" ht="30" hidden="1" customHeight="1">
      <c r="B131" s="56" t="s">
        <v>64</v>
      </c>
      <c r="C131" s="56" t="s">
        <v>65</v>
      </c>
      <c r="D131" s="56" t="s">
        <v>3393</v>
      </c>
      <c r="E131" s="56" t="s">
        <v>3416</v>
      </c>
      <c r="F131" s="56" t="s">
        <v>3393</v>
      </c>
      <c r="G131" s="56" t="s">
        <v>3421</v>
      </c>
      <c r="H131" s="57" t="s">
        <v>3422</v>
      </c>
      <c r="I131" s="51" t="s">
        <v>3211</v>
      </c>
    </row>
    <row r="132" spans="2:9" ht="30" hidden="1" customHeight="1">
      <c r="B132" s="56" t="s">
        <v>64</v>
      </c>
      <c r="C132" s="56" t="s">
        <v>65</v>
      </c>
      <c r="D132" s="56" t="s">
        <v>3393</v>
      </c>
      <c r="E132" s="56" t="s">
        <v>3416</v>
      </c>
      <c r="F132" s="56" t="s">
        <v>3393</v>
      </c>
      <c r="G132" s="56" t="s">
        <v>3423</v>
      </c>
      <c r="H132" s="57" t="s">
        <v>3424</v>
      </c>
      <c r="I132" s="51" t="s">
        <v>3211</v>
      </c>
    </row>
    <row r="133" spans="2:9" ht="30" hidden="1" customHeight="1">
      <c r="B133" s="56" t="s">
        <v>64</v>
      </c>
      <c r="C133" s="56" t="s">
        <v>65</v>
      </c>
      <c r="D133" s="56" t="s">
        <v>3393</v>
      </c>
      <c r="E133" s="56" t="s">
        <v>3416</v>
      </c>
      <c r="F133" s="56" t="s">
        <v>3393</v>
      </c>
      <c r="G133" s="56" t="s">
        <v>3425</v>
      </c>
      <c r="H133" s="57" t="s">
        <v>3426</v>
      </c>
      <c r="I133" s="51" t="s">
        <v>3211</v>
      </c>
    </row>
    <row r="134" spans="2:9" ht="30" hidden="1" customHeight="1">
      <c r="B134" s="56" t="s">
        <v>64</v>
      </c>
      <c r="C134" s="56" t="s">
        <v>65</v>
      </c>
      <c r="D134" s="56" t="s">
        <v>3393</v>
      </c>
      <c r="E134" s="56" t="s">
        <v>3416</v>
      </c>
      <c r="F134" s="56" t="s">
        <v>3393</v>
      </c>
      <c r="G134" s="56" t="s">
        <v>3427</v>
      </c>
      <c r="H134" s="57" t="s">
        <v>3428</v>
      </c>
      <c r="I134" s="51" t="s">
        <v>3211</v>
      </c>
    </row>
    <row r="135" spans="2:9" ht="30" hidden="1" customHeight="1">
      <c r="B135" s="56" t="s">
        <v>64</v>
      </c>
      <c r="C135" s="56" t="s">
        <v>65</v>
      </c>
      <c r="D135" s="56" t="s">
        <v>3393</v>
      </c>
      <c r="E135" s="56" t="s">
        <v>3416</v>
      </c>
      <c r="F135" s="56" t="s">
        <v>3328</v>
      </c>
      <c r="G135" s="56" t="s">
        <v>3396</v>
      </c>
      <c r="H135" s="57" t="s">
        <v>3429</v>
      </c>
      <c r="I135" s="51" t="s">
        <v>3211</v>
      </c>
    </row>
    <row r="136" spans="2:9" ht="30" hidden="1" customHeight="1">
      <c r="B136" s="56" t="s">
        <v>64</v>
      </c>
      <c r="C136" s="56" t="s">
        <v>65</v>
      </c>
      <c r="D136" s="56" t="s">
        <v>3393</v>
      </c>
      <c r="E136" s="56" t="s">
        <v>3416</v>
      </c>
      <c r="F136" s="56" t="s">
        <v>3228</v>
      </c>
      <c r="G136" s="56" t="s">
        <v>3260</v>
      </c>
      <c r="H136" s="57" t="s">
        <v>3430</v>
      </c>
      <c r="I136" s="51" t="s">
        <v>3211</v>
      </c>
    </row>
    <row r="137" spans="2:9" ht="30" hidden="1" customHeight="1">
      <c r="B137" s="56" t="s">
        <v>64</v>
      </c>
      <c r="C137" s="56" t="s">
        <v>65</v>
      </c>
      <c r="D137" s="56" t="s">
        <v>3393</v>
      </c>
      <c r="E137" s="56" t="s">
        <v>3409</v>
      </c>
      <c r="F137" s="56" t="s">
        <v>3216</v>
      </c>
      <c r="G137" s="56" t="s">
        <v>3431</v>
      </c>
      <c r="H137" s="55" t="s">
        <v>3432</v>
      </c>
      <c r="I137" s="51" t="s">
        <v>3211</v>
      </c>
    </row>
    <row r="138" spans="2:9" ht="30" hidden="1" customHeight="1">
      <c r="B138" s="56" t="s">
        <v>64</v>
      </c>
      <c r="C138" s="56" t="s">
        <v>65</v>
      </c>
      <c r="D138" s="56" t="s">
        <v>3328</v>
      </c>
      <c r="E138" s="56" t="s">
        <v>3396</v>
      </c>
      <c r="F138" s="56" t="s">
        <v>3328</v>
      </c>
      <c r="G138" s="56" t="s">
        <v>3331</v>
      </c>
      <c r="H138" s="57" t="s">
        <v>3433</v>
      </c>
      <c r="I138" s="51" t="s">
        <v>3211</v>
      </c>
    </row>
    <row r="139" spans="2:9" ht="30" hidden="1" customHeight="1">
      <c r="B139" s="56" t="s">
        <v>64</v>
      </c>
      <c r="C139" s="56" t="s">
        <v>65</v>
      </c>
      <c r="D139" s="56" t="s">
        <v>3393</v>
      </c>
      <c r="E139" s="56" t="s">
        <v>3405</v>
      </c>
      <c r="F139" s="56" t="s">
        <v>3393</v>
      </c>
      <c r="G139" s="56" t="s">
        <v>3434</v>
      </c>
      <c r="H139" s="389" t="s">
        <v>3435</v>
      </c>
      <c r="I139" s="51" t="s">
        <v>3211</v>
      </c>
    </row>
    <row r="140" spans="2:9" ht="30" hidden="1" customHeight="1">
      <c r="B140" s="56" t="s">
        <v>64</v>
      </c>
      <c r="C140" s="56" t="s">
        <v>65</v>
      </c>
      <c r="D140" s="56" t="s">
        <v>3216</v>
      </c>
      <c r="E140" s="56" t="s">
        <v>3226</v>
      </c>
      <c r="F140" s="51" t="s">
        <v>3216</v>
      </c>
      <c r="G140" s="56" t="s">
        <v>3217</v>
      </c>
      <c r="H140" s="57" t="s">
        <v>3436</v>
      </c>
      <c r="I140" s="51" t="s">
        <v>3211</v>
      </c>
    </row>
    <row r="141" spans="2:9" ht="30" hidden="1" customHeight="1">
      <c r="B141" s="56" t="s">
        <v>64</v>
      </c>
      <c r="C141" s="56" t="s">
        <v>65</v>
      </c>
      <c r="D141" s="56" t="s">
        <v>3228</v>
      </c>
      <c r="E141" s="56" t="s">
        <v>3260</v>
      </c>
      <c r="F141" s="56" t="s">
        <v>3228</v>
      </c>
      <c r="G141" s="56" t="s">
        <v>3230</v>
      </c>
      <c r="H141" s="57" t="s">
        <v>3437</v>
      </c>
      <c r="I141" s="56" t="s">
        <v>3211</v>
      </c>
    </row>
    <row r="142" spans="2:9" ht="30" hidden="1" customHeight="1">
      <c r="B142" s="56" t="s">
        <v>67</v>
      </c>
      <c r="C142" s="51" t="s">
        <v>68</v>
      </c>
      <c r="D142" s="56" t="s">
        <v>3238</v>
      </c>
      <c r="E142" s="56" t="s">
        <v>3239</v>
      </c>
      <c r="F142" s="51" t="s">
        <v>3228</v>
      </c>
      <c r="G142" s="51" t="s">
        <v>3229</v>
      </c>
      <c r="H142" s="57" t="s">
        <v>3341</v>
      </c>
      <c r="I142" s="55" t="s">
        <v>3211</v>
      </c>
    </row>
    <row r="143" spans="2:9" ht="30" hidden="1" customHeight="1">
      <c r="B143" s="56" t="s">
        <v>67</v>
      </c>
      <c r="C143" s="56" t="s">
        <v>68</v>
      </c>
      <c r="D143" s="56" t="s">
        <v>3216</v>
      </c>
      <c r="E143" s="56" t="s">
        <v>3438</v>
      </c>
      <c r="F143" s="56" t="s">
        <v>3238</v>
      </c>
      <c r="G143" s="56" t="s">
        <v>3239</v>
      </c>
      <c r="H143" s="57" t="s">
        <v>3439</v>
      </c>
      <c r="I143" s="55" t="s">
        <v>3211</v>
      </c>
    </row>
    <row r="144" spans="2:9" ht="30" hidden="1" customHeight="1">
      <c r="B144" s="56" t="s">
        <v>67</v>
      </c>
      <c r="C144" s="56" t="s">
        <v>68</v>
      </c>
      <c r="D144" s="56" t="s">
        <v>3216</v>
      </c>
      <c r="E144" s="56" t="s">
        <v>3226</v>
      </c>
      <c r="F144" s="56" t="s">
        <v>3216</v>
      </c>
      <c r="G144" s="56" t="s">
        <v>3438</v>
      </c>
      <c r="H144" s="57" t="s">
        <v>3440</v>
      </c>
      <c r="I144" s="55" t="s">
        <v>3211</v>
      </c>
    </row>
    <row r="145" spans="2:9" ht="30" hidden="1" customHeight="1">
      <c r="B145" s="56" t="s">
        <v>67</v>
      </c>
      <c r="C145" s="56" t="s">
        <v>68</v>
      </c>
      <c r="D145" s="56" t="s">
        <v>3228</v>
      </c>
      <c r="E145" s="56" t="s">
        <v>3229</v>
      </c>
      <c r="F145" s="56" t="s">
        <v>3228</v>
      </c>
      <c r="G145" s="56" t="s">
        <v>3230</v>
      </c>
      <c r="H145" s="57" t="s">
        <v>3231</v>
      </c>
      <c r="I145" s="55" t="s">
        <v>3211</v>
      </c>
    </row>
    <row r="146" spans="2:9" ht="30" customHeight="1">
      <c r="B146" s="56" t="s">
        <v>67</v>
      </c>
      <c r="C146" s="56" t="s">
        <v>68</v>
      </c>
      <c r="D146" s="56" t="s">
        <v>3238</v>
      </c>
      <c r="E146" s="51" t="s">
        <v>3239</v>
      </c>
      <c r="F146" s="51" t="s">
        <v>340</v>
      </c>
      <c r="G146" s="51" t="s">
        <v>2806</v>
      </c>
      <c r="H146" s="375" t="s">
        <v>3441</v>
      </c>
      <c r="I146" s="55" t="s">
        <v>3219</v>
      </c>
    </row>
    <row r="147" spans="2:9" ht="30" customHeight="1">
      <c r="B147" s="56" t="s">
        <v>67</v>
      </c>
      <c r="C147" s="56" t="s">
        <v>68</v>
      </c>
      <c r="D147" s="56" t="s">
        <v>3228</v>
      </c>
      <c r="E147" s="51" t="s">
        <v>3260</v>
      </c>
      <c r="F147" s="51" t="s">
        <v>340</v>
      </c>
      <c r="G147" s="51" t="s">
        <v>2806</v>
      </c>
      <c r="H147" s="375" t="s">
        <v>3442</v>
      </c>
      <c r="I147" s="55" t="s">
        <v>3219</v>
      </c>
    </row>
    <row r="148" spans="2:9" ht="30" customHeight="1">
      <c r="B148" s="56" t="s">
        <v>56</v>
      </c>
      <c r="C148" s="56" t="s">
        <v>57</v>
      </c>
      <c r="D148" s="56" t="s">
        <v>3238</v>
      </c>
      <c r="E148" s="51" t="s">
        <v>3239</v>
      </c>
      <c r="F148" s="51" t="s">
        <v>340</v>
      </c>
      <c r="G148" s="51" t="s">
        <v>2258</v>
      </c>
      <c r="H148" s="375" t="s">
        <v>3443</v>
      </c>
      <c r="I148" s="55" t="s">
        <v>3219</v>
      </c>
    </row>
    <row r="149" spans="2:9" ht="30" customHeight="1">
      <c r="B149" s="56" t="s">
        <v>56</v>
      </c>
      <c r="C149" s="56" t="s">
        <v>57</v>
      </c>
      <c r="D149" s="56" t="s">
        <v>3228</v>
      </c>
      <c r="E149" s="51" t="s">
        <v>3260</v>
      </c>
      <c r="F149" s="51" t="s">
        <v>340</v>
      </c>
      <c r="G149" s="51" t="s">
        <v>2258</v>
      </c>
      <c r="H149" s="375" t="s">
        <v>3444</v>
      </c>
      <c r="I149" s="55" t="s">
        <v>3219</v>
      </c>
    </row>
    <row r="150" spans="2:9" ht="30" hidden="1" customHeight="1">
      <c r="B150" s="56" t="s">
        <v>70</v>
      </c>
      <c r="C150" s="51" t="s">
        <v>71</v>
      </c>
      <c r="D150" s="56" t="s">
        <v>3238</v>
      </c>
      <c r="E150" s="56" t="s">
        <v>3239</v>
      </c>
      <c r="F150" s="51" t="s">
        <v>3228</v>
      </c>
      <c r="G150" s="51" t="s">
        <v>3229</v>
      </c>
      <c r="H150" s="57" t="s">
        <v>3341</v>
      </c>
      <c r="I150" s="57" t="s">
        <v>3211</v>
      </c>
    </row>
    <row r="151" spans="2:9" ht="30" hidden="1" customHeight="1">
      <c r="B151" s="56" t="s">
        <v>70</v>
      </c>
      <c r="C151" s="51" t="s">
        <v>71</v>
      </c>
      <c r="D151" s="56" t="s">
        <v>3228</v>
      </c>
      <c r="E151" s="56" t="s">
        <v>3229</v>
      </c>
      <c r="F151" s="56" t="s">
        <v>3228</v>
      </c>
      <c r="G151" s="56" t="s">
        <v>3230</v>
      </c>
      <c r="H151" s="209" t="s">
        <v>3231</v>
      </c>
      <c r="I151" s="51" t="s">
        <v>3211</v>
      </c>
    </row>
    <row r="152" spans="2:9" ht="30" customHeight="1">
      <c r="B152" s="56" t="s">
        <v>70</v>
      </c>
      <c r="C152" s="51" t="s">
        <v>71</v>
      </c>
      <c r="D152" s="56" t="s">
        <v>3238</v>
      </c>
      <c r="E152" s="51" t="s">
        <v>3239</v>
      </c>
      <c r="F152" s="51" t="s">
        <v>340</v>
      </c>
      <c r="G152" s="51" t="s">
        <v>2834</v>
      </c>
      <c r="H152" s="375" t="s">
        <v>3445</v>
      </c>
      <c r="I152" s="55" t="s">
        <v>3219</v>
      </c>
    </row>
    <row r="153" spans="2:9" ht="30" customHeight="1">
      <c r="B153" s="56" t="s">
        <v>70</v>
      </c>
      <c r="C153" s="51" t="s">
        <v>71</v>
      </c>
      <c r="D153" s="56" t="s">
        <v>3228</v>
      </c>
      <c r="E153" s="51" t="s">
        <v>3260</v>
      </c>
      <c r="F153" s="51" t="s">
        <v>340</v>
      </c>
      <c r="G153" s="51" t="s">
        <v>2834</v>
      </c>
      <c r="H153" s="375" t="s">
        <v>3446</v>
      </c>
      <c r="I153" s="55" t="s">
        <v>3219</v>
      </c>
    </row>
    <row r="154" spans="2:9" ht="30" hidden="1" customHeight="1">
      <c r="B154" s="56" t="s">
        <v>73</v>
      </c>
      <c r="C154" s="51" t="s">
        <v>74</v>
      </c>
      <c r="D154" s="56" t="s">
        <v>3294</v>
      </c>
      <c r="E154" s="56" t="s">
        <v>3298</v>
      </c>
      <c r="F154" s="56" t="s">
        <v>3301</v>
      </c>
      <c r="G154" s="56" t="s">
        <v>3302</v>
      </c>
      <c r="H154" s="394" t="s">
        <v>3303</v>
      </c>
      <c r="I154" s="51" t="s">
        <v>3211</v>
      </c>
    </row>
    <row r="155" spans="2:9" ht="30" hidden="1" customHeight="1">
      <c r="B155" s="56" t="s">
        <v>73</v>
      </c>
      <c r="C155" s="51" t="s">
        <v>74</v>
      </c>
      <c r="D155" s="56" t="s">
        <v>3294</v>
      </c>
      <c r="E155" s="56" t="s">
        <v>3295</v>
      </c>
      <c r="F155" s="56" t="s">
        <v>3294</v>
      </c>
      <c r="G155" s="56" t="s">
        <v>3296</v>
      </c>
      <c r="H155" s="209" t="s">
        <v>3297</v>
      </c>
      <c r="I155" s="51" t="s">
        <v>3219</v>
      </c>
    </row>
    <row r="156" spans="2:9" ht="30" hidden="1" customHeight="1">
      <c r="B156" s="56" t="s">
        <v>73</v>
      </c>
      <c r="C156" s="56" t="s">
        <v>74</v>
      </c>
      <c r="D156" s="51" t="s">
        <v>3294</v>
      </c>
      <c r="E156" s="51" t="s">
        <v>3295</v>
      </c>
      <c r="F156" s="56" t="s">
        <v>3294</v>
      </c>
      <c r="G156" s="56" t="s">
        <v>3298</v>
      </c>
      <c r="H156" s="57" t="s">
        <v>3299</v>
      </c>
      <c r="I156" s="213" t="s">
        <v>3211</v>
      </c>
    </row>
    <row r="157" spans="2:9" ht="30" hidden="1" customHeight="1">
      <c r="B157" s="56" t="s">
        <v>73</v>
      </c>
      <c r="C157" s="56" t="s">
        <v>74</v>
      </c>
      <c r="D157" s="56" t="s">
        <v>3294</v>
      </c>
      <c r="E157" s="56" t="s">
        <v>3295</v>
      </c>
      <c r="F157" s="56" t="s">
        <v>3294</v>
      </c>
      <c r="G157" s="56" t="s">
        <v>3296</v>
      </c>
      <c r="H157" s="57" t="s">
        <v>3342</v>
      </c>
      <c r="I157" s="51" t="s">
        <v>3211</v>
      </c>
    </row>
    <row r="158" spans="2:9" ht="30" hidden="1" customHeight="1">
      <c r="B158" s="56" t="s">
        <v>73</v>
      </c>
      <c r="C158" s="56" t="s">
        <v>74</v>
      </c>
      <c r="D158" s="51" t="s">
        <v>3294</v>
      </c>
      <c r="E158" s="51" t="s">
        <v>3298</v>
      </c>
      <c r="F158" s="51" t="s">
        <v>3216</v>
      </c>
      <c r="G158" s="51" t="s">
        <v>3232</v>
      </c>
      <c r="H158" s="55" t="s">
        <v>3300</v>
      </c>
      <c r="I158" s="51" t="s">
        <v>3219</v>
      </c>
    </row>
    <row r="159" spans="2:9" ht="30" hidden="1" customHeight="1">
      <c r="B159" s="56" t="s">
        <v>73</v>
      </c>
      <c r="C159" s="56" t="s">
        <v>76</v>
      </c>
      <c r="D159" s="51" t="s">
        <v>3294</v>
      </c>
      <c r="E159" s="51" t="s">
        <v>3298</v>
      </c>
      <c r="F159" s="51" t="s">
        <v>3216</v>
      </c>
      <c r="G159" s="51" t="s">
        <v>3232</v>
      </c>
      <c r="H159" s="55" t="s">
        <v>3300</v>
      </c>
      <c r="I159" s="51" t="s">
        <v>3219</v>
      </c>
    </row>
    <row r="160" spans="2:9" ht="30" hidden="1" customHeight="1">
      <c r="B160" s="56" t="s">
        <v>73</v>
      </c>
      <c r="C160" s="56" t="s">
        <v>76</v>
      </c>
      <c r="D160" s="51" t="s">
        <v>3294</v>
      </c>
      <c r="E160" s="51" t="s">
        <v>3298</v>
      </c>
      <c r="F160" s="51" t="s">
        <v>3294</v>
      </c>
      <c r="G160" s="51" t="s">
        <v>3305</v>
      </c>
      <c r="H160" s="55" t="s">
        <v>3306</v>
      </c>
      <c r="I160" s="51" t="s">
        <v>3211</v>
      </c>
    </row>
    <row r="161" spans="2:9" ht="30" hidden="1" customHeight="1">
      <c r="B161" s="56" t="s">
        <v>73</v>
      </c>
      <c r="C161" s="51" t="s">
        <v>76</v>
      </c>
      <c r="D161" s="56" t="s">
        <v>3294</v>
      </c>
      <c r="E161" s="56" t="s">
        <v>3298</v>
      </c>
      <c r="F161" s="56" t="s">
        <v>3294</v>
      </c>
      <c r="G161" s="56" t="s">
        <v>3307</v>
      </c>
      <c r="H161" s="57" t="s">
        <v>3308</v>
      </c>
      <c r="I161" s="51" t="s">
        <v>3211</v>
      </c>
    </row>
    <row r="162" spans="2:9" ht="30" hidden="1" customHeight="1">
      <c r="B162" s="56" t="s">
        <v>73</v>
      </c>
      <c r="C162" s="51" t="s">
        <v>76</v>
      </c>
      <c r="D162" s="56" t="s">
        <v>3294</v>
      </c>
      <c r="E162" s="56" t="s">
        <v>3298</v>
      </c>
      <c r="F162" s="56" t="s">
        <v>3294</v>
      </c>
      <c r="G162" s="56" t="s">
        <v>3343</v>
      </c>
      <c r="H162" s="57" t="s">
        <v>3344</v>
      </c>
      <c r="I162" s="51" t="s">
        <v>3211</v>
      </c>
    </row>
    <row r="163" spans="2:9" ht="30" hidden="1" customHeight="1">
      <c r="B163" s="56" t="s">
        <v>73</v>
      </c>
      <c r="C163" s="56" t="s">
        <v>76</v>
      </c>
      <c r="D163" s="56" t="s">
        <v>3294</v>
      </c>
      <c r="E163" s="56" t="s">
        <v>3343</v>
      </c>
      <c r="F163" s="56" t="s">
        <v>3345</v>
      </c>
      <c r="G163" s="56" t="s">
        <v>3346</v>
      </c>
      <c r="H163" s="57" t="s">
        <v>3347</v>
      </c>
      <c r="I163" s="51" t="s">
        <v>3211</v>
      </c>
    </row>
    <row r="164" spans="2:9" ht="30" hidden="1" customHeight="1">
      <c r="B164" s="56" t="s">
        <v>73</v>
      </c>
      <c r="C164" s="56" t="s">
        <v>76</v>
      </c>
      <c r="D164" s="56" t="s">
        <v>3345</v>
      </c>
      <c r="E164" s="56" t="s">
        <v>3346</v>
      </c>
      <c r="F164" s="56" t="s">
        <v>3216</v>
      </c>
      <c r="G164" s="56" t="s">
        <v>3232</v>
      </c>
      <c r="H164" s="57" t="s">
        <v>3348</v>
      </c>
      <c r="I164" s="51" t="s">
        <v>3211</v>
      </c>
    </row>
    <row r="165" spans="2:9" ht="51.75" hidden="1" customHeight="1">
      <c r="B165" s="56" t="s">
        <v>78</v>
      </c>
      <c r="C165" s="56" t="s">
        <v>79</v>
      </c>
      <c r="D165" s="56" t="s">
        <v>3447</v>
      </c>
      <c r="E165" s="56" t="s">
        <v>3448</v>
      </c>
      <c r="F165" s="56" t="s">
        <v>3447</v>
      </c>
      <c r="G165" s="56" t="s">
        <v>3449</v>
      </c>
      <c r="H165" s="57" t="s">
        <v>3450</v>
      </c>
      <c r="I165" s="51" t="s">
        <v>3211</v>
      </c>
    </row>
    <row r="166" spans="2:9" ht="30" hidden="1" customHeight="1">
      <c r="B166" s="56" t="s">
        <v>78</v>
      </c>
      <c r="C166" s="56" t="s">
        <v>79</v>
      </c>
      <c r="D166" s="56" t="s">
        <v>3447</v>
      </c>
      <c r="E166" s="56" t="s">
        <v>3448</v>
      </c>
      <c r="F166" s="56" t="s">
        <v>3216</v>
      </c>
      <c r="G166" s="56" t="s">
        <v>3217</v>
      </c>
      <c r="H166" s="57" t="s">
        <v>3451</v>
      </c>
      <c r="I166" s="51" t="s">
        <v>3211</v>
      </c>
    </row>
    <row r="167" spans="2:9" ht="30" hidden="1" customHeight="1">
      <c r="B167" s="56" t="s">
        <v>78</v>
      </c>
      <c r="C167" s="56" t="s">
        <v>79</v>
      </c>
      <c r="D167" s="56" t="s">
        <v>3216</v>
      </c>
      <c r="E167" s="56" t="s">
        <v>3217</v>
      </c>
      <c r="F167" s="56" t="s">
        <v>3216</v>
      </c>
      <c r="G167" s="56" t="s">
        <v>3226</v>
      </c>
      <c r="H167" s="57" t="s">
        <v>3227</v>
      </c>
      <c r="I167" s="51" t="s">
        <v>3211</v>
      </c>
    </row>
    <row r="168" spans="2:9" ht="30" hidden="1" customHeight="1">
      <c r="B168" s="56" t="s">
        <v>78</v>
      </c>
      <c r="C168" s="56" t="s">
        <v>79</v>
      </c>
      <c r="D168" s="56" t="s">
        <v>3216</v>
      </c>
      <c r="E168" s="56" t="s">
        <v>3226</v>
      </c>
      <c r="F168" s="56" t="s">
        <v>3216</v>
      </c>
      <c r="G168" s="56" t="s">
        <v>3217</v>
      </c>
      <c r="H168" s="57" t="s">
        <v>3227</v>
      </c>
      <c r="I168" s="51" t="s">
        <v>3211</v>
      </c>
    </row>
    <row r="169" spans="2:9" ht="30" hidden="1" customHeight="1">
      <c r="B169" s="56" t="s">
        <v>78</v>
      </c>
      <c r="C169" s="56" t="s">
        <v>79</v>
      </c>
      <c r="D169" s="56" t="s">
        <v>3447</v>
      </c>
      <c r="E169" s="56" t="s">
        <v>3448</v>
      </c>
      <c r="F169" s="56" t="s">
        <v>3447</v>
      </c>
      <c r="G169" s="56" t="s">
        <v>3452</v>
      </c>
      <c r="H169" s="57" t="s">
        <v>3453</v>
      </c>
      <c r="I169" s="51" t="s">
        <v>3211</v>
      </c>
    </row>
    <row r="170" spans="2:9" ht="30" hidden="1" customHeight="1">
      <c r="B170" s="56" t="s">
        <v>78</v>
      </c>
      <c r="C170" s="56" t="s">
        <v>79</v>
      </c>
      <c r="D170" s="56" t="s">
        <v>3447</v>
      </c>
      <c r="E170" s="56" t="s">
        <v>3452</v>
      </c>
      <c r="F170" s="56" t="s">
        <v>3216</v>
      </c>
      <c r="G170" s="56" t="s">
        <v>3234</v>
      </c>
      <c r="H170" s="57" t="s">
        <v>3454</v>
      </c>
      <c r="I170" s="57" t="s">
        <v>3211</v>
      </c>
    </row>
    <row r="171" spans="2:9" ht="30" customHeight="1">
      <c r="B171" s="56" t="s">
        <v>78</v>
      </c>
      <c r="C171" s="56" t="s">
        <v>79</v>
      </c>
      <c r="D171" s="56" t="s">
        <v>3447</v>
      </c>
      <c r="E171" s="56" t="s">
        <v>3448</v>
      </c>
      <c r="F171" s="390" t="s">
        <v>340</v>
      </c>
      <c r="G171" s="390" t="s">
        <v>2941</v>
      </c>
      <c r="H171" s="395" t="s">
        <v>3455</v>
      </c>
      <c r="I171" s="388"/>
    </row>
    <row r="172" spans="2:9" ht="30" hidden="1" customHeight="1">
      <c r="B172" s="390" t="s">
        <v>81</v>
      </c>
      <c r="C172" s="390" t="s">
        <v>82</v>
      </c>
      <c r="D172" s="51" t="s">
        <v>3456</v>
      </c>
      <c r="E172" s="390" t="s">
        <v>3457</v>
      </c>
      <c r="F172" s="56" t="s">
        <v>3216</v>
      </c>
      <c r="G172" s="390" t="s">
        <v>3458</v>
      </c>
      <c r="H172" s="391" t="s">
        <v>3459</v>
      </c>
      <c r="I172" s="388" t="s">
        <v>3211</v>
      </c>
    </row>
    <row r="173" spans="2:9" ht="30" hidden="1" customHeight="1">
      <c r="B173" s="390" t="s">
        <v>81</v>
      </c>
      <c r="C173" s="390" t="s">
        <v>82</v>
      </c>
      <c r="D173" s="390" t="s">
        <v>3456</v>
      </c>
      <c r="E173" s="390" t="s">
        <v>3457</v>
      </c>
      <c r="F173" s="390" t="s">
        <v>3456</v>
      </c>
      <c r="G173" s="390" t="s">
        <v>3460</v>
      </c>
      <c r="H173" s="391" t="s">
        <v>3461</v>
      </c>
      <c r="I173" s="388" t="s">
        <v>3211</v>
      </c>
    </row>
    <row r="174" spans="2:9" ht="30" hidden="1" customHeight="1">
      <c r="B174" s="390" t="s">
        <v>81</v>
      </c>
      <c r="C174" s="390" t="s">
        <v>82</v>
      </c>
      <c r="D174" s="390" t="s">
        <v>3456</v>
      </c>
      <c r="E174" s="390" t="s">
        <v>3457</v>
      </c>
      <c r="F174" s="56" t="s">
        <v>3216</v>
      </c>
      <c r="G174" s="390" t="s">
        <v>3462</v>
      </c>
      <c r="H174" s="391" t="s">
        <v>3463</v>
      </c>
      <c r="I174" s="388" t="s">
        <v>3211</v>
      </c>
    </row>
    <row r="175" spans="2:9" ht="30" hidden="1" customHeight="1">
      <c r="B175" s="390" t="s">
        <v>81</v>
      </c>
      <c r="C175" s="390" t="s">
        <v>82</v>
      </c>
      <c r="D175" s="390" t="s">
        <v>3456</v>
      </c>
      <c r="E175" s="390" t="s">
        <v>3457</v>
      </c>
      <c r="F175" s="56" t="s">
        <v>340</v>
      </c>
      <c r="G175" s="390" t="s">
        <v>82</v>
      </c>
      <c r="H175" s="395" t="s">
        <v>3464</v>
      </c>
      <c r="I175" s="388" t="s">
        <v>3219</v>
      </c>
    </row>
    <row r="176" spans="2:9" ht="30" hidden="1" customHeight="1">
      <c r="B176" s="390" t="s">
        <v>81</v>
      </c>
      <c r="C176" s="390" t="s">
        <v>82</v>
      </c>
      <c r="D176" s="390" t="s">
        <v>3456</v>
      </c>
      <c r="E176" s="390" t="s">
        <v>3465</v>
      </c>
      <c r="F176" s="390" t="s">
        <v>3456</v>
      </c>
      <c r="G176" s="390" t="s">
        <v>3466</v>
      </c>
      <c r="H176" s="391" t="s">
        <v>3467</v>
      </c>
      <c r="I176" s="388" t="s">
        <v>3211</v>
      </c>
    </row>
    <row r="177" spans="2:9" ht="30" hidden="1" customHeight="1">
      <c r="B177" s="390" t="s">
        <v>81</v>
      </c>
      <c r="C177" s="390" t="s">
        <v>82</v>
      </c>
      <c r="D177" s="51" t="s">
        <v>3456</v>
      </c>
      <c r="E177" s="390" t="s">
        <v>3465</v>
      </c>
      <c r="F177" s="56" t="s">
        <v>3216</v>
      </c>
      <c r="G177" s="390" t="s">
        <v>3458</v>
      </c>
      <c r="H177" s="391" t="s">
        <v>3468</v>
      </c>
      <c r="I177" s="388" t="s">
        <v>3211</v>
      </c>
    </row>
    <row r="178" spans="2:9" ht="30" hidden="1" customHeight="1">
      <c r="B178" s="390" t="s">
        <v>81</v>
      </c>
      <c r="C178" s="390" t="s">
        <v>82</v>
      </c>
      <c r="D178" s="390" t="s">
        <v>3456</v>
      </c>
      <c r="E178" s="390" t="s">
        <v>3465</v>
      </c>
      <c r="F178" s="56" t="s">
        <v>3216</v>
      </c>
      <c r="G178" s="390" t="s">
        <v>3462</v>
      </c>
      <c r="H178" s="391" t="s">
        <v>3469</v>
      </c>
      <c r="I178" s="388" t="s">
        <v>3211</v>
      </c>
    </row>
    <row r="179" spans="2:9" ht="30" hidden="1" customHeight="1">
      <c r="B179" s="390" t="s">
        <v>81</v>
      </c>
      <c r="C179" s="390" t="s">
        <v>82</v>
      </c>
      <c r="D179" s="390" t="s">
        <v>3456</v>
      </c>
      <c r="E179" s="390" t="s">
        <v>3465</v>
      </c>
      <c r="F179" s="390" t="s">
        <v>3456</v>
      </c>
      <c r="G179" s="390" t="s">
        <v>3460</v>
      </c>
      <c r="H179" s="391" t="s">
        <v>3470</v>
      </c>
      <c r="I179" s="388" t="s">
        <v>3211</v>
      </c>
    </row>
    <row r="180" spans="2:9" ht="30" hidden="1" customHeight="1">
      <c r="B180" s="390" t="s">
        <v>81</v>
      </c>
      <c r="C180" s="390" t="s">
        <v>82</v>
      </c>
      <c r="D180" s="390" t="s">
        <v>3456</v>
      </c>
      <c r="E180" s="390" t="s">
        <v>3465</v>
      </c>
      <c r="F180" s="56" t="s">
        <v>340</v>
      </c>
      <c r="G180" s="390" t="s">
        <v>82</v>
      </c>
      <c r="H180" s="395" t="s">
        <v>3471</v>
      </c>
      <c r="I180" s="388" t="s">
        <v>3219</v>
      </c>
    </row>
    <row r="181" spans="2:9" ht="30" hidden="1" customHeight="1">
      <c r="B181" s="390" t="s">
        <v>81</v>
      </c>
      <c r="C181" s="390" t="s">
        <v>82</v>
      </c>
      <c r="D181" s="390" t="s">
        <v>3456</v>
      </c>
      <c r="E181" s="390" t="s">
        <v>3472</v>
      </c>
      <c r="F181" s="390" t="s">
        <v>3456</v>
      </c>
      <c r="G181" s="390" t="s">
        <v>3473</v>
      </c>
      <c r="H181" s="391" t="s">
        <v>3474</v>
      </c>
      <c r="I181" s="388" t="s">
        <v>3211</v>
      </c>
    </row>
    <row r="182" spans="2:9" ht="30" hidden="1" customHeight="1">
      <c r="B182" s="390" t="s">
        <v>81</v>
      </c>
      <c r="C182" s="390" t="s">
        <v>82</v>
      </c>
      <c r="D182" s="51" t="s">
        <v>3456</v>
      </c>
      <c r="E182" s="390" t="s">
        <v>3472</v>
      </c>
      <c r="F182" s="56" t="s">
        <v>3216</v>
      </c>
      <c r="G182" s="390" t="s">
        <v>3458</v>
      </c>
      <c r="H182" s="391" t="s">
        <v>3475</v>
      </c>
      <c r="I182" s="388" t="s">
        <v>3211</v>
      </c>
    </row>
    <row r="183" spans="2:9" ht="30" hidden="1" customHeight="1">
      <c r="B183" s="390" t="s">
        <v>81</v>
      </c>
      <c r="C183" s="390" t="s">
        <v>82</v>
      </c>
      <c r="D183" s="390" t="s">
        <v>3456</v>
      </c>
      <c r="E183" s="390" t="s">
        <v>3472</v>
      </c>
      <c r="F183" s="56" t="s">
        <v>3216</v>
      </c>
      <c r="G183" s="390" t="s">
        <v>3462</v>
      </c>
      <c r="H183" s="391" t="s">
        <v>3476</v>
      </c>
      <c r="I183" s="388" t="s">
        <v>3211</v>
      </c>
    </row>
    <row r="184" spans="2:9" ht="30" hidden="1" customHeight="1">
      <c r="B184" s="390" t="s">
        <v>81</v>
      </c>
      <c r="C184" s="390" t="s">
        <v>82</v>
      </c>
      <c r="D184" s="390" t="s">
        <v>3456</v>
      </c>
      <c r="E184" s="390" t="s">
        <v>3472</v>
      </c>
      <c r="F184" s="390" t="s">
        <v>3456</v>
      </c>
      <c r="G184" s="390" t="s">
        <v>3477</v>
      </c>
      <c r="H184" s="391" t="s">
        <v>3478</v>
      </c>
      <c r="I184" s="388" t="s">
        <v>3211</v>
      </c>
    </row>
    <row r="185" spans="2:9" ht="30" hidden="1" customHeight="1">
      <c r="B185" s="390" t="s">
        <v>81</v>
      </c>
      <c r="C185" s="390" t="s">
        <v>82</v>
      </c>
      <c r="D185" s="390" t="s">
        <v>3456</v>
      </c>
      <c r="E185" s="390" t="s">
        <v>3472</v>
      </c>
      <c r="F185" s="56" t="s">
        <v>340</v>
      </c>
      <c r="G185" s="390" t="s">
        <v>82</v>
      </c>
      <c r="H185" s="395" t="s">
        <v>3479</v>
      </c>
      <c r="I185" s="388" t="s">
        <v>3219</v>
      </c>
    </row>
    <row r="186" spans="2:9" ht="30" hidden="1" customHeight="1">
      <c r="B186" s="390" t="s">
        <v>81</v>
      </c>
      <c r="C186" s="390" t="s">
        <v>82</v>
      </c>
      <c r="D186" s="390" t="s">
        <v>3456</v>
      </c>
      <c r="E186" s="390" t="s">
        <v>3480</v>
      </c>
      <c r="F186" s="390" t="s">
        <v>3456</v>
      </c>
      <c r="G186" s="390" t="s">
        <v>3481</v>
      </c>
      <c r="H186" s="391" t="s">
        <v>3482</v>
      </c>
      <c r="I186" s="388" t="s">
        <v>3211</v>
      </c>
    </row>
    <row r="187" spans="2:9" ht="30" hidden="1" customHeight="1">
      <c r="B187" s="390" t="s">
        <v>81</v>
      </c>
      <c r="C187" s="390" t="s">
        <v>82</v>
      </c>
      <c r="D187" s="51" t="s">
        <v>3456</v>
      </c>
      <c r="E187" s="390" t="s">
        <v>3480</v>
      </c>
      <c r="F187" s="56" t="s">
        <v>3216</v>
      </c>
      <c r="G187" s="390" t="s">
        <v>3458</v>
      </c>
      <c r="H187" s="391" t="s">
        <v>3483</v>
      </c>
      <c r="I187" s="388" t="s">
        <v>3211</v>
      </c>
    </row>
    <row r="188" spans="2:9" ht="30" hidden="1" customHeight="1">
      <c r="B188" s="390" t="s">
        <v>81</v>
      </c>
      <c r="C188" s="390" t="s">
        <v>82</v>
      </c>
      <c r="D188" s="390" t="s">
        <v>3456</v>
      </c>
      <c r="E188" s="390" t="s">
        <v>3480</v>
      </c>
      <c r="F188" s="56" t="s">
        <v>3216</v>
      </c>
      <c r="G188" s="390" t="s">
        <v>3462</v>
      </c>
      <c r="H188" s="391" t="s">
        <v>3484</v>
      </c>
      <c r="I188" s="388" t="s">
        <v>3211</v>
      </c>
    </row>
    <row r="189" spans="2:9" ht="30" hidden="1" customHeight="1">
      <c r="B189" s="390" t="s">
        <v>81</v>
      </c>
      <c r="C189" s="390" t="s">
        <v>82</v>
      </c>
      <c r="D189" s="390" t="s">
        <v>3456</v>
      </c>
      <c r="E189" s="390" t="s">
        <v>3480</v>
      </c>
      <c r="F189" s="390" t="s">
        <v>3456</v>
      </c>
      <c r="G189" s="390" t="s">
        <v>3477</v>
      </c>
      <c r="H189" s="391" t="s">
        <v>3485</v>
      </c>
      <c r="I189" s="388" t="s">
        <v>3211</v>
      </c>
    </row>
    <row r="190" spans="2:9" ht="30" hidden="1" customHeight="1">
      <c r="B190" s="390" t="s">
        <v>81</v>
      </c>
      <c r="C190" s="390" t="s">
        <v>82</v>
      </c>
      <c r="D190" s="390" t="s">
        <v>3456</v>
      </c>
      <c r="E190" s="390" t="s">
        <v>3480</v>
      </c>
      <c r="F190" s="56" t="s">
        <v>340</v>
      </c>
      <c r="G190" s="390" t="s">
        <v>82</v>
      </c>
      <c r="H190" s="395" t="s">
        <v>3486</v>
      </c>
      <c r="I190" s="388" t="s">
        <v>3219</v>
      </c>
    </row>
    <row r="191" spans="2:9" ht="30" hidden="1" customHeight="1">
      <c r="B191" s="390" t="s">
        <v>81</v>
      </c>
      <c r="C191" s="390" t="s">
        <v>82</v>
      </c>
      <c r="D191" s="51" t="s">
        <v>3238</v>
      </c>
      <c r="E191" s="51" t="s">
        <v>3239</v>
      </c>
      <c r="F191" s="56" t="s">
        <v>340</v>
      </c>
      <c r="G191" s="390" t="s">
        <v>82</v>
      </c>
      <c r="H191" s="395" t="s">
        <v>3487</v>
      </c>
      <c r="I191" s="55" t="s">
        <v>3219</v>
      </c>
    </row>
    <row r="192" spans="2:9" ht="30" hidden="1" customHeight="1">
      <c r="B192" s="390" t="s">
        <v>81</v>
      </c>
      <c r="C192" s="390" t="s">
        <v>82</v>
      </c>
      <c r="D192" s="51" t="s">
        <v>3228</v>
      </c>
      <c r="E192" s="51" t="s">
        <v>3229</v>
      </c>
      <c r="F192" s="56" t="s">
        <v>340</v>
      </c>
      <c r="G192" s="390" t="s">
        <v>82</v>
      </c>
      <c r="H192" s="395" t="s">
        <v>3488</v>
      </c>
      <c r="I192" s="55" t="s">
        <v>3219</v>
      </c>
    </row>
    <row r="193" spans="2:9" ht="30" hidden="1" customHeight="1">
      <c r="B193" s="390" t="s">
        <v>81</v>
      </c>
      <c r="C193" s="390" t="s">
        <v>82</v>
      </c>
      <c r="D193" s="51" t="s">
        <v>3228</v>
      </c>
      <c r="E193" s="51" t="s">
        <v>3489</v>
      </c>
      <c r="F193" s="51" t="s">
        <v>3228</v>
      </c>
      <c r="G193" s="390" t="s">
        <v>3490</v>
      </c>
      <c r="H193" s="395" t="s">
        <v>3491</v>
      </c>
      <c r="I193" s="390"/>
    </row>
    <row r="194" spans="2:9" ht="30" hidden="1" customHeight="1">
      <c r="B194" s="388" t="s">
        <v>81</v>
      </c>
      <c r="C194" s="388" t="s">
        <v>82</v>
      </c>
      <c r="D194" s="388" t="s">
        <v>3228</v>
      </c>
      <c r="E194" s="388" t="s">
        <v>3229</v>
      </c>
      <c r="F194" s="388" t="s">
        <v>3228</v>
      </c>
      <c r="G194" s="388" t="s">
        <v>3230</v>
      </c>
      <c r="H194" s="57" t="s">
        <v>3231</v>
      </c>
      <c r="I194" s="55" t="s">
        <v>3211</v>
      </c>
    </row>
    <row r="195" spans="2:9" ht="30" hidden="1" customHeight="1">
      <c r="B195" s="388" t="s">
        <v>81</v>
      </c>
      <c r="C195" s="388" t="s">
        <v>82</v>
      </c>
      <c r="D195" s="388" t="s">
        <v>3228</v>
      </c>
      <c r="E195" s="388" t="s">
        <v>3229</v>
      </c>
      <c r="F195" s="56" t="s">
        <v>3216</v>
      </c>
      <c r="G195" s="390" t="s">
        <v>3320</v>
      </c>
      <c r="H195" s="391" t="s">
        <v>3492</v>
      </c>
      <c r="I195" s="390"/>
    </row>
    <row r="196" spans="2:9" ht="30" customHeight="1">
      <c r="B196" s="388" t="s">
        <v>81</v>
      </c>
      <c r="C196" s="388" t="s">
        <v>82</v>
      </c>
      <c r="D196" s="390" t="s">
        <v>3456</v>
      </c>
      <c r="E196" s="390" t="s">
        <v>3457</v>
      </c>
      <c r="F196" s="390" t="s">
        <v>340</v>
      </c>
      <c r="G196" s="390" t="s">
        <v>3185</v>
      </c>
      <c r="H196" s="395" t="s">
        <v>3493</v>
      </c>
      <c r="I196" s="55" t="s">
        <v>3219</v>
      </c>
    </row>
    <row r="197" spans="2:9" ht="30" customHeight="1">
      <c r="B197" s="388" t="s">
        <v>81</v>
      </c>
      <c r="C197" s="388" t="s">
        <v>82</v>
      </c>
      <c r="D197" s="390" t="s">
        <v>3456</v>
      </c>
      <c r="E197" s="390" t="s">
        <v>3465</v>
      </c>
      <c r="F197" s="390" t="s">
        <v>340</v>
      </c>
      <c r="G197" s="390" t="s">
        <v>3185</v>
      </c>
      <c r="H197" s="395" t="s">
        <v>3494</v>
      </c>
      <c r="I197" s="55" t="s">
        <v>3219</v>
      </c>
    </row>
    <row r="198" spans="2:9" ht="30" customHeight="1">
      <c r="B198" s="388" t="s">
        <v>81</v>
      </c>
      <c r="C198" s="388" t="s">
        <v>82</v>
      </c>
      <c r="D198" s="390" t="s">
        <v>3456</v>
      </c>
      <c r="E198" s="390" t="s">
        <v>3495</v>
      </c>
      <c r="F198" s="390" t="s">
        <v>340</v>
      </c>
      <c r="G198" s="390" t="s">
        <v>3185</v>
      </c>
      <c r="H198" s="395" t="s">
        <v>3479</v>
      </c>
      <c r="I198" s="55" t="s">
        <v>3219</v>
      </c>
    </row>
    <row r="199" spans="2:9" ht="30" customHeight="1">
      <c r="B199" s="388" t="s">
        <v>81</v>
      </c>
      <c r="C199" s="388" t="s">
        <v>82</v>
      </c>
      <c r="D199" s="390" t="s">
        <v>3456</v>
      </c>
      <c r="E199" s="390" t="s">
        <v>3496</v>
      </c>
      <c r="F199" s="390" t="s">
        <v>340</v>
      </c>
      <c r="G199" s="390" t="s">
        <v>3185</v>
      </c>
      <c r="H199" s="395" t="s">
        <v>3497</v>
      </c>
      <c r="I199" s="55" t="s">
        <v>3219</v>
      </c>
    </row>
    <row r="200" spans="2:9" ht="30" customHeight="1">
      <c r="B200" s="388" t="s">
        <v>81</v>
      </c>
      <c r="C200" s="388" t="s">
        <v>82</v>
      </c>
      <c r="D200" s="390" t="s">
        <v>3456</v>
      </c>
      <c r="E200" s="390" t="s">
        <v>3498</v>
      </c>
      <c r="F200" s="390" t="s">
        <v>340</v>
      </c>
      <c r="G200" s="390" t="s">
        <v>3185</v>
      </c>
      <c r="H200" s="395" t="s">
        <v>3499</v>
      </c>
      <c r="I200" s="55" t="s">
        <v>3219</v>
      </c>
    </row>
    <row r="201" spans="2:9" ht="30" customHeight="1">
      <c r="B201" s="388" t="s">
        <v>81</v>
      </c>
      <c r="C201" s="388" t="s">
        <v>82</v>
      </c>
      <c r="D201" s="390" t="s">
        <v>3456</v>
      </c>
      <c r="E201" s="390" t="s">
        <v>3480</v>
      </c>
      <c r="F201" s="390" t="s">
        <v>340</v>
      </c>
      <c r="G201" s="390" t="s">
        <v>3185</v>
      </c>
      <c r="H201" s="395" t="s">
        <v>3500</v>
      </c>
      <c r="I201" s="55" t="s">
        <v>3219</v>
      </c>
    </row>
    <row r="202" spans="2:9" ht="30" customHeight="1">
      <c r="B202" s="388" t="s">
        <v>81</v>
      </c>
      <c r="C202" s="388" t="s">
        <v>82</v>
      </c>
      <c r="D202" s="390" t="s">
        <v>3238</v>
      </c>
      <c r="E202" s="390" t="s">
        <v>3239</v>
      </c>
      <c r="F202" s="390" t="s">
        <v>340</v>
      </c>
      <c r="G202" s="390" t="s">
        <v>3185</v>
      </c>
      <c r="H202" s="395" t="s">
        <v>3501</v>
      </c>
      <c r="I202" s="55" t="s">
        <v>3219</v>
      </c>
    </row>
    <row r="203" spans="2:9" ht="30" customHeight="1">
      <c r="B203" s="388" t="s">
        <v>81</v>
      </c>
      <c r="C203" s="388" t="s">
        <v>82</v>
      </c>
      <c r="D203" s="390" t="s">
        <v>3228</v>
      </c>
      <c r="E203" s="390" t="s">
        <v>3260</v>
      </c>
      <c r="F203" s="390" t="s">
        <v>340</v>
      </c>
      <c r="G203" s="390" t="s">
        <v>3185</v>
      </c>
      <c r="H203" s="395" t="s">
        <v>3502</v>
      </c>
      <c r="I203" s="55" t="s">
        <v>3219</v>
      </c>
    </row>
    <row r="204" spans="2:9" ht="30" hidden="1" customHeight="1">
      <c r="B204" s="388" t="s">
        <v>81</v>
      </c>
      <c r="C204" s="388" t="s">
        <v>82</v>
      </c>
      <c r="D204" s="388" t="s">
        <v>3456</v>
      </c>
      <c r="E204" s="388" t="s">
        <v>3472</v>
      </c>
      <c r="F204" s="388" t="s">
        <v>3456</v>
      </c>
      <c r="G204" s="388" t="s">
        <v>3503</v>
      </c>
      <c r="H204" s="389" t="s">
        <v>3504</v>
      </c>
      <c r="I204" s="55" t="s">
        <v>3211</v>
      </c>
    </row>
    <row r="205" spans="2:9" hidden="1">
      <c r="B205" s="388" t="s">
        <v>340</v>
      </c>
      <c r="C205" s="388" t="s">
        <v>3185</v>
      </c>
      <c r="D205" s="388" t="s">
        <v>3456</v>
      </c>
      <c r="E205" s="388" t="s">
        <v>3472</v>
      </c>
      <c r="F205" s="388" t="s">
        <v>3456</v>
      </c>
      <c r="G205" s="388" t="s">
        <v>3503</v>
      </c>
      <c r="H205" s="389" t="s">
        <v>3504</v>
      </c>
      <c r="I205" s="55" t="s">
        <v>3211</v>
      </c>
    </row>
    <row r="206" spans="2:9" ht="33" hidden="1" customHeight="1">
      <c r="B206" s="388" t="s">
        <v>81</v>
      </c>
      <c r="C206" s="388" t="s">
        <v>82</v>
      </c>
      <c r="D206" s="56" t="s">
        <v>3216</v>
      </c>
      <c r="E206" s="51" t="s">
        <v>3462</v>
      </c>
      <c r="F206" s="388" t="s">
        <v>3266</v>
      </c>
      <c r="G206" s="388" t="s">
        <v>3267</v>
      </c>
      <c r="H206" s="389" t="s">
        <v>3505</v>
      </c>
      <c r="I206" s="39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C642"/>
      <c r="D642"/>
      <c r="E642"/>
      <c r="F64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D3" workbookViewId="0">
      <selection activeCell="F24" sqref="F24"/>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3506</v>
      </c>
      <c r="E2" s="58" t="s">
        <v>3507</v>
      </c>
      <c r="F2" s="58" t="s">
        <v>3508</v>
      </c>
      <c r="G2" s="58" t="s">
        <v>3509</v>
      </c>
      <c r="H2" s="58" t="s">
        <v>3510</v>
      </c>
    </row>
    <row r="3" spans="2:8" ht="30" hidden="1" customHeight="1">
      <c r="B3" s="51" t="s">
        <v>4</v>
      </c>
      <c r="C3" s="51" t="s">
        <v>5</v>
      </c>
      <c r="D3" s="51" t="s">
        <v>3207</v>
      </c>
      <c r="E3" s="51" t="s">
        <v>3208</v>
      </c>
      <c r="F3" s="51" t="s">
        <v>3511</v>
      </c>
      <c r="G3" s="51" t="s">
        <v>3512</v>
      </c>
      <c r="H3" s="83" t="s">
        <v>3513</v>
      </c>
    </row>
    <row r="4" spans="2:8" ht="30" hidden="1" customHeight="1">
      <c r="B4" s="51" t="s">
        <v>4</v>
      </c>
      <c r="C4" s="51" t="s">
        <v>5</v>
      </c>
      <c r="D4" s="51" t="s">
        <v>3228</v>
      </c>
      <c r="E4" s="56" t="s">
        <v>3229</v>
      </c>
      <c r="F4" s="51" t="s">
        <v>3514</v>
      </c>
      <c r="G4" s="51" t="s">
        <v>3515</v>
      </c>
      <c r="H4" s="55" t="s">
        <v>3516</v>
      </c>
    </row>
    <row r="5" spans="2:8" ht="30" hidden="1" customHeight="1">
      <c r="B5" s="51" t="s">
        <v>4</v>
      </c>
      <c r="C5" s="51" t="s">
        <v>5</v>
      </c>
      <c r="D5" s="51" t="s">
        <v>3238</v>
      </c>
      <c r="E5" s="51" t="s">
        <v>3239</v>
      </c>
      <c r="F5" s="55" t="s">
        <v>3517</v>
      </c>
      <c r="G5" s="55" t="s">
        <v>3518</v>
      </c>
      <c r="H5" s="55" t="s">
        <v>3519</v>
      </c>
    </row>
    <row r="6" spans="2:8" ht="30" hidden="1" customHeight="1">
      <c r="B6" s="51" t="s">
        <v>9</v>
      </c>
      <c r="C6" s="51" t="s">
        <v>10</v>
      </c>
      <c r="D6" s="51" t="s">
        <v>3242</v>
      </c>
      <c r="E6" s="51" t="s">
        <v>3243</v>
      </c>
      <c r="F6" s="51" t="s">
        <v>3520</v>
      </c>
      <c r="G6" s="55" t="s">
        <v>3521</v>
      </c>
      <c r="H6" s="55" t="s">
        <v>3522</v>
      </c>
    </row>
    <row r="7" spans="2:8" ht="30" hidden="1" customHeight="1">
      <c r="B7" s="51" t="s">
        <v>14</v>
      </c>
      <c r="C7" s="51" t="s">
        <v>3523</v>
      </c>
      <c r="D7" s="55" t="s">
        <v>3255</v>
      </c>
      <c r="E7" s="55" t="s">
        <v>3259</v>
      </c>
      <c r="F7" s="55" t="s">
        <v>3524</v>
      </c>
      <c r="G7" s="55" t="s">
        <v>3525</v>
      </c>
      <c r="H7" s="55" t="s">
        <v>3526</v>
      </c>
    </row>
    <row r="8" spans="2:8" ht="30" hidden="1" customHeight="1">
      <c r="B8" s="51" t="s">
        <v>14</v>
      </c>
      <c r="C8" s="51" t="s">
        <v>3523</v>
      </c>
      <c r="D8" s="51" t="s">
        <v>3228</v>
      </c>
      <c r="E8" s="56" t="s">
        <v>3229</v>
      </c>
      <c r="F8" s="51" t="s">
        <v>3527</v>
      </c>
      <c r="G8" s="51" t="s">
        <v>3515</v>
      </c>
      <c r="H8" s="55" t="s">
        <v>3516</v>
      </c>
    </row>
    <row r="9" spans="2:8" ht="30" hidden="1" customHeight="1">
      <c r="B9" s="51" t="s">
        <v>14</v>
      </c>
      <c r="C9" s="51" t="s">
        <v>3523</v>
      </c>
      <c r="D9" s="55" t="s">
        <v>3255</v>
      </c>
      <c r="E9" s="56" t="s">
        <v>3256</v>
      </c>
      <c r="F9" s="51" t="s">
        <v>3528</v>
      </c>
      <c r="G9" s="51" t="s">
        <v>3529</v>
      </c>
      <c r="H9" s="55" t="s">
        <v>3530</v>
      </c>
    </row>
    <row r="10" spans="2:8" ht="30" hidden="1" customHeight="1">
      <c r="B10" s="51" t="s">
        <v>14</v>
      </c>
      <c r="C10" s="390" t="s">
        <v>3531</v>
      </c>
      <c r="D10" s="55" t="s">
        <v>3255</v>
      </c>
      <c r="E10" s="51" t="s">
        <v>3256</v>
      </c>
      <c r="F10" s="51" t="s">
        <v>3528</v>
      </c>
      <c r="G10" s="51" t="s">
        <v>3529</v>
      </c>
      <c r="H10" s="55" t="s">
        <v>3530</v>
      </c>
    </row>
    <row r="11" spans="2:8" ht="30" hidden="1" customHeight="1">
      <c r="B11" s="51" t="s">
        <v>21</v>
      </c>
      <c r="C11" s="51" t="s">
        <v>22</v>
      </c>
      <c r="D11" s="51" t="s">
        <v>3270</v>
      </c>
      <c r="E11" s="51" t="s">
        <v>3271</v>
      </c>
      <c r="F11" s="51" t="s">
        <v>3532</v>
      </c>
      <c r="G11" s="55" t="s">
        <v>3533</v>
      </c>
      <c r="H11" s="55" t="s">
        <v>3534</v>
      </c>
    </row>
    <row r="12" spans="2:8" ht="30" hidden="1" customHeight="1">
      <c r="B12" s="51" t="s">
        <v>21</v>
      </c>
      <c r="C12" s="51" t="s">
        <v>22</v>
      </c>
      <c r="D12" s="51" t="s">
        <v>3270</v>
      </c>
      <c r="E12" s="51" t="s">
        <v>3272</v>
      </c>
      <c r="F12" s="51" t="s">
        <v>3535</v>
      </c>
      <c r="G12" s="51" t="s">
        <v>3529</v>
      </c>
      <c r="H12" s="55" t="s">
        <v>3536</v>
      </c>
    </row>
    <row r="13" spans="2:8" ht="30" hidden="1" customHeight="1">
      <c r="B13" s="51" t="s">
        <v>21</v>
      </c>
      <c r="C13" s="51" t="s">
        <v>22</v>
      </c>
      <c r="D13" s="51" t="s">
        <v>3228</v>
      </c>
      <c r="E13" s="56" t="s">
        <v>3229</v>
      </c>
      <c r="F13" s="51" t="s">
        <v>3537</v>
      </c>
      <c r="G13" s="51" t="s">
        <v>3515</v>
      </c>
      <c r="H13" s="55" t="s">
        <v>3516</v>
      </c>
    </row>
    <row r="14" spans="2:8" ht="30" hidden="1" customHeight="1">
      <c r="B14" s="51" t="s">
        <v>21</v>
      </c>
      <c r="C14" s="51" t="s">
        <v>22</v>
      </c>
      <c r="D14" s="51" t="s">
        <v>3228</v>
      </c>
      <c r="E14" s="56" t="s">
        <v>3230</v>
      </c>
      <c r="F14" s="51" t="s">
        <v>3538</v>
      </c>
      <c r="G14" s="56" t="s">
        <v>372</v>
      </c>
      <c r="H14" s="56" t="s">
        <v>372</v>
      </c>
    </row>
    <row r="15" spans="2:8" ht="30" hidden="1" customHeight="1">
      <c r="B15" s="51" t="s">
        <v>21</v>
      </c>
      <c r="C15" s="51" t="s">
        <v>22</v>
      </c>
      <c r="D15" s="51" t="s">
        <v>3238</v>
      </c>
      <c r="E15" s="51" t="s">
        <v>3239</v>
      </c>
      <c r="F15" s="55" t="s">
        <v>3539</v>
      </c>
      <c r="G15" s="55" t="s">
        <v>3518</v>
      </c>
      <c r="H15" s="55" t="s">
        <v>3519</v>
      </c>
    </row>
    <row r="16" spans="2:8" ht="30" hidden="1" customHeight="1">
      <c r="B16" s="51" t="s">
        <v>21</v>
      </c>
      <c r="C16" s="51" t="s">
        <v>24</v>
      </c>
      <c r="D16" s="51" t="s">
        <v>3270</v>
      </c>
      <c r="E16" s="51" t="s">
        <v>3272</v>
      </c>
      <c r="F16" s="51" t="s">
        <v>3535</v>
      </c>
      <c r="G16" s="51" t="s">
        <v>3529</v>
      </c>
      <c r="H16" s="55" t="s">
        <v>3536</v>
      </c>
    </row>
    <row r="17" spans="2:8" ht="30" hidden="1" customHeight="1">
      <c r="B17" s="51" t="s">
        <v>28</v>
      </c>
      <c r="C17" s="51" t="s">
        <v>3291</v>
      </c>
      <c r="D17" s="51" t="s">
        <v>3292</v>
      </c>
      <c r="E17" s="51" t="s">
        <v>3293</v>
      </c>
      <c r="F17" s="51" t="s">
        <v>3540</v>
      </c>
      <c r="G17" s="51" t="s">
        <v>372</v>
      </c>
      <c r="H17" s="51" t="s">
        <v>372</v>
      </c>
    </row>
    <row r="18" spans="2:8" ht="30" hidden="1" customHeight="1">
      <c r="B18" s="56" t="s">
        <v>33</v>
      </c>
      <c r="C18" s="56" t="s">
        <v>34</v>
      </c>
      <c r="D18" s="51" t="s">
        <v>3294</v>
      </c>
      <c r="E18" s="51" t="s">
        <v>3295</v>
      </c>
      <c r="F18" s="55" t="s">
        <v>3541</v>
      </c>
      <c r="G18" s="55" t="s">
        <v>3542</v>
      </c>
      <c r="H18" s="55" t="s">
        <v>3543</v>
      </c>
    </row>
    <row r="19" spans="2:8" ht="30" hidden="1" customHeight="1">
      <c r="B19" s="56" t="s">
        <v>33</v>
      </c>
      <c r="C19" s="56" t="s">
        <v>36</v>
      </c>
      <c r="D19" s="51" t="s">
        <v>3294</v>
      </c>
      <c r="E19" s="51" t="s">
        <v>3298</v>
      </c>
      <c r="F19" s="55" t="s">
        <v>3544</v>
      </c>
      <c r="G19" s="55" t="s">
        <v>3545</v>
      </c>
      <c r="H19" s="51" t="s">
        <v>372</v>
      </c>
    </row>
    <row r="20" spans="2:8" ht="30" hidden="1" customHeight="1">
      <c r="B20" s="56" t="s">
        <v>33</v>
      </c>
      <c r="C20" s="56" t="s">
        <v>38</v>
      </c>
      <c r="D20" s="51" t="s">
        <v>3228</v>
      </c>
      <c r="E20" s="56" t="s">
        <v>3229</v>
      </c>
      <c r="F20" s="51" t="s">
        <v>3527</v>
      </c>
      <c r="G20" s="51" t="s">
        <v>3515</v>
      </c>
      <c r="H20" s="55" t="s">
        <v>3516</v>
      </c>
    </row>
    <row r="21" spans="2:8" ht="30" hidden="1" customHeight="1">
      <c r="B21" s="56" t="s">
        <v>33</v>
      </c>
      <c r="C21" s="56" t="s">
        <v>38</v>
      </c>
      <c r="D21" s="56" t="s">
        <v>3294</v>
      </c>
      <c r="E21" s="56" t="s">
        <v>3298</v>
      </c>
      <c r="F21" s="57" t="s">
        <v>3546</v>
      </c>
      <c r="G21" s="57" t="s">
        <v>3545</v>
      </c>
      <c r="H21" s="56" t="s">
        <v>372</v>
      </c>
    </row>
    <row r="22" spans="2:8" ht="30" hidden="1" customHeight="1">
      <c r="B22" s="56" t="s">
        <v>33</v>
      </c>
      <c r="C22" s="56" t="s">
        <v>38</v>
      </c>
      <c r="D22" s="56" t="s">
        <v>3294</v>
      </c>
      <c r="E22" s="56" t="s">
        <v>3324</v>
      </c>
      <c r="F22" s="56" t="s">
        <v>3547</v>
      </c>
      <c r="G22" s="57" t="s">
        <v>3548</v>
      </c>
      <c r="H22" s="57" t="s">
        <v>3549</v>
      </c>
    </row>
    <row r="23" spans="2:8" ht="30" hidden="1" customHeight="1">
      <c r="B23" s="56" t="s">
        <v>33</v>
      </c>
      <c r="C23" s="56" t="s">
        <v>38</v>
      </c>
      <c r="D23" s="56" t="s">
        <v>3228</v>
      </c>
      <c r="E23" s="56" t="s">
        <v>3229</v>
      </c>
      <c r="F23" s="51" t="s">
        <v>3550</v>
      </c>
      <c r="G23" s="51" t="s">
        <v>3515</v>
      </c>
      <c r="H23" s="55" t="s">
        <v>3516</v>
      </c>
    </row>
    <row r="24" spans="2:8" ht="30" hidden="1" customHeight="1">
      <c r="B24" s="56" t="s">
        <v>33</v>
      </c>
      <c r="C24" s="56" t="s">
        <v>38</v>
      </c>
      <c r="D24" s="56" t="s">
        <v>3238</v>
      </c>
      <c r="E24" s="56" t="s">
        <v>3239</v>
      </c>
      <c r="F24" s="57" t="s">
        <v>3551</v>
      </c>
      <c r="G24" s="57" t="s">
        <v>3518</v>
      </c>
      <c r="H24" s="57" t="s">
        <v>3519</v>
      </c>
    </row>
    <row r="25" spans="2:8" ht="30" hidden="1" customHeight="1">
      <c r="B25" s="56" t="s">
        <v>40</v>
      </c>
      <c r="C25" s="56" t="s">
        <v>41</v>
      </c>
      <c r="D25" s="56" t="s">
        <v>3238</v>
      </c>
      <c r="E25" s="56" t="s">
        <v>3239</v>
      </c>
      <c r="F25" s="56" t="s">
        <v>3552</v>
      </c>
      <c r="G25" s="57" t="s">
        <v>3553</v>
      </c>
      <c r="H25" s="298" t="s">
        <v>3554</v>
      </c>
    </row>
    <row r="26" spans="2:8" ht="30" hidden="1" customHeight="1">
      <c r="B26" s="56" t="s">
        <v>40</v>
      </c>
      <c r="C26" s="56" t="s">
        <v>41</v>
      </c>
      <c r="D26" s="56" t="s">
        <v>3228</v>
      </c>
      <c r="E26" s="56" t="s">
        <v>3229</v>
      </c>
      <c r="F26" s="56" t="s">
        <v>3527</v>
      </c>
      <c r="G26" s="56" t="s">
        <v>3515</v>
      </c>
      <c r="H26" s="57" t="s">
        <v>3516</v>
      </c>
    </row>
    <row r="27" spans="2:8" ht="30" hidden="1" customHeight="1">
      <c r="B27" s="56" t="s">
        <v>43</v>
      </c>
      <c r="C27" s="56" t="s">
        <v>44</v>
      </c>
      <c r="D27" s="56" t="s">
        <v>3294</v>
      </c>
      <c r="E27" s="56" t="s">
        <v>3298</v>
      </c>
      <c r="F27" s="390" t="s">
        <v>3555</v>
      </c>
      <c r="G27" s="390" t="s">
        <v>2946</v>
      </c>
      <c r="H27" s="390" t="s">
        <v>2946</v>
      </c>
    </row>
    <row r="28" spans="2:8" ht="30" hidden="1" customHeight="1">
      <c r="B28" s="56" t="s">
        <v>43</v>
      </c>
      <c r="C28" s="56" t="s">
        <v>44</v>
      </c>
      <c r="D28" s="56" t="s">
        <v>3294</v>
      </c>
      <c r="E28" s="56" t="s">
        <v>3295</v>
      </c>
      <c r="F28" s="57" t="s">
        <v>3556</v>
      </c>
      <c r="G28" s="57" t="s">
        <v>3542</v>
      </c>
      <c r="H28" s="57" t="s">
        <v>3543</v>
      </c>
    </row>
    <row r="29" spans="2:8" ht="30" hidden="1" customHeight="1">
      <c r="B29" s="56" t="s">
        <v>43</v>
      </c>
      <c r="C29" s="56" t="s">
        <v>46</v>
      </c>
      <c r="D29" s="56" t="s">
        <v>3294</v>
      </c>
      <c r="E29" s="56" t="s">
        <v>3298</v>
      </c>
      <c r="F29" s="57" t="s">
        <v>3557</v>
      </c>
      <c r="G29" s="57" t="s">
        <v>3545</v>
      </c>
      <c r="H29" s="56" t="s">
        <v>372</v>
      </c>
    </row>
    <row r="30" spans="2:8" ht="30" hidden="1" customHeight="1">
      <c r="B30" s="56" t="s">
        <v>48</v>
      </c>
      <c r="C30" s="56" t="s">
        <v>51</v>
      </c>
      <c r="D30" s="56" t="s">
        <v>3349</v>
      </c>
      <c r="E30" s="56" t="s">
        <v>3350</v>
      </c>
      <c r="F30" s="56" t="s">
        <v>3558</v>
      </c>
      <c r="G30" s="56" t="s">
        <v>3559</v>
      </c>
      <c r="H30" s="57" t="s">
        <v>3560</v>
      </c>
    </row>
    <row r="31" spans="2:8" ht="30" hidden="1" customHeight="1">
      <c r="B31" s="56" t="s">
        <v>3561</v>
      </c>
      <c r="C31" s="56" t="s">
        <v>54</v>
      </c>
      <c r="D31" s="56" t="s">
        <v>3238</v>
      </c>
      <c r="E31" s="56" t="s">
        <v>3239</v>
      </c>
      <c r="F31" s="56" t="s">
        <v>3562</v>
      </c>
      <c r="G31" s="57" t="s">
        <v>3563</v>
      </c>
      <c r="H31" s="57" t="s">
        <v>3564</v>
      </c>
    </row>
    <row r="32" spans="2:8" ht="30" hidden="1" customHeight="1">
      <c r="B32" s="56" t="s">
        <v>59</v>
      </c>
      <c r="C32" s="56" t="s">
        <v>60</v>
      </c>
      <c r="D32" s="51" t="s">
        <v>3389</v>
      </c>
      <c r="E32" s="56" t="s">
        <v>3390</v>
      </c>
      <c r="F32" s="55" t="s">
        <v>3565</v>
      </c>
      <c r="G32" s="55" t="s">
        <v>3566</v>
      </c>
      <c r="H32" s="55" t="s">
        <v>3567</v>
      </c>
    </row>
    <row r="33" spans="2:8" ht="30" customHeight="1">
      <c r="B33" s="56" t="s">
        <v>64</v>
      </c>
      <c r="C33" s="56" t="s">
        <v>65</v>
      </c>
      <c r="D33" s="56" t="s">
        <v>3393</v>
      </c>
      <c r="E33" s="56" t="s">
        <v>3416</v>
      </c>
      <c r="F33" s="51" t="s">
        <v>3568</v>
      </c>
      <c r="G33" s="77" t="s">
        <v>3569</v>
      </c>
      <c r="H33" s="55" t="s">
        <v>3570</v>
      </c>
    </row>
    <row r="34" spans="2:8" ht="30" customHeight="1">
      <c r="B34" s="56" t="s">
        <v>64</v>
      </c>
      <c r="C34" s="56" t="s">
        <v>65</v>
      </c>
      <c r="D34" s="56" t="s">
        <v>3228</v>
      </c>
      <c r="E34" s="56" t="s">
        <v>3229</v>
      </c>
      <c r="F34" s="56" t="s">
        <v>3527</v>
      </c>
      <c r="G34" s="51" t="s">
        <v>3515</v>
      </c>
      <c r="H34" s="55" t="s">
        <v>3516</v>
      </c>
    </row>
    <row r="35" spans="2:8" ht="30" customHeight="1">
      <c r="B35" s="56" t="s">
        <v>64</v>
      </c>
      <c r="C35" s="56" t="s">
        <v>65</v>
      </c>
      <c r="D35" s="56" t="s">
        <v>3393</v>
      </c>
      <c r="E35" s="56" t="s">
        <v>3399</v>
      </c>
      <c r="F35" s="56" t="s">
        <v>3571</v>
      </c>
      <c r="G35" s="56" t="s">
        <v>3572</v>
      </c>
      <c r="H35" s="57" t="s">
        <v>3573</v>
      </c>
    </row>
    <row r="36" spans="2:8" ht="30" hidden="1" customHeight="1">
      <c r="B36" s="56" t="s">
        <v>67</v>
      </c>
      <c r="C36" s="56" t="s">
        <v>68</v>
      </c>
      <c r="D36" s="56" t="s">
        <v>3238</v>
      </c>
      <c r="E36" s="56" t="s">
        <v>3239</v>
      </c>
      <c r="F36" s="56" t="s">
        <v>3574</v>
      </c>
      <c r="G36" s="57" t="s">
        <v>3575</v>
      </c>
      <c r="H36" s="298" t="s">
        <v>3576</v>
      </c>
    </row>
    <row r="37" spans="2:8" ht="30" hidden="1" customHeight="1">
      <c r="B37" s="56" t="s">
        <v>67</v>
      </c>
      <c r="C37" s="56" t="s">
        <v>68</v>
      </c>
      <c r="D37" s="56" t="s">
        <v>3228</v>
      </c>
      <c r="E37" s="56" t="s">
        <v>3229</v>
      </c>
      <c r="F37" s="51" t="s">
        <v>3527</v>
      </c>
      <c r="G37" s="51" t="s">
        <v>3515</v>
      </c>
      <c r="H37" s="51" t="s">
        <v>3516</v>
      </c>
    </row>
    <row r="38" spans="2:8" ht="30" hidden="1" customHeight="1">
      <c r="B38" s="56" t="s">
        <v>70</v>
      </c>
      <c r="C38" s="56" t="s">
        <v>71</v>
      </c>
      <c r="D38" s="56" t="s">
        <v>3238</v>
      </c>
      <c r="E38" s="56" t="s">
        <v>3239</v>
      </c>
      <c r="F38" s="56" t="s">
        <v>3577</v>
      </c>
      <c r="G38" s="298" t="s">
        <v>3578</v>
      </c>
      <c r="H38" s="298" t="s">
        <v>3579</v>
      </c>
    </row>
    <row r="39" spans="2:8" ht="30" hidden="1" customHeight="1">
      <c r="B39" s="56" t="s">
        <v>70</v>
      </c>
      <c r="C39" s="56" t="s">
        <v>71</v>
      </c>
      <c r="D39" s="56" t="s">
        <v>3228</v>
      </c>
      <c r="E39" s="56" t="s">
        <v>3229</v>
      </c>
      <c r="F39" s="51" t="s">
        <v>3527</v>
      </c>
      <c r="G39" s="51"/>
      <c r="H39" s="55" t="s">
        <v>3516</v>
      </c>
    </row>
    <row r="40" spans="2:8" ht="30" hidden="1" customHeight="1">
      <c r="B40" s="56" t="s">
        <v>73</v>
      </c>
      <c r="C40" s="56" t="s">
        <v>74</v>
      </c>
      <c r="D40" s="56" t="s">
        <v>3294</v>
      </c>
      <c r="E40" s="56" t="s">
        <v>3298</v>
      </c>
      <c r="F40" s="388" t="s">
        <v>3555</v>
      </c>
      <c r="G40" s="388" t="s">
        <v>2946</v>
      </c>
      <c r="H40" s="388" t="s">
        <v>2946</v>
      </c>
    </row>
    <row r="41" spans="2:8" ht="30" hidden="1" customHeight="1">
      <c r="B41" s="56" t="s">
        <v>73</v>
      </c>
      <c r="C41" s="56" t="s">
        <v>74</v>
      </c>
      <c r="D41" s="51" t="s">
        <v>3294</v>
      </c>
      <c r="E41" s="51" t="s">
        <v>3295</v>
      </c>
      <c r="F41" s="55" t="s">
        <v>3580</v>
      </c>
      <c r="G41" s="55" t="s">
        <v>3542</v>
      </c>
      <c r="H41" s="55" t="s">
        <v>3543</v>
      </c>
    </row>
    <row r="42" spans="2:8" ht="30" hidden="1" customHeight="1">
      <c r="B42" s="56" t="s">
        <v>73</v>
      </c>
      <c r="C42" s="56" t="s">
        <v>76</v>
      </c>
      <c r="D42" s="51" t="s">
        <v>3294</v>
      </c>
      <c r="E42" s="51" t="s">
        <v>3298</v>
      </c>
      <c r="F42" s="55" t="s">
        <v>3581</v>
      </c>
      <c r="G42" s="55" t="s">
        <v>3545</v>
      </c>
      <c r="H42" s="51" t="s">
        <v>372</v>
      </c>
    </row>
    <row r="43" spans="2:8" ht="30" hidden="1" customHeight="1">
      <c r="B43" s="56" t="s">
        <v>78</v>
      </c>
      <c r="C43" s="56" t="s">
        <v>79</v>
      </c>
      <c r="D43" s="56" t="s">
        <v>3447</v>
      </c>
      <c r="E43" s="56" t="s">
        <v>3448</v>
      </c>
      <c r="F43" s="56" t="s">
        <v>3582</v>
      </c>
      <c r="G43" s="56" t="s">
        <v>3512</v>
      </c>
      <c r="H43" s="57" t="s">
        <v>3583</v>
      </c>
    </row>
    <row r="44" spans="2:8" ht="30" hidden="1" customHeight="1">
      <c r="B44" s="56" t="s">
        <v>81</v>
      </c>
      <c r="C44" s="56" t="s">
        <v>82</v>
      </c>
      <c r="D44" s="56" t="s">
        <v>3456</v>
      </c>
      <c r="E44" s="56" t="s">
        <v>3457</v>
      </c>
      <c r="F44" s="56" t="s">
        <v>3584</v>
      </c>
      <c r="G44" s="56" t="s">
        <v>372</v>
      </c>
      <c r="H44" s="56" t="s">
        <v>372</v>
      </c>
    </row>
    <row r="45" spans="2:8" ht="30" hidden="1" customHeight="1">
      <c r="B45" s="56" t="s">
        <v>81</v>
      </c>
      <c r="C45" s="56" t="s">
        <v>82</v>
      </c>
      <c r="D45" s="56" t="s">
        <v>3456</v>
      </c>
      <c r="E45" s="56" t="s">
        <v>3465</v>
      </c>
      <c r="F45" s="56" t="s">
        <v>3585</v>
      </c>
      <c r="G45" s="56" t="s">
        <v>372</v>
      </c>
      <c r="H45" s="56" t="s">
        <v>372</v>
      </c>
    </row>
    <row r="46" spans="2:8" ht="30" hidden="1" customHeight="1">
      <c r="B46" s="56" t="s">
        <v>81</v>
      </c>
      <c r="C46" s="56" t="s">
        <v>82</v>
      </c>
      <c r="D46" s="56" t="s">
        <v>3456</v>
      </c>
      <c r="E46" s="56" t="s">
        <v>3472</v>
      </c>
      <c r="F46" s="56" t="s">
        <v>3586</v>
      </c>
      <c r="G46" s="56" t="s">
        <v>372</v>
      </c>
      <c r="H46" s="56" t="s">
        <v>372</v>
      </c>
    </row>
    <row r="47" spans="2:8" ht="30" hidden="1" customHeight="1">
      <c r="B47" s="56" t="s">
        <v>81</v>
      </c>
      <c r="C47" s="56" t="s">
        <v>82</v>
      </c>
      <c r="D47" s="56" t="s">
        <v>3456</v>
      </c>
      <c r="E47" s="56" t="s">
        <v>3480</v>
      </c>
      <c r="F47" s="56" t="s">
        <v>3587</v>
      </c>
      <c r="G47" s="56" t="s">
        <v>372</v>
      </c>
      <c r="H47" s="56" t="s">
        <v>372</v>
      </c>
    </row>
    <row r="48" spans="2:8" ht="30" customHeight="1">
      <c r="B48" s="56" t="s">
        <v>56</v>
      </c>
      <c r="C48" s="56" t="s">
        <v>57</v>
      </c>
      <c r="D48" s="56" t="s">
        <v>3238</v>
      </c>
      <c r="E48" s="56" t="s">
        <v>3239</v>
      </c>
      <c r="F48" s="56" t="s">
        <v>3588</v>
      </c>
      <c r="G48" s="57" t="s">
        <v>3589</v>
      </c>
      <c r="H48" s="57" t="s">
        <v>3590</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478</v>
      </c>
      <c r="C2" s="90" t="s">
        <v>3591</v>
      </c>
      <c r="D2" s="90" t="s">
        <v>3592</v>
      </c>
      <c r="E2" s="95" t="s">
        <v>531</v>
      </c>
    </row>
    <row r="3" spans="2:5" ht="39.75" customHeight="1">
      <c r="B3" s="92">
        <v>1</v>
      </c>
      <c r="C3" s="86" t="s">
        <v>3593</v>
      </c>
      <c r="D3" s="88" t="s">
        <v>3594</v>
      </c>
      <c r="E3" s="96"/>
    </row>
    <row r="4" spans="2:5" ht="39.75" customHeight="1">
      <c r="B4" s="92">
        <v>2</v>
      </c>
      <c r="C4" s="86" t="s">
        <v>3595</v>
      </c>
      <c r="D4" s="88" t="s">
        <v>3596</v>
      </c>
      <c r="E4" s="96"/>
    </row>
    <row r="5" spans="2:5" ht="39.75" customHeight="1">
      <c r="B5" s="92">
        <v>3</v>
      </c>
      <c r="C5" s="86" t="s">
        <v>3597</v>
      </c>
      <c r="D5" s="88" t="s">
        <v>3598</v>
      </c>
      <c r="E5" s="96"/>
    </row>
    <row r="6" spans="2:5" ht="39.75" customHeight="1">
      <c r="B6" s="92">
        <v>4</v>
      </c>
      <c r="C6" s="88" t="s">
        <v>3599</v>
      </c>
      <c r="D6" s="88" t="s">
        <v>3600</v>
      </c>
      <c r="E6" s="96"/>
    </row>
    <row r="7" spans="2:5" ht="39.75" customHeight="1">
      <c r="B7" s="93">
        <v>5</v>
      </c>
      <c r="C7" s="88" t="s">
        <v>3601</v>
      </c>
      <c r="D7" s="88" t="s">
        <v>3600</v>
      </c>
      <c r="E7" s="96"/>
    </row>
    <row r="8" spans="2:5" ht="39.75" customHeight="1">
      <c r="B8" s="93">
        <v>6</v>
      </c>
      <c r="C8" s="88" t="s">
        <v>3602</v>
      </c>
      <c r="D8" s="88" t="s">
        <v>3603</v>
      </c>
      <c r="E8" s="203" t="s">
        <v>3604</v>
      </c>
    </row>
    <row r="9" spans="2:5" ht="39.75" customHeight="1">
      <c r="B9" s="93">
        <v>7</v>
      </c>
      <c r="C9" s="86" t="s">
        <v>3605</v>
      </c>
      <c r="D9" s="88" t="s">
        <v>3606</v>
      </c>
      <c r="E9" s="96" t="s">
        <v>3607</v>
      </c>
    </row>
    <row r="10" spans="2:5" ht="39.75" customHeight="1">
      <c r="B10" s="92">
        <v>8</v>
      </c>
      <c r="C10" s="86" t="s">
        <v>3608</v>
      </c>
      <c r="D10" s="88" t="s">
        <v>3609</v>
      </c>
      <c r="E10" s="96"/>
    </row>
    <row r="11" spans="2:5" ht="39.75" customHeight="1">
      <c r="B11" s="93">
        <v>9</v>
      </c>
      <c r="C11" s="86" t="s">
        <v>3610</v>
      </c>
      <c r="D11" s="88" t="s">
        <v>3611</v>
      </c>
      <c r="E11" s="96"/>
    </row>
    <row r="12" spans="2:5" ht="39.75" customHeight="1">
      <c r="B12" s="92">
        <v>10</v>
      </c>
      <c r="C12" s="88" t="s">
        <v>3612</v>
      </c>
      <c r="D12" s="88" t="s">
        <v>3613</v>
      </c>
      <c r="E12" s="96"/>
    </row>
    <row r="13" spans="2:5" ht="39.75" customHeight="1">
      <c r="B13" s="93">
        <v>11</v>
      </c>
      <c r="C13" s="86" t="s">
        <v>3614</v>
      </c>
      <c r="D13" s="88" t="s">
        <v>3615</v>
      </c>
      <c r="E13" s="96"/>
    </row>
    <row r="14" spans="2:5" ht="39.75" customHeight="1">
      <c r="B14" s="93">
        <v>12</v>
      </c>
      <c r="C14" s="86" t="s">
        <v>3616</v>
      </c>
      <c r="D14" s="88" t="s">
        <v>3617</v>
      </c>
      <c r="E14" s="96"/>
    </row>
    <row r="15" spans="2:5" ht="39.75" customHeight="1">
      <c r="B15" s="93">
        <v>13</v>
      </c>
      <c r="C15" s="86" t="s">
        <v>3618</v>
      </c>
      <c r="D15" s="88" t="s">
        <v>3619</v>
      </c>
      <c r="E15" s="96"/>
    </row>
    <row r="16" spans="2:5" ht="39.75" customHeight="1">
      <c r="B16" s="94">
        <v>14</v>
      </c>
      <c r="C16" s="89" t="s">
        <v>3620</v>
      </c>
      <c r="D16" s="88" t="s">
        <v>3621</v>
      </c>
      <c r="E16" s="96"/>
    </row>
    <row r="17" spans="2:5" ht="39.75" customHeight="1">
      <c r="B17" s="93">
        <v>15</v>
      </c>
      <c r="C17" s="86" t="s">
        <v>3622</v>
      </c>
      <c r="D17" s="88" t="s">
        <v>3623</v>
      </c>
      <c r="E17" s="96"/>
    </row>
    <row r="18" spans="2:5" ht="39.75" customHeight="1">
      <c r="B18" s="93">
        <v>16</v>
      </c>
      <c r="C18" s="86" t="s">
        <v>3624</v>
      </c>
      <c r="D18" s="88" t="s">
        <v>3625</v>
      </c>
      <c r="E18" s="96"/>
    </row>
    <row r="19" spans="2:5" ht="39.75" customHeight="1">
      <c r="B19" s="93">
        <v>17</v>
      </c>
      <c r="C19" s="86" t="s">
        <v>3626</v>
      </c>
      <c r="D19" s="88" t="s">
        <v>3627</v>
      </c>
      <c r="E19" s="96"/>
    </row>
    <row r="20" spans="2:5" ht="39.75" customHeight="1">
      <c r="B20" s="94">
        <v>18</v>
      </c>
      <c r="C20" s="89" t="s">
        <v>3628</v>
      </c>
      <c r="D20" s="87" t="s">
        <v>3629</v>
      </c>
      <c r="E20" s="97"/>
    </row>
    <row r="21" spans="2:5" ht="39.75" customHeight="1">
      <c r="B21" s="94">
        <v>19</v>
      </c>
      <c r="C21" s="89" t="s">
        <v>3630</v>
      </c>
      <c r="D21" s="87" t="s">
        <v>3631</v>
      </c>
      <c r="E21" s="97" t="s">
        <v>3632</v>
      </c>
    </row>
    <row r="22" spans="2:5" ht="39.75" customHeight="1">
      <c r="B22" s="93">
        <v>20</v>
      </c>
      <c r="C22" s="86" t="s">
        <v>3633</v>
      </c>
      <c r="D22" s="88" t="s">
        <v>3634</v>
      </c>
      <c r="E22" s="96" t="s">
        <v>3635</v>
      </c>
    </row>
    <row r="23" spans="2:5" ht="39.75" customHeight="1">
      <c r="B23" s="94">
        <v>21</v>
      </c>
      <c r="C23" s="89" t="s">
        <v>3636</v>
      </c>
      <c r="D23" s="87" t="s">
        <v>3637</v>
      </c>
      <c r="E23" s="97" t="s">
        <v>3638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c r="B3" s="50" t="s">
        <v>3593</v>
      </c>
      <c r="C3" s="50">
        <v>1</v>
      </c>
      <c r="D3" s="50" t="s">
        <v>3646</v>
      </c>
      <c r="E3" s="104">
        <v>45439</v>
      </c>
      <c r="F3" s="50">
        <v>2</v>
      </c>
      <c r="G3" s="218">
        <v>1</v>
      </c>
      <c r="H3" s="50">
        <v>21676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row>
    <row r="4" spans="2:28">
      <c r="B4" s="50" t="s">
        <v>3595</v>
      </c>
      <c r="C4" s="50">
        <v>2</v>
      </c>
      <c r="D4" s="50" t="s">
        <v>3648</v>
      </c>
      <c r="E4" s="104">
        <v>45439</v>
      </c>
      <c r="F4" s="50">
        <v>2</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row>
    <row r="5" spans="2:28">
      <c r="B5" s="50" t="s">
        <v>3597</v>
      </c>
      <c r="C5" s="50">
        <v>3</v>
      </c>
      <c r="D5" s="50" t="s">
        <v>3649</v>
      </c>
      <c r="E5" s="104">
        <v>45439</v>
      </c>
      <c r="F5" s="50">
        <v>2</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v>0</v>
      </c>
      <c r="AB5" s="50" t="s">
        <v>3647</v>
      </c>
    </row>
    <row r="6" spans="2:28">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row>
    <row r="7" spans="2:28">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row>
    <row r="8" spans="2:28">
      <c r="B8" s="50" t="s">
        <v>3602</v>
      </c>
      <c r="C8" s="50">
        <v>6</v>
      </c>
      <c r="D8" s="50" t="s">
        <v>3651</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3605</v>
      </c>
      <c r="C9" s="50">
        <v>7</v>
      </c>
      <c r="D9" s="50" t="s">
        <v>3652</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3608</v>
      </c>
      <c r="C10" s="50">
        <v>8</v>
      </c>
      <c r="D10" s="50" t="s">
        <v>3653</v>
      </c>
      <c r="E10" s="104">
        <v>45439</v>
      </c>
      <c r="F10" s="50">
        <v>2</v>
      </c>
      <c r="G10" s="218" t="s">
        <v>3647</v>
      </c>
      <c r="H10" s="50">
        <v>0</v>
      </c>
      <c r="I10" s="50">
        <v>31</v>
      </c>
      <c r="J10" s="50">
        <v>3.11009553029E+26</v>
      </c>
      <c r="K10" s="50" t="s">
        <v>3654</v>
      </c>
      <c r="L10" s="50">
        <v>29</v>
      </c>
      <c r="M10" s="50">
        <v>2</v>
      </c>
      <c r="N10" s="50">
        <v>31</v>
      </c>
      <c r="O10" s="104">
        <v>2.4340000999999999E+22</v>
      </c>
      <c r="P10" s="104">
        <v>21939</v>
      </c>
      <c r="Q10" s="107" t="s">
        <v>3655</v>
      </c>
      <c r="R10" s="50">
        <v>978</v>
      </c>
      <c r="S10" s="104">
        <v>0</v>
      </c>
      <c r="T10" s="104" t="s">
        <v>3656</v>
      </c>
      <c r="U10" s="50" t="s">
        <v>3656</v>
      </c>
      <c r="V10" s="107">
        <v>-754910000</v>
      </c>
      <c r="W10" s="107" t="s">
        <v>3656</v>
      </c>
      <c r="X10" s="50" t="s">
        <v>3657</v>
      </c>
      <c r="Y10" s="50" t="s">
        <v>3658</v>
      </c>
      <c r="Z10" s="107" t="s">
        <v>3659</v>
      </c>
      <c r="AA10" s="104">
        <v>45438</v>
      </c>
      <c r="AB10" s="104" t="s">
        <v>3660</v>
      </c>
    </row>
    <row r="11" spans="2:28">
      <c r="B11" s="50" t="s">
        <v>3610</v>
      </c>
      <c r="C11" s="50">
        <v>9</v>
      </c>
      <c r="D11" s="50" t="s">
        <v>3661</v>
      </c>
      <c r="E11" s="104">
        <v>45439</v>
      </c>
      <c r="F11" s="50">
        <v>2</v>
      </c>
      <c r="G11" s="218" t="s">
        <v>3647</v>
      </c>
      <c r="H11" s="50">
        <v>0</v>
      </c>
      <c r="I11" s="50">
        <v>31</v>
      </c>
      <c r="J11" s="50">
        <v>2.6552000000265499E+19</v>
      </c>
      <c r="K11" s="50"/>
      <c r="L11" s="50">
        <v>0</v>
      </c>
      <c r="M11" s="50">
        <v>0</v>
      </c>
      <c r="N11" s="50"/>
      <c r="O11" s="104" t="e">
        <v>#N/A</v>
      </c>
      <c r="P11" s="104" t="s">
        <v>3655</v>
      </c>
      <c r="Q11" s="50" t="s">
        <v>3655</v>
      </c>
      <c r="R11" s="50">
        <v>36</v>
      </c>
      <c r="S11" s="104">
        <v>0</v>
      </c>
      <c r="T11" s="104" t="s">
        <v>3656</v>
      </c>
      <c r="U11" s="50" t="s">
        <v>3656</v>
      </c>
      <c r="V11" s="107">
        <v>-509358085210000</v>
      </c>
      <c r="W11" s="107" t="s">
        <v>3656</v>
      </c>
      <c r="X11" s="50">
        <v>0</v>
      </c>
      <c r="Y11" s="50" t="s">
        <v>3662</v>
      </c>
      <c r="Z11" s="107" t="s">
        <v>3659</v>
      </c>
      <c r="AA11" s="104">
        <v>44135</v>
      </c>
      <c r="AB11" s="104" t="s">
        <v>3663</v>
      </c>
    </row>
    <row r="12" spans="2:28">
      <c r="B12" s="50" t="s">
        <v>3612</v>
      </c>
      <c r="C12" s="50">
        <v>10</v>
      </c>
      <c r="D12" s="50" t="s">
        <v>3664</v>
      </c>
      <c r="E12" s="104">
        <v>45439</v>
      </c>
      <c r="F12" s="50">
        <v>2</v>
      </c>
      <c r="G12" s="218" t="s">
        <v>3647</v>
      </c>
      <c r="H12" s="50">
        <v>0</v>
      </c>
      <c r="I12" s="50">
        <v>31</v>
      </c>
      <c r="J12" s="50">
        <v>962304890438110</v>
      </c>
      <c r="K12" s="50" t="s">
        <v>3654</v>
      </c>
      <c r="L12" s="50">
        <v>48</v>
      </c>
      <c r="M12" s="50">
        <v>213</v>
      </c>
      <c r="N12" s="50">
        <v>31</v>
      </c>
      <c r="O12" s="202">
        <v>2.3960180788801999E+29</v>
      </c>
      <c r="P12" s="104">
        <v>45447</v>
      </c>
      <c r="Q12" s="104">
        <v>2958465</v>
      </c>
      <c r="R12" s="50" t="s">
        <v>3665</v>
      </c>
      <c r="S12" s="104">
        <v>1</v>
      </c>
      <c r="T12" s="202">
        <v>58769262340000</v>
      </c>
      <c r="U12" s="107">
        <v>58769262340000</v>
      </c>
      <c r="V12" s="107">
        <v>774352080000</v>
      </c>
      <c r="W12" s="107">
        <v>325186000000</v>
      </c>
      <c r="X12" s="107" t="s">
        <v>3666</v>
      </c>
      <c r="Y12" s="107" t="s">
        <v>3658</v>
      </c>
      <c r="Z12" s="107" t="s">
        <v>3667</v>
      </c>
      <c r="AA12" s="104">
        <v>45450</v>
      </c>
      <c r="AB12" s="104" t="s">
        <v>3660</v>
      </c>
    </row>
    <row r="13" spans="2:28">
      <c r="B13" s="50" t="s">
        <v>3614</v>
      </c>
      <c r="C13" s="50">
        <v>11</v>
      </c>
      <c r="D13" s="50" t="s">
        <v>3668</v>
      </c>
      <c r="E13" s="104">
        <v>45439</v>
      </c>
      <c r="F13" s="50">
        <v>2</v>
      </c>
      <c r="G13" s="218" t="s">
        <v>3647</v>
      </c>
      <c r="H13" s="50">
        <v>0</v>
      </c>
      <c r="I13" s="50">
        <v>31</v>
      </c>
      <c r="J13" s="50">
        <v>962304890438110</v>
      </c>
      <c r="K13" s="50"/>
      <c r="L13" s="50" t="s">
        <v>3669</v>
      </c>
      <c r="M13" s="50" t="s">
        <v>3670</v>
      </c>
      <c r="N13" s="50" t="e">
        <v>#N/A</v>
      </c>
      <c r="O13" s="202">
        <v>2.3970105815901999E+29</v>
      </c>
      <c r="P13" s="104">
        <v>2958465</v>
      </c>
      <c r="Q13" s="104">
        <v>2958465</v>
      </c>
      <c r="R13" s="50" t="s">
        <v>3671</v>
      </c>
      <c r="S13" s="104">
        <v>1</v>
      </c>
      <c r="T13" s="202">
        <v>58769262340000</v>
      </c>
      <c r="U13" s="107">
        <v>58769262340000</v>
      </c>
      <c r="V13" s="107">
        <v>2072551670000000</v>
      </c>
      <c r="W13" s="107">
        <v>14286165090000</v>
      </c>
      <c r="X13" s="107" t="s">
        <v>3672</v>
      </c>
      <c r="Y13" s="107" t="s">
        <v>3673</v>
      </c>
      <c r="Z13" s="107" t="s">
        <v>3667</v>
      </c>
      <c r="AA13" s="104">
        <v>45520</v>
      </c>
      <c r="AB13" s="104" t="s">
        <v>3674</v>
      </c>
    </row>
    <row r="14" spans="2:28">
      <c r="B14" s="50" t="s">
        <v>3616</v>
      </c>
      <c r="C14" s="50">
        <v>12</v>
      </c>
      <c r="D14" s="50" t="s">
        <v>3675</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3618</v>
      </c>
      <c r="C15" s="50">
        <v>13</v>
      </c>
      <c r="D15" s="50" t="s">
        <v>3676</v>
      </c>
      <c r="E15" s="104">
        <v>45439</v>
      </c>
      <c r="F15" s="50">
        <v>2</v>
      </c>
      <c r="G15" s="218">
        <v>1</v>
      </c>
      <c r="H15" s="50">
        <v>0</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row>
    <row r="16" spans="2:28">
      <c r="B16" s="50" t="s">
        <v>3620</v>
      </c>
      <c r="C16" s="50">
        <v>14</v>
      </c>
      <c r="D16" s="50" t="s">
        <v>3677</v>
      </c>
      <c r="E16" s="104">
        <v>45439</v>
      </c>
      <c r="F16" s="50">
        <v>2</v>
      </c>
      <c r="G16" s="218">
        <v>1</v>
      </c>
      <c r="H16" s="50">
        <v>0</v>
      </c>
      <c r="I16" s="50">
        <v>0</v>
      </c>
      <c r="J16" s="50">
        <v>0</v>
      </c>
      <c r="K16" s="50">
        <v>0</v>
      </c>
      <c r="L16" s="50">
        <v>0</v>
      </c>
      <c r="M16" s="50">
        <v>0</v>
      </c>
      <c r="N16" s="50" t="s">
        <v>3647</v>
      </c>
      <c r="O16" s="50" t="s">
        <v>3647</v>
      </c>
      <c r="P16" s="50" t="s">
        <v>3647</v>
      </c>
      <c r="Q16" s="50" t="s">
        <v>3647</v>
      </c>
      <c r="R16" s="50">
        <v>0</v>
      </c>
      <c r="S16" s="106" t="s">
        <v>3647</v>
      </c>
      <c r="T16" s="50" t="s">
        <v>3647</v>
      </c>
      <c r="U16" s="50" t="s">
        <v>3647</v>
      </c>
      <c r="V16" s="50" t="s">
        <v>3647</v>
      </c>
      <c r="W16" s="50" t="s">
        <v>3647</v>
      </c>
      <c r="X16" s="50">
        <v>0</v>
      </c>
      <c r="Y16" s="50">
        <v>0</v>
      </c>
      <c r="Z16" s="50">
        <v>0</v>
      </c>
      <c r="AA16" s="50" t="s">
        <v>3647</v>
      </c>
      <c r="AB16" s="50" t="s">
        <v>3647</v>
      </c>
    </row>
    <row r="17" spans="2:30">
      <c r="B17" s="50" t="s">
        <v>3622</v>
      </c>
      <c r="C17" s="50">
        <v>15</v>
      </c>
      <c r="D17" s="50" t="s">
        <v>3678</v>
      </c>
      <c r="E17" s="104">
        <v>45439</v>
      </c>
      <c r="F17" s="50">
        <v>2</v>
      </c>
      <c r="G17" s="218">
        <v>1</v>
      </c>
      <c r="H17" s="50">
        <v>0</v>
      </c>
      <c r="I17" s="50" t="s">
        <v>3647</v>
      </c>
      <c r="J17" s="50" t="s">
        <v>3647</v>
      </c>
      <c r="K17" s="50" t="s">
        <v>3647</v>
      </c>
      <c r="L17" s="50" t="s">
        <v>3647</v>
      </c>
      <c r="M17" s="50" t="s">
        <v>3647</v>
      </c>
      <c r="N17" s="50" t="s">
        <v>3647</v>
      </c>
      <c r="O17" s="50" t="s">
        <v>3647</v>
      </c>
      <c r="P17" s="50" t="s">
        <v>3647</v>
      </c>
      <c r="Q17" s="50" t="s">
        <v>3647</v>
      </c>
      <c r="R17" s="50" t="s">
        <v>3647</v>
      </c>
      <c r="S17" s="106" t="s">
        <v>3647</v>
      </c>
      <c r="T17" s="50" t="s">
        <v>3647</v>
      </c>
      <c r="U17" s="50" t="s">
        <v>3647</v>
      </c>
      <c r="V17" s="50" t="s">
        <v>3647</v>
      </c>
      <c r="W17" s="50" t="s">
        <v>3647</v>
      </c>
      <c r="X17" s="50" t="s">
        <v>3647</v>
      </c>
      <c r="Y17" s="50" t="s">
        <v>3647</v>
      </c>
      <c r="Z17" s="50" t="s">
        <v>3647</v>
      </c>
      <c r="AA17" s="50" t="s">
        <v>3647</v>
      </c>
      <c r="AB17" s="50" t="s">
        <v>3647</v>
      </c>
    </row>
    <row r="18" spans="2:30">
      <c r="B18" s="50" t="s">
        <v>3624</v>
      </c>
      <c r="C18" s="50">
        <v>16</v>
      </c>
      <c r="D18" s="50" t="s">
        <v>3678</v>
      </c>
      <c r="E18" s="104">
        <v>45439</v>
      </c>
      <c r="F18" s="50">
        <v>2</v>
      </c>
      <c r="G18" s="218">
        <v>1</v>
      </c>
      <c r="H18" s="222">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row>
    <row r="19" spans="2:30">
      <c r="B19" s="50" t="s">
        <v>3626</v>
      </c>
      <c r="C19" s="50">
        <v>17</v>
      </c>
      <c r="D19" s="50" t="s">
        <v>3679</v>
      </c>
      <c r="E19" s="104">
        <v>45439</v>
      </c>
      <c r="F19" s="50">
        <v>2</v>
      </c>
      <c r="G19" s="218">
        <v>0.99</v>
      </c>
      <c r="H19" s="50">
        <v>215</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row>
    <row r="20" spans="2:30">
      <c r="B20" s="50" t="s">
        <v>3628</v>
      </c>
      <c r="C20" s="50">
        <v>18</v>
      </c>
      <c r="D20" s="50" t="s">
        <v>3679</v>
      </c>
      <c r="E20" s="104">
        <v>45439</v>
      </c>
      <c r="F20" s="50">
        <v>2</v>
      </c>
      <c r="G20" s="218">
        <v>1</v>
      </c>
      <c r="H20" s="50">
        <v>3</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row>
    <row r="21" spans="2:30">
      <c r="B21" s="50" t="s">
        <v>3630</v>
      </c>
      <c r="C21" s="50">
        <v>19</v>
      </c>
      <c r="D21" s="50" t="s">
        <v>3680</v>
      </c>
      <c r="E21" s="104">
        <v>45439</v>
      </c>
      <c r="F21" s="50">
        <v>2</v>
      </c>
      <c r="G21" s="218" cm="1">
        <f t="array" aca="1" ref="G21" ca="1">SUMPRODUCT(--(ISNUMBER((SEARCH(I26:AB26,I21:AB21)))))/COUNTA(I21:AB21)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3681</v>
      </c>
      <c r="Y21" s="50" t="s">
        <v>3681</v>
      </c>
      <c r="Z21" s="50" t="s">
        <v>3681</v>
      </c>
      <c r="AA21" s="50" t="s">
        <v>3681</v>
      </c>
      <c r="AB21" s="50" t="s">
        <v>3683</v>
      </c>
    </row>
    <row r="22" spans="2:30">
      <c r="B22" s="106" t="s">
        <v>3633</v>
      </c>
      <c r="C22" s="50">
        <v>20</v>
      </c>
      <c r="D22" s="50" t="s">
        <v>3680</v>
      </c>
      <c r="E22" s="104">
        <v>45439</v>
      </c>
      <c r="F22" s="50">
        <v>2</v>
      </c>
      <c r="G22" s="218" cm="1">
        <f t="array" ref="G22">SUM(IF(I2:AB2 = I25:AB25, 1, 0))/ COUNTA(I2:AB2)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row>
    <row r="23" spans="2:30">
      <c r="B23" s="50" t="s">
        <v>3636</v>
      </c>
      <c r="C23" s="50">
        <v>21</v>
      </c>
      <c r="D23" s="50" t="s">
        <v>3680</v>
      </c>
      <c r="E23" s="104">
        <v>45439</v>
      </c>
      <c r="F23" s="50">
        <v>2</v>
      </c>
      <c r="G23" s="218" cm="1">
        <f t="array" aca="1" ref="G23" ca="1">SUM(IF(IF(G3:G22="null",1,G3:G22)=1,1,0))/COUNT(IF(G3:G22="null",1,1))</f>
        <v>0.9</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row>
    <row r="24" spans="2:30">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2" t="s">
        <v>3639</v>
      </c>
      <c r="C25" s="138" t="s">
        <v>3640</v>
      </c>
      <c r="D25" s="138" t="s">
        <v>3641</v>
      </c>
      <c r="E25" s="138" t="s">
        <v>3642</v>
      </c>
      <c r="F25" s="138" t="s">
        <v>3643</v>
      </c>
      <c r="G25" s="138" t="s">
        <v>3644</v>
      </c>
      <c r="H25" s="138" t="s">
        <v>3645</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c r="B26" s="116" t="s">
        <v>3684</v>
      </c>
      <c r="C26" s="119">
        <v>21</v>
      </c>
      <c r="D26" s="113" t="s">
        <v>3685</v>
      </c>
      <c r="E26" s="112" t="s">
        <v>3686</v>
      </c>
      <c r="F26" s="112" t="s">
        <v>372</v>
      </c>
      <c r="G26" s="112" t="s">
        <v>372</v>
      </c>
      <c r="H26" s="112" t="s">
        <v>372</v>
      </c>
      <c r="I26" s="112" t="str" cm="1">
        <f t="array" aca="1" ref="I26:AB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STRING</v>
      </c>
      <c r="Y26" s="112" t="str">
        <f ca="1"/>
        <v>STRING</v>
      </c>
      <c r="Z26" s="112" t="str">
        <f ca="1"/>
        <v>STRING</v>
      </c>
      <c r="AA26" s="112" t="str">
        <f ca="1"/>
        <v>STRING</v>
      </c>
      <c r="AB26" s="112" t="str">
        <f ca="1"/>
        <v>TIMESTAMP</v>
      </c>
      <c r="AC26" s="216"/>
    </row>
    <row r="27" spans="2:30">
      <c r="B27" s="116" t="s">
        <v>3687</v>
      </c>
      <c r="C27" s="119">
        <v>7</v>
      </c>
      <c r="D27" s="113" t="s">
        <v>3685</v>
      </c>
      <c r="E27" s="112" t="s">
        <v>3686</v>
      </c>
      <c r="F27" s="114" t="s">
        <v>372</v>
      </c>
      <c r="G27" s="114" t="s">
        <v>372</v>
      </c>
      <c r="H27" s="114" t="s">
        <v>372</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4</v>
      </c>
      <c r="Y27" s="160">
        <f ca="1"/>
        <v>4</v>
      </c>
      <c r="Z27" s="160">
        <f ca="1"/>
        <v>2</v>
      </c>
      <c r="AA27" s="160">
        <f ca="1"/>
        <v>10</v>
      </c>
      <c r="AB27" s="160">
        <f ca="1"/>
        <v>23</v>
      </c>
      <c r="AC27" s="217"/>
      <c r="AD27" s="102"/>
    </row>
    <row r="29" spans="2:30">
      <c r="B29" s="149" t="s">
        <v>3688</v>
      </c>
    </row>
    <row r="30" spans="2:30">
      <c r="B30" s="143" t="s">
        <v>3689</v>
      </c>
      <c r="C30" s="143" t="s">
        <v>3690</v>
      </c>
      <c r="D30" s="144" t="s">
        <v>3691</v>
      </c>
      <c r="E30" s="143" t="s">
        <v>3692</v>
      </c>
      <c r="F30" s="143" t="s">
        <v>3693</v>
      </c>
    </row>
    <row r="31" spans="2:30" ht="87">
      <c r="B31" s="146" t="s">
        <v>3694</v>
      </c>
      <c r="C31" s="147" t="s">
        <v>188</v>
      </c>
      <c r="D31" s="148" t="s">
        <v>3695</v>
      </c>
      <c r="E31" s="106" t="s">
        <v>3696</v>
      </c>
      <c r="F31" s="198" t="s">
        <v>3697</v>
      </c>
    </row>
    <row r="32" spans="2:30" ht="29.1">
      <c r="B32" s="120" t="s">
        <v>3694</v>
      </c>
      <c r="C32" s="124" t="s">
        <v>177</v>
      </c>
      <c r="D32" s="274" t="s">
        <v>3698</v>
      </c>
      <c r="E32" s="162" t="s">
        <v>3699</v>
      </c>
      <c r="F32" s="145" t="s">
        <v>3700</v>
      </c>
    </row>
    <row r="33" spans="2:6" ht="29.1">
      <c r="B33" s="120" t="s">
        <v>3694</v>
      </c>
      <c r="C33" s="124" t="s">
        <v>305</v>
      </c>
      <c r="D33" s="274" t="s">
        <v>3701</v>
      </c>
      <c r="E33" s="162" t="s">
        <v>3702</v>
      </c>
      <c r="F33" s="145" t="s">
        <v>3703</v>
      </c>
    </row>
    <row r="34" spans="2:6" ht="29.1">
      <c r="B34" s="146" t="s">
        <v>3704</v>
      </c>
      <c r="C34" s="147" t="s">
        <v>3705</v>
      </c>
      <c r="D34" s="148" t="s">
        <v>3706</v>
      </c>
      <c r="E34" s="106" t="s">
        <v>3707</v>
      </c>
      <c r="F34" s="207" t="s">
        <v>3703</v>
      </c>
    </row>
    <row r="35" spans="2:6" ht="29.1">
      <c r="B35" s="146" t="s">
        <v>3704</v>
      </c>
      <c r="C35" s="147" t="s">
        <v>3705</v>
      </c>
      <c r="D35" s="148" t="s">
        <v>3706</v>
      </c>
      <c r="E35" s="162" t="s">
        <v>3708</v>
      </c>
      <c r="F35" s="207" t="s">
        <v>3703</v>
      </c>
    </row>
    <row r="36" spans="2:6" ht="29.1">
      <c r="B36" s="187" t="s">
        <v>3709</v>
      </c>
      <c r="C36" s="188" t="s">
        <v>3705</v>
      </c>
      <c r="D36" s="57" t="s">
        <v>3710</v>
      </c>
      <c r="E36" s="106" t="s">
        <v>3711</v>
      </c>
      <c r="F36" s="207"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3712</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625</v>
      </c>
      <c r="Q2" s="85" t="s">
        <v>575</v>
      </c>
      <c r="R2" s="85" t="s">
        <v>199</v>
      </c>
      <c r="S2" s="85" t="s">
        <v>211</v>
      </c>
      <c r="T2" s="85" t="s">
        <v>223</v>
      </c>
      <c r="U2" s="85" t="s">
        <v>239</v>
      </c>
      <c r="V2" s="85" t="s">
        <v>3713</v>
      </c>
      <c r="W2" s="85" t="s">
        <v>3714</v>
      </c>
      <c r="X2" s="85" t="s">
        <v>649</v>
      </c>
      <c r="Y2" s="85" t="s">
        <v>272</v>
      </c>
      <c r="Z2" s="85" t="s">
        <v>283</v>
      </c>
      <c r="AA2" s="85" t="s">
        <v>3715</v>
      </c>
      <c r="AB2" s="85" t="s">
        <v>3716</v>
      </c>
      <c r="AC2" s="85" t="s">
        <v>3717</v>
      </c>
      <c r="AD2" s="85" t="s">
        <v>3718</v>
      </c>
      <c r="AE2" s="85" t="s">
        <v>745</v>
      </c>
      <c r="AF2" s="85" t="s">
        <v>756</v>
      </c>
      <c r="AG2" s="85" t="s">
        <v>766</v>
      </c>
      <c r="AH2" s="85" t="s">
        <v>776</v>
      </c>
      <c r="AI2" s="85" t="s">
        <v>785</v>
      </c>
      <c r="AJ2" s="85" t="s">
        <v>294</v>
      </c>
      <c r="AK2" s="85" t="s">
        <v>305</v>
      </c>
      <c r="AL2" s="85" t="s">
        <v>318</v>
      </c>
      <c r="AM2" s="85" t="s">
        <v>327</v>
      </c>
      <c r="AN2" s="85" t="s">
        <v>334</v>
      </c>
    </row>
    <row r="3" spans="2:40" s="102" customFormat="1">
      <c r="B3" s="50" t="s">
        <v>3593</v>
      </c>
      <c r="C3" s="50">
        <v>1</v>
      </c>
      <c r="D3" s="50" t="s">
        <v>3719</v>
      </c>
      <c r="E3" s="104">
        <v>45422</v>
      </c>
      <c r="F3" s="50">
        <v>1</v>
      </c>
      <c r="G3" s="107">
        <v>1</v>
      </c>
      <c r="H3" s="107">
        <v>3529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s="102" customFormat="1">
      <c r="B4" s="50" t="s">
        <v>3595</v>
      </c>
      <c r="C4" s="50">
        <v>2</v>
      </c>
      <c r="D4" s="50" t="s">
        <v>3720</v>
      </c>
      <c r="E4" s="104">
        <v>45422</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s="102" customFormat="1">
      <c r="B5" s="50" t="s">
        <v>3597</v>
      </c>
      <c r="C5" s="50">
        <v>3</v>
      </c>
      <c r="D5" s="50" t="s">
        <v>3721</v>
      </c>
      <c r="E5" s="104">
        <v>45422</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s="102" customFormat="1">
      <c r="B6" s="106" t="s">
        <v>3599</v>
      </c>
      <c r="C6" s="50">
        <v>4</v>
      </c>
      <c r="D6" s="50" t="s">
        <v>3650</v>
      </c>
      <c r="E6" s="104" t="s">
        <v>3647</v>
      </c>
      <c r="F6" s="50">
        <v>1</v>
      </c>
      <c r="G6" s="104" t="s">
        <v>3647</v>
      </c>
      <c r="H6" s="50" t="s">
        <v>3656</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s="102" customFormat="1">
      <c r="B7" s="50" t="s">
        <v>3601</v>
      </c>
      <c r="C7" s="50">
        <v>5</v>
      </c>
      <c r="D7" s="50" t="s">
        <v>3650</v>
      </c>
      <c r="E7" s="104" t="s">
        <v>3647</v>
      </c>
      <c r="F7" s="50">
        <v>1</v>
      </c>
      <c r="G7" s="104" t="s">
        <v>3647</v>
      </c>
      <c r="H7" s="50" t="s">
        <v>3656</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s="102" customFormat="1">
      <c r="B8" s="50" t="s">
        <v>3602</v>
      </c>
      <c r="C8" s="50">
        <v>6</v>
      </c>
      <c r="D8" s="50" t="s">
        <v>3722</v>
      </c>
      <c r="E8" s="104">
        <v>45422</v>
      </c>
      <c r="F8" s="50">
        <v>1</v>
      </c>
      <c r="G8" s="50" cm="1">
        <f t="array" ref="G8">SUMPRODUCT(--(I8:AN8&gt;0))/COUNTA(I8:AN8)</f>
        <v>1</v>
      </c>
      <c r="H8" s="50" t="s">
        <v>3656</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3605</v>
      </c>
      <c r="C9" s="50">
        <v>7</v>
      </c>
      <c r="D9" s="50" t="s">
        <v>3723</v>
      </c>
      <c r="E9" s="104">
        <v>45422</v>
      </c>
      <c r="F9" s="50">
        <v>1</v>
      </c>
      <c r="G9" s="50" cm="1">
        <f t="array" aca="1" ref="G9" ca="1">SUMPRODUCT(--(H9:AN9 &lt;= H28:AN28))/COUNTA(H28:AN28)</f>
        <v>0.81818181818181823</v>
      </c>
      <c r="H9" s="50" t="s">
        <v>3656</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3608</v>
      </c>
      <c r="C10" s="50">
        <v>8</v>
      </c>
      <c r="D10" s="50" t="s">
        <v>3724</v>
      </c>
      <c r="E10" s="104">
        <v>45422</v>
      </c>
      <c r="F10" s="50">
        <v>1</v>
      </c>
      <c r="G10" s="104" t="s">
        <v>3647</v>
      </c>
      <c r="H10" s="50" t="s">
        <v>3656</v>
      </c>
      <c r="I10" s="50">
        <v>31</v>
      </c>
      <c r="J10" s="50">
        <v>3.1000473009206903E+26</v>
      </c>
      <c r="K10" s="50" t="s">
        <v>3725</v>
      </c>
      <c r="L10" s="50">
        <v>90</v>
      </c>
      <c r="M10" s="50">
        <v>1</v>
      </c>
      <c r="N10" s="50">
        <v>31</v>
      </c>
      <c r="O10" s="50">
        <v>3.7234600100000003E+23</v>
      </c>
      <c r="P10" s="50">
        <v>31</v>
      </c>
      <c r="Q10" s="50">
        <v>310004730092</v>
      </c>
      <c r="R10" s="104" t="s">
        <v>3655</v>
      </c>
      <c r="S10" s="104">
        <v>33584</v>
      </c>
      <c r="T10" s="104">
        <v>978</v>
      </c>
      <c r="U10" s="104">
        <v>0</v>
      </c>
      <c r="V10" s="104">
        <v>22860000</v>
      </c>
      <c r="W10" s="104">
        <v>22860000</v>
      </c>
      <c r="X10" s="50" t="s">
        <v>3656</v>
      </c>
      <c r="Y10" s="104" t="s">
        <v>3656</v>
      </c>
      <c r="Z10" s="104" t="s">
        <v>3656</v>
      </c>
      <c r="AA10" s="104">
        <v>33588</v>
      </c>
      <c r="AB10" s="107" t="s">
        <v>3655</v>
      </c>
      <c r="AC10" s="107" t="s">
        <v>3656</v>
      </c>
      <c r="AD10" s="107" t="s">
        <v>3656</v>
      </c>
      <c r="AE10" s="50" t="s">
        <v>3726</v>
      </c>
      <c r="AF10" s="50" t="s">
        <v>3727</v>
      </c>
      <c r="AG10" s="107">
        <v>1900000</v>
      </c>
      <c r="AH10" s="107">
        <v>1900000</v>
      </c>
      <c r="AI10" s="107" t="s">
        <v>3656</v>
      </c>
      <c r="AJ10" s="107" t="s">
        <v>3725</v>
      </c>
      <c r="AK10" s="50" t="s">
        <v>3658</v>
      </c>
      <c r="AL10" s="50" t="s">
        <v>3728</v>
      </c>
      <c r="AM10" s="104">
        <v>45422</v>
      </c>
      <c r="AN10" s="104" t="s">
        <v>3729</v>
      </c>
    </row>
    <row r="11" spans="2:40" s="102" customFormat="1">
      <c r="B11" s="50" t="s">
        <v>3610</v>
      </c>
      <c r="C11" s="50">
        <v>9</v>
      </c>
      <c r="D11" s="50" t="s">
        <v>3730</v>
      </c>
      <c r="E11" s="104">
        <v>45422</v>
      </c>
      <c r="F11" s="50">
        <v>1</v>
      </c>
      <c r="G11" s="104" t="s">
        <v>3647</v>
      </c>
      <c r="H11" s="50" t="s">
        <v>3656</v>
      </c>
      <c r="I11" s="50">
        <v>31</v>
      </c>
      <c r="J11" s="50">
        <v>3.1000473009206903E+26</v>
      </c>
      <c r="K11" s="50">
        <v>31</v>
      </c>
      <c r="L11" s="50">
        <v>90</v>
      </c>
      <c r="M11" s="50">
        <v>1</v>
      </c>
      <c r="N11" s="50">
        <v>31</v>
      </c>
      <c r="O11" s="50">
        <v>3.7234600100000003E+23</v>
      </c>
      <c r="P11" s="50">
        <v>31</v>
      </c>
      <c r="Q11" s="50">
        <v>310004730092</v>
      </c>
      <c r="R11" s="50" t="s">
        <v>3655</v>
      </c>
      <c r="S11" s="104">
        <v>33584</v>
      </c>
      <c r="T11" s="104">
        <v>978</v>
      </c>
      <c r="U11" s="104">
        <v>0</v>
      </c>
      <c r="V11" s="104" t="s">
        <v>3731</v>
      </c>
      <c r="W11" s="104" t="s">
        <v>3731</v>
      </c>
      <c r="X11" s="50" t="s">
        <v>3732</v>
      </c>
      <c r="Y11" s="104" t="s">
        <v>3732</v>
      </c>
      <c r="Z11" s="104" t="s">
        <v>3732</v>
      </c>
      <c r="AA11" s="104">
        <v>33588</v>
      </c>
      <c r="AB11" s="50" t="s">
        <v>3655</v>
      </c>
      <c r="AC11" s="50" t="s">
        <v>3732</v>
      </c>
      <c r="AD11" s="50" t="s">
        <v>3732</v>
      </c>
      <c r="AE11" s="50" t="s">
        <v>3726</v>
      </c>
      <c r="AF11" s="50" t="s">
        <v>3727</v>
      </c>
      <c r="AG11" s="107">
        <v>19000000000</v>
      </c>
      <c r="AH11" s="107">
        <v>190000</v>
      </c>
      <c r="AI11" s="107" t="s">
        <v>3733</v>
      </c>
      <c r="AJ11" s="107" t="s">
        <v>3734</v>
      </c>
      <c r="AK11" s="50" t="s">
        <v>3662</v>
      </c>
      <c r="AL11" s="50" t="s">
        <v>3728</v>
      </c>
      <c r="AM11" s="104">
        <v>45422</v>
      </c>
      <c r="AN11" s="104" t="s">
        <v>3735</v>
      </c>
    </row>
    <row r="12" spans="2:40" s="102" customFormat="1">
      <c r="B12" s="50" t="s">
        <v>3612</v>
      </c>
      <c r="C12" s="50">
        <v>10</v>
      </c>
      <c r="D12" s="50" t="s">
        <v>3736</v>
      </c>
      <c r="E12" s="104">
        <v>45422</v>
      </c>
      <c r="F12" s="50">
        <v>1</v>
      </c>
      <c r="G12" s="104" t="s">
        <v>3647</v>
      </c>
      <c r="H12" s="50" t="s">
        <v>3656</v>
      </c>
      <c r="I12" s="50">
        <v>31</v>
      </c>
      <c r="J12" s="50">
        <v>5.4260000009409003E+29</v>
      </c>
      <c r="K12" s="108" t="s">
        <v>3725</v>
      </c>
      <c r="L12" s="50">
        <v>92</v>
      </c>
      <c r="M12" s="50" t="s">
        <v>3737</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3726</v>
      </c>
      <c r="AF12" s="107" t="s">
        <v>3727</v>
      </c>
      <c r="AG12" s="107">
        <v>1900000</v>
      </c>
      <c r="AH12" s="107">
        <v>1900000</v>
      </c>
      <c r="AI12" s="107">
        <v>32000000</v>
      </c>
      <c r="AJ12" s="107" t="s">
        <v>3725</v>
      </c>
      <c r="AK12" s="107" t="s">
        <v>3658</v>
      </c>
      <c r="AL12" s="50" t="s">
        <v>3667</v>
      </c>
      <c r="AM12" s="104">
        <v>45422</v>
      </c>
      <c r="AN12" s="104" t="s">
        <v>3729</v>
      </c>
    </row>
    <row r="13" spans="2:40" s="102" customFormat="1">
      <c r="B13" s="50" t="s">
        <v>3614</v>
      </c>
      <c r="C13" s="50">
        <v>11</v>
      </c>
      <c r="D13" s="50" t="s">
        <v>3738</v>
      </c>
      <c r="E13" s="104">
        <v>45422</v>
      </c>
      <c r="F13" s="50">
        <v>1</v>
      </c>
      <c r="G13" s="104" t="s">
        <v>3647</v>
      </c>
      <c r="H13" s="50" t="s">
        <v>3656</v>
      </c>
      <c r="I13" s="50">
        <v>31</v>
      </c>
      <c r="J13" s="50">
        <v>5.4260000009409003E+29</v>
      </c>
      <c r="K13" s="50">
        <v>31</v>
      </c>
      <c r="L13" s="50">
        <v>92</v>
      </c>
      <c r="M13" s="50" t="s">
        <v>3737</v>
      </c>
      <c r="N13" s="50">
        <v>31</v>
      </c>
      <c r="O13" s="50">
        <v>2.3850155708002E+29</v>
      </c>
      <c r="P13" s="50">
        <v>31</v>
      </c>
      <c r="Q13" s="50">
        <v>542600000094090</v>
      </c>
      <c r="R13" s="104">
        <v>45422</v>
      </c>
      <c r="S13" s="104">
        <v>45802</v>
      </c>
      <c r="T13" s="104">
        <v>978</v>
      </c>
      <c r="U13" s="104">
        <v>1</v>
      </c>
      <c r="V13" s="104" t="s">
        <v>3739</v>
      </c>
      <c r="W13" s="104" t="s">
        <v>3740</v>
      </c>
      <c r="X13" s="50" t="s">
        <v>3740</v>
      </c>
      <c r="Y13" s="104" t="s">
        <v>3741</v>
      </c>
      <c r="Z13" s="104" t="s">
        <v>3742</v>
      </c>
      <c r="AA13" s="104">
        <v>45805</v>
      </c>
      <c r="AB13" s="104">
        <v>43962</v>
      </c>
      <c r="AC13" s="50" t="s">
        <v>3743</v>
      </c>
      <c r="AD13" s="107" t="s">
        <v>3744</v>
      </c>
      <c r="AE13" s="107" t="s">
        <v>3726</v>
      </c>
      <c r="AF13" s="107" t="s">
        <v>3727</v>
      </c>
      <c r="AG13" s="107">
        <v>19000000000</v>
      </c>
      <c r="AH13" s="107">
        <v>190000</v>
      </c>
      <c r="AI13" s="107">
        <v>3200000</v>
      </c>
      <c r="AJ13" s="107" t="s">
        <v>3745</v>
      </c>
      <c r="AK13" s="107" t="s">
        <v>3662</v>
      </c>
      <c r="AL13" s="50" t="s">
        <v>3667</v>
      </c>
      <c r="AM13" s="104">
        <v>45422</v>
      </c>
      <c r="AN13" s="104" t="s">
        <v>3746</v>
      </c>
    </row>
    <row r="14" spans="2:40" s="224" customFormat="1">
      <c r="B14" s="222" t="s">
        <v>3616</v>
      </c>
      <c r="C14" s="222">
        <v>12</v>
      </c>
      <c r="D14" s="222" t="s">
        <v>3747</v>
      </c>
      <c r="E14" s="223">
        <v>45422</v>
      </c>
      <c r="F14" s="222">
        <v>1</v>
      </c>
      <c r="G14" s="222">
        <v>0.875</v>
      </c>
      <c r="H14" s="222" t="s">
        <v>3656</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3618</v>
      </c>
      <c r="C15" s="50">
        <v>13</v>
      </c>
      <c r="D15" s="50" t="s">
        <v>3748</v>
      </c>
      <c r="E15" s="104">
        <v>45422</v>
      </c>
      <c r="F15" s="50">
        <v>1</v>
      </c>
      <c r="G15" s="107">
        <v>1</v>
      </c>
      <c r="H15" s="50" t="s">
        <v>3656</v>
      </c>
      <c r="I15" s="50" t="s">
        <v>3647</v>
      </c>
      <c r="J15" s="50" t="s">
        <v>3647</v>
      </c>
      <c r="K15" s="50" t="s">
        <v>3647</v>
      </c>
      <c r="L15" s="50" t="s">
        <v>3647</v>
      </c>
      <c r="M15" s="50" t="s">
        <v>3647</v>
      </c>
      <c r="N15" s="50" t="s">
        <v>3647</v>
      </c>
      <c r="O15" s="50" t="s">
        <v>3647</v>
      </c>
      <c r="P15" s="50" t="s">
        <v>3647</v>
      </c>
      <c r="Q15" s="50" t="s">
        <v>3647</v>
      </c>
      <c r="R15" s="106">
        <v>0</v>
      </c>
      <c r="S15" s="106">
        <v>0</v>
      </c>
      <c r="T15" s="106" t="s">
        <v>3647</v>
      </c>
      <c r="U15" s="106" t="s">
        <v>3647</v>
      </c>
      <c r="V15" s="106" t="s">
        <v>3647</v>
      </c>
      <c r="W15" s="106" t="s">
        <v>3647</v>
      </c>
      <c r="X15" s="50" t="s">
        <v>3647</v>
      </c>
      <c r="Y15" s="106" t="s">
        <v>3647</v>
      </c>
      <c r="Z15" s="106" t="s">
        <v>3647</v>
      </c>
      <c r="AA15" s="50">
        <v>0</v>
      </c>
      <c r="AB15" s="50">
        <v>0</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s="102" customFormat="1">
      <c r="B16" s="50" t="s">
        <v>3620</v>
      </c>
      <c r="C16" s="50">
        <v>14</v>
      </c>
      <c r="D16" s="50" t="s">
        <v>3749</v>
      </c>
      <c r="E16" s="104">
        <v>45422</v>
      </c>
      <c r="F16" s="50">
        <v>1</v>
      </c>
      <c r="G16" s="107">
        <v>1</v>
      </c>
      <c r="H16" s="50" t="s">
        <v>3656</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106" t="s">
        <v>3647</v>
      </c>
      <c r="Z16" s="50" t="s">
        <v>3647</v>
      </c>
      <c r="AA16" s="50" t="s">
        <v>3647</v>
      </c>
      <c r="AB16" s="50" t="s">
        <v>3647</v>
      </c>
      <c r="AC16" s="50" t="s">
        <v>3647</v>
      </c>
      <c r="AD16" s="50" t="s">
        <v>3647</v>
      </c>
      <c r="AE16" s="50">
        <v>0</v>
      </c>
      <c r="AF16" s="50">
        <v>0</v>
      </c>
      <c r="AG16" s="50" t="s">
        <v>3647</v>
      </c>
      <c r="AH16" s="50" t="s">
        <v>3647</v>
      </c>
      <c r="AI16" s="50" t="s">
        <v>3647</v>
      </c>
      <c r="AJ16" s="50">
        <v>0</v>
      </c>
      <c r="AK16" s="50">
        <v>0</v>
      </c>
      <c r="AL16" s="50" t="s">
        <v>3647</v>
      </c>
      <c r="AM16" s="50" t="s">
        <v>3647</v>
      </c>
      <c r="AN16" s="50" t="s">
        <v>3647</v>
      </c>
    </row>
    <row r="17" spans="2:42" s="102" customFormat="1">
      <c r="B17" s="50" t="s">
        <v>3622</v>
      </c>
      <c r="C17" s="50">
        <v>15</v>
      </c>
      <c r="D17" s="50" t="s">
        <v>3750</v>
      </c>
      <c r="E17" s="104">
        <v>45422</v>
      </c>
      <c r="F17" s="50">
        <v>1</v>
      </c>
      <c r="G17" s="107">
        <v>1</v>
      </c>
      <c r="H17" s="50"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2" s="102" customFormat="1">
      <c r="B18" s="50" t="s">
        <v>3624</v>
      </c>
      <c r="C18" s="50">
        <v>16</v>
      </c>
      <c r="D18" s="50" t="s">
        <v>3750</v>
      </c>
      <c r="E18" s="104">
        <v>45422</v>
      </c>
      <c r="F18" s="50">
        <v>1</v>
      </c>
      <c r="G18" s="107">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2" s="102" customFormat="1">
      <c r="B19" s="50" t="s">
        <v>3626</v>
      </c>
      <c r="C19" s="50">
        <v>17</v>
      </c>
      <c r="D19" s="50" t="s">
        <v>3751</v>
      </c>
      <c r="E19" s="104">
        <v>45422</v>
      </c>
      <c r="F19" s="50">
        <v>1</v>
      </c>
      <c r="G19" s="220">
        <v>0.91980700000000004</v>
      </c>
      <c r="H19" s="107">
        <v>283</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2" s="102" customFormat="1">
      <c r="B20" s="50" t="s">
        <v>3628</v>
      </c>
      <c r="C20" s="50">
        <v>18</v>
      </c>
      <c r="D20" s="50" t="s">
        <v>3751</v>
      </c>
      <c r="E20" s="104">
        <v>45422</v>
      </c>
      <c r="F20" s="50">
        <v>1</v>
      </c>
      <c r="G20" s="219">
        <v>0.99997199999999997</v>
      </c>
      <c r="H20" s="107">
        <v>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2" s="102" customFormat="1">
      <c r="B21" s="50" t="s">
        <v>3630</v>
      </c>
      <c r="C21" s="50">
        <v>19</v>
      </c>
      <c r="D21" s="50" t="s">
        <v>3752</v>
      </c>
      <c r="E21" s="104">
        <v>45422</v>
      </c>
      <c r="F21" s="50">
        <v>1</v>
      </c>
      <c r="G21" s="202" cm="1">
        <f t="array" aca="1" ref="G21" ca="1">SUMPRODUCT(--(ISNUMBER((SEARCH(I27:AN27,I21:AN21)))))/COUNTA(I21:AN21)</f>
        <v>0.65625</v>
      </c>
      <c r="H21" s="50"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50" t="s">
        <v>3682</v>
      </c>
      <c r="AE21" s="50" t="s">
        <v>3681</v>
      </c>
      <c r="AF21" s="50" t="s">
        <v>3681</v>
      </c>
      <c r="AG21" s="50" t="s">
        <v>3682</v>
      </c>
      <c r="AH21" s="50" t="s">
        <v>3682</v>
      </c>
      <c r="AI21" s="50" t="s">
        <v>3682</v>
      </c>
      <c r="AJ21" s="50" t="s">
        <v>3681</v>
      </c>
      <c r="AK21" s="50" t="s">
        <v>3681</v>
      </c>
      <c r="AL21" s="50" t="s">
        <v>3681</v>
      </c>
      <c r="AM21" s="50" t="s">
        <v>3681</v>
      </c>
      <c r="AN21" s="50" t="s">
        <v>3683</v>
      </c>
    </row>
    <row r="22" spans="2:42" s="102" customFormat="1">
      <c r="B22" s="106" t="s">
        <v>3633</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c r="B23" s="50" t="s">
        <v>3636</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49" t="s">
        <v>3753</v>
      </c>
      <c r="C25" s="151"/>
      <c r="D25" s="151"/>
      <c r="E25" s="151"/>
      <c r="F25" s="151"/>
      <c r="G25" s="151"/>
      <c r="H25" s="151"/>
    </row>
    <row r="26" spans="2:42">
      <c r="B26" s="142" t="s">
        <v>3639</v>
      </c>
      <c r="C26" s="138" t="s">
        <v>3640</v>
      </c>
      <c r="D26" s="138" t="s">
        <v>3641</v>
      </c>
      <c r="E26" s="138" t="s">
        <v>3642</v>
      </c>
      <c r="F26" s="138" t="s">
        <v>3643</v>
      </c>
      <c r="G26" s="138" t="s">
        <v>3644</v>
      </c>
      <c r="H26" s="138" t="s">
        <v>3645</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c r="B27" s="126" t="s">
        <v>3684</v>
      </c>
      <c r="C27" s="122">
        <v>21</v>
      </c>
      <c r="D27" s="128" t="s">
        <v>3685</v>
      </c>
      <c r="E27" s="127" t="s">
        <v>3686</v>
      </c>
      <c r="F27" s="127" t="s">
        <v>372</v>
      </c>
      <c r="G27" s="127" t="s">
        <v>372</v>
      </c>
      <c r="H27" s="127" t="s">
        <v>372</v>
      </c>
      <c r="I27" s="127"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STRING</v>
      </c>
      <c r="AD27" s="127" t="str">
        <f ca="1"/>
        <v>STRING</v>
      </c>
      <c r="AE27" s="127" t="str">
        <f ca="1"/>
        <v>DECIMAL</v>
      </c>
      <c r="AF27" s="127" t="str">
        <f ca="1"/>
        <v>DECIMAL</v>
      </c>
      <c r="AG27" s="127" t="str">
        <f ca="1"/>
        <v>STRING</v>
      </c>
      <c r="AH27" s="127" t="str">
        <f ca="1"/>
        <v>STRING</v>
      </c>
      <c r="AI27" s="127" t="str">
        <f ca="1"/>
        <v>DECIMAL</v>
      </c>
      <c r="AJ27" s="127" t="str">
        <f ca="1"/>
        <v>DECIMAL</v>
      </c>
      <c r="AK27" s="127" t="str">
        <f ca="1"/>
        <v>DECIMAL</v>
      </c>
      <c r="AL27" s="127" t="str">
        <f ca="1"/>
        <v>STRING</v>
      </c>
      <c r="AM27" s="127" t="str">
        <f ca="1"/>
        <v>STRING</v>
      </c>
      <c r="AN27" s="127" t="str">
        <f ca="1"/>
        <v>STRING</v>
      </c>
      <c r="AO27" t="str">
        <f ca="1"/>
        <v>STRING</v>
      </c>
      <c r="AP27" t="str">
        <f ca="1"/>
        <v>TIMESTAMP</v>
      </c>
    </row>
    <row r="28" spans="2:42">
      <c r="B28" s="130" t="s">
        <v>3687</v>
      </c>
      <c r="C28" s="122">
        <v>7</v>
      </c>
      <c r="D28" s="123" t="s">
        <v>3685</v>
      </c>
      <c r="E28" s="122" t="s">
        <v>3686</v>
      </c>
      <c r="F28" s="152" t="s">
        <v>372</v>
      </c>
      <c r="G28" s="152" t="s">
        <v>372</v>
      </c>
      <c r="H28" s="152" t="s">
        <v>372</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10</v>
      </c>
      <c r="AD28" s="152">
        <f ca="1"/>
        <v>10</v>
      </c>
      <c r="AE28" s="152">
        <f ca="1"/>
        <v>23</v>
      </c>
      <c r="AF28" s="152">
        <f ca="1"/>
        <v>23</v>
      </c>
      <c r="AG28" s="152">
        <f ca="1"/>
        <v>3</v>
      </c>
      <c r="AH28" s="152">
        <f ca="1"/>
        <v>3</v>
      </c>
      <c r="AI28" s="152">
        <f ca="1"/>
        <v>23</v>
      </c>
      <c r="AJ28" s="152">
        <f ca="1"/>
        <v>23</v>
      </c>
      <c r="AK28" s="152">
        <f ca="1"/>
        <v>23</v>
      </c>
      <c r="AL28" s="152">
        <f ca="1"/>
        <v>4</v>
      </c>
      <c r="AM28" s="152">
        <f ca="1"/>
        <v>4</v>
      </c>
      <c r="AN28" s="152">
        <f ca="1"/>
        <v>2</v>
      </c>
      <c r="AO28" s="50">
        <f ca="1"/>
        <v>10</v>
      </c>
      <c r="AP28">
        <f ca="1"/>
        <v>23</v>
      </c>
    </row>
    <row r="29" spans="2:42">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49" t="s">
        <v>3688</v>
      </c>
    </row>
    <row r="31" spans="2:42">
      <c r="B31" s="143" t="s">
        <v>3689</v>
      </c>
      <c r="C31" s="143" t="s">
        <v>3690</v>
      </c>
      <c r="D31" s="144" t="s">
        <v>3691</v>
      </c>
      <c r="E31" s="143" t="s">
        <v>3692</v>
      </c>
      <c r="F31" s="143" t="s">
        <v>3693</v>
      </c>
    </row>
    <row r="32" spans="2:42" ht="29.1">
      <c r="B32" s="120" t="s">
        <v>3754</v>
      </c>
      <c r="C32" s="124" t="s">
        <v>756</v>
      </c>
      <c r="D32" s="53" t="s">
        <v>3755</v>
      </c>
      <c r="E32" s="155" t="s">
        <v>3756</v>
      </c>
      <c r="F32" s="145" t="s">
        <v>3700</v>
      </c>
    </row>
    <row r="33" spans="2:6" ht="29.1">
      <c r="B33" s="120" t="s">
        <v>3754</v>
      </c>
      <c r="C33" s="124" t="s">
        <v>766</v>
      </c>
      <c r="D33" s="53" t="s">
        <v>3757</v>
      </c>
      <c r="E33" s="155" t="s">
        <v>3756</v>
      </c>
      <c r="F33" s="145" t="s">
        <v>3700</v>
      </c>
    </row>
    <row r="34" spans="2:6" ht="29.1">
      <c r="B34" s="120" t="s">
        <v>3754</v>
      </c>
      <c r="C34" s="124" t="s">
        <v>776</v>
      </c>
      <c r="D34" s="53" t="s">
        <v>3757</v>
      </c>
      <c r="E34" s="155" t="s">
        <v>3756</v>
      </c>
      <c r="F34" s="145" t="s">
        <v>3700</v>
      </c>
    </row>
    <row r="35" spans="2:6" ht="72.599999999999994">
      <c r="B35" s="120" t="s">
        <v>3754</v>
      </c>
      <c r="C35" s="124" t="s">
        <v>3713</v>
      </c>
      <c r="D35" s="53" t="s">
        <v>3758</v>
      </c>
      <c r="E35" s="155" t="s">
        <v>3759</v>
      </c>
      <c r="F35" s="145" t="s">
        <v>3697</v>
      </c>
    </row>
    <row r="36" spans="2:6" ht="29.1">
      <c r="B36" s="120" t="s">
        <v>3704</v>
      </c>
      <c r="C36" s="124" t="s">
        <v>3705</v>
      </c>
      <c r="D36" s="53" t="s">
        <v>3760</v>
      </c>
      <c r="E36" s="155" t="s">
        <v>3761</v>
      </c>
      <c r="F36" s="145" t="s">
        <v>3700</v>
      </c>
    </row>
    <row r="37" spans="2:6" ht="29.1">
      <c r="B37" s="146" t="s">
        <v>3762</v>
      </c>
      <c r="C37" s="147" t="s">
        <v>3705</v>
      </c>
      <c r="D37" s="148" t="s">
        <v>3763</v>
      </c>
      <c r="E37" s="156" t="s">
        <v>3711</v>
      </c>
      <c r="F37"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1613</v>
      </c>
      <c r="T2" s="85" t="s">
        <v>1619</v>
      </c>
      <c r="U2" s="85" t="s">
        <v>1626</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row>
    <row r="3" spans="2:36">
      <c r="B3" s="50" t="s">
        <v>3593</v>
      </c>
      <c r="C3" s="50">
        <v>1</v>
      </c>
      <c r="D3" s="50" t="s">
        <v>3765</v>
      </c>
      <c r="E3" s="104">
        <v>45457</v>
      </c>
      <c r="F3" s="50">
        <v>1</v>
      </c>
      <c r="G3" s="50">
        <v>1</v>
      </c>
      <c r="H3" s="200" t="s">
        <v>3766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row>
    <row r="4" spans="2:36">
      <c r="B4" s="50" t="s">
        <v>3595</v>
      </c>
      <c r="C4" s="50">
        <v>2</v>
      </c>
      <c r="D4" s="50" t="s">
        <v>3767</v>
      </c>
      <c r="E4" s="104">
        <v>45457</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row>
    <row r="5" spans="2:36">
      <c r="B5" s="50" t="s">
        <v>3597</v>
      </c>
      <c r="C5" s="50">
        <v>3</v>
      </c>
      <c r="D5" s="50" t="s">
        <v>3768</v>
      </c>
      <c r="E5" s="104">
        <v>45457</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v>0</v>
      </c>
      <c r="AJ5" s="50" t="s">
        <v>3647</v>
      </c>
    </row>
    <row r="6" spans="2:36">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197" t="s">
        <v>3647</v>
      </c>
      <c r="Q6" s="197"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201" t="s">
        <v>3647</v>
      </c>
      <c r="AI6" s="50" t="s">
        <v>3647</v>
      </c>
      <c r="AJ6" s="50" t="s">
        <v>3647</v>
      </c>
    </row>
    <row r="7" spans="2:36">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197" t="s">
        <v>3647</v>
      </c>
      <c r="Q7" s="197"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201" t="s">
        <v>3647</v>
      </c>
      <c r="AI7" s="50" t="s">
        <v>3647</v>
      </c>
      <c r="AJ7" s="50" t="s">
        <v>3647</v>
      </c>
    </row>
    <row r="8" spans="2:36">
      <c r="B8" s="50" t="s">
        <v>3602</v>
      </c>
      <c r="C8" s="50">
        <v>6</v>
      </c>
      <c r="D8" s="50" t="s">
        <v>3769</v>
      </c>
      <c r="E8" s="104">
        <v>45457</v>
      </c>
      <c r="F8" s="50">
        <v>1</v>
      </c>
      <c r="G8" s="50" cm="1">
        <f t="array" ref="G8">SUMPRODUCT(--(I8:AJ8&gt;0))/COUNTA(I8:AJ8)</f>
        <v>1</v>
      </c>
      <c r="H8" s="50" t="s">
        <v>3732</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3770</v>
      </c>
      <c r="AH8" s="50">
        <v>2</v>
      </c>
      <c r="AI8" s="50">
        <v>10</v>
      </c>
      <c r="AJ8" s="50">
        <v>23</v>
      </c>
    </row>
    <row r="9" spans="2:36">
      <c r="B9" s="50" t="s">
        <v>3605</v>
      </c>
      <c r="C9" s="50">
        <v>7</v>
      </c>
      <c r="D9" s="50" t="s">
        <v>3771</v>
      </c>
      <c r="E9" s="104">
        <v>45457</v>
      </c>
      <c r="F9" s="50">
        <v>1</v>
      </c>
      <c r="G9" s="50" cm="1">
        <f t="array" aca="1" ref="G9" ca="1">SUMPRODUCT(--(I9:AJ9&lt;=I29:AJ29))/COUNTA(I29:AJ29)</f>
        <v>0.6785714285714286</v>
      </c>
      <c r="H9" s="50" t="s">
        <v>3732</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3770</v>
      </c>
      <c r="AH9" s="50">
        <v>2</v>
      </c>
      <c r="AI9" s="50">
        <v>10</v>
      </c>
      <c r="AJ9" s="50">
        <v>23</v>
      </c>
    </row>
    <row r="10" spans="2:36">
      <c r="B10" s="106" t="s">
        <v>3608</v>
      </c>
      <c r="C10" s="50">
        <v>8</v>
      </c>
      <c r="D10" s="50" t="s">
        <v>3772</v>
      </c>
      <c r="E10" s="104">
        <v>45457</v>
      </c>
      <c r="F10" s="50">
        <v>1</v>
      </c>
      <c r="G10" s="104" t="s">
        <v>3647</v>
      </c>
      <c r="H10" s="50" t="s">
        <v>3732</v>
      </c>
      <c r="I10" s="50">
        <v>31</v>
      </c>
      <c r="J10" s="50">
        <v>2.0734299999999999E+22</v>
      </c>
      <c r="K10" s="50" t="s">
        <v>3773</v>
      </c>
      <c r="L10" s="50">
        <v>20</v>
      </c>
      <c r="M10" s="50">
        <v>100</v>
      </c>
      <c r="N10" s="50">
        <v>31</v>
      </c>
      <c r="O10" s="104">
        <v>2.0734001E+22</v>
      </c>
      <c r="P10" s="104">
        <v>30288</v>
      </c>
      <c r="Q10" s="107" t="s">
        <v>3655</v>
      </c>
      <c r="R10" s="50">
        <v>124</v>
      </c>
      <c r="S10" s="104" t="s">
        <v>3774</v>
      </c>
      <c r="T10" s="104" t="s">
        <v>3656</v>
      </c>
      <c r="U10" s="107">
        <v>-998680190000</v>
      </c>
      <c r="V10" s="50" t="s">
        <v>2182</v>
      </c>
      <c r="W10" s="107" t="s">
        <v>2186</v>
      </c>
      <c r="X10" s="50" t="s">
        <v>2189</v>
      </c>
      <c r="Y10" s="50" t="s">
        <v>2193</v>
      </c>
      <c r="Z10" s="50" t="s">
        <v>2196</v>
      </c>
      <c r="AA10" s="50" t="s">
        <v>2200</v>
      </c>
      <c r="AB10" s="50" t="s">
        <v>2204</v>
      </c>
      <c r="AC10" s="104" t="s">
        <v>2207</v>
      </c>
      <c r="AD10" s="50" t="s">
        <v>2211</v>
      </c>
      <c r="AE10" s="50" t="s">
        <v>2214</v>
      </c>
      <c r="AF10" s="50" t="s">
        <v>3657</v>
      </c>
      <c r="AG10" s="50" t="s">
        <v>3770</v>
      </c>
      <c r="AH10" s="104" t="s">
        <v>3775</v>
      </c>
      <c r="AI10" s="104">
        <v>45457</v>
      </c>
      <c r="AJ10" s="50" t="s">
        <v>3776</v>
      </c>
    </row>
    <row r="11" spans="2:36">
      <c r="B11" s="50" t="s">
        <v>3610</v>
      </c>
      <c r="C11" s="50">
        <v>9</v>
      </c>
      <c r="D11" s="50" t="s">
        <v>3777</v>
      </c>
      <c r="E11" s="104">
        <v>45457</v>
      </c>
      <c r="F11" s="50">
        <v>1</v>
      </c>
      <c r="G11" s="104" t="s">
        <v>3647</v>
      </c>
      <c r="H11" s="50" t="s">
        <v>3732</v>
      </c>
      <c r="I11" s="50">
        <v>31</v>
      </c>
      <c r="J11" s="50">
        <v>2.0734299999999999E+22</v>
      </c>
      <c r="K11" s="50" t="s">
        <v>3778</v>
      </c>
      <c r="L11" s="50">
        <v>20</v>
      </c>
      <c r="M11" s="50">
        <v>100</v>
      </c>
      <c r="N11" s="50">
        <v>31</v>
      </c>
      <c r="O11" s="104">
        <v>2.0734001E+22</v>
      </c>
      <c r="P11" s="104">
        <v>30288</v>
      </c>
      <c r="Q11" s="104" t="s">
        <v>3655</v>
      </c>
      <c r="R11" s="50">
        <v>124</v>
      </c>
      <c r="S11" s="104" t="s">
        <v>3779</v>
      </c>
      <c r="T11" s="104" t="s">
        <v>3732</v>
      </c>
      <c r="U11" s="50" t="s">
        <v>3780</v>
      </c>
      <c r="V11" s="50" t="s">
        <v>2182</v>
      </c>
      <c r="W11" s="50" t="s">
        <v>2186</v>
      </c>
      <c r="X11" s="50" t="s">
        <v>2189</v>
      </c>
      <c r="Y11" s="50" t="s">
        <v>2193</v>
      </c>
      <c r="Z11" s="50" t="s">
        <v>2196</v>
      </c>
      <c r="AA11" s="50" t="s">
        <v>2200</v>
      </c>
      <c r="AB11" s="50" t="s">
        <v>2204</v>
      </c>
      <c r="AC11" s="104" t="s">
        <v>2207</v>
      </c>
      <c r="AD11" s="50" t="s">
        <v>2211</v>
      </c>
      <c r="AE11" s="50" t="s">
        <v>2214</v>
      </c>
      <c r="AF11" s="50">
        <v>0</v>
      </c>
      <c r="AG11" s="50" t="s">
        <v>305</v>
      </c>
      <c r="AH11" s="104" t="s">
        <v>3775</v>
      </c>
      <c r="AI11" s="104">
        <v>45457</v>
      </c>
      <c r="AJ11" s="50" t="s">
        <v>3781</v>
      </c>
    </row>
    <row r="12" spans="2:36">
      <c r="B12" s="50" t="s">
        <v>3612</v>
      </c>
      <c r="C12" s="50">
        <v>10</v>
      </c>
      <c r="D12" s="50" t="s">
        <v>3782</v>
      </c>
      <c r="E12" s="104">
        <v>45457</v>
      </c>
      <c r="F12" s="50">
        <v>1</v>
      </c>
      <c r="G12" s="104" t="s">
        <v>3647</v>
      </c>
      <c r="H12" s="50" t="s">
        <v>3732</v>
      </c>
      <c r="I12" s="50">
        <v>31</v>
      </c>
      <c r="J12" s="50">
        <v>2.3370179682002001E+29</v>
      </c>
      <c r="K12" s="50" t="s">
        <v>3773</v>
      </c>
      <c r="L12" s="50">
        <v>224</v>
      </c>
      <c r="M12" s="50" t="s">
        <v>3783</v>
      </c>
      <c r="N12" s="50">
        <v>31</v>
      </c>
      <c r="O12" s="197">
        <v>2.3950569509102E+29</v>
      </c>
      <c r="P12" s="197">
        <v>45457</v>
      </c>
      <c r="Q12" s="197" t="s">
        <v>3655</v>
      </c>
      <c r="R12" s="50">
        <v>978</v>
      </c>
      <c r="S12" s="197">
        <v>100424890300000</v>
      </c>
      <c r="T12" s="197">
        <v>3415494900000</v>
      </c>
      <c r="U12" s="107">
        <v>100424890300000</v>
      </c>
      <c r="V12" s="107" t="s">
        <v>2182</v>
      </c>
      <c r="W12" s="107" t="s">
        <v>2186</v>
      </c>
      <c r="X12" s="107" t="s">
        <v>2189</v>
      </c>
      <c r="Y12" s="107" t="s">
        <v>2193</v>
      </c>
      <c r="Z12" s="50" t="s">
        <v>2196</v>
      </c>
      <c r="AA12" s="50" t="s">
        <v>2200</v>
      </c>
      <c r="AB12" s="50" t="s">
        <v>2204</v>
      </c>
      <c r="AC12" s="197" t="s">
        <v>2207</v>
      </c>
      <c r="AD12" s="50" t="s">
        <v>2211</v>
      </c>
      <c r="AE12" s="50" t="s">
        <v>2214</v>
      </c>
      <c r="AF12" s="50" t="s">
        <v>3784</v>
      </c>
      <c r="AG12" s="50" t="s">
        <v>3770</v>
      </c>
      <c r="AH12" s="197" t="s">
        <v>3775</v>
      </c>
      <c r="AI12" s="104">
        <v>45457</v>
      </c>
      <c r="AJ12" s="50" t="s">
        <v>3776</v>
      </c>
    </row>
    <row r="13" spans="2:36">
      <c r="B13" s="50" t="s">
        <v>3614</v>
      </c>
      <c r="C13" s="50">
        <v>11</v>
      </c>
      <c r="D13" s="50" t="s">
        <v>3785</v>
      </c>
      <c r="E13" s="104">
        <v>45457</v>
      </c>
      <c r="F13" s="50">
        <v>1</v>
      </c>
      <c r="G13" s="104" t="s">
        <v>3647</v>
      </c>
      <c r="H13" s="50" t="s">
        <v>3732</v>
      </c>
      <c r="I13" s="50">
        <v>31</v>
      </c>
      <c r="J13" s="50">
        <v>2.3370179682002001E+29</v>
      </c>
      <c r="K13" s="50" t="s">
        <v>3778</v>
      </c>
      <c r="L13" s="50">
        <v>224</v>
      </c>
      <c r="M13" s="50" t="s">
        <v>3783</v>
      </c>
      <c r="N13" s="50">
        <v>31</v>
      </c>
      <c r="O13" s="104">
        <v>2.3950569509102E+29</v>
      </c>
      <c r="P13" s="197">
        <v>45457</v>
      </c>
      <c r="Q13" s="197" t="s">
        <v>3655</v>
      </c>
      <c r="R13" s="50">
        <v>978</v>
      </c>
      <c r="S13" s="104" t="s">
        <v>3786</v>
      </c>
      <c r="T13" s="104" t="s">
        <v>3787</v>
      </c>
      <c r="U13" s="50" t="s">
        <v>3786</v>
      </c>
      <c r="V13" s="50" t="s">
        <v>2182</v>
      </c>
      <c r="W13" s="50" t="s">
        <v>2186</v>
      </c>
      <c r="X13" s="50" t="s">
        <v>2189</v>
      </c>
      <c r="Y13" s="50" t="s">
        <v>2193</v>
      </c>
      <c r="Z13" s="50" t="s">
        <v>2196</v>
      </c>
      <c r="AA13" s="50" t="s">
        <v>2200</v>
      </c>
      <c r="AB13" s="50" t="s">
        <v>2204</v>
      </c>
      <c r="AC13" s="104" t="s">
        <v>2207</v>
      </c>
      <c r="AD13" s="50" t="s">
        <v>2211</v>
      </c>
      <c r="AE13" s="50" t="s">
        <v>2214</v>
      </c>
      <c r="AF13" s="50">
        <v>5</v>
      </c>
      <c r="AG13" s="50" t="s">
        <v>305</v>
      </c>
      <c r="AH13" s="104" t="s">
        <v>3775</v>
      </c>
      <c r="AI13" s="104">
        <v>45457</v>
      </c>
      <c r="AJ13" s="50" t="s">
        <v>3788</v>
      </c>
    </row>
    <row r="14" spans="2:36">
      <c r="B14" s="50" t="s">
        <v>3616</v>
      </c>
      <c r="C14" s="50">
        <v>12</v>
      </c>
      <c r="D14" s="50" t="s">
        <v>3789</v>
      </c>
      <c r="E14" s="104">
        <v>45457</v>
      </c>
      <c r="F14" s="50">
        <v>1</v>
      </c>
      <c r="G14" s="50">
        <v>0.93</v>
      </c>
      <c r="H14" s="50" t="s">
        <v>3732</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3618</v>
      </c>
      <c r="C15" s="50">
        <v>13</v>
      </c>
      <c r="D15" s="50" t="s">
        <v>3790</v>
      </c>
      <c r="E15" s="104">
        <v>45457</v>
      </c>
      <c r="F15" s="50">
        <v>1</v>
      </c>
      <c r="G15" s="50">
        <v>1</v>
      </c>
      <c r="H15" s="50" t="s">
        <v>3732</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row>
    <row r="16" spans="2:36">
      <c r="B16" s="50" t="s">
        <v>3620</v>
      </c>
      <c r="C16" s="50">
        <v>14</v>
      </c>
      <c r="D16" s="50" t="s">
        <v>3791</v>
      </c>
      <c r="E16" s="104">
        <v>45457</v>
      </c>
      <c r="F16" s="50">
        <v>1</v>
      </c>
      <c r="G16" s="50">
        <v>1</v>
      </c>
      <c r="H16" s="50" t="s">
        <v>3732</v>
      </c>
      <c r="I16" s="50" t="s">
        <v>3647</v>
      </c>
      <c r="J16" s="50" t="s">
        <v>3647</v>
      </c>
      <c r="K16" s="50" t="s">
        <v>3647</v>
      </c>
      <c r="L16" s="50" t="s">
        <v>3647</v>
      </c>
      <c r="M16" s="50" t="s">
        <v>3647</v>
      </c>
      <c r="N16" s="50" t="s">
        <v>3647</v>
      </c>
      <c r="O16" s="50" t="s">
        <v>3647</v>
      </c>
      <c r="P16" s="50" t="s">
        <v>3647</v>
      </c>
      <c r="Q16" s="50" t="s">
        <v>3647</v>
      </c>
      <c r="R16" s="50">
        <v>0</v>
      </c>
      <c r="S16" s="106" t="s">
        <v>3647</v>
      </c>
      <c r="T16" s="50" t="s">
        <v>3647</v>
      </c>
      <c r="U16" s="50" t="s">
        <v>3647</v>
      </c>
      <c r="V16" s="50">
        <v>0</v>
      </c>
      <c r="W16" s="50" t="s">
        <v>3647</v>
      </c>
      <c r="X16" s="50" t="s">
        <v>3647</v>
      </c>
      <c r="Y16" s="50" t="s">
        <v>3647</v>
      </c>
      <c r="Z16" s="50" t="s">
        <v>3647</v>
      </c>
      <c r="AA16" s="50">
        <v>0</v>
      </c>
      <c r="AB16" s="50" t="s">
        <v>3647</v>
      </c>
      <c r="AC16" s="50" t="s">
        <v>3647</v>
      </c>
      <c r="AD16" s="50" t="s">
        <v>3647</v>
      </c>
      <c r="AE16" s="50" t="s">
        <v>3647</v>
      </c>
      <c r="AF16" s="50">
        <v>0</v>
      </c>
      <c r="AG16" s="50">
        <v>0</v>
      </c>
      <c r="AH16" s="50">
        <v>0</v>
      </c>
      <c r="AI16" s="50" t="s">
        <v>3647</v>
      </c>
      <c r="AJ16" s="50" t="s">
        <v>3647</v>
      </c>
    </row>
    <row r="17" spans="2:36">
      <c r="B17" s="50" t="s">
        <v>3622</v>
      </c>
      <c r="C17" s="50">
        <v>15</v>
      </c>
      <c r="D17" s="50" t="s">
        <v>3792</v>
      </c>
      <c r="E17" s="104">
        <v>45457</v>
      </c>
      <c r="F17" s="50">
        <v>1</v>
      </c>
      <c r="G17" s="50">
        <v>1</v>
      </c>
      <c r="H17" s="191"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row>
    <row r="18" spans="2:36">
      <c r="B18" s="50" t="s">
        <v>3624</v>
      </c>
      <c r="C18" s="50">
        <v>16</v>
      </c>
      <c r="D18" s="50" t="s">
        <v>3792</v>
      </c>
      <c r="E18" s="104">
        <v>45457</v>
      </c>
      <c r="F18" s="50">
        <v>1</v>
      </c>
      <c r="G18" s="50">
        <v>1</v>
      </c>
      <c r="H18" s="191"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row>
    <row r="19" spans="2:36">
      <c r="B19" s="50" t="s">
        <v>3626</v>
      </c>
      <c r="C19" s="50">
        <v>17</v>
      </c>
      <c r="D19" s="50" t="s">
        <v>3793</v>
      </c>
      <c r="E19" s="104">
        <v>45457</v>
      </c>
      <c r="F19" s="50">
        <v>1</v>
      </c>
      <c r="G19" s="50" t="s">
        <v>3794</v>
      </c>
      <c r="H19" s="50">
        <v>229642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row>
    <row r="20" spans="2:36">
      <c r="B20" s="50" t="s">
        <v>3628</v>
      </c>
      <c r="C20" s="50">
        <v>18</v>
      </c>
      <c r="D20" s="50" t="s">
        <v>3793</v>
      </c>
      <c r="E20" s="104">
        <v>45457</v>
      </c>
      <c r="F20" s="50">
        <v>1</v>
      </c>
      <c r="G20" s="50" t="s">
        <v>3795</v>
      </c>
      <c r="H20" s="50">
        <v>1188</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row>
    <row r="21" spans="2:36">
      <c r="B21" s="50" t="s">
        <v>3630</v>
      </c>
      <c r="C21" s="50">
        <v>19</v>
      </c>
      <c r="D21" s="50" t="s">
        <v>3796</v>
      </c>
      <c r="E21" s="104">
        <v>45457</v>
      </c>
      <c r="F21" s="50">
        <v>1</v>
      </c>
      <c r="G21" s="50" cm="1">
        <f t="array" aca="1" ref="G21" ca="1">SUMPRODUCT(--(ISNUMBER((SEARCH(I28:AJ28,I21:AJ21)))))/COUNTA(I21:AJ21)</f>
        <v>0.7857142857142857</v>
      </c>
      <c r="H21" s="50" t="s">
        <v>3732</v>
      </c>
      <c r="I21" s="50" t="s">
        <v>3681</v>
      </c>
      <c r="J21" s="50" t="s">
        <v>3681</v>
      </c>
      <c r="K21" s="50" t="s">
        <v>3681</v>
      </c>
      <c r="L21" s="50" t="s">
        <v>3681</v>
      </c>
      <c r="M21" s="50" t="s">
        <v>3681</v>
      </c>
      <c r="N21" s="50" t="s">
        <v>3681</v>
      </c>
      <c r="O21" s="50" t="s">
        <v>3681</v>
      </c>
      <c r="P21" s="50" t="s">
        <v>3681</v>
      </c>
      <c r="Q21" s="50" t="s">
        <v>3681</v>
      </c>
      <c r="R21" s="50" t="s">
        <v>3681</v>
      </c>
      <c r="S21" s="50" t="s">
        <v>3682</v>
      </c>
      <c r="T21" s="50" t="s">
        <v>3682</v>
      </c>
      <c r="U21" s="50" t="s">
        <v>3682</v>
      </c>
      <c r="V21" s="50" t="s">
        <v>3681</v>
      </c>
      <c r="W21" s="50" t="s">
        <v>3681</v>
      </c>
      <c r="X21" s="50" t="s">
        <v>3681</v>
      </c>
      <c r="Y21" s="50" t="s">
        <v>3681</v>
      </c>
      <c r="Z21" s="50" t="s">
        <v>3681</v>
      </c>
      <c r="AA21" s="50" t="s">
        <v>3681</v>
      </c>
      <c r="AB21" s="50" t="s">
        <v>3681</v>
      </c>
      <c r="AC21" s="50" t="s">
        <v>3681</v>
      </c>
      <c r="AD21" s="50" t="s">
        <v>3681</v>
      </c>
      <c r="AE21" s="50" t="s">
        <v>3681</v>
      </c>
      <c r="AF21" s="50" t="s">
        <v>3681</v>
      </c>
      <c r="AG21" s="50" t="s">
        <v>3681</v>
      </c>
      <c r="AH21" s="50" t="s">
        <v>3681</v>
      </c>
      <c r="AI21" s="50" t="s">
        <v>3681</v>
      </c>
      <c r="AJ21" s="50" t="s">
        <v>3683</v>
      </c>
    </row>
    <row r="22" spans="2:36">
      <c r="B22" s="106" t="s">
        <v>3633</v>
      </c>
      <c r="C22" s="50">
        <v>20</v>
      </c>
      <c r="D22" s="50" t="s">
        <v>3793</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3636</v>
      </c>
      <c r="C23" s="50">
        <v>21</v>
      </c>
      <c r="D23" s="50" t="s">
        <v>3796</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36" t="s">
        <v>3753</v>
      </c>
    </row>
    <row r="27" spans="2:36">
      <c r="B27" s="142" t="s">
        <v>3639</v>
      </c>
      <c r="C27" s="138" t="s">
        <v>3640</v>
      </c>
      <c r="D27" s="138" t="s">
        <v>3641</v>
      </c>
      <c r="E27" s="138" t="s">
        <v>3642</v>
      </c>
      <c r="F27" s="138" t="s">
        <v>3643</v>
      </c>
      <c r="G27" s="138" t="s">
        <v>3644</v>
      </c>
      <c r="H27" s="138" t="s">
        <v>3645</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c r="B28" s="116" t="s">
        <v>3684</v>
      </c>
      <c r="C28" s="119">
        <v>21</v>
      </c>
      <c r="D28" s="113" t="s">
        <v>3685</v>
      </c>
      <c r="E28" s="112" t="s">
        <v>3686</v>
      </c>
      <c r="F28" s="112" t="s">
        <v>372</v>
      </c>
      <c r="G28" s="112" t="s">
        <v>372</v>
      </c>
      <c r="H28" s="112" t="s">
        <v>372</v>
      </c>
      <c r="I28" s="112"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STRING</v>
      </c>
      <c r="W28" s="112" t="str">
        <f ca="1"/>
        <v>STRING</v>
      </c>
      <c r="X28" s="112" t="str">
        <f ca="1"/>
        <v>DECIMAL</v>
      </c>
      <c r="Y28" s="112" t="str">
        <f ca="1"/>
        <v>DECIMAL</v>
      </c>
      <c r="Z28" s="112" t="str">
        <f ca="1"/>
        <v>DECIMAL</v>
      </c>
      <c r="AA28" s="112" t="str">
        <f ca="1"/>
        <v>STRING</v>
      </c>
      <c r="AB28" s="112" t="str">
        <f ca="1"/>
        <v>STRING</v>
      </c>
      <c r="AC28" s="112" t="str">
        <f ca="1"/>
        <v>DECIMAL</v>
      </c>
      <c r="AD28" s="118" t="str">
        <f ca="1"/>
        <v>DECIMAL</v>
      </c>
      <c r="AE28" s="118" t="str">
        <f ca="1"/>
        <v>DECIMAL</v>
      </c>
      <c r="AF28" s="118" t="str">
        <f ca="1"/>
        <v>STRING</v>
      </c>
      <c r="AG28" s="118" t="str">
        <f ca="1"/>
        <v>STRING</v>
      </c>
      <c r="AH28" s="118" t="str">
        <f ca="1"/>
        <v>STRING</v>
      </c>
      <c r="AI28" s="112" t="str">
        <f ca="1"/>
        <v>STRING</v>
      </c>
      <c r="AJ28" s="117" t="str">
        <f ca="1"/>
        <v>TIMESTAMP</v>
      </c>
    </row>
    <row r="29" spans="2:36">
      <c r="B29" s="116" t="s">
        <v>3687</v>
      </c>
      <c r="C29" s="119">
        <v>7</v>
      </c>
      <c r="D29" s="113" t="s">
        <v>3685</v>
      </c>
      <c r="E29" s="112" t="s">
        <v>3686</v>
      </c>
      <c r="F29" s="114" t="s">
        <v>372</v>
      </c>
      <c r="G29" s="114" t="s">
        <v>372</v>
      </c>
      <c r="H29" s="114" t="s">
        <v>372</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4</v>
      </c>
      <c r="W29" s="160">
        <f ca="1"/>
        <v>3</v>
      </c>
      <c r="X29" s="160">
        <f ca="1"/>
        <v>23</v>
      </c>
      <c r="Y29" s="160">
        <f ca="1"/>
        <v>23</v>
      </c>
      <c r="Z29" s="160">
        <f ca="1"/>
        <v>23</v>
      </c>
      <c r="AA29" s="160">
        <f ca="1"/>
        <v>4</v>
      </c>
      <c r="AB29" s="160">
        <f ca="1"/>
        <v>3</v>
      </c>
      <c r="AC29" s="160">
        <f ca="1"/>
        <v>23</v>
      </c>
      <c r="AD29" s="161">
        <f ca="1"/>
        <v>23</v>
      </c>
      <c r="AE29" s="161">
        <f ca="1"/>
        <v>23</v>
      </c>
      <c r="AF29" s="161">
        <f ca="1"/>
        <v>4</v>
      </c>
      <c r="AG29" s="161">
        <f ca="1"/>
        <v>4</v>
      </c>
      <c r="AH29" s="161">
        <f ca="1"/>
        <v>2</v>
      </c>
      <c r="AI29" s="160">
        <f ca="1"/>
        <v>10</v>
      </c>
      <c r="AJ29" s="117">
        <f ca="1"/>
        <v>23</v>
      </c>
    </row>
    <row r="31" spans="2:36">
      <c r="B31" s="149" t="s">
        <v>3688</v>
      </c>
    </row>
    <row r="32" spans="2:36">
      <c r="B32" s="143" t="s">
        <v>3689</v>
      </c>
      <c r="C32" s="143" t="s">
        <v>3690</v>
      </c>
      <c r="D32" s="144" t="s">
        <v>3691</v>
      </c>
      <c r="E32" s="143" t="s">
        <v>3692</v>
      </c>
      <c r="F32" s="143" t="s">
        <v>3693</v>
      </c>
    </row>
    <row r="33" spans="2:16" ht="29.1">
      <c r="B33" s="127" t="s">
        <v>3797</v>
      </c>
      <c r="C33" s="130" t="s">
        <v>2182</v>
      </c>
      <c r="D33" s="53" t="s">
        <v>3798</v>
      </c>
      <c r="E33" s="162" t="s">
        <v>3799</v>
      </c>
      <c r="F33" s="145" t="s">
        <v>3700</v>
      </c>
    </row>
    <row r="34" spans="2:16" ht="29.1">
      <c r="B34" s="127" t="s">
        <v>3797</v>
      </c>
      <c r="C34" s="130" t="s">
        <v>2186</v>
      </c>
      <c r="D34" s="53" t="s">
        <v>3798</v>
      </c>
      <c r="E34" s="162" t="s">
        <v>3799</v>
      </c>
      <c r="F34" s="145" t="s">
        <v>3700</v>
      </c>
    </row>
    <row r="35" spans="2:16" ht="29.1">
      <c r="B35" s="127" t="s">
        <v>3797</v>
      </c>
      <c r="C35" s="130" t="s">
        <v>2189</v>
      </c>
      <c r="D35" s="53" t="s">
        <v>3798</v>
      </c>
      <c r="E35" s="162" t="s">
        <v>3799</v>
      </c>
      <c r="F35" s="145" t="s">
        <v>3700</v>
      </c>
    </row>
    <row r="36" spans="2:16" ht="29.1">
      <c r="B36" s="127" t="s">
        <v>3797</v>
      </c>
      <c r="C36" s="130" t="s">
        <v>2196</v>
      </c>
      <c r="D36" s="53" t="s">
        <v>3798</v>
      </c>
      <c r="E36" s="162" t="s">
        <v>3799</v>
      </c>
      <c r="F36" s="145" t="s">
        <v>3700</v>
      </c>
    </row>
    <row r="37" spans="2:16" ht="29.1">
      <c r="B37" s="127" t="s">
        <v>3797</v>
      </c>
      <c r="C37" s="130" t="s">
        <v>2200</v>
      </c>
      <c r="D37" s="53" t="s">
        <v>3798</v>
      </c>
      <c r="E37" s="162" t="s">
        <v>3799</v>
      </c>
      <c r="F37" s="145" t="s">
        <v>3700</v>
      </c>
    </row>
    <row r="38" spans="2:16" ht="29.1">
      <c r="B38" s="127" t="s">
        <v>3797</v>
      </c>
      <c r="C38" s="130" t="s">
        <v>2204</v>
      </c>
      <c r="D38" s="53" t="s">
        <v>3798</v>
      </c>
      <c r="E38" s="162" t="s">
        <v>3799</v>
      </c>
      <c r="F38" s="145" t="s">
        <v>3700</v>
      </c>
    </row>
    <row r="39" spans="2:16" ht="29.1">
      <c r="B39" s="127" t="s">
        <v>3797</v>
      </c>
      <c r="C39" s="130" t="s">
        <v>2207</v>
      </c>
      <c r="D39" s="53" t="s">
        <v>3798</v>
      </c>
      <c r="E39" s="162" t="s">
        <v>3799</v>
      </c>
      <c r="F39" s="145" t="s">
        <v>3700</v>
      </c>
    </row>
    <row r="40" spans="2:16" ht="29.1">
      <c r="B40" s="127" t="s">
        <v>3797</v>
      </c>
      <c r="C40" s="130" t="s">
        <v>2214</v>
      </c>
      <c r="D40" s="53" t="s">
        <v>3798</v>
      </c>
      <c r="E40" s="162" t="s">
        <v>3799</v>
      </c>
      <c r="F40" s="145" t="s">
        <v>3700</v>
      </c>
    </row>
    <row r="41" spans="2:16" ht="29.1">
      <c r="B41" s="127" t="s">
        <v>3797</v>
      </c>
      <c r="C41" s="124" t="s">
        <v>305</v>
      </c>
      <c r="D41" s="53" t="s">
        <v>3800</v>
      </c>
      <c r="E41" s="162" t="s">
        <v>3799</v>
      </c>
      <c r="F41" s="145" t="s">
        <v>3700</v>
      </c>
      <c r="I41" s="167"/>
      <c r="J41" s="167"/>
      <c r="K41" s="167"/>
      <c r="L41" s="167"/>
      <c r="M41" s="167"/>
      <c r="N41" s="167"/>
      <c r="O41" s="167"/>
      <c r="P41" s="167"/>
    </row>
    <row r="42" spans="2:16" ht="29.1">
      <c r="B42" s="182" t="s">
        <v>3754</v>
      </c>
      <c r="C42" s="183" t="s">
        <v>188</v>
      </c>
      <c r="D42" s="184" t="s">
        <v>3801</v>
      </c>
      <c r="E42" s="185" t="s">
        <v>3802</v>
      </c>
      <c r="F42" s="186" t="s">
        <v>3703</v>
      </c>
      <c r="L42" s="167"/>
    </row>
    <row r="43" spans="2:16" ht="29.1">
      <c r="B43" s="120" t="s">
        <v>3704</v>
      </c>
      <c r="C43" s="124" t="s">
        <v>3705</v>
      </c>
      <c r="D43" s="53" t="s">
        <v>3803</v>
      </c>
      <c r="E43" s="164" t="s">
        <v>3804</v>
      </c>
      <c r="F43" s="145" t="s">
        <v>3700</v>
      </c>
      <c r="L43" s="167"/>
    </row>
    <row r="44" spans="2:16" ht="29.1">
      <c r="B44" s="120" t="s">
        <v>3762</v>
      </c>
      <c r="C44" s="130" t="s">
        <v>3705</v>
      </c>
      <c r="D44" s="53" t="s">
        <v>3805</v>
      </c>
      <c r="E44" s="164" t="s">
        <v>3806</v>
      </c>
      <c r="F44" s="145" t="s">
        <v>3703</v>
      </c>
      <c r="I44" s="167"/>
      <c r="J44" s="167"/>
      <c r="K44" s="167"/>
      <c r="L44" s="167"/>
    </row>
    <row r="45" spans="2:16" ht="29.1">
      <c r="B45" s="120" t="s">
        <v>3807</v>
      </c>
      <c r="C45" s="126" t="s">
        <v>2189</v>
      </c>
      <c r="D45" s="53" t="s">
        <v>3808</v>
      </c>
      <c r="E45" s="162" t="s">
        <v>3799</v>
      </c>
      <c r="F45" s="145" t="s">
        <v>3700</v>
      </c>
      <c r="I45" s="167"/>
      <c r="J45" s="167"/>
      <c r="K45" s="167"/>
      <c r="L45" s="167"/>
    </row>
    <row r="46" spans="2:16" ht="29.1">
      <c r="B46" s="120" t="s">
        <v>3807</v>
      </c>
      <c r="C46" s="130" t="s">
        <v>2193</v>
      </c>
      <c r="D46" s="53" t="s">
        <v>3808</v>
      </c>
      <c r="E46" s="162" t="s">
        <v>3799</v>
      </c>
      <c r="F46" s="145" t="s">
        <v>3700</v>
      </c>
      <c r="I46" s="167"/>
      <c r="J46" s="167"/>
      <c r="K46" s="167"/>
      <c r="L46" s="167"/>
    </row>
    <row r="47" spans="2:16" ht="29.1">
      <c r="B47" s="120" t="s">
        <v>3807</v>
      </c>
      <c r="C47" s="126" t="s">
        <v>2196</v>
      </c>
      <c r="D47" s="53" t="s">
        <v>3808</v>
      </c>
      <c r="E47" s="162" t="s">
        <v>3799</v>
      </c>
      <c r="F47" s="145" t="s">
        <v>3700</v>
      </c>
      <c r="I47" s="167"/>
      <c r="J47" s="167"/>
      <c r="K47" s="167"/>
      <c r="L47" s="167"/>
    </row>
    <row r="48" spans="2:16" ht="29.1">
      <c r="B48" s="120" t="s">
        <v>3807</v>
      </c>
      <c r="C48" s="126" t="s">
        <v>2207</v>
      </c>
      <c r="D48" s="53" t="s">
        <v>3808</v>
      </c>
      <c r="E48" s="162" t="s">
        <v>3799</v>
      </c>
      <c r="F48" s="145" t="s">
        <v>3700</v>
      </c>
      <c r="I48" s="167"/>
      <c r="J48" s="167"/>
      <c r="K48" s="167"/>
      <c r="L48" s="167"/>
    </row>
    <row r="49" spans="2:6" ht="29.1">
      <c r="B49" s="120" t="s">
        <v>3807</v>
      </c>
      <c r="C49" s="130" t="s">
        <v>2211</v>
      </c>
      <c r="D49" s="53" t="s">
        <v>3808</v>
      </c>
      <c r="E49" s="162" t="s">
        <v>3799</v>
      </c>
      <c r="F49" s="145" t="s">
        <v>3700</v>
      </c>
    </row>
    <row r="50" spans="2:6" ht="29.1">
      <c r="B50" s="120" t="s">
        <v>3807</v>
      </c>
      <c r="C50" s="181" t="s">
        <v>2214</v>
      </c>
      <c r="D50" s="53" t="s">
        <v>3808</v>
      </c>
      <c r="E50" s="162" t="s">
        <v>3799</v>
      </c>
      <c r="F50" s="145" t="s">
        <v>3700</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1613</v>
      </c>
      <c r="S2" s="85" t="s">
        <v>1619</v>
      </c>
      <c r="T2" s="85" t="s">
        <v>1626</v>
      </c>
      <c r="U2" s="85" t="s">
        <v>3809</v>
      </c>
      <c r="V2" s="85" t="s">
        <v>3810</v>
      </c>
      <c r="W2" s="85" t="s">
        <v>1652</v>
      </c>
      <c r="X2" s="85" t="s">
        <v>1661</v>
      </c>
      <c r="Y2" s="85" t="s">
        <v>1667</v>
      </c>
      <c r="Z2" s="85" t="s">
        <v>1678</v>
      </c>
      <c r="AA2" s="85" t="s">
        <v>1684</v>
      </c>
      <c r="AB2" s="85" t="s">
        <v>1689</v>
      </c>
      <c r="AC2" s="85" t="s">
        <v>1693</v>
      </c>
      <c r="AD2" s="85" t="s">
        <v>1697</v>
      </c>
      <c r="AE2" s="85" t="s">
        <v>1701</v>
      </c>
      <c r="AF2" s="85" t="s">
        <v>1705</v>
      </c>
      <c r="AG2" s="85" t="s">
        <v>1710</v>
      </c>
      <c r="AH2" s="85" t="s">
        <v>1714</v>
      </c>
      <c r="AI2" s="85" t="s">
        <v>1717</v>
      </c>
      <c r="AJ2" s="85" t="s">
        <v>294</v>
      </c>
      <c r="AK2" s="85" t="s">
        <v>305</v>
      </c>
      <c r="AL2" s="85" t="s">
        <v>318</v>
      </c>
      <c r="AM2" s="85" t="s">
        <v>327</v>
      </c>
      <c r="AN2" s="85" t="s">
        <v>334</v>
      </c>
    </row>
    <row r="3" spans="2:40">
      <c r="B3" s="50" t="s">
        <v>3593</v>
      </c>
      <c r="C3" s="50">
        <v>1</v>
      </c>
      <c r="D3" s="104" t="s">
        <v>3811</v>
      </c>
      <c r="E3" s="104">
        <v>45448</v>
      </c>
      <c r="F3" s="50">
        <v>2</v>
      </c>
      <c r="G3" s="107">
        <v>1</v>
      </c>
      <c r="H3" s="191" t="s">
        <v>3812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c r="B4" s="50" t="s">
        <v>3595</v>
      </c>
      <c r="C4" s="50">
        <v>2</v>
      </c>
      <c r="D4" s="104" t="s">
        <v>3813</v>
      </c>
      <c r="E4" s="104">
        <v>45448</v>
      </c>
      <c r="F4" s="50">
        <v>2</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c r="B5" s="50" t="s">
        <v>3597</v>
      </c>
      <c r="C5" s="50">
        <v>3</v>
      </c>
      <c r="D5" s="104" t="s">
        <v>3814</v>
      </c>
      <c r="E5" s="104">
        <v>45448</v>
      </c>
      <c r="F5" s="50">
        <v>2</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c r="B7" s="106"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c r="B8" s="106" t="s">
        <v>3602</v>
      </c>
      <c r="C8" s="50">
        <v>6</v>
      </c>
      <c r="D8" s="104" t="s">
        <v>3815</v>
      </c>
      <c r="E8" s="104">
        <v>45448</v>
      </c>
      <c r="F8" s="50">
        <v>2</v>
      </c>
      <c r="G8" s="50" cm="1">
        <f t="array" ref="G8">SUMPRODUCT(--(I8:AN8&gt;0))/COUNTA(I8:AN8)</f>
        <v>1</v>
      </c>
      <c r="H8" s="50" t="s">
        <v>3732</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3605</v>
      </c>
      <c r="C9" s="50">
        <v>7</v>
      </c>
      <c r="D9" s="104" t="s">
        <v>3816</v>
      </c>
      <c r="E9" s="104">
        <v>45448</v>
      </c>
      <c r="F9" s="50">
        <v>2</v>
      </c>
      <c r="G9" s="50" cm="1">
        <f t="array" aca="1" ref="G9" ca="1">SUMPRODUCT(--(I9:AN9 &lt;= I28:AN28))/COUNTA(I28:AN28)</f>
        <v>0.6875</v>
      </c>
      <c r="H9" s="50" t="s">
        <v>3732</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3608</v>
      </c>
      <c r="C10" s="50">
        <v>8</v>
      </c>
      <c r="D10" s="104" t="s">
        <v>3817</v>
      </c>
      <c r="E10" s="104">
        <v>45448</v>
      </c>
      <c r="F10" s="50">
        <v>2</v>
      </c>
      <c r="G10" s="104" t="s">
        <v>3647</v>
      </c>
      <c r="H10" s="50" t="s">
        <v>3732</v>
      </c>
      <c r="I10" s="50">
        <v>31</v>
      </c>
      <c r="J10" s="50">
        <v>8.9040009999999996E+21</v>
      </c>
      <c r="K10" s="50" t="s">
        <v>3818</v>
      </c>
      <c r="L10" s="50">
        <v>20</v>
      </c>
      <c r="M10" s="104">
        <v>0</v>
      </c>
      <c r="N10" s="104">
        <v>25601</v>
      </c>
      <c r="O10" s="104">
        <v>2958465</v>
      </c>
      <c r="P10" s="50">
        <v>0</v>
      </c>
      <c r="Q10" s="107">
        <v>0</v>
      </c>
      <c r="R10" s="202">
        <v>-1208895086580000</v>
      </c>
      <c r="S10" s="202" t="s">
        <v>3819</v>
      </c>
      <c r="T10" s="107">
        <v>-1.0000000001641E+17</v>
      </c>
      <c r="U10" s="107" t="s">
        <v>3656</v>
      </c>
      <c r="V10" s="107" t="s">
        <v>3656</v>
      </c>
      <c r="W10" s="107" t="s">
        <v>3656</v>
      </c>
      <c r="X10" s="107" t="s">
        <v>3656</v>
      </c>
      <c r="Y10" s="107" t="s">
        <v>3656</v>
      </c>
      <c r="Z10" s="107" t="s">
        <v>1678</v>
      </c>
      <c r="AA10" s="50" t="s">
        <v>1684</v>
      </c>
      <c r="AB10" s="50" t="s">
        <v>1689</v>
      </c>
      <c r="AC10" s="104" t="s">
        <v>1693</v>
      </c>
      <c r="AD10" s="50" t="s">
        <v>1697</v>
      </c>
      <c r="AE10" s="50" t="s">
        <v>1701</v>
      </c>
      <c r="AF10" s="50" t="s">
        <v>1705</v>
      </c>
      <c r="AG10" s="50" t="s">
        <v>1710</v>
      </c>
      <c r="AH10" s="104" t="s">
        <v>1714</v>
      </c>
      <c r="AI10" s="50" t="s">
        <v>1717</v>
      </c>
      <c r="AJ10" s="50" t="s">
        <v>3657</v>
      </c>
      <c r="AK10" s="50" t="s">
        <v>3658</v>
      </c>
      <c r="AL10" s="104" t="s">
        <v>3775</v>
      </c>
      <c r="AM10" s="104">
        <v>45448</v>
      </c>
      <c r="AN10" s="104" t="s">
        <v>3820</v>
      </c>
    </row>
    <row r="11" spans="2:40">
      <c r="B11" s="50" t="s">
        <v>3610</v>
      </c>
      <c r="C11" s="50">
        <v>9</v>
      </c>
      <c r="D11" s="104" t="s">
        <v>3821</v>
      </c>
      <c r="E11" s="104">
        <v>45448</v>
      </c>
      <c r="F11" s="50">
        <v>2</v>
      </c>
      <c r="G11" s="104" t="s">
        <v>3647</v>
      </c>
      <c r="H11" s="50" t="s">
        <v>3732</v>
      </c>
      <c r="I11" s="50">
        <v>31</v>
      </c>
      <c r="J11" s="50">
        <v>8.9040009999999996E+21</v>
      </c>
      <c r="K11" s="50" t="s">
        <v>3822</v>
      </c>
      <c r="L11" s="50">
        <v>20</v>
      </c>
      <c r="M11" s="104">
        <v>0</v>
      </c>
      <c r="N11" s="104">
        <v>25601</v>
      </c>
      <c r="O11" s="104">
        <v>2958465</v>
      </c>
      <c r="P11" s="50">
        <v>36</v>
      </c>
      <c r="Q11" s="50">
        <v>0</v>
      </c>
      <c r="R11" s="104" t="s">
        <v>3823</v>
      </c>
      <c r="S11" s="104" t="s">
        <v>3824</v>
      </c>
      <c r="T11" s="104" t="s">
        <v>3825</v>
      </c>
      <c r="U11" s="50" t="s">
        <v>3732</v>
      </c>
      <c r="V11" s="50" t="s">
        <v>3732</v>
      </c>
      <c r="W11" s="50" t="s">
        <v>3732</v>
      </c>
      <c r="X11" s="107" t="s">
        <v>3732</v>
      </c>
      <c r="Y11" s="107" t="s">
        <v>3732</v>
      </c>
      <c r="Z11" s="107" t="s">
        <v>1678</v>
      </c>
      <c r="AA11" s="50" t="s">
        <v>1684</v>
      </c>
      <c r="AB11" s="50" t="s">
        <v>1689</v>
      </c>
      <c r="AC11" s="104" t="s">
        <v>1693</v>
      </c>
      <c r="AD11" s="50" t="s">
        <v>1697</v>
      </c>
      <c r="AE11" s="50" t="s">
        <v>1701</v>
      </c>
      <c r="AF11" s="50" t="s">
        <v>1705</v>
      </c>
      <c r="AG11" s="50" t="s">
        <v>1710</v>
      </c>
      <c r="AH11" s="104" t="s">
        <v>1714</v>
      </c>
      <c r="AI11" s="50" t="s">
        <v>1717</v>
      </c>
      <c r="AJ11" s="50">
        <v>0</v>
      </c>
      <c r="AK11" s="50" t="s">
        <v>3826</v>
      </c>
      <c r="AL11" s="104" t="s">
        <v>3775</v>
      </c>
      <c r="AM11" s="104">
        <v>45448</v>
      </c>
      <c r="AN11" s="104" t="s">
        <v>3827</v>
      </c>
    </row>
    <row r="12" spans="2:40">
      <c r="B12" s="106" t="s">
        <v>3612</v>
      </c>
      <c r="C12" s="50">
        <v>10</v>
      </c>
      <c r="D12" s="104" t="s">
        <v>3828</v>
      </c>
      <c r="E12" s="104">
        <v>45448</v>
      </c>
      <c r="F12" s="50">
        <v>2</v>
      </c>
      <c r="G12" s="104" t="s">
        <v>3647</v>
      </c>
      <c r="H12" s="50" t="s">
        <v>3732</v>
      </c>
      <c r="I12" s="50">
        <v>31</v>
      </c>
      <c r="J12" s="50">
        <v>7.0060000328101998E+29</v>
      </c>
      <c r="K12" s="50" t="s">
        <v>3829</v>
      </c>
      <c r="L12" s="50">
        <v>931</v>
      </c>
      <c r="M12" s="104" t="s">
        <v>3830</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1678</v>
      </c>
      <c r="AA12" s="50" t="s">
        <v>1684</v>
      </c>
      <c r="AB12" s="50" t="s">
        <v>1689</v>
      </c>
      <c r="AC12" s="50" t="s">
        <v>1693</v>
      </c>
      <c r="AD12" s="50" t="s">
        <v>1697</v>
      </c>
      <c r="AE12" s="50" t="s">
        <v>1701</v>
      </c>
      <c r="AF12" s="50" t="s">
        <v>1705</v>
      </c>
      <c r="AG12" s="50" t="s">
        <v>1710</v>
      </c>
      <c r="AH12" s="50" t="s">
        <v>1714</v>
      </c>
      <c r="AI12" s="50" t="s">
        <v>1717</v>
      </c>
      <c r="AJ12" s="50" t="s">
        <v>3831</v>
      </c>
      <c r="AK12" s="50" t="s">
        <v>3832</v>
      </c>
      <c r="AL12" s="104" t="s">
        <v>3667</v>
      </c>
      <c r="AM12" s="104">
        <v>45448</v>
      </c>
      <c r="AN12" s="50" t="s">
        <v>3820</v>
      </c>
    </row>
    <row r="13" spans="2:40">
      <c r="B13" s="50" t="s">
        <v>3614</v>
      </c>
      <c r="C13" s="50">
        <v>11</v>
      </c>
      <c r="D13" s="104" t="s">
        <v>3833</v>
      </c>
      <c r="E13" s="104">
        <v>45448</v>
      </c>
      <c r="F13" s="50">
        <v>2</v>
      </c>
      <c r="G13" s="104" t="s">
        <v>3647</v>
      </c>
      <c r="H13" s="50" t="s">
        <v>3732</v>
      </c>
      <c r="I13" s="50">
        <v>31</v>
      </c>
      <c r="J13" s="50">
        <v>7.0060000328101998E+29</v>
      </c>
      <c r="K13" s="50" t="s">
        <v>3834</v>
      </c>
      <c r="L13" s="50">
        <v>931</v>
      </c>
      <c r="M13" s="104" t="s">
        <v>3830</v>
      </c>
      <c r="N13" s="104">
        <v>45448</v>
      </c>
      <c r="O13" s="104">
        <v>2958465</v>
      </c>
      <c r="P13" s="104">
        <v>985</v>
      </c>
      <c r="Q13" s="50">
        <v>1</v>
      </c>
      <c r="R13" s="50" t="s">
        <v>3835</v>
      </c>
      <c r="S13" s="104" t="s">
        <v>3836</v>
      </c>
      <c r="T13" s="104" t="s">
        <v>3837</v>
      </c>
      <c r="U13" s="50" t="s">
        <v>3838</v>
      </c>
      <c r="V13" s="50" t="s">
        <v>3838</v>
      </c>
      <c r="W13" s="50" t="s">
        <v>3839</v>
      </c>
      <c r="X13" s="50" t="s">
        <v>3840</v>
      </c>
      <c r="Y13" s="50" t="s">
        <v>3841</v>
      </c>
      <c r="Z13" s="50" t="s">
        <v>1678</v>
      </c>
      <c r="AA13" s="50" t="s">
        <v>1684</v>
      </c>
      <c r="AB13" s="50" t="s">
        <v>1689</v>
      </c>
      <c r="AC13" s="104" t="s">
        <v>1693</v>
      </c>
      <c r="AD13" s="50" t="s">
        <v>1697</v>
      </c>
      <c r="AE13" s="50" t="s">
        <v>1701</v>
      </c>
      <c r="AF13" s="50" t="s">
        <v>1705</v>
      </c>
      <c r="AG13" s="50" t="s">
        <v>1710</v>
      </c>
      <c r="AH13" s="104" t="s">
        <v>1714</v>
      </c>
      <c r="AI13" s="50" t="s">
        <v>1717</v>
      </c>
      <c r="AJ13" s="50">
        <v>8</v>
      </c>
      <c r="AK13" s="50" t="s">
        <v>3842</v>
      </c>
      <c r="AL13" s="104" t="s">
        <v>3775</v>
      </c>
      <c r="AM13" s="104">
        <v>45448</v>
      </c>
      <c r="AN13" s="104" t="s">
        <v>3843</v>
      </c>
    </row>
    <row r="14" spans="2:40">
      <c r="B14" s="50" t="s">
        <v>3616</v>
      </c>
      <c r="C14" s="50">
        <v>12</v>
      </c>
      <c r="D14" s="104" t="s">
        <v>3844</v>
      </c>
      <c r="E14" s="104">
        <v>45448</v>
      </c>
      <c r="F14" s="50">
        <v>2</v>
      </c>
      <c r="G14" s="107" t="s">
        <v>3845</v>
      </c>
      <c r="H14" s="50" t="s">
        <v>3732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3618</v>
      </c>
      <c r="C15" s="50">
        <v>13</v>
      </c>
      <c r="D15" s="104" t="s">
        <v>3846</v>
      </c>
      <c r="E15" s="104">
        <v>45448</v>
      </c>
      <c r="F15" s="50">
        <v>2</v>
      </c>
      <c r="G15" s="107">
        <v>1</v>
      </c>
      <c r="H15" s="107" t="s">
        <v>3732</v>
      </c>
      <c r="I15" s="50" t="s">
        <v>3647</v>
      </c>
      <c r="J15" s="50" t="s">
        <v>3647</v>
      </c>
      <c r="K15" s="50" t="s">
        <v>3647</v>
      </c>
      <c r="L15" s="50" t="s">
        <v>3647</v>
      </c>
      <c r="M15" s="50" t="s">
        <v>3647</v>
      </c>
      <c r="N15" s="106">
        <v>0</v>
      </c>
      <c r="O15" s="106">
        <v>0</v>
      </c>
      <c r="P15" s="106" t="s">
        <v>3647</v>
      </c>
      <c r="Q15" s="106" t="s">
        <v>3647</v>
      </c>
      <c r="R15" s="106"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c r="B16" s="50" t="s">
        <v>3620</v>
      </c>
      <c r="C16" s="50">
        <v>14</v>
      </c>
      <c r="D16" s="104" t="s">
        <v>3847</v>
      </c>
      <c r="E16" s="104">
        <v>45448</v>
      </c>
      <c r="F16" s="50">
        <v>2</v>
      </c>
      <c r="G16" s="107">
        <v>1</v>
      </c>
      <c r="H16" s="107" t="s">
        <v>3732</v>
      </c>
      <c r="I16" s="50">
        <v>0</v>
      </c>
      <c r="J16" s="50">
        <v>0</v>
      </c>
      <c r="K16" s="50">
        <v>0</v>
      </c>
      <c r="L16" s="50">
        <v>0</v>
      </c>
      <c r="M16" s="50">
        <v>0</v>
      </c>
      <c r="N16" s="106" t="s">
        <v>3647</v>
      </c>
      <c r="O16" s="106" t="s">
        <v>3647</v>
      </c>
      <c r="P16" s="50">
        <v>0</v>
      </c>
      <c r="Q16" s="50">
        <v>0</v>
      </c>
      <c r="R16" s="106" t="s">
        <v>3647</v>
      </c>
      <c r="S16" s="106"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v>0</v>
      </c>
      <c r="AK16" s="50">
        <v>0</v>
      </c>
      <c r="AL16" s="50">
        <v>0</v>
      </c>
      <c r="AM16" s="50" t="s">
        <v>3647</v>
      </c>
      <c r="AN16" s="50" t="s">
        <v>3647</v>
      </c>
    </row>
    <row r="17" spans="2:41">
      <c r="B17" s="50" t="s">
        <v>3622</v>
      </c>
      <c r="C17" s="50">
        <v>15</v>
      </c>
      <c r="D17" s="104" t="s">
        <v>3848</v>
      </c>
      <c r="E17" s="104">
        <v>45448</v>
      </c>
      <c r="F17" s="50">
        <v>2</v>
      </c>
      <c r="G17" s="107">
        <v>1</v>
      </c>
      <c r="H17" s="260" t="s">
        <v>3849</v>
      </c>
      <c r="I17" s="50" t="s">
        <v>3647</v>
      </c>
      <c r="J17" s="50" t="s">
        <v>3647</v>
      </c>
      <c r="K17" s="50" t="s">
        <v>3647</v>
      </c>
      <c r="L17" s="50" t="s">
        <v>3647</v>
      </c>
      <c r="M17" s="50" t="s">
        <v>3647</v>
      </c>
      <c r="N17" s="50" t="s">
        <v>3647</v>
      </c>
      <c r="O17" s="50" t="s">
        <v>3647</v>
      </c>
      <c r="P17" s="50" t="s">
        <v>3647</v>
      </c>
      <c r="Q17" s="106"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1">
      <c r="B18" s="50" t="s">
        <v>3624</v>
      </c>
      <c r="C18" s="50">
        <v>16</v>
      </c>
      <c r="D18" s="104" t="s">
        <v>3848</v>
      </c>
      <c r="E18" s="104">
        <v>45448</v>
      </c>
      <c r="F18" s="50">
        <v>2</v>
      </c>
      <c r="G18" s="107">
        <v>1</v>
      </c>
      <c r="H18" s="202"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1">
      <c r="B19" s="50" t="s">
        <v>3626</v>
      </c>
      <c r="C19" s="50">
        <v>17</v>
      </c>
      <c r="D19" s="104" t="s">
        <v>3850</v>
      </c>
      <c r="E19" s="104">
        <v>45448</v>
      </c>
      <c r="F19" s="50">
        <v>2</v>
      </c>
      <c r="G19" s="50" t="s">
        <v>3851</v>
      </c>
      <c r="H19" s="200" t="s">
        <v>3852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1">
      <c r="B20" s="50" t="s">
        <v>3628</v>
      </c>
      <c r="C20" s="50">
        <v>18</v>
      </c>
      <c r="D20" s="104" t="s">
        <v>3850</v>
      </c>
      <c r="E20" s="104">
        <v>45448</v>
      </c>
      <c r="F20" s="50">
        <v>2</v>
      </c>
      <c r="G20" s="50" t="s">
        <v>3853</v>
      </c>
      <c r="H20" s="200" t="s">
        <v>3854</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1">
      <c r="B21" s="50" t="s">
        <v>3630</v>
      </c>
      <c r="C21" s="50">
        <v>19</v>
      </c>
      <c r="D21" s="104" t="s">
        <v>3855</v>
      </c>
      <c r="E21" s="104">
        <v>45448</v>
      </c>
      <c r="F21" s="50">
        <v>2</v>
      </c>
      <c r="G21" s="205" cm="1">
        <f t="array" aca="1" ref="G21" ca="1">SUMPRODUCT(--(ISNUMBER((SEARCH(I27:AN27,I21:AN21)))))/COUNTA(I21:AN21)</f>
        <v>0.8125</v>
      </c>
      <c r="H21" s="50" t="s">
        <v>3732</v>
      </c>
      <c r="I21" s="50" t="s">
        <v>3681</v>
      </c>
      <c r="J21" s="50" t="s">
        <v>3681</v>
      </c>
      <c r="K21" s="50" t="s">
        <v>3681</v>
      </c>
      <c r="L21" s="50" t="s">
        <v>3681</v>
      </c>
      <c r="M21" s="50" t="s">
        <v>3681</v>
      </c>
      <c r="N21" s="50" t="s">
        <v>3681</v>
      </c>
      <c r="O21" s="50" t="s">
        <v>3681</v>
      </c>
      <c r="P21" s="50" t="s">
        <v>3681</v>
      </c>
      <c r="Q21" s="50" t="s">
        <v>3681</v>
      </c>
      <c r="R21" s="50" t="s">
        <v>3682</v>
      </c>
      <c r="S21" s="50" t="s">
        <v>3682</v>
      </c>
      <c r="T21" s="50" t="s">
        <v>3682</v>
      </c>
      <c r="U21" s="50" t="s">
        <v>3682</v>
      </c>
      <c r="V21" s="50" t="s">
        <v>3682</v>
      </c>
      <c r="W21" s="50" t="s">
        <v>3682</v>
      </c>
      <c r="X21" s="50" t="s">
        <v>3682</v>
      </c>
      <c r="Y21" s="50" t="s">
        <v>3682</v>
      </c>
      <c r="Z21" s="50" t="s">
        <v>3681</v>
      </c>
      <c r="AA21" s="50" t="s">
        <v>3681</v>
      </c>
      <c r="AB21" s="50" t="s">
        <v>3681</v>
      </c>
      <c r="AC21" s="50" t="s">
        <v>3681</v>
      </c>
      <c r="AD21" s="50" t="s">
        <v>3681</v>
      </c>
      <c r="AE21" s="50" t="s">
        <v>3681</v>
      </c>
      <c r="AF21" s="50" t="s">
        <v>3681</v>
      </c>
      <c r="AG21" s="50" t="s">
        <v>3681</v>
      </c>
      <c r="AH21" s="50" t="s">
        <v>3681</v>
      </c>
      <c r="AI21" s="50" t="s">
        <v>3681</v>
      </c>
      <c r="AJ21" s="50" t="s">
        <v>3681</v>
      </c>
      <c r="AK21" s="50" t="s">
        <v>3681</v>
      </c>
      <c r="AL21" s="50" t="s">
        <v>3681</v>
      </c>
      <c r="AM21" s="50" t="s">
        <v>3681</v>
      </c>
      <c r="AN21" s="50" t="s">
        <v>3683</v>
      </c>
    </row>
    <row r="22" spans="2:41">
      <c r="B22" s="50" t="s">
        <v>3633</v>
      </c>
      <c r="C22" s="50">
        <v>20</v>
      </c>
      <c r="D22" s="104" t="s">
        <v>3855</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3636</v>
      </c>
      <c r="C23" s="50">
        <v>21</v>
      </c>
      <c r="D23" s="104" t="s">
        <v>3855</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15"/>
    </row>
    <row r="25" spans="2:41">
      <c r="B25" s="136" t="s">
        <v>3753</v>
      </c>
      <c r="AO25" s="216"/>
    </row>
    <row r="26" spans="2:41">
      <c r="B26" s="142" t="s">
        <v>3639</v>
      </c>
      <c r="C26" s="138" t="s">
        <v>3640</v>
      </c>
      <c r="D26" s="138" t="s">
        <v>3641</v>
      </c>
      <c r="E26" s="138" t="s">
        <v>3642</v>
      </c>
      <c r="F26" s="138" t="s">
        <v>3643</v>
      </c>
      <c r="G26" s="138" t="s">
        <v>3644</v>
      </c>
      <c r="H26" s="138" t="s">
        <v>3645</v>
      </c>
      <c r="I26" s="214" t="s">
        <v>121</v>
      </c>
      <c r="J26" s="214" t="s">
        <v>137</v>
      </c>
      <c r="K26" s="214" t="s">
        <v>149</v>
      </c>
      <c r="L26" s="214" t="s">
        <v>156</v>
      </c>
      <c r="M26" s="214" t="s">
        <v>168</v>
      </c>
      <c r="N26" s="214" t="s">
        <v>199</v>
      </c>
      <c r="O26" s="214" t="s">
        <v>211</v>
      </c>
      <c r="P26" s="214" t="s">
        <v>223</v>
      </c>
      <c r="Q26" s="214" t="s">
        <v>239</v>
      </c>
      <c r="R26" s="214" t="s">
        <v>1613</v>
      </c>
      <c r="S26" s="214" t="s">
        <v>1619</v>
      </c>
      <c r="T26" s="214" t="s">
        <v>1626</v>
      </c>
      <c r="U26" s="214" t="s">
        <v>3809</v>
      </c>
      <c r="V26" s="214" t="s">
        <v>3810</v>
      </c>
      <c r="W26" s="214" t="s">
        <v>1652</v>
      </c>
      <c r="X26" s="214" t="s">
        <v>1661</v>
      </c>
      <c r="Y26" s="214" t="s">
        <v>1667</v>
      </c>
      <c r="Z26" s="214" t="s">
        <v>1678</v>
      </c>
      <c r="AA26" s="214" t="s">
        <v>1684</v>
      </c>
      <c r="AB26" s="214" t="s">
        <v>1689</v>
      </c>
      <c r="AC26" s="214" t="s">
        <v>1693</v>
      </c>
      <c r="AD26" s="214" t="s">
        <v>1697</v>
      </c>
      <c r="AE26" s="214" t="s">
        <v>1701</v>
      </c>
      <c r="AF26" s="214" t="s">
        <v>1705</v>
      </c>
      <c r="AG26" s="214" t="s">
        <v>1710</v>
      </c>
      <c r="AH26" s="214" t="s">
        <v>1714</v>
      </c>
      <c r="AI26" s="214" t="s">
        <v>1717</v>
      </c>
      <c r="AJ26" s="214" t="s">
        <v>294</v>
      </c>
      <c r="AK26" s="214" t="s">
        <v>305</v>
      </c>
      <c r="AL26" s="214" t="s">
        <v>318</v>
      </c>
      <c r="AM26" s="214" t="s">
        <v>327</v>
      </c>
      <c r="AN26" s="214" t="s">
        <v>334</v>
      </c>
      <c r="AO26" s="217"/>
    </row>
    <row r="27" spans="2:41">
      <c r="B27" s="116" t="s">
        <v>3684</v>
      </c>
      <c r="C27" s="119">
        <v>21</v>
      </c>
      <c r="D27" s="113" t="s">
        <v>3685</v>
      </c>
      <c r="E27" s="112" t="s">
        <v>3686</v>
      </c>
      <c r="F27" s="112" t="s">
        <v>372</v>
      </c>
      <c r="G27" s="112" t="s">
        <v>372</v>
      </c>
      <c r="H27" s="112" t="s">
        <v>372</v>
      </c>
      <c r="I27" s="112"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STRING</v>
      </c>
      <c r="AA27" s="112" t="str">
        <f ca="1"/>
        <v>STRING</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STRING</v>
      </c>
      <c r="AM27" s="112" t="str">
        <f ca="1"/>
        <v>STRING</v>
      </c>
      <c r="AN27" s="112" t="str">
        <f ca="1"/>
        <v>TIMESTAMP</v>
      </c>
    </row>
    <row r="28" spans="2:41">
      <c r="B28" s="116" t="s">
        <v>3687</v>
      </c>
      <c r="C28" s="119">
        <v>7</v>
      </c>
      <c r="D28" s="113" t="s">
        <v>3685</v>
      </c>
      <c r="E28" s="112" t="s">
        <v>3686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4</v>
      </c>
      <c r="AA28" s="160">
        <f ca="1"/>
        <v>4</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1">
      <c r="B30" s="149" t="s">
        <v>3688</v>
      </c>
    </row>
    <row r="31" spans="2:41">
      <c r="B31" s="143" t="s">
        <v>3689</v>
      </c>
      <c r="C31" s="143" t="s">
        <v>3690</v>
      </c>
      <c r="D31" s="144" t="s">
        <v>3691</v>
      </c>
      <c r="E31" s="143" t="s">
        <v>3692</v>
      </c>
      <c r="F31" s="143" t="s">
        <v>3693</v>
      </c>
    </row>
    <row r="32" spans="2:41" ht="43.5">
      <c r="B32" s="120" t="s">
        <v>3694</v>
      </c>
      <c r="C32" s="124" t="s">
        <v>283</v>
      </c>
      <c r="D32" s="53" t="s">
        <v>3856</v>
      </c>
      <c r="E32" s="162" t="s">
        <v>3857</v>
      </c>
      <c r="F32" s="145" t="s">
        <v>3700</v>
      </c>
    </row>
    <row r="33" spans="2:16" ht="29.1">
      <c r="B33" s="120" t="s">
        <v>3858</v>
      </c>
      <c r="C33" s="124" t="s">
        <v>3859</v>
      </c>
      <c r="D33" s="53" t="s">
        <v>3860</v>
      </c>
      <c r="E33" s="162" t="s">
        <v>3861</v>
      </c>
      <c r="F33" s="145" t="s">
        <v>3703</v>
      </c>
    </row>
    <row r="34" spans="2:16" ht="87">
      <c r="B34" s="120" t="s">
        <v>3704</v>
      </c>
      <c r="C34" s="124" t="s">
        <v>3705</v>
      </c>
      <c r="D34" s="53" t="s">
        <v>3862</v>
      </c>
      <c r="E34" s="162" t="s">
        <v>3863</v>
      </c>
      <c r="F34" s="145" t="s">
        <v>3864</v>
      </c>
    </row>
    <row r="35" spans="2:16" ht="57.95">
      <c r="B35" s="120" t="s">
        <v>3762</v>
      </c>
      <c r="C35" s="124" t="s">
        <v>3705</v>
      </c>
      <c r="D35" s="53" t="s">
        <v>3865</v>
      </c>
      <c r="E35" s="162" t="s">
        <v>3866</v>
      </c>
      <c r="F35" s="145" t="s">
        <v>3867</v>
      </c>
    </row>
    <row r="36" spans="2:16" ht="29.1">
      <c r="B36" s="120" t="s">
        <v>3797</v>
      </c>
      <c r="C36" s="124" t="s">
        <v>1689</v>
      </c>
      <c r="D36" s="53" t="s">
        <v>3868</v>
      </c>
      <c r="E36" s="162" t="s">
        <v>3869</v>
      </c>
      <c r="F36" s="145" t="s">
        <v>3700</v>
      </c>
    </row>
    <row r="37" spans="2:16" ht="29.1">
      <c r="B37" s="120" t="s">
        <v>3797</v>
      </c>
      <c r="C37" s="124" t="s">
        <v>1693</v>
      </c>
      <c r="D37" s="53" t="s">
        <v>3868</v>
      </c>
      <c r="E37" s="162" t="s">
        <v>3869</v>
      </c>
      <c r="F37" s="145" t="s">
        <v>3700</v>
      </c>
    </row>
    <row r="38" spans="2:16" ht="29.1">
      <c r="B38" s="120" t="s">
        <v>3797</v>
      </c>
      <c r="C38" s="124" t="s">
        <v>1697</v>
      </c>
      <c r="D38" s="53" t="s">
        <v>3868</v>
      </c>
      <c r="E38" s="162" t="s">
        <v>3869</v>
      </c>
      <c r="F38" s="145" t="s">
        <v>3700</v>
      </c>
      <c r="I38" s="167"/>
      <c r="J38" s="167"/>
      <c r="K38" s="167"/>
      <c r="L38" s="167"/>
      <c r="M38" s="167"/>
      <c r="N38" s="167"/>
      <c r="O38" s="167"/>
      <c r="P38" s="167"/>
    </row>
    <row r="39" spans="2:16" ht="29.1">
      <c r="B39" s="120" t="s">
        <v>3797</v>
      </c>
      <c r="C39" s="124" t="s">
        <v>1710</v>
      </c>
      <c r="D39" s="53" t="s">
        <v>3868</v>
      </c>
      <c r="E39" s="162" t="s">
        <v>3869</v>
      </c>
      <c r="F39" s="145" t="s">
        <v>3700</v>
      </c>
      <c r="I39" s="167"/>
      <c r="J39" s="167"/>
      <c r="K39" s="167"/>
      <c r="L39" s="167"/>
      <c r="M39" s="167"/>
      <c r="N39" s="167"/>
      <c r="O39" s="167"/>
      <c r="P39" s="167"/>
    </row>
    <row r="40" spans="2:16" ht="29.1">
      <c r="B40" s="120" t="s">
        <v>3797</v>
      </c>
      <c r="C40" s="124" t="s">
        <v>1714</v>
      </c>
      <c r="D40" s="53" t="s">
        <v>3868</v>
      </c>
      <c r="E40" s="162" t="s">
        <v>3869</v>
      </c>
      <c r="F40" s="145" t="s">
        <v>3700</v>
      </c>
    </row>
    <row r="41" spans="2:16" ht="29.1">
      <c r="B41" s="120" t="s">
        <v>3797</v>
      </c>
      <c r="C41" s="124" t="s">
        <v>1717</v>
      </c>
      <c r="D41" s="53" t="s">
        <v>3868</v>
      </c>
      <c r="E41" s="162" t="s">
        <v>3869</v>
      </c>
      <c r="F41" s="145" t="s">
        <v>3700</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3639</v>
      </c>
      <c r="C2" s="85" t="s">
        <v>3640</v>
      </c>
      <c r="D2" s="85" t="s">
        <v>3641</v>
      </c>
      <c r="E2" s="85" t="s">
        <v>3642</v>
      </c>
      <c r="F2" s="85" t="s">
        <v>3643</v>
      </c>
      <c r="G2" s="85" t="s">
        <v>3644</v>
      </c>
      <c r="H2" s="85" t="s">
        <v>3645</v>
      </c>
      <c r="I2" s="50" t="s">
        <v>121</v>
      </c>
      <c r="J2" s="85" t="s">
        <v>137</v>
      </c>
      <c r="K2" s="85" t="s">
        <v>149</v>
      </c>
      <c r="L2" s="85" t="s">
        <v>156</v>
      </c>
      <c r="M2" s="85" t="s">
        <v>168</v>
      </c>
      <c r="N2" s="85" t="s">
        <v>177</v>
      </c>
      <c r="O2" s="85" t="s">
        <v>188</v>
      </c>
      <c r="P2" s="85" t="s">
        <v>625</v>
      </c>
      <c r="Q2" s="85" t="s">
        <v>575</v>
      </c>
      <c r="R2" s="85" t="s">
        <v>199</v>
      </c>
      <c r="S2" s="85" t="s">
        <v>211</v>
      </c>
      <c r="T2" s="85" t="s">
        <v>223</v>
      </c>
      <c r="U2" s="85" t="s">
        <v>239</v>
      </c>
      <c r="V2" s="85" t="s">
        <v>261</v>
      </c>
      <c r="W2" s="85" t="s">
        <v>880</v>
      </c>
      <c r="X2" s="85" t="s">
        <v>649</v>
      </c>
      <c r="Y2" s="85" t="s">
        <v>272</v>
      </c>
      <c r="Z2" s="85" t="s">
        <v>283</v>
      </c>
      <c r="AA2" s="85" t="s">
        <v>715</v>
      </c>
      <c r="AB2" s="85" t="s">
        <v>429</v>
      </c>
      <c r="AC2" s="85" t="s">
        <v>728</v>
      </c>
      <c r="AD2" s="85" t="s">
        <v>736</v>
      </c>
      <c r="AE2" s="85" t="s">
        <v>934</v>
      </c>
      <c r="AF2" s="85" t="s">
        <v>944</v>
      </c>
      <c r="AG2" s="85" t="s">
        <v>951</v>
      </c>
      <c r="AH2" s="85" t="s">
        <v>958</v>
      </c>
      <c r="AI2" s="85" t="s">
        <v>965</v>
      </c>
      <c r="AJ2" s="85" t="s">
        <v>745</v>
      </c>
      <c r="AK2" s="85" t="s">
        <v>756</v>
      </c>
      <c r="AL2" s="85" t="s">
        <v>766</v>
      </c>
      <c r="AM2" s="85" t="s">
        <v>776</v>
      </c>
      <c r="AN2" s="85" t="s">
        <v>785</v>
      </c>
      <c r="AO2" s="85" t="s">
        <v>294</v>
      </c>
      <c r="AP2" s="85" t="s">
        <v>305</v>
      </c>
      <c r="AQ2" s="85" t="s">
        <v>318</v>
      </c>
      <c r="AR2" s="85" t="s">
        <v>327</v>
      </c>
      <c r="AS2" s="85" t="s">
        <v>334</v>
      </c>
    </row>
    <row r="3" spans="2:45">
      <c r="B3" s="50" t="s">
        <v>3593</v>
      </c>
      <c r="C3" s="50">
        <v>1</v>
      </c>
      <c r="D3" s="50" t="s">
        <v>3870</v>
      </c>
      <c r="E3" s="104">
        <v>45433</v>
      </c>
      <c r="F3" s="50">
        <v>1</v>
      </c>
      <c r="G3" s="50">
        <v>1</v>
      </c>
      <c r="H3" s="200" t="s">
        <v>3871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196" t="s">
        <v>3647</v>
      </c>
      <c r="AE3" s="196"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row>
    <row r="4" spans="2:45">
      <c r="B4" s="50" t="s">
        <v>3595</v>
      </c>
      <c r="C4" s="50">
        <v>2</v>
      </c>
      <c r="D4" s="50" t="s">
        <v>3872</v>
      </c>
      <c r="E4" s="104">
        <v>45433</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196" t="s">
        <v>3647</v>
      </c>
      <c r="AE4" s="196"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row>
    <row r="5" spans="2:45">
      <c r="B5" s="50" t="s">
        <v>3597</v>
      </c>
      <c r="C5" s="50">
        <v>3</v>
      </c>
      <c r="D5" s="50" t="s">
        <v>3873</v>
      </c>
      <c r="E5" s="104">
        <v>45433</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196" t="s">
        <v>3647</v>
      </c>
      <c r="AE5" s="196"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v>0</v>
      </c>
      <c r="AS5" s="50" t="s">
        <v>3647</v>
      </c>
    </row>
    <row r="6" spans="2:45">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196" t="s">
        <v>3647</v>
      </c>
      <c r="AE6" s="196"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row>
    <row r="7" spans="2:45">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196" t="s">
        <v>3647</v>
      </c>
      <c r="AE7" s="196"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row>
    <row r="8" spans="2:45">
      <c r="B8" s="50" t="s">
        <v>3602</v>
      </c>
      <c r="C8" s="50">
        <v>6</v>
      </c>
      <c r="D8" s="50" t="s">
        <v>3874</v>
      </c>
      <c r="E8" s="104">
        <v>45433</v>
      </c>
      <c r="F8" s="50">
        <v>1</v>
      </c>
      <c r="G8" s="50" cm="1">
        <f t="array" ref="G8">SUMPRODUCT(--(I8:AS8&gt;0))/COUNTA(I8:AS8)</f>
        <v>0.97297297297297303</v>
      </c>
      <c r="H8" s="50" t="s">
        <v>3732</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3605</v>
      </c>
      <c r="C9" s="50">
        <v>7</v>
      </c>
      <c r="D9" s="50" t="s">
        <v>3875</v>
      </c>
      <c r="E9" s="104">
        <v>45433</v>
      </c>
      <c r="F9" s="50">
        <v>1</v>
      </c>
      <c r="G9" s="50" cm="1">
        <f t="array" aca="1" ref="G9" ca="1">SUMPRODUCT(--(H9:AS9 &lt;= H27:AS27))/COUNTA(H27:AS27)</f>
        <v>1</v>
      </c>
      <c r="H9" s="50" t="s">
        <v>3732</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3608</v>
      </c>
      <c r="C10" s="50">
        <v>8</v>
      </c>
      <c r="D10" s="50" t="s">
        <v>3876</v>
      </c>
      <c r="E10" s="104">
        <v>45433</v>
      </c>
      <c r="F10" s="50">
        <v>1</v>
      </c>
      <c r="G10" s="104" t="s">
        <v>3647</v>
      </c>
      <c r="H10" s="50" t="s">
        <v>3732</v>
      </c>
      <c r="I10" s="50">
        <v>31</v>
      </c>
      <c r="J10" s="50">
        <v>5.0000028006999999E+25</v>
      </c>
      <c r="K10" s="50" t="s">
        <v>3877</v>
      </c>
      <c r="L10" s="50">
        <v>7</v>
      </c>
      <c r="M10" s="50">
        <v>101</v>
      </c>
      <c r="N10" s="50">
        <v>31</v>
      </c>
      <c r="O10" s="50">
        <v>2.2822000999999998E+22</v>
      </c>
      <c r="P10" s="50">
        <v>31</v>
      </c>
      <c r="Q10" s="50">
        <v>50000028007</v>
      </c>
      <c r="R10" s="104">
        <v>35300</v>
      </c>
      <c r="S10" s="104">
        <v>42025</v>
      </c>
      <c r="T10" s="50">
        <v>124</v>
      </c>
      <c r="U10" s="104">
        <v>0</v>
      </c>
      <c r="V10" s="104" t="s">
        <v>3656</v>
      </c>
      <c r="W10" s="107" t="s">
        <v>3656</v>
      </c>
      <c r="X10" s="50" t="s">
        <v>3656</v>
      </c>
      <c r="Y10" s="104" t="s">
        <v>3656</v>
      </c>
      <c r="Z10" s="104" t="s">
        <v>3656</v>
      </c>
      <c r="AA10" s="50" t="e">
        <v>#N/A</v>
      </c>
      <c r="AB10" s="107" t="e">
        <v>#N/A</v>
      </c>
      <c r="AC10" s="50" t="s">
        <v>3656</v>
      </c>
      <c r="AD10" s="210" t="s">
        <v>3656</v>
      </c>
      <c r="AE10" s="196" t="e">
        <v>#N/A</v>
      </c>
      <c r="AF10" s="107" t="e">
        <v>#N/A</v>
      </c>
      <c r="AG10" s="107" t="e">
        <v>#N/A</v>
      </c>
      <c r="AH10" s="107"/>
      <c r="AI10" s="50" t="s">
        <v>3656</v>
      </c>
      <c r="AJ10" s="107" t="e">
        <v>#N/A</v>
      </c>
      <c r="AK10" s="50" t="e">
        <v>#N/A</v>
      </c>
      <c r="AL10" s="107">
        <v>-2250000</v>
      </c>
      <c r="AM10" s="107" t="s">
        <v>3656</v>
      </c>
      <c r="AN10" s="107" t="s">
        <v>3656</v>
      </c>
      <c r="AO10" s="50" t="s">
        <v>3657</v>
      </c>
      <c r="AP10" s="50" t="s">
        <v>3658</v>
      </c>
      <c r="AQ10" s="104" t="s">
        <v>3775</v>
      </c>
      <c r="AR10" s="104">
        <v>45433</v>
      </c>
      <c r="AS10" s="104" t="s">
        <v>3878</v>
      </c>
    </row>
    <row r="11" spans="2:45">
      <c r="B11" s="50" t="s">
        <v>3610</v>
      </c>
      <c r="C11" s="50">
        <v>9</v>
      </c>
      <c r="D11" s="50" t="s">
        <v>3879</v>
      </c>
      <c r="E11" s="104">
        <v>45433</v>
      </c>
      <c r="F11" s="50">
        <v>1</v>
      </c>
      <c r="G11" s="104" t="s">
        <v>3647</v>
      </c>
      <c r="H11" s="50" t="s">
        <v>3732</v>
      </c>
      <c r="I11" s="50">
        <v>31</v>
      </c>
      <c r="J11" s="50">
        <v>5.0000028006999999E+25</v>
      </c>
      <c r="K11" s="50"/>
      <c r="L11" s="50">
        <v>7</v>
      </c>
      <c r="M11" s="50">
        <v>101</v>
      </c>
      <c r="N11" s="50"/>
      <c r="O11" s="50" t="e">
        <v>#N/A</v>
      </c>
      <c r="P11" s="50"/>
      <c r="Q11" s="50" t="e">
        <v>#N/A</v>
      </c>
      <c r="R11" s="104">
        <v>35300</v>
      </c>
      <c r="S11" s="104">
        <v>42025</v>
      </c>
      <c r="T11" s="50">
        <v>124</v>
      </c>
      <c r="U11" s="104">
        <v>0</v>
      </c>
      <c r="V11" s="104" t="s">
        <v>3732</v>
      </c>
      <c r="W11" s="50" t="s">
        <v>3732</v>
      </c>
      <c r="X11" s="50" t="s">
        <v>3732</v>
      </c>
      <c r="Y11" s="104" t="s">
        <v>3732</v>
      </c>
      <c r="Z11" s="104" t="s">
        <v>3732</v>
      </c>
      <c r="AA11" s="50" t="e">
        <v>#N/A</v>
      </c>
      <c r="AB11" s="50" t="e">
        <v>#N/A</v>
      </c>
      <c r="AC11" s="50" t="s">
        <v>3732</v>
      </c>
      <c r="AD11" s="196" t="s">
        <v>3732</v>
      </c>
      <c r="AE11" s="196" t="e">
        <v>#N/A</v>
      </c>
      <c r="AF11" s="50" t="e">
        <v>#N/A</v>
      </c>
      <c r="AG11" s="50" t="e">
        <v>#N/A</v>
      </c>
      <c r="AH11" s="50"/>
      <c r="AI11" s="50" t="s">
        <v>3732</v>
      </c>
      <c r="AJ11" s="50" t="e">
        <v>#N/A</v>
      </c>
      <c r="AK11" s="50" t="e">
        <v>#N/A</v>
      </c>
      <c r="AL11" s="107">
        <v>-22500000</v>
      </c>
      <c r="AM11" s="107">
        <v>0</v>
      </c>
      <c r="AN11" s="107">
        <v>0</v>
      </c>
      <c r="AO11" s="50">
        <v>0</v>
      </c>
      <c r="AP11" s="50" t="s">
        <v>3880</v>
      </c>
      <c r="AQ11" s="104" t="s">
        <v>3775</v>
      </c>
      <c r="AR11" s="104">
        <v>45433</v>
      </c>
      <c r="AS11" s="104" t="s">
        <v>3881</v>
      </c>
    </row>
    <row r="12" spans="2:45">
      <c r="B12" s="50" t="s">
        <v>3612</v>
      </c>
      <c r="C12" s="50">
        <v>10</v>
      </c>
      <c r="D12" s="50" t="s">
        <v>3882</v>
      </c>
      <c r="E12" s="104">
        <v>45433</v>
      </c>
      <c r="F12" s="50">
        <v>1</v>
      </c>
      <c r="G12" s="104" t="s">
        <v>3647</v>
      </c>
      <c r="H12" s="50" t="s">
        <v>3732</v>
      </c>
      <c r="I12" s="50">
        <v>31</v>
      </c>
      <c r="J12" s="50">
        <v>6.0750007000001898E+29</v>
      </c>
      <c r="K12" s="50" t="s">
        <v>3877</v>
      </c>
      <c r="L12" s="50">
        <v>29</v>
      </c>
      <c r="M12" s="50" t="s">
        <v>3883</v>
      </c>
      <c r="N12" s="50">
        <v>31</v>
      </c>
      <c r="O12" s="50">
        <v>2.3930258433501999E+29</v>
      </c>
      <c r="P12" s="50">
        <v>31</v>
      </c>
      <c r="Q12" s="50">
        <v>607500070000019</v>
      </c>
      <c r="R12" s="104">
        <v>45441</v>
      </c>
      <c r="S12" s="104">
        <v>2958465</v>
      </c>
      <c r="T12" s="50" t="s">
        <v>3665</v>
      </c>
      <c r="U12" s="104">
        <v>1</v>
      </c>
      <c r="V12" s="104">
        <v>70000000000000</v>
      </c>
      <c r="W12" s="107">
        <v>9500000000000</v>
      </c>
      <c r="X12" s="50" t="s">
        <v>3656</v>
      </c>
      <c r="Y12" s="104">
        <v>94818240000</v>
      </c>
      <c r="Z12" s="104">
        <v>328950890000</v>
      </c>
      <c r="AA12" s="104">
        <v>45787</v>
      </c>
      <c r="AB12" s="107">
        <v>2958465</v>
      </c>
      <c r="AC12" s="107">
        <v>403478750000</v>
      </c>
      <c r="AD12" s="211">
        <v>691581370000</v>
      </c>
      <c r="AE12" s="196">
        <v>0</v>
      </c>
      <c r="AF12" s="107">
        <v>2958465</v>
      </c>
      <c r="AG12" s="202">
        <v>2958465</v>
      </c>
      <c r="AH12" s="107" t="s">
        <v>3884</v>
      </c>
      <c r="AI12" s="107">
        <v>19152000000000</v>
      </c>
      <c r="AJ12" s="107" t="s">
        <v>3726</v>
      </c>
      <c r="AK12" s="50" t="s">
        <v>3885</v>
      </c>
      <c r="AL12" s="107">
        <v>5294660</v>
      </c>
      <c r="AM12" s="107">
        <v>9500000</v>
      </c>
      <c r="AN12" s="107">
        <v>10522000</v>
      </c>
      <c r="AO12" s="50" t="s">
        <v>3886</v>
      </c>
      <c r="AP12" s="50" t="s">
        <v>3658</v>
      </c>
      <c r="AQ12" s="104" t="s">
        <v>3667</v>
      </c>
      <c r="AR12" s="104">
        <v>45448</v>
      </c>
      <c r="AS12" s="104" t="s">
        <v>3878</v>
      </c>
    </row>
    <row r="13" spans="2:45">
      <c r="B13" s="50" t="s">
        <v>3614</v>
      </c>
      <c r="C13" s="50">
        <v>11</v>
      </c>
      <c r="D13" s="50" t="s">
        <v>3887</v>
      </c>
      <c r="E13" s="104">
        <v>45433</v>
      </c>
      <c r="F13" s="50">
        <v>1</v>
      </c>
      <c r="G13" s="104" t="s">
        <v>3647</v>
      </c>
      <c r="H13" s="50" t="s">
        <v>3732</v>
      </c>
      <c r="I13" s="50">
        <v>31</v>
      </c>
      <c r="J13" s="50">
        <v>6.0750007000001898E+29</v>
      </c>
      <c r="K13" s="50">
        <v>31</v>
      </c>
      <c r="L13" s="50">
        <v>29</v>
      </c>
      <c r="M13" s="50" t="s">
        <v>3883</v>
      </c>
      <c r="N13" s="50" t="e">
        <v>#N/A</v>
      </c>
      <c r="O13" s="50">
        <v>2.3930258433501999E+29</v>
      </c>
      <c r="P13" s="50" t="e">
        <v>#N/A</v>
      </c>
      <c r="Q13" s="50">
        <v>607500070000019</v>
      </c>
      <c r="R13" s="104">
        <v>45441</v>
      </c>
      <c r="S13" s="104">
        <v>2958465</v>
      </c>
      <c r="T13" s="50" t="s">
        <v>3665</v>
      </c>
      <c r="U13" s="104">
        <v>1</v>
      </c>
      <c r="V13" s="104" t="s">
        <v>3888</v>
      </c>
      <c r="W13" s="50" t="s">
        <v>3889</v>
      </c>
      <c r="X13" s="50" t="s">
        <v>649</v>
      </c>
      <c r="Y13" s="104" t="s">
        <v>3890</v>
      </c>
      <c r="Z13" s="104" t="s">
        <v>3891</v>
      </c>
      <c r="AA13" s="104">
        <v>45787</v>
      </c>
      <c r="AB13" s="104">
        <v>2958465</v>
      </c>
      <c r="AC13" s="50" t="s">
        <v>3892</v>
      </c>
      <c r="AD13" s="196" t="s">
        <v>3893</v>
      </c>
      <c r="AE13" s="196">
        <v>0</v>
      </c>
      <c r="AF13" s="104">
        <v>2958465</v>
      </c>
      <c r="AG13" s="104">
        <v>2958465</v>
      </c>
      <c r="AH13" s="50" t="s">
        <v>3884</v>
      </c>
      <c r="AI13" s="50" t="s">
        <v>3894</v>
      </c>
      <c r="AJ13" s="50" t="s">
        <v>3726</v>
      </c>
      <c r="AK13" s="50" t="s">
        <v>3885</v>
      </c>
      <c r="AL13" s="107">
        <v>52946600</v>
      </c>
      <c r="AM13" s="107">
        <v>95000000</v>
      </c>
      <c r="AN13" s="107">
        <v>105220000</v>
      </c>
      <c r="AO13" s="50" t="s">
        <v>3895</v>
      </c>
      <c r="AP13" s="50" t="s">
        <v>3842</v>
      </c>
      <c r="AQ13" s="104" t="s">
        <v>3667</v>
      </c>
      <c r="AR13" s="104">
        <v>45448</v>
      </c>
      <c r="AS13" s="104" t="s">
        <v>3896</v>
      </c>
    </row>
    <row r="14" spans="2:45">
      <c r="B14" s="50" t="s">
        <v>3616</v>
      </c>
      <c r="C14" s="50">
        <v>12</v>
      </c>
      <c r="D14" s="50" t="s">
        <v>3897</v>
      </c>
      <c r="E14" s="104">
        <v>45433</v>
      </c>
      <c r="F14" s="50">
        <v>1</v>
      </c>
      <c r="G14" s="50">
        <v>0.46</v>
      </c>
      <c r="H14" s="50" t="s">
        <v>3732</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3618</v>
      </c>
      <c r="C15" s="50">
        <v>13</v>
      </c>
      <c r="D15" s="50" t="s">
        <v>3898</v>
      </c>
      <c r="E15" s="104">
        <v>45433</v>
      </c>
      <c r="F15" s="50">
        <v>1</v>
      </c>
      <c r="G15" s="50">
        <v>1</v>
      </c>
      <c r="H15" s="50" t="s">
        <v>3732</v>
      </c>
      <c r="I15" s="50" t="s">
        <v>3647</v>
      </c>
      <c r="J15" s="50" t="s">
        <v>3647</v>
      </c>
      <c r="K15" s="50" t="s">
        <v>3647</v>
      </c>
      <c r="L15" s="50" t="s">
        <v>3647</v>
      </c>
      <c r="M15" s="50" t="s">
        <v>3647</v>
      </c>
      <c r="N15" s="50" t="s">
        <v>3647</v>
      </c>
      <c r="O15" s="50" t="s">
        <v>3647</v>
      </c>
      <c r="P15" s="50" t="s">
        <v>3647</v>
      </c>
      <c r="Q15" s="50" t="s">
        <v>3647</v>
      </c>
      <c r="R15" s="106">
        <v>0</v>
      </c>
      <c r="S15" s="106">
        <v>0</v>
      </c>
      <c r="T15" s="50" t="s">
        <v>3647</v>
      </c>
      <c r="U15" s="106" t="s">
        <v>3647</v>
      </c>
      <c r="V15" s="106" t="s">
        <v>3647</v>
      </c>
      <c r="W15" s="50" t="s">
        <v>3647</v>
      </c>
      <c r="X15" s="50" t="s">
        <v>3647</v>
      </c>
      <c r="Y15" s="106" t="s">
        <v>3647</v>
      </c>
      <c r="Z15" s="106" t="s">
        <v>3647</v>
      </c>
      <c r="AA15" s="50">
        <v>0</v>
      </c>
      <c r="AB15" s="50">
        <v>0</v>
      </c>
      <c r="AC15" s="50" t="s">
        <v>3647</v>
      </c>
      <c r="AD15" s="212" t="s">
        <v>3647</v>
      </c>
      <c r="AE15" s="196" t="s">
        <v>3647</v>
      </c>
      <c r="AF15" s="50">
        <v>0</v>
      </c>
      <c r="AG15" s="50">
        <v>0</v>
      </c>
      <c r="AH15" s="50" t="s">
        <v>3647</v>
      </c>
      <c r="AI15" s="50" t="s">
        <v>3647</v>
      </c>
      <c r="AJ15" s="50" t="s">
        <v>3647</v>
      </c>
      <c r="AK15" s="50" t="s">
        <v>3647</v>
      </c>
      <c r="AL15" s="50" t="s">
        <v>3647</v>
      </c>
      <c r="AM15" s="50" t="s">
        <v>3647</v>
      </c>
      <c r="AN15" s="50" t="s">
        <v>3647</v>
      </c>
      <c r="AO15" s="50" t="s">
        <v>3647</v>
      </c>
      <c r="AP15" s="50" t="s">
        <v>3647</v>
      </c>
      <c r="AQ15" s="50" t="s">
        <v>3647</v>
      </c>
      <c r="AR15" s="50" t="s">
        <v>3647</v>
      </c>
      <c r="AS15" s="50" t="s">
        <v>3647</v>
      </c>
    </row>
    <row r="16" spans="2:45">
      <c r="B16" s="50" t="s">
        <v>3620</v>
      </c>
      <c r="C16" s="50">
        <v>14</v>
      </c>
      <c r="D16" s="50" t="s">
        <v>3899</v>
      </c>
      <c r="E16" s="104">
        <v>45433</v>
      </c>
      <c r="F16" s="50">
        <v>1</v>
      </c>
      <c r="G16" s="50">
        <v>1</v>
      </c>
      <c r="H16" s="50" t="s">
        <v>3732</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50" t="s">
        <v>3647</v>
      </c>
      <c r="Z16" s="50" t="s">
        <v>3647</v>
      </c>
      <c r="AA16" s="50" t="s">
        <v>3647</v>
      </c>
      <c r="AB16" s="50" t="s">
        <v>3647</v>
      </c>
      <c r="AC16" s="106" t="s">
        <v>3647</v>
      </c>
      <c r="AD16" s="196" t="s">
        <v>3647</v>
      </c>
      <c r="AE16" s="196" t="s">
        <v>3647</v>
      </c>
      <c r="AF16" s="50" t="s">
        <v>3647</v>
      </c>
      <c r="AG16" s="50" t="s">
        <v>3647</v>
      </c>
      <c r="AH16" s="50" t="s">
        <v>3647</v>
      </c>
      <c r="AI16" s="50" t="s">
        <v>3647</v>
      </c>
      <c r="AJ16" s="50">
        <v>0</v>
      </c>
      <c r="AK16" s="50" t="s">
        <v>3647</v>
      </c>
      <c r="AL16" s="50" t="s">
        <v>3647</v>
      </c>
      <c r="AM16" s="50" t="s">
        <v>3647</v>
      </c>
      <c r="AN16" s="50" t="s">
        <v>3647</v>
      </c>
      <c r="AO16" s="106">
        <v>0</v>
      </c>
      <c r="AP16" s="50">
        <v>0</v>
      </c>
      <c r="AQ16" s="50">
        <v>0</v>
      </c>
      <c r="AR16" s="50" t="s">
        <v>3647</v>
      </c>
      <c r="AS16" s="50" t="s">
        <v>3647</v>
      </c>
    </row>
    <row r="17" spans="2:45">
      <c r="B17" s="50" t="s">
        <v>3622</v>
      </c>
      <c r="C17" s="50">
        <v>15</v>
      </c>
      <c r="D17" s="50" t="s">
        <v>3900</v>
      </c>
      <c r="E17" s="104">
        <v>45433</v>
      </c>
      <c r="F17" s="50">
        <v>1</v>
      </c>
      <c r="G17" s="50">
        <v>1</v>
      </c>
      <c r="H17" s="200"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106" t="s">
        <v>3647</v>
      </c>
      <c r="AD17" s="196" t="s">
        <v>3647</v>
      </c>
      <c r="AE17" s="196" t="s">
        <v>3647</v>
      </c>
      <c r="AF17" s="50" t="s">
        <v>3647</v>
      </c>
      <c r="AG17" s="50" t="s">
        <v>3647</v>
      </c>
      <c r="AH17" s="50" t="s">
        <v>3647</v>
      </c>
      <c r="AI17" s="50" t="s">
        <v>3647</v>
      </c>
      <c r="AJ17" s="50" t="s">
        <v>3647</v>
      </c>
      <c r="AK17" s="50" t="s">
        <v>3647</v>
      </c>
      <c r="AL17" s="50" t="s">
        <v>3647</v>
      </c>
      <c r="AM17" s="50" t="s">
        <v>3647</v>
      </c>
      <c r="AN17" s="50" t="s">
        <v>3647</v>
      </c>
      <c r="AO17" s="106" t="s">
        <v>3647</v>
      </c>
      <c r="AP17" s="50" t="s">
        <v>3647</v>
      </c>
      <c r="AQ17" s="50" t="s">
        <v>3647</v>
      </c>
      <c r="AR17" s="50" t="s">
        <v>3647</v>
      </c>
      <c r="AS17" s="50" t="s">
        <v>3647</v>
      </c>
    </row>
    <row r="18" spans="2:45">
      <c r="B18" s="50" t="s">
        <v>3624</v>
      </c>
      <c r="C18" s="50">
        <v>16</v>
      </c>
      <c r="D18" s="50" t="s">
        <v>3900</v>
      </c>
      <c r="E18" s="104">
        <v>45433</v>
      </c>
      <c r="F18" s="50">
        <v>1</v>
      </c>
      <c r="G18" s="50">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196" t="s">
        <v>3647</v>
      </c>
      <c r="AE18" s="196"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row>
    <row r="19" spans="2:45">
      <c r="B19" s="50" t="s">
        <v>3626</v>
      </c>
      <c r="C19" s="50">
        <v>17</v>
      </c>
      <c r="D19" s="50" t="s">
        <v>3901</v>
      </c>
      <c r="E19" s="104">
        <v>45433</v>
      </c>
      <c r="F19" s="50">
        <v>1</v>
      </c>
      <c r="G19" s="50">
        <v>0.98</v>
      </c>
      <c r="H19" s="200" t="s">
        <v>3902</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196" t="s">
        <v>3647</v>
      </c>
      <c r="AE19" s="196"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row>
    <row r="20" spans="2:45">
      <c r="B20" s="50" t="s">
        <v>3628</v>
      </c>
      <c r="C20" s="50">
        <v>18</v>
      </c>
      <c r="D20" s="50" t="s">
        <v>3901</v>
      </c>
      <c r="E20" s="104">
        <v>45433</v>
      </c>
      <c r="F20" s="50">
        <v>1</v>
      </c>
      <c r="G20" s="50">
        <v>1</v>
      </c>
      <c r="H20" s="50" t="s">
        <v>3732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196" t="s">
        <v>3647</v>
      </c>
      <c r="AE20" s="196"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row>
    <row r="21" spans="2:45">
      <c r="B21" s="50" t="s">
        <v>3630</v>
      </c>
      <c r="C21" s="50">
        <v>19</v>
      </c>
      <c r="D21" s="50" t="s">
        <v>3903</v>
      </c>
      <c r="E21" s="104">
        <v>45433</v>
      </c>
      <c r="F21" s="50">
        <v>1</v>
      </c>
      <c r="G21" s="50" cm="1">
        <f t="array" aca="1" ref="G21" ca="1">SUMPRODUCT(--(ISNUMBER((SEARCH(I27:AS27,I21:AS21)))))/COUNTA(I21:AS21)</f>
        <v>1</v>
      </c>
      <c r="H21" s="50" t="s">
        <v>3732</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196" t="s">
        <v>3682</v>
      </c>
      <c r="AE21" s="196" t="s">
        <v>3681</v>
      </c>
      <c r="AF21" s="50" t="s">
        <v>3681</v>
      </c>
      <c r="AG21" s="50" t="s">
        <v>3681</v>
      </c>
      <c r="AH21" s="50" t="s">
        <v>3681</v>
      </c>
      <c r="AI21" s="50" t="s">
        <v>3682</v>
      </c>
      <c r="AJ21" s="50" t="s">
        <v>3681</v>
      </c>
      <c r="AK21" s="50" t="s">
        <v>3681</v>
      </c>
      <c r="AL21" s="50" t="s">
        <v>3682</v>
      </c>
      <c r="AM21" s="50" t="s">
        <v>3682</v>
      </c>
      <c r="AN21" s="50" t="s">
        <v>3682</v>
      </c>
      <c r="AO21" s="50" t="s">
        <v>3681</v>
      </c>
      <c r="AP21" s="50" t="s">
        <v>3681</v>
      </c>
      <c r="AQ21" s="50" t="s">
        <v>3681</v>
      </c>
      <c r="AR21" s="50" t="s">
        <v>3681</v>
      </c>
      <c r="AS21" s="50" t="s">
        <v>3683</v>
      </c>
    </row>
    <row r="22" spans="2:45">
      <c r="B22" s="106" t="s">
        <v>3633</v>
      </c>
      <c r="C22" s="50">
        <v>20</v>
      </c>
      <c r="D22" s="50" t="s">
        <v>3904</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3636</v>
      </c>
      <c r="C23" s="50">
        <v>21</v>
      </c>
      <c r="D23" s="50" t="s">
        <v>3904</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3753</v>
      </c>
    </row>
    <row r="26" spans="2:45">
      <c r="B26" s="142" t="s">
        <v>3639</v>
      </c>
      <c r="C26" s="138" t="s">
        <v>3640</v>
      </c>
      <c r="D26" s="138" t="s">
        <v>3641</v>
      </c>
      <c r="E26" s="138" t="s">
        <v>3642</v>
      </c>
      <c r="F26" s="138" t="s">
        <v>3643</v>
      </c>
      <c r="G26" s="138" t="s">
        <v>3644</v>
      </c>
      <c r="H26" s="138" t="s">
        <v>3645</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3684</v>
      </c>
      <c r="C27" s="160">
        <v>21</v>
      </c>
      <c r="D27" s="115" t="s">
        <v>3685</v>
      </c>
      <c r="E27" s="114" t="s">
        <v>3686</v>
      </c>
      <c r="F27" s="114" t="s">
        <v>372</v>
      </c>
      <c r="G27" s="114" t="s">
        <v>372</v>
      </c>
      <c r="H27" s="114" t="s">
        <v>372</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3688</v>
      </c>
    </row>
    <row r="31" spans="2:45">
      <c r="B31" s="143" t="s">
        <v>3689</v>
      </c>
      <c r="C31" s="143" t="s">
        <v>3690</v>
      </c>
      <c r="D31" s="144" t="s">
        <v>3691</v>
      </c>
      <c r="E31" s="143" t="s">
        <v>3692</v>
      </c>
      <c r="F31" s="143" t="s">
        <v>3693</v>
      </c>
    </row>
    <row r="32" spans="2:45" ht="29.1">
      <c r="B32" s="275" t="s">
        <v>3754</v>
      </c>
      <c r="C32" s="276" t="s">
        <v>177</v>
      </c>
      <c r="D32" s="277" t="s">
        <v>3905</v>
      </c>
      <c r="E32" s="278" t="s">
        <v>3906</v>
      </c>
      <c r="F32" s="163" t="s">
        <v>3700</v>
      </c>
    </row>
    <row r="33" spans="2:6" ht="29.1">
      <c r="B33" s="275" t="s">
        <v>3754</v>
      </c>
      <c r="C33" s="276" t="s">
        <v>188</v>
      </c>
      <c r="D33" s="277" t="s">
        <v>3905</v>
      </c>
      <c r="E33" s="278" t="s">
        <v>3906</v>
      </c>
      <c r="F33" s="163" t="s">
        <v>3700</v>
      </c>
    </row>
    <row r="34" spans="2:6" ht="101.45">
      <c r="B34" s="275" t="s">
        <v>3754</v>
      </c>
      <c r="C34" s="276" t="s">
        <v>625</v>
      </c>
      <c r="D34" s="277" t="s">
        <v>3907</v>
      </c>
      <c r="E34" s="278" t="s">
        <v>3908</v>
      </c>
      <c r="F34" s="163" t="s">
        <v>3700</v>
      </c>
    </row>
    <row r="35" spans="2:6" ht="101.45">
      <c r="B35" s="275" t="s">
        <v>3754</v>
      </c>
      <c r="C35" s="276" t="s">
        <v>575</v>
      </c>
      <c r="D35" s="277" t="s">
        <v>3907</v>
      </c>
      <c r="E35" s="278" t="s">
        <v>3908</v>
      </c>
      <c r="F35" s="163" t="s">
        <v>3700</v>
      </c>
    </row>
    <row r="36" spans="2:6" ht="101.45">
      <c r="B36" s="275" t="s">
        <v>3754</v>
      </c>
      <c r="C36" s="276" t="s">
        <v>261</v>
      </c>
      <c r="D36" s="277" t="s">
        <v>3907</v>
      </c>
      <c r="E36" s="278" t="s">
        <v>3908</v>
      </c>
      <c r="F36" s="163" t="s">
        <v>3700</v>
      </c>
    </row>
    <row r="37" spans="2:6" ht="101.45">
      <c r="B37" s="275" t="s">
        <v>3754</v>
      </c>
      <c r="C37" s="276" t="s">
        <v>715</v>
      </c>
      <c r="D37" s="277" t="s">
        <v>3907</v>
      </c>
      <c r="E37" s="278" t="s">
        <v>3908</v>
      </c>
      <c r="F37" s="163" t="s">
        <v>3700</v>
      </c>
    </row>
    <row r="38" spans="2:6" ht="101.45">
      <c r="B38" s="275" t="s">
        <v>3754</v>
      </c>
      <c r="C38" s="276" t="s">
        <v>429</v>
      </c>
      <c r="D38" s="277" t="s">
        <v>3907</v>
      </c>
      <c r="E38" s="278" t="s">
        <v>3908</v>
      </c>
      <c r="F38" s="163" t="s">
        <v>3700</v>
      </c>
    </row>
    <row r="39" spans="2:6" ht="101.45">
      <c r="B39" s="275" t="s">
        <v>3754</v>
      </c>
      <c r="C39" s="276" t="s">
        <v>728</v>
      </c>
      <c r="D39" s="277" t="s">
        <v>3907</v>
      </c>
      <c r="E39" s="278" t="s">
        <v>3908</v>
      </c>
      <c r="F39" s="163" t="s">
        <v>3700</v>
      </c>
    </row>
    <row r="40" spans="2:6" ht="101.45">
      <c r="B40" s="275" t="s">
        <v>3754</v>
      </c>
      <c r="C40" s="276" t="s">
        <v>3909</v>
      </c>
      <c r="D40" s="277" t="s">
        <v>3907</v>
      </c>
      <c r="E40" s="278" t="s">
        <v>3908</v>
      </c>
      <c r="F40" s="163" t="s">
        <v>3700</v>
      </c>
    </row>
    <row r="41" spans="2:6" ht="101.45">
      <c r="B41" s="275" t="s">
        <v>3754</v>
      </c>
      <c r="C41" s="276" t="s">
        <v>3910</v>
      </c>
      <c r="D41" s="277" t="s">
        <v>3907</v>
      </c>
      <c r="E41" s="278" t="s">
        <v>3908</v>
      </c>
      <c r="F41" s="163" t="s">
        <v>3700</v>
      </c>
    </row>
    <row r="42" spans="2:6" ht="101.45">
      <c r="B42" s="275" t="s">
        <v>3754</v>
      </c>
      <c r="C42" s="276" t="s">
        <v>3911</v>
      </c>
      <c r="D42" s="277" t="s">
        <v>3907</v>
      </c>
      <c r="E42" s="278" t="s">
        <v>3908</v>
      </c>
      <c r="F42" s="163" t="s">
        <v>3700</v>
      </c>
    </row>
    <row r="43" spans="2:6" ht="101.45">
      <c r="B43" s="275" t="s">
        <v>3754</v>
      </c>
      <c r="C43" s="276" t="s">
        <v>3912</v>
      </c>
      <c r="D43" s="277" t="s">
        <v>3907</v>
      </c>
      <c r="E43" s="278" t="s">
        <v>3908</v>
      </c>
      <c r="F43" s="163" t="s">
        <v>3700</v>
      </c>
    </row>
    <row r="44" spans="2:6" ht="101.45">
      <c r="B44" s="275" t="s">
        <v>3754</v>
      </c>
      <c r="C44" s="276" t="s">
        <v>3913</v>
      </c>
      <c r="D44" s="277" t="s">
        <v>3907</v>
      </c>
      <c r="E44" s="278" t="s">
        <v>3908</v>
      </c>
      <c r="F44" s="163" t="s">
        <v>3700</v>
      </c>
    </row>
    <row r="45" spans="2:6" ht="101.45">
      <c r="B45" s="275" t="s">
        <v>3754</v>
      </c>
      <c r="C45" s="276" t="s">
        <v>3914</v>
      </c>
      <c r="D45" s="277" t="s">
        <v>3907</v>
      </c>
      <c r="E45" s="278" t="s">
        <v>3908</v>
      </c>
      <c r="F45" s="163" t="s">
        <v>3700</v>
      </c>
    </row>
    <row r="46" spans="2:6" ht="101.45">
      <c r="B46" s="275" t="s">
        <v>3754</v>
      </c>
      <c r="C46" s="276" t="s">
        <v>756</v>
      </c>
      <c r="D46" s="277" t="s">
        <v>3907</v>
      </c>
      <c r="E46" s="278" t="s">
        <v>3908</v>
      </c>
      <c r="F46" s="163" t="s">
        <v>3700</v>
      </c>
    </row>
    <row r="47" spans="2:6" ht="101.45">
      <c r="B47" s="275" t="s">
        <v>3754</v>
      </c>
      <c r="C47" s="276" t="s">
        <v>776</v>
      </c>
      <c r="D47" s="277" t="s">
        <v>3907</v>
      </c>
      <c r="E47" s="278" t="s">
        <v>3908</v>
      </c>
      <c r="F47" s="163" t="s">
        <v>3700</v>
      </c>
    </row>
    <row r="48" spans="2:6" ht="29.1">
      <c r="B48" s="275" t="s">
        <v>3754</v>
      </c>
      <c r="C48" s="276" t="s">
        <v>880</v>
      </c>
      <c r="D48" s="277" t="s">
        <v>3915</v>
      </c>
      <c r="E48" s="278" t="s">
        <v>3916</v>
      </c>
      <c r="F48" s="163" t="s">
        <v>3700</v>
      </c>
    </row>
    <row r="49" spans="2:6" ht="43.5">
      <c r="B49" s="275" t="s">
        <v>3754</v>
      </c>
      <c r="C49" s="276" t="s">
        <v>649</v>
      </c>
      <c r="D49" s="279" t="s">
        <v>3917</v>
      </c>
      <c r="E49" s="280" t="s">
        <v>3918</v>
      </c>
      <c r="F49" s="163" t="s">
        <v>3700</v>
      </c>
    </row>
    <row r="50" spans="2:6" ht="144.94999999999999">
      <c r="B50" s="275" t="s">
        <v>3754</v>
      </c>
      <c r="C50" s="281" t="s">
        <v>766</v>
      </c>
      <c r="D50" s="282" t="s">
        <v>3919</v>
      </c>
      <c r="E50" s="283" t="s">
        <v>3920</v>
      </c>
      <c r="F50" s="163" t="s">
        <v>3700</v>
      </c>
    </row>
    <row r="51" spans="2:6" ht="144.94999999999999">
      <c r="B51" s="187" t="s">
        <v>3694</v>
      </c>
      <c r="C51" s="209" t="s">
        <v>785</v>
      </c>
      <c r="D51" s="57" t="s">
        <v>3919</v>
      </c>
      <c r="E51" s="208" t="s">
        <v>3920</v>
      </c>
      <c r="F51" s="207" t="s">
        <v>3700</v>
      </c>
    </row>
    <row r="52" spans="2:6" ht="57.95">
      <c r="B52" s="187" t="s">
        <v>3704</v>
      </c>
      <c r="C52" s="188" t="s">
        <v>3921</v>
      </c>
      <c r="D52" s="57" t="s">
        <v>3922</v>
      </c>
      <c r="E52" s="206" t="s">
        <v>3923</v>
      </c>
      <c r="F52" s="207" t="s">
        <v>3703</v>
      </c>
    </row>
    <row r="53" spans="2:6" ht="57.95">
      <c r="B53" s="187" t="s">
        <v>3924</v>
      </c>
      <c r="C53" s="188" t="s">
        <v>958</v>
      </c>
      <c r="D53" s="57" t="s">
        <v>3925</v>
      </c>
      <c r="E53" s="206" t="s">
        <v>3926</v>
      </c>
      <c r="F53" s="207"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3639</v>
      </c>
      <c r="C2" s="85" t="s">
        <v>3640</v>
      </c>
      <c r="D2" s="85" t="s">
        <v>3641</v>
      </c>
      <c r="E2" s="85" t="s">
        <v>3642</v>
      </c>
      <c r="F2" s="85" t="s">
        <v>3643</v>
      </c>
      <c r="G2" s="85" t="s">
        <v>3644</v>
      </c>
      <c r="H2" s="85" t="s">
        <v>3645</v>
      </c>
      <c r="I2" s="85" t="s">
        <v>121</v>
      </c>
      <c r="J2" s="85" t="s">
        <v>137</v>
      </c>
      <c r="K2" s="85" t="s">
        <v>381</v>
      </c>
      <c r="L2" s="85" t="s">
        <v>149</v>
      </c>
      <c r="M2" s="85" t="s">
        <v>156</v>
      </c>
      <c r="N2" s="85" t="s">
        <v>168</v>
      </c>
      <c r="O2" s="85" t="s">
        <v>397</v>
      </c>
      <c r="P2" s="85" t="s">
        <v>177</v>
      </c>
      <c r="Q2" s="85" t="s">
        <v>188</v>
      </c>
      <c r="R2" s="85" t="s">
        <v>199</v>
      </c>
      <c r="S2" s="85" t="s">
        <v>211</v>
      </c>
      <c r="T2" s="85" t="s">
        <v>223</v>
      </c>
      <c r="U2" s="85" t="s">
        <v>3927</v>
      </c>
      <c r="V2" s="85" t="s">
        <v>3928</v>
      </c>
      <c r="W2" s="85" t="s">
        <v>446</v>
      </c>
      <c r="X2" s="85" t="s">
        <v>452</v>
      </c>
      <c r="Y2" s="85" t="s">
        <v>294</v>
      </c>
      <c r="Z2" s="85" t="s">
        <v>305</v>
      </c>
      <c r="AA2" s="85" t="s">
        <v>318</v>
      </c>
      <c r="AB2" s="85" t="s">
        <v>327</v>
      </c>
      <c r="AC2" s="85" t="s">
        <v>334</v>
      </c>
    </row>
    <row r="3" spans="2:29">
      <c r="B3" s="50" t="s">
        <v>3593</v>
      </c>
      <c r="C3" s="50">
        <v>1</v>
      </c>
      <c r="D3" s="50" t="s">
        <v>3929</v>
      </c>
      <c r="E3" s="104">
        <v>45441</v>
      </c>
      <c r="F3" s="50">
        <v>1</v>
      </c>
      <c r="G3" s="107">
        <v>1</v>
      </c>
      <c r="H3" s="107">
        <v>5903000000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row>
    <row r="4" spans="2:29">
      <c r="B4" s="50" t="s">
        <v>3595</v>
      </c>
      <c r="C4" s="50">
        <v>2</v>
      </c>
      <c r="D4" s="50" t="s">
        <v>3930</v>
      </c>
      <c r="E4" s="104">
        <v>45441</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row>
    <row r="5" spans="2:29">
      <c r="B5" s="50" t="s">
        <v>3597</v>
      </c>
      <c r="C5" s="50">
        <v>3</v>
      </c>
      <c r="D5" s="50" t="s">
        <v>3931</v>
      </c>
      <c r="E5" s="104">
        <v>45441</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v>0</v>
      </c>
      <c r="AC5" s="50" t="s">
        <v>3647</v>
      </c>
    </row>
    <row r="6" spans="2:29">
      <c r="B6" s="106" t="s">
        <v>3602</v>
      </c>
      <c r="C6" s="50">
        <v>6</v>
      </c>
      <c r="D6" s="50" t="s">
        <v>3932</v>
      </c>
      <c r="E6" s="104">
        <v>45441</v>
      </c>
      <c r="F6" s="50">
        <v>1</v>
      </c>
      <c r="G6" s="50" cm="1">
        <f t="array" ref="G6">SUMPRODUCT(--(I6:AC6&gt;0))/COUNTA(I6:AC6)</f>
        <v>1</v>
      </c>
      <c r="H6" s="50" t="s">
        <v>3656</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3605</v>
      </c>
      <c r="C7" s="50">
        <v>7</v>
      </c>
      <c r="D7" s="50" t="s">
        <v>3933</v>
      </c>
      <c r="E7" s="104">
        <v>45441</v>
      </c>
      <c r="F7" s="50">
        <v>1</v>
      </c>
      <c r="G7" s="50" cm="1">
        <f t="array" aca="1" ref="G7" ca="1">SUMPRODUCT(--(I7:AC7&lt;=I25:AC25))/COUNTA(I25:AC25)</f>
        <v>1</v>
      </c>
      <c r="H7" s="50" t="s">
        <v>3656</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3608</v>
      </c>
      <c r="C8" s="50">
        <v>8</v>
      </c>
      <c r="D8" s="50" t="s">
        <v>3934</v>
      </c>
      <c r="E8" s="104">
        <v>45441</v>
      </c>
      <c r="F8" s="50">
        <v>1</v>
      </c>
      <c r="G8" s="50" t="s">
        <v>3647</v>
      </c>
      <c r="H8" s="50" t="s">
        <v>3656</v>
      </c>
      <c r="I8" s="50">
        <v>31</v>
      </c>
      <c r="J8" s="50">
        <v>7.0000079999999997E+21</v>
      </c>
      <c r="K8" s="50">
        <v>1</v>
      </c>
      <c r="L8" s="50" t="s">
        <v>3725</v>
      </c>
      <c r="M8" s="50">
        <v>0</v>
      </c>
      <c r="N8" s="50">
        <v>20</v>
      </c>
      <c r="O8" s="50">
        <v>1329</v>
      </c>
      <c r="P8" s="50">
        <v>31</v>
      </c>
      <c r="Q8" s="50">
        <v>3.2487001E+22</v>
      </c>
      <c r="R8" s="104">
        <v>21205</v>
      </c>
      <c r="S8" s="104">
        <v>1</v>
      </c>
      <c r="T8" s="50">
        <v>0</v>
      </c>
      <c r="U8" s="104">
        <v>1</v>
      </c>
      <c r="V8" s="107">
        <v>25</v>
      </c>
      <c r="W8" s="50">
        <v>40967</v>
      </c>
      <c r="X8" s="50">
        <v>0</v>
      </c>
      <c r="Y8" s="50" t="s">
        <v>3725</v>
      </c>
      <c r="Z8" s="50" t="s">
        <v>3658</v>
      </c>
      <c r="AA8" s="50" t="s">
        <v>3935</v>
      </c>
      <c r="AB8" s="104">
        <v>45441</v>
      </c>
      <c r="AC8" s="50" t="s">
        <v>3936</v>
      </c>
    </row>
    <row r="9" spans="2:29">
      <c r="B9" s="50" t="s">
        <v>3610</v>
      </c>
      <c r="C9" s="50">
        <v>9</v>
      </c>
      <c r="D9" s="50" t="s">
        <v>3937</v>
      </c>
      <c r="E9" s="104">
        <v>45441</v>
      </c>
      <c r="F9" s="50">
        <v>1</v>
      </c>
      <c r="G9" s="50" t="s">
        <v>3647</v>
      </c>
      <c r="H9" s="50" t="s">
        <v>3656</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3656</v>
      </c>
      <c r="Y9" s="50">
        <v>5</v>
      </c>
      <c r="Z9" s="50" t="s">
        <v>3662</v>
      </c>
      <c r="AA9" s="50" t="s">
        <v>3935</v>
      </c>
      <c r="AB9" s="104">
        <v>45441</v>
      </c>
      <c r="AC9" s="50" t="s">
        <v>3938</v>
      </c>
    </row>
    <row r="10" spans="2:29">
      <c r="B10" s="106" t="s">
        <v>3612</v>
      </c>
      <c r="C10" s="50">
        <v>10</v>
      </c>
      <c r="D10" s="50" t="s">
        <v>3939</v>
      </c>
      <c r="E10" s="104">
        <v>45441</v>
      </c>
      <c r="F10" s="50">
        <v>1</v>
      </c>
      <c r="G10" s="50" t="s">
        <v>3647</v>
      </c>
      <c r="H10" s="50" t="s">
        <v>3656</v>
      </c>
      <c r="I10" s="50">
        <v>31</v>
      </c>
      <c r="J10" s="50">
        <v>8.0013669999999995E+24</v>
      </c>
      <c r="K10" s="50" t="s">
        <v>3940</v>
      </c>
      <c r="L10" s="50" t="s">
        <v>3725</v>
      </c>
      <c r="M10" s="50">
        <v>0</v>
      </c>
      <c r="N10" s="50">
        <v>20</v>
      </c>
      <c r="O10" s="50">
        <v>814</v>
      </c>
      <c r="P10" s="50">
        <v>31</v>
      </c>
      <c r="Q10" s="50">
        <v>2.3950315126102001E+29</v>
      </c>
      <c r="R10" s="104">
        <v>45441</v>
      </c>
      <c r="S10" s="104">
        <v>1</v>
      </c>
      <c r="T10" s="104">
        <v>978</v>
      </c>
      <c r="U10" s="104">
        <v>45441</v>
      </c>
      <c r="V10" s="107">
        <v>260</v>
      </c>
      <c r="W10" s="104">
        <v>45441</v>
      </c>
      <c r="X10" s="107">
        <v>250</v>
      </c>
      <c r="Y10" s="50" t="s">
        <v>3725</v>
      </c>
      <c r="Z10" s="50" t="s">
        <v>3658</v>
      </c>
      <c r="AA10" s="50" t="s">
        <v>3935</v>
      </c>
      <c r="AB10" s="104">
        <v>45441</v>
      </c>
      <c r="AC10" s="104" t="s">
        <v>3936</v>
      </c>
    </row>
    <row r="11" spans="2:29">
      <c r="B11" s="50" t="s">
        <v>3614</v>
      </c>
      <c r="C11" s="50">
        <v>11</v>
      </c>
      <c r="D11" s="50" t="s">
        <v>3941</v>
      </c>
      <c r="E11" s="104">
        <v>45441</v>
      </c>
      <c r="F11" s="50">
        <v>1</v>
      </c>
      <c r="G11" s="50" t="s">
        <v>3647</v>
      </c>
      <c r="H11" s="50" t="s">
        <v>3656</v>
      </c>
      <c r="I11" s="50">
        <v>31</v>
      </c>
      <c r="J11" s="50">
        <v>8.0013669999999995E+24</v>
      </c>
      <c r="K11" s="50" t="s">
        <v>3940</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3662</v>
      </c>
      <c r="AA11" s="50" t="s">
        <v>3935</v>
      </c>
      <c r="AB11" s="104">
        <v>45441</v>
      </c>
      <c r="AC11" s="104" t="s">
        <v>3942</v>
      </c>
    </row>
    <row r="12" spans="2:29">
      <c r="B12" s="50" t="s">
        <v>3616</v>
      </c>
      <c r="C12" s="50">
        <v>12</v>
      </c>
      <c r="D12" s="50" t="s">
        <v>3943</v>
      </c>
      <c r="E12" s="104">
        <v>45441</v>
      </c>
      <c r="F12" s="50">
        <v>1</v>
      </c>
      <c r="G12" s="50">
        <v>0.71428599999999998</v>
      </c>
      <c r="H12" s="50" t="s">
        <v>3656</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3618</v>
      </c>
      <c r="C13" s="50">
        <v>13</v>
      </c>
      <c r="D13" s="50" t="s">
        <v>3944</v>
      </c>
      <c r="E13" s="104">
        <v>45441</v>
      </c>
      <c r="F13" s="50">
        <v>1</v>
      </c>
      <c r="G13" s="107">
        <v>1</v>
      </c>
      <c r="H13" s="50" t="s">
        <v>3656</v>
      </c>
      <c r="I13" s="50" t="s">
        <v>3647</v>
      </c>
      <c r="J13" s="50" t="s">
        <v>3647</v>
      </c>
      <c r="K13" s="50" t="s">
        <v>3647</v>
      </c>
      <c r="L13" s="50" t="s">
        <v>3647</v>
      </c>
      <c r="M13" s="50" t="s">
        <v>3647</v>
      </c>
      <c r="N13" s="50" t="s">
        <v>3647</v>
      </c>
      <c r="O13" s="50" t="s">
        <v>3647</v>
      </c>
      <c r="P13" s="50" t="s">
        <v>3647</v>
      </c>
      <c r="Q13" s="50" t="s">
        <v>3647</v>
      </c>
      <c r="R13" s="105">
        <v>0</v>
      </c>
      <c r="S13" s="105">
        <v>0</v>
      </c>
      <c r="T13" s="105" t="s">
        <v>3647</v>
      </c>
      <c r="U13" s="105">
        <v>0</v>
      </c>
      <c r="V13" s="105" t="s">
        <v>3647</v>
      </c>
      <c r="W13" s="107">
        <v>0</v>
      </c>
      <c r="X13" s="105" t="s">
        <v>3647</v>
      </c>
      <c r="Y13" s="107" t="s">
        <v>3647</v>
      </c>
      <c r="Z13" s="50" t="s">
        <v>3647</v>
      </c>
      <c r="AA13" s="50" t="s">
        <v>3647</v>
      </c>
      <c r="AB13" s="104" t="s">
        <v>3647</v>
      </c>
      <c r="AC13" s="104" t="s">
        <v>3647</v>
      </c>
    </row>
    <row r="14" spans="2:29">
      <c r="B14" s="50" t="s">
        <v>3620</v>
      </c>
      <c r="C14" s="50">
        <v>14</v>
      </c>
      <c r="D14" s="50" t="s">
        <v>3945</v>
      </c>
      <c r="E14" s="104">
        <v>45441</v>
      </c>
      <c r="F14" s="50">
        <v>1</v>
      </c>
      <c r="G14" s="107">
        <v>1</v>
      </c>
      <c r="H14" s="50" t="s">
        <v>3656</v>
      </c>
      <c r="I14" s="50">
        <v>0</v>
      </c>
      <c r="J14" s="50">
        <v>0</v>
      </c>
      <c r="K14" s="50">
        <v>0</v>
      </c>
      <c r="L14" s="50">
        <v>0</v>
      </c>
      <c r="M14" s="50">
        <v>0</v>
      </c>
      <c r="N14" s="50">
        <v>0</v>
      </c>
      <c r="O14" s="50">
        <v>0</v>
      </c>
      <c r="P14" s="50">
        <v>0</v>
      </c>
      <c r="Q14" s="50">
        <v>0</v>
      </c>
      <c r="R14" s="50" t="s">
        <v>3647</v>
      </c>
      <c r="S14" s="50" t="s">
        <v>3647</v>
      </c>
      <c r="T14" s="50">
        <v>0</v>
      </c>
      <c r="U14" s="50" t="s">
        <v>3647</v>
      </c>
      <c r="V14" s="50" t="s">
        <v>3647</v>
      </c>
      <c r="W14" s="50" t="s">
        <v>3647</v>
      </c>
      <c r="X14" s="50" t="s">
        <v>3647</v>
      </c>
      <c r="Y14" s="50">
        <v>0</v>
      </c>
      <c r="Z14" s="50">
        <v>0</v>
      </c>
      <c r="AA14" s="50">
        <v>0</v>
      </c>
      <c r="AB14" s="50" t="s">
        <v>3647</v>
      </c>
      <c r="AC14" s="50" t="s">
        <v>3647</v>
      </c>
    </row>
    <row r="15" spans="2:29">
      <c r="B15" s="50" t="s">
        <v>3622</v>
      </c>
      <c r="C15" s="50">
        <v>15</v>
      </c>
      <c r="D15" s="50" t="s">
        <v>3946</v>
      </c>
      <c r="E15" s="104">
        <v>45441</v>
      </c>
      <c r="F15" s="50">
        <v>1</v>
      </c>
      <c r="G15" s="107">
        <v>1</v>
      </c>
      <c r="H15" s="199" t="s">
        <v>3656</v>
      </c>
      <c r="I15" s="50" t="s">
        <v>3647</v>
      </c>
      <c r="J15" s="50" t="s">
        <v>3647</v>
      </c>
      <c r="K15" s="50" t="s">
        <v>3647</v>
      </c>
      <c r="L15" s="50" t="s">
        <v>3647</v>
      </c>
      <c r="M15" s="50" t="s">
        <v>3647</v>
      </c>
      <c r="N15" s="50" t="s">
        <v>3647</v>
      </c>
      <c r="O15" s="50" t="s">
        <v>3647</v>
      </c>
      <c r="P15" s="50" t="s">
        <v>3647</v>
      </c>
      <c r="Q15" s="50" t="s">
        <v>3647</v>
      </c>
      <c r="R15" s="106" t="s">
        <v>3647</v>
      </c>
      <c r="S15" s="106" t="s">
        <v>3647</v>
      </c>
      <c r="T15" s="106" t="s">
        <v>3647</v>
      </c>
      <c r="U15" s="106" t="s">
        <v>3647</v>
      </c>
      <c r="V15" s="106" t="s">
        <v>3647</v>
      </c>
      <c r="W15" s="106" t="s">
        <v>3647</v>
      </c>
      <c r="X15" s="106" t="s">
        <v>3647</v>
      </c>
      <c r="Y15" s="50" t="s">
        <v>3647</v>
      </c>
      <c r="Z15" s="50" t="s">
        <v>3647</v>
      </c>
      <c r="AA15" s="50" t="s">
        <v>3647</v>
      </c>
      <c r="AB15" s="50" t="s">
        <v>3647</v>
      </c>
      <c r="AC15" s="50" t="s">
        <v>3647</v>
      </c>
    </row>
    <row r="16" spans="2:29">
      <c r="B16" s="50" t="s">
        <v>3624</v>
      </c>
      <c r="C16" s="50">
        <v>16</v>
      </c>
      <c r="D16" s="50" t="s">
        <v>3946</v>
      </c>
      <c r="E16" s="104">
        <v>45441</v>
      </c>
      <c r="F16" s="50">
        <v>1</v>
      </c>
      <c r="G16" s="107">
        <v>1</v>
      </c>
      <c r="H16" s="199" t="s">
        <v>3656</v>
      </c>
      <c r="I16" s="50" t="s">
        <v>3647</v>
      </c>
      <c r="J16" s="50" t="s">
        <v>3647</v>
      </c>
      <c r="K16" s="50" t="s">
        <v>3647</v>
      </c>
      <c r="L16" s="50" t="s">
        <v>3647</v>
      </c>
      <c r="M16" s="50" t="s">
        <v>3647</v>
      </c>
      <c r="N16" s="50" t="s">
        <v>3647</v>
      </c>
      <c r="O16" s="50" t="s">
        <v>3647</v>
      </c>
      <c r="P16" s="50" t="s">
        <v>3647</v>
      </c>
      <c r="Q16" s="50" t="s">
        <v>3647</v>
      </c>
      <c r="R16" s="50" t="s">
        <v>3647</v>
      </c>
      <c r="S16" s="50" t="s">
        <v>3647</v>
      </c>
      <c r="T16" s="50" t="s">
        <v>3647</v>
      </c>
      <c r="U16" s="50" t="s">
        <v>3647</v>
      </c>
      <c r="V16" s="50" t="s">
        <v>3647</v>
      </c>
      <c r="W16" s="50" t="s">
        <v>3647</v>
      </c>
      <c r="X16" s="50" t="s">
        <v>3647</v>
      </c>
      <c r="Y16" s="50" t="s">
        <v>3647</v>
      </c>
      <c r="Z16" s="50" t="s">
        <v>3647</v>
      </c>
      <c r="AA16" s="50" t="s">
        <v>3647</v>
      </c>
      <c r="AB16" s="50" t="s">
        <v>3647</v>
      </c>
      <c r="AC16" s="50" t="s">
        <v>3647</v>
      </c>
    </row>
    <row r="17" spans="2:31">
      <c r="B17" s="50" t="s">
        <v>3630</v>
      </c>
      <c r="C17" s="50">
        <v>19</v>
      </c>
      <c r="D17" s="50" t="s">
        <v>3947</v>
      </c>
      <c r="E17" s="104">
        <v>45441</v>
      </c>
      <c r="F17" s="50">
        <v>1</v>
      </c>
      <c r="G17" s="50" cm="1">
        <f t="array" ref="G17">SUMPRODUCT(--(ISNUMBER((SEARCH(I23:AC23,I17:AC17)))))/COUNTA(I17:AC17)</f>
        <v>0</v>
      </c>
      <c r="H17" s="107" t="s">
        <v>3656</v>
      </c>
      <c r="I17" s="50" t="s">
        <v>3681</v>
      </c>
      <c r="J17" s="50" t="s">
        <v>3681</v>
      </c>
      <c r="K17" s="50" t="s">
        <v>3681</v>
      </c>
      <c r="L17" s="50" t="s">
        <v>3681</v>
      </c>
      <c r="M17" s="50" t="s">
        <v>3681</v>
      </c>
      <c r="N17" s="50" t="s">
        <v>3681</v>
      </c>
      <c r="O17" s="50" t="s">
        <v>3681</v>
      </c>
      <c r="P17" s="50" t="s">
        <v>3681</v>
      </c>
      <c r="Q17" s="50" t="s">
        <v>3681</v>
      </c>
      <c r="R17" s="50" t="s">
        <v>3681</v>
      </c>
      <c r="S17" s="50" t="s">
        <v>3681</v>
      </c>
      <c r="T17" s="50" t="s">
        <v>3681</v>
      </c>
      <c r="U17" s="50" t="s">
        <v>3681</v>
      </c>
      <c r="V17" s="50" t="s">
        <v>3948</v>
      </c>
      <c r="W17" s="50" t="s">
        <v>3681</v>
      </c>
      <c r="X17" s="50" t="s">
        <v>3948</v>
      </c>
      <c r="Y17" s="50" t="s">
        <v>3681</v>
      </c>
      <c r="Z17" s="50" t="s">
        <v>3681</v>
      </c>
      <c r="AA17" s="50" t="s">
        <v>3681</v>
      </c>
      <c r="AB17" s="50" t="s">
        <v>3681</v>
      </c>
      <c r="AC17" s="50" t="s">
        <v>3683</v>
      </c>
    </row>
    <row r="18" spans="2:31">
      <c r="B18" s="50" t="s">
        <v>3633</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3636</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3753</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3639</v>
      </c>
      <c r="C23" s="140" t="s">
        <v>3640</v>
      </c>
      <c r="D23" s="140" t="s">
        <v>3641</v>
      </c>
      <c r="E23" s="140" t="s">
        <v>3642</v>
      </c>
      <c r="F23" s="140" t="s">
        <v>3643</v>
      </c>
      <c r="G23" s="140" t="s">
        <v>3644</v>
      </c>
      <c r="H23" s="140" t="s">
        <v>3645</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3684</v>
      </c>
      <c r="C24" s="152">
        <v>21</v>
      </c>
      <c r="D24" s="121" t="s">
        <v>3685</v>
      </c>
      <c r="E24" s="120" t="s">
        <v>3686</v>
      </c>
      <c r="F24" s="120" t="s">
        <v>372</v>
      </c>
      <c r="G24" s="120" t="s">
        <v>372</v>
      </c>
      <c r="H24" s="120" t="s">
        <v>372</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3687</v>
      </c>
      <c r="C25" s="122">
        <v>7</v>
      </c>
      <c r="D25" s="128" t="s">
        <v>3685</v>
      </c>
      <c r="E25" s="127" t="s">
        <v>3686</v>
      </c>
      <c r="F25" s="127" t="s">
        <v>372</v>
      </c>
      <c r="G25" s="127" t="s">
        <v>372</v>
      </c>
      <c r="H25" s="127" t="s">
        <v>372</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3688</v>
      </c>
    </row>
    <row r="28" spans="2:31">
      <c r="B28" s="143" t="s">
        <v>3689</v>
      </c>
      <c r="C28" s="143" t="s">
        <v>3690</v>
      </c>
      <c r="D28" s="144" t="s">
        <v>3691</v>
      </c>
      <c r="E28" s="143" t="s">
        <v>3692</v>
      </c>
      <c r="F28" s="143" t="s">
        <v>3693</v>
      </c>
    </row>
    <row r="29" spans="2:31" ht="43.5">
      <c r="B29" s="120" t="s">
        <v>3754</v>
      </c>
      <c r="C29" s="124" t="s">
        <v>452</v>
      </c>
      <c r="D29" s="53" t="s">
        <v>3949</v>
      </c>
      <c r="E29" s="145" t="s">
        <v>3950</v>
      </c>
      <c r="F29" s="145" t="s">
        <v>3700</v>
      </c>
    </row>
    <row r="30" spans="2:31" ht="43.5">
      <c r="B30" s="120" t="s">
        <v>3754</v>
      </c>
      <c r="C30" s="124" t="s">
        <v>446</v>
      </c>
      <c r="D30" s="53" t="s">
        <v>3949</v>
      </c>
      <c r="E30" s="145" t="s">
        <v>3950</v>
      </c>
      <c r="F30" s="145"/>
    </row>
    <row r="31" spans="2:31" ht="43.5">
      <c r="B31" s="120" t="s">
        <v>3754</v>
      </c>
      <c r="C31" s="124" t="s">
        <v>3927</v>
      </c>
      <c r="D31" s="53" t="s">
        <v>3951</v>
      </c>
      <c r="E31" s="145" t="s">
        <v>3952</v>
      </c>
      <c r="F31" s="145"/>
    </row>
    <row r="32" spans="2:31" ht="43.5">
      <c r="B32" s="120" t="s">
        <v>3754</v>
      </c>
      <c r="C32" s="124" t="s">
        <v>3953</v>
      </c>
      <c r="D32" s="53" t="s">
        <v>3951</v>
      </c>
      <c r="E32" s="145" t="s">
        <v>3952</v>
      </c>
      <c r="F32" s="145" t="s">
        <v>3700</v>
      </c>
    </row>
    <row r="33" spans="2:6" ht="29.1">
      <c r="B33" s="146" t="s">
        <v>3754</v>
      </c>
      <c r="C33" s="147" t="s">
        <v>156</v>
      </c>
      <c r="D33" s="148" t="s">
        <v>3954</v>
      </c>
      <c r="E33" s="198" t="s">
        <v>3955</v>
      </c>
      <c r="F33" s="145" t="s">
        <v>3700</v>
      </c>
    </row>
    <row r="34" spans="2:6" ht="29.1">
      <c r="B34" s="146" t="s">
        <v>3754</v>
      </c>
      <c r="C34" s="147" t="s">
        <v>168</v>
      </c>
      <c r="D34" s="148" t="s">
        <v>3954</v>
      </c>
      <c r="E34" s="198" t="s">
        <v>3955</v>
      </c>
      <c r="F34"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3639</v>
      </c>
      <c r="C2" s="85" t="s">
        <v>3640</v>
      </c>
      <c r="D2" s="85" t="s">
        <v>3641</v>
      </c>
      <c r="E2" s="85" t="s">
        <v>3642</v>
      </c>
      <c r="F2" s="85" t="s">
        <v>3643</v>
      </c>
      <c r="G2" s="85" t="s">
        <v>3644</v>
      </c>
      <c r="H2" s="85" t="s">
        <v>3645</v>
      </c>
      <c r="I2" s="85" t="s">
        <v>121</v>
      </c>
      <c r="J2" s="85" t="s">
        <v>575</v>
      </c>
      <c r="K2" s="85" t="s">
        <v>149</v>
      </c>
      <c r="L2" s="85" t="s">
        <v>156</v>
      </c>
      <c r="M2" s="85" t="s">
        <v>168</v>
      </c>
      <c r="N2" s="85" t="s">
        <v>177</v>
      </c>
      <c r="O2" s="85" t="s">
        <v>188</v>
      </c>
      <c r="P2" s="85" t="s">
        <v>199</v>
      </c>
      <c r="Q2" s="85" t="s">
        <v>211</v>
      </c>
      <c r="R2" s="85" t="s">
        <v>223</v>
      </c>
      <c r="S2" s="85" t="s">
        <v>649</v>
      </c>
      <c r="T2" s="85" t="s">
        <v>658</v>
      </c>
      <c r="U2" s="85" t="s">
        <v>667</v>
      </c>
      <c r="V2" s="85" t="s">
        <v>327</v>
      </c>
      <c r="W2" s="85" t="s">
        <v>334</v>
      </c>
    </row>
    <row r="3" spans="2:23">
      <c r="B3" s="50" t="s">
        <v>3593</v>
      </c>
      <c r="C3" s="50">
        <v>1</v>
      </c>
      <c r="D3" s="50" t="s">
        <v>3956</v>
      </c>
      <c r="E3" s="104">
        <v>45439</v>
      </c>
      <c r="F3" s="50">
        <v>1</v>
      </c>
      <c r="G3" s="202">
        <v>1</v>
      </c>
      <c r="H3" s="200" t="s">
        <v>3957</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3958</v>
      </c>
      <c r="E4" s="104">
        <v>45439</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3959</v>
      </c>
      <c r="E5" s="104">
        <v>45439</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3959</v>
      </c>
      <c r="E6" s="104" t="s">
        <v>3647</v>
      </c>
      <c r="F6" s="50">
        <v>1</v>
      </c>
      <c r="G6" s="202" t="s">
        <v>3647</v>
      </c>
      <c r="H6" s="50">
        <v>0</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3959</v>
      </c>
      <c r="E7" s="104" t="s">
        <v>3647</v>
      </c>
      <c r="F7" s="50">
        <v>1</v>
      </c>
      <c r="G7" s="202" t="s">
        <v>3647</v>
      </c>
      <c r="H7" s="50">
        <v>0</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3960</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3605</v>
      </c>
      <c r="C9" s="50">
        <v>7</v>
      </c>
      <c r="D9" s="50" t="s">
        <v>3961</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3608</v>
      </c>
      <c r="C10" s="50">
        <v>8</v>
      </c>
      <c r="D10" s="50" t="s">
        <v>3962</v>
      </c>
      <c r="E10" s="104">
        <v>45439</v>
      </c>
      <c r="F10" s="50">
        <v>1</v>
      </c>
      <c r="G10" s="202" t="s">
        <v>3647</v>
      </c>
      <c r="H10" s="50">
        <v>0</v>
      </c>
      <c r="I10" s="50">
        <v>31</v>
      </c>
      <c r="J10" s="194">
        <v>300001496092</v>
      </c>
      <c r="K10" s="50" t="s">
        <v>3725</v>
      </c>
      <c r="L10" s="50">
        <v>90</v>
      </c>
      <c r="M10" s="50">
        <v>1</v>
      </c>
      <c r="N10" s="50">
        <v>31</v>
      </c>
      <c r="O10" s="50">
        <v>2.0461000999999998E+22</v>
      </c>
      <c r="P10" s="104" t="s">
        <v>3655</v>
      </c>
      <c r="Q10" s="104">
        <v>2958465</v>
      </c>
      <c r="R10" s="50">
        <v>978</v>
      </c>
      <c r="S10" s="107">
        <v>-25991130000</v>
      </c>
      <c r="T10" s="50" t="s">
        <v>3725</v>
      </c>
      <c r="U10" s="50" t="s">
        <v>3658</v>
      </c>
      <c r="V10" s="104">
        <v>45439</v>
      </c>
      <c r="W10" s="50" t="s">
        <v>3963</v>
      </c>
    </row>
    <row r="11" spans="2:23">
      <c r="B11" s="50" t="s">
        <v>3610</v>
      </c>
      <c r="C11" s="50">
        <v>9</v>
      </c>
      <c r="D11" s="50" t="s">
        <v>3964</v>
      </c>
      <c r="E11" s="104">
        <v>45439</v>
      </c>
      <c r="F11" s="50">
        <v>1</v>
      </c>
      <c r="G11" s="202" t="s">
        <v>3647</v>
      </c>
      <c r="H11" s="50">
        <v>0</v>
      </c>
      <c r="I11" s="50">
        <v>31</v>
      </c>
      <c r="J11" s="194">
        <v>300001496092</v>
      </c>
      <c r="K11" s="50"/>
      <c r="L11" s="50">
        <v>90</v>
      </c>
      <c r="M11" s="50">
        <v>1</v>
      </c>
      <c r="N11" s="50"/>
      <c r="O11" s="50">
        <v>2.0461000999999998E+22</v>
      </c>
      <c r="P11" s="50" t="s">
        <v>3655</v>
      </c>
      <c r="Q11" s="104">
        <v>2958465</v>
      </c>
      <c r="R11" s="50">
        <v>978</v>
      </c>
      <c r="S11" s="107" t="s">
        <v>3965</v>
      </c>
      <c r="T11" s="50">
        <v>0</v>
      </c>
      <c r="U11" s="50" t="s">
        <v>3662</v>
      </c>
      <c r="V11" s="104">
        <v>45439</v>
      </c>
      <c r="W11" s="50" t="s">
        <v>3966</v>
      </c>
    </row>
    <row r="12" spans="2:23">
      <c r="B12" s="106" t="s">
        <v>3612</v>
      </c>
      <c r="C12" s="50">
        <v>10</v>
      </c>
      <c r="D12" s="50" t="s">
        <v>3967</v>
      </c>
      <c r="E12" s="104">
        <v>45439</v>
      </c>
      <c r="F12" s="50">
        <v>1</v>
      </c>
      <c r="G12" s="202" t="s">
        <v>3647</v>
      </c>
      <c r="H12" s="50">
        <v>0</v>
      </c>
      <c r="I12" s="50">
        <v>31</v>
      </c>
      <c r="J12" s="194">
        <v>689000000023092</v>
      </c>
      <c r="K12" s="50" t="s">
        <v>3725</v>
      </c>
      <c r="L12" s="50">
        <v>92</v>
      </c>
      <c r="M12" s="50" t="s">
        <v>3737</v>
      </c>
      <c r="N12" s="50">
        <v>31</v>
      </c>
      <c r="O12" s="50">
        <v>2.3970029463101999E+29</v>
      </c>
      <c r="P12" s="104">
        <v>45439</v>
      </c>
      <c r="Q12" s="104">
        <v>2958465</v>
      </c>
      <c r="R12" s="50">
        <v>978</v>
      </c>
      <c r="S12" s="107">
        <v>5423613370000</v>
      </c>
      <c r="T12" s="50" t="s">
        <v>3725</v>
      </c>
      <c r="U12" s="50" t="s">
        <v>3658</v>
      </c>
      <c r="V12" s="104">
        <v>45439</v>
      </c>
      <c r="W12" s="50" t="s">
        <v>3963</v>
      </c>
    </row>
    <row r="13" spans="2:23">
      <c r="B13" s="50" t="s">
        <v>3614</v>
      </c>
      <c r="C13" s="50">
        <v>11</v>
      </c>
      <c r="D13" s="50" t="s">
        <v>3968</v>
      </c>
      <c r="E13" s="104">
        <v>45439</v>
      </c>
      <c r="F13" s="50">
        <v>1</v>
      </c>
      <c r="G13" s="202" t="s">
        <v>3647</v>
      </c>
      <c r="H13" s="50">
        <v>0</v>
      </c>
      <c r="I13" s="50">
        <v>31</v>
      </c>
      <c r="J13" s="194">
        <v>689000000023092</v>
      </c>
      <c r="K13" s="50"/>
      <c r="L13" s="50">
        <v>92</v>
      </c>
      <c r="M13" s="50" t="s">
        <v>3737</v>
      </c>
      <c r="N13" s="50"/>
      <c r="O13" s="50">
        <v>2.3970029463101999E+29</v>
      </c>
      <c r="P13" s="104">
        <v>45439</v>
      </c>
      <c r="Q13" s="104">
        <v>2958465</v>
      </c>
      <c r="R13" s="50">
        <v>978</v>
      </c>
      <c r="S13" s="107" t="s">
        <v>3969</v>
      </c>
      <c r="T13" s="50">
        <v>0</v>
      </c>
      <c r="U13" s="50" t="s">
        <v>3662</v>
      </c>
      <c r="V13" s="104">
        <v>45439</v>
      </c>
      <c r="W13" s="50" t="s">
        <v>3970</v>
      </c>
    </row>
    <row r="14" spans="2:23">
      <c r="B14" s="50" t="s">
        <v>3616</v>
      </c>
      <c r="C14" s="50">
        <v>12</v>
      </c>
      <c r="D14" s="50" t="s">
        <v>3971</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3618</v>
      </c>
      <c r="C15" s="50">
        <v>13</v>
      </c>
      <c r="D15" s="50" t="s">
        <v>3972</v>
      </c>
      <c r="E15" s="104">
        <v>45439</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3973</v>
      </c>
      <c r="E16" s="104">
        <v>45439</v>
      </c>
      <c r="F16" s="50">
        <v>1</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c r="B17" s="50" t="s">
        <v>3622</v>
      </c>
      <c r="C17" s="50">
        <v>15</v>
      </c>
      <c r="D17" s="50" t="s">
        <v>3974</v>
      </c>
      <c r="E17" s="104">
        <v>45439</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c r="B18" s="50" t="s">
        <v>3624</v>
      </c>
      <c r="C18" s="50">
        <v>16</v>
      </c>
      <c r="D18" s="50" t="s">
        <v>3974</v>
      </c>
      <c r="E18" s="104">
        <v>45439</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c r="B19" s="50" t="s">
        <v>3630</v>
      </c>
      <c r="C19" s="50">
        <v>19</v>
      </c>
      <c r="D19" s="50" t="s">
        <v>3975</v>
      </c>
      <c r="E19" s="104">
        <v>45439</v>
      </c>
      <c r="F19" s="50">
        <v>1</v>
      </c>
      <c r="G19" s="202" cm="1">
        <f t="array" aca="1" ref="G19" ca="1">SUMPRODUCT(--(ISNUMBER((SEARCH(I25:W25,I19:W19)))))/COUNTA(I19:W19)</f>
        <v>1</v>
      </c>
      <c r="H19" s="50">
        <v>0</v>
      </c>
      <c r="I19" s="50" t="s">
        <v>3681</v>
      </c>
      <c r="J19" s="50" t="s">
        <v>3681</v>
      </c>
      <c r="K19" s="50" t="s">
        <v>3681</v>
      </c>
      <c r="L19" s="50" t="s">
        <v>3681</v>
      </c>
      <c r="M19" s="50" t="s">
        <v>3681</v>
      </c>
      <c r="N19" s="50" t="s">
        <v>3681</v>
      </c>
      <c r="O19" s="50" t="s">
        <v>3681</v>
      </c>
      <c r="P19" s="50" t="s">
        <v>3681</v>
      </c>
      <c r="Q19" s="50" t="s">
        <v>3681</v>
      </c>
      <c r="R19" s="50" t="s">
        <v>3681</v>
      </c>
      <c r="S19" s="50" t="s">
        <v>3682</v>
      </c>
      <c r="T19" s="50" t="s">
        <v>3681</v>
      </c>
      <c r="U19" s="50" t="s">
        <v>3681</v>
      </c>
      <c r="V19" s="50" t="s">
        <v>3681</v>
      </c>
      <c r="W19" s="50" t="s">
        <v>3683</v>
      </c>
    </row>
    <row r="20" spans="2:23">
      <c r="B20" s="50" t="s">
        <v>3633</v>
      </c>
      <c r="C20" s="50">
        <v>20</v>
      </c>
      <c r="D20" s="50" t="s">
        <v>3976</v>
      </c>
      <c r="E20" s="104">
        <v>45439</v>
      </c>
      <c r="F20" s="50">
        <v>1</v>
      </c>
      <c r="G20" s="202" cm="1">
        <f t="array" ref="G20">SUM(IF(I2:S2 = I24:S24, 1, 0))/ COUNTA(I2:S2)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c r="B21" s="50" t="s">
        <v>3636</v>
      </c>
      <c r="C21" s="50">
        <v>21</v>
      </c>
      <c r="D21" s="50" t="s">
        <v>3976</v>
      </c>
      <c r="E21" s="104">
        <v>45439</v>
      </c>
      <c r="F21" s="50">
        <v>1</v>
      </c>
      <c r="G21" s="202" cm="1">
        <f t="array" aca="1" ref="G21" ca="1">SUM(IF(IF(G3:G20="null",1,G3:G20)=1,1,0))/COUNT(IF(G3:G20="null",1,1))</f>
        <v>1</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3753</v>
      </c>
      <c r="C23" s="151"/>
      <c r="D23" s="151"/>
      <c r="E23" s="151"/>
      <c r="F23" s="151"/>
      <c r="G23" s="151"/>
      <c r="H23" s="151"/>
    </row>
    <row r="24" spans="2:23">
      <c r="B24" s="137" t="s">
        <v>3639</v>
      </c>
      <c r="C24" s="138" t="s">
        <v>3640</v>
      </c>
      <c r="D24" s="138" t="s">
        <v>3641</v>
      </c>
      <c r="E24" s="138" t="s">
        <v>3642</v>
      </c>
      <c r="F24" s="138" t="s">
        <v>3643</v>
      </c>
      <c r="G24" s="138" t="s">
        <v>3644</v>
      </c>
      <c r="H24" s="138" t="s">
        <v>3645</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3688</v>
      </c>
    </row>
    <row r="29" spans="2:23">
      <c r="B29" s="143" t="s">
        <v>3689</v>
      </c>
      <c r="C29" s="143" t="s">
        <v>3690</v>
      </c>
      <c r="D29" s="144" t="s">
        <v>3691</v>
      </c>
      <c r="E29" s="143" t="s">
        <v>3692</v>
      </c>
      <c r="F29" s="143" t="s">
        <v>3693</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3639</v>
      </c>
      <c r="C2" s="85" t="s">
        <v>3640</v>
      </c>
      <c r="D2" s="85" t="s">
        <v>3641</v>
      </c>
      <c r="E2" s="85" t="s">
        <v>3642</v>
      </c>
      <c r="F2" s="85" t="s">
        <v>3643</v>
      </c>
      <c r="G2" s="85" t="s">
        <v>3644</v>
      </c>
      <c r="H2" s="85" t="s">
        <v>3645</v>
      </c>
      <c r="I2" s="85" t="s">
        <v>121</v>
      </c>
      <c r="J2" s="85" t="s">
        <v>575</v>
      </c>
      <c r="K2" s="85" t="s">
        <v>149</v>
      </c>
      <c r="L2" s="85" t="s">
        <v>156</v>
      </c>
      <c r="M2" s="85" t="s">
        <v>168</v>
      </c>
      <c r="N2" s="85" t="s">
        <v>177</v>
      </c>
      <c r="O2" s="85" t="s">
        <v>188</v>
      </c>
      <c r="P2" s="85" t="s">
        <v>199</v>
      </c>
      <c r="Q2" s="85" t="s">
        <v>211</v>
      </c>
      <c r="R2" s="85" t="s">
        <v>223</v>
      </c>
      <c r="S2" s="85" t="s">
        <v>261</v>
      </c>
      <c r="T2" s="85" t="s">
        <v>658</v>
      </c>
      <c r="U2" s="85" t="s">
        <v>667</v>
      </c>
      <c r="V2" s="85" t="s">
        <v>327</v>
      </c>
      <c r="W2" s="85" t="s">
        <v>334</v>
      </c>
    </row>
    <row r="3" spans="2:23">
      <c r="B3" s="50" t="s">
        <v>3593</v>
      </c>
      <c r="C3" s="50">
        <v>1</v>
      </c>
      <c r="D3" s="50" t="s">
        <v>3977</v>
      </c>
      <c r="E3" s="104">
        <v>45433</v>
      </c>
      <c r="F3" s="50">
        <v>2</v>
      </c>
      <c r="G3" s="202">
        <v>1</v>
      </c>
      <c r="H3" s="50">
        <v>15076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3978</v>
      </c>
      <c r="E4" s="104">
        <v>45433</v>
      </c>
      <c r="F4" s="50">
        <v>2</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3979</v>
      </c>
      <c r="E5" s="104">
        <v>45433</v>
      </c>
      <c r="F5" s="50">
        <v>2</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3650</v>
      </c>
      <c r="E6" s="104" t="s">
        <v>3647</v>
      </c>
      <c r="F6" s="50">
        <v>2</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3650</v>
      </c>
      <c r="E7" s="104" t="s">
        <v>3647</v>
      </c>
      <c r="F7" s="50">
        <v>2</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3980</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3605</v>
      </c>
      <c r="C9" s="50">
        <v>7</v>
      </c>
      <c r="D9" s="50" t="s">
        <v>3981</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3608</v>
      </c>
      <c r="C10" s="50">
        <v>8</v>
      </c>
      <c r="D10" s="50" t="s">
        <v>3982</v>
      </c>
      <c r="E10" s="104">
        <v>45433</v>
      </c>
      <c r="F10" s="50">
        <v>2</v>
      </c>
      <c r="G10" s="50" t="s">
        <v>3647</v>
      </c>
      <c r="H10" s="50">
        <v>0</v>
      </c>
      <c r="I10" s="50">
        <v>31</v>
      </c>
      <c r="J10" s="50">
        <v>50000028007</v>
      </c>
      <c r="K10" s="50" t="s">
        <v>3877</v>
      </c>
      <c r="L10" s="50">
        <v>7</v>
      </c>
      <c r="M10" s="50">
        <v>101</v>
      </c>
      <c r="N10" s="50">
        <v>31</v>
      </c>
      <c r="O10" s="50">
        <v>2.2822000999999998E+22</v>
      </c>
      <c r="P10" s="104">
        <v>35300</v>
      </c>
      <c r="Q10" s="104">
        <v>2958465</v>
      </c>
      <c r="R10" s="50">
        <v>124</v>
      </c>
      <c r="S10" s="107" t="s">
        <v>3656</v>
      </c>
      <c r="T10" s="50" t="s">
        <v>3657</v>
      </c>
      <c r="U10" s="50" t="s">
        <v>3658</v>
      </c>
      <c r="V10" s="104">
        <v>45433</v>
      </c>
      <c r="W10" s="50" t="s">
        <v>3983</v>
      </c>
    </row>
    <row r="11" spans="2:23">
      <c r="B11" s="50" t="s">
        <v>3610</v>
      </c>
      <c r="C11" s="50">
        <v>9</v>
      </c>
      <c r="D11" s="50" t="s">
        <v>3984</v>
      </c>
      <c r="E11" s="104">
        <v>45433</v>
      </c>
      <c r="F11" s="50">
        <v>2</v>
      </c>
      <c r="G11" s="50" t="s">
        <v>3647</v>
      </c>
      <c r="H11" s="50">
        <v>0</v>
      </c>
      <c r="I11" s="50">
        <v>31</v>
      </c>
      <c r="J11" s="50">
        <v>50000028007</v>
      </c>
      <c r="K11" s="50"/>
      <c r="L11" s="50">
        <v>7</v>
      </c>
      <c r="M11" s="50">
        <v>101</v>
      </c>
      <c r="N11" s="50"/>
      <c r="O11" s="50">
        <v>2.2822000999999998E+22</v>
      </c>
      <c r="P11" s="104">
        <v>35300</v>
      </c>
      <c r="Q11" s="104">
        <v>2958465</v>
      </c>
      <c r="R11" s="50">
        <v>124</v>
      </c>
      <c r="S11" s="50" t="s">
        <v>3732</v>
      </c>
      <c r="T11" s="50">
        <v>0</v>
      </c>
      <c r="U11" s="50" t="s">
        <v>3880</v>
      </c>
      <c r="V11" s="104">
        <v>45433</v>
      </c>
      <c r="W11" s="50" t="s">
        <v>3985</v>
      </c>
    </row>
    <row r="12" spans="2:23">
      <c r="B12" s="106" t="s">
        <v>3612</v>
      </c>
      <c r="C12" s="50">
        <v>10</v>
      </c>
      <c r="D12" s="50" t="s">
        <v>3986</v>
      </c>
      <c r="E12" s="104">
        <v>45433</v>
      </c>
      <c r="F12" s="50">
        <v>2</v>
      </c>
      <c r="G12" s="50" t="s">
        <v>3647</v>
      </c>
      <c r="H12" s="50">
        <v>0</v>
      </c>
      <c r="I12" s="50">
        <v>31</v>
      </c>
      <c r="J12" s="194">
        <v>607500070000019</v>
      </c>
      <c r="K12" s="50" t="s">
        <v>3877</v>
      </c>
      <c r="L12" s="50">
        <v>7</v>
      </c>
      <c r="M12" s="50" t="s">
        <v>3883</v>
      </c>
      <c r="N12" s="50">
        <v>31</v>
      </c>
      <c r="O12" s="50">
        <v>2.3930258433501999E+29</v>
      </c>
      <c r="P12" s="104">
        <v>45429</v>
      </c>
      <c r="Q12" s="104">
        <v>2958465</v>
      </c>
      <c r="R12" s="50">
        <v>978</v>
      </c>
      <c r="S12" s="166" t="s">
        <v>3987</v>
      </c>
      <c r="T12" s="50" t="s">
        <v>3657</v>
      </c>
      <c r="U12" s="50" t="s">
        <v>3988</v>
      </c>
      <c r="V12" s="104">
        <v>45433</v>
      </c>
      <c r="W12" s="50" t="s">
        <v>3983</v>
      </c>
    </row>
    <row r="13" spans="2:23">
      <c r="B13" s="50" t="s">
        <v>3614</v>
      </c>
      <c r="C13" s="50">
        <v>11</v>
      </c>
      <c r="D13" s="50" t="s">
        <v>3989</v>
      </c>
      <c r="E13" s="104">
        <v>45433</v>
      </c>
      <c r="F13" s="50">
        <v>2</v>
      </c>
      <c r="G13" s="50" t="s">
        <v>3647</v>
      </c>
      <c r="H13" s="50">
        <v>0</v>
      </c>
      <c r="I13" s="50">
        <v>31</v>
      </c>
      <c r="J13" s="194">
        <v>607500070000019</v>
      </c>
      <c r="K13" s="50"/>
      <c r="L13" s="50">
        <v>7</v>
      </c>
      <c r="M13" s="50" t="s">
        <v>3883</v>
      </c>
      <c r="N13" s="50"/>
      <c r="O13" s="50">
        <v>2.3930258433501999E+29</v>
      </c>
      <c r="P13" s="104">
        <v>45429</v>
      </c>
      <c r="Q13" s="104">
        <v>2958465</v>
      </c>
      <c r="R13" s="50">
        <v>978</v>
      </c>
      <c r="S13" s="50" t="s">
        <v>3888</v>
      </c>
      <c r="T13" s="50">
        <v>0</v>
      </c>
      <c r="U13" s="50" t="s">
        <v>3662</v>
      </c>
      <c r="V13" s="104">
        <v>45433</v>
      </c>
      <c r="W13" s="50" t="s">
        <v>3990</v>
      </c>
    </row>
    <row r="14" spans="2:23">
      <c r="B14" s="50" t="s">
        <v>3616</v>
      </c>
      <c r="C14" s="50">
        <v>12</v>
      </c>
      <c r="D14" s="50" t="s">
        <v>3991</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3618</v>
      </c>
      <c r="C15" s="50">
        <v>13</v>
      </c>
      <c r="D15" s="50" t="s">
        <v>3992</v>
      </c>
      <c r="E15" s="104">
        <v>45433</v>
      </c>
      <c r="F15" s="50">
        <v>2</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3993</v>
      </c>
      <c r="E16" s="104">
        <v>45433</v>
      </c>
      <c r="F16" s="50">
        <v>2</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c r="B17" s="50" t="s">
        <v>3622</v>
      </c>
      <c r="C17" s="50">
        <v>15</v>
      </c>
      <c r="D17" s="50" t="s">
        <v>3994</v>
      </c>
      <c r="E17" s="104">
        <v>45433</v>
      </c>
      <c r="F17" s="50">
        <v>2</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c r="B18" s="50" t="s">
        <v>3624</v>
      </c>
      <c r="C18" s="50">
        <v>16</v>
      </c>
      <c r="D18" s="50" t="s">
        <v>3994</v>
      </c>
      <c r="E18" s="104">
        <v>45433</v>
      </c>
      <c r="F18" s="50">
        <v>2</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c r="B19" s="50" t="s">
        <v>3630</v>
      </c>
      <c r="C19" s="50">
        <v>19</v>
      </c>
      <c r="D19" s="50" t="s">
        <v>3995</v>
      </c>
      <c r="E19" s="104">
        <v>45433</v>
      </c>
      <c r="F19" s="50">
        <v>2</v>
      </c>
      <c r="G19" s="218" cm="1">
        <f t="array" aca="1" ref="G19" ca="1">SUMPRODUCT(--(ISNUMBER((SEARCH(I25:W25,I19:W19)))))/COUNTA(I19:W19)</f>
        <v>0.8666666666666667</v>
      </c>
      <c r="H19" s="50">
        <v>0</v>
      </c>
      <c r="I19" s="50" t="s">
        <v>3681</v>
      </c>
      <c r="J19" s="50" t="s">
        <v>3681</v>
      </c>
      <c r="K19" s="50" t="s">
        <v>3681</v>
      </c>
      <c r="L19" s="50" t="s">
        <v>3681</v>
      </c>
      <c r="M19" s="50" t="s">
        <v>3681</v>
      </c>
      <c r="N19" s="50" t="s">
        <v>3681</v>
      </c>
      <c r="O19" s="50" t="s">
        <v>3681</v>
      </c>
      <c r="P19" s="50" t="s">
        <v>3996</v>
      </c>
      <c r="Q19" s="50" t="s">
        <v>3996</v>
      </c>
      <c r="R19" s="50" t="s">
        <v>3681</v>
      </c>
      <c r="S19" s="50" t="s">
        <v>3682</v>
      </c>
      <c r="T19" s="50" t="s">
        <v>3681</v>
      </c>
      <c r="U19" s="50" t="s">
        <v>3681</v>
      </c>
      <c r="V19" s="50" t="s">
        <v>3681</v>
      </c>
      <c r="W19" s="50" t="s">
        <v>3683</v>
      </c>
    </row>
    <row r="20" spans="2:23">
      <c r="B20" s="50" t="s">
        <v>3633</v>
      </c>
      <c r="C20" s="50">
        <v>20</v>
      </c>
      <c r="D20" s="50" t="s">
        <v>3997</v>
      </c>
      <c r="E20" s="104">
        <v>45433</v>
      </c>
      <c r="F20" s="50">
        <v>1</v>
      </c>
      <c r="G20" s="202" cm="1">
        <f t="array" ref="G20">SUM(IF(I2:W2 = I24:W24, 1, 0))/ COUNTA(I2:W2)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c r="B21" s="50" t="s">
        <v>3636</v>
      </c>
      <c r="C21" s="50">
        <v>21</v>
      </c>
      <c r="D21" s="50" t="s">
        <v>3997</v>
      </c>
      <c r="E21" s="104">
        <v>45433</v>
      </c>
      <c r="F21" s="50">
        <v>1</v>
      </c>
      <c r="G21" s="202" cm="1">
        <f t="array" aca="1" ref="G21" ca="1">SUM(IF(IF(G3:G20="null",1,G3:G20)=1,1,0))/COUNT(IF(G3:G20="null",1,1))</f>
        <v>0.94444444444444442</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3753</v>
      </c>
    </row>
    <row r="24" spans="2:23">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3688</v>
      </c>
    </row>
    <row r="29" spans="2:23">
      <c r="B29" s="143" t="s">
        <v>3689</v>
      </c>
      <c r="C29" s="143" t="s">
        <v>3690</v>
      </c>
      <c r="D29" s="144" t="s">
        <v>3691</v>
      </c>
      <c r="E29" s="143" t="s">
        <v>3692</v>
      </c>
      <c r="F29" s="143" t="s">
        <v>3693</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3764</v>
      </c>
      <c r="C2" s="85" t="s">
        <v>3640</v>
      </c>
      <c r="D2" s="85" t="s">
        <v>3641</v>
      </c>
      <c r="E2" s="85" t="s">
        <v>3642</v>
      </c>
      <c r="F2" s="85" t="s">
        <v>3643</v>
      </c>
      <c r="G2" s="85" t="s">
        <v>3644</v>
      </c>
      <c r="H2" s="85" t="s">
        <v>3645</v>
      </c>
      <c r="I2" s="85" t="s">
        <v>121</v>
      </c>
      <c r="J2" s="85" t="s">
        <v>575</v>
      </c>
      <c r="K2" s="138" t="s">
        <v>177</v>
      </c>
      <c r="L2" s="138" t="s">
        <v>188</v>
      </c>
      <c r="M2" s="138" t="s">
        <v>1843</v>
      </c>
      <c r="N2" s="85" t="s">
        <v>1852</v>
      </c>
      <c r="O2" s="85" t="s">
        <v>1861</v>
      </c>
      <c r="P2" s="85" t="s">
        <v>1870</v>
      </c>
      <c r="Q2" s="85" t="s">
        <v>199</v>
      </c>
      <c r="R2" s="85" t="s">
        <v>211</v>
      </c>
      <c r="S2" s="85" t="s">
        <v>223</v>
      </c>
      <c r="T2" s="85" t="s">
        <v>3998</v>
      </c>
      <c r="U2" s="85" t="s">
        <v>3999</v>
      </c>
      <c r="V2" s="85" t="s">
        <v>658</v>
      </c>
      <c r="W2" s="85" t="s">
        <v>667</v>
      </c>
      <c r="X2" s="85" t="s">
        <v>327</v>
      </c>
      <c r="Y2" s="85" t="s">
        <v>334</v>
      </c>
    </row>
    <row r="3" spans="2:25">
      <c r="B3" s="50" t="s">
        <v>3593</v>
      </c>
      <c r="C3" s="50">
        <v>1</v>
      </c>
      <c r="D3" s="50" t="s">
        <v>4000</v>
      </c>
      <c r="E3" s="104">
        <v>45390</v>
      </c>
      <c r="F3" s="50">
        <v>1</v>
      </c>
      <c r="G3" s="107">
        <v>1</v>
      </c>
      <c r="H3" s="107" t="s">
        <v>4001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row>
    <row r="4" spans="2:25">
      <c r="B4" s="50" t="s">
        <v>3595</v>
      </c>
      <c r="C4" s="50">
        <v>2</v>
      </c>
      <c r="D4" s="50" t="s">
        <v>4002</v>
      </c>
      <c r="E4" s="104">
        <v>45390</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row>
    <row r="5" spans="2:25">
      <c r="B5" s="50" t="s">
        <v>3597</v>
      </c>
      <c r="C5" s="50">
        <v>3</v>
      </c>
      <c r="D5" s="50" t="s">
        <v>4003</v>
      </c>
      <c r="E5" s="104">
        <v>45390</v>
      </c>
      <c r="F5" s="50">
        <v>1</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v>0</v>
      </c>
      <c r="Y5" s="50" t="s">
        <v>3647</v>
      </c>
    </row>
    <row r="6" spans="2:25">
      <c r="B6" s="50" t="s">
        <v>3599</v>
      </c>
      <c r="C6" s="50">
        <v>4</v>
      </c>
      <c r="D6" s="50" t="s">
        <v>3650</v>
      </c>
      <c r="E6" s="104" t="s">
        <v>3647</v>
      </c>
      <c r="F6" s="50">
        <v>1</v>
      </c>
      <c r="G6" s="104" t="s">
        <v>3647</v>
      </c>
      <c r="H6" s="50" t="s">
        <v>3732</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row>
    <row r="7" spans="2:25">
      <c r="B7" s="50" t="s">
        <v>3601</v>
      </c>
      <c r="C7" s="50">
        <v>5</v>
      </c>
      <c r="D7" s="50" t="s">
        <v>3650</v>
      </c>
      <c r="E7" s="104" t="s">
        <v>3647</v>
      </c>
      <c r="F7" s="50">
        <v>1</v>
      </c>
      <c r="G7" s="104" t="s">
        <v>3647</v>
      </c>
      <c r="H7" s="50" t="s">
        <v>3732</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row>
    <row r="8" spans="2:25">
      <c r="B8" s="50" t="s">
        <v>3602</v>
      </c>
      <c r="C8" s="50">
        <v>6</v>
      </c>
      <c r="D8" s="50" t="s">
        <v>4004</v>
      </c>
      <c r="E8" s="104">
        <v>45390</v>
      </c>
      <c r="F8" s="50">
        <v>1</v>
      </c>
      <c r="G8" s="50" cm="1">
        <f t="array" ref="G8">SUMPRODUCT(--(I8:Y8&gt;0))/COUNTA(I8:Y8)</f>
        <v>1</v>
      </c>
      <c r="H8" s="50" t="s">
        <v>3732</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3605</v>
      </c>
      <c r="C9" s="50">
        <v>7</v>
      </c>
      <c r="D9" s="50" t="s">
        <v>4005</v>
      </c>
      <c r="E9" s="104">
        <v>45390</v>
      </c>
      <c r="F9" s="50">
        <v>1</v>
      </c>
      <c r="G9" s="50" cm="1">
        <f t="array" aca="1" ref="G9" ca="1">SUMPRODUCT(--(I9:Y9&lt;=I26:Y26))/COUNTA(I26:Y26)</f>
        <v>1</v>
      </c>
      <c r="H9" s="50" t="s">
        <v>3732</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3608</v>
      </c>
      <c r="C10" s="50">
        <v>8</v>
      </c>
      <c r="D10" s="50" t="s">
        <v>4006</v>
      </c>
      <c r="E10" s="104">
        <v>45390</v>
      </c>
      <c r="F10" s="50">
        <v>1</v>
      </c>
      <c r="G10" s="104" t="s">
        <v>3647</v>
      </c>
      <c r="H10" s="50" t="s">
        <v>3732</v>
      </c>
      <c r="I10" s="50">
        <v>89</v>
      </c>
      <c r="J10" s="50">
        <v>19950000013</v>
      </c>
      <c r="K10" s="50" t="e">
        <v>#N/A</v>
      </c>
      <c r="L10" s="50" t="e">
        <v>#N/A</v>
      </c>
      <c r="M10" s="50">
        <v>7.7800000002008096E+21</v>
      </c>
      <c r="N10" s="50" t="e">
        <v>#N/A</v>
      </c>
      <c r="O10" s="50" t="e">
        <v>#N/A</v>
      </c>
      <c r="P10" s="50">
        <v>7.7800000002008096E+21</v>
      </c>
      <c r="Q10" s="104">
        <v>32265</v>
      </c>
      <c r="R10" s="104">
        <v>36556</v>
      </c>
      <c r="S10" s="50" t="s">
        <v>4007</v>
      </c>
      <c r="T10" s="104" t="s">
        <v>3656</v>
      </c>
      <c r="U10" s="104" t="s">
        <v>3656</v>
      </c>
      <c r="V10" s="50" t="s">
        <v>3657</v>
      </c>
      <c r="W10" s="104" t="s">
        <v>3658</v>
      </c>
      <c r="X10" s="104">
        <v>45390</v>
      </c>
      <c r="Y10" s="50" t="s">
        <v>4008</v>
      </c>
    </row>
    <row r="11" spans="2:25">
      <c r="B11" s="50" t="s">
        <v>3610</v>
      </c>
      <c r="C11" s="50">
        <v>9</v>
      </c>
      <c r="D11" s="50" t="s">
        <v>4009</v>
      </c>
      <c r="E11" s="104">
        <v>45390</v>
      </c>
      <c r="F11" s="50">
        <v>1</v>
      </c>
      <c r="G11" s="104" t="s">
        <v>3647</v>
      </c>
      <c r="H11" s="50" t="s">
        <v>3732</v>
      </c>
      <c r="I11" s="50">
        <v>31</v>
      </c>
      <c r="J11" s="50">
        <v>19950000013</v>
      </c>
      <c r="K11" s="50"/>
      <c r="L11" s="50" t="e">
        <v>#N/A</v>
      </c>
      <c r="M11" s="50">
        <v>7.7800000002008096E+21</v>
      </c>
      <c r="N11" s="50"/>
      <c r="O11" s="50" t="e">
        <v>#N/A</v>
      </c>
      <c r="P11" s="50" t="s">
        <v>4010</v>
      </c>
      <c r="Q11" s="104">
        <v>32265</v>
      </c>
      <c r="R11" s="104">
        <v>36556</v>
      </c>
      <c r="S11" s="50" t="s">
        <v>4007</v>
      </c>
      <c r="T11" s="104" t="s">
        <v>3732</v>
      </c>
      <c r="U11" s="104" t="s">
        <v>3732</v>
      </c>
      <c r="V11" s="50">
        <v>5</v>
      </c>
      <c r="W11" s="104" t="s">
        <v>3662</v>
      </c>
      <c r="X11" s="104">
        <v>45390</v>
      </c>
      <c r="Y11" s="50" t="s">
        <v>4011</v>
      </c>
    </row>
    <row r="12" spans="2:25" s="190" customFormat="1">
      <c r="B12" s="189" t="s">
        <v>3612</v>
      </c>
      <c r="C12" s="189" t="s">
        <v>4012</v>
      </c>
      <c r="D12" s="189" t="s">
        <v>4013</v>
      </c>
      <c r="E12" s="104">
        <v>45390</v>
      </c>
      <c r="F12" s="50">
        <v>1</v>
      </c>
      <c r="G12" s="104" t="s">
        <v>3647</v>
      </c>
      <c r="H12" s="189" t="s">
        <v>3732</v>
      </c>
      <c r="I12" s="189" t="s">
        <v>4014</v>
      </c>
      <c r="J12" s="189" t="s">
        <v>4015</v>
      </c>
      <c r="K12" s="189" t="s">
        <v>4016</v>
      </c>
      <c r="L12" s="189" t="s">
        <v>4017</v>
      </c>
      <c r="M12" s="189" t="s">
        <v>4018</v>
      </c>
      <c r="N12" s="189" t="s">
        <v>4016</v>
      </c>
      <c r="O12" s="189" t="s">
        <v>4017</v>
      </c>
      <c r="P12" s="189" t="s">
        <v>4018</v>
      </c>
      <c r="Q12" s="189" t="s">
        <v>4019</v>
      </c>
      <c r="R12" s="189" t="s">
        <v>4020</v>
      </c>
      <c r="S12" s="189" t="s">
        <v>4021</v>
      </c>
      <c r="T12" s="189" t="s">
        <v>4022</v>
      </c>
      <c r="U12" s="189" t="s">
        <v>4023</v>
      </c>
      <c r="V12" s="189" t="s">
        <v>3657</v>
      </c>
      <c r="W12" s="189" t="s">
        <v>3658</v>
      </c>
      <c r="X12" s="189" t="s">
        <v>4024</v>
      </c>
      <c r="Y12" s="189" t="s">
        <v>4008</v>
      </c>
    </row>
    <row r="13" spans="2:25" s="190" customFormat="1">
      <c r="B13" s="189" t="s">
        <v>3614</v>
      </c>
      <c r="C13" s="189" t="s">
        <v>4025</v>
      </c>
      <c r="D13" s="189" t="s">
        <v>4026</v>
      </c>
      <c r="E13" s="104">
        <v>45390</v>
      </c>
      <c r="F13" s="50">
        <v>1</v>
      </c>
      <c r="G13" s="104" t="s">
        <v>3647</v>
      </c>
      <c r="H13" s="189" t="s">
        <v>3732</v>
      </c>
      <c r="I13" s="189" t="s">
        <v>4016</v>
      </c>
      <c r="J13" s="189" t="s">
        <v>4015</v>
      </c>
      <c r="K13" s="189" t="s">
        <v>4027</v>
      </c>
      <c r="L13" s="189" t="s">
        <v>4017</v>
      </c>
      <c r="M13" s="189" t="s">
        <v>4018</v>
      </c>
      <c r="N13" s="189" t="s">
        <v>4027</v>
      </c>
      <c r="O13" s="189" t="s">
        <v>4017</v>
      </c>
      <c r="P13" s="189" t="s">
        <v>4018</v>
      </c>
      <c r="Q13" s="189" t="s">
        <v>4019</v>
      </c>
      <c r="R13" s="189" t="s">
        <v>4020</v>
      </c>
      <c r="S13" s="189" t="s">
        <v>4021</v>
      </c>
      <c r="T13" s="189" t="s">
        <v>4028</v>
      </c>
      <c r="U13" s="189" t="s">
        <v>4029</v>
      </c>
      <c r="V13" s="189" t="s">
        <v>4030</v>
      </c>
      <c r="W13" s="189" t="s">
        <v>3662</v>
      </c>
      <c r="X13" s="189" t="s">
        <v>4024</v>
      </c>
      <c r="Y13" s="189" t="s">
        <v>4031</v>
      </c>
    </row>
    <row r="14" spans="2:25">
      <c r="B14" s="50" t="s">
        <v>3616</v>
      </c>
      <c r="C14" s="50">
        <v>12</v>
      </c>
      <c r="D14" s="50" t="s">
        <v>4032</v>
      </c>
      <c r="E14" s="104">
        <v>45390</v>
      </c>
      <c r="F14" s="50">
        <v>1</v>
      </c>
      <c r="G14" s="50">
        <v>0.65</v>
      </c>
      <c r="H14" s="50" t="s">
        <v>3732</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3618</v>
      </c>
      <c r="C15" s="50">
        <v>13</v>
      </c>
      <c r="D15" s="50" t="s">
        <v>4033</v>
      </c>
      <c r="E15" s="104">
        <v>45390</v>
      </c>
      <c r="F15" s="50">
        <v>1</v>
      </c>
      <c r="G15" s="107">
        <v>1</v>
      </c>
      <c r="H15" s="50" t="s">
        <v>3732</v>
      </c>
      <c r="I15" s="50" t="s">
        <v>3647</v>
      </c>
      <c r="J15" s="50" t="s">
        <v>3647</v>
      </c>
      <c r="K15" s="50" t="s">
        <v>3647</v>
      </c>
      <c r="L15" s="50" t="s">
        <v>3647</v>
      </c>
      <c r="M15" s="50" t="s">
        <v>3647</v>
      </c>
      <c r="N15" s="50" t="s">
        <v>3647</v>
      </c>
      <c r="O15" s="50" t="s">
        <v>3647</v>
      </c>
      <c r="P15" s="50" t="s">
        <v>3647</v>
      </c>
      <c r="Q15" s="50">
        <v>0</v>
      </c>
      <c r="R15" s="50">
        <v>0</v>
      </c>
      <c r="S15" s="50" t="s">
        <v>3647</v>
      </c>
      <c r="T15" s="50" t="s">
        <v>3647</v>
      </c>
      <c r="U15" s="50" t="s">
        <v>3647</v>
      </c>
      <c r="V15" s="50" t="s">
        <v>3647</v>
      </c>
      <c r="W15" s="50" t="s">
        <v>3647</v>
      </c>
      <c r="X15" s="50" t="s">
        <v>3647</v>
      </c>
      <c r="Y15" s="50" t="s">
        <v>3647</v>
      </c>
    </row>
    <row r="16" spans="2:25">
      <c r="B16" s="50" t="s">
        <v>3620</v>
      </c>
      <c r="C16" s="50">
        <v>14</v>
      </c>
      <c r="D16" s="50" t="s">
        <v>4034</v>
      </c>
      <c r="E16" s="104">
        <v>45390</v>
      </c>
      <c r="F16" s="50">
        <v>1</v>
      </c>
      <c r="G16" s="107">
        <v>1</v>
      </c>
      <c r="H16" s="50" t="s">
        <v>3732</v>
      </c>
      <c r="I16" s="50">
        <v>0</v>
      </c>
      <c r="J16" s="50">
        <v>0</v>
      </c>
      <c r="K16" s="50">
        <v>0</v>
      </c>
      <c r="L16" s="50">
        <v>0</v>
      </c>
      <c r="M16" s="50" t="s">
        <v>3647</v>
      </c>
      <c r="N16" s="50">
        <v>0</v>
      </c>
      <c r="O16" s="50">
        <v>0</v>
      </c>
      <c r="P16" s="50" t="s">
        <v>3647</v>
      </c>
      <c r="Q16" s="50" t="s">
        <v>3647</v>
      </c>
      <c r="R16" s="50" t="s">
        <v>3647</v>
      </c>
      <c r="S16" s="50">
        <v>0</v>
      </c>
      <c r="T16" s="50" t="s">
        <v>3647</v>
      </c>
      <c r="U16" s="50" t="s">
        <v>3647</v>
      </c>
      <c r="V16" s="50">
        <v>0</v>
      </c>
      <c r="W16" s="50">
        <v>0</v>
      </c>
      <c r="X16" s="50" t="s">
        <v>3647</v>
      </c>
      <c r="Y16" s="50" t="s">
        <v>3647</v>
      </c>
    </row>
    <row r="17" spans="2:25">
      <c r="B17" s="50" t="s">
        <v>4035</v>
      </c>
      <c r="C17" s="50">
        <v>15</v>
      </c>
      <c r="D17" s="50" t="s">
        <v>4036</v>
      </c>
      <c r="E17" s="104">
        <v>45390</v>
      </c>
      <c r="F17" s="50">
        <v>1</v>
      </c>
      <c r="G17" s="107">
        <v>1</v>
      </c>
      <c r="H17" s="107" t="s">
        <v>4001</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row>
    <row r="18" spans="2:25">
      <c r="B18" s="50" t="s">
        <v>4037</v>
      </c>
      <c r="C18" s="50">
        <v>16</v>
      </c>
      <c r="D18" s="50" t="s">
        <v>4036</v>
      </c>
      <c r="E18" s="104">
        <v>45390</v>
      </c>
      <c r="F18" s="50">
        <v>1</v>
      </c>
      <c r="G18" s="107">
        <v>1</v>
      </c>
      <c r="H18" s="107" t="s">
        <v>4001</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row>
    <row r="19" spans="2:25">
      <c r="B19" s="50" t="s">
        <v>3630</v>
      </c>
      <c r="C19" s="50">
        <v>19</v>
      </c>
      <c r="D19" s="50" t="s">
        <v>4038</v>
      </c>
      <c r="E19" s="104">
        <v>45390</v>
      </c>
      <c r="F19" s="50">
        <v>1</v>
      </c>
      <c r="G19" s="107" cm="1">
        <f t="array" aca="1" ref="G19" ca="1">SUMPRODUCT(--(ISNUMBER((SEARCH(I25:W25,I19:W19)))))/COUNTA(I19:W19)</f>
        <v>0.8666666666666667</v>
      </c>
      <c r="H19" s="50" t="s">
        <v>3732</v>
      </c>
      <c r="I19" s="50" t="s">
        <v>3681</v>
      </c>
      <c r="J19" s="50" t="s">
        <v>3681</v>
      </c>
      <c r="K19" s="50" t="s">
        <v>3681</v>
      </c>
      <c r="L19" s="50" t="s">
        <v>3681</v>
      </c>
      <c r="M19" s="50" t="s">
        <v>3681</v>
      </c>
      <c r="N19" s="50" t="s">
        <v>3681</v>
      </c>
      <c r="O19" s="50" t="s">
        <v>3681</v>
      </c>
      <c r="P19" s="50" t="s">
        <v>3681</v>
      </c>
      <c r="Q19" s="50" t="s">
        <v>3996</v>
      </c>
      <c r="R19" s="50" t="s">
        <v>3996</v>
      </c>
      <c r="S19" s="50" t="s">
        <v>3681</v>
      </c>
      <c r="T19" s="50" t="s">
        <v>3682</v>
      </c>
      <c r="U19" s="50" t="s">
        <v>3682</v>
      </c>
      <c r="V19" s="50" t="s">
        <v>3681</v>
      </c>
      <c r="W19" s="50" t="s">
        <v>3681</v>
      </c>
      <c r="X19" s="50" t="s">
        <v>3681</v>
      </c>
      <c r="Y19" s="50" t="s">
        <v>3683</v>
      </c>
    </row>
    <row r="20" spans="2:25">
      <c r="B20" s="50" t="s">
        <v>3633</v>
      </c>
      <c r="C20" s="50">
        <v>20</v>
      </c>
      <c r="D20" s="50" t="s">
        <v>4038</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3636</v>
      </c>
      <c r="C21" s="50">
        <v>21</v>
      </c>
      <c r="D21" s="50" t="s">
        <v>4038</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3753</v>
      </c>
    </row>
    <row r="24" spans="2:25">
      <c r="B24" s="142" t="s">
        <v>3639</v>
      </c>
      <c r="C24" s="138" t="s">
        <v>3640</v>
      </c>
      <c r="D24" s="138" t="s">
        <v>3641</v>
      </c>
      <c r="E24" s="138" t="s">
        <v>3642</v>
      </c>
      <c r="F24" s="138" t="s">
        <v>3643</v>
      </c>
      <c r="G24" s="138" t="s">
        <v>3644</v>
      </c>
      <c r="H24" s="138" t="s">
        <v>3645</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3684</v>
      </c>
      <c r="C25" s="119">
        <v>16</v>
      </c>
      <c r="D25" s="113" t="s">
        <v>3685</v>
      </c>
      <c r="E25" s="112" t="s">
        <v>3686</v>
      </c>
      <c r="F25" s="112" t="s">
        <v>372</v>
      </c>
      <c r="G25" s="112" t="s">
        <v>372</v>
      </c>
      <c r="H25" s="112" t="s">
        <v>372</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3687</v>
      </c>
      <c r="C26" s="119">
        <v>7</v>
      </c>
      <c r="D26" s="113" t="s">
        <v>3685</v>
      </c>
      <c r="E26" s="112" t="s">
        <v>3686</v>
      </c>
      <c r="F26" s="114" t="s">
        <v>372</v>
      </c>
      <c r="G26" s="114" t="s">
        <v>372</v>
      </c>
      <c r="H26" s="114" t="s">
        <v>372</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3688</v>
      </c>
    </row>
    <row r="29" spans="2:25">
      <c r="B29" s="143" t="s">
        <v>3689</v>
      </c>
      <c r="C29" s="143" t="s">
        <v>3690</v>
      </c>
      <c r="D29" s="144" t="s">
        <v>3691</v>
      </c>
      <c r="E29" s="143" t="s">
        <v>3692</v>
      </c>
      <c r="F29" s="143" t="s">
        <v>3693</v>
      </c>
    </row>
    <row r="30" spans="2:25" ht="43.5">
      <c r="B30" s="187" t="s">
        <v>3694</v>
      </c>
      <c r="C30" s="188" t="s">
        <v>177</v>
      </c>
      <c r="D30" s="57" t="s">
        <v>4039</v>
      </c>
      <c r="E30" s="106" t="s">
        <v>4040</v>
      </c>
      <c r="F30" s="145" t="s">
        <v>3700</v>
      </c>
      <c r="I30" t="s">
        <v>4041</v>
      </c>
    </row>
    <row r="31" spans="2:25" ht="43.5">
      <c r="B31" s="187" t="s">
        <v>3694</v>
      </c>
      <c r="C31" s="188" t="s">
        <v>188</v>
      </c>
      <c r="D31" s="57" t="s">
        <v>4039</v>
      </c>
      <c r="E31" s="106" t="s">
        <v>4040</v>
      </c>
      <c r="F31" s="145" t="s">
        <v>3700</v>
      </c>
    </row>
    <row r="32" spans="2:25" ht="43.5">
      <c r="B32" s="187" t="s">
        <v>3694</v>
      </c>
      <c r="C32" s="131" t="s">
        <v>1843</v>
      </c>
      <c r="D32" s="57" t="s">
        <v>4039</v>
      </c>
      <c r="E32" s="106" t="s">
        <v>4040</v>
      </c>
      <c r="F32" s="145" t="s">
        <v>3700</v>
      </c>
    </row>
    <row r="33" spans="2:16" ht="43.5">
      <c r="B33" s="187" t="s">
        <v>3694</v>
      </c>
      <c r="C33" s="131" t="s">
        <v>1852</v>
      </c>
      <c r="D33" s="57" t="s">
        <v>4039</v>
      </c>
      <c r="E33" s="106" t="s">
        <v>4040</v>
      </c>
      <c r="F33" s="145" t="s">
        <v>3700</v>
      </c>
    </row>
    <row r="34" spans="2:16" ht="43.5">
      <c r="B34" s="187" t="s">
        <v>3694</v>
      </c>
      <c r="C34" s="131" t="s">
        <v>1861</v>
      </c>
      <c r="D34" s="57" t="s">
        <v>4039</v>
      </c>
      <c r="E34" s="106" t="s">
        <v>4040</v>
      </c>
      <c r="F34" s="145" t="s">
        <v>3700</v>
      </c>
    </row>
    <row r="35" spans="2:16" ht="43.5">
      <c r="B35" s="187" t="s">
        <v>3694</v>
      </c>
      <c r="C35" s="131" t="s">
        <v>1870</v>
      </c>
      <c r="D35" s="57" t="s">
        <v>4039</v>
      </c>
      <c r="E35" s="106" t="s">
        <v>4040</v>
      </c>
      <c r="F35" s="145" t="s">
        <v>3700</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3639</v>
      </c>
      <c r="C2" s="85" t="s">
        <v>3640</v>
      </c>
      <c r="D2" s="85" t="s">
        <v>3641</v>
      </c>
      <c r="E2" s="85" t="s">
        <v>3642</v>
      </c>
      <c r="F2" s="85" t="s">
        <v>3643</v>
      </c>
      <c r="G2" s="85" t="s">
        <v>3644</v>
      </c>
      <c r="H2" s="85" t="s">
        <v>3645</v>
      </c>
      <c r="I2" s="85" t="s">
        <v>470</v>
      </c>
      <c r="J2" s="85" t="s">
        <v>121</v>
      </c>
      <c r="K2" s="85" t="s">
        <v>137</v>
      </c>
      <c r="L2" s="85" t="s">
        <v>489</v>
      </c>
      <c r="M2" s="85" t="s">
        <v>502</v>
      </c>
      <c r="N2" s="85" t="s">
        <v>507</v>
      </c>
      <c r="O2" s="85" t="s">
        <v>515</v>
      </c>
      <c r="P2" s="85" t="s">
        <v>522</v>
      </c>
      <c r="Q2" s="85" t="s">
        <v>532</v>
      </c>
      <c r="R2" s="85" t="s">
        <v>327</v>
      </c>
      <c r="S2" s="85" t="s">
        <v>334</v>
      </c>
    </row>
    <row r="3" spans="2:30">
      <c r="B3" s="50" t="s">
        <v>3593</v>
      </c>
      <c r="C3" s="50">
        <v>1</v>
      </c>
      <c r="D3" s="50" t="s">
        <v>4042</v>
      </c>
      <c r="E3" s="104">
        <v>45471</v>
      </c>
      <c r="F3" s="50">
        <v>1</v>
      </c>
      <c r="G3" s="107">
        <v>1</v>
      </c>
      <c r="H3" s="191" t="s">
        <v>4043</v>
      </c>
      <c r="I3" s="50" t="s">
        <v>3647</v>
      </c>
      <c r="J3" s="50" t="s">
        <v>3647</v>
      </c>
      <c r="K3" s="50" t="s">
        <v>3647</v>
      </c>
      <c r="L3" s="50" t="s">
        <v>3647</v>
      </c>
      <c r="M3" s="50" t="s">
        <v>3647</v>
      </c>
      <c r="N3" s="50" t="s">
        <v>3647</v>
      </c>
      <c r="O3" s="50" t="s">
        <v>3647</v>
      </c>
      <c r="P3" s="50" t="s">
        <v>3647</v>
      </c>
      <c r="Q3" s="50" t="s">
        <v>3647</v>
      </c>
      <c r="R3" s="50" t="s">
        <v>3647</v>
      </c>
      <c r="S3" s="50" t="s">
        <v>3647</v>
      </c>
    </row>
    <row r="4" spans="2:30">
      <c r="B4" s="50" t="s">
        <v>3595</v>
      </c>
      <c r="C4" s="50">
        <v>2</v>
      </c>
      <c r="D4" s="50" t="s">
        <v>4044</v>
      </c>
      <c r="E4" s="104">
        <v>45471</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row>
    <row r="5" spans="2:30">
      <c r="B5" s="50" t="s">
        <v>3597</v>
      </c>
      <c r="C5" s="50">
        <v>3</v>
      </c>
      <c r="D5" s="50" t="s">
        <v>4045</v>
      </c>
      <c r="E5" s="104">
        <v>45471</v>
      </c>
      <c r="F5" s="50">
        <v>1</v>
      </c>
      <c r="G5" s="107">
        <v>1</v>
      </c>
      <c r="H5" s="50" t="s">
        <v>3732</v>
      </c>
      <c r="I5" s="50">
        <v>0</v>
      </c>
      <c r="J5" s="50" t="s">
        <v>3647</v>
      </c>
      <c r="K5" s="50" t="s">
        <v>3647</v>
      </c>
      <c r="L5" s="50" t="s">
        <v>3647</v>
      </c>
      <c r="M5" s="50" t="s">
        <v>3647</v>
      </c>
      <c r="N5" s="50" t="s">
        <v>3647</v>
      </c>
      <c r="O5" s="50" t="s">
        <v>3647</v>
      </c>
      <c r="P5" s="50" t="s">
        <v>3647</v>
      </c>
      <c r="Q5" s="50" t="s">
        <v>3647</v>
      </c>
      <c r="R5" s="50">
        <v>0</v>
      </c>
      <c r="S5" s="50" t="s">
        <v>3647</v>
      </c>
    </row>
    <row r="6" spans="2:30">
      <c r="B6" s="50" t="s">
        <v>3599</v>
      </c>
      <c r="C6" s="50">
        <v>4</v>
      </c>
      <c r="D6" s="50" t="s">
        <v>4045</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row>
    <row r="7" spans="2:30">
      <c r="B7" s="50" t="s">
        <v>3601</v>
      </c>
      <c r="C7" s="50">
        <v>5</v>
      </c>
      <c r="D7" s="50" t="s">
        <v>4045</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row>
    <row r="8" spans="2:30">
      <c r="B8" s="106" t="s">
        <v>3602</v>
      </c>
      <c r="C8" s="50">
        <v>6</v>
      </c>
      <c r="D8" s="50" t="s">
        <v>4046</v>
      </c>
      <c r="E8" s="104">
        <v>45471</v>
      </c>
      <c r="F8" s="50">
        <v>1</v>
      </c>
      <c r="G8" s="50" cm="1">
        <f t="array" ref="G8">SUMPRODUCT(--(I8:S8&gt;0))/COUNTA(I8:S8)</f>
        <v>1</v>
      </c>
      <c r="H8" s="50" t="s">
        <v>3732</v>
      </c>
      <c r="I8" s="50">
        <v>3</v>
      </c>
      <c r="J8" s="50">
        <v>2</v>
      </c>
      <c r="K8" s="50">
        <v>30</v>
      </c>
      <c r="L8" s="50">
        <v>7</v>
      </c>
      <c r="M8" s="50">
        <v>7</v>
      </c>
      <c r="N8" s="50">
        <v>10</v>
      </c>
      <c r="O8" s="50">
        <v>10</v>
      </c>
      <c r="P8" s="50">
        <v>3</v>
      </c>
      <c r="Q8" s="50">
        <v>1</v>
      </c>
      <c r="R8" s="50">
        <v>10</v>
      </c>
      <c r="S8" s="50">
        <v>23</v>
      </c>
    </row>
    <row r="9" spans="2:30">
      <c r="B9" s="50" t="s">
        <v>3605</v>
      </c>
      <c r="C9" s="50">
        <v>7</v>
      </c>
      <c r="D9" s="50" t="s">
        <v>4047</v>
      </c>
      <c r="E9" s="104">
        <v>45471</v>
      </c>
      <c r="F9" s="50">
        <v>1</v>
      </c>
      <c r="G9" s="50" cm="1">
        <f t="array" aca="1" ref="G9" ca="1">SUMPRODUCT(--(I9:S9&lt;=I28:S28))/COUNTA(I28:S28)</f>
        <v>1</v>
      </c>
      <c r="H9" s="50" t="s">
        <v>3732</v>
      </c>
      <c r="I9" s="50">
        <v>5</v>
      </c>
      <c r="J9" s="50">
        <v>2</v>
      </c>
      <c r="K9" s="50">
        <v>30</v>
      </c>
      <c r="L9" s="50">
        <v>7</v>
      </c>
      <c r="M9" s="50">
        <v>7</v>
      </c>
      <c r="N9" s="50">
        <v>10</v>
      </c>
      <c r="O9" s="50">
        <v>10</v>
      </c>
      <c r="P9" s="50">
        <v>3</v>
      </c>
      <c r="Q9" s="50">
        <v>238</v>
      </c>
      <c r="R9" s="50">
        <v>10</v>
      </c>
      <c r="S9" s="50">
        <v>23</v>
      </c>
    </row>
    <row r="10" spans="2:30" ht="29.1">
      <c r="B10" s="50" t="s">
        <v>3608</v>
      </c>
      <c r="C10" s="50">
        <v>8</v>
      </c>
      <c r="D10" s="50" t="s">
        <v>4048</v>
      </c>
      <c r="E10" s="104">
        <v>45471</v>
      </c>
      <c r="F10" s="50">
        <v>1</v>
      </c>
      <c r="G10" s="104" t="s">
        <v>3647</v>
      </c>
      <c r="H10" s="50" t="s">
        <v>3732</v>
      </c>
      <c r="I10" s="50">
        <v>201</v>
      </c>
      <c r="J10" s="50">
        <v>31</v>
      </c>
      <c r="K10" s="50">
        <v>7.0000079999999997E+21</v>
      </c>
      <c r="L10" s="50" t="s">
        <v>4049</v>
      </c>
      <c r="M10" s="50" t="s">
        <v>4049</v>
      </c>
      <c r="N10" s="105">
        <v>43047</v>
      </c>
      <c r="O10" s="105">
        <v>1</v>
      </c>
      <c r="P10" s="50">
        <v>201</v>
      </c>
      <c r="Q10" s="106" t="s">
        <v>4050</v>
      </c>
      <c r="R10" s="104">
        <v>45471</v>
      </c>
      <c r="S10" s="50" t="s">
        <v>4051</v>
      </c>
    </row>
    <row r="11" spans="2:30" ht="29.1">
      <c r="B11" s="50" t="s">
        <v>3610</v>
      </c>
      <c r="C11" s="50">
        <v>9</v>
      </c>
      <c r="D11" s="50" t="s">
        <v>4052</v>
      </c>
      <c r="E11" s="104">
        <v>45471</v>
      </c>
      <c r="F11" s="50">
        <v>1</v>
      </c>
      <c r="G11" s="104" t="s">
        <v>3647</v>
      </c>
      <c r="H11" s="50" t="s">
        <v>3732</v>
      </c>
      <c r="I11" s="50">
        <v>201</v>
      </c>
      <c r="J11" s="50"/>
      <c r="K11" s="50">
        <v>7.0000079999999997E+21</v>
      </c>
      <c r="L11" s="50" t="s">
        <v>4049</v>
      </c>
      <c r="M11" s="50" t="s">
        <v>4049</v>
      </c>
      <c r="N11" s="105">
        <v>43047</v>
      </c>
      <c r="O11" s="105">
        <v>1</v>
      </c>
      <c r="P11" s="50">
        <v>201</v>
      </c>
      <c r="Q11" s="106" t="s">
        <v>4050</v>
      </c>
      <c r="R11" s="104">
        <v>45471</v>
      </c>
      <c r="S11" s="50" t="s">
        <v>4053</v>
      </c>
    </row>
    <row r="12" spans="2:30">
      <c r="B12" s="106" t="s">
        <v>3612</v>
      </c>
      <c r="C12" s="50">
        <v>10</v>
      </c>
      <c r="D12" s="50" t="s">
        <v>4054</v>
      </c>
      <c r="E12" s="104">
        <v>45471</v>
      </c>
      <c r="F12" s="50">
        <v>1</v>
      </c>
      <c r="G12" s="104" t="s">
        <v>3647</v>
      </c>
      <c r="H12" s="50" t="s">
        <v>3732</v>
      </c>
      <c r="I12" s="50">
        <v>35585</v>
      </c>
      <c r="J12" s="50">
        <v>31</v>
      </c>
      <c r="K12" s="50">
        <v>8.0014189999999995E+24</v>
      </c>
      <c r="L12" s="50" t="s">
        <v>4055</v>
      </c>
      <c r="M12" s="50" t="s">
        <v>4055</v>
      </c>
      <c r="N12" s="105">
        <v>45471</v>
      </c>
      <c r="O12" s="105">
        <v>45471</v>
      </c>
      <c r="P12" s="50">
        <v>204</v>
      </c>
      <c r="Q12" s="106" t="s">
        <v>4056</v>
      </c>
      <c r="R12" s="104">
        <v>45471</v>
      </c>
      <c r="S12" s="104" t="s">
        <v>4051</v>
      </c>
      <c r="U12" s="98"/>
      <c r="V12" s="99"/>
      <c r="X12" s="98"/>
      <c r="AD12" s="98"/>
    </row>
    <row r="13" spans="2:30">
      <c r="B13" s="50" t="s">
        <v>3614</v>
      </c>
      <c r="C13" s="50">
        <v>11</v>
      </c>
      <c r="D13" s="50" t="s">
        <v>4057</v>
      </c>
      <c r="E13" s="104">
        <v>45471</v>
      </c>
      <c r="F13" s="50">
        <v>1</v>
      </c>
      <c r="G13" s="104" t="s">
        <v>3647</v>
      </c>
      <c r="H13" s="50" t="s">
        <v>3732</v>
      </c>
      <c r="I13" s="50">
        <v>35585</v>
      </c>
      <c r="J13" s="50"/>
      <c r="K13" s="50">
        <v>8.0014189999999995E+24</v>
      </c>
      <c r="L13" s="50" t="s">
        <v>4055</v>
      </c>
      <c r="M13" s="50" t="s">
        <v>4055</v>
      </c>
      <c r="N13" s="105">
        <v>45471</v>
      </c>
      <c r="O13" s="105">
        <v>45471</v>
      </c>
      <c r="P13" s="50">
        <v>204</v>
      </c>
      <c r="Q13" s="106" t="s">
        <v>4056</v>
      </c>
      <c r="R13" s="105">
        <v>45471</v>
      </c>
      <c r="S13" s="105" t="s">
        <v>4058</v>
      </c>
      <c r="U13" s="101"/>
      <c r="V13" s="99"/>
      <c r="W13" s="100"/>
      <c r="X13" s="101"/>
      <c r="Y13" s="100"/>
      <c r="Z13" s="100"/>
      <c r="AD13" s="98"/>
    </row>
    <row r="14" spans="2:30">
      <c r="B14" s="50" t="s">
        <v>3616</v>
      </c>
      <c r="C14" s="50">
        <v>12</v>
      </c>
      <c r="D14" s="50" t="s">
        <v>4059</v>
      </c>
      <c r="E14" s="104">
        <v>45471</v>
      </c>
      <c r="F14" s="50">
        <v>1</v>
      </c>
      <c r="G14" s="50" t="s">
        <v>4060</v>
      </c>
      <c r="H14" s="50" t="s">
        <v>3732</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3618</v>
      </c>
      <c r="C15" s="50">
        <v>13</v>
      </c>
      <c r="D15" s="50" t="s">
        <v>4061</v>
      </c>
      <c r="E15" s="104">
        <v>45471</v>
      </c>
      <c r="F15" s="50">
        <v>1</v>
      </c>
      <c r="G15" s="107">
        <v>1</v>
      </c>
      <c r="H15" s="50" t="s">
        <v>3732</v>
      </c>
      <c r="I15" s="50" t="s">
        <v>3647</v>
      </c>
      <c r="J15" s="50" t="s">
        <v>3647</v>
      </c>
      <c r="K15" s="50" t="s">
        <v>3647</v>
      </c>
      <c r="L15" s="50" t="s">
        <v>3647</v>
      </c>
      <c r="M15" s="50" t="s">
        <v>3647</v>
      </c>
      <c r="N15" s="195">
        <v>0</v>
      </c>
      <c r="O15" s="195">
        <v>0</v>
      </c>
      <c r="P15" s="50" t="s">
        <v>3647</v>
      </c>
      <c r="Q15" s="50" t="s">
        <v>3647</v>
      </c>
      <c r="R15" s="105" t="s">
        <v>3647</v>
      </c>
      <c r="S15" s="105" t="s">
        <v>3647</v>
      </c>
      <c r="U15" s="101"/>
      <c r="V15" s="99"/>
      <c r="W15" s="99"/>
      <c r="X15" s="101"/>
      <c r="Y15" s="99"/>
      <c r="Z15" s="99"/>
      <c r="AD15" s="98"/>
    </row>
    <row r="16" spans="2:30">
      <c r="B16" s="50" t="s">
        <v>3620</v>
      </c>
      <c r="C16" s="50">
        <v>14</v>
      </c>
      <c r="D16" s="50" t="s">
        <v>4062</v>
      </c>
      <c r="E16" s="104">
        <v>45471</v>
      </c>
      <c r="F16" s="50">
        <v>1</v>
      </c>
      <c r="G16" s="107">
        <v>1</v>
      </c>
      <c r="H16" s="50" t="s">
        <v>3732</v>
      </c>
      <c r="I16" s="50">
        <v>0</v>
      </c>
      <c r="J16" s="50">
        <v>0</v>
      </c>
      <c r="K16" s="50">
        <v>0</v>
      </c>
      <c r="L16" s="50">
        <v>0</v>
      </c>
      <c r="M16" s="50">
        <v>0</v>
      </c>
      <c r="N16" s="50" t="s">
        <v>3647</v>
      </c>
      <c r="O16" s="50" t="s">
        <v>3647</v>
      </c>
      <c r="P16" s="50">
        <v>0</v>
      </c>
      <c r="Q16" s="50" t="s">
        <v>3647</v>
      </c>
      <c r="R16" s="50" t="s">
        <v>3647</v>
      </c>
      <c r="S16" s="50" t="s">
        <v>3647</v>
      </c>
    </row>
    <row r="17" spans="2:24">
      <c r="B17" s="50" t="s">
        <v>3622</v>
      </c>
      <c r="C17" s="50">
        <v>15</v>
      </c>
      <c r="D17" s="50" t="s">
        <v>4063</v>
      </c>
      <c r="E17" s="104">
        <v>45471</v>
      </c>
      <c r="F17" s="50">
        <v>1</v>
      </c>
      <c r="G17" s="107">
        <v>1</v>
      </c>
      <c r="H17" s="50" t="s">
        <v>3732</v>
      </c>
      <c r="I17" s="50" t="s">
        <v>3647</v>
      </c>
      <c r="J17" s="50" t="s">
        <v>3647</v>
      </c>
      <c r="K17" s="50" t="s">
        <v>3647</v>
      </c>
      <c r="L17" s="50" t="s">
        <v>3647</v>
      </c>
      <c r="M17" s="50" t="s">
        <v>3647</v>
      </c>
      <c r="N17" s="106" t="s">
        <v>3647</v>
      </c>
      <c r="O17" s="106" t="s">
        <v>3647</v>
      </c>
      <c r="P17" s="50" t="s">
        <v>3647</v>
      </c>
      <c r="Q17" s="50" t="s">
        <v>3647</v>
      </c>
      <c r="R17" s="106" t="s">
        <v>3647</v>
      </c>
      <c r="S17" s="106" t="s">
        <v>3647</v>
      </c>
      <c r="U17" s="49"/>
      <c r="X17" s="49"/>
    </row>
    <row r="18" spans="2:24">
      <c r="B18" s="50" t="s">
        <v>3624</v>
      </c>
      <c r="C18" s="50">
        <v>16</v>
      </c>
      <c r="D18" s="50" t="s">
        <v>4063</v>
      </c>
      <c r="E18" s="104">
        <v>45471</v>
      </c>
      <c r="F18" s="50">
        <v>1</v>
      </c>
      <c r="G18" s="107">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row>
    <row r="19" spans="2:24">
      <c r="B19" s="50" t="s">
        <v>3630</v>
      </c>
      <c r="C19" s="50">
        <v>19</v>
      </c>
      <c r="D19" s="50" t="s">
        <v>4064</v>
      </c>
      <c r="E19" s="104">
        <v>45471</v>
      </c>
      <c r="F19" s="50">
        <v>1</v>
      </c>
      <c r="G19" s="107" cm="1">
        <f t="array" aca="1" ref="G19" ca="1">SUMPRODUCT(--(ISNUMBER((SEARCH(I27:S27,I19:S19)))))/COUNTA(I19:S19)</f>
        <v>1</v>
      </c>
      <c r="H19" s="50" t="s">
        <v>3732</v>
      </c>
      <c r="I19" s="50" t="s">
        <v>4065</v>
      </c>
      <c r="J19" s="50" t="s">
        <v>3681</v>
      </c>
      <c r="K19" s="50" t="s">
        <v>3681</v>
      </c>
      <c r="L19" s="50" t="s">
        <v>3681</v>
      </c>
      <c r="M19" s="50" t="s">
        <v>3681</v>
      </c>
      <c r="N19" s="50" t="s">
        <v>3681</v>
      </c>
      <c r="O19" s="50" t="s">
        <v>3681</v>
      </c>
      <c r="P19" s="50" t="s">
        <v>3681</v>
      </c>
      <c r="Q19" s="50" t="s">
        <v>3681</v>
      </c>
      <c r="R19" s="50" t="s">
        <v>3681</v>
      </c>
      <c r="S19" s="50" t="s">
        <v>3683</v>
      </c>
    </row>
    <row r="20" spans="2:24">
      <c r="B20" s="50" t="s">
        <v>3633</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3636</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3753</v>
      </c>
      <c r="C25" s="151"/>
      <c r="D25" s="151"/>
      <c r="E25" s="151"/>
      <c r="F25" s="151"/>
      <c r="G25" s="151"/>
      <c r="H25" s="151"/>
    </row>
    <row r="26" spans="2:24">
      <c r="B26" s="142" t="s">
        <v>3639</v>
      </c>
      <c r="C26" s="138" t="s">
        <v>3640</v>
      </c>
      <c r="D26" s="138" t="s">
        <v>3641</v>
      </c>
      <c r="E26" s="138" t="s">
        <v>3642</v>
      </c>
      <c r="F26" s="138" t="s">
        <v>3643</v>
      </c>
      <c r="G26" s="138" t="s">
        <v>3644</v>
      </c>
      <c r="H26" s="138" t="s">
        <v>3645</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3684</v>
      </c>
      <c r="C27" s="152">
        <v>21</v>
      </c>
      <c r="D27" s="121" t="s">
        <v>3685</v>
      </c>
      <c r="E27" s="120" t="s">
        <v>3686</v>
      </c>
      <c r="F27" s="120" t="s">
        <v>372</v>
      </c>
      <c r="G27" s="120" t="s">
        <v>372</v>
      </c>
      <c r="H27" s="120" t="s">
        <v>372</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3687</v>
      </c>
      <c r="C28" s="152">
        <v>7</v>
      </c>
      <c r="D28" s="154" t="s">
        <v>3685</v>
      </c>
      <c r="E28" s="152" t="s">
        <v>3686</v>
      </c>
      <c r="F28" s="152" t="s">
        <v>372</v>
      </c>
      <c r="G28" s="152" t="s">
        <v>372</v>
      </c>
      <c r="H28" s="152" t="s">
        <v>372</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3688</v>
      </c>
    </row>
    <row r="31" spans="2:24">
      <c r="B31" s="158" t="s">
        <v>3689</v>
      </c>
      <c r="C31" s="140" t="s">
        <v>3690</v>
      </c>
      <c r="D31" s="159" t="s">
        <v>3691</v>
      </c>
      <c r="E31" s="140" t="s">
        <v>3692</v>
      </c>
      <c r="F31" s="159" t="s">
        <v>3693</v>
      </c>
    </row>
    <row r="32" spans="2:24" ht="29.1">
      <c r="B32" s="193" t="s">
        <v>3694</v>
      </c>
      <c r="C32" s="193" t="s">
        <v>489</v>
      </c>
      <c r="D32" s="148" t="s">
        <v>4066</v>
      </c>
      <c r="E32" s="148" t="s">
        <v>4067</v>
      </c>
      <c r="F32" s="193" t="s">
        <v>3700</v>
      </c>
    </row>
    <row r="33" spans="2:24" ht="116.1">
      <c r="B33" s="193" t="s">
        <v>3694</v>
      </c>
      <c r="C33" s="193" t="s">
        <v>502</v>
      </c>
      <c r="D33" s="148" t="s">
        <v>4068</v>
      </c>
      <c r="E33" s="148" t="s">
        <v>4069</v>
      </c>
      <c r="F33" s="148" t="s">
        <v>4070</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3639</v>
      </c>
      <c r="C2" s="85" t="s">
        <v>3640</v>
      </c>
      <c r="D2" s="85" t="s">
        <v>3641</v>
      </c>
      <c r="E2" s="85" t="s">
        <v>3642</v>
      </c>
      <c r="F2" s="85" t="s">
        <v>3643</v>
      </c>
      <c r="G2" s="85" t="s">
        <v>3644</v>
      </c>
      <c r="H2" s="85" t="s">
        <v>3645</v>
      </c>
      <c r="I2" s="85" t="s">
        <v>121</v>
      </c>
      <c r="J2" s="85" t="s">
        <v>137</v>
      </c>
      <c r="K2" s="85" t="s">
        <v>1116</v>
      </c>
      <c r="L2" s="85" t="s">
        <v>1124</v>
      </c>
      <c r="M2" s="85" t="s">
        <v>4071</v>
      </c>
      <c r="N2" s="85" t="s">
        <v>1144</v>
      </c>
      <c r="O2" s="85" t="s">
        <v>327</v>
      </c>
      <c r="P2" s="85" t="s">
        <v>334</v>
      </c>
    </row>
    <row r="3" spans="2:16">
      <c r="B3" s="50" t="s">
        <v>3593</v>
      </c>
      <c r="C3" s="50">
        <v>1</v>
      </c>
      <c r="D3" s="50" t="s">
        <v>4072</v>
      </c>
      <c r="E3" s="104">
        <v>45471</v>
      </c>
      <c r="F3" s="50">
        <v>1</v>
      </c>
      <c r="G3" s="107">
        <v>1</v>
      </c>
      <c r="H3" s="191" t="s">
        <v>4073</v>
      </c>
      <c r="I3" s="50" t="s">
        <v>3647</v>
      </c>
      <c r="J3" s="50" t="s">
        <v>3647</v>
      </c>
      <c r="K3" s="50" t="s">
        <v>3647</v>
      </c>
      <c r="L3" s="50" t="s">
        <v>3647</v>
      </c>
      <c r="M3" s="50" t="s">
        <v>3647</v>
      </c>
      <c r="N3" s="50" t="s">
        <v>3647</v>
      </c>
      <c r="O3" s="50" t="s">
        <v>3647</v>
      </c>
      <c r="P3" s="50" t="s">
        <v>3647</v>
      </c>
    </row>
    <row r="4" spans="2:16">
      <c r="B4" s="50" t="s">
        <v>3595</v>
      </c>
      <c r="C4" s="50">
        <v>2</v>
      </c>
      <c r="D4" s="50" t="s">
        <v>4074</v>
      </c>
      <c r="E4" s="104">
        <v>45471</v>
      </c>
      <c r="F4" s="50">
        <v>1</v>
      </c>
      <c r="G4" s="107">
        <v>1</v>
      </c>
      <c r="H4" s="50" t="s">
        <v>3656</v>
      </c>
      <c r="I4" s="50" t="s">
        <v>3647</v>
      </c>
      <c r="J4" s="50" t="s">
        <v>3647</v>
      </c>
      <c r="K4" s="50" t="s">
        <v>3647</v>
      </c>
      <c r="L4" s="50" t="s">
        <v>3647</v>
      </c>
      <c r="M4" s="50" t="s">
        <v>3647</v>
      </c>
      <c r="N4" s="50" t="s">
        <v>3647</v>
      </c>
      <c r="O4" s="50" t="s">
        <v>3647</v>
      </c>
      <c r="P4" s="50" t="s">
        <v>3647</v>
      </c>
    </row>
    <row r="5" spans="2:16">
      <c r="B5" s="50" t="s">
        <v>3597</v>
      </c>
      <c r="C5" s="50">
        <v>3</v>
      </c>
      <c r="D5" s="50" t="s">
        <v>4075</v>
      </c>
      <c r="E5" s="104">
        <v>45471</v>
      </c>
      <c r="F5" s="50">
        <v>1</v>
      </c>
      <c r="G5" s="107">
        <v>1</v>
      </c>
      <c r="H5" s="50" t="s">
        <v>3656</v>
      </c>
      <c r="I5" s="50">
        <v>0</v>
      </c>
      <c r="J5" s="50">
        <v>0</v>
      </c>
      <c r="K5" s="50">
        <v>0</v>
      </c>
      <c r="L5" s="50">
        <v>0</v>
      </c>
      <c r="M5" s="50">
        <v>0</v>
      </c>
      <c r="N5" s="50" t="s">
        <v>3647</v>
      </c>
      <c r="O5" s="50">
        <v>0</v>
      </c>
      <c r="P5" s="50" t="s">
        <v>3647</v>
      </c>
    </row>
    <row r="6" spans="2:16">
      <c r="B6" s="106" t="s">
        <v>3602</v>
      </c>
      <c r="C6" s="50">
        <v>6</v>
      </c>
      <c r="D6" s="50" t="s">
        <v>4076</v>
      </c>
      <c r="E6" s="104">
        <v>45471</v>
      </c>
      <c r="F6" s="50">
        <v>1</v>
      </c>
      <c r="G6" s="50" cm="1">
        <f t="array" ref="G6">SUMPRODUCT(--(I6:P6&gt;0))/COUNTA(I6:P6)</f>
        <v>1</v>
      </c>
      <c r="H6" s="50" t="s">
        <v>3656</v>
      </c>
      <c r="I6" s="50">
        <v>2</v>
      </c>
      <c r="J6" s="50">
        <v>30</v>
      </c>
      <c r="K6" s="50">
        <v>10</v>
      </c>
      <c r="L6" s="50">
        <v>1</v>
      </c>
      <c r="M6" s="50">
        <v>1</v>
      </c>
      <c r="N6" s="50">
        <v>10</v>
      </c>
      <c r="O6" s="50">
        <v>10</v>
      </c>
      <c r="P6" s="50">
        <v>21</v>
      </c>
    </row>
    <row r="7" spans="2:16">
      <c r="B7" s="50" t="s">
        <v>3605</v>
      </c>
      <c r="C7" s="50">
        <v>7</v>
      </c>
      <c r="D7" s="50" t="s">
        <v>4077</v>
      </c>
      <c r="E7" s="104">
        <v>45471</v>
      </c>
      <c r="F7" s="50">
        <v>1</v>
      </c>
      <c r="G7" s="50" cm="1">
        <f t="array" aca="1" ref="G7" ca="1">SUMPRODUCT(--(I7:P7&lt;=I24:P24))/COUNTA(I24:P24)</f>
        <v>1</v>
      </c>
      <c r="H7" s="50" t="s">
        <v>3656</v>
      </c>
      <c r="I7" s="50">
        <v>2</v>
      </c>
      <c r="J7" s="50">
        <v>30</v>
      </c>
      <c r="K7" s="50">
        <v>10</v>
      </c>
      <c r="L7" s="50">
        <v>1</v>
      </c>
      <c r="M7" s="50">
        <v>4</v>
      </c>
      <c r="N7" s="50">
        <v>10</v>
      </c>
      <c r="O7" s="50">
        <v>10</v>
      </c>
      <c r="P7" s="50">
        <v>21</v>
      </c>
    </row>
    <row r="8" spans="2:16">
      <c r="B8" s="50" t="s">
        <v>3608</v>
      </c>
      <c r="C8" s="50">
        <v>8</v>
      </c>
      <c r="D8" s="50" t="s">
        <v>4078</v>
      </c>
      <c r="E8" s="104">
        <v>45471</v>
      </c>
      <c r="F8" s="50">
        <v>1</v>
      </c>
      <c r="G8" s="50" t="s">
        <v>3647</v>
      </c>
      <c r="H8" s="50" t="s">
        <v>3656</v>
      </c>
      <c r="I8" s="50">
        <v>31</v>
      </c>
      <c r="J8" s="50">
        <v>162304820002470</v>
      </c>
      <c r="K8" s="50">
        <v>0</v>
      </c>
      <c r="L8" s="50">
        <v>0</v>
      </c>
      <c r="M8" s="50">
        <v>0</v>
      </c>
      <c r="N8" s="50" t="s">
        <v>3655</v>
      </c>
      <c r="O8" s="104">
        <v>45471</v>
      </c>
      <c r="P8" s="50" t="s">
        <v>4079</v>
      </c>
    </row>
    <row r="9" spans="2:16">
      <c r="B9" s="50" t="s">
        <v>3610</v>
      </c>
      <c r="C9" s="50">
        <v>9</v>
      </c>
      <c r="D9" s="50" t="s">
        <v>4080</v>
      </c>
      <c r="E9" s="104">
        <v>45471</v>
      </c>
      <c r="F9" s="50">
        <v>1</v>
      </c>
      <c r="G9" s="50" t="s">
        <v>3647</v>
      </c>
      <c r="H9" s="50" t="s">
        <v>3656</v>
      </c>
      <c r="I9" s="50">
        <v>31</v>
      </c>
      <c r="J9" s="50">
        <v>162304820002470</v>
      </c>
      <c r="K9" s="50">
        <v>0</v>
      </c>
      <c r="L9" s="50">
        <v>0</v>
      </c>
      <c r="M9" s="50">
        <v>0</v>
      </c>
      <c r="N9" s="50" t="s">
        <v>3655</v>
      </c>
      <c r="O9" s="104">
        <v>45471</v>
      </c>
      <c r="P9" s="50" t="s">
        <v>4081</v>
      </c>
    </row>
    <row r="10" spans="2:16">
      <c r="B10" s="106" t="s">
        <v>3612</v>
      </c>
      <c r="C10" s="50">
        <v>10</v>
      </c>
      <c r="D10" s="50" t="s">
        <v>4082</v>
      </c>
      <c r="E10" s="104">
        <v>45471</v>
      </c>
      <c r="F10" s="50">
        <v>1</v>
      </c>
      <c r="G10" s="50" t="s">
        <v>3647</v>
      </c>
      <c r="H10" s="50" t="s">
        <v>3656</v>
      </c>
      <c r="I10" s="50">
        <v>89</v>
      </c>
      <c r="J10" s="50">
        <v>8.8780038000002303E+29</v>
      </c>
      <c r="K10" s="50">
        <v>9961000426</v>
      </c>
      <c r="L10" s="50" t="s">
        <v>4083</v>
      </c>
      <c r="M10" s="50">
        <v>1057</v>
      </c>
      <c r="N10" s="104">
        <v>2958465</v>
      </c>
      <c r="O10" s="104">
        <v>45471</v>
      </c>
      <c r="P10" s="50" t="s">
        <v>4079</v>
      </c>
    </row>
    <row r="11" spans="2:16">
      <c r="B11" s="50" t="s">
        <v>3614</v>
      </c>
      <c r="C11" s="50">
        <v>11</v>
      </c>
      <c r="D11" s="50" t="s">
        <v>4084</v>
      </c>
      <c r="E11" s="104">
        <v>45471</v>
      </c>
      <c r="F11" s="50">
        <v>1</v>
      </c>
      <c r="G11" s="50" t="s">
        <v>3647</v>
      </c>
      <c r="H11" s="50" t="s">
        <v>3656</v>
      </c>
      <c r="I11" s="50">
        <v>89</v>
      </c>
      <c r="J11" s="50">
        <v>8.8780038000002303E+29</v>
      </c>
      <c r="K11" s="50">
        <v>9961000426</v>
      </c>
      <c r="L11" s="50" t="s">
        <v>4083</v>
      </c>
      <c r="M11" s="50">
        <v>1057</v>
      </c>
      <c r="N11" s="104">
        <v>2958465</v>
      </c>
      <c r="O11" s="104">
        <v>45471</v>
      </c>
      <c r="P11" s="50" t="s">
        <v>4085</v>
      </c>
    </row>
    <row r="12" spans="2:16">
      <c r="B12" s="50" t="s">
        <v>3616</v>
      </c>
      <c r="C12" s="50">
        <v>12</v>
      </c>
      <c r="D12" s="50" t="s">
        <v>4086</v>
      </c>
      <c r="E12" s="104">
        <v>45471</v>
      </c>
      <c r="F12" s="50">
        <v>1</v>
      </c>
      <c r="G12" s="50">
        <v>1</v>
      </c>
      <c r="H12" s="50" t="s">
        <v>3656</v>
      </c>
      <c r="I12" s="50">
        <v>0</v>
      </c>
      <c r="J12" s="50">
        <v>0</v>
      </c>
      <c r="K12" s="50">
        <v>0</v>
      </c>
      <c r="L12" s="50">
        <v>0</v>
      </c>
      <c r="M12" s="50">
        <v>0</v>
      </c>
      <c r="N12" s="104">
        <v>0</v>
      </c>
      <c r="O12" s="104">
        <v>0</v>
      </c>
      <c r="P12" s="50">
        <v>0</v>
      </c>
    </row>
    <row r="13" spans="2:16">
      <c r="B13" s="50" t="s">
        <v>3618</v>
      </c>
      <c r="C13" s="50">
        <v>13</v>
      </c>
      <c r="D13" s="50" t="s">
        <v>4087</v>
      </c>
      <c r="E13" s="104">
        <v>45471</v>
      </c>
      <c r="F13" s="50">
        <v>1</v>
      </c>
      <c r="G13" s="50">
        <v>1</v>
      </c>
      <c r="H13" s="50" t="s">
        <v>3656</v>
      </c>
      <c r="I13" s="50" t="s">
        <v>3647</v>
      </c>
      <c r="J13" s="50" t="s">
        <v>3647</v>
      </c>
      <c r="K13" s="50" t="s">
        <v>3647</v>
      </c>
      <c r="L13" s="50" t="s">
        <v>3647</v>
      </c>
      <c r="M13" s="50" t="s">
        <v>3647</v>
      </c>
      <c r="N13" s="104">
        <v>0</v>
      </c>
      <c r="O13" s="104" t="s">
        <v>3647</v>
      </c>
      <c r="P13" s="50" t="s">
        <v>3647</v>
      </c>
    </row>
    <row r="14" spans="2:16">
      <c r="B14" s="50" t="s">
        <v>3620</v>
      </c>
      <c r="C14" s="50">
        <v>14</v>
      </c>
      <c r="D14" s="50" t="s">
        <v>4088</v>
      </c>
      <c r="E14" s="104">
        <v>45471</v>
      </c>
      <c r="F14" s="50">
        <v>1</v>
      </c>
      <c r="G14" s="50">
        <v>1</v>
      </c>
      <c r="H14" s="50" t="s">
        <v>3656</v>
      </c>
      <c r="I14" s="50" t="s">
        <v>3647</v>
      </c>
      <c r="J14" s="50" t="s">
        <v>3647</v>
      </c>
      <c r="K14" s="50" t="s">
        <v>3647</v>
      </c>
      <c r="L14" s="50">
        <v>0</v>
      </c>
      <c r="M14" s="50" t="s">
        <v>3647</v>
      </c>
      <c r="N14" s="50" t="s">
        <v>3647</v>
      </c>
      <c r="O14" s="50" t="s">
        <v>3647</v>
      </c>
      <c r="P14" s="50" t="s">
        <v>3647</v>
      </c>
    </row>
    <row r="15" spans="2:16">
      <c r="B15" s="50" t="s">
        <v>3622</v>
      </c>
      <c r="C15" s="50">
        <v>15</v>
      </c>
      <c r="D15" s="50" t="s">
        <v>4089</v>
      </c>
      <c r="E15" s="104">
        <v>45471</v>
      </c>
      <c r="F15" s="50">
        <v>1</v>
      </c>
      <c r="G15" s="50">
        <v>1</v>
      </c>
      <c r="H15" s="50" t="s">
        <v>3656</v>
      </c>
      <c r="I15" s="50" t="s">
        <v>3647</v>
      </c>
      <c r="J15" s="50" t="s">
        <v>3647</v>
      </c>
      <c r="K15" s="50" t="s">
        <v>3647</v>
      </c>
      <c r="L15" s="50" t="s">
        <v>3647</v>
      </c>
      <c r="M15" s="50" t="s">
        <v>3647</v>
      </c>
      <c r="N15" s="106" t="s">
        <v>3647</v>
      </c>
      <c r="O15" s="50" t="s">
        <v>3647</v>
      </c>
      <c r="P15" s="50" t="s">
        <v>3647</v>
      </c>
    </row>
    <row r="16" spans="2:16">
      <c r="B16" s="50" t="s">
        <v>3624</v>
      </c>
      <c r="C16" s="50">
        <v>16</v>
      </c>
      <c r="D16" s="50" t="s">
        <v>4089</v>
      </c>
      <c r="E16" s="104">
        <v>45471</v>
      </c>
      <c r="F16" s="50">
        <v>1</v>
      </c>
      <c r="G16" s="50">
        <v>1</v>
      </c>
      <c r="H16" s="50" t="s">
        <v>3656</v>
      </c>
      <c r="I16" s="50" t="s">
        <v>3647</v>
      </c>
      <c r="J16" s="50" t="s">
        <v>3647</v>
      </c>
      <c r="K16" s="50" t="s">
        <v>3647</v>
      </c>
      <c r="L16" s="50" t="s">
        <v>3647</v>
      </c>
      <c r="M16" s="50" t="s">
        <v>3647</v>
      </c>
      <c r="N16" s="50" t="s">
        <v>3647</v>
      </c>
      <c r="O16" s="50" t="s">
        <v>3647</v>
      </c>
      <c r="P16" s="50" t="s">
        <v>3647</v>
      </c>
    </row>
    <row r="17" spans="2:16">
      <c r="B17" s="50" t="s">
        <v>3630</v>
      </c>
      <c r="C17" s="50">
        <v>19</v>
      </c>
      <c r="D17" s="50" t="s">
        <v>4090</v>
      </c>
      <c r="E17" s="104">
        <v>45471</v>
      </c>
      <c r="F17" s="50">
        <v>1</v>
      </c>
      <c r="G17" s="50" cm="1">
        <f t="array" aca="1" ref="G17" ca="1">SUMPRODUCT(--(ISNUMBER((SEARCH(I24:P24,I17:P17)))))/COUNTA(I17:P17)</f>
        <v>0.75</v>
      </c>
      <c r="H17" s="50" t="s">
        <v>3656</v>
      </c>
      <c r="I17" s="50" t="s">
        <v>3681</v>
      </c>
      <c r="J17" s="50" t="s">
        <v>3681</v>
      </c>
      <c r="K17" s="50" t="s">
        <v>3681</v>
      </c>
      <c r="L17" s="50" t="s">
        <v>3681</v>
      </c>
      <c r="M17" s="50" t="s">
        <v>4065</v>
      </c>
      <c r="N17" s="50" t="s">
        <v>3996</v>
      </c>
      <c r="O17" s="50" t="s">
        <v>3681</v>
      </c>
      <c r="P17" s="50" t="s">
        <v>3683</v>
      </c>
    </row>
    <row r="18" spans="2:16">
      <c r="B18" s="50" t="s">
        <v>3633</v>
      </c>
      <c r="C18" s="50">
        <v>20</v>
      </c>
      <c r="D18" s="50"/>
      <c r="E18" s="104">
        <v>45471</v>
      </c>
      <c r="F18" s="50">
        <v>1</v>
      </c>
      <c r="G18" s="50" cm="1">
        <f t="array" ref="G18">SUM(IF(I2:P2 = I23:P23, 1, 0))/ COUNTA(I2:P2)</f>
        <v>0.875</v>
      </c>
      <c r="H18" s="50" t="s">
        <v>3656</v>
      </c>
      <c r="I18" s="50" t="s">
        <v>3647</v>
      </c>
      <c r="J18" s="50" t="s">
        <v>3647</v>
      </c>
      <c r="K18" s="50" t="s">
        <v>3647</v>
      </c>
      <c r="L18" s="50" t="s">
        <v>3647</v>
      </c>
      <c r="M18" s="50" t="s">
        <v>3647</v>
      </c>
      <c r="N18" s="50" t="s">
        <v>3647</v>
      </c>
      <c r="O18" s="50" t="s">
        <v>3647</v>
      </c>
      <c r="P18" s="50" t="s">
        <v>3647</v>
      </c>
    </row>
    <row r="19" spans="2:16">
      <c r="B19" s="50" t="s">
        <v>3636</v>
      </c>
      <c r="C19" s="50">
        <v>21</v>
      </c>
      <c r="D19" s="50"/>
      <c r="E19" s="104">
        <v>45471</v>
      </c>
      <c r="F19" s="50">
        <v>1</v>
      </c>
      <c r="G19" s="50" cm="1">
        <f t="array" aca="1" ref="G19" ca="1">SUM(IF(IF(G3:G18="null",1,G3:G18)=1,1,0))/COUNT(IF(G3:G18="null",1,1))</f>
        <v>0.875</v>
      </c>
      <c r="H19" s="50" t="s">
        <v>3656</v>
      </c>
      <c r="I19" s="50" t="s">
        <v>3647</v>
      </c>
      <c r="J19" s="50" t="s">
        <v>3647</v>
      </c>
      <c r="K19" s="50" t="s">
        <v>3647</v>
      </c>
      <c r="L19" s="50" t="s">
        <v>3647</v>
      </c>
      <c r="M19" s="50" t="s">
        <v>3647</v>
      </c>
      <c r="N19" s="50">
        <v>0</v>
      </c>
      <c r="O19" s="50" t="s">
        <v>3647</v>
      </c>
      <c r="P19" s="50" t="s">
        <v>3647</v>
      </c>
    </row>
    <row r="22" spans="2:16">
      <c r="B22" s="139" t="s">
        <v>4091</v>
      </c>
    </row>
    <row r="23" spans="2:16">
      <c r="B23" s="137" t="s">
        <v>3639</v>
      </c>
      <c r="C23" s="138" t="s">
        <v>3640</v>
      </c>
      <c r="D23" s="138" t="s">
        <v>3641</v>
      </c>
      <c r="E23" s="138" t="s">
        <v>3642</v>
      </c>
      <c r="F23" s="138" t="s">
        <v>3643</v>
      </c>
      <c r="G23" s="138" t="s">
        <v>3644</v>
      </c>
      <c r="H23" s="138" t="s">
        <v>3645</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372</v>
      </c>
      <c r="C24" s="122">
        <v>21</v>
      </c>
      <c r="D24" s="123" t="s">
        <v>3685</v>
      </c>
      <c r="E24" s="122" t="s">
        <v>3686</v>
      </c>
      <c r="F24" s="122" t="s">
        <v>372</v>
      </c>
      <c r="G24" s="122" t="s">
        <v>372</v>
      </c>
      <c r="H24" s="122" t="s">
        <v>372</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372</v>
      </c>
      <c r="C25" s="122">
        <v>7</v>
      </c>
      <c r="D25" s="123" t="s">
        <v>3685</v>
      </c>
      <c r="E25" s="122" t="s">
        <v>3686</v>
      </c>
      <c r="F25" s="122" t="s">
        <v>372</v>
      </c>
      <c r="G25" s="122" t="s">
        <v>372</v>
      </c>
      <c r="H25" s="122" t="s">
        <v>372</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3688</v>
      </c>
    </row>
    <row r="28" spans="2:16">
      <c r="B28" s="158" t="s">
        <v>3689</v>
      </c>
      <c r="C28" s="140" t="s">
        <v>3690</v>
      </c>
      <c r="D28" s="159" t="s">
        <v>3691</v>
      </c>
      <c r="E28" s="140" t="s">
        <v>3692</v>
      </c>
      <c r="F28" s="159" t="s">
        <v>3693</v>
      </c>
    </row>
    <row r="29" spans="2:16" ht="29.1">
      <c r="B29" s="54" t="s">
        <v>4092</v>
      </c>
      <c r="C29" s="54" t="s">
        <v>1144</v>
      </c>
      <c r="D29" s="53" t="s">
        <v>4093</v>
      </c>
      <c r="E29" s="165" t="s">
        <v>4094</v>
      </c>
      <c r="F29" s="54"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3764</v>
      </c>
      <c r="C2" s="85" t="s">
        <v>3640</v>
      </c>
      <c r="D2" s="85" t="s">
        <v>3641</v>
      </c>
      <c r="E2" s="85" t="s">
        <v>3642</v>
      </c>
      <c r="F2" s="85" t="s">
        <v>3643</v>
      </c>
      <c r="G2" s="85" t="s">
        <v>3644</v>
      </c>
      <c r="H2" s="85" t="s">
        <v>3645</v>
      </c>
      <c r="I2" s="85" t="s">
        <v>121</v>
      </c>
      <c r="J2" s="171" t="s">
        <v>137</v>
      </c>
      <c r="K2" s="171" t="s">
        <v>149</v>
      </c>
      <c r="L2" s="171" t="s">
        <v>156</v>
      </c>
      <c r="M2" s="171" t="s">
        <v>168</v>
      </c>
      <c r="N2" s="171" t="s">
        <v>177</v>
      </c>
      <c r="O2" s="171" t="s">
        <v>188</v>
      </c>
      <c r="P2" s="171" t="s">
        <v>1843</v>
      </c>
      <c r="Q2" s="171" t="s">
        <v>1852</v>
      </c>
      <c r="R2" s="171" t="s">
        <v>1861</v>
      </c>
      <c r="S2" s="171" t="s">
        <v>1870</v>
      </c>
      <c r="T2" s="171" t="s">
        <v>625</v>
      </c>
      <c r="U2" s="171" t="s">
        <v>575</v>
      </c>
      <c r="V2" s="171" t="s">
        <v>199</v>
      </c>
      <c r="W2" s="171" t="s">
        <v>211</v>
      </c>
      <c r="X2" s="171" t="s">
        <v>223</v>
      </c>
      <c r="Y2" s="171" t="s">
        <v>239</v>
      </c>
      <c r="Z2" s="171" t="s">
        <v>261</v>
      </c>
      <c r="AA2" s="171" t="s">
        <v>880</v>
      </c>
      <c r="AB2" s="171" t="s">
        <v>1919</v>
      </c>
      <c r="AC2" s="171" t="s">
        <v>649</v>
      </c>
      <c r="AD2" s="171" t="s">
        <v>272</v>
      </c>
      <c r="AE2" s="171" t="s">
        <v>283</v>
      </c>
      <c r="AF2" s="171" t="s">
        <v>715</v>
      </c>
      <c r="AG2" s="171" t="s">
        <v>429</v>
      </c>
      <c r="AH2" s="171" t="s">
        <v>728</v>
      </c>
      <c r="AI2" s="171" t="s">
        <v>944</v>
      </c>
      <c r="AJ2" s="171" t="s">
        <v>1966</v>
      </c>
      <c r="AK2" s="171" t="s">
        <v>965</v>
      </c>
      <c r="AL2" s="171" t="s">
        <v>1979</v>
      </c>
      <c r="AM2" s="171" t="s">
        <v>1987</v>
      </c>
      <c r="AN2" s="170" t="s">
        <v>1998</v>
      </c>
      <c r="AO2" s="170" t="s">
        <v>2008</v>
      </c>
      <c r="AP2" s="170" t="s">
        <v>1523</v>
      </c>
      <c r="AQ2" s="170" t="s">
        <v>1530</v>
      </c>
      <c r="AR2" s="170" t="s">
        <v>756</v>
      </c>
      <c r="AS2" s="170" t="s">
        <v>766</v>
      </c>
      <c r="AT2" s="170" t="s">
        <v>776</v>
      </c>
      <c r="AU2" s="170" t="s">
        <v>785</v>
      </c>
      <c r="AV2" s="170" t="s">
        <v>2045</v>
      </c>
      <c r="AW2" s="170" t="s">
        <v>294</v>
      </c>
      <c r="AX2" s="170" t="s">
        <v>305</v>
      </c>
      <c r="AY2" s="170" t="s">
        <v>318</v>
      </c>
      <c r="AZ2" s="170" t="s">
        <v>327</v>
      </c>
      <c r="BA2" s="170" t="s">
        <v>334</v>
      </c>
    </row>
    <row r="3" spans="2:53">
      <c r="B3" s="50" t="s">
        <v>3593</v>
      </c>
      <c r="C3" s="50">
        <v>1</v>
      </c>
      <c r="D3" t="s">
        <v>4095</v>
      </c>
      <c r="E3" s="286">
        <v>45390</v>
      </c>
      <c r="F3" s="102">
        <v>1</v>
      </c>
      <c r="G3" s="285">
        <v>1</v>
      </c>
      <c r="H3" s="102">
        <v>125228</v>
      </c>
      <c r="I3" s="102" t="s">
        <v>3647</v>
      </c>
      <c r="J3" s="102" t="s">
        <v>3647</v>
      </c>
      <c r="K3" s="102" t="s">
        <v>3647</v>
      </c>
      <c r="L3" s="102" t="s">
        <v>3647</v>
      </c>
      <c r="M3" s="102" t="s">
        <v>3647</v>
      </c>
      <c r="N3" s="102" t="s">
        <v>3647</v>
      </c>
      <c r="O3" s="102" t="s">
        <v>3647</v>
      </c>
      <c r="P3" s="102" t="s">
        <v>3647</v>
      </c>
      <c r="Q3" s="102" t="s">
        <v>3647</v>
      </c>
      <c r="R3" s="102" t="s">
        <v>3647</v>
      </c>
      <c r="S3" s="102" t="s">
        <v>3647</v>
      </c>
      <c r="T3" s="102" t="s">
        <v>3647</v>
      </c>
      <c r="U3" s="102" t="s">
        <v>3647</v>
      </c>
      <c r="V3" s="102" t="s">
        <v>3647</v>
      </c>
      <c r="W3" s="102" t="s">
        <v>3647</v>
      </c>
      <c r="X3" s="102" t="s">
        <v>3647</v>
      </c>
      <c r="Y3" s="102" t="s">
        <v>3647</v>
      </c>
      <c r="Z3" s="102" t="s">
        <v>3647</v>
      </c>
      <c r="AA3" s="102" t="s">
        <v>3647</v>
      </c>
      <c r="AB3" s="102" t="s">
        <v>3647</v>
      </c>
      <c r="AC3" s="102" t="s">
        <v>3647</v>
      </c>
      <c r="AD3" s="102" t="s">
        <v>3647</v>
      </c>
      <c r="AE3" s="102" t="s">
        <v>3647</v>
      </c>
      <c r="AF3" s="102" t="s">
        <v>3647</v>
      </c>
      <c r="AG3" s="102" t="s">
        <v>3647</v>
      </c>
      <c r="AH3" s="102" t="s">
        <v>3647</v>
      </c>
      <c r="AI3" s="102" t="s">
        <v>3647</v>
      </c>
      <c r="AJ3" s="102" t="s">
        <v>3647</v>
      </c>
      <c r="AK3" s="102" t="s">
        <v>3647</v>
      </c>
      <c r="AL3" s="102" t="s">
        <v>3647</v>
      </c>
      <c r="AM3" s="102" t="s">
        <v>3647</v>
      </c>
      <c r="AN3" s="102" t="s">
        <v>3647</v>
      </c>
      <c r="AO3" s="102" t="s">
        <v>3647</v>
      </c>
      <c r="AP3" s="102" t="s">
        <v>3647</v>
      </c>
      <c r="AQ3" s="102" t="s">
        <v>3647</v>
      </c>
      <c r="AR3" s="102" t="s">
        <v>3647</v>
      </c>
      <c r="AS3" s="102" t="s">
        <v>3647</v>
      </c>
      <c r="AT3" s="102" t="s">
        <v>3647</v>
      </c>
      <c r="AU3" s="102" t="s">
        <v>3647</v>
      </c>
      <c r="AV3" s="102" t="s">
        <v>3647</v>
      </c>
      <c r="AW3" s="102" t="s">
        <v>3647</v>
      </c>
      <c r="AX3" s="102" t="s">
        <v>3647</v>
      </c>
      <c r="AY3" s="102" t="s">
        <v>3647</v>
      </c>
      <c r="AZ3" s="102" t="s">
        <v>3647</v>
      </c>
      <c r="BA3" s="102" t="s">
        <v>3647</v>
      </c>
    </row>
    <row r="4" spans="2:53">
      <c r="B4" s="50" t="s">
        <v>3595</v>
      </c>
      <c r="C4" s="50">
        <v>2</v>
      </c>
      <c r="D4" t="s">
        <v>4096</v>
      </c>
      <c r="E4" s="286">
        <v>45390</v>
      </c>
      <c r="F4" s="102">
        <v>1</v>
      </c>
      <c r="G4" s="285">
        <v>0.99999199999999999</v>
      </c>
      <c r="H4" s="284">
        <v>1</v>
      </c>
      <c r="I4" s="102" t="s">
        <v>3647</v>
      </c>
      <c r="J4" s="102" t="s">
        <v>3647</v>
      </c>
      <c r="K4" s="102" t="s">
        <v>3647</v>
      </c>
      <c r="L4" s="102" t="s">
        <v>3647</v>
      </c>
      <c r="M4" s="102" t="s">
        <v>3647</v>
      </c>
      <c r="N4" s="102" t="s">
        <v>3647</v>
      </c>
      <c r="O4" s="102" t="s">
        <v>3647</v>
      </c>
      <c r="P4" s="102" t="s">
        <v>3647</v>
      </c>
      <c r="Q4" s="102" t="s">
        <v>3647</v>
      </c>
      <c r="R4" s="102" t="s">
        <v>3647</v>
      </c>
      <c r="S4" s="102" t="s">
        <v>3647</v>
      </c>
      <c r="T4" s="102" t="s">
        <v>3647</v>
      </c>
      <c r="U4" s="102" t="s">
        <v>3647</v>
      </c>
      <c r="V4" s="102" t="s">
        <v>3647</v>
      </c>
      <c r="W4" s="102" t="s">
        <v>3647</v>
      </c>
      <c r="X4" s="102" t="s">
        <v>3647</v>
      </c>
      <c r="Y4" s="102" t="s">
        <v>3647</v>
      </c>
      <c r="Z4" s="102" t="s">
        <v>3647</v>
      </c>
      <c r="AA4" s="102" t="s">
        <v>3647</v>
      </c>
      <c r="AB4" s="102" t="s">
        <v>3647</v>
      </c>
      <c r="AC4" s="102" t="s">
        <v>3647</v>
      </c>
      <c r="AD4" s="102" t="s">
        <v>3647</v>
      </c>
      <c r="AE4" s="102" t="s">
        <v>3647</v>
      </c>
      <c r="AF4" s="102" t="s">
        <v>3647</v>
      </c>
      <c r="AG4" s="102" t="s">
        <v>3647</v>
      </c>
      <c r="AH4" s="102" t="s">
        <v>3647</v>
      </c>
      <c r="AI4" s="102" t="s">
        <v>3647</v>
      </c>
      <c r="AJ4" s="102" t="s">
        <v>3647</v>
      </c>
      <c r="AK4" s="102" t="s">
        <v>3647</v>
      </c>
      <c r="AL4" s="102" t="s">
        <v>3647</v>
      </c>
      <c r="AM4" s="102" t="s">
        <v>3647</v>
      </c>
      <c r="AN4" s="102" t="s">
        <v>3647</v>
      </c>
      <c r="AO4" s="102" t="s">
        <v>3647</v>
      </c>
      <c r="AP4" s="102" t="s">
        <v>3647</v>
      </c>
      <c r="AQ4" s="102" t="s">
        <v>3647</v>
      </c>
      <c r="AR4" s="102" t="s">
        <v>3647</v>
      </c>
      <c r="AS4" s="102" t="s">
        <v>3647</v>
      </c>
      <c r="AT4" s="102" t="s">
        <v>3647</v>
      </c>
      <c r="AU4" s="102" t="s">
        <v>3647</v>
      </c>
      <c r="AV4" s="102" t="s">
        <v>3647</v>
      </c>
      <c r="AW4" s="102" t="s">
        <v>3647</v>
      </c>
      <c r="AX4" s="102" t="s">
        <v>3647</v>
      </c>
      <c r="AY4" s="102" t="s">
        <v>3647</v>
      </c>
      <c r="AZ4" s="102" t="s">
        <v>3647</v>
      </c>
      <c r="BA4" s="102" t="s">
        <v>3647</v>
      </c>
    </row>
    <row r="5" spans="2:53">
      <c r="B5" s="50" t="s">
        <v>3597</v>
      </c>
      <c r="C5" s="50">
        <v>3</v>
      </c>
      <c r="D5" t="s">
        <v>4097</v>
      </c>
      <c r="E5" s="286">
        <v>45390</v>
      </c>
      <c r="F5" s="102">
        <v>1</v>
      </c>
      <c r="G5" s="285">
        <v>1</v>
      </c>
      <c r="H5" s="102">
        <v>0</v>
      </c>
      <c r="I5" s="102">
        <v>0</v>
      </c>
      <c r="J5" s="102">
        <v>0</v>
      </c>
      <c r="K5" s="102" t="s">
        <v>3647</v>
      </c>
      <c r="L5" s="102" t="s">
        <v>3647</v>
      </c>
      <c r="M5" s="102" t="s">
        <v>3647</v>
      </c>
      <c r="N5" s="102" t="s">
        <v>3647</v>
      </c>
      <c r="O5" s="102" t="s">
        <v>3647</v>
      </c>
      <c r="P5" s="102" t="s">
        <v>3647</v>
      </c>
      <c r="Q5" s="102" t="s">
        <v>3647</v>
      </c>
      <c r="R5" s="102" t="s">
        <v>3647</v>
      </c>
      <c r="S5" s="102" t="s">
        <v>3647</v>
      </c>
      <c r="T5" s="102" t="s">
        <v>3647</v>
      </c>
      <c r="U5" s="102" t="s">
        <v>3647</v>
      </c>
      <c r="V5" s="102" t="s">
        <v>3647</v>
      </c>
      <c r="W5" s="102" t="s">
        <v>3647</v>
      </c>
      <c r="X5" s="102" t="s">
        <v>3647</v>
      </c>
      <c r="Y5" s="102" t="s">
        <v>3647</v>
      </c>
      <c r="Z5" s="102" t="s">
        <v>3647</v>
      </c>
      <c r="AA5" s="102" t="s">
        <v>3647</v>
      </c>
      <c r="AB5" s="102" t="s">
        <v>3647</v>
      </c>
      <c r="AC5" s="102" t="s">
        <v>3647</v>
      </c>
      <c r="AD5" s="102" t="s">
        <v>3647</v>
      </c>
      <c r="AE5" s="102" t="s">
        <v>3647</v>
      </c>
      <c r="AF5" s="102" t="s">
        <v>3647</v>
      </c>
      <c r="AG5" s="102" t="s">
        <v>3647</v>
      </c>
      <c r="AH5" s="102" t="s">
        <v>3647</v>
      </c>
      <c r="AI5" s="102" t="s">
        <v>3647</v>
      </c>
      <c r="AJ5" s="102" t="s">
        <v>3647</v>
      </c>
      <c r="AK5" s="102" t="s">
        <v>3647</v>
      </c>
      <c r="AL5" s="102" t="s">
        <v>3647</v>
      </c>
      <c r="AM5" s="102" t="s">
        <v>3647</v>
      </c>
      <c r="AN5" s="102" t="s">
        <v>3647</v>
      </c>
      <c r="AO5" s="102" t="s">
        <v>3647</v>
      </c>
      <c r="AP5" s="102" t="s">
        <v>3647</v>
      </c>
      <c r="AQ5" s="102" t="s">
        <v>3647</v>
      </c>
      <c r="AR5" s="102" t="s">
        <v>3647</v>
      </c>
      <c r="AS5" s="102" t="s">
        <v>3647</v>
      </c>
      <c r="AT5" s="102" t="s">
        <v>3647</v>
      </c>
      <c r="AU5" s="102" t="s">
        <v>3647</v>
      </c>
      <c r="AV5" s="102" t="s">
        <v>3647</v>
      </c>
      <c r="AW5" s="102" t="s">
        <v>3647</v>
      </c>
      <c r="AX5" s="102" t="s">
        <v>3647</v>
      </c>
      <c r="AY5" s="102" t="s">
        <v>3647</v>
      </c>
      <c r="AZ5" s="102">
        <v>0</v>
      </c>
      <c r="BA5" s="102" t="s">
        <v>3647</v>
      </c>
    </row>
    <row r="6" spans="2:53">
      <c r="B6" s="106" t="s">
        <v>3599</v>
      </c>
      <c r="C6" s="50">
        <v>4</v>
      </c>
      <c r="D6" t="s">
        <v>3650</v>
      </c>
      <c r="E6" s="286">
        <v>45390</v>
      </c>
      <c r="F6" s="102">
        <v>1</v>
      </c>
      <c r="G6" s="285" t="s">
        <v>3647</v>
      </c>
      <c r="H6" s="102" t="s">
        <v>3647</v>
      </c>
      <c r="I6" s="102" t="s">
        <v>3647</v>
      </c>
      <c r="J6" s="102" t="s">
        <v>3647</v>
      </c>
      <c r="K6" s="102" t="s">
        <v>3647</v>
      </c>
      <c r="L6" s="102" t="s">
        <v>3647</v>
      </c>
      <c r="M6" s="102" t="s">
        <v>3647</v>
      </c>
      <c r="N6" s="102" t="s">
        <v>3647</v>
      </c>
      <c r="O6" s="102" t="s">
        <v>3647</v>
      </c>
      <c r="P6" s="102" t="s">
        <v>3647</v>
      </c>
      <c r="Q6" s="102" t="s">
        <v>3647</v>
      </c>
      <c r="R6" s="102" t="s">
        <v>3647</v>
      </c>
      <c r="S6" s="102" t="s">
        <v>3647</v>
      </c>
      <c r="T6" s="102" t="s">
        <v>3647</v>
      </c>
      <c r="U6" s="102" t="s">
        <v>3647</v>
      </c>
      <c r="V6" s="102" t="s">
        <v>3647</v>
      </c>
      <c r="W6" s="102" t="s">
        <v>3647</v>
      </c>
      <c r="X6" s="102" t="s">
        <v>3647</v>
      </c>
      <c r="Y6" s="102" t="s">
        <v>3647</v>
      </c>
      <c r="Z6" s="102" t="s">
        <v>3647</v>
      </c>
      <c r="AA6" s="102" t="s">
        <v>3647</v>
      </c>
      <c r="AB6" s="102" t="s">
        <v>3647</v>
      </c>
      <c r="AC6" s="102" t="s">
        <v>3647</v>
      </c>
      <c r="AD6" s="102" t="s">
        <v>3647</v>
      </c>
      <c r="AE6" s="102" t="s">
        <v>3647</v>
      </c>
      <c r="AF6" s="102" t="s">
        <v>3647</v>
      </c>
      <c r="AG6" s="102" t="s">
        <v>3647</v>
      </c>
      <c r="AH6" s="102" t="s">
        <v>3647</v>
      </c>
      <c r="AI6" s="102" t="s">
        <v>3647</v>
      </c>
      <c r="AJ6" s="102" t="s">
        <v>3647</v>
      </c>
      <c r="AK6" s="102" t="s">
        <v>3647</v>
      </c>
      <c r="AL6" s="102" t="s">
        <v>3647</v>
      </c>
      <c r="AM6" s="102" t="s">
        <v>3647</v>
      </c>
      <c r="AN6" s="102" t="s">
        <v>3647</v>
      </c>
      <c r="AO6" s="102" t="s">
        <v>3647</v>
      </c>
      <c r="AP6" s="102" t="s">
        <v>3647</v>
      </c>
      <c r="AQ6" s="102" t="s">
        <v>3647</v>
      </c>
      <c r="AR6" s="102" t="s">
        <v>3647</v>
      </c>
      <c r="AS6" s="102" t="s">
        <v>3647</v>
      </c>
      <c r="AT6" s="102" t="s">
        <v>3647</v>
      </c>
      <c r="AU6" s="102" t="s">
        <v>3647</v>
      </c>
      <c r="AV6" s="102" t="s">
        <v>3647</v>
      </c>
      <c r="AW6" s="102" t="s">
        <v>3647</v>
      </c>
      <c r="AX6" s="102" t="s">
        <v>3647</v>
      </c>
      <c r="AY6" s="102" t="s">
        <v>3647</v>
      </c>
      <c r="AZ6" s="102" t="s">
        <v>3647</v>
      </c>
      <c r="BA6" s="102" t="s">
        <v>3647</v>
      </c>
    </row>
    <row r="7" spans="2:53">
      <c r="B7" s="106" t="s">
        <v>3601</v>
      </c>
      <c r="C7" s="50">
        <v>5</v>
      </c>
      <c r="D7" t="s">
        <v>3650</v>
      </c>
      <c r="E7" s="286">
        <v>45390</v>
      </c>
      <c r="F7" s="102">
        <v>1</v>
      </c>
      <c r="G7" s="285" t="s">
        <v>3647</v>
      </c>
      <c r="H7" s="102" t="s">
        <v>3647</v>
      </c>
      <c r="I7" s="102" t="s">
        <v>3647</v>
      </c>
      <c r="J7" s="102" t="s">
        <v>3647</v>
      </c>
      <c r="K7" s="102" t="s">
        <v>3647</v>
      </c>
      <c r="L7" s="102" t="s">
        <v>3647</v>
      </c>
      <c r="M7" s="102" t="s">
        <v>3647</v>
      </c>
      <c r="N7" s="102" t="s">
        <v>3647</v>
      </c>
      <c r="O7" s="102" t="s">
        <v>3647</v>
      </c>
      <c r="P7" s="102" t="s">
        <v>3647</v>
      </c>
      <c r="Q7" s="102" t="s">
        <v>3647</v>
      </c>
      <c r="R7" s="102" t="s">
        <v>3647</v>
      </c>
      <c r="S7" s="102" t="s">
        <v>3647</v>
      </c>
      <c r="T7" s="102" t="s">
        <v>3647</v>
      </c>
      <c r="U7" s="102" t="s">
        <v>3647</v>
      </c>
      <c r="V7" s="102" t="s">
        <v>3647</v>
      </c>
      <c r="W7" s="102" t="s">
        <v>3647</v>
      </c>
      <c r="X7" s="102" t="s">
        <v>3647</v>
      </c>
      <c r="Y7" s="102" t="s">
        <v>3647</v>
      </c>
      <c r="Z7" s="102" t="s">
        <v>3647</v>
      </c>
      <c r="AA7" s="102" t="s">
        <v>3647</v>
      </c>
      <c r="AB7" s="102" t="s">
        <v>3647</v>
      </c>
      <c r="AC7" s="102" t="s">
        <v>3647</v>
      </c>
      <c r="AD7" s="102" t="s">
        <v>3647</v>
      </c>
      <c r="AE7" s="102" t="s">
        <v>3647</v>
      </c>
      <c r="AF7" s="102" t="s">
        <v>3647</v>
      </c>
      <c r="AG7" s="102" t="s">
        <v>3647</v>
      </c>
      <c r="AH7" s="102" t="s">
        <v>3647</v>
      </c>
      <c r="AI7" s="102" t="s">
        <v>3647</v>
      </c>
      <c r="AJ7" s="102" t="s">
        <v>3647</v>
      </c>
      <c r="AK7" s="102" t="s">
        <v>3647</v>
      </c>
      <c r="AL7" s="102" t="s">
        <v>3647</v>
      </c>
      <c r="AM7" s="102" t="s">
        <v>3647</v>
      </c>
      <c r="AN7" s="102" t="s">
        <v>3647</v>
      </c>
      <c r="AO7" s="102" t="s">
        <v>3647</v>
      </c>
      <c r="AP7" s="102" t="s">
        <v>3647</v>
      </c>
      <c r="AQ7" s="102" t="s">
        <v>3647</v>
      </c>
      <c r="AR7" s="102" t="s">
        <v>3647</v>
      </c>
      <c r="AS7" s="102" t="s">
        <v>3647</v>
      </c>
      <c r="AT7" s="102" t="s">
        <v>3647</v>
      </c>
      <c r="AU7" s="102" t="s">
        <v>3647</v>
      </c>
      <c r="AV7" s="102" t="s">
        <v>3647</v>
      </c>
      <c r="AW7" s="102" t="s">
        <v>3647</v>
      </c>
      <c r="AX7" s="102" t="s">
        <v>3647</v>
      </c>
      <c r="AY7" s="102" t="s">
        <v>3647</v>
      </c>
      <c r="AZ7" s="102" t="s">
        <v>3647</v>
      </c>
      <c r="BA7" s="102" t="s">
        <v>3647</v>
      </c>
    </row>
    <row r="8" spans="2:53">
      <c r="B8" s="106" t="s">
        <v>3602</v>
      </c>
      <c r="C8" s="50">
        <v>6</v>
      </c>
      <c r="D8" t="s">
        <v>4098</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3605</v>
      </c>
      <c r="C9" s="50">
        <v>7</v>
      </c>
      <c r="D9" t="s">
        <v>4099</v>
      </c>
      <c r="E9" s="286">
        <v>45390</v>
      </c>
      <c r="F9" s="102">
        <v>1</v>
      </c>
      <c r="G9" s="285" cm="1">
        <f t="array" aca="1" ref="G9" ca="1">SUMPRODUCT(--(I9:BA9 &lt;= I28:BA28))/COUNTA(I28:BA28)</f>
        <v>0.8666666666666667</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3608</v>
      </c>
      <c r="C10" s="50">
        <v>8</v>
      </c>
      <c r="D10" t="s">
        <v>4100</v>
      </c>
      <c r="E10" s="286">
        <v>45390</v>
      </c>
      <c r="F10" s="102">
        <v>1</v>
      </c>
      <c r="G10" s="285" t="s">
        <v>3647</v>
      </c>
      <c r="H10" s="102">
        <v>0</v>
      </c>
      <c r="I10" s="102">
        <v>31</v>
      </c>
      <c r="J10" s="102" t="s">
        <v>4101</v>
      </c>
      <c r="K10" s="102" t="s">
        <v>4102</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3656</v>
      </c>
      <c r="AC10" s="286">
        <v>-11976360000</v>
      </c>
      <c r="AD10" s="284">
        <v>-1240000000000</v>
      </c>
      <c r="AE10" s="102" t="s">
        <v>3656</v>
      </c>
      <c r="AF10" s="102" t="e">
        <v>#N/A</v>
      </c>
      <c r="AG10" s="286" t="e">
        <v>#N/A</v>
      </c>
      <c r="AH10" s="102" t="s">
        <v>3656</v>
      </c>
      <c r="AI10" s="102" t="e">
        <v>#N/A</v>
      </c>
      <c r="AJ10" s="102" t="s">
        <v>3656</v>
      </c>
      <c r="AK10" s="284" t="s">
        <v>3656</v>
      </c>
      <c r="AL10" s="102" t="e">
        <v>#N/A</v>
      </c>
      <c r="AM10" s="284" t="e">
        <v>#N/A</v>
      </c>
      <c r="AN10" s="284" t="s">
        <v>4103</v>
      </c>
      <c r="AO10" s="102" t="s">
        <v>3656</v>
      </c>
      <c r="AP10" s="102" t="s">
        <v>3656</v>
      </c>
      <c r="AQ10" s="102" t="e">
        <v>#N/A</v>
      </c>
      <c r="AR10" s="102" t="e">
        <v>#N/A</v>
      </c>
      <c r="AS10" s="102" t="s">
        <v>4104</v>
      </c>
      <c r="AT10" s="102" t="s">
        <v>3656</v>
      </c>
      <c r="AU10" s="102" t="s">
        <v>3656</v>
      </c>
      <c r="AV10" s="102" t="e">
        <v>#N/A</v>
      </c>
      <c r="AW10" s="102" t="s">
        <v>3657</v>
      </c>
      <c r="AX10" s="102" t="s">
        <v>3658</v>
      </c>
      <c r="AY10" s="102" t="s">
        <v>3775</v>
      </c>
      <c r="AZ10" s="286">
        <v>45390</v>
      </c>
      <c r="BA10" s="102" t="s">
        <v>4105</v>
      </c>
    </row>
    <row r="11" spans="2:53">
      <c r="B11" s="50" t="s">
        <v>3610</v>
      </c>
      <c r="C11" s="50">
        <v>9</v>
      </c>
      <c r="D11" t="s">
        <v>4106</v>
      </c>
      <c r="E11" s="286">
        <v>45390</v>
      </c>
      <c r="F11" s="102">
        <v>1</v>
      </c>
      <c r="G11" s="285" t="s">
        <v>3647</v>
      </c>
      <c r="H11" s="102">
        <v>0</v>
      </c>
      <c r="I11" s="102">
        <v>31</v>
      </c>
      <c r="J11" s="102" t="s">
        <v>4101</v>
      </c>
      <c r="K11" s="102" t="s">
        <v>4102</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3656</v>
      </c>
      <c r="AC11" s="286">
        <v>-11976360000</v>
      </c>
      <c r="AD11" s="284">
        <v>-1240000000000</v>
      </c>
      <c r="AE11" s="102" t="s">
        <v>3656</v>
      </c>
      <c r="AF11" s="102" t="e">
        <v>#N/A</v>
      </c>
      <c r="AG11" s="286" t="e">
        <v>#N/A</v>
      </c>
      <c r="AH11" s="102" t="s">
        <v>3656</v>
      </c>
      <c r="AI11" s="102" t="e">
        <v>#N/A</v>
      </c>
      <c r="AJ11" s="102" t="s">
        <v>3656</v>
      </c>
      <c r="AK11" s="284" t="s">
        <v>3656</v>
      </c>
      <c r="AL11" s="102" t="e">
        <v>#N/A</v>
      </c>
      <c r="AM11" s="284" t="e">
        <v>#N/A</v>
      </c>
      <c r="AN11" s="284" t="s">
        <v>4103</v>
      </c>
      <c r="AO11" s="102" t="s">
        <v>3656</v>
      </c>
      <c r="AP11" s="102" t="s">
        <v>3656</v>
      </c>
      <c r="AQ11" s="102" t="e">
        <v>#N/A</v>
      </c>
      <c r="AR11" s="102" t="e">
        <v>#N/A</v>
      </c>
      <c r="AS11" s="102" t="s">
        <v>4104</v>
      </c>
      <c r="AT11" s="102" t="s">
        <v>3656</v>
      </c>
      <c r="AU11" s="102" t="s">
        <v>3656</v>
      </c>
      <c r="AV11" s="102" t="e">
        <v>#N/A</v>
      </c>
      <c r="AW11" s="102" t="s">
        <v>3657</v>
      </c>
      <c r="AX11" s="102" t="s">
        <v>3658</v>
      </c>
      <c r="AY11" s="102" t="s">
        <v>3775</v>
      </c>
      <c r="AZ11" s="286">
        <v>45390</v>
      </c>
      <c r="BA11" s="102" t="s">
        <v>4105</v>
      </c>
    </row>
    <row r="12" spans="2:53">
      <c r="B12" s="106" t="s">
        <v>3612</v>
      </c>
      <c r="C12" s="50">
        <v>10</v>
      </c>
      <c r="D12" t="s">
        <v>4107</v>
      </c>
      <c r="E12" s="286">
        <v>45390</v>
      </c>
      <c r="F12" s="102">
        <v>1</v>
      </c>
      <c r="G12" s="285" t="s">
        <v>3647</v>
      </c>
      <c r="H12" s="102">
        <v>0</v>
      </c>
      <c r="I12" s="102">
        <v>89</v>
      </c>
      <c r="J12" s="102">
        <v>3.1172498702899997E+26</v>
      </c>
      <c r="K12" s="102" t="s">
        <v>4102</v>
      </c>
      <c r="L12" s="102" t="s">
        <v>4108</v>
      </c>
      <c r="M12" s="102" t="s">
        <v>4109</v>
      </c>
      <c r="N12" s="102">
        <v>31</v>
      </c>
      <c r="O12" s="102">
        <v>2.3930278393702E+29</v>
      </c>
      <c r="P12" s="102" t="s">
        <v>4018</v>
      </c>
      <c r="Q12" s="102">
        <v>31</v>
      </c>
      <c r="R12" s="102">
        <v>2.3930278393702E+29</v>
      </c>
      <c r="S12" s="102" t="s">
        <v>4018</v>
      </c>
      <c r="T12" s="102">
        <v>31</v>
      </c>
      <c r="U12" s="102">
        <v>20240000133</v>
      </c>
      <c r="V12" s="286">
        <v>45390</v>
      </c>
      <c r="W12" s="286">
        <v>2958465</v>
      </c>
      <c r="X12" s="102" t="s">
        <v>4021</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3726</v>
      </c>
      <c r="AM12" s="284" t="s">
        <v>4110</v>
      </c>
      <c r="AN12" s="284" t="s">
        <v>4111</v>
      </c>
      <c r="AO12" s="284">
        <v>5750000</v>
      </c>
      <c r="AP12" s="284">
        <v>5750000</v>
      </c>
      <c r="AQ12" s="102" t="s">
        <v>3726</v>
      </c>
      <c r="AR12" s="284" t="s">
        <v>4112</v>
      </c>
      <c r="AS12" s="284">
        <v>4160000</v>
      </c>
      <c r="AT12" s="284">
        <v>5000000</v>
      </c>
      <c r="AU12" s="284">
        <v>8923000</v>
      </c>
      <c r="AV12" s="284">
        <v>1</v>
      </c>
      <c r="AW12" s="284" t="s">
        <v>3666</v>
      </c>
      <c r="AX12" s="284" t="s">
        <v>3658</v>
      </c>
      <c r="AY12" s="102" t="s">
        <v>3667</v>
      </c>
      <c r="AZ12" s="286">
        <v>45390</v>
      </c>
      <c r="BA12" s="102" t="s">
        <v>4105</v>
      </c>
    </row>
    <row r="13" spans="2:53">
      <c r="B13" s="50" t="s">
        <v>3614</v>
      </c>
      <c r="C13" s="50">
        <v>11</v>
      </c>
      <c r="D13" t="s">
        <v>4113</v>
      </c>
      <c r="E13" s="286">
        <v>45390</v>
      </c>
      <c r="F13" s="102">
        <v>1</v>
      </c>
      <c r="G13" s="285" t="s">
        <v>3647</v>
      </c>
      <c r="H13" s="102">
        <v>0</v>
      </c>
      <c r="I13" s="102">
        <v>89</v>
      </c>
      <c r="J13" s="102">
        <v>3.1172498702899997E+26</v>
      </c>
      <c r="K13" s="102" t="s">
        <v>4102</v>
      </c>
      <c r="L13" s="102" t="s">
        <v>4108</v>
      </c>
      <c r="M13" s="102" t="s">
        <v>4109</v>
      </c>
      <c r="N13" s="102">
        <v>31</v>
      </c>
      <c r="O13" s="102">
        <v>2.3930278393702E+29</v>
      </c>
      <c r="P13" s="102" t="s">
        <v>4018</v>
      </c>
      <c r="Q13" s="102">
        <v>31</v>
      </c>
      <c r="R13" s="102">
        <v>2.3930278393702E+29</v>
      </c>
      <c r="S13" s="102" t="s">
        <v>4018</v>
      </c>
      <c r="T13" s="102">
        <v>31</v>
      </c>
      <c r="U13" s="102">
        <v>20240000133</v>
      </c>
      <c r="V13" s="286">
        <v>45390</v>
      </c>
      <c r="W13" s="286">
        <v>2958465</v>
      </c>
      <c r="X13" s="102" t="s">
        <v>4021</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3726</v>
      </c>
      <c r="AM13" s="284" t="s">
        <v>4110</v>
      </c>
      <c r="AN13" s="284" t="s">
        <v>4111</v>
      </c>
      <c r="AO13" s="284">
        <v>5750000</v>
      </c>
      <c r="AP13" s="284">
        <v>5750000</v>
      </c>
      <c r="AQ13" s="102" t="s">
        <v>3726</v>
      </c>
      <c r="AR13" s="284" t="s">
        <v>4112</v>
      </c>
      <c r="AS13" s="284">
        <v>4160000</v>
      </c>
      <c r="AT13" s="284">
        <v>5000000</v>
      </c>
      <c r="AU13" s="284">
        <v>8923000</v>
      </c>
      <c r="AV13" s="284">
        <v>1</v>
      </c>
      <c r="AW13" s="284" t="s">
        <v>3666</v>
      </c>
      <c r="AX13" s="284" t="s">
        <v>3658</v>
      </c>
      <c r="AY13" s="102" t="s">
        <v>3667</v>
      </c>
      <c r="AZ13" s="286">
        <v>45390</v>
      </c>
      <c r="BA13" s="102" t="s">
        <v>4105</v>
      </c>
    </row>
    <row r="14" spans="2:53">
      <c r="B14" s="50" t="s">
        <v>3616</v>
      </c>
      <c r="C14" s="50">
        <v>12</v>
      </c>
      <c r="D14" t="s">
        <v>4114</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3618</v>
      </c>
      <c r="C15" s="50">
        <v>13</v>
      </c>
      <c r="D15" t="s">
        <v>4115</v>
      </c>
      <c r="E15" s="286">
        <v>45390</v>
      </c>
      <c r="F15" s="102">
        <v>1</v>
      </c>
      <c r="G15" s="285">
        <v>1</v>
      </c>
      <c r="H15" s="102">
        <v>0</v>
      </c>
      <c r="I15" s="102" t="s">
        <v>3647</v>
      </c>
      <c r="J15" s="102" t="s">
        <v>3647</v>
      </c>
      <c r="K15" s="102" t="s">
        <v>3647</v>
      </c>
      <c r="L15" s="102" t="s">
        <v>3647</v>
      </c>
      <c r="M15" s="102" t="s">
        <v>3647</v>
      </c>
      <c r="N15" s="102" t="s">
        <v>3647</v>
      </c>
      <c r="O15" s="102" t="s">
        <v>3647</v>
      </c>
      <c r="P15" s="102" t="s">
        <v>3647</v>
      </c>
      <c r="Q15" s="102" t="s">
        <v>3647</v>
      </c>
      <c r="R15" s="102" t="s">
        <v>3647</v>
      </c>
      <c r="S15" s="102" t="s">
        <v>3647</v>
      </c>
      <c r="T15" s="102" t="s">
        <v>3647</v>
      </c>
      <c r="U15" s="102" t="s">
        <v>3647</v>
      </c>
      <c r="V15" s="102">
        <v>0</v>
      </c>
      <c r="W15" s="102">
        <v>0</v>
      </c>
      <c r="X15" s="102" t="s">
        <v>3647</v>
      </c>
      <c r="Y15" s="102" t="s">
        <v>3647</v>
      </c>
      <c r="Z15" s="102" t="s">
        <v>3647</v>
      </c>
      <c r="AA15" s="102" t="s">
        <v>3647</v>
      </c>
      <c r="AB15" s="102" t="s">
        <v>3647</v>
      </c>
      <c r="AC15" s="102" t="s">
        <v>3647</v>
      </c>
      <c r="AD15" s="102" t="s">
        <v>3647</v>
      </c>
      <c r="AE15" s="102" t="s">
        <v>3647</v>
      </c>
      <c r="AF15" s="102">
        <v>0</v>
      </c>
      <c r="AG15" s="102">
        <v>0</v>
      </c>
      <c r="AH15" s="102" t="s">
        <v>3647</v>
      </c>
      <c r="AI15" s="102">
        <v>0</v>
      </c>
      <c r="AJ15" s="102" t="s">
        <v>3647</v>
      </c>
      <c r="AK15" s="102" t="s">
        <v>3647</v>
      </c>
      <c r="AL15" s="102" t="s">
        <v>3647</v>
      </c>
      <c r="AM15" s="102" t="s">
        <v>3647</v>
      </c>
      <c r="AN15" s="102" t="s">
        <v>3647</v>
      </c>
      <c r="AO15" s="102" t="s">
        <v>3647</v>
      </c>
      <c r="AP15" s="102" t="s">
        <v>3647</v>
      </c>
      <c r="AQ15" s="102" t="s">
        <v>3647</v>
      </c>
      <c r="AR15" s="102" t="s">
        <v>3647</v>
      </c>
      <c r="AS15" s="102" t="s">
        <v>3647</v>
      </c>
      <c r="AT15" s="102" t="s">
        <v>3647</v>
      </c>
      <c r="AU15" s="102" t="s">
        <v>3647</v>
      </c>
      <c r="AV15" s="102" t="s">
        <v>3647</v>
      </c>
      <c r="AW15" s="102" t="s">
        <v>3647</v>
      </c>
      <c r="AX15" s="102" t="s">
        <v>3647</v>
      </c>
      <c r="AY15" s="102" t="s">
        <v>3647</v>
      </c>
      <c r="AZ15" s="102" t="s">
        <v>3647</v>
      </c>
      <c r="BA15" s="102" t="s">
        <v>3647</v>
      </c>
    </row>
    <row r="16" spans="2:53">
      <c r="B16" s="50" t="s">
        <v>3620</v>
      </c>
      <c r="C16" s="50">
        <v>14</v>
      </c>
      <c r="D16" t="s">
        <v>4116</v>
      </c>
      <c r="E16" s="286">
        <v>45390</v>
      </c>
      <c r="F16" s="102">
        <v>1</v>
      </c>
      <c r="G16" s="285">
        <v>1</v>
      </c>
      <c r="H16" s="102">
        <v>0</v>
      </c>
      <c r="I16" s="102" t="s">
        <v>3647</v>
      </c>
      <c r="J16" s="102" t="s">
        <v>3647</v>
      </c>
      <c r="K16" s="102">
        <v>0</v>
      </c>
      <c r="L16" s="102">
        <v>0</v>
      </c>
      <c r="M16" s="102">
        <v>0</v>
      </c>
      <c r="N16" s="102" t="s">
        <v>3647</v>
      </c>
      <c r="O16" s="102" t="s">
        <v>3647</v>
      </c>
      <c r="P16" s="102">
        <v>0</v>
      </c>
      <c r="Q16" s="102" t="s">
        <v>3647</v>
      </c>
      <c r="R16" s="102" t="s">
        <v>3647</v>
      </c>
      <c r="S16" s="102">
        <v>0</v>
      </c>
      <c r="T16" s="102" t="s">
        <v>3647</v>
      </c>
      <c r="U16" s="102" t="s">
        <v>3647</v>
      </c>
      <c r="V16" s="289" t="s">
        <v>3647</v>
      </c>
      <c r="W16" s="289" t="s">
        <v>3647</v>
      </c>
      <c r="X16" s="102">
        <v>0</v>
      </c>
      <c r="Y16" s="289">
        <v>0</v>
      </c>
      <c r="Z16" s="289" t="s">
        <v>3647</v>
      </c>
      <c r="AA16" s="102" t="s">
        <v>3647</v>
      </c>
      <c r="AB16" s="102" t="s">
        <v>3647</v>
      </c>
      <c r="AC16" s="289" t="s">
        <v>3647</v>
      </c>
      <c r="AD16" s="102" t="s">
        <v>3647</v>
      </c>
      <c r="AE16" s="102" t="s">
        <v>3647</v>
      </c>
      <c r="AF16" s="102" t="s">
        <v>3647</v>
      </c>
      <c r="AG16" s="289" t="s">
        <v>3647</v>
      </c>
      <c r="AH16" s="102" t="s">
        <v>3647</v>
      </c>
      <c r="AI16" s="102" t="s">
        <v>3647</v>
      </c>
      <c r="AJ16" s="102" t="s">
        <v>3647</v>
      </c>
      <c r="AK16" s="102" t="s">
        <v>3647</v>
      </c>
      <c r="AL16" s="102">
        <v>0</v>
      </c>
      <c r="AM16" s="102">
        <v>0</v>
      </c>
      <c r="AN16" s="102" t="s">
        <v>3647</v>
      </c>
      <c r="AO16" s="102" t="s">
        <v>3647</v>
      </c>
      <c r="AP16" s="102" t="s">
        <v>3647</v>
      </c>
      <c r="AQ16" s="102">
        <v>0</v>
      </c>
      <c r="AR16" s="102">
        <v>0</v>
      </c>
      <c r="AS16" s="102" t="s">
        <v>3647</v>
      </c>
      <c r="AT16" s="102" t="s">
        <v>3647</v>
      </c>
      <c r="AU16" s="102" t="s">
        <v>3647</v>
      </c>
      <c r="AV16" s="102">
        <v>0</v>
      </c>
      <c r="AW16" s="102">
        <v>0</v>
      </c>
      <c r="AX16" s="102">
        <v>0</v>
      </c>
      <c r="AY16" s="102">
        <v>0</v>
      </c>
      <c r="AZ16" s="102" t="s">
        <v>3647</v>
      </c>
      <c r="BA16" s="102" t="s">
        <v>3647</v>
      </c>
    </row>
    <row r="17" spans="2:53">
      <c r="B17" s="50" t="s">
        <v>3622</v>
      </c>
      <c r="C17" s="50">
        <v>15</v>
      </c>
      <c r="D17" t="s">
        <v>4117</v>
      </c>
      <c r="E17" s="286">
        <v>45390</v>
      </c>
      <c r="F17" s="102">
        <v>1</v>
      </c>
      <c r="G17" s="285">
        <v>0.99992800000000004</v>
      </c>
      <c r="H17" s="102">
        <v>0</v>
      </c>
      <c r="I17" s="102" t="s">
        <v>3647</v>
      </c>
      <c r="J17" s="102" t="s">
        <v>3647</v>
      </c>
      <c r="K17" s="102" t="s">
        <v>3647</v>
      </c>
      <c r="L17" s="102" t="s">
        <v>3647</v>
      </c>
      <c r="M17" s="102" t="s">
        <v>3647</v>
      </c>
      <c r="N17" s="102" t="s">
        <v>3647</v>
      </c>
      <c r="O17" s="102" t="s">
        <v>3647</v>
      </c>
      <c r="P17" s="102" t="s">
        <v>3647</v>
      </c>
      <c r="Q17" s="102" t="s">
        <v>3647</v>
      </c>
      <c r="R17" s="102" t="s">
        <v>3647</v>
      </c>
      <c r="S17" s="102" t="s">
        <v>3647</v>
      </c>
      <c r="T17" s="102" t="s">
        <v>3647</v>
      </c>
      <c r="U17" s="102" t="s">
        <v>3647</v>
      </c>
      <c r="V17" s="102" t="s">
        <v>3647</v>
      </c>
      <c r="W17" s="102" t="s">
        <v>3647</v>
      </c>
      <c r="X17" s="102" t="s">
        <v>3647</v>
      </c>
      <c r="Y17" s="102" t="s">
        <v>3647</v>
      </c>
      <c r="Z17" s="102" t="s">
        <v>3647</v>
      </c>
      <c r="AA17" s="102" t="s">
        <v>3647</v>
      </c>
      <c r="AB17" s="102" t="s">
        <v>3647</v>
      </c>
      <c r="AC17" s="102" t="s">
        <v>3647</v>
      </c>
      <c r="AD17" s="102" t="s">
        <v>3647</v>
      </c>
      <c r="AE17" s="102" t="s">
        <v>3647</v>
      </c>
      <c r="AF17" s="102" t="s">
        <v>3647</v>
      </c>
      <c r="AG17" s="102" t="s">
        <v>3647</v>
      </c>
      <c r="AH17" s="102" t="s">
        <v>3647</v>
      </c>
      <c r="AI17" s="102" t="s">
        <v>3647</v>
      </c>
      <c r="AJ17" s="102" t="s">
        <v>3647</v>
      </c>
      <c r="AK17" s="102" t="s">
        <v>3647</v>
      </c>
      <c r="AL17" s="102" t="s">
        <v>3647</v>
      </c>
      <c r="AM17" s="102" t="s">
        <v>3647</v>
      </c>
      <c r="AN17" s="102" t="s">
        <v>3647</v>
      </c>
      <c r="AO17" s="102" t="s">
        <v>3647</v>
      </c>
      <c r="AP17" s="102" t="s">
        <v>3647</v>
      </c>
      <c r="AQ17" s="102" t="s">
        <v>3647</v>
      </c>
      <c r="AR17" s="102" t="s">
        <v>3647</v>
      </c>
      <c r="AS17" s="102" t="s">
        <v>3647</v>
      </c>
      <c r="AT17" s="102" t="s">
        <v>3647</v>
      </c>
      <c r="AU17" s="102" t="s">
        <v>3647</v>
      </c>
      <c r="AV17" s="102" t="s">
        <v>3647</v>
      </c>
      <c r="AW17" s="102" t="s">
        <v>3647</v>
      </c>
      <c r="AX17" s="102" t="s">
        <v>3647</v>
      </c>
      <c r="AY17" s="102" t="s">
        <v>3647</v>
      </c>
      <c r="AZ17" s="102" t="s">
        <v>3647</v>
      </c>
      <c r="BA17" s="102" t="s">
        <v>3647</v>
      </c>
    </row>
    <row r="18" spans="2:53">
      <c r="B18" s="50" t="s">
        <v>3624</v>
      </c>
      <c r="C18" s="50">
        <v>16</v>
      </c>
      <c r="D18" t="s">
        <v>4117</v>
      </c>
      <c r="E18" s="286">
        <v>45390</v>
      </c>
      <c r="F18" s="102">
        <v>1</v>
      </c>
      <c r="G18" s="285">
        <v>0.99992800000000004</v>
      </c>
      <c r="H18" s="102">
        <v>0</v>
      </c>
      <c r="I18" s="102" t="s">
        <v>3647</v>
      </c>
      <c r="J18" s="102" t="s">
        <v>3647</v>
      </c>
      <c r="K18" s="102" t="s">
        <v>3647</v>
      </c>
      <c r="L18" s="102" t="s">
        <v>3647</v>
      </c>
      <c r="M18" s="102" t="s">
        <v>3647</v>
      </c>
      <c r="N18" s="102" t="s">
        <v>3647</v>
      </c>
      <c r="O18" s="102" t="s">
        <v>3647</v>
      </c>
      <c r="P18" s="102" t="s">
        <v>3647</v>
      </c>
      <c r="Q18" s="102" t="s">
        <v>3647</v>
      </c>
      <c r="R18" s="102" t="s">
        <v>3647</v>
      </c>
      <c r="S18" s="102" t="s">
        <v>3647</v>
      </c>
      <c r="T18" s="102" t="s">
        <v>3647</v>
      </c>
      <c r="U18" s="102" t="s">
        <v>3647</v>
      </c>
      <c r="V18" s="102" t="s">
        <v>3647</v>
      </c>
      <c r="W18" s="102" t="s">
        <v>3647</v>
      </c>
      <c r="X18" s="102" t="s">
        <v>3647</v>
      </c>
      <c r="Y18" s="102" t="s">
        <v>3647</v>
      </c>
      <c r="Z18" s="102" t="s">
        <v>3647</v>
      </c>
      <c r="AA18" s="102" t="s">
        <v>3647</v>
      </c>
      <c r="AB18" s="289" t="s">
        <v>3647</v>
      </c>
      <c r="AC18" s="102" t="s">
        <v>3647</v>
      </c>
      <c r="AD18" s="102" t="s">
        <v>3647</v>
      </c>
      <c r="AE18" s="102" t="s">
        <v>3647</v>
      </c>
      <c r="AF18" s="289" t="s">
        <v>3647</v>
      </c>
      <c r="AG18" s="102" t="s">
        <v>3647</v>
      </c>
      <c r="AH18" s="102" t="s">
        <v>3647</v>
      </c>
      <c r="AI18" s="102" t="s">
        <v>3647</v>
      </c>
      <c r="AJ18" s="102" t="s">
        <v>3647</v>
      </c>
      <c r="AK18" s="102" t="s">
        <v>3647</v>
      </c>
      <c r="AL18" s="102" t="s">
        <v>3647</v>
      </c>
      <c r="AM18" s="102" t="s">
        <v>3647</v>
      </c>
      <c r="AN18" s="102" t="s">
        <v>3647</v>
      </c>
      <c r="AO18" s="102" t="s">
        <v>3647</v>
      </c>
      <c r="AP18" s="102" t="s">
        <v>3647</v>
      </c>
      <c r="AQ18" s="102" t="s">
        <v>3647</v>
      </c>
      <c r="AR18" s="102" t="s">
        <v>3647</v>
      </c>
      <c r="AS18" s="102" t="s">
        <v>3647</v>
      </c>
      <c r="AT18" s="102" t="s">
        <v>3647</v>
      </c>
      <c r="AU18" s="102" t="s">
        <v>3647</v>
      </c>
      <c r="AV18" s="102" t="s">
        <v>3647</v>
      </c>
      <c r="AW18" s="102" t="s">
        <v>3647</v>
      </c>
      <c r="AX18" s="102" t="s">
        <v>3647</v>
      </c>
      <c r="AY18" s="102" t="s">
        <v>3647</v>
      </c>
      <c r="AZ18" s="102" t="s">
        <v>3647</v>
      </c>
      <c r="BA18" s="102" t="s">
        <v>3647</v>
      </c>
    </row>
    <row r="19" spans="2:53">
      <c r="B19" s="50" t="s">
        <v>3626</v>
      </c>
      <c r="C19" s="50">
        <v>17</v>
      </c>
      <c r="D19" t="s">
        <v>4117</v>
      </c>
      <c r="E19" s="286">
        <v>45390</v>
      </c>
      <c r="F19" s="102">
        <v>1</v>
      </c>
      <c r="G19" s="218">
        <f>1-13292/H3</f>
        <v>0.89385760373079504</v>
      </c>
      <c r="H19" s="50">
        <v>13292</v>
      </c>
      <c r="I19" s="102" t="s">
        <v>3647</v>
      </c>
      <c r="J19" s="102" t="s">
        <v>3647</v>
      </c>
      <c r="K19" s="102" t="s">
        <v>3647</v>
      </c>
      <c r="L19" s="102" t="s">
        <v>3647</v>
      </c>
      <c r="M19" s="102" t="s">
        <v>3647</v>
      </c>
      <c r="N19" s="102" t="s">
        <v>3647</v>
      </c>
      <c r="O19" s="102" t="s">
        <v>3647</v>
      </c>
      <c r="P19" s="102" t="s">
        <v>3647</v>
      </c>
      <c r="Q19" s="102" t="s">
        <v>3647</v>
      </c>
      <c r="R19" s="102" t="s">
        <v>3647</v>
      </c>
      <c r="S19" s="102" t="s">
        <v>3647</v>
      </c>
      <c r="T19" s="102" t="s">
        <v>3647</v>
      </c>
      <c r="U19" s="102" t="s">
        <v>3647</v>
      </c>
      <c r="V19" s="102" t="s">
        <v>3647</v>
      </c>
      <c r="W19" s="102" t="s">
        <v>3647</v>
      </c>
      <c r="X19" s="102" t="s">
        <v>3647</v>
      </c>
      <c r="Y19" s="102" t="s">
        <v>3647</v>
      </c>
      <c r="Z19" s="102" t="s">
        <v>3647</v>
      </c>
      <c r="AA19" s="102" t="s">
        <v>3647</v>
      </c>
      <c r="AB19" s="102" t="s">
        <v>3647</v>
      </c>
      <c r="AC19" s="102" t="s">
        <v>3647</v>
      </c>
      <c r="AD19" s="102" t="s">
        <v>3647</v>
      </c>
      <c r="AE19" s="102" t="s">
        <v>3647</v>
      </c>
      <c r="AF19" s="102" t="s">
        <v>3647</v>
      </c>
      <c r="AG19" s="102" t="s">
        <v>3647</v>
      </c>
      <c r="AH19" s="102" t="s">
        <v>3647</v>
      </c>
      <c r="AI19" s="102" t="s">
        <v>3647</v>
      </c>
      <c r="AJ19" s="102" t="s">
        <v>3647</v>
      </c>
      <c r="AK19" s="102" t="s">
        <v>3647</v>
      </c>
      <c r="AL19" s="102" t="s">
        <v>3647</v>
      </c>
      <c r="AM19" s="102" t="s">
        <v>3647</v>
      </c>
      <c r="AN19" s="102" t="s">
        <v>3647</v>
      </c>
      <c r="AO19" s="102" t="s">
        <v>3647</v>
      </c>
      <c r="AP19" s="102" t="s">
        <v>3647</v>
      </c>
      <c r="AQ19" s="102" t="s">
        <v>3647</v>
      </c>
      <c r="AR19" s="102" t="s">
        <v>3647</v>
      </c>
      <c r="AS19" s="102" t="s">
        <v>3647</v>
      </c>
      <c r="AT19" s="102" t="s">
        <v>3647</v>
      </c>
      <c r="AU19" s="102" t="s">
        <v>3647</v>
      </c>
      <c r="AV19" s="102" t="s">
        <v>3647</v>
      </c>
      <c r="AW19" s="102" t="s">
        <v>3647</v>
      </c>
      <c r="AX19" s="102" t="s">
        <v>3647</v>
      </c>
      <c r="AY19" s="102" t="s">
        <v>3647</v>
      </c>
      <c r="AZ19" s="102" t="s">
        <v>3647</v>
      </c>
      <c r="BA19" s="102" t="s">
        <v>3647</v>
      </c>
    </row>
    <row r="20" spans="2:53">
      <c r="B20" s="50" t="s">
        <v>3628</v>
      </c>
      <c r="C20" s="50">
        <v>18</v>
      </c>
      <c r="D20" t="s">
        <v>4117</v>
      </c>
      <c r="E20" s="286">
        <v>45390</v>
      </c>
      <c r="F20" s="102">
        <v>1</v>
      </c>
      <c r="G20" s="218">
        <f>1 - 3682/199733</f>
        <v>0.98156538979537677</v>
      </c>
      <c r="H20" s="50">
        <v>3682</v>
      </c>
      <c r="I20" s="102" t="s">
        <v>3647</v>
      </c>
      <c r="J20" s="102" t="s">
        <v>3647</v>
      </c>
      <c r="K20" s="102" t="s">
        <v>3647</v>
      </c>
      <c r="L20" s="102" t="s">
        <v>3647</v>
      </c>
      <c r="M20" s="102" t="s">
        <v>3647</v>
      </c>
      <c r="N20" s="102" t="s">
        <v>3647</v>
      </c>
      <c r="O20" s="102" t="s">
        <v>3647</v>
      </c>
      <c r="P20" s="102" t="s">
        <v>3647</v>
      </c>
      <c r="Q20" s="102" t="s">
        <v>3647</v>
      </c>
      <c r="R20" s="102" t="s">
        <v>3647</v>
      </c>
      <c r="S20" s="102" t="s">
        <v>3647</v>
      </c>
      <c r="T20" s="102" t="s">
        <v>3647</v>
      </c>
      <c r="U20" s="102" t="s">
        <v>3647</v>
      </c>
      <c r="V20" s="102" t="s">
        <v>3647</v>
      </c>
      <c r="W20" s="102" t="s">
        <v>3647</v>
      </c>
      <c r="X20" s="102" t="s">
        <v>3647</v>
      </c>
      <c r="Y20" s="102" t="s">
        <v>3647</v>
      </c>
      <c r="Z20" s="102" t="s">
        <v>3647</v>
      </c>
      <c r="AA20" s="102" t="s">
        <v>3647</v>
      </c>
      <c r="AB20" s="102" t="s">
        <v>3647</v>
      </c>
      <c r="AC20" s="102" t="s">
        <v>3647</v>
      </c>
      <c r="AD20" s="102" t="s">
        <v>3647</v>
      </c>
      <c r="AE20" s="102" t="s">
        <v>3647</v>
      </c>
      <c r="AF20" s="102" t="s">
        <v>3647</v>
      </c>
      <c r="AG20" s="102" t="s">
        <v>3647</v>
      </c>
      <c r="AH20" s="102" t="s">
        <v>3647</v>
      </c>
      <c r="AI20" s="102" t="s">
        <v>3647</v>
      </c>
      <c r="AJ20" s="102" t="s">
        <v>3647</v>
      </c>
      <c r="AK20" s="102" t="s">
        <v>3647</v>
      </c>
      <c r="AL20" s="102" t="s">
        <v>3647</v>
      </c>
      <c r="AM20" s="102" t="s">
        <v>3647</v>
      </c>
      <c r="AN20" s="102" t="s">
        <v>3647</v>
      </c>
      <c r="AO20" s="102" t="s">
        <v>3647</v>
      </c>
      <c r="AP20" s="102" t="s">
        <v>3647</v>
      </c>
      <c r="AQ20" s="102" t="s">
        <v>3647</v>
      </c>
      <c r="AR20" s="102" t="s">
        <v>3647</v>
      </c>
      <c r="AS20" s="102" t="s">
        <v>3647</v>
      </c>
      <c r="AT20" s="102" t="s">
        <v>3647</v>
      </c>
      <c r="AU20" s="102" t="s">
        <v>3647</v>
      </c>
      <c r="AV20" s="102" t="s">
        <v>3647</v>
      </c>
      <c r="AW20" s="102" t="s">
        <v>3647</v>
      </c>
      <c r="AX20" s="102" t="s">
        <v>3647</v>
      </c>
      <c r="AY20" s="102" t="s">
        <v>3647</v>
      </c>
      <c r="AZ20" s="102" t="s">
        <v>3647</v>
      </c>
      <c r="BA20" s="102" t="s">
        <v>3647</v>
      </c>
    </row>
    <row r="21" spans="2:53">
      <c r="B21" s="50" t="s">
        <v>3630</v>
      </c>
      <c r="C21" s="50">
        <v>19</v>
      </c>
      <c r="D21" t="s">
        <v>4118</v>
      </c>
      <c r="E21" s="286">
        <v>45390</v>
      </c>
      <c r="F21" s="102">
        <v>1</v>
      </c>
      <c r="G21" s="218" cm="1">
        <f t="array" aca="1" ref="G21" ca="1">SUMPRODUCT(--(ISNUMBER((SEARCH(I27:BA27,I21:BA21)))))/COUNTA(I21:BA21)</f>
        <v>0.97777777777777775</v>
      </c>
      <c r="H21" s="50" t="s">
        <v>3647</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3681</v>
      </c>
      <c r="Z21" s="50" t="s">
        <v>3682</v>
      </c>
      <c r="AA21" s="50" t="s">
        <v>3682</v>
      </c>
      <c r="AB21" s="50" t="s">
        <v>3682</v>
      </c>
      <c r="AC21" s="50" t="s">
        <v>3682</v>
      </c>
      <c r="AD21" s="50" t="s">
        <v>3682</v>
      </c>
      <c r="AE21" s="50" t="s">
        <v>3682</v>
      </c>
      <c r="AF21" s="50" t="s">
        <v>3681</v>
      </c>
      <c r="AG21" s="50" t="s">
        <v>3681</v>
      </c>
      <c r="AH21" s="50" t="s">
        <v>3682</v>
      </c>
      <c r="AI21" s="50" t="s">
        <v>3681</v>
      </c>
      <c r="AJ21" s="50" t="s">
        <v>3682</v>
      </c>
      <c r="AK21" s="50" t="s">
        <v>3682</v>
      </c>
      <c r="AL21" s="50" t="s">
        <v>3681</v>
      </c>
      <c r="AM21" s="50" t="s">
        <v>3681</v>
      </c>
      <c r="AN21" s="50" t="s">
        <v>3682</v>
      </c>
      <c r="AO21" s="50" t="s">
        <v>3682</v>
      </c>
      <c r="AP21" s="50" t="s">
        <v>3682</v>
      </c>
      <c r="AQ21" s="50" t="s">
        <v>3681</v>
      </c>
      <c r="AR21" s="50" t="s">
        <v>3681</v>
      </c>
      <c r="AS21" s="50" t="s">
        <v>3682</v>
      </c>
      <c r="AT21" s="50" t="s">
        <v>3682</v>
      </c>
      <c r="AU21" s="50" t="s">
        <v>3682</v>
      </c>
      <c r="AV21" s="50" t="s">
        <v>3681</v>
      </c>
      <c r="AW21" s="50" t="s">
        <v>3681</v>
      </c>
      <c r="AX21" s="50" t="s">
        <v>3681</v>
      </c>
      <c r="AY21" s="50" t="s">
        <v>3681</v>
      </c>
      <c r="AZ21" s="50" t="s">
        <v>3681</v>
      </c>
      <c r="BA21" s="50" t="s">
        <v>3683</v>
      </c>
    </row>
    <row r="22" spans="2:53">
      <c r="B22" s="50" t="s">
        <v>3633</v>
      </c>
      <c r="C22" s="50">
        <v>20</v>
      </c>
      <c r="D22" t="s">
        <v>4117</v>
      </c>
      <c r="E22" s="286">
        <v>45390</v>
      </c>
      <c r="F22" s="102">
        <v>1</v>
      </c>
      <c r="G22" s="285" cm="1">
        <f t="array" ref="G22">SUM(IF(I2:BA2 = I26:BA26, 1, 0))/ COUNTA(I2:BA2)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row>
    <row r="23" spans="2:53">
      <c r="B23" s="50" t="s">
        <v>3636</v>
      </c>
      <c r="C23" s="50">
        <v>21</v>
      </c>
      <c r="D23" t="s">
        <v>4117</v>
      </c>
      <c r="E23" s="286">
        <v>45390</v>
      </c>
      <c r="F23" s="102">
        <v>1</v>
      </c>
      <c r="G23" s="218" cm="1">
        <f t="array" aca="1" ref="G23" ca="1">SUM(IF(IF(G3:G22="null",1,G3:G22)=1,1,0))/COUNT(IF(G3:G22="null",1,1))</f>
        <v>0.6</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row>
    <row r="25" spans="2:53">
      <c r="B25" s="139" t="s">
        <v>3753</v>
      </c>
    </row>
    <row r="26" spans="2:53">
      <c r="B26" s="177" t="s">
        <v>3639</v>
      </c>
      <c r="C26" s="176" t="s">
        <v>3640</v>
      </c>
      <c r="D26" s="176" t="s">
        <v>3641</v>
      </c>
      <c r="E26" s="176" t="s">
        <v>3642</v>
      </c>
      <c r="F26" s="176" t="s">
        <v>3643</v>
      </c>
      <c r="G26" s="176" t="s">
        <v>3644</v>
      </c>
      <c r="H26" s="176" t="s">
        <v>3645</v>
      </c>
      <c r="I26" s="176" t="str" cm="1">
        <f t="array" ref="I26:BA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current_available_amount</v>
      </c>
      <c r="AB26" s="178" t="str">
        <v>current_retention_rate</v>
      </c>
      <c r="AC26" s="178" t="str">
        <v>cur_outsng_principal_balance</v>
      </c>
      <c r="AD26" s="178" t="str">
        <v>current_overdue_principal_bal</v>
      </c>
      <c r="AE26" s="178" t="str">
        <v>cur_debt_litigation_princip_bal</v>
      </c>
      <c r="AF26" s="178" t="str">
        <v>next_regular_amort_due_date</v>
      </c>
      <c r="AG26" s="178" t="str">
        <v>last_regular_amort_pay_date</v>
      </c>
      <c r="AH26" s="178" t="str">
        <v>current_bill_princip_amount</v>
      </c>
      <c r="AI26" s="178" t="str">
        <v>last_advance_date</v>
      </c>
      <c r="AJ26" s="178" t="str">
        <v>last_advance_principal_amount</v>
      </c>
      <c r="AK26" s="178" t="str">
        <v>cur_advance_principal_amt</v>
      </c>
      <c r="AL26" s="178" t="str">
        <v>initial_active_rate_type_code</v>
      </c>
      <c r="AM26" s="178" t="str">
        <v>initial_active_indexing</v>
      </c>
      <c r="AN26" s="178" t="str">
        <v>initial_active_index_rate</v>
      </c>
      <c r="AO26" s="178" t="str">
        <v>initial_active_spread</v>
      </c>
      <c r="AP26" s="178" t="str">
        <v>initial_active_interest_rate</v>
      </c>
      <c r="AQ26" s="178" t="str">
        <v>cur_active_rate_type_code</v>
      </c>
      <c r="AR26" s="178" t="str">
        <v>current_active_indexing</v>
      </c>
      <c r="AS26" s="178" t="str">
        <v>current_active_index_rate</v>
      </c>
      <c r="AT26" s="178" t="str">
        <v>current_active_spread</v>
      </c>
      <c r="AU26" s="178" t="str">
        <v>current_active_interest_rate</v>
      </c>
      <c r="AV26" s="178" t="str">
        <v>recourse_indicator</v>
      </c>
      <c r="AW26" s="178" t="str">
        <v>contract_status_code</v>
      </c>
      <c r="AX26" s="172" t="str">
        <v>contract_opening_channel_code</v>
      </c>
      <c r="AY26" s="172" t="str">
        <v>source_code</v>
      </c>
      <c r="AZ26" s="172" t="str">
        <v>data_date_part</v>
      </c>
      <c r="BA26" s="179" t="str">
        <v>data_timestamp_part</v>
      </c>
    </row>
    <row r="27" spans="2:53">
      <c r="B27" s="116" t="s">
        <v>3684</v>
      </c>
      <c r="C27" s="119">
        <v>21</v>
      </c>
      <c r="D27" s="113" t="s">
        <v>3685</v>
      </c>
      <c r="E27" s="112" t="s">
        <v>3686</v>
      </c>
      <c r="F27" s="112" t="s">
        <v>372</v>
      </c>
      <c r="G27" s="112" t="s">
        <v>372</v>
      </c>
      <c r="H27" s="112" t="s">
        <v>372</v>
      </c>
      <c r="I27" s="112"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STRING</v>
      </c>
      <c r="AG27" s="173" t="str">
        <f ca="1"/>
        <v>STRING</v>
      </c>
      <c r="AH27" s="173" t="str">
        <f ca="1"/>
        <v>DECIMAL</v>
      </c>
      <c r="AI27" s="173" t="str">
        <f ca="1"/>
        <v>STRING</v>
      </c>
      <c r="AJ27" s="173" t="str">
        <f ca="1"/>
        <v>STRING</v>
      </c>
      <c r="AK27" s="173" t="str">
        <f ca="1"/>
        <v>DECIMAL</v>
      </c>
      <c r="AL27" s="173" t="str">
        <f ca="1"/>
        <v>STRING</v>
      </c>
      <c r="AM27" s="173" t="str">
        <f ca="1"/>
        <v>STRING</v>
      </c>
      <c r="AN27" s="173" t="str">
        <f ca="1"/>
        <v>DECIMAL</v>
      </c>
      <c r="AO27" s="173" t="str">
        <f ca="1"/>
        <v>DECIMAL</v>
      </c>
      <c r="AP27" s="173" t="str">
        <f ca="1"/>
        <v>DECIMAL</v>
      </c>
      <c r="AQ27" s="173" t="str">
        <f ca="1"/>
        <v>STRING</v>
      </c>
      <c r="AR27" s="173" t="str">
        <f ca="1"/>
        <v>STRING</v>
      </c>
      <c r="AS27" s="173" t="str">
        <f ca="1"/>
        <v>DECIMAL</v>
      </c>
      <c r="AT27" s="173" t="str">
        <f ca="1"/>
        <v>DECIMAL</v>
      </c>
      <c r="AU27" s="173" t="str">
        <f ca="1"/>
        <v>DECIMAL</v>
      </c>
      <c r="AV27" s="173" t="str">
        <f ca="1"/>
        <v>STRING</v>
      </c>
      <c r="AW27" s="173" t="str">
        <f ca="1"/>
        <v>STRING</v>
      </c>
      <c r="AX27" s="173" t="str">
        <f ca="1"/>
        <v>STRING</v>
      </c>
      <c r="AY27" s="173" t="str">
        <f ca="1"/>
        <v>STRING</v>
      </c>
      <c r="AZ27" s="173" t="str">
        <f ca="1"/>
        <v>STRING</v>
      </c>
      <c r="BA27" s="180" t="str">
        <f ca="1"/>
        <v>TIMESTAMP</v>
      </c>
    </row>
    <row r="28" spans="2:53">
      <c r="B28" s="116" t="s">
        <v>3687</v>
      </c>
      <c r="C28" s="119">
        <v>7</v>
      </c>
      <c r="D28" s="113" t="s">
        <v>3685</v>
      </c>
      <c r="E28" s="112" t="s">
        <v>3686</v>
      </c>
      <c r="F28" s="114" t="s">
        <v>372</v>
      </c>
      <c r="G28" s="114" t="s">
        <v>372</v>
      </c>
      <c r="H28" s="114" t="s">
        <v>372</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10</v>
      </c>
      <c r="AG28" s="174">
        <f ca="1"/>
        <v>10</v>
      </c>
      <c r="AH28" s="174">
        <f ca="1"/>
        <v>23</v>
      </c>
      <c r="AI28" s="174">
        <f ca="1"/>
        <v>10</v>
      </c>
      <c r="AJ28" s="174">
        <f ca="1"/>
        <v>9999999</v>
      </c>
      <c r="AK28" s="174">
        <f ca="1"/>
        <v>23</v>
      </c>
      <c r="AL28" s="174">
        <f ca="1"/>
        <v>9999999</v>
      </c>
      <c r="AM28" s="174">
        <f ca="1"/>
        <v>3</v>
      </c>
      <c r="AN28" s="174">
        <f ca="1"/>
        <v>23</v>
      </c>
      <c r="AO28" s="174">
        <f ca="1"/>
        <v>23</v>
      </c>
      <c r="AP28" s="174">
        <f ca="1"/>
        <v>23</v>
      </c>
      <c r="AQ28" s="174">
        <f ca="1"/>
        <v>3</v>
      </c>
      <c r="AR28" s="174">
        <f ca="1"/>
        <v>3</v>
      </c>
      <c r="AS28" s="174">
        <f ca="1"/>
        <v>23</v>
      </c>
      <c r="AT28" s="174">
        <f ca="1"/>
        <v>23</v>
      </c>
      <c r="AU28" s="174">
        <f ca="1"/>
        <v>23</v>
      </c>
      <c r="AV28" s="174">
        <f ca="1"/>
        <v>9999999</v>
      </c>
      <c r="AW28" s="174">
        <f ca="1"/>
        <v>3</v>
      </c>
      <c r="AX28" s="174">
        <f ca="1"/>
        <v>3</v>
      </c>
      <c r="AY28" s="173">
        <f ca="1"/>
        <v>2</v>
      </c>
      <c r="AZ28" s="173">
        <f ca="1"/>
        <v>10</v>
      </c>
      <c r="BA28" s="180">
        <f ca="1"/>
        <v>23</v>
      </c>
    </row>
    <row r="30" spans="2:53">
      <c r="B30" s="149" t="s">
        <v>3688</v>
      </c>
    </row>
    <row r="31" spans="2:53">
      <c r="B31" s="143" t="s">
        <v>3689</v>
      </c>
      <c r="C31" s="143" t="s">
        <v>3690</v>
      </c>
      <c r="D31" s="144" t="s">
        <v>3691</v>
      </c>
      <c r="E31" s="143" t="s">
        <v>3692</v>
      </c>
      <c r="F31" s="143" t="s">
        <v>3693</v>
      </c>
    </row>
    <row r="32" spans="2:53" ht="29.1">
      <c r="B32" s="290" t="s">
        <v>3797</v>
      </c>
      <c r="C32" s="291" t="s">
        <v>1843</v>
      </c>
      <c r="D32" s="70" t="s">
        <v>4119</v>
      </c>
      <c r="E32" s="292"/>
      <c r="F32" s="293"/>
    </row>
    <row r="33" spans="2:31" ht="29.1">
      <c r="B33" s="290" t="s">
        <v>3797</v>
      </c>
      <c r="C33" s="291" t="s">
        <v>1870</v>
      </c>
      <c r="D33" s="70" t="s">
        <v>4119</v>
      </c>
      <c r="E33" s="292"/>
      <c r="F33" s="293"/>
    </row>
    <row r="34" spans="2:31" ht="29.1">
      <c r="B34" s="127" t="s">
        <v>3694</v>
      </c>
      <c r="C34" s="130" t="s">
        <v>168</v>
      </c>
      <c r="D34" s="53" t="s">
        <v>4120</v>
      </c>
      <c r="E34" s="162" t="s">
        <v>4121</v>
      </c>
      <c r="F34" s="145" t="s">
        <v>4122</v>
      </c>
      <c r="G34" t="s">
        <v>4123</v>
      </c>
    </row>
    <row r="35" spans="2:31" ht="43.5">
      <c r="B35" s="127" t="s">
        <v>3694</v>
      </c>
      <c r="C35" s="130" t="s">
        <v>177</v>
      </c>
      <c r="D35" s="53" t="s">
        <v>4124</v>
      </c>
      <c r="E35" s="162" t="s">
        <v>4125</v>
      </c>
      <c r="F35" s="145" t="s">
        <v>3697</v>
      </c>
    </row>
    <row r="36" spans="2:31" ht="43.5">
      <c r="B36" s="127" t="s">
        <v>3694</v>
      </c>
      <c r="C36" s="130" t="s">
        <v>188</v>
      </c>
      <c r="D36" s="53" t="s">
        <v>4124</v>
      </c>
      <c r="E36" s="162" t="s">
        <v>4125</v>
      </c>
      <c r="F36" s="145" t="s">
        <v>3697</v>
      </c>
    </row>
    <row r="37" spans="2:31" ht="87">
      <c r="B37" s="127" t="s">
        <v>3694</v>
      </c>
      <c r="C37" s="126" t="s">
        <v>1843</v>
      </c>
      <c r="D37" s="53" t="s">
        <v>4126</v>
      </c>
      <c r="E37" s="162" t="s">
        <v>4127</v>
      </c>
      <c r="F37" s="145" t="s">
        <v>4128</v>
      </c>
    </row>
    <row r="38" spans="2:31" ht="43.5">
      <c r="B38" s="127" t="s">
        <v>3694</v>
      </c>
      <c r="C38" s="130" t="s">
        <v>1852</v>
      </c>
      <c r="D38" s="53" t="s">
        <v>4124</v>
      </c>
      <c r="E38" s="162" t="s">
        <v>4125</v>
      </c>
      <c r="F38" s="145" t="s">
        <v>3697</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3694</v>
      </c>
      <c r="C39" s="130" t="s">
        <v>1861</v>
      </c>
      <c r="D39" s="53" t="s">
        <v>4124</v>
      </c>
      <c r="E39" s="162" t="s">
        <v>4125</v>
      </c>
      <c r="F39" s="145" t="s">
        <v>3697</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3694</v>
      </c>
      <c r="C40" s="126" t="s">
        <v>1870</v>
      </c>
      <c r="D40" s="53" t="s">
        <v>4126</v>
      </c>
      <c r="E40" s="162" t="s">
        <v>4127</v>
      </c>
      <c r="F40" s="145" t="s">
        <v>4128</v>
      </c>
    </row>
    <row r="41" spans="2:31" ht="43.5">
      <c r="B41" s="127" t="s">
        <v>3694</v>
      </c>
      <c r="C41" s="147" t="s">
        <v>625</v>
      </c>
      <c r="D41" s="53" t="s">
        <v>4124</v>
      </c>
      <c r="E41" s="162" t="s">
        <v>4125</v>
      </c>
      <c r="F41" s="145" t="s">
        <v>3697</v>
      </c>
    </row>
    <row r="42" spans="2:31" ht="43.5">
      <c r="B42" s="127" t="s">
        <v>3694</v>
      </c>
      <c r="C42" s="147" t="s">
        <v>575</v>
      </c>
      <c r="D42" s="53" t="s">
        <v>4124</v>
      </c>
      <c r="E42" s="162" t="s">
        <v>4125</v>
      </c>
      <c r="F42" s="145" t="s">
        <v>3697</v>
      </c>
    </row>
    <row r="43" spans="2:31" ht="43.5">
      <c r="B43" s="127" t="s">
        <v>3694</v>
      </c>
      <c r="C43" s="147" t="s">
        <v>261</v>
      </c>
      <c r="D43" s="53" t="s">
        <v>4124</v>
      </c>
      <c r="E43" s="162" t="s">
        <v>4125</v>
      </c>
      <c r="F43" s="145" t="s">
        <v>3697</v>
      </c>
    </row>
    <row r="44" spans="2:31" ht="72.599999999999994">
      <c r="B44" s="146" t="s">
        <v>3694</v>
      </c>
      <c r="C44" s="147" t="s">
        <v>880</v>
      </c>
      <c r="D44" s="53" t="s">
        <v>4129</v>
      </c>
      <c r="E44" s="162" t="s">
        <v>4130</v>
      </c>
      <c r="F44" s="145" t="s">
        <v>4131</v>
      </c>
    </row>
    <row r="45" spans="2:31" ht="43.5">
      <c r="B45" s="120" t="s">
        <v>3694</v>
      </c>
      <c r="C45" s="124" t="s">
        <v>1919</v>
      </c>
      <c r="D45" s="53" t="s">
        <v>4124</v>
      </c>
      <c r="E45" s="162" t="s">
        <v>4125</v>
      </c>
      <c r="F45" s="145" t="s">
        <v>3697</v>
      </c>
    </row>
    <row r="46" spans="2:31" ht="29.1">
      <c r="B46" s="120" t="s">
        <v>3694</v>
      </c>
      <c r="C46" s="124" t="s">
        <v>4132</v>
      </c>
      <c r="D46" s="53" t="s">
        <v>4133</v>
      </c>
      <c r="E46" s="162" t="s">
        <v>4134</v>
      </c>
      <c r="F46" s="145" t="s">
        <v>3703</v>
      </c>
    </row>
    <row r="47" spans="2:31" ht="29.1">
      <c r="B47" s="120" t="s">
        <v>3694</v>
      </c>
      <c r="C47" s="124" t="s">
        <v>272</v>
      </c>
      <c r="D47" s="184" t="s">
        <v>4135</v>
      </c>
      <c r="E47" s="162" t="s">
        <v>4136</v>
      </c>
      <c r="F47" s="145" t="s">
        <v>3703</v>
      </c>
    </row>
    <row r="48" spans="2:31" ht="57.95">
      <c r="B48" s="120" t="s">
        <v>3694</v>
      </c>
      <c r="C48" s="124" t="s">
        <v>429</v>
      </c>
      <c r="D48" s="53" t="s">
        <v>4137</v>
      </c>
      <c r="E48" s="297" t="s">
        <v>4138</v>
      </c>
      <c r="F48" s="145" t="s">
        <v>4139</v>
      </c>
    </row>
    <row r="49" spans="2:6" ht="57.95">
      <c r="B49" s="120" t="s">
        <v>3694</v>
      </c>
      <c r="C49" s="124" t="s">
        <v>715</v>
      </c>
      <c r="D49" s="53" t="s">
        <v>4137</v>
      </c>
      <c r="E49" s="297" t="s">
        <v>4138</v>
      </c>
      <c r="F49" s="145" t="s">
        <v>4139</v>
      </c>
    </row>
    <row r="50" spans="2:6" ht="43.5">
      <c r="B50" s="120" t="s">
        <v>3694</v>
      </c>
      <c r="C50" s="124" t="s">
        <v>4140</v>
      </c>
      <c r="D50" s="53" t="s">
        <v>4124</v>
      </c>
      <c r="E50" s="162" t="s">
        <v>4125</v>
      </c>
      <c r="F50" s="145" t="s">
        <v>3697</v>
      </c>
    </row>
    <row r="51" spans="2:6" ht="57.95">
      <c r="B51" s="120" t="s">
        <v>3694</v>
      </c>
      <c r="C51" s="124" t="s">
        <v>944</v>
      </c>
      <c r="D51" s="53" t="s">
        <v>4141</v>
      </c>
      <c r="E51" s="162" t="s">
        <v>4142</v>
      </c>
      <c r="F51" s="145" t="s">
        <v>4143</v>
      </c>
    </row>
    <row r="52" spans="2:6" ht="87">
      <c r="B52" s="120" t="s">
        <v>3694</v>
      </c>
      <c r="C52" s="124" t="s">
        <v>1966</v>
      </c>
      <c r="D52" s="53" t="s">
        <v>4144</v>
      </c>
      <c r="E52" s="162" t="s">
        <v>4145</v>
      </c>
      <c r="F52" s="145" t="s">
        <v>4146</v>
      </c>
    </row>
    <row r="53" spans="2:6" ht="87">
      <c r="B53" s="120" t="s">
        <v>3694</v>
      </c>
      <c r="C53" s="124" t="s">
        <v>965</v>
      </c>
      <c r="D53" s="53" t="s">
        <v>4147</v>
      </c>
      <c r="E53" s="162" t="s">
        <v>4148</v>
      </c>
      <c r="F53" s="145" t="s">
        <v>4146</v>
      </c>
    </row>
    <row r="54" spans="2:6" ht="43.5">
      <c r="B54" s="120" t="s">
        <v>3694</v>
      </c>
      <c r="C54" s="294" t="s">
        <v>4149</v>
      </c>
      <c r="D54" s="53" t="s">
        <v>4124</v>
      </c>
      <c r="E54" s="162" t="s">
        <v>4125</v>
      </c>
      <c r="F54" s="145" t="s">
        <v>3697</v>
      </c>
    </row>
    <row r="55" spans="2:6" ht="43.5">
      <c r="B55" s="120" t="s">
        <v>3694</v>
      </c>
      <c r="C55" s="295" t="s">
        <v>1987</v>
      </c>
      <c r="D55" s="53" t="s">
        <v>4124</v>
      </c>
      <c r="E55" s="162" t="s">
        <v>4125</v>
      </c>
      <c r="F55" s="145" t="s">
        <v>3697</v>
      </c>
    </row>
    <row r="56" spans="2:6" ht="43.5">
      <c r="B56" s="120" t="s">
        <v>3694</v>
      </c>
      <c r="C56" s="295" t="s">
        <v>1998</v>
      </c>
      <c r="D56" s="53" t="s">
        <v>4124</v>
      </c>
      <c r="E56" s="162" t="s">
        <v>4125</v>
      </c>
      <c r="F56" s="145" t="s">
        <v>3697</v>
      </c>
    </row>
    <row r="57" spans="2:6" ht="43.5">
      <c r="B57" s="120" t="s">
        <v>3694</v>
      </c>
      <c r="C57" s="295" t="s">
        <v>2008</v>
      </c>
      <c r="D57" s="53" t="s">
        <v>4124</v>
      </c>
      <c r="E57" s="162" t="s">
        <v>4125</v>
      </c>
      <c r="F57" s="145" t="s">
        <v>3697</v>
      </c>
    </row>
    <row r="58" spans="2:6" ht="43.5">
      <c r="B58" s="120" t="s">
        <v>3694</v>
      </c>
      <c r="C58" s="296" t="s">
        <v>1523</v>
      </c>
      <c r="D58" s="53" t="s">
        <v>4124</v>
      </c>
      <c r="E58" s="162" t="s">
        <v>4125</v>
      </c>
      <c r="F58" s="145" t="s">
        <v>3697</v>
      </c>
    </row>
    <row r="59" spans="2:6" ht="43.5">
      <c r="B59" s="120" t="s">
        <v>3694</v>
      </c>
      <c r="C59" s="296" t="s">
        <v>1530</v>
      </c>
      <c r="D59" s="53" t="s">
        <v>4124</v>
      </c>
      <c r="E59" s="162" t="s">
        <v>4125</v>
      </c>
      <c r="F59" s="145" t="s">
        <v>3697</v>
      </c>
    </row>
    <row r="60" spans="2:6" ht="43.5">
      <c r="B60" s="120" t="s">
        <v>3694</v>
      </c>
      <c r="C60" s="296" t="s">
        <v>756</v>
      </c>
      <c r="D60" s="53" t="s">
        <v>4124</v>
      </c>
      <c r="E60" s="162" t="s">
        <v>4125</v>
      </c>
      <c r="F60" s="145" t="s">
        <v>3697</v>
      </c>
    </row>
    <row r="61" spans="2:6" ht="43.5">
      <c r="B61" s="120" t="s">
        <v>3694</v>
      </c>
      <c r="C61" s="296" t="s">
        <v>766</v>
      </c>
      <c r="D61" s="53" t="s">
        <v>4124</v>
      </c>
      <c r="E61" s="162" t="s">
        <v>4125</v>
      </c>
      <c r="F61" s="145" t="s">
        <v>3697</v>
      </c>
    </row>
    <row r="62" spans="2:6" ht="43.5">
      <c r="B62" s="120" t="s">
        <v>3694</v>
      </c>
      <c r="C62" s="296" t="s">
        <v>776</v>
      </c>
      <c r="D62" s="53" t="s">
        <v>4124</v>
      </c>
      <c r="E62" s="162" t="s">
        <v>4125</v>
      </c>
      <c r="F62" s="145" t="s">
        <v>3697</v>
      </c>
    </row>
    <row r="63" spans="2:6" ht="43.5">
      <c r="B63" s="120" t="s">
        <v>3694</v>
      </c>
      <c r="C63" s="296" t="s">
        <v>785</v>
      </c>
      <c r="D63" s="53" t="s">
        <v>4124</v>
      </c>
      <c r="E63" s="162" t="s">
        <v>4125</v>
      </c>
      <c r="F63" s="145" t="s">
        <v>3697</v>
      </c>
    </row>
    <row r="64" spans="2:6" ht="87">
      <c r="B64" s="146" t="s">
        <v>3704</v>
      </c>
      <c r="C64" s="147" t="s">
        <v>3705</v>
      </c>
      <c r="D64" s="148" t="s">
        <v>4150</v>
      </c>
      <c r="E64" s="106" t="s">
        <v>4151</v>
      </c>
      <c r="F64" s="198" t="s">
        <v>4152</v>
      </c>
    </row>
    <row r="65" spans="2:7" ht="130.5">
      <c r="B65" s="146" t="s">
        <v>3762</v>
      </c>
      <c r="C65" s="147" t="s">
        <v>3705</v>
      </c>
      <c r="D65" s="148" t="s">
        <v>4153</v>
      </c>
      <c r="E65" s="106" t="s">
        <v>4154</v>
      </c>
      <c r="F65" s="198" t="s">
        <v>4152</v>
      </c>
      <c r="G65" t="s">
        <v>4155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c r="B3" s="50" t="s">
        <v>3593</v>
      </c>
      <c r="C3" s="50">
        <v>1</v>
      </c>
      <c r="D3" s="50" t="s">
        <v>4159</v>
      </c>
      <c r="E3" s="104">
        <v>45483</v>
      </c>
      <c r="F3" s="50">
        <v>1</v>
      </c>
      <c r="G3" s="202">
        <v>1</v>
      </c>
      <c r="H3" s="194">
        <v>468593</v>
      </c>
      <c r="I3" s="50" t="s">
        <v>3647</v>
      </c>
      <c r="J3" s="50" t="s">
        <v>3647</v>
      </c>
      <c r="K3" s="50" t="s">
        <v>3647</v>
      </c>
      <c r="L3" s="50" t="s">
        <v>3647</v>
      </c>
      <c r="M3" s="50" t="s">
        <v>3647</v>
      </c>
      <c r="N3" s="50" t="s">
        <v>3647</v>
      </c>
      <c r="O3" s="50" t="s">
        <v>3647</v>
      </c>
      <c r="P3" s="50" t="s">
        <v>3647</v>
      </c>
      <c r="Q3" s="50" t="s">
        <v>3647</v>
      </c>
      <c r="R3" s="50" t="s">
        <v>3647</v>
      </c>
      <c r="S3" s="50" t="s">
        <v>3647</v>
      </c>
    </row>
    <row r="4" spans="2:19">
      <c r="B4" s="50" t="s">
        <v>3595</v>
      </c>
      <c r="C4" s="50">
        <v>2</v>
      </c>
      <c r="D4" s="50" t="s">
        <v>4160</v>
      </c>
      <c r="E4" s="104">
        <v>45483</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row>
    <row r="5" spans="2:19">
      <c r="B5" s="50" t="s">
        <v>3597</v>
      </c>
      <c r="C5" s="50">
        <v>3</v>
      </c>
      <c r="D5" s="50" t="s">
        <v>4161</v>
      </c>
      <c r="E5" s="104">
        <v>45483</v>
      </c>
      <c r="F5" s="50">
        <v>1</v>
      </c>
      <c r="G5" s="202">
        <v>1</v>
      </c>
      <c r="H5" s="194">
        <v>0</v>
      </c>
      <c r="I5" s="50">
        <v>0</v>
      </c>
      <c r="J5" s="50" t="s">
        <v>3647</v>
      </c>
      <c r="K5" s="50" t="s">
        <v>3647</v>
      </c>
      <c r="L5" s="50" t="s">
        <v>3647</v>
      </c>
      <c r="M5" s="50" t="s">
        <v>3647</v>
      </c>
      <c r="N5" s="50" t="s">
        <v>3647</v>
      </c>
      <c r="O5" s="50" t="s">
        <v>3647</v>
      </c>
      <c r="P5" s="50" t="s">
        <v>3647</v>
      </c>
      <c r="Q5" s="50" t="s">
        <v>3647</v>
      </c>
      <c r="R5" s="50">
        <v>0</v>
      </c>
      <c r="S5" s="50" t="s">
        <v>3647</v>
      </c>
    </row>
    <row r="6" spans="2:19">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c r="B8" s="106" t="s">
        <v>3602</v>
      </c>
      <c r="C8" s="50">
        <v>6</v>
      </c>
      <c r="D8" s="50" t="s">
        <v>4162</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3605</v>
      </c>
      <c r="C9" s="50">
        <v>7</v>
      </c>
      <c r="D9" s="50" t="s">
        <v>4163</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3608</v>
      </c>
      <c r="C10" s="50">
        <v>8</v>
      </c>
      <c r="D10" s="50" t="s">
        <v>4164</v>
      </c>
      <c r="E10" s="104">
        <v>45483</v>
      </c>
      <c r="F10" s="50">
        <v>1</v>
      </c>
      <c r="G10" s="50" t="s">
        <v>3647</v>
      </c>
      <c r="H10" s="194">
        <v>0</v>
      </c>
      <c r="I10" s="50">
        <v>4293430451808770</v>
      </c>
      <c r="J10" s="50">
        <v>31</v>
      </c>
      <c r="K10" s="50">
        <v>3163579860010</v>
      </c>
      <c r="L10" s="50">
        <v>0</v>
      </c>
      <c r="M10" s="50">
        <v>0</v>
      </c>
      <c r="N10" s="50" t="s">
        <v>4165</v>
      </c>
      <c r="O10" s="50" t="s">
        <v>3656</v>
      </c>
      <c r="P10" s="104">
        <v>750000000</v>
      </c>
      <c r="Q10" s="104" t="s">
        <v>3725</v>
      </c>
      <c r="R10" s="104">
        <v>45483</v>
      </c>
      <c r="S10" s="107" t="s">
        <v>4166</v>
      </c>
    </row>
    <row r="11" spans="2:19">
      <c r="B11" s="50" t="s">
        <v>3610</v>
      </c>
      <c r="C11" s="50">
        <v>9</v>
      </c>
      <c r="D11" s="50" t="s">
        <v>4167</v>
      </c>
      <c r="E11" s="104">
        <v>45483</v>
      </c>
      <c r="F11" s="50">
        <v>1</v>
      </c>
      <c r="G11" s="50" t="s">
        <v>3647</v>
      </c>
      <c r="H11" s="194">
        <v>0</v>
      </c>
      <c r="I11" s="50">
        <v>4293430451808770</v>
      </c>
      <c r="J11" s="50">
        <v>31</v>
      </c>
      <c r="K11" s="50">
        <v>3163579860010</v>
      </c>
      <c r="L11" s="50">
        <v>0</v>
      </c>
      <c r="M11" s="50">
        <v>0</v>
      </c>
      <c r="N11" s="50">
        <v>202407</v>
      </c>
      <c r="O11" s="50" t="s">
        <v>3656</v>
      </c>
      <c r="P11" s="104">
        <v>750000000</v>
      </c>
      <c r="Q11" s="104">
        <v>15</v>
      </c>
      <c r="R11" s="104">
        <v>45483</v>
      </c>
      <c r="S11" s="50" t="s">
        <v>4168</v>
      </c>
    </row>
    <row r="12" spans="2:19">
      <c r="B12" s="106" t="s">
        <v>3612</v>
      </c>
      <c r="C12" s="50">
        <v>10</v>
      </c>
      <c r="D12" s="50" t="s">
        <v>4169</v>
      </c>
      <c r="E12" s="104">
        <v>45483</v>
      </c>
      <c r="F12" s="50">
        <v>1</v>
      </c>
      <c r="G12" s="50" t="s">
        <v>3647</v>
      </c>
      <c r="H12" s="194">
        <v>0</v>
      </c>
      <c r="I12" s="50">
        <v>5166320263218330</v>
      </c>
      <c r="J12" s="194">
        <v>31</v>
      </c>
      <c r="K12" s="50">
        <v>5131570000010</v>
      </c>
      <c r="L12" s="50">
        <v>8</v>
      </c>
      <c r="M12" s="104">
        <v>45483</v>
      </c>
      <c r="N12" s="50" t="s">
        <v>4170</v>
      </c>
      <c r="O12" s="107">
        <v>999999999000000</v>
      </c>
      <c r="P12" s="104">
        <v>999999999000000</v>
      </c>
      <c r="Q12" s="104" t="s">
        <v>3725</v>
      </c>
      <c r="R12" s="104">
        <v>45483</v>
      </c>
      <c r="S12" s="166" t="s">
        <v>4166</v>
      </c>
    </row>
    <row r="13" spans="2:19">
      <c r="B13" s="50" t="s">
        <v>3614</v>
      </c>
      <c r="C13" s="50">
        <v>11</v>
      </c>
      <c r="D13" s="50" t="s">
        <v>4171</v>
      </c>
      <c r="E13" s="104">
        <v>45483</v>
      </c>
      <c r="F13" s="50">
        <v>1</v>
      </c>
      <c r="G13" s="50" t="s">
        <v>3647</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4172</v>
      </c>
    </row>
    <row r="14" spans="2:19">
      <c r="B14" s="50" t="s">
        <v>3616</v>
      </c>
      <c r="C14" s="50">
        <v>12</v>
      </c>
      <c r="D14" s="50" t="s">
        <v>4173</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3618</v>
      </c>
      <c r="C15" s="50">
        <v>13</v>
      </c>
      <c r="D15" s="50" t="s">
        <v>4174</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c r="B16" s="50" t="s">
        <v>3620</v>
      </c>
      <c r="C16" s="50">
        <v>14</v>
      </c>
      <c r="D16" s="50" t="s">
        <v>4175</v>
      </c>
      <c r="E16" s="104">
        <v>45483</v>
      </c>
      <c r="F16" s="50">
        <v>1</v>
      </c>
      <c r="G16" s="202">
        <v>1</v>
      </c>
      <c r="H16" s="194">
        <v>0</v>
      </c>
      <c r="I16" s="50" t="s">
        <v>3647</v>
      </c>
      <c r="J16" s="50">
        <v>0</v>
      </c>
      <c r="K16" s="50">
        <v>0</v>
      </c>
      <c r="L16" s="50" t="s">
        <v>3647</v>
      </c>
      <c r="M16" s="50" t="s">
        <v>3647</v>
      </c>
      <c r="N16" s="50" t="s">
        <v>3647</v>
      </c>
      <c r="O16" s="50" t="s">
        <v>3647</v>
      </c>
      <c r="P16" s="50" t="s">
        <v>3647</v>
      </c>
      <c r="Q16" s="50">
        <v>0</v>
      </c>
      <c r="R16" s="50" t="s">
        <v>3647</v>
      </c>
      <c r="S16" s="50" t="s">
        <v>3647</v>
      </c>
    </row>
    <row r="17" spans="2:20">
      <c r="B17" s="50" t="s">
        <v>3622</v>
      </c>
      <c r="C17" s="50">
        <v>15</v>
      </c>
      <c r="D17" s="50" t="s">
        <v>4176</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c r="B18" s="50" t="s">
        <v>3624</v>
      </c>
      <c r="C18" s="50">
        <v>16</v>
      </c>
      <c r="D18" s="50" t="s">
        <v>4176</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c r="B19" s="50" t="s">
        <v>3630</v>
      </c>
      <c r="C19" s="50">
        <v>19</v>
      </c>
      <c r="D19" s="50" t="s">
        <v>4177</v>
      </c>
      <c r="E19" s="104">
        <v>45483</v>
      </c>
      <c r="F19" s="50">
        <v>1</v>
      </c>
      <c r="G19" s="202" cm="1">
        <f t="array" aca="1" ref="G19" ca="1">SUMPRODUCT(--(ISNUMBER((SEARCH(I25:S25,I19:S19)))))/COUNTA(I19:S19)</f>
        <v>0.63636363636363635</v>
      </c>
      <c r="H19" s="104"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c r="B20" s="50" t="s">
        <v>3633</v>
      </c>
      <c r="C20" s="50">
        <v>20</v>
      </c>
      <c r="D20" s="50" t="s">
        <v>4178</v>
      </c>
      <c r="E20" s="104">
        <v>45483</v>
      </c>
      <c r="F20" s="50">
        <v>1</v>
      </c>
      <c r="G20" s="202" cm="1">
        <f t="array" ref="G20">SUM(IF(I2:S2 = I24:S24, 1, 0))/ COUNTA(I2:S2)</f>
        <v>9.0909090909090912E-2</v>
      </c>
      <c r="H20" s="202" t="s">
        <v>3647</v>
      </c>
      <c r="I20" s="202" t="s">
        <v>3647</v>
      </c>
      <c r="J20" s="202" t="s">
        <v>3647</v>
      </c>
      <c r="K20" s="202" t="s">
        <v>3647</v>
      </c>
      <c r="L20" s="202" t="s">
        <v>3647</v>
      </c>
      <c r="M20" s="202" t="s">
        <v>3647</v>
      </c>
      <c r="N20" s="202" t="s">
        <v>3647</v>
      </c>
      <c r="O20" s="202" t="s">
        <v>3647</v>
      </c>
      <c r="P20" s="202" t="s">
        <v>3647</v>
      </c>
      <c r="Q20" s="202" t="s">
        <v>3647</v>
      </c>
      <c r="R20" s="202" t="s">
        <v>3647</v>
      </c>
      <c r="S20" s="202" t="s">
        <v>3647</v>
      </c>
    </row>
    <row r="21" spans="2:20">
      <c r="B21" s="50" t="s">
        <v>3636</v>
      </c>
      <c r="C21" s="50">
        <v>21</v>
      </c>
      <c r="D21" s="50" t="s">
        <v>4178</v>
      </c>
      <c r="E21" s="104">
        <v>45483</v>
      </c>
      <c r="F21" s="50">
        <v>1</v>
      </c>
      <c r="G21" s="202" cm="1">
        <f t="array" aca="1" ref="G21" ca="1">SUM(IF(IF(G3:G20="null",1,G3:G20)=1,1,0))/COUNT(IF(G3:G20="null",1,1))</f>
        <v>0.83333333333333337</v>
      </c>
      <c r="H21" s="202" t="s">
        <v>3647</v>
      </c>
      <c r="I21" s="202" t="s">
        <v>3647</v>
      </c>
      <c r="J21" s="202" t="s">
        <v>3647</v>
      </c>
      <c r="K21" s="202" t="s">
        <v>3647</v>
      </c>
      <c r="L21" s="202" t="s">
        <v>3647</v>
      </c>
      <c r="M21" s="202" t="s">
        <v>3647</v>
      </c>
      <c r="N21" s="202" t="s">
        <v>3647</v>
      </c>
      <c r="O21" s="202" t="s">
        <v>3647</v>
      </c>
      <c r="P21" s="202" t="s">
        <v>3647</v>
      </c>
      <c r="Q21" s="202" t="s">
        <v>3647</v>
      </c>
      <c r="R21" s="202" t="s">
        <v>3647</v>
      </c>
      <c r="S21" s="202" t="s">
        <v>3647</v>
      </c>
    </row>
    <row r="22" spans="2:20">
      <c r="B22" s="50"/>
      <c r="C22" s="50"/>
      <c r="D22" s="50"/>
      <c r="E22" s="104"/>
      <c r="F22" s="50"/>
      <c r="G22" s="50"/>
      <c r="H22" s="50"/>
      <c r="I22" s="50"/>
      <c r="J22" s="50"/>
      <c r="K22" s="50"/>
      <c r="L22" s="50"/>
      <c r="M22" s="50"/>
      <c r="N22" s="50"/>
      <c r="O22" s="50"/>
      <c r="P22" s="50"/>
      <c r="Q22" s="50"/>
      <c r="R22" s="50"/>
      <c r="S22" s="50"/>
    </row>
    <row r="23" spans="2:20">
      <c r="B23" s="139" t="s">
        <v>3753</v>
      </c>
    </row>
    <row r="24" spans="2:20">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3684</v>
      </c>
      <c r="C25" s="119">
        <v>21</v>
      </c>
      <c r="D25" s="113" t="s">
        <v>3685</v>
      </c>
      <c r="E25" s="112" t="s">
        <v>3686</v>
      </c>
      <c r="F25" s="112" t="s">
        <v>372</v>
      </c>
      <c r="G25" s="112" t="s">
        <v>372</v>
      </c>
      <c r="H25" s="112" t="s">
        <v>372</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3687</v>
      </c>
      <c r="C26" s="119">
        <v>7</v>
      </c>
      <c r="D26" s="113" t="s">
        <v>3685</v>
      </c>
      <c r="E26" s="112" t="s">
        <v>3686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3688</v>
      </c>
    </row>
    <row r="29" spans="2:20">
      <c r="B29" s="143" t="s">
        <v>3689</v>
      </c>
      <c r="C29" s="143" t="s">
        <v>3690</v>
      </c>
      <c r="D29" s="144" t="s">
        <v>3691</v>
      </c>
      <c r="E29" s="143" t="s">
        <v>3692</v>
      </c>
      <c r="F29" s="143" t="s">
        <v>3693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3639</v>
      </c>
      <c r="C2" s="85" t="s">
        <v>3640</v>
      </c>
      <c r="D2" s="85" t="s">
        <v>3641</v>
      </c>
      <c r="E2" s="85" t="s">
        <v>3642</v>
      </c>
      <c r="F2" s="85" t="s">
        <v>3643</v>
      </c>
      <c r="G2" s="85" t="s">
        <v>3644</v>
      </c>
      <c r="H2" s="85" t="s">
        <v>3645</v>
      </c>
      <c r="I2" s="85" t="s">
        <v>1156</v>
      </c>
      <c r="J2" s="85" t="s">
        <v>4179</v>
      </c>
      <c r="K2" s="85" t="s">
        <v>4180</v>
      </c>
      <c r="L2" s="85" t="s">
        <v>4158</v>
      </c>
      <c r="M2" s="85" t="s">
        <v>1200</v>
      </c>
      <c r="N2" s="85" t="s">
        <v>1208</v>
      </c>
      <c r="O2" s="85" t="s">
        <v>1216</v>
      </c>
      <c r="P2" s="85" t="s">
        <v>1227</v>
      </c>
      <c r="Q2" s="85" t="s">
        <v>1235</v>
      </c>
      <c r="R2" s="85" t="s">
        <v>327</v>
      </c>
      <c r="S2" s="85" t="s">
        <v>334</v>
      </c>
    </row>
    <row r="3" spans="2:19">
      <c r="B3" s="50" t="s">
        <v>3593</v>
      </c>
      <c r="C3" s="50">
        <v>1</v>
      </c>
      <c r="D3" s="50" t="s">
        <v>4181</v>
      </c>
      <c r="E3" s="104">
        <v>45485</v>
      </c>
      <c r="F3" s="50">
        <v>1</v>
      </c>
      <c r="G3" s="202">
        <v>1</v>
      </c>
      <c r="H3" s="194">
        <v>650320</v>
      </c>
      <c r="I3" s="50" t="s">
        <v>3647</v>
      </c>
      <c r="J3" s="50" t="s">
        <v>3647</v>
      </c>
      <c r="K3" s="50" t="s">
        <v>3647</v>
      </c>
      <c r="L3" s="50" t="s">
        <v>3647</v>
      </c>
      <c r="M3" s="50" t="s">
        <v>3647</v>
      </c>
      <c r="N3" s="50" t="s">
        <v>3647</v>
      </c>
      <c r="O3" s="50" t="s">
        <v>3647</v>
      </c>
      <c r="P3" s="50" t="s">
        <v>3647</v>
      </c>
      <c r="Q3" s="50" t="s">
        <v>3647</v>
      </c>
      <c r="R3" s="50" t="s">
        <v>3647</v>
      </c>
      <c r="S3" s="50" t="s">
        <v>3647</v>
      </c>
    </row>
    <row r="4" spans="2:19">
      <c r="B4" s="50" t="s">
        <v>3595</v>
      </c>
      <c r="C4" s="50">
        <v>2</v>
      </c>
      <c r="D4" s="50" t="s">
        <v>4182</v>
      </c>
      <c r="E4" s="104">
        <v>45485</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c r="B5" s="50" t="s">
        <v>3597</v>
      </c>
      <c r="C5" s="50">
        <v>3</v>
      </c>
      <c r="D5" s="50" t="s">
        <v>4183</v>
      </c>
      <c r="E5" s="104">
        <v>45485</v>
      </c>
      <c r="F5" s="50">
        <v>1</v>
      </c>
      <c r="G5" s="202">
        <v>1</v>
      </c>
      <c r="H5" s="50">
        <v>0</v>
      </c>
      <c r="I5" s="50">
        <v>0</v>
      </c>
      <c r="J5" s="50" t="s">
        <v>3647</v>
      </c>
      <c r="K5" s="50" t="s">
        <v>3647</v>
      </c>
      <c r="L5" s="50" t="s">
        <v>3647</v>
      </c>
      <c r="M5" s="50" t="s">
        <v>3647</v>
      </c>
      <c r="N5" s="50" t="s">
        <v>3647</v>
      </c>
      <c r="O5" s="50" t="s">
        <v>3647</v>
      </c>
      <c r="P5" s="50" t="s">
        <v>3647</v>
      </c>
      <c r="Q5" s="50" t="s">
        <v>3647</v>
      </c>
      <c r="R5" s="50">
        <v>0</v>
      </c>
      <c r="S5" s="50" t="s">
        <v>3647</v>
      </c>
    </row>
    <row r="6" spans="2:19">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c r="B8" s="106" t="s">
        <v>3602</v>
      </c>
      <c r="C8" s="50">
        <v>6</v>
      </c>
      <c r="D8" s="50" t="s">
        <v>4184</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3605</v>
      </c>
      <c r="C9" s="50">
        <v>7</v>
      </c>
      <c r="D9" s="50" t="s">
        <v>4185</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3608</v>
      </c>
      <c r="C10" s="50">
        <v>8</v>
      </c>
      <c r="D10" s="50" t="s">
        <v>4186</v>
      </c>
      <c r="E10" s="104">
        <v>45485</v>
      </c>
      <c r="F10" s="50">
        <v>1</v>
      </c>
      <c r="G10" s="50" t="s">
        <v>3647</v>
      </c>
      <c r="H10" s="50">
        <v>0</v>
      </c>
      <c r="I10" s="50">
        <v>4001900051800820</v>
      </c>
      <c r="J10" s="50">
        <v>31</v>
      </c>
      <c r="K10" s="50">
        <v>1100827510011</v>
      </c>
      <c r="L10" s="50">
        <v>0</v>
      </c>
      <c r="M10" s="50">
        <v>0</v>
      </c>
      <c r="N10" s="104" t="s">
        <v>4165</v>
      </c>
      <c r="O10" s="50" t="s">
        <v>3656</v>
      </c>
      <c r="P10" s="104" t="s">
        <v>3656</v>
      </c>
      <c r="Q10" s="104" t="s">
        <v>3725</v>
      </c>
      <c r="R10" s="104">
        <v>45485</v>
      </c>
      <c r="S10" s="107" t="s">
        <v>4187</v>
      </c>
    </row>
    <row r="11" spans="2:19">
      <c r="B11" s="50" t="s">
        <v>3610</v>
      </c>
      <c r="C11" s="50">
        <v>9</v>
      </c>
      <c r="D11" s="50" t="s">
        <v>4188</v>
      </c>
      <c r="E11" s="104">
        <v>45485</v>
      </c>
      <c r="F11" s="50">
        <v>1</v>
      </c>
      <c r="G11" s="50" t="s">
        <v>3647</v>
      </c>
      <c r="H11" s="50">
        <v>0</v>
      </c>
      <c r="I11" s="50">
        <v>4001900051800820</v>
      </c>
      <c r="J11" s="50"/>
      <c r="K11" s="50">
        <v>1100827510011</v>
      </c>
      <c r="L11" s="50">
        <v>0</v>
      </c>
      <c r="M11" s="50">
        <v>0</v>
      </c>
      <c r="N11" s="104" t="s">
        <v>4165</v>
      </c>
      <c r="O11" s="50">
        <v>0</v>
      </c>
      <c r="P11" s="50">
        <v>0</v>
      </c>
      <c r="Q11" s="50">
        <v>15</v>
      </c>
      <c r="R11" s="104">
        <v>45485</v>
      </c>
      <c r="S11" s="50" t="s">
        <v>4189</v>
      </c>
    </row>
    <row r="12" spans="2:19">
      <c r="B12" s="106" t="s">
        <v>3612</v>
      </c>
      <c r="C12" s="50">
        <v>10</v>
      </c>
      <c r="D12" s="50" t="s">
        <v>4190</v>
      </c>
      <c r="E12" s="104">
        <v>45485</v>
      </c>
      <c r="F12" s="50">
        <v>1</v>
      </c>
      <c r="G12" s="50" t="s">
        <v>3647</v>
      </c>
      <c r="H12" s="50">
        <v>0</v>
      </c>
      <c r="I12" s="50">
        <v>5492260069819360</v>
      </c>
      <c r="J12" s="194">
        <v>31</v>
      </c>
      <c r="K12" s="50">
        <v>5131606960011</v>
      </c>
      <c r="L12" s="50">
        <v>99</v>
      </c>
      <c r="M12" s="104">
        <v>45488</v>
      </c>
      <c r="N12" s="104" t="s">
        <v>4191</v>
      </c>
      <c r="O12" s="107">
        <v>150000000000</v>
      </c>
      <c r="P12" s="202">
        <v>150000000000</v>
      </c>
      <c r="Q12" s="104" t="s">
        <v>3725</v>
      </c>
      <c r="R12" s="104">
        <v>45485</v>
      </c>
      <c r="S12" s="166" t="s">
        <v>4187</v>
      </c>
    </row>
    <row r="13" spans="2:19">
      <c r="B13" s="50" t="s">
        <v>3614</v>
      </c>
      <c r="C13" s="50">
        <v>11</v>
      </c>
      <c r="D13" s="50" t="s">
        <v>4192</v>
      </c>
      <c r="E13" s="104">
        <v>45485</v>
      </c>
      <c r="F13" s="50">
        <v>1</v>
      </c>
      <c r="G13" s="50" t="s">
        <v>3647</v>
      </c>
      <c r="H13" s="50">
        <v>0</v>
      </c>
      <c r="I13" s="50">
        <v>5492260069819360</v>
      </c>
      <c r="J13" s="194"/>
      <c r="K13" s="50">
        <v>5131606960011</v>
      </c>
      <c r="L13" s="50">
        <v>99</v>
      </c>
      <c r="M13" s="104">
        <v>20240715</v>
      </c>
      <c r="N13" s="104" t="s">
        <v>4191</v>
      </c>
      <c r="O13" s="50">
        <v>9000</v>
      </c>
      <c r="P13" s="50">
        <v>998</v>
      </c>
      <c r="Q13" s="50">
        <v>5</v>
      </c>
      <c r="R13" s="104">
        <v>45485</v>
      </c>
      <c r="S13" s="50" t="s">
        <v>4193</v>
      </c>
    </row>
    <row r="14" spans="2:19">
      <c r="B14" s="50" t="s">
        <v>3616</v>
      </c>
      <c r="C14" s="50">
        <v>12</v>
      </c>
      <c r="D14" s="50" t="s">
        <v>4194</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3618</v>
      </c>
      <c r="C15" s="50">
        <v>13</v>
      </c>
      <c r="D15" s="50" t="s">
        <v>4195</v>
      </c>
      <c r="E15" s="104">
        <v>45485</v>
      </c>
      <c r="F15" s="50">
        <v>1</v>
      </c>
      <c r="G15" s="202">
        <v>1</v>
      </c>
      <c r="H15" s="50">
        <v>0</v>
      </c>
      <c r="I15" s="50" t="s">
        <v>3647</v>
      </c>
      <c r="J15" s="50" t="s">
        <v>3647</v>
      </c>
      <c r="K15" s="50" t="s">
        <v>3647</v>
      </c>
      <c r="L15" s="50" t="s">
        <v>3647</v>
      </c>
      <c r="M15" s="50">
        <v>0</v>
      </c>
      <c r="N15" s="50">
        <v>0</v>
      </c>
      <c r="O15" s="50" t="s">
        <v>3647</v>
      </c>
      <c r="P15" s="50" t="s">
        <v>3647</v>
      </c>
      <c r="Q15" s="50" t="s">
        <v>3647</v>
      </c>
      <c r="R15" s="50" t="s">
        <v>3647</v>
      </c>
      <c r="S15" s="50" t="s">
        <v>3647</v>
      </c>
    </row>
    <row r="16" spans="2:19">
      <c r="B16" s="50" t="s">
        <v>3620</v>
      </c>
      <c r="C16" s="50">
        <v>14</v>
      </c>
      <c r="D16" s="50" t="s">
        <v>4196</v>
      </c>
      <c r="E16" s="104">
        <v>45485</v>
      </c>
      <c r="F16" s="50">
        <v>1</v>
      </c>
      <c r="G16" s="202">
        <v>1</v>
      </c>
      <c r="H16" s="50">
        <v>0</v>
      </c>
      <c r="I16" s="50" t="s">
        <v>3647</v>
      </c>
      <c r="J16" s="50">
        <v>0</v>
      </c>
      <c r="K16" s="50">
        <v>0</v>
      </c>
      <c r="L16" s="50" t="s">
        <v>3647</v>
      </c>
      <c r="M16" s="50" t="s">
        <v>3647</v>
      </c>
      <c r="N16" s="50" t="s">
        <v>3647</v>
      </c>
      <c r="O16" s="50" t="s">
        <v>3647</v>
      </c>
      <c r="P16" s="50" t="s">
        <v>3647</v>
      </c>
      <c r="Q16" s="50">
        <v>0</v>
      </c>
      <c r="R16" s="50" t="s">
        <v>3647</v>
      </c>
      <c r="S16" s="50" t="s">
        <v>3647</v>
      </c>
    </row>
    <row r="17" spans="2:20">
      <c r="B17" s="50" t="s">
        <v>3622</v>
      </c>
      <c r="C17" s="50">
        <v>15</v>
      </c>
      <c r="D17" s="50" t="s">
        <v>4197</v>
      </c>
      <c r="E17" s="104">
        <v>45485</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c r="B18" s="50" t="s">
        <v>3624</v>
      </c>
      <c r="C18" s="50">
        <v>16</v>
      </c>
      <c r="D18" s="50" t="s">
        <v>4197</v>
      </c>
      <c r="E18" s="104">
        <v>45485</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c r="B19" s="50" t="s">
        <v>3630</v>
      </c>
      <c r="C19" s="50">
        <v>19</v>
      </c>
      <c r="D19" s="50" t="s">
        <v>4198</v>
      </c>
      <c r="E19" s="104">
        <v>45485</v>
      </c>
      <c r="F19" s="50">
        <v>1</v>
      </c>
      <c r="G19" s="202" cm="1">
        <f t="array" aca="1" ref="G19" ca="1">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c r="B20" s="50" t="s">
        <v>3633</v>
      </c>
      <c r="C20" s="50">
        <v>20</v>
      </c>
      <c r="D20" s="50" t="s">
        <v>4199</v>
      </c>
      <c r="E20" s="104">
        <v>45485</v>
      </c>
      <c r="F20" s="50">
        <v>1</v>
      </c>
      <c r="G20" s="202" cm="1">
        <f t="array" ref="G20">SUM(IF(I2:S2 = I24:S24, 1, 0))/ COUNTA(I2:S2)</f>
        <v>9.0909090909090912E-2</v>
      </c>
      <c r="H20" s="50" t="s">
        <v>3647</v>
      </c>
      <c r="I20" s="50"/>
      <c r="J20" s="50"/>
      <c r="K20" s="50"/>
      <c r="L20" s="50"/>
      <c r="M20" s="50"/>
      <c r="N20" s="50"/>
      <c r="O20" s="50"/>
      <c r="P20" s="50"/>
      <c r="Q20" s="50"/>
      <c r="R20" s="50"/>
      <c r="S20" s="50"/>
    </row>
    <row r="21" spans="2:20">
      <c r="B21" s="50" t="s">
        <v>3636</v>
      </c>
      <c r="C21" s="50">
        <v>21</v>
      </c>
      <c r="D21" s="50" t="s">
        <v>4199</v>
      </c>
      <c r="E21" s="104">
        <v>45485</v>
      </c>
      <c r="F21" s="50">
        <v>1</v>
      </c>
      <c r="G21" s="202" cm="1">
        <f t="array" aca="1" ref="G21" ca="1">SUM(IF(IF(G3:G20="null",1,G3:G20)=1,1,0))/COUNT(IF(G3:G20="null",1,1))</f>
        <v>0.83333333333333337</v>
      </c>
      <c r="H21" s="50" t="s">
        <v>3647</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3753</v>
      </c>
    </row>
    <row r="24" spans="2:20">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3684</v>
      </c>
      <c r="C25" s="119">
        <v>21</v>
      </c>
      <c r="D25" s="113" t="s">
        <v>3685</v>
      </c>
      <c r="E25" s="112" t="s">
        <v>3686</v>
      </c>
      <c r="F25" s="112" t="s">
        <v>372</v>
      </c>
      <c r="G25" s="112" t="s">
        <v>372</v>
      </c>
      <c r="H25" s="112" t="s">
        <v>372</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3687</v>
      </c>
      <c r="C26" s="119">
        <v>7</v>
      </c>
      <c r="D26" s="113" t="s">
        <v>3685</v>
      </c>
      <c r="E26" s="112" t="s">
        <v>3686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3688</v>
      </c>
    </row>
    <row r="29" spans="2:20">
      <c r="B29" s="143" t="s">
        <v>3689</v>
      </c>
      <c r="C29" s="143" t="s">
        <v>3690</v>
      </c>
      <c r="D29" s="144" t="s">
        <v>3691</v>
      </c>
      <c r="E29" s="143" t="s">
        <v>3692</v>
      </c>
      <c r="F29" s="143" t="s">
        <v>3693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c r="B3" s="50" t="s">
        <v>3593</v>
      </c>
      <c r="C3" s="50">
        <v>1</v>
      </c>
      <c r="D3" s="50" t="s">
        <v>4200</v>
      </c>
      <c r="E3" s="104">
        <v>45485</v>
      </c>
      <c r="F3" s="50">
        <v>2</v>
      </c>
      <c r="G3" s="218">
        <v>1</v>
      </c>
      <c r="H3" s="234">
        <v>2097675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4201</v>
      </c>
      <c r="E4" s="104">
        <v>45485</v>
      </c>
      <c r="F4" s="50">
        <v>2</v>
      </c>
      <c r="G4" s="218">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4202</v>
      </c>
      <c r="E5" s="104">
        <v>45485</v>
      </c>
      <c r="F5" s="50">
        <v>2</v>
      </c>
      <c r="G5" s="218">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4203</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3605</v>
      </c>
      <c r="C9" s="50">
        <v>7</v>
      </c>
      <c r="D9" s="50" t="s">
        <v>4204</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3608</v>
      </c>
      <c r="C10" s="50">
        <v>8</v>
      </c>
      <c r="D10" s="50" t="s">
        <v>4205</v>
      </c>
      <c r="E10" s="104">
        <v>45485</v>
      </c>
      <c r="F10" s="50">
        <v>2</v>
      </c>
      <c r="G10" s="218" t="s">
        <v>3647</v>
      </c>
      <c r="H10" s="194">
        <v>0</v>
      </c>
      <c r="I10" s="50">
        <v>31</v>
      </c>
      <c r="J10" s="50">
        <v>1100750280010</v>
      </c>
      <c r="K10" s="50" t="s">
        <v>3725</v>
      </c>
      <c r="L10" s="50">
        <v>10</v>
      </c>
      <c r="M10" s="50">
        <v>14</v>
      </c>
      <c r="N10" s="104">
        <v>31</v>
      </c>
      <c r="O10" s="50">
        <v>20113001</v>
      </c>
      <c r="P10" s="104">
        <v>33879</v>
      </c>
      <c r="Q10" s="104">
        <v>2958465</v>
      </c>
      <c r="R10" s="104">
        <v>978</v>
      </c>
      <c r="S10" s="50" t="s">
        <v>3725</v>
      </c>
      <c r="T10" s="50" t="s">
        <v>3725</v>
      </c>
      <c r="U10" s="104" t="s">
        <v>3778</v>
      </c>
      <c r="V10" s="104">
        <v>45485</v>
      </c>
      <c r="W10" s="50" t="s">
        <v>4206</v>
      </c>
    </row>
    <row r="11" spans="2:23">
      <c r="B11" s="50" t="s">
        <v>3610</v>
      </c>
      <c r="C11" s="50">
        <v>9</v>
      </c>
      <c r="D11" s="50" t="s">
        <v>4207</v>
      </c>
      <c r="E11" s="104">
        <v>45485</v>
      </c>
      <c r="F11" s="50">
        <v>2</v>
      </c>
      <c r="G11" s="218" t="s">
        <v>3647</v>
      </c>
      <c r="H11" s="194">
        <v>0</v>
      </c>
      <c r="I11" s="50">
        <v>31</v>
      </c>
      <c r="J11" s="50">
        <v>1100750280010</v>
      </c>
      <c r="K11" s="50"/>
      <c r="L11" s="50">
        <v>10</v>
      </c>
      <c r="M11" s="50">
        <v>14</v>
      </c>
      <c r="N11" s="104">
        <v>31</v>
      </c>
      <c r="O11" s="50">
        <v>20113001</v>
      </c>
      <c r="P11" s="104">
        <v>33879</v>
      </c>
      <c r="Q11" s="104">
        <v>2958465</v>
      </c>
      <c r="R11" s="104">
        <v>978</v>
      </c>
      <c r="S11" s="50">
        <v>0</v>
      </c>
      <c r="T11" s="50" t="s">
        <v>4208</v>
      </c>
      <c r="U11" s="104" t="s">
        <v>3778</v>
      </c>
      <c r="V11" s="104">
        <v>45485</v>
      </c>
      <c r="W11" s="50" t="s">
        <v>4209</v>
      </c>
    </row>
    <row r="12" spans="2:23">
      <c r="B12" s="106" t="s">
        <v>3612</v>
      </c>
      <c r="C12" s="50">
        <v>10</v>
      </c>
      <c r="D12" s="50" t="s">
        <v>4210</v>
      </c>
      <c r="E12" s="104">
        <v>45485</v>
      </c>
      <c r="F12" s="50">
        <v>2</v>
      </c>
      <c r="G12" s="218" t="s">
        <v>3647</v>
      </c>
      <c r="H12" s="194">
        <v>0</v>
      </c>
      <c r="I12" s="50">
        <v>31</v>
      </c>
      <c r="J12" s="194">
        <v>5131606970010</v>
      </c>
      <c r="K12" s="50" t="s">
        <v>3725</v>
      </c>
      <c r="L12" s="50">
        <v>10</v>
      </c>
      <c r="M12" s="104" t="s">
        <v>4211</v>
      </c>
      <c r="N12" s="104">
        <v>31</v>
      </c>
      <c r="O12" s="107">
        <v>239702322521020</v>
      </c>
      <c r="P12" s="104">
        <v>45488</v>
      </c>
      <c r="Q12" s="104">
        <v>2958465</v>
      </c>
      <c r="R12" s="104">
        <v>978</v>
      </c>
      <c r="S12" s="50" t="s">
        <v>3725</v>
      </c>
      <c r="T12" s="50" t="s">
        <v>3725</v>
      </c>
      <c r="U12" s="104" t="s">
        <v>3778</v>
      </c>
      <c r="V12" s="104">
        <v>45485</v>
      </c>
      <c r="W12" s="50" t="s">
        <v>4206</v>
      </c>
    </row>
    <row r="13" spans="2:23">
      <c r="B13" s="50" t="s">
        <v>3614</v>
      </c>
      <c r="C13" s="50">
        <v>11</v>
      </c>
      <c r="D13" s="50" t="s">
        <v>4212</v>
      </c>
      <c r="E13" s="104">
        <v>45485</v>
      </c>
      <c r="F13" s="50">
        <v>2</v>
      </c>
      <c r="G13" s="218" t="s">
        <v>3647</v>
      </c>
      <c r="H13" s="194">
        <v>0</v>
      </c>
      <c r="I13" s="50">
        <v>31</v>
      </c>
      <c r="J13" s="194">
        <v>5131606970010</v>
      </c>
      <c r="K13" s="50"/>
      <c r="L13" s="50">
        <v>10</v>
      </c>
      <c r="M13" s="104" t="s">
        <v>4211</v>
      </c>
      <c r="N13" s="104">
        <v>31</v>
      </c>
      <c r="O13" s="50">
        <v>239702322521020</v>
      </c>
      <c r="P13" s="104">
        <v>45488</v>
      </c>
      <c r="Q13" s="104">
        <v>2958465</v>
      </c>
      <c r="R13" s="104">
        <v>978</v>
      </c>
      <c r="S13" s="50">
        <v>3</v>
      </c>
      <c r="T13" s="50" t="s">
        <v>4213</v>
      </c>
      <c r="U13" s="104" t="s">
        <v>3778</v>
      </c>
      <c r="V13" s="104">
        <v>45485</v>
      </c>
      <c r="W13" s="50" t="s">
        <v>4214</v>
      </c>
    </row>
    <row r="14" spans="2:23">
      <c r="B14" s="50" t="s">
        <v>3616</v>
      </c>
      <c r="C14" s="50">
        <v>12</v>
      </c>
      <c r="D14" s="50" t="s">
        <v>4215</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3618</v>
      </c>
      <c r="C15" s="50">
        <v>13</v>
      </c>
      <c r="D15" s="50" t="s">
        <v>4216</v>
      </c>
      <c r="E15" s="104">
        <v>45485</v>
      </c>
      <c r="F15" s="50">
        <v>2</v>
      </c>
      <c r="G15" s="218">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4217</v>
      </c>
      <c r="E16" s="104">
        <v>45485</v>
      </c>
      <c r="F16" s="50">
        <v>2</v>
      </c>
      <c r="G16" s="218">
        <v>1</v>
      </c>
      <c r="H16" s="194">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c r="B17" s="50" t="s">
        <v>3622</v>
      </c>
      <c r="C17" s="50">
        <v>15</v>
      </c>
      <c r="D17" s="50" t="s">
        <v>4218</v>
      </c>
      <c r="E17" s="104">
        <v>45485</v>
      </c>
      <c r="F17" s="50">
        <v>2</v>
      </c>
      <c r="G17" s="218">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c r="B18" s="50" t="s">
        <v>3624</v>
      </c>
      <c r="C18" s="50">
        <v>16</v>
      </c>
      <c r="D18" s="50" t="s">
        <v>4218</v>
      </c>
      <c r="E18" s="104">
        <v>45485</v>
      </c>
      <c r="F18" s="50">
        <v>2</v>
      </c>
      <c r="G18" s="218">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c r="B19" s="50" t="s">
        <v>3630</v>
      </c>
      <c r="C19" s="50">
        <v>19</v>
      </c>
      <c r="D19" s="50" t="s">
        <v>4219</v>
      </c>
      <c r="E19" s="104">
        <v>45485</v>
      </c>
      <c r="F19" s="50">
        <v>2</v>
      </c>
      <c r="G19" s="218" cm="1">
        <f t="array" aca="1" ref="G19" ca="1">SUMPRODUCT(--(ISNUMBER((SEARCH(I25:W25,I19:V19)))))/COUNTA(I19:V19)</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c r="B20" s="50" t="s">
        <v>3633</v>
      </c>
      <c r="C20" s="50">
        <v>20</v>
      </c>
      <c r="D20" s="50" t="s">
        <v>4219</v>
      </c>
      <c r="E20" s="104">
        <v>45485</v>
      </c>
      <c r="F20" s="50">
        <v>2</v>
      </c>
      <c r="G20" s="218" cm="1">
        <f t="array" ref="G20">SUM(IF(I2:W2 = I24:W24, 1, 0))/ COUNTA(I2:W2)</f>
        <v>1</v>
      </c>
      <c r="H20" s="50" t="s">
        <v>3647</v>
      </c>
      <c r="I20" s="50" t="s">
        <v>3681</v>
      </c>
      <c r="J20" s="50" t="s">
        <v>3681</v>
      </c>
      <c r="K20" s="50" t="s">
        <v>3681</v>
      </c>
      <c r="L20" s="50" t="s">
        <v>3681</v>
      </c>
      <c r="M20" s="50" t="s">
        <v>3681</v>
      </c>
      <c r="N20" s="50" t="s">
        <v>3681</v>
      </c>
      <c r="O20" s="50" t="s">
        <v>3681</v>
      </c>
      <c r="P20" s="50" t="s">
        <v>3681</v>
      </c>
      <c r="Q20" s="50" t="s">
        <v>3681</v>
      </c>
      <c r="R20" s="50" t="s">
        <v>3681</v>
      </c>
      <c r="S20" s="50" t="s">
        <v>3681</v>
      </c>
      <c r="T20" s="50" t="s">
        <v>3681</v>
      </c>
      <c r="U20" s="50" t="s">
        <v>3681</v>
      </c>
      <c r="V20" s="50" t="s">
        <v>3681</v>
      </c>
      <c r="W20" s="50" t="s">
        <v>3683</v>
      </c>
    </row>
    <row r="21" spans="2:24">
      <c r="B21" s="50" t="s">
        <v>3636</v>
      </c>
      <c r="C21" s="50">
        <v>21</v>
      </c>
      <c r="D21" s="50"/>
      <c r="E21" s="104"/>
      <c r="F21" s="50">
        <v>1</v>
      </c>
      <c r="G21" s="218" cm="1">
        <f t="array" aca="1" ref="G21" ca="1">SUM(IF(IF(G3:G20="null",1,G3:G20)=1,1,0))/COUNT(IF(G3:G20="null",1,1))</f>
        <v>0.94444444444444442</v>
      </c>
      <c r="H21" s="50" t="s">
        <v>3647</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3753</v>
      </c>
    </row>
    <row r="24" spans="2:24">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3688</v>
      </c>
    </row>
    <row r="29" spans="2:24">
      <c r="B29" s="143" t="s">
        <v>3689</v>
      </c>
      <c r="C29" s="143" t="s">
        <v>3690</v>
      </c>
      <c r="D29" s="144" t="s">
        <v>3691</v>
      </c>
      <c r="E29" s="143" t="s">
        <v>3692</v>
      </c>
      <c r="F29" s="143" t="s">
        <v>3693</v>
      </c>
    </row>
    <row r="30" spans="2:24" ht="43.5">
      <c r="B30" s="127" t="s">
        <v>3694</v>
      </c>
      <c r="C30" s="126" t="s">
        <v>305</v>
      </c>
      <c r="D30" s="132" t="s">
        <v>4220</v>
      </c>
      <c r="E30" s="155" t="s">
        <v>4221</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c r="B3" s="50" t="s">
        <v>3593</v>
      </c>
      <c r="C3" s="50">
        <v>1</v>
      </c>
      <c r="D3" s="50" t="s">
        <v>4222</v>
      </c>
      <c r="E3" s="104">
        <v>45483</v>
      </c>
      <c r="F3" s="50">
        <v>1</v>
      </c>
      <c r="G3" s="107">
        <v>1</v>
      </c>
      <c r="H3" s="194">
        <v>1722768</v>
      </c>
      <c r="I3" s="50" t="s">
        <v>3647</v>
      </c>
      <c r="J3" s="50" t="s">
        <v>3647</v>
      </c>
      <c r="K3" s="50" t="s">
        <v>3647</v>
      </c>
      <c r="L3" s="50" t="s">
        <v>3647</v>
      </c>
      <c r="M3" s="50" t="s">
        <v>3647</v>
      </c>
      <c r="N3" s="50" t="s">
        <v>3647</v>
      </c>
      <c r="O3" s="50" t="s">
        <v>3647</v>
      </c>
      <c r="P3" s="50" t="s">
        <v>3647</v>
      </c>
      <c r="Q3" s="50" t="s">
        <v>3647</v>
      </c>
      <c r="R3" s="50" t="s">
        <v>3647</v>
      </c>
      <c r="S3" s="50" t="s">
        <v>3647</v>
      </c>
    </row>
    <row r="4" spans="2:19">
      <c r="B4" s="50" t="s">
        <v>3595</v>
      </c>
      <c r="C4" s="50">
        <v>2</v>
      </c>
      <c r="D4" s="50" t="s">
        <v>4223</v>
      </c>
      <c r="E4" s="104">
        <v>45483</v>
      </c>
      <c r="F4" s="50">
        <v>1</v>
      </c>
      <c r="G4" s="107">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c r="B5" s="50" t="s">
        <v>3597</v>
      </c>
      <c r="C5" s="50">
        <v>3</v>
      </c>
      <c r="D5" s="50" t="s">
        <v>4224</v>
      </c>
      <c r="E5" s="104">
        <v>45483</v>
      </c>
      <c r="F5" s="50">
        <v>1</v>
      </c>
      <c r="G5" s="107">
        <v>1</v>
      </c>
      <c r="H5" s="50">
        <v>0</v>
      </c>
      <c r="I5" s="50">
        <v>0</v>
      </c>
      <c r="J5" s="50" t="s">
        <v>3647</v>
      </c>
      <c r="K5" s="50" t="s">
        <v>3647</v>
      </c>
      <c r="L5" s="50" t="s">
        <v>3647</v>
      </c>
      <c r="M5" s="50" t="s">
        <v>3647</v>
      </c>
      <c r="N5" s="50" t="s">
        <v>3647</v>
      </c>
      <c r="O5" s="50" t="s">
        <v>3647</v>
      </c>
      <c r="P5" s="50" t="s">
        <v>3647</v>
      </c>
      <c r="Q5" s="50" t="s">
        <v>3647</v>
      </c>
      <c r="R5" s="50">
        <v>0</v>
      </c>
      <c r="S5" s="50" t="s">
        <v>3647</v>
      </c>
    </row>
    <row r="6" spans="2:19">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c r="B8" s="106" t="s">
        <v>3602</v>
      </c>
      <c r="C8" s="50">
        <v>6</v>
      </c>
      <c r="D8" s="50" t="s">
        <v>4225</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3605</v>
      </c>
      <c r="C9" s="50">
        <v>7</v>
      </c>
      <c r="D9" s="50" t="s">
        <v>4226</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3608</v>
      </c>
      <c r="C10" s="50">
        <v>8</v>
      </c>
      <c r="D10" s="50" t="s">
        <v>4227</v>
      </c>
      <c r="E10" s="104">
        <v>45483</v>
      </c>
      <c r="F10" s="50">
        <v>1</v>
      </c>
      <c r="G10" s="50" t="s">
        <v>3647</v>
      </c>
      <c r="H10" s="194">
        <v>0</v>
      </c>
      <c r="I10" s="50">
        <v>4008110051813620</v>
      </c>
      <c r="J10" s="50">
        <v>31</v>
      </c>
      <c r="K10" s="50">
        <v>1100751730010</v>
      </c>
      <c r="L10" s="50">
        <v>0</v>
      </c>
      <c r="M10" s="50">
        <v>0</v>
      </c>
      <c r="N10" s="104" t="s">
        <v>4165</v>
      </c>
      <c r="O10" s="50" t="s">
        <v>3656</v>
      </c>
      <c r="P10" s="104" t="s">
        <v>3656</v>
      </c>
      <c r="Q10" s="104" t="s">
        <v>3725</v>
      </c>
      <c r="R10" s="104">
        <v>45483</v>
      </c>
      <c r="S10" s="107" t="s">
        <v>4228</v>
      </c>
    </row>
    <row r="11" spans="2:19">
      <c r="B11" s="50" t="s">
        <v>3610</v>
      </c>
      <c r="C11" s="50">
        <v>9</v>
      </c>
      <c r="D11" s="50" t="s">
        <v>4229</v>
      </c>
      <c r="E11" s="104">
        <v>45483</v>
      </c>
      <c r="F11" s="50">
        <v>1</v>
      </c>
      <c r="G11" s="50" t="s">
        <v>3647</v>
      </c>
      <c r="H11" s="194">
        <v>0</v>
      </c>
      <c r="I11" s="50">
        <v>4008110051813620</v>
      </c>
      <c r="J11" s="50">
        <v>31</v>
      </c>
      <c r="K11" s="50">
        <v>1100751730010</v>
      </c>
      <c r="L11" s="50">
        <v>0</v>
      </c>
      <c r="M11" s="50">
        <v>0</v>
      </c>
      <c r="N11" s="104" t="s">
        <v>4165</v>
      </c>
      <c r="O11" s="50" t="s">
        <v>3656</v>
      </c>
      <c r="P11" s="50" t="s">
        <v>3656</v>
      </c>
      <c r="Q11" s="50">
        <v>15</v>
      </c>
      <c r="R11" s="104">
        <v>45483</v>
      </c>
      <c r="S11" s="50" t="s">
        <v>4230</v>
      </c>
    </row>
    <row r="12" spans="2:19">
      <c r="B12" s="106" t="s">
        <v>3612</v>
      </c>
      <c r="C12" s="50">
        <v>10</v>
      </c>
      <c r="D12" s="50" t="s">
        <v>4231</v>
      </c>
      <c r="E12" s="104">
        <v>45483</v>
      </c>
      <c r="F12" s="50">
        <v>1</v>
      </c>
      <c r="G12" s="50" t="s">
        <v>3647</v>
      </c>
      <c r="H12" s="194">
        <v>0</v>
      </c>
      <c r="I12" s="50">
        <v>5890770069838630</v>
      </c>
      <c r="J12" s="194">
        <v>31</v>
      </c>
      <c r="K12" s="50">
        <v>5131570010010</v>
      </c>
      <c r="L12" s="50">
        <v>97</v>
      </c>
      <c r="M12" s="104">
        <v>45484</v>
      </c>
      <c r="N12" s="104" t="s">
        <v>4232</v>
      </c>
      <c r="O12" s="107">
        <v>999999999000000</v>
      </c>
      <c r="P12" s="202">
        <v>999999999000000</v>
      </c>
      <c r="Q12" s="104" t="s">
        <v>3725</v>
      </c>
      <c r="R12" s="104">
        <v>45483</v>
      </c>
      <c r="S12" s="166" t="s">
        <v>4228</v>
      </c>
    </row>
    <row r="13" spans="2:19">
      <c r="B13" s="50" t="s">
        <v>3614</v>
      </c>
      <c r="C13" s="50">
        <v>11</v>
      </c>
      <c r="D13" s="50" t="s">
        <v>4233</v>
      </c>
      <c r="E13" s="104">
        <v>45483</v>
      </c>
      <c r="F13" s="50">
        <v>1</v>
      </c>
      <c r="G13" s="50" t="s">
        <v>3647</v>
      </c>
      <c r="H13" s="194">
        <v>0</v>
      </c>
      <c r="I13" s="50">
        <v>5890770069838630</v>
      </c>
      <c r="J13" s="194">
        <v>31</v>
      </c>
      <c r="K13" s="50">
        <v>5131570010010</v>
      </c>
      <c r="L13" s="50">
        <v>97</v>
      </c>
      <c r="M13" s="104">
        <v>20240711</v>
      </c>
      <c r="N13" s="104" t="s">
        <v>4232</v>
      </c>
      <c r="O13" s="107">
        <v>999999999000000</v>
      </c>
      <c r="P13" s="104">
        <v>999999999000000</v>
      </c>
      <c r="Q13" s="50">
        <v>5</v>
      </c>
      <c r="R13" s="104">
        <v>45483</v>
      </c>
      <c r="S13" s="50" t="s">
        <v>4234</v>
      </c>
    </row>
    <row r="14" spans="2:19">
      <c r="B14" s="50" t="s">
        <v>3616</v>
      </c>
      <c r="C14" s="50">
        <v>12</v>
      </c>
      <c r="D14" s="50" t="s">
        <v>4235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3618</v>
      </c>
      <c r="C15" s="50">
        <v>13</v>
      </c>
      <c r="D15" s="50" t="s">
        <v>4236</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c r="B16" s="50" t="s">
        <v>3620</v>
      </c>
      <c r="C16" s="50">
        <v>14</v>
      </c>
      <c r="D16" s="50" t="s">
        <v>4237</v>
      </c>
      <c r="E16" s="104">
        <v>45483</v>
      </c>
      <c r="F16" s="50">
        <v>1</v>
      </c>
      <c r="G16" s="202">
        <v>1</v>
      </c>
      <c r="H16" s="194">
        <v>0</v>
      </c>
      <c r="I16" s="50">
        <v>0</v>
      </c>
      <c r="J16" s="50">
        <v>0</v>
      </c>
      <c r="K16" s="50">
        <v>0</v>
      </c>
      <c r="L16" s="50">
        <v>0</v>
      </c>
      <c r="M16" s="50" t="s">
        <v>3647</v>
      </c>
      <c r="N16" s="50" t="s">
        <v>3647</v>
      </c>
      <c r="O16" s="50" t="s">
        <v>3647</v>
      </c>
      <c r="P16" s="50" t="s">
        <v>3647</v>
      </c>
      <c r="Q16" s="50">
        <v>0</v>
      </c>
      <c r="R16" s="50" t="s">
        <v>3647</v>
      </c>
      <c r="S16" s="50" t="s">
        <v>3647</v>
      </c>
    </row>
    <row r="17" spans="2:20">
      <c r="B17" s="50" t="s">
        <v>3622</v>
      </c>
      <c r="C17" s="50">
        <v>15</v>
      </c>
      <c r="D17" s="50" t="s">
        <v>4238</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c r="B18" s="50" t="s">
        <v>3624</v>
      </c>
      <c r="C18" s="50">
        <v>16</v>
      </c>
      <c r="D18" s="50" t="s">
        <v>4238</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c r="B19" s="50" t="s">
        <v>3630</v>
      </c>
      <c r="C19" s="50">
        <v>19</v>
      </c>
      <c r="D19" s="50" t="s">
        <v>4239</v>
      </c>
      <c r="E19" s="104">
        <v>45483</v>
      </c>
      <c r="F19" s="50">
        <v>1</v>
      </c>
      <c r="G19" s="202" cm="1">
        <f t="array" aca="1" ref="G19" ca="1">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c r="B20" s="50" t="s">
        <v>3633</v>
      </c>
      <c r="C20" s="50">
        <v>20</v>
      </c>
      <c r="D20" s="50" t="s">
        <v>4240</v>
      </c>
      <c r="E20" s="104">
        <v>45483</v>
      </c>
      <c r="F20" s="50">
        <v>1</v>
      </c>
      <c r="G20" s="202" cm="1">
        <f t="array" ref="G20">SUM(IF(I2:S2 = I24:S24, 1, 0))/ COUNTA(I2:S2)</f>
        <v>9.0909090909090912E-2</v>
      </c>
      <c r="H20" s="50" t="s">
        <v>3647</v>
      </c>
      <c r="I20" s="50"/>
      <c r="J20" s="50"/>
      <c r="K20" s="50"/>
      <c r="L20" s="50"/>
      <c r="M20" s="50"/>
      <c r="N20" s="50"/>
      <c r="O20" s="50"/>
      <c r="P20" s="50"/>
      <c r="Q20" s="50"/>
      <c r="R20" s="50"/>
      <c r="S20" s="50"/>
    </row>
    <row r="21" spans="2:20">
      <c r="B21" s="50" t="s">
        <v>3636</v>
      </c>
      <c r="C21" s="50">
        <v>21</v>
      </c>
      <c r="D21" s="50" t="s">
        <v>4240</v>
      </c>
      <c r="E21" s="104">
        <v>45483</v>
      </c>
      <c r="F21" s="50">
        <v>1</v>
      </c>
      <c r="G21" s="202" cm="1">
        <f t="array" aca="1" ref="G21" ca="1">SUM(IF(IF(G3:G20="null",1,G3:G20)=1,1,0))/COUNT(IF(G3:G20="null",1,1))</f>
        <v>0.83333333333333337</v>
      </c>
      <c r="H21" s="50" t="s">
        <v>3647</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3753</v>
      </c>
    </row>
    <row r="24" spans="2:20">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3684</v>
      </c>
      <c r="C25" s="119">
        <v>21</v>
      </c>
      <c r="D25" s="113" t="s">
        <v>3685</v>
      </c>
      <c r="E25" s="112" t="s">
        <v>3686</v>
      </c>
      <c r="F25" s="112" t="s">
        <v>372</v>
      </c>
      <c r="G25" s="112" t="s">
        <v>372</v>
      </c>
      <c r="H25" s="112" t="s">
        <v>372</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3687</v>
      </c>
      <c r="C26" s="119">
        <v>7</v>
      </c>
      <c r="D26" s="113" t="s">
        <v>3685</v>
      </c>
      <c r="E26" s="112" t="s">
        <v>3686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3688</v>
      </c>
    </row>
    <row r="29" spans="2:20">
      <c r="B29" s="143" t="s">
        <v>3689</v>
      </c>
      <c r="C29" s="143" t="s">
        <v>3690</v>
      </c>
      <c r="D29" s="144" t="s">
        <v>3691</v>
      </c>
      <c r="E29" s="143" t="s">
        <v>3692</v>
      </c>
      <c r="F29" s="143" t="s">
        <v>3693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3639</v>
      </c>
      <c r="C2" s="85" t="s">
        <v>3640</v>
      </c>
      <c r="D2" s="85" t="s">
        <v>3641</v>
      </c>
      <c r="E2" s="85" t="s">
        <v>3642</v>
      </c>
      <c r="F2" s="85" t="s">
        <v>3643</v>
      </c>
      <c r="G2" s="85" t="s">
        <v>3644</v>
      </c>
      <c r="H2" s="85" t="s">
        <v>3645</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c r="B3" s="50" t="s">
        <v>3593</v>
      </c>
      <c r="C3" s="50">
        <v>1</v>
      </c>
      <c r="D3" s="50" t="s">
        <v>4241</v>
      </c>
      <c r="E3" s="104">
        <v>45490</v>
      </c>
      <c r="F3" s="50">
        <v>1</v>
      </c>
      <c r="G3" s="202">
        <v>1</v>
      </c>
      <c r="H3" s="234">
        <v>759069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row>
    <row r="4" spans="2:21">
      <c r="B4" s="50" t="s">
        <v>3595</v>
      </c>
      <c r="C4" s="50">
        <v>2</v>
      </c>
      <c r="D4" s="50" t="s">
        <v>4242</v>
      </c>
      <c r="E4" s="104">
        <v>45490</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row>
    <row r="5" spans="2:21">
      <c r="B5" s="50" t="s">
        <v>3597</v>
      </c>
      <c r="C5" s="50">
        <v>3</v>
      </c>
      <c r="D5" s="50" t="s">
        <v>4243</v>
      </c>
      <c r="E5" s="104">
        <v>45490</v>
      </c>
      <c r="F5" s="50">
        <v>1</v>
      </c>
      <c r="G5" s="202">
        <v>1</v>
      </c>
      <c r="H5" s="194">
        <v>0</v>
      </c>
      <c r="I5" s="50">
        <v>0</v>
      </c>
      <c r="J5" s="50">
        <v>0</v>
      </c>
      <c r="K5" s="50" t="s">
        <v>3647</v>
      </c>
      <c r="L5" s="50" t="s">
        <v>3647</v>
      </c>
      <c r="M5" s="50" t="s">
        <v>3647</v>
      </c>
      <c r="N5" s="50" t="s">
        <v>3647</v>
      </c>
      <c r="O5" s="50" t="s">
        <v>3647</v>
      </c>
      <c r="P5" s="50" t="s">
        <v>3647</v>
      </c>
      <c r="Q5" s="50" t="s">
        <v>3647</v>
      </c>
      <c r="R5" s="50" t="s">
        <v>3647</v>
      </c>
      <c r="S5" s="50" t="s">
        <v>3647</v>
      </c>
      <c r="T5" s="50">
        <v>0</v>
      </c>
      <c r="U5" s="50" t="s">
        <v>3647</v>
      </c>
    </row>
    <row r="6" spans="2:21">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row>
    <row r="7" spans="2:21">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row>
    <row r="8" spans="2:21">
      <c r="B8" s="106" t="s">
        <v>3602</v>
      </c>
      <c r="C8" s="50">
        <v>6</v>
      </c>
      <c r="D8" s="50" t="s">
        <v>4244</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3605</v>
      </c>
      <c r="C9" s="50">
        <v>7</v>
      </c>
      <c r="D9" s="50" t="s">
        <v>4245</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3608</v>
      </c>
      <c r="C10" s="50">
        <v>8</v>
      </c>
      <c r="D10" s="50" t="s">
        <v>4246</v>
      </c>
      <c r="E10" s="104">
        <v>45490</v>
      </c>
      <c r="F10" s="50">
        <v>1</v>
      </c>
      <c r="G10" s="104" t="s">
        <v>3647</v>
      </c>
      <c r="H10" s="194">
        <v>0</v>
      </c>
      <c r="I10" s="50">
        <v>31</v>
      </c>
      <c r="J10" s="50">
        <v>1100827510011</v>
      </c>
      <c r="K10" s="50" t="s">
        <v>3725</v>
      </c>
      <c r="L10" s="50">
        <v>11</v>
      </c>
      <c r="M10" s="50" t="s">
        <v>4247</v>
      </c>
      <c r="N10" s="50">
        <v>31</v>
      </c>
      <c r="O10" s="50">
        <v>2.079771E+21</v>
      </c>
      <c r="P10" s="104">
        <v>35711</v>
      </c>
      <c r="Q10" s="104">
        <v>2958465</v>
      </c>
      <c r="R10" s="104">
        <v>978</v>
      </c>
      <c r="S10" s="107" t="s">
        <v>3725</v>
      </c>
      <c r="T10" s="104">
        <v>45490</v>
      </c>
      <c r="U10" s="50" t="s">
        <v>4248</v>
      </c>
    </row>
    <row r="11" spans="2:21">
      <c r="B11" s="50" t="s">
        <v>3610</v>
      </c>
      <c r="C11" s="50">
        <v>9</v>
      </c>
      <c r="D11" s="50" t="s">
        <v>4249</v>
      </c>
      <c r="E11" s="104">
        <v>45490</v>
      </c>
      <c r="F11" s="50">
        <v>1</v>
      </c>
      <c r="G11" s="104" t="s">
        <v>3647</v>
      </c>
      <c r="H11" s="194">
        <v>0</v>
      </c>
      <c r="I11" s="50">
        <v>31</v>
      </c>
      <c r="J11" s="50">
        <v>1100827510011</v>
      </c>
      <c r="K11" s="50">
        <v>31</v>
      </c>
      <c r="L11" s="50">
        <v>11</v>
      </c>
      <c r="M11" s="50" t="s">
        <v>4247</v>
      </c>
      <c r="N11" s="104">
        <v>31</v>
      </c>
      <c r="O11" s="50">
        <v>2.079771E+21</v>
      </c>
      <c r="P11" s="104">
        <v>35711</v>
      </c>
      <c r="Q11" s="104">
        <v>2958465</v>
      </c>
      <c r="R11" s="104">
        <v>978</v>
      </c>
      <c r="S11" s="50">
        <v>0</v>
      </c>
      <c r="T11" s="104">
        <v>45490</v>
      </c>
      <c r="U11" s="50" t="s">
        <v>4250</v>
      </c>
    </row>
    <row r="12" spans="2:21">
      <c r="B12" s="106" t="s">
        <v>3612</v>
      </c>
      <c r="C12" s="50">
        <v>10</v>
      </c>
      <c r="D12" s="50" t="s">
        <v>4251</v>
      </c>
      <c r="E12" s="104">
        <v>45490</v>
      </c>
      <c r="F12" s="50">
        <v>1</v>
      </c>
      <c r="G12" s="104" t="s">
        <v>3647</v>
      </c>
      <c r="H12" s="194">
        <v>0</v>
      </c>
      <c r="I12" s="50">
        <v>31</v>
      </c>
      <c r="J12" s="194">
        <v>5131651710011</v>
      </c>
      <c r="K12" s="50" t="s">
        <v>3725</v>
      </c>
      <c r="L12" s="50">
        <v>11</v>
      </c>
      <c r="M12" s="104" t="s">
        <v>4252</v>
      </c>
      <c r="N12" s="50">
        <v>31</v>
      </c>
      <c r="O12" s="107">
        <v>9.9999999999999903E+29</v>
      </c>
      <c r="P12" s="202">
        <v>45491</v>
      </c>
      <c r="Q12" s="104">
        <v>2958465</v>
      </c>
      <c r="R12" s="104">
        <v>978</v>
      </c>
      <c r="S12" s="166" t="s">
        <v>3725</v>
      </c>
      <c r="T12" s="104">
        <v>45490</v>
      </c>
      <c r="U12" s="50" t="s">
        <v>4248</v>
      </c>
    </row>
    <row r="13" spans="2:21">
      <c r="B13" s="50" t="s">
        <v>3614</v>
      </c>
      <c r="C13" s="50">
        <v>11</v>
      </c>
      <c r="D13" s="50" t="s">
        <v>4253</v>
      </c>
      <c r="E13" s="104">
        <v>45490</v>
      </c>
      <c r="F13" s="50">
        <v>1</v>
      </c>
      <c r="G13" s="104" t="s">
        <v>3647</v>
      </c>
      <c r="H13" s="194">
        <v>0</v>
      </c>
      <c r="I13" s="50">
        <v>31</v>
      </c>
      <c r="J13" s="194">
        <v>5131651710011</v>
      </c>
      <c r="K13" s="50">
        <v>31</v>
      </c>
      <c r="L13" s="50">
        <v>11</v>
      </c>
      <c r="M13" s="104" t="s">
        <v>4252</v>
      </c>
      <c r="N13" s="104">
        <v>31</v>
      </c>
      <c r="O13" s="50">
        <v>9.9999999999999903E+29</v>
      </c>
      <c r="P13" s="104">
        <v>45491</v>
      </c>
      <c r="Q13" s="104">
        <v>2958465</v>
      </c>
      <c r="R13" s="104">
        <v>978</v>
      </c>
      <c r="S13" s="50">
        <v>4</v>
      </c>
      <c r="T13" s="104">
        <v>45490</v>
      </c>
      <c r="U13" s="50" t="s">
        <v>4254</v>
      </c>
    </row>
    <row r="14" spans="2:21">
      <c r="B14" s="50" t="s">
        <v>3616</v>
      </c>
      <c r="C14" s="50">
        <v>12</v>
      </c>
      <c r="D14" s="50" t="s">
        <v>4255</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3618</v>
      </c>
      <c r="C15" s="50">
        <v>13</v>
      </c>
      <c r="D15" s="50" t="s">
        <v>4256</v>
      </c>
      <c r="E15" s="104">
        <v>45490</v>
      </c>
      <c r="F15" s="50">
        <v>1</v>
      </c>
      <c r="G15" s="202">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row>
    <row r="16" spans="2:21">
      <c r="B16" s="50" t="s">
        <v>3620</v>
      </c>
      <c r="C16" s="50">
        <v>14</v>
      </c>
      <c r="D16" s="50" t="s">
        <v>4257</v>
      </c>
      <c r="E16" s="104">
        <v>45490</v>
      </c>
      <c r="F16" s="50">
        <v>1</v>
      </c>
      <c r="G16" s="202">
        <v>1</v>
      </c>
      <c r="H16" s="194">
        <v>0</v>
      </c>
      <c r="I16" s="50">
        <v>0</v>
      </c>
      <c r="J16" s="50">
        <v>0</v>
      </c>
      <c r="K16" s="50">
        <v>0</v>
      </c>
      <c r="L16" s="50">
        <v>0</v>
      </c>
      <c r="M16" s="50">
        <v>0</v>
      </c>
      <c r="N16" s="50">
        <v>0</v>
      </c>
      <c r="O16" s="50">
        <v>0</v>
      </c>
      <c r="P16" s="50" t="s">
        <v>3647</v>
      </c>
      <c r="Q16" s="50" t="s">
        <v>3647</v>
      </c>
      <c r="R16" s="50">
        <v>0</v>
      </c>
      <c r="S16" s="50">
        <v>0</v>
      </c>
      <c r="T16" s="50" t="s">
        <v>3647</v>
      </c>
      <c r="U16" s="50" t="s">
        <v>3647</v>
      </c>
    </row>
    <row r="17" spans="2:21">
      <c r="B17" s="50" t="s">
        <v>3622</v>
      </c>
      <c r="C17" s="50">
        <v>15</v>
      </c>
      <c r="D17" s="50" t="s">
        <v>4258</v>
      </c>
      <c r="E17" s="104">
        <v>45490</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row>
    <row r="18" spans="2:21">
      <c r="B18" s="50" t="s">
        <v>3624</v>
      </c>
      <c r="C18" s="50">
        <v>16</v>
      </c>
      <c r="D18" s="50" t="s">
        <v>4258</v>
      </c>
      <c r="E18" s="104">
        <v>45490</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row>
    <row r="19" spans="2:21">
      <c r="B19" s="50" t="s">
        <v>3630</v>
      </c>
      <c r="C19" s="50">
        <v>19</v>
      </c>
      <c r="D19" s="50" t="s">
        <v>4259</v>
      </c>
      <c r="E19" s="104">
        <v>45490</v>
      </c>
      <c r="F19" s="50">
        <v>1</v>
      </c>
      <c r="G19" s="202" cm="1">
        <f t="array" aca="1" ref="G19" ca="1">SUMPRODUCT(--(ISNUMBER((SEARCH(I25:U25,I19:U19)))))/COUNTA(I19:U19)</f>
        <v>1</v>
      </c>
      <c r="H19" s="194">
        <v>0</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3683</v>
      </c>
    </row>
    <row r="20" spans="2:21">
      <c r="B20" s="50" t="s">
        <v>3633</v>
      </c>
      <c r="C20" s="50">
        <v>20</v>
      </c>
      <c r="D20" s="50" t="s">
        <v>4259</v>
      </c>
      <c r="E20" s="104">
        <v>45490</v>
      </c>
      <c r="F20" s="50">
        <v>1</v>
      </c>
      <c r="G20" s="202" cm="1">
        <f t="array" ref="G20">SUM(IF(I2:S2 = I24:S24, 1, 0))/ COUNTA(I2:S2)</f>
        <v>1</v>
      </c>
      <c r="H20" s="50" t="s">
        <v>3647</v>
      </c>
      <c r="I20" s="50"/>
      <c r="J20" s="50"/>
      <c r="K20" s="50"/>
      <c r="L20" s="50"/>
      <c r="M20" s="50"/>
      <c r="N20" s="50"/>
      <c r="O20" s="50"/>
      <c r="P20" s="50"/>
      <c r="Q20" s="50"/>
      <c r="R20" s="50"/>
      <c r="S20" s="50"/>
      <c r="T20" s="50"/>
      <c r="U20" s="50"/>
    </row>
    <row r="21" spans="2:21">
      <c r="B21" s="50" t="s">
        <v>3636</v>
      </c>
      <c r="C21" s="50">
        <v>21</v>
      </c>
      <c r="D21" s="50" t="s">
        <v>4259</v>
      </c>
      <c r="E21" s="104">
        <v>45490</v>
      </c>
      <c r="F21" s="50">
        <v>1</v>
      </c>
      <c r="G21" s="202" cm="1">
        <f t="array" aca="1" ref="G21" ca="1">SUM(IF(IF(G3:G20="null",1,G3:G20)=1,1,0))/COUNT(IF(G3:G20="null",1,1))</f>
        <v>1</v>
      </c>
      <c r="H21" s="50" t="s">
        <v>3647</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3753</v>
      </c>
    </row>
    <row r="24" spans="2:21">
      <c r="B24" s="137" t="s">
        <v>3639</v>
      </c>
      <c r="C24" s="138" t="s">
        <v>3640</v>
      </c>
      <c r="D24" s="138" t="s">
        <v>3641</v>
      </c>
      <c r="E24" s="138" t="s">
        <v>3642</v>
      </c>
      <c r="F24" s="138" t="s">
        <v>3643</v>
      </c>
      <c r="G24" s="138" t="s">
        <v>3644</v>
      </c>
      <c r="H24" s="138" t="s">
        <v>3645</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3684</v>
      </c>
      <c r="C25" s="119">
        <v>21</v>
      </c>
      <c r="D25" s="113" t="s">
        <v>3685</v>
      </c>
      <c r="E25" s="112" t="s">
        <v>3686</v>
      </c>
      <c r="F25" s="112" t="s">
        <v>372</v>
      </c>
      <c r="G25" s="112" t="s">
        <v>372</v>
      </c>
      <c r="H25" s="112" t="s">
        <v>372</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3688</v>
      </c>
    </row>
    <row r="29" spans="2:21">
      <c r="B29" s="143" t="s">
        <v>3689</v>
      </c>
      <c r="C29" s="143" t="s">
        <v>3690</v>
      </c>
      <c r="D29" s="144" t="s">
        <v>3691</v>
      </c>
      <c r="E29" s="143" t="s">
        <v>3692</v>
      </c>
      <c r="F29" s="143" t="s">
        <v>3693</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c r="B3" s="50" t="s">
        <v>3593</v>
      </c>
      <c r="C3" s="50">
        <v>1</v>
      </c>
      <c r="D3" s="50" t="s">
        <v>4260</v>
      </c>
      <c r="E3" s="104">
        <v>45492</v>
      </c>
      <c r="F3" s="50">
        <v>1</v>
      </c>
      <c r="G3" s="202">
        <v>1</v>
      </c>
      <c r="H3" s="200">
        <v>2843480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4261</v>
      </c>
      <c r="E4" s="104">
        <v>45492</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4262</v>
      </c>
      <c r="E5" s="104">
        <v>45492</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4263</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3605</v>
      </c>
      <c r="C9" s="50">
        <v>7</v>
      </c>
      <c r="D9" s="50" t="s">
        <v>4264</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3608</v>
      </c>
      <c r="C10" s="50">
        <v>8</v>
      </c>
      <c r="D10" s="50" t="s">
        <v>4265</v>
      </c>
      <c r="E10" s="104">
        <v>45492</v>
      </c>
      <c r="F10" s="50">
        <v>1</v>
      </c>
      <c r="G10" s="50" t="s">
        <v>3647</v>
      </c>
      <c r="H10" s="50">
        <v>0</v>
      </c>
      <c r="I10" s="50">
        <v>31</v>
      </c>
      <c r="J10" s="50">
        <v>1104388490010</v>
      </c>
      <c r="K10" s="50" t="s">
        <v>3725</v>
      </c>
      <c r="L10" s="50">
        <v>10</v>
      </c>
      <c r="M10" s="50">
        <v>10</v>
      </c>
      <c r="N10" s="50">
        <v>31</v>
      </c>
      <c r="O10" s="50">
        <v>0</v>
      </c>
      <c r="P10" s="104">
        <v>37403</v>
      </c>
      <c r="Q10" s="104">
        <v>2958465</v>
      </c>
      <c r="R10" s="104">
        <v>978</v>
      </c>
      <c r="S10" s="50" t="s">
        <v>3725</v>
      </c>
      <c r="T10" s="50" t="s">
        <v>3725</v>
      </c>
      <c r="U10" s="104" t="s">
        <v>3778</v>
      </c>
      <c r="V10" s="104">
        <v>45492</v>
      </c>
      <c r="W10" s="50" t="s">
        <v>4266</v>
      </c>
    </row>
    <row r="11" spans="2:23">
      <c r="B11" s="50" t="s">
        <v>3610</v>
      </c>
      <c r="C11" s="50">
        <v>9</v>
      </c>
      <c r="D11" s="50" t="s">
        <v>4267</v>
      </c>
      <c r="E11" s="104">
        <v>45492</v>
      </c>
      <c r="F11" s="50">
        <v>1</v>
      </c>
      <c r="G11" s="50" t="s">
        <v>3647</v>
      </c>
      <c r="H11" s="50">
        <v>0</v>
      </c>
      <c r="I11" s="50">
        <v>31</v>
      </c>
      <c r="J11" s="50">
        <v>1104388490010</v>
      </c>
      <c r="K11" s="50">
        <v>31</v>
      </c>
      <c r="L11" s="50">
        <v>10</v>
      </c>
      <c r="M11" s="50">
        <v>10</v>
      </c>
      <c r="N11" s="104">
        <v>31</v>
      </c>
      <c r="O11" s="50">
        <v>0</v>
      </c>
      <c r="P11" s="104">
        <v>37403</v>
      </c>
      <c r="Q11" s="104">
        <v>2958465</v>
      </c>
      <c r="R11" s="104">
        <v>978</v>
      </c>
      <c r="S11" s="50">
        <v>0</v>
      </c>
      <c r="T11" s="50" t="s">
        <v>4268</v>
      </c>
      <c r="U11" s="104" t="s">
        <v>3778</v>
      </c>
      <c r="V11" s="104">
        <v>45492</v>
      </c>
      <c r="W11" s="50" t="s">
        <v>4269</v>
      </c>
    </row>
    <row r="12" spans="2:23">
      <c r="B12" s="106" t="s">
        <v>3612</v>
      </c>
      <c r="C12" s="50">
        <v>10</v>
      </c>
      <c r="D12" s="50" t="s">
        <v>4270</v>
      </c>
      <c r="E12" s="104">
        <v>45492</v>
      </c>
      <c r="F12" s="50">
        <v>1</v>
      </c>
      <c r="G12" s="50" t="s">
        <v>3647</v>
      </c>
      <c r="H12" s="50">
        <v>0</v>
      </c>
      <c r="I12" s="50">
        <v>31</v>
      </c>
      <c r="J12" s="194">
        <v>5131680060010</v>
      </c>
      <c r="K12" s="50" t="s">
        <v>3725</v>
      </c>
      <c r="L12" s="50">
        <v>11</v>
      </c>
      <c r="M12" s="104" t="s">
        <v>4271</v>
      </c>
      <c r="N12" s="50">
        <v>31</v>
      </c>
      <c r="O12" s="107">
        <v>999999999999999</v>
      </c>
      <c r="P12" s="202">
        <v>45495</v>
      </c>
      <c r="Q12" s="104">
        <v>2958465</v>
      </c>
      <c r="R12" s="104">
        <v>978</v>
      </c>
      <c r="S12" s="50" t="s">
        <v>3725</v>
      </c>
      <c r="T12" s="50" t="s">
        <v>3725</v>
      </c>
      <c r="U12" s="104" t="s">
        <v>3778</v>
      </c>
      <c r="V12" s="104">
        <v>45492</v>
      </c>
      <c r="W12" s="50" t="s">
        <v>4266</v>
      </c>
    </row>
    <row r="13" spans="2:23">
      <c r="B13" s="50" t="s">
        <v>3614</v>
      </c>
      <c r="C13" s="50">
        <v>11</v>
      </c>
      <c r="D13" s="50" t="s">
        <v>4272</v>
      </c>
      <c r="E13" s="104">
        <v>45492</v>
      </c>
      <c r="F13" s="50">
        <v>1</v>
      </c>
      <c r="G13" s="50" t="s">
        <v>3647</v>
      </c>
      <c r="H13" s="50">
        <v>0</v>
      </c>
      <c r="I13" s="50">
        <v>31</v>
      </c>
      <c r="J13" s="194">
        <v>5131680060010</v>
      </c>
      <c r="K13" s="50">
        <v>31</v>
      </c>
      <c r="L13" s="50">
        <v>11</v>
      </c>
      <c r="M13" s="104" t="s">
        <v>4271</v>
      </c>
      <c r="N13" s="104">
        <v>31</v>
      </c>
      <c r="O13" s="50">
        <v>999999999999999</v>
      </c>
      <c r="P13" s="104">
        <v>45495</v>
      </c>
      <c r="Q13" s="104">
        <v>2958465</v>
      </c>
      <c r="R13" s="104">
        <v>978</v>
      </c>
      <c r="S13" s="50">
        <v>0</v>
      </c>
      <c r="T13" s="50" t="s">
        <v>4273</v>
      </c>
      <c r="U13" s="104" t="s">
        <v>3778</v>
      </c>
      <c r="V13" s="104">
        <v>45492</v>
      </c>
      <c r="W13" s="50" t="s">
        <v>4274</v>
      </c>
    </row>
    <row r="14" spans="2:23">
      <c r="B14" s="50" t="s">
        <v>3616</v>
      </c>
      <c r="C14" s="50">
        <v>12</v>
      </c>
      <c r="D14" s="50" t="s">
        <v>4275</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3618</v>
      </c>
      <c r="C15" s="50">
        <v>13</v>
      </c>
      <c r="D15" s="50" t="s">
        <v>4276</v>
      </c>
      <c r="E15" s="104">
        <v>45492</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4277</v>
      </c>
      <c r="E16" s="104">
        <v>45492</v>
      </c>
      <c r="F16" s="50">
        <v>1</v>
      </c>
      <c r="G16" s="202">
        <v>1</v>
      </c>
      <c r="H16" s="50">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c r="B17" s="50" t="s">
        <v>3622</v>
      </c>
      <c r="C17" s="50">
        <v>15</v>
      </c>
      <c r="D17" s="50" t="s">
        <v>4278</v>
      </c>
      <c r="E17" s="104">
        <v>45492</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c r="B18" s="50" t="s">
        <v>3624</v>
      </c>
      <c r="C18" s="50">
        <v>16</v>
      </c>
      <c r="D18" s="50" t="s">
        <v>4278</v>
      </c>
      <c r="E18" s="104">
        <v>45492</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c r="B19" s="50" t="s">
        <v>3630</v>
      </c>
      <c r="C19" s="50">
        <v>19</v>
      </c>
      <c r="D19" s="50" t="s">
        <v>4279</v>
      </c>
      <c r="E19" s="104">
        <v>45492</v>
      </c>
      <c r="F19" s="50">
        <v>1</v>
      </c>
      <c r="G19" s="202" cm="1">
        <f t="array" ref="G19">SUM(IF(I2:V2 = I24:V24, 1, 0))/ COUNTA(I2:V2)</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c r="B20" s="50" t="s">
        <v>3633</v>
      </c>
      <c r="C20" s="50">
        <v>20</v>
      </c>
      <c r="D20" s="50" t="s">
        <v>4280</v>
      </c>
      <c r="E20" s="104">
        <v>45492</v>
      </c>
      <c r="F20" s="50">
        <v>1</v>
      </c>
      <c r="G20" s="202" cm="1">
        <f t="array" ref="G20">SUM(IF(I2:W2 = I24:W24, 1, 0))/ COUNTA(I2:W2)</f>
        <v>1</v>
      </c>
      <c r="H20" s="50" t="s">
        <v>3647</v>
      </c>
      <c r="I20" s="50"/>
      <c r="J20" s="50"/>
      <c r="K20" s="50"/>
      <c r="L20" s="50"/>
      <c r="M20" s="50"/>
      <c r="N20" s="50"/>
      <c r="O20" s="50"/>
      <c r="P20" s="50"/>
      <c r="Q20" s="50"/>
      <c r="R20" s="50"/>
      <c r="S20" s="50"/>
      <c r="T20" s="50"/>
      <c r="U20" s="50"/>
      <c r="V20" s="50"/>
      <c r="W20" s="50"/>
    </row>
    <row r="21" spans="2:24">
      <c r="B21" s="50" t="s">
        <v>3636</v>
      </c>
      <c r="C21" s="50">
        <v>21</v>
      </c>
      <c r="D21" s="50" t="s">
        <v>4281</v>
      </c>
      <c r="E21" s="104">
        <v>45492</v>
      </c>
      <c r="F21" s="50">
        <v>1</v>
      </c>
      <c r="G21" s="202" cm="1">
        <f t="array" aca="1" ref="G21" ca="1">SUM(IF(IF(G3:G20="null",1,G3:G20)=1,1,0))/COUNT(IF(G3:G20="null",1,1))</f>
        <v>0.94444444444444442</v>
      </c>
      <c r="H21" s="50" t="s">
        <v>3647</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3753</v>
      </c>
    </row>
    <row r="24" spans="2:24">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3688</v>
      </c>
    </row>
    <row r="29" spans="2:24">
      <c r="B29" s="143" t="s">
        <v>3689</v>
      </c>
      <c r="C29" s="143" t="s">
        <v>3690</v>
      </c>
      <c r="D29" s="144" t="s">
        <v>3691</v>
      </c>
      <c r="E29" s="143" t="s">
        <v>3692</v>
      </c>
      <c r="F29" s="143" t="s">
        <v>3693</v>
      </c>
    </row>
    <row r="30" spans="2:24" ht="43.5">
      <c r="B30" s="127" t="s">
        <v>3694</v>
      </c>
      <c r="C30" s="126" t="s">
        <v>305</v>
      </c>
      <c r="D30" s="132" t="s">
        <v>4282</v>
      </c>
      <c r="E30" s="155" t="s">
        <v>4283</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4179</v>
      </c>
      <c r="Q2" s="85" t="s">
        <v>4180</v>
      </c>
      <c r="R2" s="85" t="s">
        <v>199</v>
      </c>
      <c r="S2" s="85" t="s">
        <v>211</v>
      </c>
      <c r="T2" s="85" t="s">
        <v>223</v>
      </c>
      <c r="U2" s="85" t="s">
        <v>239</v>
      </c>
      <c r="V2" s="85" t="s">
        <v>1358</v>
      </c>
      <c r="W2" s="85" t="s">
        <v>1369</v>
      </c>
      <c r="X2" s="85" t="s">
        <v>1377</v>
      </c>
      <c r="Y2" s="85" t="s">
        <v>1384</v>
      </c>
      <c r="Z2" s="85" t="s">
        <v>248</v>
      </c>
      <c r="AA2" s="85" t="s">
        <v>261</v>
      </c>
      <c r="AB2" s="85" t="s">
        <v>880</v>
      </c>
      <c r="AC2" s="85" t="s">
        <v>1412</v>
      </c>
      <c r="AD2" s="85" t="s">
        <v>649</v>
      </c>
      <c r="AE2" s="85" t="s">
        <v>272</v>
      </c>
      <c r="AF2" s="85" t="s">
        <v>283</v>
      </c>
      <c r="AG2" s="85" t="s">
        <v>715</v>
      </c>
      <c r="AH2" s="85" t="s">
        <v>1457</v>
      </c>
      <c r="AI2" s="85" t="s">
        <v>1466</v>
      </c>
      <c r="AJ2" s="85" t="s">
        <v>1475</v>
      </c>
      <c r="AK2" s="85" t="s">
        <v>1481</v>
      </c>
      <c r="AL2" s="85" t="s">
        <v>1489</v>
      </c>
      <c r="AM2" s="85" t="s">
        <v>429</v>
      </c>
      <c r="AN2" s="85" t="s">
        <v>439</v>
      </c>
      <c r="AO2" s="85" t="s">
        <v>1509</v>
      </c>
      <c r="AP2" s="85" t="s">
        <v>1516</v>
      </c>
      <c r="AQ2" s="85" t="s">
        <v>1523</v>
      </c>
      <c r="AR2" s="85" t="s">
        <v>1530</v>
      </c>
      <c r="AS2" s="85" t="s">
        <v>785</v>
      </c>
      <c r="AT2" s="85" t="s">
        <v>1539</v>
      </c>
      <c r="AU2" s="85" t="s">
        <v>294</v>
      </c>
      <c r="AV2" s="85" t="s">
        <v>305</v>
      </c>
      <c r="AW2" s="85" t="s">
        <v>318</v>
      </c>
      <c r="AX2" s="85" t="s">
        <v>327</v>
      </c>
      <c r="AY2" s="85" t="s">
        <v>334</v>
      </c>
    </row>
    <row r="3" spans="2:51">
      <c r="B3" s="50" t="s">
        <v>3593</v>
      </c>
      <c r="C3" s="50">
        <v>1</v>
      </c>
      <c r="D3" s="50" t="s">
        <v>4284</v>
      </c>
      <c r="E3" s="104">
        <v>45485</v>
      </c>
      <c r="F3" s="50">
        <v>2</v>
      </c>
      <c r="G3" s="218" t="s">
        <v>4285</v>
      </c>
      <c r="H3" s="191" t="s">
        <v>4286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row>
    <row r="4" spans="2:51">
      <c r="B4" s="50" t="s">
        <v>3595</v>
      </c>
      <c r="C4" s="50">
        <v>2</v>
      </c>
      <c r="D4" s="50" t="s">
        <v>4287</v>
      </c>
      <c r="E4" s="104">
        <v>45485</v>
      </c>
      <c r="F4" s="50">
        <v>2</v>
      </c>
      <c r="G4" s="218">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row>
    <row r="5" spans="2:51">
      <c r="B5" s="50" t="s">
        <v>3597</v>
      </c>
      <c r="C5" s="50">
        <v>3</v>
      </c>
      <c r="D5" s="50" t="s">
        <v>4288</v>
      </c>
      <c r="E5" s="104">
        <v>45485</v>
      </c>
      <c r="F5" s="50">
        <v>2</v>
      </c>
      <c r="G5" s="218">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v>0</v>
      </c>
      <c r="AY5" s="50" t="s">
        <v>3647</v>
      </c>
    </row>
    <row r="6" spans="2:51">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row>
    <row r="7" spans="2:51">
      <c r="B7" s="50"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row>
    <row r="8" spans="2:51">
      <c r="B8" s="106" t="s">
        <v>3602</v>
      </c>
      <c r="C8" s="50">
        <v>6</v>
      </c>
      <c r="D8" s="50" t="s">
        <v>4289</v>
      </c>
      <c r="E8" s="104">
        <v>45485</v>
      </c>
      <c r="F8" s="50">
        <v>2</v>
      </c>
      <c r="G8" s="218" cm="1">
        <f t="array" ref="G8">SUMPRODUCT(--(I8:AY8&gt;0))/COUNTA(I8:AY8)</f>
        <v>1</v>
      </c>
      <c r="H8" s="50" t="s">
        <v>3656</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3605</v>
      </c>
      <c r="C9" s="50">
        <v>7</v>
      </c>
      <c r="D9" s="50" t="s">
        <v>4290</v>
      </c>
      <c r="E9" s="104">
        <v>45485</v>
      </c>
      <c r="F9" s="50">
        <v>2</v>
      </c>
      <c r="G9" s="218" t="e" cm="1">
        <f t="array" ref="G9">SUMPRODUCT(--(I9:AY9&lt;=I26:AY26))/COUNTA(I26:AY26)</f>
        <v>#DIV/0!</v>
      </c>
      <c r="H9" s="50" t="s">
        <v>3656</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3608</v>
      </c>
      <c r="C10" s="50">
        <v>8</v>
      </c>
      <c r="D10" s="50" t="s">
        <v>4291</v>
      </c>
      <c r="E10" s="104">
        <v>45485</v>
      </c>
      <c r="F10" s="50">
        <v>2</v>
      </c>
      <c r="G10" s="104" t="s">
        <v>3647</v>
      </c>
      <c r="H10" s="50" t="s">
        <v>3656</v>
      </c>
      <c r="I10" s="50">
        <v>31</v>
      </c>
      <c r="J10" s="50">
        <v>3.1101216902910999E+26</v>
      </c>
      <c r="K10" s="50" t="s">
        <v>4292</v>
      </c>
      <c r="L10" s="50">
        <v>11</v>
      </c>
      <c r="M10" s="50" t="s">
        <v>4247</v>
      </c>
      <c r="N10" s="104" t="e">
        <v>#N/A</v>
      </c>
      <c r="O10" s="50" t="e">
        <v>#N/A</v>
      </c>
      <c r="P10" s="104" t="e">
        <v>#N/A</v>
      </c>
      <c r="Q10" s="104" t="e">
        <v>#N/A</v>
      </c>
      <c r="R10" s="104">
        <v>35711</v>
      </c>
      <c r="S10" s="107">
        <v>39366</v>
      </c>
      <c r="T10" s="50">
        <v>978</v>
      </c>
      <c r="U10" s="50">
        <v>0</v>
      </c>
      <c r="V10" s="50" t="e">
        <v>#N/A</v>
      </c>
      <c r="W10" s="50" t="e">
        <v>#N/A</v>
      </c>
      <c r="X10" s="50" t="e">
        <v>#N/A</v>
      </c>
      <c r="Y10" s="50" t="e">
        <v>#N/A</v>
      </c>
      <c r="Z10" s="50" t="s">
        <v>3656</v>
      </c>
      <c r="AA10" s="50" t="s">
        <v>3656</v>
      </c>
      <c r="AB10" s="50" t="s">
        <v>3656</v>
      </c>
      <c r="AC10" s="107">
        <v>-8696880000</v>
      </c>
      <c r="AD10" s="50" t="s">
        <v>3656</v>
      </c>
      <c r="AE10" s="107">
        <v>-199340000</v>
      </c>
      <c r="AF10" s="50" t="s">
        <v>3656</v>
      </c>
      <c r="AG10" s="50" t="e">
        <v>#N/A</v>
      </c>
      <c r="AH10" s="50" t="e">
        <v>#N/A</v>
      </c>
      <c r="AI10" s="50" t="e">
        <v>#N/A</v>
      </c>
      <c r="AJ10" s="107" t="e">
        <v>#N/A</v>
      </c>
      <c r="AK10" s="50" t="e">
        <v>#N/A</v>
      </c>
      <c r="AL10" s="50" t="e">
        <v>#N/A</v>
      </c>
      <c r="AM10" s="50" t="e">
        <v>#N/A</v>
      </c>
      <c r="AN10" s="50" t="e">
        <v>#N/A</v>
      </c>
      <c r="AO10" s="50" t="e">
        <v>#N/A</v>
      </c>
      <c r="AP10" s="50" t="s">
        <v>4293</v>
      </c>
      <c r="AQ10" s="50" t="s">
        <v>3656</v>
      </c>
      <c r="AR10" s="50" t="s">
        <v>4293</v>
      </c>
      <c r="AS10" s="50" t="s">
        <v>3656</v>
      </c>
      <c r="AT10" s="50">
        <v>0</v>
      </c>
      <c r="AU10" s="50" t="s">
        <v>3657</v>
      </c>
      <c r="AV10" s="50" t="s">
        <v>4294</v>
      </c>
      <c r="AW10" s="50" t="s">
        <v>3778</v>
      </c>
      <c r="AX10" s="104">
        <v>45503</v>
      </c>
      <c r="AY10" s="50" t="s">
        <v>4295</v>
      </c>
    </row>
    <row r="11" spans="2:51">
      <c r="B11" s="50" t="s">
        <v>3610</v>
      </c>
      <c r="C11" s="50">
        <v>9</v>
      </c>
      <c r="D11" s="50" t="s">
        <v>4296</v>
      </c>
      <c r="E11" s="104">
        <v>45485</v>
      </c>
      <c r="F11" s="50">
        <v>2</v>
      </c>
      <c r="G11" s="104" t="s">
        <v>3647</v>
      </c>
      <c r="H11" s="50" t="s">
        <v>3656</v>
      </c>
      <c r="I11" s="50">
        <v>31</v>
      </c>
      <c r="J11" s="50">
        <v>3.1101216902910999E+26</v>
      </c>
      <c r="K11" s="50"/>
      <c r="L11" s="50">
        <v>11</v>
      </c>
      <c r="M11" s="50" t="s">
        <v>4247</v>
      </c>
      <c r="N11" s="104"/>
      <c r="O11" s="50" t="e">
        <v>#N/A</v>
      </c>
      <c r="P11" s="50"/>
      <c r="Q11" s="50" t="e">
        <v>#N/A</v>
      </c>
      <c r="R11" s="104">
        <v>35711</v>
      </c>
      <c r="S11" s="104">
        <v>39366</v>
      </c>
      <c r="T11" s="50">
        <v>978</v>
      </c>
      <c r="U11" s="50">
        <v>0</v>
      </c>
      <c r="V11" s="50" t="e">
        <v>#N/A</v>
      </c>
      <c r="W11" s="50">
        <v>0</v>
      </c>
      <c r="X11" s="50" t="s">
        <v>4297</v>
      </c>
      <c r="Y11" s="50">
        <v>3</v>
      </c>
      <c r="Z11" s="50">
        <v>0</v>
      </c>
      <c r="AA11" s="50">
        <v>0</v>
      </c>
      <c r="AB11" s="107" t="s">
        <v>3656</v>
      </c>
      <c r="AC11" s="50" t="s">
        <v>4298</v>
      </c>
      <c r="AD11" s="107" t="s">
        <v>3656</v>
      </c>
      <c r="AE11" s="107">
        <v>-199340000</v>
      </c>
      <c r="AF11" s="50" t="s">
        <v>3656</v>
      </c>
      <c r="AG11" s="50" t="e">
        <v>#N/A</v>
      </c>
      <c r="AH11" s="50" t="s">
        <v>3656</v>
      </c>
      <c r="AI11" s="50" t="e">
        <v>#N/A</v>
      </c>
      <c r="AJ11" s="107">
        <v>5300000</v>
      </c>
      <c r="AK11" s="50" t="e">
        <v>#N/A</v>
      </c>
      <c r="AL11" s="50" t="s">
        <v>3656</v>
      </c>
      <c r="AM11" s="50" t="e">
        <v>#N/A</v>
      </c>
      <c r="AN11" s="50" t="s">
        <v>3656</v>
      </c>
      <c r="AO11" s="50">
        <v>1</v>
      </c>
      <c r="AP11" s="50" t="e">
        <v>#N/A</v>
      </c>
      <c r="AQ11" s="50" t="s">
        <v>4297</v>
      </c>
      <c r="AR11" s="50" t="e">
        <v>#N/A</v>
      </c>
      <c r="AS11" s="50" t="s">
        <v>4297</v>
      </c>
      <c r="AT11" s="50">
        <v>0</v>
      </c>
      <c r="AU11" s="50">
        <v>0</v>
      </c>
      <c r="AV11" s="50" t="s">
        <v>3662</v>
      </c>
      <c r="AW11" s="50" t="s">
        <v>3778</v>
      </c>
      <c r="AX11" s="104">
        <v>45503</v>
      </c>
      <c r="AY11" s="50" t="s">
        <v>4299</v>
      </c>
    </row>
    <row r="12" spans="2:51">
      <c r="B12" s="106" t="s">
        <v>3612</v>
      </c>
      <c r="C12" s="50">
        <v>10</v>
      </c>
      <c r="D12" s="50" t="s">
        <v>4300</v>
      </c>
      <c r="E12" s="104">
        <v>45485</v>
      </c>
      <c r="F12" s="50">
        <v>2</v>
      </c>
      <c r="G12" s="104" t="s">
        <v>3647</v>
      </c>
      <c r="H12" s="50" t="s">
        <v>3656</v>
      </c>
      <c r="I12" s="50">
        <v>31</v>
      </c>
      <c r="J12" s="194">
        <v>5.1317900200110001E+27</v>
      </c>
      <c r="K12" s="50" t="s">
        <v>4292</v>
      </c>
      <c r="L12" s="50">
        <v>29</v>
      </c>
      <c r="M12" s="104" t="s">
        <v>4252</v>
      </c>
      <c r="N12" s="104">
        <v>31</v>
      </c>
      <c r="O12" s="107">
        <v>9.9999999999999903E+29</v>
      </c>
      <c r="P12" s="202">
        <v>31</v>
      </c>
      <c r="Q12" s="104">
        <v>5131790020011</v>
      </c>
      <c r="R12" s="104">
        <v>45504</v>
      </c>
      <c r="S12" s="166" t="s">
        <v>4301</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4293</v>
      </c>
      <c r="AQ12" s="107">
        <v>28000000</v>
      </c>
      <c r="AR12" s="50" t="s">
        <v>4293</v>
      </c>
      <c r="AS12" s="107">
        <v>28000000</v>
      </c>
      <c r="AT12" s="50">
        <v>1</v>
      </c>
      <c r="AU12" s="50" t="s">
        <v>3666</v>
      </c>
      <c r="AV12" s="50" t="s">
        <v>4302</v>
      </c>
      <c r="AW12" s="50" t="s">
        <v>3667</v>
      </c>
      <c r="AX12" s="104">
        <v>45503</v>
      </c>
      <c r="AY12" s="50" t="s">
        <v>4295</v>
      </c>
    </row>
    <row r="13" spans="2:51">
      <c r="B13" s="50" t="s">
        <v>3614</v>
      </c>
      <c r="C13" s="50">
        <v>11</v>
      </c>
      <c r="D13" s="50" t="s">
        <v>4303</v>
      </c>
      <c r="E13" s="104">
        <v>45485</v>
      </c>
      <c r="F13" s="50">
        <v>2</v>
      </c>
      <c r="G13" s="104" t="s">
        <v>3647</v>
      </c>
      <c r="H13" s="50" t="s">
        <v>3656</v>
      </c>
      <c r="I13" s="50">
        <v>31</v>
      </c>
      <c r="J13" s="194">
        <v>5.1317900200110001E+27</v>
      </c>
      <c r="K13" s="50"/>
      <c r="L13" s="50">
        <v>29</v>
      </c>
      <c r="M13" s="104" t="s">
        <v>4252</v>
      </c>
      <c r="N13" s="104">
        <v>31</v>
      </c>
      <c r="O13" s="107">
        <v>9.9999999999999903E+29</v>
      </c>
      <c r="P13" s="104">
        <v>31</v>
      </c>
      <c r="Q13" s="50">
        <v>5131790020011</v>
      </c>
      <c r="R13" s="104">
        <v>45504</v>
      </c>
      <c r="S13" s="104">
        <v>2958465</v>
      </c>
      <c r="T13" s="50" t="s">
        <v>3665</v>
      </c>
      <c r="U13" s="50">
        <v>1</v>
      </c>
      <c r="V13" s="50">
        <v>3</v>
      </c>
      <c r="W13" s="50">
        <v>93</v>
      </c>
      <c r="X13" s="50" t="s">
        <v>4304</v>
      </c>
      <c r="Y13" s="107">
        <v>36</v>
      </c>
      <c r="Z13" s="104" t="s">
        <v>4305</v>
      </c>
      <c r="AA13" s="104" t="s">
        <v>4305</v>
      </c>
      <c r="AB13" s="107">
        <v>494947820000</v>
      </c>
      <c r="AC13" s="50" t="s">
        <v>4306</v>
      </c>
      <c r="AD13" s="107">
        <v>9727520000</v>
      </c>
      <c r="AE13" s="107">
        <v>67544900000</v>
      </c>
      <c r="AF13" s="107">
        <v>20457260000</v>
      </c>
      <c r="AG13" s="104" t="e">
        <v>#N/A</v>
      </c>
      <c r="AH13" s="107">
        <v>2096690000</v>
      </c>
      <c r="AI13" s="107">
        <v>45488</v>
      </c>
      <c r="AJ13" s="107">
        <v>2093980000</v>
      </c>
      <c r="AK13" s="50" t="e">
        <v>#N/A</v>
      </c>
      <c r="AL13" s="107" t="s">
        <v>3656</v>
      </c>
      <c r="AM13" s="104">
        <v>45504</v>
      </c>
      <c r="AN13" s="107">
        <v>2093980000</v>
      </c>
      <c r="AO13" s="107">
        <v>36</v>
      </c>
      <c r="AP13" s="50" t="s">
        <v>4293</v>
      </c>
      <c r="AQ13" s="50" t="s">
        <v>4307</v>
      </c>
      <c r="AR13" s="50" t="s">
        <v>4293</v>
      </c>
      <c r="AS13" s="50" t="s">
        <v>4307</v>
      </c>
      <c r="AT13" s="50">
        <v>1</v>
      </c>
      <c r="AU13" s="50" t="s">
        <v>4308</v>
      </c>
      <c r="AV13" s="50" t="s">
        <v>3662</v>
      </c>
      <c r="AW13" s="50" t="s">
        <v>3667</v>
      </c>
      <c r="AX13" s="104">
        <v>45503</v>
      </c>
      <c r="AY13" s="50" t="s">
        <v>4309</v>
      </c>
    </row>
    <row r="14" spans="2:51">
      <c r="B14" s="50" t="s">
        <v>3616</v>
      </c>
      <c r="C14" s="50">
        <v>12</v>
      </c>
      <c r="D14" s="50" t="s">
        <v>4310</v>
      </c>
      <c r="E14" s="104">
        <v>45485</v>
      </c>
      <c r="F14" s="50">
        <v>2</v>
      </c>
      <c r="G14" s="218" t="s">
        <v>4311</v>
      </c>
      <c r="H14" s="50" t="s">
        <v>3656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3618</v>
      </c>
      <c r="C15" s="50">
        <v>13</v>
      </c>
      <c r="D15" s="50" t="s">
        <v>4312</v>
      </c>
      <c r="E15" s="104">
        <v>45485</v>
      </c>
      <c r="F15" s="50">
        <v>2</v>
      </c>
      <c r="G15" s="218">
        <v>1</v>
      </c>
      <c r="H15" s="50" t="s">
        <v>3656</v>
      </c>
      <c r="I15" s="50" t="s">
        <v>3647</v>
      </c>
      <c r="J15" s="50" t="s">
        <v>3647</v>
      </c>
      <c r="K15" s="50" t="s">
        <v>3647</v>
      </c>
      <c r="L15" s="50" t="s">
        <v>3647</v>
      </c>
      <c r="M15" s="50" t="s">
        <v>3647</v>
      </c>
      <c r="N15" s="50" t="s">
        <v>3647</v>
      </c>
      <c r="O15" s="50" t="s">
        <v>3647</v>
      </c>
      <c r="P15" s="50" t="s">
        <v>3647</v>
      </c>
      <c r="Q15" s="50" t="s">
        <v>3647</v>
      </c>
      <c r="R15" s="50">
        <v>0</v>
      </c>
      <c r="S15" s="50">
        <v>0</v>
      </c>
      <c r="T15" s="50"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v>0</v>
      </c>
      <c r="AH15" s="50" t="s">
        <v>3647</v>
      </c>
      <c r="AI15" s="50">
        <v>0</v>
      </c>
      <c r="AJ15" s="50" t="s">
        <v>3647</v>
      </c>
      <c r="AK15" s="50">
        <v>0</v>
      </c>
      <c r="AL15" s="50" t="s">
        <v>3647</v>
      </c>
      <c r="AM15" s="50">
        <v>0</v>
      </c>
      <c r="AN15" s="50" t="s">
        <v>3647</v>
      </c>
      <c r="AO15" s="50" t="s">
        <v>3647</v>
      </c>
      <c r="AP15" s="50" t="s">
        <v>3647</v>
      </c>
      <c r="AQ15" s="50" t="s">
        <v>3647</v>
      </c>
      <c r="AR15" s="50" t="s">
        <v>3647</v>
      </c>
      <c r="AS15" s="50" t="s">
        <v>3647</v>
      </c>
      <c r="AT15" s="50" t="s">
        <v>3647</v>
      </c>
      <c r="AU15" s="50" t="s">
        <v>3647</v>
      </c>
      <c r="AV15" s="50" t="s">
        <v>3647</v>
      </c>
      <c r="AW15" s="50" t="s">
        <v>3647</v>
      </c>
      <c r="AX15" s="50">
        <v>0</v>
      </c>
      <c r="AY15" s="50" t="s">
        <v>3647</v>
      </c>
    </row>
    <row r="16" spans="2:51">
      <c r="B16" s="50" t="s">
        <v>3620</v>
      </c>
      <c r="C16" s="50">
        <v>14</v>
      </c>
      <c r="D16" s="50" t="s">
        <v>4313</v>
      </c>
      <c r="E16" s="104">
        <v>45485</v>
      </c>
      <c r="F16" s="50">
        <v>2</v>
      </c>
      <c r="G16" s="218">
        <v>1</v>
      </c>
      <c r="H16" s="50" t="s">
        <v>3656</v>
      </c>
      <c r="I16" s="50" t="s">
        <v>3647</v>
      </c>
      <c r="J16" s="50" t="s">
        <v>3647</v>
      </c>
      <c r="K16" s="50">
        <v>0</v>
      </c>
      <c r="L16" s="50">
        <v>0</v>
      </c>
      <c r="M16" s="50">
        <v>0</v>
      </c>
      <c r="N16" s="50">
        <v>0</v>
      </c>
      <c r="O16" s="50">
        <v>0</v>
      </c>
      <c r="P16" s="50">
        <v>0</v>
      </c>
      <c r="Q16" s="50">
        <v>0</v>
      </c>
      <c r="R16" s="50">
        <v>0</v>
      </c>
      <c r="S16" s="50">
        <v>0</v>
      </c>
      <c r="T16" s="50">
        <v>0</v>
      </c>
      <c r="U16" s="50" t="s">
        <v>3647</v>
      </c>
      <c r="V16" s="50">
        <v>0</v>
      </c>
      <c r="W16" s="50" t="s">
        <v>3647</v>
      </c>
      <c r="X16" s="50" t="s">
        <v>3647</v>
      </c>
      <c r="Y16" s="50" t="s">
        <v>3647</v>
      </c>
      <c r="Z16" s="50" t="s">
        <v>3647</v>
      </c>
      <c r="AA16" s="50" t="s">
        <v>3647</v>
      </c>
      <c r="AB16" s="50" t="s">
        <v>3647</v>
      </c>
      <c r="AC16" s="50" t="s">
        <v>3647</v>
      </c>
      <c r="AD16" s="50" t="s">
        <v>3647</v>
      </c>
      <c r="AE16" s="50" t="s">
        <v>3647</v>
      </c>
      <c r="AF16" s="50" t="s">
        <v>3647</v>
      </c>
      <c r="AG16" s="50">
        <v>0</v>
      </c>
      <c r="AH16" s="50" t="s">
        <v>3647</v>
      </c>
      <c r="AI16" s="50">
        <v>0</v>
      </c>
      <c r="AJ16" s="50" t="s">
        <v>3647</v>
      </c>
      <c r="AK16" s="50">
        <v>0</v>
      </c>
      <c r="AL16" s="50" t="s">
        <v>3647</v>
      </c>
      <c r="AM16" s="50">
        <v>0</v>
      </c>
      <c r="AN16" s="50" t="s">
        <v>3647</v>
      </c>
      <c r="AO16" s="50" t="s">
        <v>3647</v>
      </c>
      <c r="AP16" s="50">
        <v>0</v>
      </c>
      <c r="AQ16" s="50" t="s">
        <v>3647</v>
      </c>
      <c r="AR16" s="50">
        <v>0</v>
      </c>
      <c r="AS16" s="50" t="s">
        <v>3647</v>
      </c>
      <c r="AT16" s="50" t="s">
        <v>3647</v>
      </c>
      <c r="AU16" s="50">
        <v>0</v>
      </c>
      <c r="AV16" s="50">
        <v>0</v>
      </c>
      <c r="AW16" s="50">
        <v>0</v>
      </c>
      <c r="AX16" s="50" t="s">
        <v>3647</v>
      </c>
      <c r="AY16" s="50" t="s">
        <v>3647</v>
      </c>
    </row>
    <row r="17" spans="2:51">
      <c r="B17" s="50" t="s">
        <v>3622</v>
      </c>
      <c r="C17" s="50">
        <v>15</v>
      </c>
      <c r="D17" s="50" t="s">
        <v>4314</v>
      </c>
      <c r="E17" s="104">
        <v>45485</v>
      </c>
      <c r="F17" s="50">
        <v>2</v>
      </c>
      <c r="G17" s="218" t="s">
        <v>4285</v>
      </c>
      <c r="H17" s="191" t="s">
        <v>4315</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row>
    <row r="18" spans="2:51">
      <c r="B18" s="50" t="s">
        <v>3624</v>
      </c>
      <c r="C18" s="50">
        <v>16</v>
      </c>
      <c r="D18" s="50" t="s">
        <v>4314</v>
      </c>
      <c r="E18" s="104">
        <v>45485</v>
      </c>
      <c r="F18" s="50">
        <v>2</v>
      </c>
      <c r="G18" s="218">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row>
    <row r="19" spans="2:51">
      <c r="B19" s="222" t="s">
        <v>4316</v>
      </c>
      <c r="C19" s="50">
        <v>19</v>
      </c>
      <c r="D19" s="50" t="s">
        <v>4317</v>
      </c>
      <c r="E19" s="104">
        <v>45485</v>
      </c>
      <c r="F19" s="50">
        <v>2</v>
      </c>
      <c r="G19" s="218" t="e" cm="1" vm="1">
        <f t="array" ref="G19">SUM(IF(I2:AY2 = I24:AY24, 1, 0))/ COUNTA(I2:AY2)</f>
        <v>#VALUE!</v>
      </c>
      <c r="H19" s="50" t="s">
        <v>3656</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3681</v>
      </c>
      <c r="X19" s="50" t="s">
        <v>3681</v>
      </c>
      <c r="Y19" s="50" t="s">
        <v>3681</v>
      </c>
      <c r="Z19" s="50" t="s">
        <v>3682</v>
      </c>
      <c r="AA19" s="50" t="s">
        <v>3682</v>
      </c>
      <c r="AB19" s="50" t="s">
        <v>3682</v>
      </c>
      <c r="AC19" s="50" t="s">
        <v>3682</v>
      </c>
      <c r="AD19" s="50" t="s">
        <v>3682</v>
      </c>
      <c r="AE19" s="50" t="s">
        <v>3682</v>
      </c>
      <c r="AF19" s="50" t="s">
        <v>3682</v>
      </c>
      <c r="AG19" s="50" t="s">
        <v>3681</v>
      </c>
      <c r="AH19" s="50" t="s">
        <v>3681</v>
      </c>
      <c r="AI19" s="50" t="s">
        <v>3681</v>
      </c>
      <c r="AJ19" s="50" t="s">
        <v>3681</v>
      </c>
      <c r="AK19" s="50" t="s">
        <v>3681</v>
      </c>
      <c r="AL19" s="50" t="s">
        <v>3681</v>
      </c>
      <c r="AM19" s="50" t="s">
        <v>3681</v>
      </c>
      <c r="AN19" s="50" t="s">
        <v>3681</v>
      </c>
      <c r="AO19" s="50" t="s">
        <v>3681</v>
      </c>
      <c r="AP19" s="50" t="s">
        <v>3681</v>
      </c>
      <c r="AQ19" s="50" t="s">
        <v>3682</v>
      </c>
      <c r="AR19" s="50" t="s">
        <v>3681</v>
      </c>
      <c r="AS19" s="50" t="s">
        <v>3682</v>
      </c>
      <c r="AT19" s="50" t="s">
        <v>3681</v>
      </c>
      <c r="AU19" s="50" t="s">
        <v>3681</v>
      </c>
      <c r="AV19" s="50" t="s">
        <v>3681</v>
      </c>
      <c r="AW19" s="50" t="s">
        <v>3681</v>
      </c>
      <c r="AX19" s="50" t="s">
        <v>3681</v>
      </c>
      <c r="AY19" s="50" t="s">
        <v>3683</v>
      </c>
    </row>
    <row r="20" spans="2:51">
      <c r="B20" s="50" t="s">
        <v>3633</v>
      </c>
      <c r="C20" s="50">
        <v>20</v>
      </c>
      <c r="D20" s="50" t="s">
        <v>4318</v>
      </c>
      <c r="E20" s="104">
        <v>45503</v>
      </c>
      <c r="F20" s="50">
        <v>2</v>
      </c>
      <c r="G20" s="202" t="e" cm="1" vm="1">
        <f t="array" ref="G20">SUM(IF(I2:AY2 = I24:AY24, 1, 0))/ COUNTA(I2:AY2)</f>
        <v>#VALUE!</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row>
    <row r="21" spans="2:51">
      <c r="B21" s="50" t="s">
        <v>3636</v>
      </c>
      <c r="C21" s="50">
        <v>21</v>
      </c>
      <c r="D21" s="50" t="s">
        <v>4318</v>
      </c>
      <c r="E21" s="104">
        <v>45503</v>
      </c>
      <c r="F21" s="50">
        <v>2</v>
      </c>
      <c r="G21" s="202" t="e" cm="1">
        <f t="array" ref="G21">SUM(IF(IF(G3:G20="null",1,G3:G20)=1,1,0))/COUNT(IF(G3:G20="null",1,1))</f>
        <v>#DIV/0!</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c r="X21" s="50" t="s">
        <v>3647</v>
      </c>
      <c r="Y21" s="50" t="s">
        <v>3647</v>
      </c>
      <c r="Z21" s="50" t="s">
        <v>3647</v>
      </c>
      <c r="AA21" s="50" t="s">
        <v>3647</v>
      </c>
      <c r="AB21" s="50" t="s">
        <v>3647</v>
      </c>
      <c r="AC21" s="50" t="s">
        <v>3647</v>
      </c>
      <c r="AD21" s="50" t="s">
        <v>3647</v>
      </c>
      <c r="AE21" s="50" t="s">
        <v>3647</v>
      </c>
      <c r="AF21" s="50" t="s">
        <v>3647</v>
      </c>
      <c r="AG21" s="50" t="s">
        <v>3647</v>
      </c>
      <c r="AH21" s="50" t="s">
        <v>3647</v>
      </c>
      <c r="AI21" s="50" t="s">
        <v>3647</v>
      </c>
      <c r="AJ21" s="50" t="s">
        <v>3647</v>
      </c>
      <c r="AK21" s="50" t="s">
        <v>3647</v>
      </c>
      <c r="AL21" s="50" t="s">
        <v>3647</v>
      </c>
      <c r="AM21" s="50" t="s">
        <v>3647</v>
      </c>
      <c r="AN21" s="50" t="s">
        <v>3647</v>
      </c>
      <c r="AO21" s="50" t="s">
        <v>3647</v>
      </c>
      <c r="AP21" s="50" t="s">
        <v>3647</v>
      </c>
      <c r="AQ21" s="50" t="s">
        <v>3647</v>
      </c>
      <c r="AR21" s="50" t="s">
        <v>3647</v>
      </c>
      <c r="AS21" s="50" t="s">
        <v>3647</v>
      </c>
      <c r="AT21" s="50" t="s">
        <v>3647</v>
      </c>
      <c r="AU21" s="50" t="s">
        <v>3647</v>
      </c>
      <c r="AV21" s="50" t="s">
        <v>3647</v>
      </c>
      <c r="AW21" s="50" t="s">
        <v>3647</v>
      </c>
      <c r="AX21" s="50" t="s">
        <v>3647</v>
      </c>
      <c r="AY21" s="50" t="s">
        <v>3647</v>
      </c>
    </row>
    <row r="22" spans="2:51">
      <c r="B22" s="50"/>
      <c r="C22" s="50"/>
      <c r="D22" s="50"/>
      <c r="E22" s="104"/>
      <c r="F22" s="50"/>
      <c r="G22" s="50"/>
      <c r="H22" s="50"/>
      <c r="I22" s="50"/>
      <c r="J22" s="50"/>
      <c r="K22" s="50"/>
      <c r="L22" s="50"/>
      <c r="M22" s="50"/>
      <c r="N22" s="50"/>
      <c r="O22" s="50"/>
      <c r="P22" s="50"/>
      <c r="Q22" s="50"/>
      <c r="R22" s="50"/>
      <c r="S22" s="50"/>
    </row>
    <row r="23" spans="2:51">
      <c r="B23" s="139" t="s">
        <v>3753</v>
      </c>
    </row>
    <row r="24" spans="2:51">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3684</v>
      </c>
      <c r="C25" s="119">
        <v>21</v>
      </c>
      <c r="D25" s="113" t="s">
        <v>3685</v>
      </c>
      <c r="E25" s="112" t="s">
        <v>3686</v>
      </c>
      <c r="F25" s="112" t="s">
        <v>372</v>
      </c>
      <c r="G25" s="112" t="s">
        <v>372</v>
      </c>
      <c r="H25" s="112" t="s">
        <v>372</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3687</v>
      </c>
      <c r="C26" s="119">
        <v>7</v>
      </c>
      <c r="D26" s="113" t="s">
        <v>3685</v>
      </c>
      <c r="E26" s="112" t="s">
        <v>3686</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3688</v>
      </c>
    </row>
    <row r="29" spans="2:51">
      <c r="B29" s="143" t="s">
        <v>3689</v>
      </c>
      <c r="C29" s="143" t="s">
        <v>3690</v>
      </c>
      <c r="D29" s="144" t="s">
        <v>3691</v>
      </c>
      <c r="E29" s="143" t="s">
        <v>3692</v>
      </c>
      <c r="F29" s="143" t="s">
        <v>3693</v>
      </c>
    </row>
    <row r="30" spans="2:51" ht="43.5">
      <c r="B30" s="146" t="s">
        <v>3694</v>
      </c>
      <c r="C30" s="147" t="s">
        <v>4319</v>
      </c>
      <c r="D30" s="246" t="s">
        <v>4320</v>
      </c>
      <c r="E30" s="247" t="s">
        <v>4321</v>
      </c>
      <c r="F30" s="198" t="s">
        <v>3703</v>
      </c>
      <c r="H30" s="244"/>
      <c r="J30" t="s">
        <v>4322</v>
      </c>
      <c r="K30">
        <v>20748</v>
      </c>
    </row>
    <row r="31" spans="2:51" ht="43.5">
      <c r="B31" s="146" t="s">
        <v>3694</v>
      </c>
      <c r="C31" s="147" t="s">
        <v>649</v>
      </c>
      <c r="D31" s="246" t="s">
        <v>4323</v>
      </c>
      <c r="E31" s="247" t="s">
        <v>4324</v>
      </c>
      <c r="F31" s="198" t="s">
        <v>3700</v>
      </c>
      <c r="H31" s="245"/>
      <c r="J31" t="s">
        <v>4325</v>
      </c>
      <c r="K31">
        <v>760260</v>
      </c>
      <c r="L31">
        <f>K31+K30</f>
        <v>781008</v>
      </c>
    </row>
    <row r="32" spans="2:51" ht="29.1">
      <c r="B32" s="146" t="s">
        <v>3694</v>
      </c>
      <c r="C32" s="124" t="s">
        <v>715</v>
      </c>
      <c r="D32" s="248" t="s">
        <v>4326</v>
      </c>
      <c r="E32" s="155" t="s">
        <v>4327</v>
      </c>
      <c r="F32" s="145" t="s">
        <v>3700</v>
      </c>
      <c r="J32" t="s">
        <v>4328</v>
      </c>
      <c r="K32">
        <v>8461</v>
      </c>
      <c r="L32">
        <f>K31+K32</f>
        <v>768721</v>
      </c>
      <c r="M32">
        <f>L31+K32</f>
        <v>789469</v>
      </c>
    </row>
    <row r="33" spans="2:12" ht="72.599999999999994">
      <c r="B33" s="146" t="s">
        <v>3694</v>
      </c>
      <c r="C33" s="124" t="s">
        <v>1466</v>
      </c>
      <c r="D33" s="248" t="s">
        <v>4329</v>
      </c>
      <c r="E33" s="155" t="s">
        <v>4330</v>
      </c>
      <c r="F33" s="198" t="s">
        <v>3697</v>
      </c>
      <c r="J33" t="s">
        <v>4331</v>
      </c>
      <c r="K33">
        <v>26</v>
      </c>
    </row>
    <row r="34" spans="2:12" ht="101.45">
      <c r="B34" s="146" t="s">
        <v>3694</v>
      </c>
      <c r="C34" s="124" t="s">
        <v>1475</v>
      </c>
      <c r="D34" s="248" t="s">
        <v>4332</v>
      </c>
      <c r="E34" s="155" t="s">
        <v>4333</v>
      </c>
      <c r="F34" s="145" t="s">
        <v>3697</v>
      </c>
      <c r="J34" t="s">
        <v>4334</v>
      </c>
      <c r="K34">
        <v>478</v>
      </c>
      <c r="L34">
        <f>K32+K34</f>
        <v>8939</v>
      </c>
    </row>
    <row r="35" spans="2:12" ht="72.599999999999994">
      <c r="B35" s="120" t="s">
        <v>3694</v>
      </c>
      <c r="C35" s="124" t="s">
        <v>1481</v>
      </c>
      <c r="D35" s="248" t="s">
        <v>4335</v>
      </c>
      <c r="E35" s="155" t="s">
        <v>4336</v>
      </c>
      <c r="F35" s="145" t="s">
        <v>3864</v>
      </c>
      <c r="K35">
        <f>SUM(K30:K34)</f>
        <v>789973</v>
      </c>
    </row>
    <row r="36" spans="2:12" ht="72.599999999999994">
      <c r="B36" s="120" t="s">
        <v>3694</v>
      </c>
      <c r="C36" s="124" t="s">
        <v>1489</v>
      </c>
      <c r="D36" s="248" t="s">
        <v>4335</v>
      </c>
      <c r="E36" s="155" t="s">
        <v>4337</v>
      </c>
      <c r="F36" s="145" t="s">
        <v>3864</v>
      </c>
    </row>
    <row r="37" spans="2:12" ht="116.1">
      <c r="B37" s="120" t="s">
        <v>3694</v>
      </c>
      <c r="C37" s="124" t="s">
        <v>429</v>
      </c>
      <c r="D37" s="248" t="s">
        <v>4338</v>
      </c>
      <c r="E37" s="155" t="s">
        <v>4339</v>
      </c>
      <c r="F37" s="145" t="s">
        <v>3697</v>
      </c>
    </row>
    <row r="38" spans="2:12" ht="116.1">
      <c r="B38" s="120" t="s">
        <v>3694</v>
      </c>
      <c r="C38" s="124" t="s">
        <v>439</v>
      </c>
      <c r="D38" s="248" t="s">
        <v>4338</v>
      </c>
      <c r="E38" s="155" t="s">
        <v>4339</v>
      </c>
      <c r="F38" s="145" t="s">
        <v>4340</v>
      </c>
    </row>
    <row r="39" spans="2:12" ht="43.5">
      <c r="B39" s="127" t="s">
        <v>3694</v>
      </c>
      <c r="C39" s="126" t="s">
        <v>1509</v>
      </c>
      <c r="D39" s="249" t="s">
        <v>4341</v>
      </c>
      <c r="E39" s="155" t="s">
        <v>4342</v>
      </c>
      <c r="F39" s="145" t="s">
        <v>3700</v>
      </c>
    </row>
    <row r="40" spans="2:12" ht="87">
      <c r="B40" s="120" t="s">
        <v>3694</v>
      </c>
      <c r="C40" s="124" t="s">
        <v>1516</v>
      </c>
      <c r="D40" s="249" t="s">
        <v>4343</v>
      </c>
      <c r="E40" s="155" t="s">
        <v>4344</v>
      </c>
      <c r="F40" s="198" t="s">
        <v>3697</v>
      </c>
    </row>
    <row r="41" spans="2:12" ht="87">
      <c r="B41" s="120" t="s">
        <v>3694</v>
      </c>
      <c r="C41" s="124" t="s">
        <v>1523</v>
      </c>
      <c r="D41" s="249" t="s">
        <v>4345</v>
      </c>
      <c r="E41" s="155" t="s">
        <v>4344</v>
      </c>
      <c r="F41" s="198" t="s">
        <v>3697</v>
      </c>
    </row>
    <row r="42" spans="2:12" ht="87">
      <c r="B42" s="120" t="s">
        <v>3694</v>
      </c>
      <c r="C42" s="124" t="s">
        <v>1530</v>
      </c>
      <c r="D42" s="249" t="s">
        <v>4346</v>
      </c>
      <c r="E42" s="155" t="s">
        <v>4344</v>
      </c>
      <c r="F42" s="198" t="s">
        <v>3697</v>
      </c>
    </row>
    <row r="43" spans="2:12" ht="87">
      <c r="B43" s="120" t="s">
        <v>3694</v>
      </c>
      <c r="C43" s="124" t="s">
        <v>785</v>
      </c>
      <c r="D43" s="249" t="s">
        <v>4347</v>
      </c>
      <c r="E43" s="155" t="s">
        <v>4344</v>
      </c>
      <c r="F43" s="198" t="s">
        <v>3697</v>
      </c>
    </row>
    <row r="44" spans="2:12" ht="101.45">
      <c r="B44" s="146" t="s">
        <v>3694</v>
      </c>
      <c r="C44" s="147" t="s">
        <v>305</v>
      </c>
      <c r="D44" s="250" t="s">
        <v>4348</v>
      </c>
      <c r="E44" s="156" t="s">
        <v>4349</v>
      </c>
      <c r="F44" s="198" t="s">
        <v>3703</v>
      </c>
    </row>
    <row r="45" spans="2:12" ht="29.1">
      <c r="B45" s="120" t="s">
        <v>3704</v>
      </c>
      <c r="C45" s="124" t="s">
        <v>3921</v>
      </c>
      <c r="D45" s="132" t="s">
        <v>4350</v>
      </c>
      <c r="E45" s="155" t="s">
        <v>4351</v>
      </c>
      <c r="F45" s="198" t="s">
        <v>3703</v>
      </c>
    </row>
    <row r="46" spans="2:12" ht="72.599999999999994">
      <c r="B46" s="146" t="s">
        <v>3762</v>
      </c>
      <c r="C46" s="124" t="s">
        <v>3921</v>
      </c>
      <c r="D46" s="250" t="s">
        <v>4352</v>
      </c>
      <c r="E46" s="156" t="s">
        <v>4353</v>
      </c>
      <c r="F46" s="198" t="s">
        <v>4354</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3639</v>
      </c>
      <c r="C2" s="85" t="s">
        <v>3640</v>
      </c>
      <c r="D2" s="85" t="s">
        <v>3641</v>
      </c>
      <c r="E2" s="85" t="s">
        <v>4355</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2334</v>
      </c>
      <c r="U2" s="85" t="s">
        <v>2583</v>
      </c>
      <c r="V2" s="85" t="s">
        <v>261</v>
      </c>
      <c r="W2" s="85" t="s">
        <v>965</v>
      </c>
      <c r="X2" s="85" t="s">
        <v>649</v>
      </c>
      <c r="Y2" s="85" t="s">
        <v>272</v>
      </c>
      <c r="Z2" s="85" t="s">
        <v>283</v>
      </c>
      <c r="AA2" s="85" t="s">
        <v>715</v>
      </c>
      <c r="AB2" s="85" t="s">
        <v>1457</v>
      </c>
      <c r="AC2" s="85" t="s">
        <v>4356</v>
      </c>
      <c r="AD2" s="85" t="s">
        <v>1466</v>
      </c>
      <c r="AE2" s="85" t="s">
        <v>1475</v>
      </c>
      <c r="AF2" s="85" t="s">
        <v>1481</v>
      </c>
      <c r="AG2" s="85" t="s">
        <v>1489</v>
      </c>
      <c r="AH2" s="85" t="s">
        <v>429</v>
      </c>
      <c r="AI2" s="85" t="s">
        <v>439</v>
      </c>
      <c r="AJ2" s="85" t="s">
        <v>1509</v>
      </c>
      <c r="AK2" s="85" t="s">
        <v>2672</v>
      </c>
      <c r="AL2" s="85" t="s">
        <v>1979</v>
      </c>
      <c r="AM2" s="85" t="s">
        <v>1987</v>
      </c>
      <c r="AN2" s="85" t="s">
        <v>1998</v>
      </c>
      <c r="AO2" s="85" t="s">
        <v>2008</v>
      </c>
      <c r="AP2" s="85" t="s">
        <v>1523</v>
      </c>
      <c r="AQ2" s="85" t="s">
        <v>2709</v>
      </c>
      <c r="AR2" s="85" t="s">
        <v>1530</v>
      </c>
      <c r="AS2" s="85" t="s">
        <v>756</v>
      </c>
      <c r="AT2" s="85" t="s">
        <v>766</v>
      </c>
      <c r="AU2" s="85" t="s">
        <v>776</v>
      </c>
      <c r="AV2" s="85" t="s">
        <v>785</v>
      </c>
      <c r="AW2" s="85" t="s">
        <v>2725</v>
      </c>
      <c r="AX2" s="85" t="s">
        <v>294</v>
      </c>
      <c r="AY2" s="85" t="s">
        <v>305</v>
      </c>
      <c r="AZ2" s="85" t="s">
        <v>318</v>
      </c>
      <c r="BA2" s="85" t="s">
        <v>327</v>
      </c>
      <c r="BB2" s="85" t="s">
        <v>334</v>
      </c>
    </row>
    <row r="3" spans="2:54">
      <c r="B3" s="50" t="s">
        <v>3593</v>
      </c>
      <c r="C3" s="50">
        <v>1</v>
      </c>
      <c r="D3" s="50" t="s">
        <v>4357</v>
      </c>
      <c r="E3" s="104">
        <v>45492</v>
      </c>
      <c r="F3" s="50">
        <v>6</v>
      </c>
      <c r="G3" s="218">
        <v>1</v>
      </c>
      <c r="H3" s="107">
        <v>994692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row>
    <row r="4" spans="2:54">
      <c r="B4" s="50" t="s">
        <v>3595</v>
      </c>
      <c r="C4" s="50">
        <v>2</v>
      </c>
      <c r="D4" s="50" t="s">
        <v>4358</v>
      </c>
      <c r="E4" s="104">
        <v>45492</v>
      </c>
      <c r="F4" s="50">
        <v>6</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row>
    <row r="5" spans="2:54">
      <c r="B5" s="50" t="s">
        <v>3597</v>
      </c>
      <c r="C5" s="50">
        <v>3</v>
      </c>
      <c r="D5" s="50" t="s">
        <v>4359</v>
      </c>
      <c r="E5" s="104">
        <v>45492</v>
      </c>
      <c r="F5" s="50">
        <v>6</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v>0</v>
      </c>
      <c r="BB5" s="50" t="s">
        <v>3647</v>
      </c>
    </row>
    <row r="6" spans="2:54">
      <c r="B6" s="106" t="s">
        <v>3599</v>
      </c>
      <c r="C6" s="50">
        <v>4</v>
      </c>
      <c r="D6" s="50" t="s">
        <v>3650</v>
      </c>
      <c r="E6" s="104" t="s">
        <v>3647</v>
      </c>
      <c r="F6" s="50">
        <v>6</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row>
    <row r="7" spans="2:54">
      <c r="B7" s="50" t="s">
        <v>3601</v>
      </c>
      <c r="C7" s="50">
        <v>5</v>
      </c>
      <c r="D7" s="50" t="s">
        <v>3650</v>
      </c>
      <c r="E7" s="104" t="s">
        <v>3647</v>
      </c>
      <c r="F7" s="50">
        <v>6</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row>
    <row r="8" spans="2:54">
      <c r="B8" s="106" t="s">
        <v>3602</v>
      </c>
      <c r="C8" s="50">
        <v>6</v>
      </c>
      <c r="D8" s="50" t="s">
        <v>4360</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3605</v>
      </c>
      <c r="C9" s="50">
        <v>7</v>
      </c>
      <c r="D9" s="50" t="s">
        <v>4361</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3608</v>
      </c>
      <c r="C10" s="50">
        <v>8</v>
      </c>
      <c r="D10" s="50" t="s">
        <v>4362</v>
      </c>
      <c r="E10" s="104">
        <v>45492</v>
      </c>
      <c r="F10" s="50">
        <v>6</v>
      </c>
      <c r="G10" s="50" t="s">
        <v>3647</v>
      </c>
      <c r="H10" s="50" t="s">
        <v>3647</v>
      </c>
      <c r="I10" s="50">
        <v>31</v>
      </c>
      <c r="J10" s="50">
        <v>2.317541E+21</v>
      </c>
      <c r="K10" s="50" t="s">
        <v>4363</v>
      </c>
      <c r="L10" s="50">
        <v>96</v>
      </c>
      <c r="M10" s="50">
        <v>1</v>
      </c>
      <c r="N10" s="104">
        <v>31</v>
      </c>
      <c r="O10" s="50">
        <v>1.3033148999999999E+22</v>
      </c>
      <c r="P10" s="104" t="s">
        <v>3655</v>
      </c>
      <c r="Q10" s="104" t="s">
        <v>3655</v>
      </c>
      <c r="R10" s="104">
        <v>578</v>
      </c>
      <c r="S10" s="107">
        <v>0</v>
      </c>
      <c r="T10" s="50">
        <v>0</v>
      </c>
      <c r="U10" s="50" t="s">
        <v>3656</v>
      </c>
      <c r="V10" s="50" t="s">
        <v>3656</v>
      </c>
      <c r="W10" s="50" t="s">
        <v>3656</v>
      </c>
      <c r="X10" s="50" t="s">
        <v>3656</v>
      </c>
      <c r="Y10" s="50" t="s">
        <v>3656</v>
      </c>
      <c r="Z10" s="50" t="s">
        <v>3656</v>
      </c>
      <c r="AA10" s="104" t="s">
        <v>3655</v>
      </c>
      <c r="AB10" s="107">
        <v>-28990000</v>
      </c>
      <c r="AC10" s="107" t="s">
        <v>3656</v>
      </c>
      <c r="AD10" s="104">
        <v>35480</v>
      </c>
      <c r="AE10" s="107">
        <v>-81710000</v>
      </c>
      <c r="AF10" s="104">
        <v>36984</v>
      </c>
      <c r="AG10" s="50" t="s">
        <v>3656</v>
      </c>
      <c r="AH10" s="104">
        <v>38499</v>
      </c>
      <c r="AI10" s="50" t="s">
        <v>4364</v>
      </c>
      <c r="AJ10" s="107">
        <v>1</v>
      </c>
      <c r="AK10" s="50"/>
      <c r="AL10" s="50" t="s">
        <v>4293</v>
      </c>
      <c r="AM10" s="50" t="e">
        <v>#N/A</v>
      </c>
      <c r="AN10" s="107">
        <v>-10000000</v>
      </c>
      <c r="AO10" s="50" t="s">
        <v>3656</v>
      </c>
      <c r="AP10" s="50" t="s">
        <v>3656</v>
      </c>
      <c r="AQ10" s="50" t="s">
        <v>3656</v>
      </c>
      <c r="AR10" s="50" t="s">
        <v>4293</v>
      </c>
      <c r="AS10" s="50" t="e">
        <v>#N/A</v>
      </c>
      <c r="AT10" s="107">
        <v>-11000000</v>
      </c>
      <c r="AU10" s="50" t="s">
        <v>4365</v>
      </c>
      <c r="AV10" s="50" t="s">
        <v>4366</v>
      </c>
      <c r="AW10" s="50" t="s">
        <v>3656</v>
      </c>
      <c r="AX10" s="104" t="s">
        <v>3657</v>
      </c>
      <c r="AY10" s="50" t="s">
        <v>4294</v>
      </c>
      <c r="AZ10" s="50" t="s">
        <v>4367</v>
      </c>
      <c r="BA10" s="104">
        <v>45491</v>
      </c>
      <c r="BB10" s="50" t="s">
        <v>4368</v>
      </c>
    </row>
    <row r="11" spans="2:54">
      <c r="B11" s="50" t="s">
        <v>3610</v>
      </c>
      <c r="C11" s="50">
        <v>9</v>
      </c>
      <c r="D11" s="50" t="s">
        <v>4369</v>
      </c>
      <c r="E11" s="104">
        <v>45492</v>
      </c>
      <c r="F11" s="50">
        <v>6</v>
      </c>
      <c r="G11" s="50" t="s">
        <v>3647</v>
      </c>
      <c r="H11" s="50" t="s">
        <v>3647</v>
      </c>
      <c r="I11" s="50">
        <v>31</v>
      </c>
      <c r="J11" s="50">
        <v>2.317541E+21</v>
      </c>
      <c r="K11" s="50"/>
      <c r="L11" s="50">
        <v>96</v>
      </c>
      <c r="M11" s="50">
        <v>1</v>
      </c>
      <c r="N11" s="104"/>
      <c r="O11" s="50">
        <v>1.3033148999999999E+22</v>
      </c>
      <c r="P11" s="104" t="s">
        <v>3655</v>
      </c>
      <c r="Q11" s="104" t="s">
        <v>3655</v>
      </c>
      <c r="R11" s="104">
        <v>578</v>
      </c>
      <c r="S11" s="104">
        <v>0</v>
      </c>
      <c r="T11" s="50">
        <v>0</v>
      </c>
      <c r="U11" s="50" t="s">
        <v>3656</v>
      </c>
      <c r="V11" s="50" t="s">
        <v>3656</v>
      </c>
      <c r="W11" s="50" t="s">
        <v>3656</v>
      </c>
      <c r="X11" s="50" t="s">
        <v>3656</v>
      </c>
      <c r="Y11" s="50" t="s">
        <v>3656</v>
      </c>
      <c r="Z11" s="50" t="s">
        <v>3656</v>
      </c>
      <c r="AA11" s="104" t="s">
        <v>3655</v>
      </c>
      <c r="AB11" s="107">
        <v>-28990000</v>
      </c>
      <c r="AC11" s="50" t="s">
        <v>3656</v>
      </c>
      <c r="AD11" s="107">
        <v>35480</v>
      </c>
      <c r="AE11" s="107">
        <v>-81710000</v>
      </c>
      <c r="AF11" s="104">
        <v>36984</v>
      </c>
      <c r="AG11" s="50" t="s">
        <v>3656</v>
      </c>
      <c r="AH11" s="104">
        <v>38499</v>
      </c>
      <c r="AI11" s="50" t="s">
        <v>4364</v>
      </c>
      <c r="AJ11" s="107">
        <v>1</v>
      </c>
      <c r="AK11" s="50"/>
      <c r="AL11" s="50" t="s">
        <v>4293</v>
      </c>
      <c r="AM11" s="50" t="e">
        <v>#N/A</v>
      </c>
      <c r="AN11" s="107">
        <v>-10000000</v>
      </c>
      <c r="AO11" s="50" t="s">
        <v>3656</v>
      </c>
      <c r="AP11" s="50" t="s">
        <v>3656</v>
      </c>
      <c r="AQ11" s="50" t="s">
        <v>3656</v>
      </c>
      <c r="AR11" s="50" t="s">
        <v>4293</v>
      </c>
      <c r="AS11" s="50" t="e">
        <v>#N/A</v>
      </c>
      <c r="AT11" s="107">
        <v>-11000000</v>
      </c>
      <c r="AU11" s="50" t="s">
        <v>4365</v>
      </c>
      <c r="AV11" s="50" t="s">
        <v>4366</v>
      </c>
      <c r="AW11" s="50" t="s">
        <v>3656</v>
      </c>
      <c r="AX11" s="104">
        <v>0</v>
      </c>
      <c r="AY11" s="50" t="s">
        <v>3770</v>
      </c>
      <c r="AZ11" s="50" t="s">
        <v>4367</v>
      </c>
      <c r="BA11" s="104">
        <v>45491</v>
      </c>
      <c r="BB11" s="50" t="s">
        <v>4370</v>
      </c>
    </row>
    <row r="12" spans="2:54">
      <c r="B12" s="106" t="s">
        <v>3612</v>
      </c>
      <c r="C12" s="50">
        <v>10</v>
      </c>
      <c r="D12" s="50" t="s">
        <v>4371</v>
      </c>
      <c r="E12" s="104">
        <v>45492</v>
      </c>
      <c r="F12" s="50">
        <v>6</v>
      </c>
      <c r="G12" s="50" t="s">
        <v>3647</v>
      </c>
      <c r="H12" s="50" t="s">
        <v>3647</v>
      </c>
      <c r="I12" s="50">
        <v>31</v>
      </c>
      <c r="J12" s="194">
        <v>6.8350096000050594E+29</v>
      </c>
      <c r="K12" s="50" t="s">
        <v>4363</v>
      </c>
      <c r="L12" s="50">
        <v>96</v>
      </c>
      <c r="M12" s="104" t="s">
        <v>4372</v>
      </c>
      <c r="N12" s="104">
        <v>31</v>
      </c>
      <c r="O12" s="107">
        <v>2.3950569509102E+29</v>
      </c>
      <c r="P12" s="202">
        <v>110541</v>
      </c>
      <c r="Q12" s="104">
        <v>100616</v>
      </c>
      <c r="R12" s="104">
        <v>978</v>
      </c>
      <c r="S12" s="166" t="s">
        <v>4373</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3895</v>
      </c>
      <c r="AL12" s="107" t="s">
        <v>3726</v>
      </c>
      <c r="AM12" s="104" t="s">
        <v>4374</v>
      </c>
      <c r="AN12" s="107">
        <v>2480712000</v>
      </c>
      <c r="AO12" s="107">
        <v>126000000</v>
      </c>
      <c r="AP12" s="107">
        <v>99999999</v>
      </c>
      <c r="AQ12" s="107">
        <v>13241605</v>
      </c>
      <c r="AR12" s="50" t="s">
        <v>3726</v>
      </c>
      <c r="AS12" s="107" t="s">
        <v>4374</v>
      </c>
      <c r="AT12" s="107">
        <v>2431200000</v>
      </c>
      <c r="AU12" s="107">
        <v>120000000</v>
      </c>
      <c r="AV12" s="107">
        <v>20722600</v>
      </c>
      <c r="AW12" s="107">
        <v>13241605</v>
      </c>
      <c r="AX12" s="104" t="s">
        <v>3886</v>
      </c>
      <c r="AY12" s="50" t="s">
        <v>4302</v>
      </c>
      <c r="AZ12" s="50" t="s">
        <v>3667</v>
      </c>
      <c r="BA12" s="104">
        <v>45492</v>
      </c>
      <c r="BB12" s="50" t="s">
        <v>4368</v>
      </c>
    </row>
    <row r="13" spans="2:54">
      <c r="B13" s="50" t="s">
        <v>3614</v>
      </c>
      <c r="C13" s="50">
        <v>11</v>
      </c>
      <c r="D13" s="50" t="s">
        <v>4375</v>
      </c>
      <c r="E13" s="104">
        <v>45492</v>
      </c>
      <c r="F13" s="50">
        <v>6</v>
      </c>
      <c r="G13" s="50" t="s">
        <v>3647</v>
      </c>
      <c r="H13" s="50" t="s">
        <v>3647</v>
      </c>
      <c r="I13" s="50">
        <v>31</v>
      </c>
      <c r="J13" s="194">
        <v>6.8350096000050594E+29</v>
      </c>
      <c r="K13" s="50"/>
      <c r="L13" s="50">
        <v>96</v>
      </c>
      <c r="M13" s="104" t="s">
        <v>4372</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3895</v>
      </c>
      <c r="AL13" s="107" t="s">
        <v>3726</v>
      </c>
      <c r="AM13" s="104" t="s">
        <v>4374</v>
      </c>
      <c r="AN13" s="107">
        <v>2480712000</v>
      </c>
      <c r="AO13" s="107">
        <v>126000000</v>
      </c>
      <c r="AP13" s="107">
        <v>99999999</v>
      </c>
      <c r="AQ13" s="107">
        <v>13241605</v>
      </c>
      <c r="AR13" s="50" t="s">
        <v>3726</v>
      </c>
      <c r="AS13" s="50" t="s">
        <v>4374</v>
      </c>
      <c r="AT13" s="107">
        <v>2431200000</v>
      </c>
      <c r="AU13" s="107">
        <v>120000000</v>
      </c>
      <c r="AV13" s="107">
        <v>20722600</v>
      </c>
      <c r="AW13" s="107">
        <v>13241605</v>
      </c>
      <c r="AX13" s="104" t="s">
        <v>4376</v>
      </c>
      <c r="AY13" s="50" t="s">
        <v>3770</v>
      </c>
      <c r="AZ13" s="50" t="s">
        <v>3667</v>
      </c>
      <c r="BA13" s="104">
        <v>45492</v>
      </c>
      <c r="BB13" s="50" t="s">
        <v>4377</v>
      </c>
    </row>
    <row r="14" spans="2:54">
      <c r="B14" s="50" t="s">
        <v>3616</v>
      </c>
      <c r="C14" s="50">
        <v>12</v>
      </c>
      <c r="D14" s="50" t="s">
        <v>4378</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3618</v>
      </c>
      <c r="C15" s="50">
        <v>13</v>
      </c>
      <c r="D15" s="50" t="s">
        <v>4379</v>
      </c>
      <c r="E15" s="104">
        <v>45492</v>
      </c>
      <c r="F15" s="50">
        <v>6</v>
      </c>
      <c r="G15" s="218">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50" t="s">
        <v>3647</v>
      </c>
      <c r="AA15" s="50">
        <v>0</v>
      </c>
      <c r="AB15" s="50" t="s">
        <v>3647</v>
      </c>
      <c r="AC15" s="50" t="s">
        <v>3647</v>
      </c>
      <c r="AD15" s="50">
        <v>0</v>
      </c>
      <c r="AE15" s="50" t="s">
        <v>3647</v>
      </c>
      <c r="AF15" s="50">
        <v>0</v>
      </c>
      <c r="AG15" s="50" t="s">
        <v>3647</v>
      </c>
      <c r="AH15" s="50">
        <v>0</v>
      </c>
      <c r="AI15" s="50" t="s">
        <v>3647</v>
      </c>
      <c r="AJ15" s="50" t="s">
        <v>3647</v>
      </c>
      <c r="AK15" s="50" t="s">
        <v>3647</v>
      </c>
      <c r="AL15" s="50" t="s">
        <v>3647</v>
      </c>
      <c r="AM15" s="50" t="s">
        <v>3647</v>
      </c>
      <c r="AN15" s="50" t="s">
        <v>3647</v>
      </c>
      <c r="AO15" s="50" t="s">
        <v>3647</v>
      </c>
      <c r="AP15" s="50" t="s">
        <v>3647</v>
      </c>
      <c r="AQ15" s="50" t="s">
        <v>3647</v>
      </c>
      <c r="AR15" s="50" t="s">
        <v>3647</v>
      </c>
      <c r="AS15" s="50" t="s">
        <v>3647</v>
      </c>
      <c r="AT15" s="50" t="s">
        <v>3647</v>
      </c>
      <c r="AU15" s="50" t="s">
        <v>3647</v>
      </c>
      <c r="AV15" s="50" t="s">
        <v>3647</v>
      </c>
      <c r="AW15" s="50" t="s">
        <v>3647</v>
      </c>
      <c r="AX15" s="50" t="s">
        <v>3647</v>
      </c>
      <c r="AY15" s="50" t="s">
        <v>3647</v>
      </c>
      <c r="AZ15" s="50" t="s">
        <v>3647</v>
      </c>
      <c r="BA15" s="50" t="s">
        <v>3647</v>
      </c>
      <c r="BB15" s="50" t="s">
        <v>3647</v>
      </c>
    </row>
    <row r="16" spans="2:54">
      <c r="B16" s="50" t="s">
        <v>3620</v>
      </c>
      <c r="C16" s="50">
        <v>14</v>
      </c>
      <c r="D16" s="50" t="s">
        <v>4380</v>
      </c>
      <c r="E16" s="104">
        <v>45492</v>
      </c>
      <c r="F16" s="50">
        <v>6</v>
      </c>
      <c r="G16" s="218">
        <v>1</v>
      </c>
      <c r="H16" s="50">
        <v>0</v>
      </c>
      <c r="I16" s="50" t="s">
        <v>3647</v>
      </c>
      <c r="J16" s="50" t="s">
        <v>3647</v>
      </c>
      <c r="K16" s="50">
        <v>0</v>
      </c>
      <c r="L16" s="50">
        <v>0</v>
      </c>
      <c r="M16" s="50">
        <v>0</v>
      </c>
      <c r="N16" s="50" t="s">
        <v>3647</v>
      </c>
      <c r="O16" s="50" t="s">
        <v>3647</v>
      </c>
      <c r="P16" s="50" t="s">
        <v>3647</v>
      </c>
      <c r="Q16" s="50" t="s">
        <v>3647</v>
      </c>
      <c r="R16" s="50">
        <v>0</v>
      </c>
      <c r="S16" s="50"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v>0</v>
      </c>
      <c r="AN16" s="50" t="s">
        <v>3647</v>
      </c>
      <c r="AO16" s="50" t="s">
        <v>3647</v>
      </c>
      <c r="AP16" s="50" t="s">
        <v>3647</v>
      </c>
      <c r="AQ16" s="50" t="s">
        <v>3647</v>
      </c>
      <c r="AR16" s="50">
        <v>0</v>
      </c>
      <c r="AS16" s="50">
        <v>0</v>
      </c>
      <c r="AT16" s="50" t="s">
        <v>3647</v>
      </c>
      <c r="AU16" s="50" t="s">
        <v>3647</v>
      </c>
      <c r="AV16" s="50" t="s">
        <v>3647</v>
      </c>
      <c r="AW16" s="50" t="s">
        <v>3647</v>
      </c>
      <c r="AX16" s="50">
        <v>0</v>
      </c>
      <c r="AY16" s="50">
        <v>0</v>
      </c>
      <c r="AZ16" s="50">
        <v>0</v>
      </c>
      <c r="BA16" s="50">
        <v>0</v>
      </c>
      <c r="BB16" s="50" t="s">
        <v>3647</v>
      </c>
    </row>
    <row r="17" spans="2:54">
      <c r="B17" s="50" t="s">
        <v>3622</v>
      </c>
      <c r="C17" s="50">
        <v>15</v>
      </c>
      <c r="D17" s="50" t="s">
        <v>4381</v>
      </c>
      <c r="E17" s="104">
        <v>45492</v>
      </c>
      <c r="F17" s="50">
        <v>6</v>
      </c>
      <c r="G17" s="218">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row>
    <row r="18" spans="2:54">
      <c r="B18" s="50" t="s">
        <v>3624</v>
      </c>
      <c r="C18" s="50">
        <v>16</v>
      </c>
      <c r="D18" s="50" t="s">
        <v>4381</v>
      </c>
      <c r="E18" s="104">
        <v>45492</v>
      </c>
      <c r="F18" s="50">
        <v>6</v>
      </c>
      <c r="G18" s="218">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row>
    <row r="19" spans="2:54">
      <c r="B19" s="50" t="s">
        <v>3626</v>
      </c>
      <c r="C19" s="50">
        <v>17</v>
      </c>
      <c r="D19" s="50" t="s">
        <v>4382</v>
      </c>
      <c r="E19" s="104">
        <v>45492</v>
      </c>
      <c r="F19" s="50">
        <v>6</v>
      </c>
      <c r="G19" s="202">
        <v>0.72939600000000004</v>
      </c>
      <c r="H19" s="194">
        <v>269168</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row>
    <row r="20" spans="2:54">
      <c r="B20" s="50" t="s">
        <v>3628</v>
      </c>
      <c r="C20" s="106">
        <v>18</v>
      </c>
      <c r="D20" s="50" t="s">
        <v>4382</v>
      </c>
      <c r="E20" s="104">
        <v>45492</v>
      </c>
      <c r="F20" s="50">
        <v>6</v>
      </c>
      <c r="G20" s="202">
        <v>0.99998100000000001</v>
      </c>
      <c r="H20" s="107">
        <v>27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row>
    <row r="21" spans="2:54">
      <c r="B21" s="222" t="s">
        <v>4316</v>
      </c>
      <c r="C21" s="50">
        <v>19</v>
      </c>
      <c r="D21" s="50" t="s">
        <v>4382</v>
      </c>
      <c r="E21" s="104">
        <v>45492</v>
      </c>
      <c r="F21" s="50">
        <v>6</v>
      </c>
      <c r="G21" s="218" cm="1">
        <f t="array" aca="1" ref="G21" ca="1">SUMPRODUCT(--(ISNUMBER((SEARCH(I27:BB27,I21:BB21)))))/COUNTA(I21:BB21)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4065</v>
      </c>
      <c r="U21" s="50" t="s">
        <v>3682</v>
      </c>
      <c r="V21" s="50" t="s">
        <v>3682</v>
      </c>
      <c r="W21" s="50" t="s">
        <v>3682</v>
      </c>
      <c r="X21" s="50" t="s">
        <v>3682</v>
      </c>
      <c r="Y21" s="50" t="s">
        <v>3682</v>
      </c>
      <c r="Z21" s="50" t="s">
        <v>3682</v>
      </c>
      <c r="AA21" s="50" t="s">
        <v>3681</v>
      </c>
      <c r="AB21" s="50" t="s">
        <v>3682</v>
      </c>
      <c r="AC21" s="50" t="s">
        <v>3682</v>
      </c>
      <c r="AD21" s="50" t="s">
        <v>3681</v>
      </c>
      <c r="AE21" s="50" t="s">
        <v>3682</v>
      </c>
      <c r="AF21" s="50" t="s">
        <v>3681</v>
      </c>
      <c r="AG21" s="50" t="s">
        <v>3682</v>
      </c>
      <c r="AH21" s="50" t="s">
        <v>3681</v>
      </c>
      <c r="AI21" s="50" t="s">
        <v>3682</v>
      </c>
      <c r="AJ21" s="50" t="s">
        <v>4065</v>
      </c>
      <c r="AK21" s="50" t="s">
        <v>3681</v>
      </c>
      <c r="AL21" s="50" t="s">
        <v>3681</v>
      </c>
      <c r="AM21" s="50" t="s">
        <v>3681</v>
      </c>
      <c r="AN21" s="50" t="s">
        <v>3682</v>
      </c>
      <c r="AO21" s="50" t="s">
        <v>3682</v>
      </c>
      <c r="AP21" s="50" t="s">
        <v>3682</v>
      </c>
      <c r="AQ21" s="50" t="s">
        <v>3682</v>
      </c>
      <c r="AR21" s="50" t="s">
        <v>3681</v>
      </c>
      <c r="AS21" s="50" t="s">
        <v>3681</v>
      </c>
      <c r="AT21" s="50" t="s">
        <v>3682</v>
      </c>
      <c r="AU21" s="50" t="s">
        <v>3682</v>
      </c>
      <c r="AV21" s="50" t="s">
        <v>3682</v>
      </c>
      <c r="AW21" s="50" t="s">
        <v>3682</v>
      </c>
      <c r="AX21" s="50" t="s">
        <v>3681</v>
      </c>
      <c r="AY21" s="50" t="s">
        <v>3681</v>
      </c>
      <c r="AZ21" s="50" t="s">
        <v>3681</v>
      </c>
      <c r="BA21" s="50" t="s">
        <v>3681</v>
      </c>
      <c r="BB21" s="50" t="s">
        <v>3683</v>
      </c>
    </row>
    <row r="22" spans="2:54">
      <c r="B22" s="50" t="s">
        <v>3633</v>
      </c>
      <c r="C22" s="50">
        <v>20</v>
      </c>
      <c r="D22" s="50" t="s">
        <v>4382</v>
      </c>
      <c r="E22" s="104">
        <v>45492</v>
      </c>
      <c r="F22" s="50">
        <v>6</v>
      </c>
      <c r="G22" s="202" cm="1">
        <f t="array" ref="G22">SUM(IF(I2:BB2 = I26:BB26, 1, 0))/ COUNTA(I2:BB2)</f>
        <v>0.95652173913043481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c r="BB22" s="50" t="s">
        <v>3647</v>
      </c>
    </row>
    <row r="23" spans="2:54">
      <c r="B23" s="50" t="s">
        <v>3636</v>
      </c>
      <c r="C23" s="50">
        <v>21</v>
      </c>
      <c r="D23" s="50" t="s">
        <v>4382</v>
      </c>
      <c r="E23" s="104">
        <v>45492</v>
      </c>
      <c r="F23" s="50">
        <v>6</v>
      </c>
      <c r="G23" s="202" cm="1">
        <f t="array" aca="1" ref="G23" ca="1">SUM(IF(IF(G3:G22="null",1,G3:G22)=1,1,0))/COUNT(IF(G3:G22="null",1,1))</f>
        <v>0.8</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c r="BB23" s="50" t="s">
        <v>3647</v>
      </c>
    </row>
    <row r="24" spans="2:54">
      <c r="B24" s="50"/>
      <c r="C24" s="50"/>
      <c r="D24" s="50"/>
      <c r="E24" s="104"/>
      <c r="F24" s="50"/>
      <c r="G24" s="50"/>
      <c r="H24" s="50"/>
      <c r="I24" s="50"/>
      <c r="J24" s="50"/>
      <c r="K24" s="50"/>
      <c r="L24" s="50"/>
      <c r="M24" s="50"/>
      <c r="N24" s="50"/>
      <c r="O24" s="50"/>
      <c r="P24" s="50"/>
      <c r="Q24" s="50"/>
      <c r="R24" s="50"/>
      <c r="S24" s="50"/>
    </row>
    <row r="25" spans="2:54">
      <c r="B25" s="139" t="s">
        <v>3753</v>
      </c>
    </row>
    <row r="26" spans="2:54">
      <c r="B26" s="137" t="s">
        <v>3639</v>
      </c>
      <c r="C26" s="138" t="s">
        <v>3640</v>
      </c>
      <c r="D26" s="138" t="s">
        <v>3641</v>
      </c>
      <c r="E26" s="138" t="s">
        <v>3642</v>
      </c>
      <c r="F26" s="138" t="s">
        <v>3643</v>
      </c>
      <c r="G26" s="138" t="s">
        <v>3644</v>
      </c>
      <c r="H26" s="138" t="s">
        <v>3645</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3684</v>
      </c>
      <c r="C27" s="119">
        <v>21</v>
      </c>
      <c r="D27" s="113" t="s">
        <v>3685</v>
      </c>
      <c r="E27" s="112" t="s">
        <v>3686</v>
      </c>
      <c r="F27" s="112" t="s">
        <v>372</v>
      </c>
      <c r="G27" s="112" t="s">
        <v>372</v>
      </c>
      <c r="H27" s="112" t="s">
        <v>372</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3687</v>
      </c>
      <c r="C28" s="119">
        <v>7</v>
      </c>
      <c r="D28" s="113" t="s">
        <v>3685</v>
      </c>
      <c r="E28" s="112" t="s">
        <v>3686</v>
      </c>
      <c r="F28" s="114" t="s">
        <v>372</v>
      </c>
      <c r="G28" s="114" t="s">
        <v>372</v>
      </c>
      <c r="H28" s="114" t="s">
        <v>372</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3688</v>
      </c>
    </row>
    <row r="31" spans="2:54">
      <c r="B31" s="143" t="s">
        <v>3689</v>
      </c>
      <c r="C31" s="143" t="s">
        <v>3690</v>
      </c>
      <c r="D31" s="144" t="s">
        <v>3691</v>
      </c>
      <c r="E31" s="143" t="s">
        <v>3692</v>
      </c>
      <c r="F31" s="143" t="s">
        <v>3693</v>
      </c>
      <c r="H31" t="s">
        <v>4383</v>
      </c>
    </row>
    <row r="32" spans="2:54" ht="43.5">
      <c r="B32" s="146" t="s">
        <v>3694</v>
      </c>
      <c r="C32" s="147" t="s">
        <v>188</v>
      </c>
      <c r="D32" s="246" t="s">
        <v>4384</v>
      </c>
      <c r="E32" s="247" t="s">
        <v>4385</v>
      </c>
      <c r="F32" s="198" t="s">
        <v>3703</v>
      </c>
      <c r="H32" s="261" t="s">
        <v>4386</v>
      </c>
      <c r="J32" s="49"/>
      <c r="L32" s="49"/>
    </row>
    <row r="33" spans="2:12" ht="29.1">
      <c r="B33" s="146" t="s">
        <v>3694</v>
      </c>
      <c r="C33" s="124" t="s">
        <v>2334</v>
      </c>
      <c r="D33" s="248" t="s">
        <v>4387</v>
      </c>
      <c r="E33" s="155" t="s">
        <v>4388</v>
      </c>
      <c r="F33" s="145" t="s">
        <v>3700</v>
      </c>
      <c r="H33" s="245"/>
      <c r="J33" s="49"/>
      <c r="L33" s="49"/>
    </row>
    <row r="34" spans="2:12" ht="101.45">
      <c r="B34" s="146" t="s">
        <v>3694</v>
      </c>
      <c r="C34" s="124" t="s">
        <v>4389</v>
      </c>
      <c r="D34" s="248" t="s">
        <v>4390</v>
      </c>
      <c r="E34" s="155" t="s">
        <v>4391</v>
      </c>
      <c r="F34" s="198" t="s">
        <v>3867</v>
      </c>
    </row>
    <row r="35" spans="2:12" ht="43.5">
      <c r="B35" s="146" t="s">
        <v>3694</v>
      </c>
      <c r="C35" s="124" t="s">
        <v>4392</v>
      </c>
      <c r="D35" s="248" t="s">
        <v>4393</v>
      </c>
      <c r="E35" s="155" t="s">
        <v>4134</v>
      </c>
      <c r="F35" s="145" t="s">
        <v>3703</v>
      </c>
    </row>
    <row r="36" spans="2:12" ht="116.1">
      <c r="B36" s="262" t="s">
        <v>3694</v>
      </c>
      <c r="C36" s="183" t="s">
        <v>4394</v>
      </c>
      <c r="D36" s="263" t="s">
        <v>4395</v>
      </c>
      <c r="E36" s="264" t="s">
        <v>4396</v>
      </c>
      <c r="F36" s="186" t="s">
        <v>4397</v>
      </c>
    </row>
    <row r="37" spans="2:12" ht="43.5">
      <c r="B37" s="146" t="s">
        <v>3694</v>
      </c>
      <c r="C37" s="183" t="s">
        <v>4356</v>
      </c>
      <c r="D37" s="263" t="s">
        <v>4398</v>
      </c>
      <c r="E37" s="264" t="s">
        <v>4385</v>
      </c>
      <c r="F37" s="186" t="s">
        <v>3703</v>
      </c>
    </row>
    <row r="38" spans="2:12" ht="101.45">
      <c r="B38" s="146" t="s">
        <v>3694</v>
      </c>
      <c r="C38" s="124" t="s">
        <v>1466</v>
      </c>
      <c r="D38" s="248" t="s">
        <v>4399</v>
      </c>
      <c r="E38" s="155" t="s">
        <v>4400</v>
      </c>
      <c r="F38" s="145" t="s">
        <v>4401</v>
      </c>
    </row>
    <row r="39" spans="2:12" ht="101.45">
      <c r="B39" s="146" t="s">
        <v>3694</v>
      </c>
      <c r="C39" s="124" t="s">
        <v>1475</v>
      </c>
      <c r="D39" s="248" t="s">
        <v>4399</v>
      </c>
      <c r="E39" s="155" t="s">
        <v>4400</v>
      </c>
      <c r="F39" s="145" t="s">
        <v>4401</v>
      </c>
    </row>
    <row r="40" spans="2:12" ht="87">
      <c r="B40" s="146" t="s">
        <v>3694</v>
      </c>
      <c r="C40" s="124" t="s">
        <v>1481</v>
      </c>
      <c r="D40" s="248" t="s">
        <v>4402</v>
      </c>
      <c r="E40" s="155" t="s">
        <v>4403</v>
      </c>
      <c r="F40" s="145" t="s">
        <v>3697</v>
      </c>
    </row>
    <row r="41" spans="2:12" ht="144.94999999999999">
      <c r="B41" s="146" t="s">
        <v>3694</v>
      </c>
      <c r="C41" s="126" t="s">
        <v>1489</v>
      </c>
      <c r="D41" s="249" t="s">
        <v>4404</v>
      </c>
      <c r="E41" s="155" t="s">
        <v>4405</v>
      </c>
      <c r="F41" s="145" t="s">
        <v>4139</v>
      </c>
      <c r="H41" s="50"/>
    </row>
    <row r="42" spans="2:12" ht="130.5">
      <c r="B42" s="146" t="s">
        <v>3694</v>
      </c>
      <c r="C42" s="124" t="s">
        <v>429</v>
      </c>
      <c r="D42" s="259" t="s">
        <v>4406</v>
      </c>
      <c r="E42" s="106" t="s">
        <v>4407</v>
      </c>
      <c r="F42" s="198" t="s">
        <v>4139</v>
      </c>
    </row>
    <row r="43" spans="2:12" ht="246.6">
      <c r="B43" s="146" t="s">
        <v>3694</v>
      </c>
      <c r="C43" s="124" t="s">
        <v>439</v>
      </c>
      <c r="D43" s="259" t="s">
        <v>4408</v>
      </c>
      <c r="E43" s="155" t="s">
        <v>4409</v>
      </c>
      <c r="F43" s="198" t="s">
        <v>4070</v>
      </c>
    </row>
    <row r="44" spans="2:12" ht="261">
      <c r="B44" s="146" t="s">
        <v>3694</v>
      </c>
      <c r="C44" s="124" t="s">
        <v>1509</v>
      </c>
      <c r="D44" s="259" t="s">
        <v>4410</v>
      </c>
      <c r="E44" s="265" t="s">
        <v>4411</v>
      </c>
      <c r="F44" s="198" t="s">
        <v>4412</v>
      </c>
    </row>
    <row r="45" spans="2:12" ht="87">
      <c r="B45" s="146" t="s">
        <v>3694</v>
      </c>
      <c r="C45" s="124" t="s">
        <v>1998</v>
      </c>
      <c r="D45" s="249" t="s">
        <v>4413</v>
      </c>
      <c r="E45" s="155" t="s">
        <v>4414</v>
      </c>
      <c r="F45" s="198" t="s">
        <v>4415</v>
      </c>
      <c r="I45" s="258"/>
    </row>
    <row r="46" spans="2:12" ht="87">
      <c r="B46" s="146" t="s">
        <v>3694</v>
      </c>
      <c r="C46" s="147" t="s">
        <v>2008</v>
      </c>
      <c r="D46" s="250" t="s">
        <v>4416</v>
      </c>
      <c r="E46" s="156" t="s">
        <v>4417</v>
      </c>
      <c r="F46" s="198" t="s">
        <v>3864</v>
      </c>
      <c r="I46" s="258"/>
    </row>
    <row r="47" spans="2:12" ht="72.599999999999994">
      <c r="B47" s="146" t="s">
        <v>3694</v>
      </c>
      <c r="C47" s="124" t="s">
        <v>1523</v>
      </c>
      <c r="D47" s="250" t="s">
        <v>4418</v>
      </c>
      <c r="E47" s="155" t="s">
        <v>4419</v>
      </c>
      <c r="F47" s="198" t="s">
        <v>4415</v>
      </c>
      <c r="I47" s="50"/>
      <c r="J47" s="50"/>
      <c r="K47" s="50"/>
    </row>
    <row r="48" spans="2:12" ht="43.5">
      <c r="B48" s="146" t="s">
        <v>3694</v>
      </c>
      <c r="C48" s="124" t="s">
        <v>2709</v>
      </c>
      <c r="D48" s="250" t="s">
        <v>4420</v>
      </c>
      <c r="E48" s="156" t="s">
        <v>4421</v>
      </c>
      <c r="F48" s="198" t="s">
        <v>3703</v>
      </c>
      <c r="I48" s="258"/>
    </row>
    <row r="49" spans="2:11" ht="130.5">
      <c r="B49" s="146" t="s">
        <v>3694</v>
      </c>
      <c r="C49" s="124" t="s">
        <v>766</v>
      </c>
      <c r="D49" s="249" t="s">
        <v>4422</v>
      </c>
      <c r="E49" s="155" t="s">
        <v>4423</v>
      </c>
      <c r="F49" s="198" t="s">
        <v>4424</v>
      </c>
      <c r="I49" s="258"/>
    </row>
    <row r="50" spans="2:11" ht="87">
      <c r="B50" s="146" t="s">
        <v>3694</v>
      </c>
      <c r="C50" s="124" t="s">
        <v>776</v>
      </c>
      <c r="D50" s="250" t="s">
        <v>4416</v>
      </c>
      <c r="E50" s="156" t="s">
        <v>4425</v>
      </c>
      <c r="F50" s="198" t="s">
        <v>3864</v>
      </c>
    </row>
    <row r="51" spans="2:11" ht="87">
      <c r="B51" s="146" t="s">
        <v>3694</v>
      </c>
      <c r="C51" s="124" t="s">
        <v>785</v>
      </c>
      <c r="D51" s="250" t="s">
        <v>4426</v>
      </c>
      <c r="E51" s="155" t="s">
        <v>4427</v>
      </c>
      <c r="F51" s="198" t="s">
        <v>3864</v>
      </c>
      <c r="I51" s="50"/>
      <c r="J51" s="50"/>
    </row>
    <row r="52" spans="2:11" ht="43.5">
      <c r="B52" s="146" t="s">
        <v>3694</v>
      </c>
      <c r="C52" s="147" t="s">
        <v>2725</v>
      </c>
      <c r="D52" s="250" t="s">
        <v>4428</v>
      </c>
      <c r="E52" s="156" t="s">
        <v>4429</v>
      </c>
      <c r="F52" s="198" t="s">
        <v>3703</v>
      </c>
      <c r="K52" s="49"/>
    </row>
    <row r="53" spans="2:11" ht="29.1">
      <c r="B53" s="146" t="s">
        <v>3694</v>
      </c>
      <c r="C53" s="147" t="s">
        <v>305</v>
      </c>
      <c r="D53" s="250" t="s">
        <v>4430</v>
      </c>
      <c r="E53" s="156" t="s">
        <v>4431</v>
      </c>
      <c r="F53" s="198" t="s">
        <v>3703</v>
      </c>
    </row>
    <row r="54" spans="2:11" ht="57.95">
      <c r="B54" s="182" t="s">
        <v>3694</v>
      </c>
      <c r="C54" s="183" t="s">
        <v>294</v>
      </c>
      <c r="D54" s="266" t="s">
        <v>4432</v>
      </c>
      <c r="E54" s="264" t="s">
        <v>4433</v>
      </c>
      <c r="F54" s="186" t="s">
        <v>3703</v>
      </c>
    </row>
    <row r="55" spans="2:11" ht="304.5">
      <c r="B55" s="262" t="s">
        <v>3704</v>
      </c>
      <c r="C55" s="267" t="s">
        <v>4434</v>
      </c>
      <c r="D55" s="268" t="s">
        <v>4435</v>
      </c>
      <c r="E55" s="269" t="s">
        <v>4436</v>
      </c>
      <c r="F55" s="270" t="s">
        <v>4437</v>
      </c>
    </row>
    <row r="56" spans="2:11" ht="116.1">
      <c r="B56" s="262" t="s">
        <v>3762</v>
      </c>
      <c r="C56" s="271" t="s">
        <v>4438</v>
      </c>
      <c r="D56" s="268" t="s">
        <v>4439</v>
      </c>
      <c r="E56" s="269" t="s">
        <v>4440</v>
      </c>
      <c r="F56" s="270" t="s">
        <v>3697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2912</v>
      </c>
      <c r="T2" s="85" t="s">
        <v>1626</v>
      </c>
      <c r="U2" s="85" t="s">
        <v>2923</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c r="AK2" s="85"/>
      <c r="AL2" s="85"/>
      <c r="AM2" s="85"/>
      <c r="AN2" s="85"/>
    </row>
    <row r="3" spans="2:40">
      <c r="B3" s="50" t="s">
        <v>3593</v>
      </c>
      <c r="C3" s="50">
        <v>1</v>
      </c>
      <c r="D3" s="50" t="s">
        <v>4441</v>
      </c>
      <c r="E3" s="104">
        <v>45495</v>
      </c>
      <c r="F3" s="50">
        <v>3</v>
      </c>
      <c r="G3" s="107">
        <v>1</v>
      </c>
      <c r="H3" s="50">
        <v>269078</v>
      </c>
      <c r="I3" s="50" t="s">
        <v>3647</v>
      </c>
      <c r="J3" s="50" t="s">
        <v>3647</v>
      </c>
      <c r="K3" s="50" t="s">
        <v>3647</v>
      </c>
      <c r="L3" s="50" t="s">
        <v>3647</v>
      </c>
      <c r="M3" s="50" t="s">
        <v>3647</v>
      </c>
      <c r="N3" s="50" t="s">
        <v>3647</v>
      </c>
      <c r="O3" s="50" t="s">
        <v>3647</v>
      </c>
      <c r="P3" s="50" t="s">
        <v>3647</v>
      </c>
      <c r="Q3" s="50" t="s">
        <v>3647</v>
      </c>
      <c r="R3" s="50" t="s">
        <v>3647</v>
      </c>
      <c r="S3" s="50" t="s">
        <v>3647</v>
      </c>
      <c r="T3" s="50" t="s">
        <v>3647</v>
      </c>
      <c r="U3" s="255"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c r="B4" s="50" t="s">
        <v>3595</v>
      </c>
      <c r="C4" s="50">
        <v>2</v>
      </c>
      <c r="D4" s="50" t="s">
        <v>4442</v>
      </c>
      <c r="E4" s="104">
        <v>45495</v>
      </c>
      <c r="F4" s="50">
        <v>3</v>
      </c>
      <c r="G4" s="50">
        <v>0.99996300000000005</v>
      </c>
      <c r="H4" s="107">
        <v>10</v>
      </c>
      <c r="I4" s="50" t="s">
        <v>3647</v>
      </c>
      <c r="J4" s="50" t="s">
        <v>3647</v>
      </c>
      <c r="K4" s="50" t="s">
        <v>3647</v>
      </c>
      <c r="L4" s="50" t="s">
        <v>3647</v>
      </c>
      <c r="M4" s="50" t="s">
        <v>3647</v>
      </c>
      <c r="N4" s="50" t="s">
        <v>3647</v>
      </c>
      <c r="O4" s="50" t="s">
        <v>3647</v>
      </c>
      <c r="P4" s="50" t="s">
        <v>3647</v>
      </c>
      <c r="Q4" s="50" t="s">
        <v>3647</v>
      </c>
      <c r="R4" s="50" t="s">
        <v>3647</v>
      </c>
      <c r="S4" s="50" t="s">
        <v>3647</v>
      </c>
      <c r="T4" s="50" t="s">
        <v>3647</v>
      </c>
      <c r="U4" s="255"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c r="B5" s="50" t="s">
        <v>3597</v>
      </c>
      <c r="C5" s="50">
        <v>3</v>
      </c>
      <c r="D5" s="50" t="s">
        <v>4443</v>
      </c>
      <c r="E5" s="104">
        <v>45495</v>
      </c>
      <c r="F5" s="50">
        <v>3</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255"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c r="B6" s="106" t="s">
        <v>3599</v>
      </c>
      <c r="C6" s="50">
        <v>4</v>
      </c>
      <c r="D6" s="50" t="s">
        <v>3650</v>
      </c>
      <c r="E6" s="104" t="s">
        <v>3647</v>
      </c>
      <c r="F6" s="50">
        <v>3</v>
      </c>
      <c r="G6" s="50"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255"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c r="B7" s="50" t="s">
        <v>3601</v>
      </c>
      <c r="C7" s="50">
        <v>5</v>
      </c>
      <c r="D7" s="50" t="s">
        <v>3650</v>
      </c>
      <c r="E7" s="104" t="s">
        <v>3647</v>
      </c>
      <c r="F7" s="50">
        <v>3</v>
      </c>
      <c r="G7" s="50"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255"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c r="B8" s="106" t="s">
        <v>3602</v>
      </c>
      <c r="C8" s="50">
        <v>6</v>
      </c>
      <c r="D8" s="50" t="s">
        <v>4444</v>
      </c>
      <c r="E8" s="104">
        <v>45495</v>
      </c>
      <c r="F8" s="50">
        <v>3</v>
      </c>
      <c r="G8" s="218" cm="1">
        <f t="array" ref="G8">SUMPRODUCT(--(I8:AJ8&gt;0))/COUNTA(I8:AJ8)</f>
        <v>1</v>
      </c>
      <c r="H8" s="50" t="s">
        <v>3656</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3770</v>
      </c>
      <c r="AH8" s="50">
        <v>2</v>
      </c>
      <c r="AI8" s="50">
        <v>10</v>
      </c>
      <c r="AJ8" s="50">
        <v>22</v>
      </c>
      <c r="AK8" s="50"/>
      <c r="AL8" s="50"/>
      <c r="AM8" s="50"/>
      <c r="AN8" s="50"/>
    </row>
    <row r="9" spans="2:40">
      <c r="B9" s="50" t="s">
        <v>3605</v>
      </c>
      <c r="C9" s="50">
        <v>7</v>
      </c>
      <c r="D9" s="50" t="s">
        <v>4445</v>
      </c>
      <c r="E9" s="104">
        <v>45495</v>
      </c>
      <c r="F9" s="50">
        <v>3</v>
      </c>
      <c r="G9" s="218" cm="1">
        <f t="array" aca="1" ref="G9" ca="1">SUMPRODUCT(--(I9:AJ9 &lt;= I28:AJ28))/COUNTA(I28:AJ28)</f>
        <v>0.6071428571428571</v>
      </c>
      <c r="H9" s="50" t="s">
        <v>3656</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3770</v>
      </c>
      <c r="AH9" s="50">
        <v>2</v>
      </c>
      <c r="AI9" s="50">
        <v>10</v>
      </c>
      <c r="AJ9" s="50">
        <v>22</v>
      </c>
      <c r="AK9" s="50"/>
      <c r="AL9" s="50"/>
      <c r="AM9" s="50"/>
      <c r="AN9" s="50"/>
    </row>
    <row r="10" spans="2:40">
      <c r="B10" s="50" t="s">
        <v>3608</v>
      </c>
      <c r="C10" s="50">
        <v>8</v>
      </c>
      <c r="D10" s="50" t="s">
        <v>4446</v>
      </c>
      <c r="E10" s="104">
        <v>45495</v>
      </c>
      <c r="F10" s="50">
        <v>3</v>
      </c>
      <c r="G10" s="50" t="s">
        <v>3647</v>
      </c>
      <c r="H10" s="50" t="s">
        <v>3656</v>
      </c>
      <c r="I10" s="50">
        <v>31</v>
      </c>
      <c r="J10" s="50">
        <v>2.4845061000001999E+22</v>
      </c>
      <c r="K10" s="50" t="s">
        <v>4447</v>
      </c>
      <c r="L10" s="50">
        <v>61</v>
      </c>
      <c r="M10" s="50">
        <v>0</v>
      </c>
      <c r="N10" s="50">
        <v>31</v>
      </c>
      <c r="O10" s="50">
        <v>2.1208001000000002E+22</v>
      </c>
      <c r="P10" s="104">
        <v>26384</v>
      </c>
      <c r="Q10" s="104">
        <v>40121</v>
      </c>
      <c r="R10" s="107">
        <v>36</v>
      </c>
      <c r="S10" s="107" t="s">
        <v>3656</v>
      </c>
      <c r="T10" s="107" t="s">
        <v>3656</v>
      </c>
      <c r="U10" s="256" t="s">
        <v>2923</v>
      </c>
      <c r="V10" s="256" t="s">
        <v>2182</v>
      </c>
      <c r="W10" s="255" t="s">
        <v>2186</v>
      </c>
      <c r="X10" s="256" t="s">
        <v>2189</v>
      </c>
      <c r="Y10" s="256" t="s">
        <v>2193</v>
      </c>
      <c r="Z10" s="255" t="s">
        <v>2196</v>
      </c>
      <c r="AA10" s="255" t="s">
        <v>2200</v>
      </c>
      <c r="AB10" s="255" t="s">
        <v>2204</v>
      </c>
      <c r="AC10" s="255" t="s">
        <v>2207</v>
      </c>
      <c r="AD10" s="255" t="s">
        <v>2211</v>
      </c>
      <c r="AE10" s="255" t="s">
        <v>2214</v>
      </c>
      <c r="AF10" s="50" t="s">
        <v>3657</v>
      </c>
      <c r="AG10" s="50" t="s">
        <v>3770</v>
      </c>
      <c r="AH10" s="50" t="s">
        <v>4448</v>
      </c>
      <c r="AI10" s="104">
        <v>45495</v>
      </c>
      <c r="AJ10" s="50" t="s">
        <v>4449</v>
      </c>
      <c r="AK10" s="50"/>
      <c r="AL10" s="50"/>
      <c r="AM10" s="104"/>
      <c r="AN10" s="104"/>
    </row>
    <row r="11" spans="2:40">
      <c r="B11" s="50" t="s">
        <v>3610</v>
      </c>
      <c r="C11" s="50">
        <v>9</v>
      </c>
      <c r="D11" s="50" t="s">
        <v>4450</v>
      </c>
      <c r="E11" s="104">
        <v>45495</v>
      </c>
      <c r="F11" s="50">
        <v>3</v>
      </c>
      <c r="G11" s="50" t="s">
        <v>3647</v>
      </c>
      <c r="H11" s="50" t="s">
        <v>3656</v>
      </c>
      <c r="I11" s="50">
        <v>31</v>
      </c>
      <c r="J11" s="50">
        <v>2.4845061000001999E+22</v>
      </c>
      <c r="K11" s="50"/>
      <c r="L11" s="50">
        <v>61</v>
      </c>
      <c r="M11" s="50">
        <v>0</v>
      </c>
      <c r="N11" s="104"/>
      <c r="O11" s="50">
        <v>2.1208001000000002E+22</v>
      </c>
      <c r="P11" s="104">
        <v>26384</v>
      </c>
      <c r="Q11" s="104">
        <v>40121</v>
      </c>
      <c r="R11" s="50">
        <v>36</v>
      </c>
      <c r="S11" s="50" t="s">
        <v>3732</v>
      </c>
      <c r="T11" s="50" t="s">
        <v>3732</v>
      </c>
      <c r="U11" s="255" t="s">
        <v>2923</v>
      </c>
      <c r="V11" s="255" t="s">
        <v>2182</v>
      </c>
      <c r="W11" s="255" t="s">
        <v>2186</v>
      </c>
      <c r="X11" s="256" t="s">
        <v>2189</v>
      </c>
      <c r="Y11" s="256" t="s">
        <v>2193</v>
      </c>
      <c r="Z11" s="255" t="s">
        <v>2196</v>
      </c>
      <c r="AA11" s="255" t="s">
        <v>2200</v>
      </c>
      <c r="AB11" s="255" t="s">
        <v>2204</v>
      </c>
      <c r="AC11" s="255" t="s">
        <v>2207</v>
      </c>
      <c r="AD11" s="255" t="s">
        <v>2211</v>
      </c>
      <c r="AE11" s="255" t="s">
        <v>2214</v>
      </c>
      <c r="AF11" s="50" t="s">
        <v>3672</v>
      </c>
      <c r="AG11" s="50" t="s">
        <v>3770</v>
      </c>
      <c r="AH11" s="50" t="s">
        <v>4448</v>
      </c>
      <c r="AI11" s="104">
        <v>45495</v>
      </c>
      <c r="AJ11" s="50" t="s">
        <v>4451</v>
      </c>
      <c r="AK11" s="50"/>
      <c r="AL11" s="50"/>
      <c r="AM11" s="104"/>
      <c r="AN11" s="104"/>
    </row>
    <row r="12" spans="2:40">
      <c r="B12" s="106" t="s">
        <v>3612</v>
      </c>
      <c r="C12" s="50">
        <v>10</v>
      </c>
      <c r="D12" s="50" t="s">
        <v>4452</v>
      </c>
      <c r="E12" s="104">
        <v>45495</v>
      </c>
      <c r="F12" s="50">
        <v>3</v>
      </c>
      <c r="G12" s="50" t="s">
        <v>3647</v>
      </c>
      <c r="H12" s="50" t="s">
        <v>3656</v>
      </c>
      <c r="I12" s="50">
        <v>31</v>
      </c>
      <c r="J12" s="50">
        <v>5.4060000086906101E+29</v>
      </c>
      <c r="K12" s="50" t="s">
        <v>4447</v>
      </c>
      <c r="L12" s="50">
        <v>269</v>
      </c>
      <c r="M12" s="50" t="s">
        <v>4453</v>
      </c>
      <c r="N12" s="50">
        <v>31</v>
      </c>
      <c r="O12" s="50">
        <v>2.39700506824024E+29</v>
      </c>
      <c r="P12" s="104">
        <v>45495</v>
      </c>
      <c r="Q12" s="104">
        <v>50908</v>
      </c>
      <c r="R12" s="50">
        <v>978</v>
      </c>
      <c r="S12" s="202">
        <v>99995000000</v>
      </c>
      <c r="T12" s="107">
        <v>120000000000000</v>
      </c>
      <c r="U12" s="256" t="s">
        <v>2923</v>
      </c>
      <c r="V12" s="256" t="s">
        <v>2182</v>
      </c>
      <c r="W12" s="256" t="s">
        <v>2186</v>
      </c>
      <c r="X12" s="256" t="s">
        <v>2189</v>
      </c>
      <c r="Y12" s="256" t="s">
        <v>2193</v>
      </c>
      <c r="Z12" s="256" t="s">
        <v>2196</v>
      </c>
      <c r="AA12" s="255" t="s">
        <v>2200</v>
      </c>
      <c r="AB12" s="255" t="s">
        <v>2204</v>
      </c>
      <c r="AC12" s="257" t="s">
        <v>2207</v>
      </c>
      <c r="AD12" s="255" t="s">
        <v>2211</v>
      </c>
      <c r="AE12" s="255" t="s">
        <v>2214</v>
      </c>
      <c r="AF12" s="50" t="s">
        <v>3657</v>
      </c>
      <c r="AG12" s="50" t="s">
        <v>3770</v>
      </c>
      <c r="AH12" s="104" t="s">
        <v>4448</v>
      </c>
      <c r="AI12" s="104">
        <v>45495</v>
      </c>
      <c r="AJ12" s="50" t="s">
        <v>4449</v>
      </c>
      <c r="AK12" s="50"/>
      <c r="AL12" s="50"/>
      <c r="AM12" s="104"/>
      <c r="AN12" s="104"/>
    </row>
    <row r="13" spans="2:40">
      <c r="B13" s="50" t="s">
        <v>3614</v>
      </c>
      <c r="C13" s="50">
        <v>11</v>
      </c>
      <c r="D13" s="50" t="s">
        <v>4454</v>
      </c>
      <c r="E13" s="104">
        <v>45495</v>
      </c>
      <c r="F13" s="50">
        <v>3</v>
      </c>
      <c r="G13" s="50" t="s">
        <v>3647</v>
      </c>
      <c r="H13" s="50" t="s">
        <v>3656</v>
      </c>
      <c r="I13" s="50">
        <v>31</v>
      </c>
      <c r="J13" s="50">
        <v>5.4060000086906101E+29</v>
      </c>
      <c r="K13" s="50"/>
      <c r="L13" s="50">
        <v>269</v>
      </c>
      <c r="M13" s="50" t="s">
        <v>4453</v>
      </c>
      <c r="N13" s="104"/>
      <c r="O13" s="50">
        <v>2.39700506824024E+29</v>
      </c>
      <c r="P13" s="104">
        <v>45495</v>
      </c>
      <c r="Q13" s="104">
        <v>50908</v>
      </c>
      <c r="R13" s="50">
        <v>978</v>
      </c>
      <c r="S13" s="104" t="s">
        <v>4455</v>
      </c>
      <c r="T13" s="107" t="s">
        <v>4455</v>
      </c>
      <c r="U13" s="255" t="s">
        <v>2923</v>
      </c>
      <c r="V13" s="255" t="s">
        <v>2182</v>
      </c>
      <c r="W13" s="255" t="s">
        <v>2186</v>
      </c>
      <c r="X13" s="256" t="s">
        <v>2189</v>
      </c>
      <c r="Y13" s="256" t="s">
        <v>2193</v>
      </c>
      <c r="Z13" s="256" t="s">
        <v>2196</v>
      </c>
      <c r="AA13" s="255" t="s">
        <v>2200</v>
      </c>
      <c r="AB13" s="255" t="s">
        <v>2204</v>
      </c>
      <c r="AC13" s="257" t="s">
        <v>2207</v>
      </c>
      <c r="AD13" s="255" t="s">
        <v>2211</v>
      </c>
      <c r="AE13" s="255" t="s">
        <v>2214</v>
      </c>
      <c r="AF13" s="50" t="s">
        <v>3672</v>
      </c>
      <c r="AG13" s="50" t="s">
        <v>3770</v>
      </c>
      <c r="AH13" s="104" t="s">
        <v>4448</v>
      </c>
      <c r="AI13" s="104">
        <v>45495</v>
      </c>
      <c r="AJ13" s="50" t="s">
        <v>4456</v>
      </c>
      <c r="AK13" s="50"/>
      <c r="AL13" s="50"/>
      <c r="AM13" s="104"/>
      <c r="AN13" s="104"/>
    </row>
    <row r="14" spans="2:40">
      <c r="B14" s="50" t="s">
        <v>3616</v>
      </c>
      <c r="C14" s="50">
        <v>12</v>
      </c>
      <c r="D14" s="50" t="s">
        <v>4457</v>
      </c>
      <c r="E14" s="104">
        <v>45495</v>
      </c>
      <c r="F14" s="50">
        <v>3</v>
      </c>
      <c r="G14" s="50">
        <v>0.89285700000000001</v>
      </c>
      <c r="H14" s="50" t="s">
        <v>3656</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3618</v>
      </c>
      <c r="C15" s="50">
        <v>13</v>
      </c>
      <c r="D15" s="50" t="s">
        <v>4458</v>
      </c>
      <c r="E15" s="104">
        <v>45495</v>
      </c>
      <c r="F15" s="50">
        <v>3</v>
      </c>
      <c r="G15" s="107">
        <v>1</v>
      </c>
      <c r="H15" s="50" t="s">
        <v>3656</v>
      </c>
      <c r="I15" s="50" t="s">
        <v>3647</v>
      </c>
      <c r="J15" s="50" t="s">
        <v>3647</v>
      </c>
      <c r="K15" s="50" t="s">
        <v>3647</v>
      </c>
      <c r="L15" s="50" t="s">
        <v>3647</v>
      </c>
      <c r="M15" s="50" t="s">
        <v>3647</v>
      </c>
      <c r="N15" s="104" t="s">
        <v>3647</v>
      </c>
      <c r="O15" s="104" t="s">
        <v>3647</v>
      </c>
      <c r="P15" s="50">
        <v>0</v>
      </c>
      <c r="Q15" s="50">
        <v>0</v>
      </c>
      <c r="R15" s="50" t="s">
        <v>3647</v>
      </c>
      <c r="S15" s="104" t="s">
        <v>3647</v>
      </c>
      <c r="T15" s="104" t="s">
        <v>3647</v>
      </c>
      <c r="U15" s="255" t="s">
        <v>3647</v>
      </c>
      <c r="V15" s="255" t="s">
        <v>3647</v>
      </c>
      <c r="W15" s="255" t="s">
        <v>3647</v>
      </c>
      <c r="X15" s="255" t="s">
        <v>3647</v>
      </c>
      <c r="Y15" s="255" t="s">
        <v>3647</v>
      </c>
      <c r="Z15" s="255" t="s">
        <v>3647</v>
      </c>
      <c r="AA15" s="255" t="s">
        <v>3647</v>
      </c>
      <c r="AB15" s="255" t="s">
        <v>3647</v>
      </c>
      <c r="AC15" s="257" t="s">
        <v>3647</v>
      </c>
      <c r="AD15" s="255" t="s">
        <v>3647</v>
      </c>
      <c r="AE15" s="255" t="s">
        <v>3647</v>
      </c>
      <c r="AF15" s="50" t="s">
        <v>3647</v>
      </c>
      <c r="AG15" s="50" t="s">
        <v>3647</v>
      </c>
      <c r="AH15" s="104" t="s">
        <v>3647</v>
      </c>
      <c r="AI15" s="50" t="s">
        <v>3647</v>
      </c>
      <c r="AJ15" s="50" t="s">
        <v>3647</v>
      </c>
      <c r="AK15" s="50"/>
      <c r="AL15" s="50"/>
      <c r="AM15" s="50"/>
      <c r="AN15" s="104"/>
    </row>
    <row r="16" spans="2:40">
      <c r="B16" s="50" t="s">
        <v>3620</v>
      </c>
      <c r="C16" s="50">
        <v>14</v>
      </c>
      <c r="D16" s="50" t="s">
        <v>4459</v>
      </c>
      <c r="E16" s="104">
        <v>45495</v>
      </c>
      <c r="F16" s="50">
        <v>3</v>
      </c>
      <c r="G16" s="107">
        <v>1</v>
      </c>
      <c r="H16" s="50" t="s">
        <v>3656</v>
      </c>
      <c r="I16" s="50">
        <v>0</v>
      </c>
      <c r="J16" s="50">
        <v>0</v>
      </c>
      <c r="K16" s="50">
        <v>0</v>
      </c>
      <c r="L16" s="50">
        <v>0</v>
      </c>
      <c r="M16" s="50">
        <v>0</v>
      </c>
      <c r="N16" s="50">
        <v>0</v>
      </c>
      <c r="O16" s="50">
        <v>0</v>
      </c>
      <c r="P16" s="50" t="s">
        <v>3647</v>
      </c>
      <c r="Q16" s="50" t="s">
        <v>3647</v>
      </c>
      <c r="R16" s="50">
        <v>0</v>
      </c>
      <c r="S16" s="50" t="s">
        <v>3647</v>
      </c>
      <c r="T16" s="50" t="s">
        <v>3647</v>
      </c>
      <c r="U16" s="255" t="s">
        <v>3647</v>
      </c>
      <c r="V16" s="255" t="s">
        <v>3647</v>
      </c>
      <c r="W16" s="255" t="s">
        <v>3647</v>
      </c>
      <c r="X16" s="255" t="s">
        <v>3647</v>
      </c>
      <c r="Y16" s="255" t="s">
        <v>3647</v>
      </c>
      <c r="Z16" s="255" t="s">
        <v>3647</v>
      </c>
      <c r="AA16" s="255" t="s">
        <v>3647</v>
      </c>
      <c r="AB16" s="255" t="s">
        <v>3647</v>
      </c>
      <c r="AC16" s="255" t="s">
        <v>3647</v>
      </c>
      <c r="AD16" s="255" t="s">
        <v>3647</v>
      </c>
      <c r="AE16" s="255" t="s">
        <v>3647</v>
      </c>
      <c r="AF16" s="50">
        <v>0</v>
      </c>
      <c r="AG16" s="50">
        <v>0</v>
      </c>
      <c r="AH16" s="50">
        <v>0</v>
      </c>
      <c r="AI16" s="50" t="s">
        <v>3647</v>
      </c>
      <c r="AJ16" s="50" t="s">
        <v>3647</v>
      </c>
      <c r="AK16" s="50"/>
      <c r="AL16" s="50"/>
      <c r="AM16" s="50"/>
      <c r="AN16" s="50"/>
    </row>
    <row r="17" spans="2:41">
      <c r="B17" s="50" t="s">
        <v>3622</v>
      </c>
      <c r="C17" s="50">
        <v>15</v>
      </c>
      <c r="D17" s="50" t="s">
        <v>4460</v>
      </c>
      <c r="E17" s="104">
        <v>45495</v>
      </c>
      <c r="F17" s="50">
        <v>3</v>
      </c>
      <c r="G17" s="107">
        <v>1</v>
      </c>
      <c r="H17" s="107"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255"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1">
      <c r="B18" s="50" t="s">
        <v>3624</v>
      </c>
      <c r="C18" s="50">
        <v>16</v>
      </c>
      <c r="D18" s="50" t="s">
        <v>4460</v>
      </c>
      <c r="E18" s="104">
        <v>45495</v>
      </c>
      <c r="F18" s="50">
        <v>3</v>
      </c>
      <c r="G18" s="107">
        <v>1</v>
      </c>
      <c r="H18" s="107"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255"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1">
      <c r="B19" s="50" t="s">
        <v>3626</v>
      </c>
      <c r="C19" s="50">
        <v>17</v>
      </c>
      <c r="D19" s="50" t="s">
        <v>4461</v>
      </c>
      <c r="E19" s="104">
        <v>45495</v>
      </c>
      <c r="F19" s="50">
        <v>3</v>
      </c>
      <c r="G19" s="50">
        <v>0.98260000000000003</v>
      </c>
      <c r="H19" s="221">
        <v>4682000000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255"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1">
      <c r="B20" s="50" t="s">
        <v>3628</v>
      </c>
      <c r="C20" s="50">
        <v>18</v>
      </c>
      <c r="D20" s="50" t="s">
        <v>4461</v>
      </c>
      <c r="E20" s="104">
        <v>45495</v>
      </c>
      <c r="F20" s="50">
        <v>3</v>
      </c>
      <c r="G20" s="107">
        <v>1</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255"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1">
      <c r="B21" s="50" t="s">
        <v>3630</v>
      </c>
      <c r="C21" s="50">
        <v>19</v>
      </c>
      <c r="D21" s="50" t="s">
        <v>4462</v>
      </c>
      <c r="E21" s="104">
        <v>45495</v>
      </c>
      <c r="F21" s="50">
        <v>3</v>
      </c>
      <c r="G21" s="218" cm="1">
        <f t="array" aca="1" ref="G21" ca="1">SUMPRODUCT(--(ISNUMBER((SEARCH(I27:AJ27,I21:AJ21)))))/COUNTA(I21:AJ21)</f>
        <v>0.7142857142857143</v>
      </c>
      <c r="H21" s="50" t="s">
        <v>3656</v>
      </c>
      <c r="I21" s="50" t="s">
        <v>3681</v>
      </c>
      <c r="J21" s="50" t="s">
        <v>3681</v>
      </c>
      <c r="K21" s="50" t="s">
        <v>3681</v>
      </c>
      <c r="L21" s="50" t="s">
        <v>3681</v>
      </c>
      <c r="M21" s="50" t="s">
        <v>3681</v>
      </c>
      <c r="N21" s="50" t="s">
        <v>3681</v>
      </c>
      <c r="O21" s="50" t="s">
        <v>3681</v>
      </c>
      <c r="P21" s="106" t="s">
        <v>3681</v>
      </c>
      <c r="Q21" s="106" t="s">
        <v>3681</v>
      </c>
      <c r="R21" s="50" t="s">
        <v>3681</v>
      </c>
      <c r="S21" s="50" t="s">
        <v>3681</v>
      </c>
      <c r="T21" s="50" t="s">
        <v>3682</v>
      </c>
      <c r="U21" s="255" t="s">
        <v>3681</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1">
      <c r="B22" s="50" t="s">
        <v>3633</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3636</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3753</v>
      </c>
    </row>
    <row r="26" spans="2:41">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c r="B27" s="116" t="s">
        <v>3684</v>
      </c>
      <c r="C27" s="102">
        <v>21</v>
      </c>
      <c r="D27" s="101" t="s">
        <v>3685</v>
      </c>
      <c r="E27" t="s">
        <v>3686</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54" t="str">
        <f ca="1"/>
        <v>TIMESTAMP</v>
      </c>
    </row>
    <row r="28" spans="2:41">
      <c r="B28" s="116" t="s">
        <v>3687</v>
      </c>
      <c r="C28" s="160">
        <v>7</v>
      </c>
      <c r="D28" s="115" t="s">
        <v>3685</v>
      </c>
      <c r="E28" s="114" t="s">
        <v>3686</v>
      </c>
      <c r="F28" s="114" t="s">
        <v>372</v>
      </c>
      <c r="G28" s="114" t="s">
        <v>372</v>
      </c>
      <c r="H28" s="114" t="s">
        <v>372</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4</v>
      </c>
      <c r="W28" s="160">
        <f ca="1"/>
        <v>20</v>
      </c>
      <c r="X28" s="160">
        <f ca="1"/>
        <v>23</v>
      </c>
      <c r="Y28" s="160">
        <f ca="1"/>
        <v>23</v>
      </c>
      <c r="Z28" s="160">
        <f ca="1"/>
        <v>23</v>
      </c>
      <c r="AA28" s="160">
        <f ca="1"/>
        <v>4</v>
      </c>
      <c r="AB28" s="160">
        <f ca="1"/>
        <v>20</v>
      </c>
      <c r="AC28" s="160">
        <f ca="1"/>
        <v>23</v>
      </c>
      <c r="AD28" s="160">
        <f ca="1"/>
        <v>23</v>
      </c>
      <c r="AE28" s="160">
        <f ca="1"/>
        <v>23</v>
      </c>
      <c r="AF28" s="160">
        <f ca="1"/>
        <v>4</v>
      </c>
      <c r="AG28" s="160">
        <f ca="1"/>
        <v>4</v>
      </c>
      <c r="AH28" s="160">
        <f ca="1"/>
        <v>2</v>
      </c>
      <c r="AI28" s="160">
        <f ca="1"/>
        <v>27</v>
      </c>
      <c r="AJ28" s="161">
        <f ca="1"/>
        <v>28</v>
      </c>
      <c r="AK28" s="102"/>
      <c r="AL28" s="102"/>
      <c r="AM28" s="102"/>
      <c r="AN28" s="102"/>
      <c r="AO28" s="102"/>
    </row>
    <row r="30" spans="2:41">
      <c r="B30" s="149" t="s">
        <v>3688</v>
      </c>
    </row>
    <row r="31" spans="2:41">
      <c r="B31" s="143" t="s">
        <v>3689</v>
      </c>
      <c r="C31" s="143" t="s">
        <v>3690</v>
      </c>
      <c r="D31" s="144" t="s">
        <v>3691</v>
      </c>
      <c r="E31" s="143" t="s">
        <v>3692</v>
      </c>
      <c r="F31" s="143" t="s">
        <v>3693</v>
      </c>
    </row>
    <row r="32" spans="2:41" ht="29.1">
      <c r="B32" s="120" t="s">
        <v>3694</v>
      </c>
      <c r="C32" s="124" t="s">
        <v>188</v>
      </c>
      <c r="D32" s="53" t="s">
        <v>4463</v>
      </c>
      <c r="E32" s="162" t="s">
        <v>4464</v>
      </c>
      <c r="F32" s="145" t="s">
        <v>3700</v>
      </c>
    </row>
    <row r="33" spans="2:16" ht="29.1">
      <c r="B33" s="120" t="s">
        <v>3694</v>
      </c>
      <c r="C33" s="124" t="s">
        <v>223</v>
      </c>
      <c r="D33" s="53" t="s">
        <v>4465</v>
      </c>
      <c r="E33" s="162" t="s">
        <v>4466</v>
      </c>
      <c r="F33" s="145" t="s">
        <v>3700</v>
      </c>
    </row>
    <row r="34" spans="2:16" ht="29.1">
      <c r="B34" s="120" t="s">
        <v>3694</v>
      </c>
      <c r="C34" s="124" t="s">
        <v>2912</v>
      </c>
      <c r="D34" s="53" t="s">
        <v>4465</v>
      </c>
      <c r="E34" s="162" t="s">
        <v>4466</v>
      </c>
      <c r="F34" s="145" t="s">
        <v>3700</v>
      </c>
    </row>
    <row r="35" spans="2:16" ht="29.1">
      <c r="B35" s="120" t="s">
        <v>3694</v>
      </c>
      <c r="C35" s="124" t="s">
        <v>1626</v>
      </c>
      <c r="D35" s="53" t="s">
        <v>4465</v>
      </c>
      <c r="E35" s="162" t="s">
        <v>4466</v>
      </c>
      <c r="F35" s="145" t="s">
        <v>3700</v>
      </c>
    </row>
    <row r="36" spans="2:16" ht="29.1">
      <c r="B36" s="120" t="s">
        <v>3694</v>
      </c>
      <c r="C36" s="124" t="s">
        <v>305</v>
      </c>
      <c r="D36" s="53" t="s">
        <v>4467</v>
      </c>
      <c r="E36" s="162" t="s">
        <v>4468</v>
      </c>
      <c r="F36" s="145" t="s">
        <v>3703</v>
      </c>
    </row>
    <row r="37" spans="2:16" ht="43.5">
      <c r="B37" s="120" t="s">
        <v>3709</v>
      </c>
      <c r="C37" s="124" t="s">
        <v>4469</v>
      </c>
      <c r="D37" s="53" t="s">
        <v>4470</v>
      </c>
      <c r="E37" s="162" t="s">
        <v>4471</v>
      </c>
      <c r="F37" s="145" t="s">
        <v>3703</v>
      </c>
      <c r="I37" s="167"/>
      <c r="J37" s="167"/>
      <c r="K37" s="167"/>
      <c r="L37" s="167"/>
      <c r="M37" s="167"/>
      <c r="N37" s="167"/>
      <c r="O37" s="167"/>
      <c r="P37" s="167"/>
    </row>
    <row r="38" spans="2:16" ht="29.1">
      <c r="B38" s="120" t="s">
        <v>3704</v>
      </c>
      <c r="C38" s="124" t="s">
        <v>4469</v>
      </c>
      <c r="D38" s="53" t="s">
        <v>4472</v>
      </c>
      <c r="E38" s="162" t="s">
        <v>4473</v>
      </c>
      <c r="F38"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1613</v>
      </c>
      <c r="S2" s="85" t="s">
        <v>1619</v>
      </c>
      <c r="T2" s="85" t="s">
        <v>1626</v>
      </c>
      <c r="U2" s="85" t="s">
        <v>283</v>
      </c>
      <c r="V2" s="85" t="s">
        <v>4149</v>
      </c>
      <c r="W2" s="85" t="s">
        <v>1987</v>
      </c>
      <c r="X2" s="85" t="s">
        <v>1998</v>
      </c>
      <c r="Y2" s="85" t="s">
        <v>2008</v>
      </c>
      <c r="Z2" s="85" t="s">
        <v>1523</v>
      </c>
      <c r="AA2" s="85" t="s">
        <v>1530</v>
      </c>
      <c r="AB2" s="85" t="s">
        <v>756</v>
      </c>
      <c r="AC2" s="85" t="s">
        <v>766</v>
      </c>
      <c r="AD2" s="85" t="s">
        <v>776</v>
      </c>
      <c r="AE2" s="85" t="s">
        <v>785</v>
      </c>
      <c r="AF2" s="85" t="s">
        <v>294</v>
      </c>
      <c r="AG2" s="85" t="s">
        <v>305</v>
      </c>
      <c r="AH2" s="85" t="s">
        <v>318</v>
      </c>
      <c r="AI2" s="85" t="s">
        <v>327</v>
      </c>
      <c r="AJ2" s="85" t="s">
        <v>334</v>
      </c>
      <c r="AK2" s="85"/>
      <c r="AL2" s="85"/>
      <c r="AM2" s="85"/>
      <c r="AN2" s="85"/>
    </row>
    <row r="3" spans="2:40">
      <c r="B3" s="50" t="s">
        <v>3593</v>
      </c>
      <c r="C3" s="50">
        <v>1</v>
      </c>
      <c r="D3" s="50" t="s">
        <v>4474</v>
      </c>
      <c r="E3" s="104">
        <v>45548</v>
      </c>
      <c r="F3" s="50">
        <v>1</v>
      </c>
      <c r="G3" s="272">
        <v>1</v>
      </c>
      <c r="H3" s="234">
        <v>956041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c r="B4" s="50" t="s">
        <v>3595</v>
      </c>
      <c r="C4" s="50">
        <v>2</v>
      </c>
      <c r="D4" s="50" t="s">
        <v>4475</v>
      </c>
      <c r="E4" s="104">
        <v>45548</v>
      </c>
      <c r="F4" s="50">
        <v>1</v>
      </c>
      <c r="G4" s="27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c r="B5" s="50" t="s">
        <v>3597</v>
      </c>
      <c r="C5" s="50">
        <v>3</v>
      </c>
      <c r="D5" s="50" t="s">
        <v>4476</v>
      </c>
      <c r="E5" s="104">
        <v>45548</v>
      </c>
      <c r="F5" s="50">
        <v>1</v>
      </c>
      <c r="G5" s="272">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c r="B8" s="106" t="s">
        <v>3602</v>
      </c>
      <c r="C8" s="50">
        <v>6</v>
      </c>
      <c r="D8" s="50" t="s">
        <v>4477</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3605</v>
      </c>
      <c r="C9" s="50">
        <v>7</v>
      </c>
      <c r="D9" s="50" t="s">
        <v>4478</v>
      </c>
      <c r="E9" s="104">
        <v>45548</v>
      </c>
      <c r="F9" s="50">
        <v>1</v>
      </c>
      <c r="G9" s="218" cm="1">
        <f t="array" aca="1" ref="G9" ca="1">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3608</v>
      </c>
      <c r="C10" s="50">
        <v>8</v>
      </c>
      <c r="D10" s="50" t="s">
        <v>4479</v>
      </c>
      <c r="E10" s="104">
        <v>45548</v>
      </c>
      <c r="F10" s="50">
        <v>1</v>
      </c>
      <c r="G10" s="104" t="s">
        <v>3647</v>
      </c>
      <c r="H10" s="194">
        <v>0</v>
      </c>
      <c r="I10" s="50">
        <v>31</v>
      </c>
      <c r="J10" s="50">
        <v>1.3033148999999999E+22</v>
      </c>
      <c r="K10" s="50" t="s">
        <v>4480</v>
      </c>
      <c r="L10" s="50">
        <v>25</v>
      </c>
      <c r="M10" s="50">
        <v>0</v>
      </c>
      <c r="N10" s="104">
        <v>26456</v>
      </c>
      <c r="O10" s="104">
        <v>35577</v>
      </c>
      <c r="P10" s="50">
        <v>124</v>
      </c>
      <c r="Q10" s="50">
        <v>0</v>
      </c>
      <c r="R10" s="107">
        <v>-423629766230000</v>
      </c>
      <c r="S10" s="202" t="s">
        <v>3656</v>
      </c>
      <c r="T10" s="107">
        <v>-2157898676640000</v>
      </c>
      <c r="U10" s="107" t="s">
        <v>3656</v>
      </c>
      <c r="V10" s="256" t="s">
        <v>4149</v>
      </c>
      <c r="W10" s="256" t="s">
        <v>1987</v>
      </c>
      <c r="X10" s="255" t="s">
        <v>1998</v>
      </c>
      <c r="Y10" s="256" t="s">
        <v>2008</v>
      </c>
      <c r="Z10" s="256" t="s">
        <v>1523</v>
      </c>
      <c r="AA10" s="255" t="s">
        <v>1530</v>
      </c>
      <c r="AB10" s="255" t="s">
        <v>756</v>
      </c>
      <c r="AC10" s="255" t="s">
        <v>766</v>
      </c>
      <c r="AD10" s="255" t="s">
        <v>776</v>
      </c>
      <c r="AE10" s="255" t="s">
        <v>785</v>
      </c>
      <c r="AF10" s="50" t="s">
        <v>3657</v>
      </c>
      <c r="AG10" s="50" t="s">
        <v>3658</v>
      </c>
      <c r="AH10" s="50" t="s">
        <v>3775</v>
      </c>
      <c r="AI10" s="104">
        <v>45548</v>
      </c>
      <c r="AJ10" s="104" t="s">
        <v>4481</v>
      </c>
      <c r="AK10" s="50"/>
      <c r="AL10" s="50"/>
      <c r="AM10" s="104"/>
      <c r="AN10" s="104"/>
    </row>
    <row r="11" spans="2:40">
      <c r="B11" s="50" t="s">
        <v>3610</v>
      </c>
      <c r="C11" s="50">
        <v>9</v>
      </c>
      <c r="D11" s="50" t="s">
        <v>4482</v>
      </c>
      <c r="E11" s="104">
        <v>45548</v>
      </c>
      <c r="F11" s="50">
        <v>1</v>
      </c>
      <c r="G11" s="104" t="s">
        <v>3647</v>
      </c>
      <c r="H11" s="194">
        <v>0</v>
      </c>
      <c r="I11" s="50">
        <v>31</v>
      </c>
      <c r="J11" s="50">
        <v>1.3033148999999999E+22</v>
      </c>
      <c r="K11" s="50" t="s">
        <v>4483</v>
      </c>
      <c r="L11" s="50">
        <v>25</v>
      </c>
      <c r="M11" s="50">
        <v>0</v>
      </c>
      <c r="N11" s="104">
        <v>26456</v>
      </c>
      <c r="O11" s="104">
        <v>35577</v>
      </c>
      <c r="P11" s="50">
        <v>124</v>
      </c>
      <c r="Q11" s="50">
        <v>0</v>
      </c>
      <c r="R11" s="107">
        <v>-423629766230000</v>
      </c>
      <c r="S11" s="50" t="s">
        <v>3656</v>
      </c>
      <c r="T11" s="107">
        <v>-2157898676640000</v>
      </c>
      <c r="U11" s="50" t="s">
        <v>3656</v>
      </c>
      <c r="V11" s="255" t="s">
        <v>4149</v>
      </c>
      <c r="W11" s="255" t="s">
        <v>1987</v>
      </c>
      <c r="X11" s="255" t="s">
        <v>1998</v>
      </c>
      <c r="Y11" s="256" t="s">
        <v>2008</v>
      </c>
      <c r="Z11" s="256" t="s">
        <v>1523</v>
      </c>
      <c r="AA11" s="255" t="s">
        <v>1530</v>
      </c>
      <c r="AB11" s="255" t="s">
        <v>756</v>
      </c>
      <c r="AC11" s="255" t="s">
        <v>766</v>
      </c>
      <c r="AD11" s="255" t="s">
        <v>776</v>
      </c>
      <c r="AE11" s="255" t="s">
        <v>785</v>
      </c>
      <c r="AF11" s="50">
        <v>0</v>
      </c>
      <c r="AG11" s="50"/>
      <c r="AH11" s="50" t="s">
        <v>3775</v>
      </c>
      <c r="AI11" s="104">
        <v>45548</v>
      </c>
      <c r="AJ11" s="104" t="s">
        <v>4484</v>
      </c>
      <c r="AK11" s="50"/>
      <c r="AL11" s="50"/>
      <c r="AM11" s="104"/>
      <c r="AN11" s="104"/>
    </row>
    <row r="12" spans="2:40">
      <c r="B12" s="106" t="s">
        <v>3612</v>
      </c>
      <c r="C12" s="50">
        <v>10</v>
      </c>
      <c r="D12" s="50" t="s">
        <v>4485</v>
      </c>
      <c r="E12" s="104">
        <v>45548</v>
      </c>
      <c r="F12" s="50">
        <v>1</v>
      </c>
      <c r="G12" s="104" t="s">
        <v>3647</v>
      </c>
      <c r="H12" s="194">
        <v>0</v>
      </c>
      <c r="I12" s="50">
        <v>31</v>
      </c>
      <c r="J12" s="50">
        <v>5.3150000011502503E+29</v>
      </c>
      <c r="K12" s="50" t="s">
        <v>4480</v>
      </c>
      <c r="L12" s="50">
        <v>43</v>
      </c>
      <c r="M12" s="50" t="s">
        <v>4486</v>
      </c>
      <c r="N12" s="104">
        <v>45548</v>
      </c>
      <c r="O12" s="104">
        <v>2958465</v>
      </c>
      <c r="P12" s="50">
        <v>978</v>
      </c>
      <c r="Q12" s="50">
        <v>1</v>
      </c>
      <c r="R12" s="107">
        <v>423629766230000</v>
      </c>
      <c r="S12" s="202">
        <v>2134731276340000</v>
      </c>
      <c r="T12" s="107">
        <v>423629766230000</v>
      </c>
      <c r="U12" s="107">
        <v>328950890000</v>
      </c>
      <c r="V12" s="256" t="s">
        <v>4149</v>
      </c>
      <c r="W12" s="256" t="s">
        <v>1987</v>
      </c>
      <c r="X12" s="256" t="s">
        <v>1998</v>
      </c>
      <c r="Y12" s="256" t="s">
        <v>2008</v>
      </c>
      <c r="Z12" s="256" t="s">
        <v>1523</v>
      </c>
      <c r="AA12" s="256" t="s">
        <v>1530</v>
      </c>
      <c r="AB12" s="255" t="s">
        <v>756</v>
      </c>
      <c r="AC12" s="255" t="s">
        <v>766</v>
      </c>
      <c r="AD12" s="257" t="s">
        <v>776</v>
      </c>
      <c r="AE12" s="255" t="s">
        <v>785</v>
      </c>
      <c r="AF12" s="50" t="s">
        <v>3666</v>
      </c>
      <c r="AG12" s="50" t="s">
        <v>3658</v>
      </c>
      <c r="AH12" s="50" t="s">
        <v>3667</v>
      </c>
      <c r="AI12" s="104">
        <v>45548</v>
      </c>
      <c r="AJ12" s="104" t="s">
        <v>4481</v>
      </c>
      <c r="AK12" s="50"/>
      <c r="AL12" s="50"/>
      <c r="AM12" s="104"/>
      <c r="AN12" s="104"/>
    </row>
    <row r="13" spans="2:40">
      <c r="B13" s="50" t="s">
        <v>3614</v>
      </c>
      <c r="C13" s="50">
        <v>11</v>
      </c>
      <c r="D13" s="50" t="s">
        <v>4487</v>
      </c>
      <c r="E13" s="104">
        <v>45548</v>
      </c>
      <c r="F13" s="50">
        <v>1</v>
      </c>
      <c r="G13" s="104" t="s">
        <v>3647</v>
      </c>
      <c r="H13" s="194">
        <v>0</v>
      </c>
      <c r="I13" s="50">
        <v>31</v>
      </c>
      <c r="J13" s="50">
        <v>5.3150000011502503E+29</v>
      </c>
      <c r="K13" s="50" t="s">
        <v>4488</v>
      </c>
      <c r="L13" s="50">
        <v>43</v>
      </c>
      <c r="M13" s="50" t="s">
        <v>4486</v>
      </c>
      <c r="N13" s="104">
        <v>45548</v>
      </c>
      <c r="O13" s="104">
        <v>2958465</v>
      </c>
      <c r="P13" s="50">
        <v>978</v>
      </c>
      <c r="Q13" s="50">
        <v>1</v>
      </c>
      <c r="R13" s="107">
        <v>423629766230000</v>
      </c>
      <c r="S13" s="104">
        <v>2134731276340000</v>
      </c>
      <c r="T13" s="107">
        <v>423629766230000</v>
      </c>
      <c r="U13" s="107">
        <v>328950890000</v>
      </c>
      <c r="V13" s="255" t="s">
        <v>4149</v>
      </c>
      <c r="W13" s="255" t="s">
        <v>1987</v>
      </c>
      <c r="X13" s="255" t="s">
        <v>1998</v>
      </c>
      <c r="Y13" s="256" t="s">
        <v>2008</v>
      </c>
      <c r="Z13" s="256" t="s">
        <v>1523</v>
      </c>
      <c r="AA13" s="256" t="s">
        <v>1530</v>
      </c>
      <c r="AB13" s="255" t="s">
        <v>756</v>
      </c>
      <c r="AC13" s="255" t="s">
        <v>766</v>
      </c>
      <c r="AD13" s="257" t="s">
        <v>776</v>
      </c>
      <c r="AE13" s="255" t="s">
        <v>785</v>
      </c>
      <c r="AF13" s="50">
        <v>5</v>
      </c>
      <c r="AG13" s="50"/>
      <c r="AH13" s="50" t="s">
        <v>3667</v>
      </c>
      <c r="AI13" s="104">
        <v>45548</v>
      </c>
      <c r="AJ13" s="104" t="s">
        <v>4489</v>
      </c>
      <c r="AK13" s="50"/>
      <c r="AL13" s="50"/>
      <c r="AM13" s="104"/>
      <c r="AN13" s="104"/>
    </row>
    <row r="14" spans="2:40">
      <c r="B14" s="50" t="s">
        <v>3616</v>
      </c>
      <c r="C14" s="50">
        <v>12</v>
      </c>
      <c r="D14" s="50" t="s">
        <v>4490</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3618</v>
      </c>
      <c r="C15" s="50">
        <v>13</v>
      </c>
      <c r="D15" s="50" t="s">
        <v>4491</v>
      </c>
      <c r="E15" s="104">
        <v>45548</v>
      </c>
      <c r="F15" s="50">
        <v>1</v>
      </c>
      <c r="G15" s="272">
        <v>1</v>
      </c>
      <c r="H15" s="194">
        <v>0</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c r="B16" s="50" t="s">
        <v>3620</v>
      </c>
      <c r="C16" s="50">
        <v>14</v>
      </c>
      <c r="D16" s="50" t="s">
        <v>4492</v>
      </c>
      <c r="E16" s="104">
        <v>45548</v>
      </c>
      <c r="F16" s="50">
        <v>1</v>
      </c>
      <c r="G16" s="272">
        <v>1</v>
      </c>
      <c r="H16" s="194">
        <v>0</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c r="B17" s="50" t="s">
        <v>3622</v>
      </c>
      <c r="C17" s="50">
        <v>15</v>
      </c>
      <c r="D17" s="50" t="s">
        <v>4493</v>
      </c>
      <c r="E17" s="104">
        <v>45548</v>
      </c>
      <c r="F17" s="50">
        <v>1</v>
      </c>
      <c r="G17" s="272">
        <v>1</v>
      </c>
      <c r="H17" s="194">
        <v>0</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c r="B18" s="50" t="s">
        <v>3624</v>
      </c>
      <c r="C18" s="50">
        <v>16</v>
      </c>
      <c r="D18" s="50" t="s">
        <v>4493</v>
      </c>
      <c r="E18" s="104">
        <v>45548</v>
      </c>
      <c r="F18" s="50">
        <v>1</v>
      </c>
      <c r="G18" s="272">
        <v>1</v>
      </c>
      <c r="H18" s="194">
        <v>0</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c r="B19" s="50" t="s">
        <v>3626</v>
      </c>
      <c r="C19" s="50">
        <v>17</v>
      </c>
      <c r="D19" s="50" t="s">
        <v>4494</v>
      </c>
      <c r="E19" s="104">
        <v>45548</v>
      </c>
      <c r="F19" s="50">
        <v>1</v>
      </c>
      <c r="G19" s="272">
        <v>0.61778200000000005</v>
      </c>
      <c r="H19" s="234">
        <v>365684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c r="B20" s="50" t="s">
        <v>3628</v>
      </c>
      <c r="C20" s="50">
        <v>18</v>
      </c>
      <c r="D20" s="50" t="s">
        <v>4494</v>
      </c>
      <c r="E20" s="104">
        <v>45548</v>
      </c>
      <c r="F20" s="50">
        <v>1</v>
      </c>
      <c r="G20" s="272">
        <v>1</v>
      </c>
      <c r="H20" s="194">
        <v>0</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c r="B21" s="50" t="s">
        <v>3630</v>
      </c>
      <c r="C21" s="50">
        <v>19</v>
      </c>
      <c r="D21" s="50" t="s">
        <v>4495</v>
      </c>
      <c r="E21" s="104">
        <v>45548</v>
      </c>
      <c r="F21" s="50">
        <v>1</v>
      </c>
      <c r="G21" s="218" cm="1">
        <f t="array" aca="1" ref="G21" ca="1">SUMPRODUCT(--(ISNUMBER((SEARCH(I27:AJ27,I21:AJ21)))))/COUNTA(I21:AJ21)</f>
        <v>0.7857142857142857</v>
      </c>
      <c r="H21" s="194">
        <v>0</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3636</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3753</v>
      </c>
    </row>
    <row r="26" spans="2:40">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3684</v>
      </c>
      <c r="C27" s="102">
        <v>21</v>
      </c>
      <c r="D27" s="101" t="s">
        <v>3685</v>
      </c>
      <c r="E27" t="s">
        <v>3686</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3688</v>
      </c>
    </row>
    <row r="31" spans="2:40">
      <c r="B31" s="143" t="s">
        <v>3689</v>
      </c>
      <c r="C31" s="143" t="s">
        <v>3690</v>
      </c>
      <c r="D31" s="144" t="s">
        <v>3691</v>
      </c>
      <c r="E31" s="143" t="s">
        <v>3692</v>
      </c>
      <c r="F31" s="143" t="s">
        <v>3693</v>
      </c>
    </row>
    <row r="32" spans="2:40" ht="43.5">
      <c r="B32" s="120" t="s">
        <v>3704</v>
      </c>
      <c r="C32" s="124" t="s">
        <v>4469</v>
      </c>
      <c r="D32" s="53" t="s">
        <v>4496</v>
      </c>
      <c r="E32" s="162" t="s">
        <v>4497</v>
      </c>
      <c r="F32" s="145" t="s">
        <v>4498</v>
      </c>
    </row>
    <row r="33" spans="2:6" ht="43.5">
      <c r="B33" s="146" t="s">
        <v>3797</v>
      </c>
      <c r="C33" s="147" t="s">
        <v>4149</v>
      </c>
      <c r="D33" s="148" t="s">
        <v>3798</v>
      </c>
      <c r="E33" s="106" t="s">
        <v>4499</v>
      </c>
      <c r="F33" s="198" t="s">
        <v>3700</v>
      </c>
    </row>
    <row r="34" spans="2:6" ht="43.5">
      <c r="B34" s="146" t="s">
        <v>3797</v>
      </c>
      <c r="C34" s="147" t="s">
        <v>1987</v>
      </c>
      <c r="D34" s="148" t="s">
        <v>3798</v>
      </c>
      <c r="E34" s="106" t="s">
        <v>4499</v>
      </c>
      <c r="F34" s="198" t="s">
        <v>3700</v>
      </c>
    </row>
    <row r="35" spans="2:6" ht="43.5">
      <c r="B35" s="146" t="s">
        <v>3797</v>
      </c>
      <c r="C35" s="147" t="s">
        <v>1998</v>
      </c>
      <c r="D35" s="148" t="s">
        <v>3798</v>
      </c>
      <c r="E35" s="106" t="s">
        <v>4499</v>
      </c>
      <c r="F35" s="198" t="s">
        <v>3700</v>
      </c>
    </row>
    <row r="36" spans="2:6" ht="43.5">
      <c r="B36" s="146" t="s">
        <v>3797</v>
      </c>
      <c r="C36" s="147" t="s">
        <v>1523</v>
      </c>
      <c r="D36" s="148" t="s">
        <v>3798</v>
      </c>
      <c r="E36" s="106" t="s">
        <v>4499</v>
      </c>
      <c r="F36" s="198" t="s">
        <v>3700</v>
      </c>
    </row>
    <row r="37" spans="2:6" ht="43.5">
      <c r="B37" s="146" t="s">
        <v>3797</v>
      </c>
      <c r="C37" s="147" t="s">
        <v>1530</v>
      </c>
      <c r="D37" s="148" t="s">
        <v>3798</v>
      </c>
      <c r="E37" s="106" t="s">
        <v>4499</v>
      </c>
      <c r="F37" s="198" t="s">
        <v>3700</v>
      </c>
    </row>
    <row r="38" spans="2:6" ht="43.5">
      <c r="B38" s="146" t="s">
        <v>3797</v>
      </c>
      <c r="C38" s="147" t="s">
        <v>756</v>
      </c>
      <c r="D38" s="148" t="s">
        <v>3798</v>
      </c>
      <c r="E38" s="106" t="s">
        <v>4499</v>
      </c>
      <c r="F38" s="198" t="s">
        <v>3700</v>
      </c>
    </row>
    <row r="39" spans="2:6" ht="43.5">
      <c r="B39" s="146" t="s">
        <v>3797</v>
      </c>
      <c r="C39" s="147" t="s">
        <v>766</v>
      </c>
      <c r="D39" s="148" t="s">
        <v>3798</v>
      </c>
      <c r="E39" s="106" t="s">
        <v>4499</v>
      </c>
      <c r="F39" s="198" t="s">
        <v>3700</v>
      </c>
    </row>
    <row r="40" spans="2:6" ht="43.5">
      <c r="B40" s="146" t="s">
        <v>3797</v>
      </c>
      <c r="C40" s="147" t="s">
        <v>785</v>
      </c>
      <c r="D40" s="148" t="s">
        <v>3798</v>
      </c>
      <c r="E40" s="106" t="s">
        <v>4499</v>
      </c>
      <c r="F40" s="198" t="s">
        <v>3700</v>
      </c>
    </row>
    <row r="41" spans="2:6" ht="43.5">
      <c r="B41" s="146" t="s">
        <v>3807</v>
      </c>
      <c r="C41" s="147" t="s">
        <v>1998</v>
      </c>
      <c r="D41" s="148" t="s">
        <v>3808</v>
      </c>
      <c r="E41" s="106" t="s">
        <v>4499</v>
      </c>
      <c r="F41" s="198" t="s">
        <v>3700</v>
      </c>
    </row>
    <row r="42" spans="2:6" ht="43.5">
      <c r="B42" s="146" t="s">
        <v>3807</v>
      </c>
      <c r="C42" s="147" t="s">
        <v>2008</v>
      </c>
      <c r="D42" s="148" t="s">
        <v>3808</v>
      </c>
      <c r="E42" s="106" t="s">
        <v>4499</v>
      </c>
      <c r="F42" s="198" t="s">
        <v>3700</v>
      </c>
    </row>
    <row r="43" spans="2:6" ht="43.5">
      <c r="B43" s="146" t="s">
        <v>3807</v>
      </c>
      <c r="C43" s="147" t="s">
        <v>1523</v>
      </c>
      <c r="D43" s="148" t="s">
        <v>3808</v>
      </c>
      <c r="E43" s="106" t="s">
        <v>4499</v>
      </c>
      <c r="F43" s="198" t="s">
        <v>3700</v>
      </c>
    </row>
    <row r="44" spans="2:6" ht="43.5">
      <c r="B44" s="120" t="s">
        <v>3807</v>
      </c>
      <c r="C44" s="147" t="s">
        <v>766</v>
      </c>
      <c r="D44" s="53" t="s">
        <v>3808</v>
      </c>
      <c r="E44" s="106" t="s">
        <v>4499</v>
      </c>
      <c r="F44" s="198" t="s">
        <v>3700</v>
      </c>
    </row>
    <row r="45" spans="2:6" ht="43.5">
      <c r="B45" s="120" t="s">
        <v>3807</v>
      </c>
      <c r="C45" s="124" t="s">
        <v>776</v>
      </c>
      <c r="D45" s="53" t="s">
        <v>3808</v>
      </c>
      <c r="E45" s="106" t="s">
        <v>4499</v>
      </c>
      <c r="F45" s="198" t="s">
        <v>3700</v>
      </c>
    </row>
    <row r="46" spans="2:6" ht="43.5">
      <c r="B46" s="146" t="s">
        <v>3807</v>
      </c>
      <c r="C46" s="147" t="s">
        <v>785</v>
      </c>
      <c r="D46" s="148" t="s">
        <v>3808</v>
      </c>
      <c r="E46" s="106" t="s">
        <v>4499</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1613</v>
      </c>
      <c r="S2" s="85" t="s">
        <v>1619</v>
      </c>
      <c r="T2" s="85" t="s">
        <v>1626</v>
      </c>
      <c r="U2" s="85" t="s">
        <v>283</v>
      </c>
      <c r="V2" s="85" t="s">
        <v>4149</v>
      </c>
      <c r="W2" s="85" t="s">
        <v>1987</v>
      </c>
      <c r="X2" s="85" t="s">
        <v>1998</v>
      </c>
      <c r="Y2" s="85" t="s">
        <v>2008</v>
      </c>
      <c r="Z2" s="85" t="s">
        <v>1523</v>
      </c>
      <c r="AA2" s="85" t="s">
        <v>1530</v>
      </c>
      <c r="AB2" s="85" t="s">
        <v>756</v>
      </c>
      <c r="AC2" s="85" t="s">
        <v>766</v>
      </c>
      <c r="AD2" s="85" t="s">
        <v>776</v>
      </c>
      <c r="AE2" s="85" t="s">
        <v>785</v>
      </c>
      <c r="AF2" s="85" t="s">
        <v>294</v>
      </c>
      <c r="AG2" s="85" t="s">
        <v>305</v>
      </c>
      <c r="AH2" s="85" t="s">
        <v>318</v>
      </c>
      <c r="AI2" s="85" t="s">
        <v>327</v>
      </c>
      <c r="AJ2" s="85" t="s">
        <v>334</v>
      </c>
      <c r="AK2" s="85"/>
      <c r="AL2" s="85"/>
      <c r="AM2" s="85"/>
      <c r="AN2" s="85"/>
    </row>
    <row r="3" spans="2:40">
      <c r="B3" s="50" t="s">
        <v>3593</v>
      </c>
      <c r="C3" s="50">
        <v>1</v>
      </c>
      <c r="D3" s="50" t="s">
        <v>4500</v>
      </c>
      <c r="E3" s="104">
        <v>45538</v>
      </c>
      <c r="F3" s="50">
        <v>1</v>
      </c>
      <c r="G3" s="272" t="s">
        <v>4373</v>
      </c>
      <c r="H3" s="191" t="s">
        <v>4501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c r="B4" s="50" t="s">
        <v>3595</v>
      </c>
      <c r="C4" s="50">
        <v>2</v>
      </c>
      <c r="D4" s="50" t="s">
        <v>4502</v>
      </c>
      <c r="E4" s="104">
        <v>45538</v>
      </c>
      <c r="F4" s="50">
        <v>1</v>
      </c>
      <c r="G4" s="272" t="s">
        <v>4373</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c r="B5" s="50" t="s">
        <v>3597</v>
      </c>
      <c r="C5" s="50">
        <v>3</v>
      </c>
      <c r="D5" s="50" t="s">
        <v>4503</v>
      </c>
      <c r="E5" s="104">
        <v>45538</v>
      </c>
      <c r="F5" s="50">
        <v>1</v>
      </c>
      <c r="G5" s="272" t="s">
        <v>4373</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c r="B8" s="106" t="s">
        <v>3602</v>
      </c>
      <c r="C8" s="50">
        <v>6</v>
      </c>
      <c r="D8" s="50" t="s">
        <v>4504</v>
      </c>
      <c r="E8" s="104">
        <v>45538</v>
      </c>
      <c r="F8" s="50">
        <v>1</v>
      </c>
      <c r="G8" s="218" cm="1">
        <f t="array" ref="G8">SUMPRODUCT(--(I8:AJ8&gt;0))/COUNTA(I8:AJ8)</f>
        <v>1</v>
      </c>
      <c r="H8" s="50" t="s">
        <v>3656</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3605</v>
      </c>
      <c r="C9" s="50">
        <v>7</v>
      </c>
      <c r="D9" s="50" t="s">
        <v>4505</v>
      </c>
      <c r="E9" s="104">
        <v>45538</v>
      </c>
      <c r="F9" s="50">
        <v>1</v>
      </c>
      <c r="G9" s="218" cm="1">
        <f t="array" aca="1" ref="G9" ca="1">SUMPRODUCT(--(I9:AJ9 &lt;= I28:AJ28))/COUNTA(I28:AJ28)</f>
        <v>1</v>
      </c>
      <c r="H9" s="50" t="s">
        <v>3656</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3608</v>
      </c>
      <c r="C10" s="50">
        <v>8</v>
      </c>
      <c r="D10" s="50" t="s">
        <v>4506</v>
      </c>
      <c r="E10" s="104">
        <v>45538</v>
      </c>
      <c r="F10" s="50">
        <v>1</v>
      </c>
      <c r="G10" s="104" t="s">
        <v>3647</v>
      </c>
      <c r="H10" s="50" t="s">
        <v>3656</v>
      </c>
      <c r="I10" s="50">
        <v>31</v>
      </c>
      <c r="J10" s="50">
        <v>4.0142670650000004E+25</v>
      </c>
      <c r="K10" s="50" t="s">
        <v>4507</v>
      </c>
      <c r="L10" s="50">
        <v>29</v>
      </c>
      <c r="M10" s="50">
        <v>1</v>
      </c>
      <c r="N10" s="104">
        <v>28877</v>
      </c>
      <c r="O10" s="104">
        <v>2958465</v>
      </c>
      <c r="P10" s="50">
        <v>36</v>
      </c>
      <c r="Q10" s="50">
        <v>0</v>
      </c>
      <c r="R10" s="107">
        <v>-1419736369000000</v>
      </c>
      <c r="S10" s="202" t="s">
        <v>3656</v>
      </c>
      <c r="T10" s="107">
        <v>-1419736369000000</v>
      </c>
      <c r="U10" s="107" t="s">
        <v>3656</v>
      </c>
      <c r="V10" s="256" t="s">
        <v>4149</v>
      </c>
      <c r="W10" s="256" t="s">
        <v>1987</v>
      </c>
      <c r="X10" s="255" t="s">
        <v>1998</v>
      </c>
      <c r="Y10" s="256" t="s">
        <v>2008</v>
      </c>
      <c r="Z10" s="256" t="s">
        <v>1523</v>
      </c>
      <c r="AA10" s="255" t="s">
        <v>1530</v>
      </c>
      <c r="AB10" s="255" t="s">
        <v>756</v>
      </c>
      <c r="AC10" s="255" t="s">
        <v>766</v>
      </c>
      <c r="AD10" s="255" t="s">
        <v>776</v>
      </c>
      <c r="AE10" s="255" t="s">
        <v>785</v>
      </c>
      <c r="AF10" s="50" t="s">
        <v>3657</v>
      </c>
      <c r="AG10" s="50" t="s">
        <v>3658</v>
      </c>
      <c r="AH10" s="50" t="s">
        <v>3775</v>
      </c>
      <c r="AI10" s="104">
        <v>45538</v>
      </c>
      <c r="AJ10" s="104" t="s">
        <v>4508</v>
      </c>
      <c r="AK10" s="50"/>
      <c r="AL10" s="50"/>
      <c r="AM10" s="104"/>
      <c r="AN10" s="104"/>
    </row>
    <row r="11" spans="2:40">
      <c r="B11" s="50" t="s">
        <v>3610</v>
      </c>
      <c r="C11" s="50">
        <v>9</v>
      </c>
      <c r="D11" s="50" t="s">
        <v>4509</v>
      </c>
      <c r="E11" s="104">
        <v>45538</v>
      </c>
      <c r="F11" s="50">
        <v>1</v>
      </c>
      <c r="G11" s="104" t="s">
        <v>3647</v>
      </c>
      <c r="H11" s="50" t="s">
        <v>3656</v>
      </c>
      <c r="I11" s="50"/>
      <c r="J11" s="50">
        <v>4.0142670650000004E+25</v>
      </c>
      <c r="K11" s="50" t="s">
        <v>4510</v>
      </c>
      <c r="L11" s="50">
        <v>29</v>
      </c>
      <c r="M11" s="50">
        <v>1</v>
      </c>
      <c r="N11" s="104">
        <v>28877</v>
      </c>
      <c r="O11" s="104" t="s">
        <v>3770</v>
      </c>
      <c r="P11" s="50">
        <v>36</v>
      </c>
      <c r="Q11" s="50">
        <v>0</v>
      </c>
      <c r="R11" s="107">
        <v>-1419736369000000</v>
      </c>
      <c r="S11" s="50" t="s">
        <v>3656</v>
      </c>
      <c r="T11" s="107">
        <v>-1419736369000000</v>
      </c>
      <c r="U11" s="50" t="s">
        <v>3656</v>
      </c>
      <c r="V11" s="255" t="s">
        <v>4149</v>
      </c>
      <c r="W11" s="255" t="s">
        <v>1987</v>
      </c>
      <c r="X11" s="255" t="s">
        <v>1998</v>
      </c>
      <c r="Y11" s="256" t="s">
        <v>2008</v>
      </c>
      <c r="Z11" s="256" t="s">
        <v>1523</v>
      </c>
      <c r="AA11" s="255" t="s">
        <v>1530</v>
      </c>
      <c r="AB11" s="255" t="s">
        <v>756</v>
      </c>
      <c r="AC11" s="255" t="s">
        <v>766</v>
      </c>
      <c r="AD11" s="255" t="s">
        <v>776</v>
      </c>
      <c r="AE11" s="255" t="s">
        <v>785</v>
      </c>
      <c r="AF11" s="50">
        <v>0</v>
      </c>
      <c r="AG11" s="50"/>
      <c r="AH11" s="50" t="s">
        <v>3775</v>
      </c>
      <c r="AI11" s="104">
        <v>45538</v>
      </c>
      <c r="AJ11" s="104" t="s">
        <v>4511</v>
      </c>
      <c r="AK11" s="50"/>
      <c r="AL11" s="50"/>
      <c r="AM11" s="104"/>
      <c r="AN11" s="104"/>
    </row>
    <row r="12" spans="2:40">
      <c r="B12" s="106" t="s">
        <v>3612</v>
      </c>
      <c r="C12" s="50">
        <v>10</v>
      </c>
      <c r="D12" s="50" t="s">
        <v>4512</v>
      </c>
      <c r="E12" s="104">
        <v>45538</v>
      </c>
      <c r="F12" s="50">
        <v>1</v>
      </c>
      <c r="G12" s="104" t="s">
        <v>3647</v>
      </c>
      <c r="H12" s="50" t="s">
        <v>3656</v>
      </c>
      <c r="I12" s="50">
        <v>31</v>
      </c>
      <c r="J12" s="50">
        <v>2.5631600365802999E+29</v>
      </c>
      <c r="K12" s="50" t="s">
        <v>4507</v>
      </c>
      <c r="L12" s="50">
        <v>30</v>
      </c>
      <c r="M12" s="50">
        <v>340</v>
      </c>
      <c r="N12" s="104">
        <v>45135</v>
      </c>
      <c r="O12" s="104">
        <v>2958465</v>
      </c>
      <c r="P12" s="50">
        <v>985</v>
      </c>
      <c r="Q12" s="50">
        <v>0</v>
      </c>
      <c r="R12" s="107">
        <v>5007826750000</v>
      </c>
      <c r="S12" s="202" t="s">
        <v>3656</v>
      </c>
      <c r="T12" s="107">
        <v>5007826750000</v>
      </c>
      <c r="U12" s="107" t="s">
        <v>3656</v>
      </c>
      <c r="V12" s="256" t="s">
        <v>4149</v>
      </c>
      <c r="W12" s="256" t="s">
        <v>1987</v>
      </c>
      <c r="X12" s="256" t="s">
        <v>1998</v>
      </c>
      <c r="Y12" s="256" t="s">
        <v>2008</v>
      </c>
      <c r="Z12" s="256" t="s">
        <v>1523</v>
      </c>
      <c r="AA12" s="256" t="s">
        <v>1530</v>
      </c>
      <c r="AB12" s="255" t="s">
        <v>756</v>
      </c>
      <c r="AC12" s="255" t="s">
        <v>766</v>
      </c>
      <c r="AD12" s="257" t="s">
        <v>776</v>
      </c>
      <c r="AE12" s="255" t="s">
        <v>785</v>
      </c>
      <c r="AF12" s="50" t="s">
        <v>3657</v>
      </c>
      <c r="AG12" s="50" t="s">
        <v>3658</v>
      </c>
      <c r="AH12" s="50" t="s">
        <v>3775</v>
      </c>
      <c r="AI12" s="104">
        <v>45538</v>
      </c>
      <c r="AJ12" s="104" t="s">
        <v>4508</v>
      </c>
      <c r="AK12" s="50"/>
      <c r="AL12" s="50"/>
      <c r="AM12" s="104"/>
      <c r="AN12" s="104"/>
    </row>
    <row r="13" spans="2:40">
      <c r="B13" s="50" t="s">
        <v>3614</v>
      </c>
      <c r="C13" s="50">
        <v>11</v>
      </c>
      <c r="D13" s="50" t="s">
        <v>4513</v>
      </c>
      <c r="E13" s="104">
        <v>45538</v>
      </c>
      <c r="F13" s="50">
        <v>1</v>
      </c>
      <c r="G13" s="104" t="s">
        <v>3647</v>
      </c>
      <c r="H13" s="50" t="s">
        <v>3656</v>
      </c>
      <c r="I13" s="50"/>
      <c r="J13" s="50">
        <v>2.5631600365802999E+29</v>
      </c>
      <c r="K13" s="50" t="s">
        <v>4510</v>
      </c>
      <c r="L13" s="50">
        <v>30</v>
      </c>
      <c r="M13" s="50">
        <v>340</v>
      </c>
      <c r="N13" s="104">
        <v>45135</v>
      </c>
      <c r="O13" s="104" t="s">
        <v>3770</v>
      </c>
      <c r="P13" s="50">
        <v>985</v>
      </c>
      <c r="Q13" s="50">
        <v>0</v>
      </c>
      <c r="R13" s="107">
        <v>5007826750000</v>
      </c>
      <c r="S13" s="104" t="s">
        <v>3656</v>
      </c>
      <c r="T13" s="107">
        <v>5007826750000</v>
      </c>
      <c r="U13" s="107" t="s">
        <v>3656</v>
      </c>
      <c r="V13" s="255" t="s">
        <v>4149</v>
      </c>
      <c r="W13" s="255" t="s">
        <v>1987</v>
      </c>
      <c r="X13" s="255" t="s">
        <v>1998</v>
      </c>
      <c r="Y13" s="256" t="s">
        <v>2008</v>
      </c>
      <c r="Z13" s="256" t="s">
        <v>1523</v>
      </c>
      <c r="AA13" s="256" t="s">
        <v>1530</v>
      </c>
      <c r="AB13" s="255" t="s">
        <v>756</v>
      </c>
      <c r="AC13" s="255" t="s">
        <v>766</v>
      </c>
      <c r="AD13" s="257" t="s">
        <v>776</v>
      </c>
      <c r="AE13" s="255" t="s">
        <v>785</v>
      </c>
      <c r="AF13" s="50">
        <v>0</v>
      </c>
      <c r="AG13" s="50"/>
      <c r="AH13" s="50" t="s">
        <v>3775</v>
      </c>
      <c r="AI13" s="104">
        <v>45538</v>
      </c>
      <c r="AJ13" s="104" t="s">
        <v>4514</v>
      </c>
      <c r="AK13" s="50"/>
      <c r="AL13" s="50"/>
      <c r="AM13" s="104"/>
      <c r="AN13" s="104"/>
    </row>
    <row r="14" spans="2:40">
      <c r="B14" s="50" t="s">
        <v>3616</v>
      </c>
      <c r="C14" s="50">
        <v>12</v>
      </c>
      <c r="D14" s="50" t="s">
        <v>4515</v>
      </c>
      <c r="E14" s="104">
        <v>45538</v>
      </c>
      <c r="F14" s="50">
        <v>1</v>
      </c>
      <c r="G14" s="272" t="s">
        <v>4373</v>
      </c>
      <c r="H14" s="50" t="s">
        <v>3656</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3618</v>
      </c>
      <c r="C15" s="50">
        <v>13</v>
      </c>
      <c r="D15" s="50" t="s">
        <v>4516</v>
      </c>
      <c r="E15" s="104">
        <v>45538</v>
      </c>
      <c r="F15" s="50">
        <v>1</v>
      </c>
      <c r="G15" s="272" t="s">
        <v>4373</v>
      </c>
      <c r="H15" s="50" t="s">
        <v>3656</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c r="B16" s="50" t="s">
        <v>3620</v>
      </c>
      <c r="C16" s="50">
        <v>14</v>
      </c>
      <c r="D16" s="50" t="s">
        <v>4517</v>
      </c>
      <c r="E16" s="104">
        <v>45538</v>
      </c>
      <c r="F16" s="50">
        <v>1</v>
      </c>
      <c r="G16" s="272" t="s">
        <v>4373</v>
      </c>
      <c r="H16" s="50" t="s">
        <v>3656</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c r="B17" s="50" t="s">
        <v>3622</v>
      </c>
      <c r="C17" s="50">
        <v>15</v>
      </c>
      <c r="D17" s="50" t="s">
        <v>4518</v>
      </c>
      <c r="E17" s="104">
        <v>45538</v>
      </c>
      <c r="F17" s="50">
        <v>1</v>
      </c>
      <c r="G17" s="272" t="s">
        <v>4373</v>
      </c>
      <c r="H17" s="50"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c r="B18" s="50" t="s">
        <v>3624</v>
      </c>
      <c r="C18" s="50">
        <v>16</v>
      </c>
      <c r="D18" s="50" t="s">
        <v>4518</v>
      </c>
      <c r="E18" s="104">
        <v>45538</v>
      </c>
      <c r="F18" s="50">
        <v>1</v>
      </c>
      <c r="G18" s="272" t="s">
        <v>4373</v>
      </c>
      <c r="H18" s="50"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c r="B19" s="50" t="s">
        <v>3626</v>
      </c>
      <c r="C19" s="50">
        <v>17</v>
      </c>
      <c r="D19" s="50" t="s">
        <v>4519</v>
      </c>
      <c r="E19" s="104">
        <v>45538</v>
      </c>
      <c r="F19" s="50">
        <v>1</v>
      </c>
      <c r="G19" s="272">
        <v>0.63</v>
      </c>
      <c r="H19" s="260" t="s">
        <v>4520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c r="B20" s="50" t="s">
        <v>3628</v>
      </c>
      <c r="C20" s="50">
        <v>18</v>
      </c>
      <c r="D20" s="50" t="s">
        <v>4519</v>
      </c>
      <c r="E20" s="104">
        <v>45538</v>
      </c>
      <c r="F20" s="50">
        <v>1</v>
      </c>
      <c r="G20" s="272" t="s">
        <v>4373</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c r="B21" s="50" t="s">
        <v>3630</v>
      </c>
      <c r="C21" s="50">
        <v>19</v>
      </c>
      <c r="D21" s="50" t="s">
        <v>4521</v>
      </c>
      <c r="E21" s="104">
        <v>45538</v>
      </c>
      <c r="F21" s="50">
        <v>1</v>
      </c>
      <c r="G21" s="218" cm="1">
        <f t="array" aca="1" ref="G21" ca="1">SUMPRODUCT(--(ISNUMBER((SEARCH(I27:AJ27,I21:AJ21)))))/COUNTA(I21:AJ21)</f>
        <v>0.7857142857142857</v>
      </c>
      <c r="H21" s="50" t="s">
        <v>3656</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3636</v>
      </c>
      <c r="C23" s="50">
        <v>21</v>
      </c>
      <c r="D23" s="50"/>
      <c r="E23" s="104"/>
      <c r="F23" s="50"/>
      <c r="G23" s="202" cm="1">
        <f t="array" aca="1" ref="G23" ca="1">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3753</v>
      </c>
    </row>
    <row r="26" spans="2:40">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3684</v>
      </c>
      <c r="C27" s="102">
        <v>21</v>
      </c>
      <c r="D27" s="101" t="s">
        <v>3685</v>
      </c>
      <c r="E27" t="s">
        <v>3686</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3688</v>
      </c>
    </row>
    <row r="31" spans="2:40">
      <c r="B31" s="143" t="s">
        <v>3689</v>
      </c>
      <c r="C31" s="143" t="s">
        <v>3690</v>
      </c>
      <c r="D31" s="144" t="s">
        <v>3691</v>
      </c>
      <c r="E31" s="143" t="s">
        <v>3692</v>
      </c>
      <c r="F31" s="143" t="s">
        <v>3693</v>
      </c>
    </row>
    <row r="32" spans="2:40" ht="29.1">
      <c r="B32" s="120" t="s">
        <v>3704</v>
      </c>
      <c r="C32" s="124" t="s">
        <v>4469</v>
      </c>
      <c r="D32" s="53" t="s">
        <v>4522</v>
      </c>
      <c r="E32" s="162" t="s">
        <v>4523</v>
      </c>
      <c r="F32" s="145" t="s">
        <v>3700</v>
      </c>
    </row>
    <row r="33" spans="2:6" ht="43.5">
      <c r="B33" s="146" t="s">
        <v>3797</v>
      </c>
      <c r="C33" s="147" t="s">
        <v>4149</v>
      </c>
      <c r="D33" s="148" t="s">
        <v>3798</v>
      </c>
      <c r="E33" s="106" t="s">
        <v>4524</v>
      </c>
      <c r="F33" s="198" t="s">
        <v>3700</v>
      </c>
    </row>
    <row r="34" spans="2:6" ht="43.5">
      <c r="B34" s="146" t="s">
        <v>3797</v>
      </c>
      <c r="C34" s="147" t="s">
        <v>1987</v>
      </c>
      <c r="D34" s="148" t="s">
        <v>3798</v>
      </c>
      <c r="E34" s="106" t="s">
        <v>4524</v>
      </c>
      <c r="F34" s="198" t="s">
        <v>3700</v>
      </c>
    </row>
    <row r="35" spans="2:6" ht="43.5">
      <c r="B35" s="146" t="s">
        <v>3797</v>
      </c>
      <c r="C35" s="147" t="s">
        <v>1998</v>
      </c>
      <c r="D35" s="148" t="s">
        <v>3798</v>
      </c>
      <c r="E35" s="106" t="s">
        <v>4524</v>
      </c>
      <c r="F35" s="198" t="s">
        <v>3700</v>
      </c>
    </row>
    <row r="36" spans="2:6" ht="43.5">
      <c r="B36" s="146" t="s">
        <v>3797</v>
      </c>
      <c r="C36" s="147" t="s">
        <v>1523</v>
      </c>
      <c r="D36" s="148" t="s">
        <v>3798</v>
      </c>
      <c r="E36" s="106" t="s">
        <v>4524</v>
      </c>
      <c r="F36" s="198" t="s">
        <v>3700</v>
      </c>
    </row>
    <row r="37" spans="2:6" ht="43.5">
      <c r="B37" s="146" t="s">
        <v>3797</v>
      </c>
      <c r="C37" s="147" t="s">
        <v>1530</v>
      </c>
      <c r="D37" s="148" t="s">
        <v>3798</v>
      </c>
      <c r="E37" s="106" t="s">
        <v>4524</v>
      </c>
      <c r="F37" s="198" t="s">
        <v>3700</v>
      </c>
    </row>
    <row r="38" spans="2:6" ht="43.5">
      <c r="B38" s="146" t="s">
        <v>3797</v>
      </c>
      <c r="C38" s="147" t="s">
        <v>756</v>
      </c>
      <c r="D38" s="148" t="s">
        <v>3798</v>
      </c>
      <c r="E38" s="106" t="s">
        <v>4524</v>
      </c>
      <c r="F38" s="198" t="s">
        <v>3700</v>
      </c>
    </row>
    <row r="39" spans="2:6" ht="43.5">
      <c r="B39" s="146" t="s">
        <v>3797</v>
      </c>
      <c r="C39" s="147" t="s">
        <v>766</v>
      </c>
      <c r="D39" s="148" t="s">
        <v>3798</v>
      </c>
      <c r="E39" s="106" t="s">
        <v>4524</v>
      </c>
      <c r="F39" s="198" t="s">
        <v>3700</v>
      </c>
    </row>
    <row r="40" spans="2:6" ht="43.5">
      <c r="B40" s="146" t="s">
        <v>3797</v>
      </c>
      <c r="C40" s="147" t="s">
        <v>785</v>
      </c>
      <c r="D40" s="148" t="s">
        <v>3798</v>
      </c>
      <c r="E40" s="106" t="s">
        <v>4524</v>
      </c>
      <c r="F40" s="198" t="s">
        <v>3700</v>
      </c>
    </row>
    <row r="41" spans="2:6" ht="43.5">
      <c r="B41" s="146" t="s">
        <v>3807</v>
      </c>
      <c r="C41" s="147" t="s">
        <v>1998</v>
      </c>
      <c r="D41" s="148" t="s">
        <v>3808</v>
      </c>
      <c r="E41" s="106" t="s">
        <v>4524</v>
      </c>
      <c r="F41" s="198" t="s">
        <v>3700</v>
      </c>
    </row>
    <row r="42" spans="2:6" ht="43.5">
      <c r="B42" s="146" t="s">
        <v>3807</v>
      </c>
      <c r="C42" s="147" t="s">
        <v>2008</v>
      </c>
      <c r="D42" s="148" t="s">
        <v>3808</v>
      </c>
      <c r="E42" s="106" t="s">
        <v>4524</v>
      </c>
      <c r="F42" s="198" t="s">
        <v>3700</v>
      </c>
    </row>
    <row r="43" spans="2:6" ht="43.5">
      <c r="B43" s="146" t="s">
        <v>3807</v>
      </c>
      <c r="C43" s="147" t="s">
        <v>1523</v>
      </c>
      <c r="D43" s="148" t="s">
        <v>3808</v>
      </c>
      <c r="E43" s="106" t="s">
        <v>4524</v>
      </c>
      <c r="F43" s="198" t="s">
        <v>3700</v>
      </c>
    </row>
    <row r="44" spans="2:6" ht="43.5">
      <c r="B44" s="120" t="s">
        <v>3807</v>
      </c>
      <c r="C44" s="147" t="s">
        <v>766</v>
      </c>
      <c r="D44" s="53" t="s">
        <v>3808</v>
      </c>
      <c r="E44" s="106" t="s">
        <v>4524</v>
      </c>
      <c r="F44" s="198" t="s">
        <v>3700</v>
      </c>
    </row>
    <row r="45" spans="2:6" ht="43.5">
      <c r="B45" s="120" t="s">
        <v>3807</v>
      </c>
      <c r="C45" s="124" t="s">
        <v>776</v>
      </c>
      <c r="D45" s="53" t="s">
        <v>3808</v>
      </c>
      <c r="E45" s="106" t="s">
        <v>4524</v>
      </c>
      <c r="F45" s="198" t="s">
        <v>3700</v>
      </c>
    </row>
    <row r="46" spans="2:6" ht="43.5">
      <c r="B46" s="146" t="s">
        <v>3807</v>
      </c>
      <c r="C46" s="147" t="s">
        <v>785</v>
      </c>
      <c r="D46" s="148" t="s">
        <v>3808</v>
      </c>
      <c r="E46" s="106" t="s">
        <v>4524</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row>
    <row r="3" spans="2:15">
      <c r="B3" s="50" t="s">
        <v>3593</v>
      </c>
      <c r="C3" s="50">
        <v>1</v>
      </c>
      <c r="D3" s="50" t="s">
        <v>4525</v>
      </c>
      <c r="E3" s="104">
        <v>45492</v>
      </c>
      <c r="F3" s="50">
        <v>1</v>
      </c>
      <c r="G3" s="272" t="s">
        <v>4526</v>
      </c>
      <c r="H3" s="191" t="s">
        <v>4527</v>
      </c>
      <c r="I3" s="50" t="s">
        <v>3647</v>
      </c>
      <c r="J3" s="50" t="s">
        <v>3647</v>
      </c>
      <c r="K3" s="50" t="s">
        <v>3647</v>
      </c>
      <c r="L3" s="50" t="s">
        <v>3647</v>
      </c>
      <c r="M3" s="50" t="s">
        <v>3647</v>
      </c>
      <c r="N3" s="50" t="s">
        <v>3647</v>
      </c>
      <c r="O3" s="50" t="s">
        <v>3647</v>
      </c>
    </row>
    <row r="4" spans="2:15">
      <c r="B4" s="50" t="s">
        <v>3595</v>
      </c>
      <c r="C4" s="50">
        <v>2</v>
      </c>
      <c r="D4" s="50" t="s">
        <v>4528</v>
      </c>
      <c r="E4" s="104">
        <v>45492</v>
      </c>
      <c r="F4" s="50">
        <v>1</v>
      </c>
      <c r="G4" s="272" t="s">
        <v>4526</v>
      </c>
      <c r="H4" s="107">
        <v>0</v>
      </c>
      <c r="I4" s="50" t="s">
        <v>3647</v>
      </c>
      <c r="J4" s="50" t="s">
        <v>3647</v>
      </c>
      <c r="K4" s="50" t="s">
        <v>3647</v>
      </c>
      <c r="L4" s="50" t="s">
        <v>3647</v>
      </c>
      <c r="M4" s="50" t="s">
        <v>3647</v>
      </c>
      <c r="N4" s="50" t="s">
        <v>3647</v>
      </c>
      <c r="O4" s="50" t="s">
        <v>3647</v>
      </c>
    </row>
    <row r="5" spans="2:15">
      <c r="B5" s="50" t="s">
        <v>3597</v>
      </c>
      <c r="C5" s="50">
        <v>3</v>
      </c>
      <c r="D5" s="50" t="s">
        <v>4529</v>
      </c>
      <c r="E5" s="104">
        <v>45492</v>
      </c>
      <c r="F5" s="50">
        <v>1</v>
      </c>
      <c r="G5" s="272" t="s">
        <v>4526</v>
      </c>
      <c r="H5" s="107">
        <v>0</v>
      </c>
      <c r="I5" s="50">
        <v>0</v>
      </c>
      <c r="J5" s="50">
        <v>0</v>
      </c>
      <c r="K5" s="50">
        <v>0</v>
      </c>
      <c r="L5" s="50">
        <v>0</v>
      </c>
      <c r="M5" s="50">
        <v>0</v>
      </c>
      <c r="N5" s="50">
        <v>0</v>
      </c>
      <c r="O5" s="50" t="s">
        <v>3647</v>
      </c>
    </row>
    <row r="6" spans="2:15">
      <c r="B6" s="106" t="s">
        <v>3599</v>
      </c>
      <c r="C6" s="50">
        <v>4</v>
      </c>
      <c r="D6" s="50" t="s">
        <v>3650</v>
      </c>
      <c r="E6" s="104" t="s">
        <v>3647</v>
      </c>
      <c r="F6" s="50">
        <v>1</v>
      </c>
      <c r="G6" s="104" t="s">
        <v>3647</v>
      </c>
      <c r="H6" s="107">
        <v>0</v>
      </c>
      <c r="I6" s="50" t="s">
        <v>3647</v>
      </c>
      <c r="J6" s="50" t="s">
        <v>3647</v>
      </c>
      <c r="K6" s="50" t="s">
        <v>3647</v>
      </c>
      <c r="L6" s="50" t="s">
        <v>3647</v>
      </c>
      <c r="M6" s="50" t="s">
        <v>3647</v>
      </c>
      <c r="N6" s="50" t="s">
        <v>3647</v>
      </c>
      <c r="O6" s="50" t="s">
        <v>3647</v>
      </c>
    </row>
    <row r="7" spans="2:15">
      <c r="B7" s="50" t="s">
        <v>3601</v>
      </c>
      <c r="C7" s="50">
        <v>5</v>
      </c>
      <c r="D7" s="50" t="s">
        <v>3650</v>
      </c>
      <c r="E7" s="104" t="s">
        <v>3647</v>
      </c>
      <c r="F7" s="50">
        <v>1</v>
      </c>
      <c r="G7" s="104" t="s">
        <v>3647</v>
      </c>
      <c r="H7" s="107">
        <v>0</v>
      </c>
      <c r="I7" s="50" t="s">
        <v>3647</v>
      </c>
      <c r="J7" s="50" t="s">
        <v>3647</v>
      </c>
      <c r="K7" s="50" t="s">
        <v>3647</v>
      </c>
      <c r="L7" s="50" t="s">
        <v>3647</v>
      </c>
      <c r="M7" s="50" t="s">
        <v>3647</v>
      </c>
      <c r="N7" s="50" t="s">
        <v>3647</v>
      </c>
      <c r="O7" s="50" t="s">
        <v>3647</v>
      </c>
    </row>
    <row r="8" spans="2:15">
      <c r="B8" s="106" t="s">
        <v>3602</v>
      </c>
      <c r="C8" s="50">
        <v>6</v>
      </c>
      <c r="D8" s="50" t="s">
        <v>4530</v>
      </c>
      <c r="E8" s="104">
        <v>45492</v>
      </c>
      <c r="F8" s="50">
        <v>1</v>
      </c>
      <c r="G8" s="218" cm="1">
        <f t="array" ref="G8">SUMPRODUCT(--(I8:O8&gt;0))/COUNTA(I8:O8)</f>
        <v>1</v>
      </c>
      <c r="H8" s="107">
        <v>0</v>
      </c>
      <c r="I8" s="50">
        <v>2</v>
      </c>
      <c r="J8" s="50">
        <v>30</v>
      </c>
      <c r="K8" s="50">
        <v>3</v>
      </c>
      <c r="L8" s="50">
        <v>3</v>
      </c>
      <c r="M8" s="50">
        <v>3</v>
      </c>
      <c r="N8" s="50">
        <v>10</v>
      </c>
      <c r="O8" s="50">
        <v>23</v>
      </c>
    </row>
    <row r="9" spans="2:15">
      <c r="B9" s="50" t="s">
        <v>3605</v>
      </c>
      <c r="C9" s="50">
        <v>7</v>
      </c>
      <c r="D9" s="50" t="s">
        <v>4531</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3608</v>
      </c>
      <c r="C10" s="50">
        <v>8</v>
      </c>
      <c r="D10" s="50" t="s">
        <v>4532</v>
      </c>
      <c r="E10" s="104">
        <v>45492</v>
      </c>
      <c r="F10" s="50">
        <v>1</v>
      </c>
      <c r="G10" s="104" t="s">
        <v>3647</v>
      </c>
      <c r="H10" s="107">
        <v>0</v>
      </c>
      <c r="I10" s="50">
        <v>31</v>
      </c>
      <c r="J10" s="50">
        <v>2.317541E+21</v>
      </c>
      <c r="K10" s="50" t="s">
        <v>4363</v>
      </c>
      <c r="L10" s="50">
        <v>96</v>
      </c>
      <c r="M10" s="50">
        <v>1</v>
      </c>
      <c r="N10" s="104">
        <v>45492</v>
      </c>
      <c r="O10" s="104" t="s">
        <v>4533</v>
      </c>
    </row>
    <row r="11" spans="2:15">
      <c r="B11" s="50" t="s">
        <v>3610</v>
      </c>
      <c r="C11" s="50">
        <v>9</v>
      </c>
      <c r="D11" s="50" t="s">
        <v>4534</v>
      </c>
      <c r="E11" s="104">
        <v>45492</v>
      </c>
      <c r="F11" s="50">
        <v>1</v>
      </c>
      <c r="G11" s="104" t="s">
        <v>3647</v>
      </c>
      <c r="H11" s="107">
        <v>0</v>
      </c>
      <c r="I11" s="50">
        <v>31</v>
      </c>
      <c r="J11" s="50">
        <v>2.317541E+21</v>
      </c>
      <c r="K11" s="50" t="s">
        <v>4363</v>
      </c>
      <c r="L11" s="50">
        <v>96</v>
      </c>
      <c r="M11" s="50">
        <v>1</v>
      </c>
      <c r="N11" s="104">
        <v>45492</v>
      </c>
      <c r="O11" s="104" t="s">
        <v>4535</v>
      </c>
    </row>
    <row r="12" spans="2:15">
      <c r="B12" s="106" t="s">
        <v>3612</v>
      </c>
      <c r="C12" s="50">
        <v>10</v>
      </c>
      <c r="D12" s="50" t="s">
        <v>4536</v>
      </c>
      <c r="E12" s="104">
        <v>45492</v>
      </c>
      <c r="F12" s="50">
        <v>1</v>
      </c>
      <c r="G12" s="104" t="s">
        <v>3647</v>
      </c>
      <c r="H12" s="107">
        <v>0</v>
      </c>
      <c r="I12" s="50">
        <v>31</v>
      </c>
      <c r="J12" s="50">
        <v>6.8350096000050594E+29</v>
      </c>
      <c r="K12" s="50" t="s">
        <v>4363</v>
      </c>
      <c r="L12" s="50">
        <v>96</v>
      </c>
      <c r="M12" s="50" t="s">
        <v>4372</v>
      </c>
      <c r="N12" s="104">
        <v>45492</v>
      </c>
      <c r="O12" s="104" t="s">
        <v>4533</v>
      </c>
    </row>
    <row r="13" spans="2:15">
      <c r="B13" s="50" t="s">
        <v>3614</v>
      </c>
      <c r="C13" s="50">
        <v>11</v>
      </c>
      <c r="D13" s="50" t="s">
        <v>4537</v>
      </c>
      <c r="E13" s="104">
        <v>45492</v>
      </c>
      <c r="F13" s="50">
        <v>1</v>
      </c>
      <c r="G13" s="104" t="s">
        <v>3647</v>
      </c>
      <c r="H13" s="107">
        <v>0</v>
      </c>
      <c r="I13" s="50">
        <v>31</v>
      </c>
      <c r="J13" s="50">
        <v>6.8350096000050594E+29</v>
      </c>
      <c r="K13" s="50" t="s">
        <v>4363</v>
      </c>
      <c r="L13" s="50">
        <v>96</v>
      </c>
      <c r="M13" s="50" t="s">
        <v>4372</v>
      </c>
      <c r="N13" s="104">
        <v>45492</v>
      </c>
      <c r="O13" s="104" t="s">
        <v>4538</v>
      </c>
    </row>
    <row r="14" spans="2:15">
      <c r="B14" s="50" t="s">
        <v>3616</v>
      </c>
      <c r="C14" s="50">
        <v>12</v>
      </c>
      <c r="D14" s="50" t="s">
        <v>4539</v>
      </c>
      <c r="E14" s="104">
        <v>45492</v>
      </c>
      <c r="F14" s="50">
        <v>1</v>
      </c>
      <c r="G14" s="272" t="s">
        <v>4526</v>
      </c>
      <c r="H14" s="107">
        <v>0</v>
      </c>
      <c r="I14" s="50">
        <v>0</v>
      </c>
      <c r="J14" s="50">
        <v>0</v>
      </c>
      <c r="K14" s="50">
        <v>0</v>
      </c>
      <c r="L14" s="50">
        <v>0</v>
      </c>
      <c r="M14" s="50">
        <v>0</v>
      </c>
      <c r="N14" s="50">
        <v>0</v>
      </c>
      <c r="O14" s="50">
        <v>0</v>
      </c>
    </row>
    <row r="15" spans="2:15">
      <c r="B15" s="50" t="s">
        <v>3618</v>
      </c>
      <c r="C15" s="50">
        <v>13</v>
      </c>
      <c r="D15" s="50" t="s">
        <v>4540</v>
      </c>
      <c r="E15" s="104">
        <v>45492</v>
      </c>
      <c r="F15" s="50">
        <v>1</v>
      </c>
      <c r="G15" s="272" t="s">
        <v>4526</v>
      </c>
      <c r="H15" s="107">
        <v>0</v>
      </c>
      <c r="I15" s="50" t="s">
        <v>3647</v>
      </c>
      <c r="J15" s="50" t="s">
        <v>3647</v>
      </c>
      <c r="K15" s="50" t="s">
        <v>3647</v>
      </c>
      <c r="L15" s="50" t="s">
        <v>3647</v>
      </c>
      <c r="M15" s="50" t="s">
        <v>3647</v>
      </c>
      <c r="N15" s="104">
        <v>0</v>
      </c>
      <c r="O15" s="104" t="s">
        <v>3647</v>
      </c>
    </row>
    <row r="16" spans="2:15">
      <c r="B16" s="50" t="s">
        <v>3620</v>
      </c>
      <c r="C16" s="50">
        <v>14</v>
      </c>
      <c r="D16" s="50" t="s">
        <v>4541</v>
      </c>
      <c r="E16" s="104">
        <v>45492</v>
      </c>
      <c r="F16" s="50">
        <v>1</v>
      </c>
      <c r="G16" s="272" t="s">
        <v>4526</v>
      </c>
      <c r="H16" s="107">
        <v>0</v>
      </c>
      <c r="I16" s="50">
        <v>0</v>
      </c>
      <c r="J16" s="50">
        <v>0</v>
      </c>
      <c r="K16" s="50">
        <v>0</v>
      </c>
      <c r="L16" s="50">
        <v>0</v>
      </c>
      <c r="M16" s="50">
        <v>0</v>
      </c>
      <c r="N16" s="50">
        <v>0</v>
      </c>
      <c r="O16" s="50" t="s">
        <v>3647</v>
      </c>
    </row>
    <row r="17" spans="2:24">
      <c r="B17" s="50" t="s">
        <v>3622</v>
      </c>
      <c r="C17" s="50">
        <v>15</v>
      </c>
      <c r="D17" s="50" t="s">
        <v>4542</v>
      </c>
      <c r="E17" s="104">
        <v>45492</v>
      </c>
      <c r="F17" s="50">
        <v>1</v>
      </c>
      <c r="G17" s="272" t="s">
        <v>4526</v>
      </c>
      <c r="H17" s="107">
        <v>0</v>
      </c>
      <c r="I17" s="50" t="s">
        <v>3647</v>
      </c>
      <c r="J17" s="50" t="s">
        <v>3647</v>
      </c>
      <c r="K17" s="50" t="s">
        <v>3647</v>
      </c>
      <c r="L17" s="50" t="s">
        <v>3647</v>
      </c>
      <c r="M17" s="50" t="s">
        <v>3647</v>
      </c>
      <c r="N17" s="106" t="s">
        <v>3647</v>
      </c>
      <c r="O17" s="106" t="s">
        <v>3647</v>
      </c>
    </row>
    <row r="18" spans="2:24">
      <c r="B18" s="50" t="s">
        <v>3624</v>
      </c>
      <c r="C18" s="50">
        <v>16</v>
      </c>
      <c r="D18" s="50" t="s">
        <v>4542</v>
      </c>
      <c r="E18" s="104">
        <v>45492</v>
      </c>
      <c r="F18" s="50">
        <v>1</v>
      </c>
      <c r="G18" s="272" t="s">
        <v>4526</v>
      </c>
      <c r="H18" s="107">
        <v>0</v>
      </c>
      <c r="I18" s="50" t="s">
        <v>3647</v>
      </c>
      <c r="J18" s="50" t="s">
        <v>3647</v>
      </c>
      <c r="K18" s="50" t="s">
        <v>3647</v>
      </c>
      <c r="L18" s="50" t="s">
        <v>3647</v>
      </c>
      <c r="M18" s="50" t="s">
        <v>3647</v>
      </c>
      <c r="N18" s="106" t="s">
        <v>3647</v>
      </c>
      <c r="O18" s="106" t="s">
        <v>3647</v>
      </c>
    </row>
    <row r="19" spans="2:24">
      <c r="B19" s="50" t="s">
        <v>3626</v>
      </c>
      <c r="C19" s="50">
        <v>17</v>
      </c>
      <c r="D19" s="50" t="s">
        <v>4543</v>
      </c>
      <c r="E19" s="104">
        <v>45492</v>
      </c>
      <c r="F19" s="50">
        <v>1</v>
      </c>
      <c r="G19" s="272" t="s">
        <v>4526</v>
      </c>
      <c r="H19" s="107">
        <v>0</v>
      </c>
      <c r="I19" s="50" t="s">
        <v>3681</v>
      </c>
      <c r="J19" s="50" t="s">
        <v>3681</v>
      </c>
      <c r="K19" s="50" t="s">
        <v>3681</v>
      </c>
      <c r="L19" s="50" t="s">
        <v>3681</v>
      </c>
      <c r="M19" s="50" t="s">
        <v>3681</v>
      </c>
      <c r="N19" s="50" t="s">
        <v>3681</v>
      </c>
      <c r="O19" s="50" t="s">
        <v>3683</v>
      </c>
    </row>
    <row r="20" spans="2:24">
      <c r="B20" s="50" t="s">
        <v>3628</v>
      </c>
      <c r="C20" s="50">
        <v>18</v>
      </c>
      <c r="D20" s="50" t="s">
        <v>4544</v>
      </c>
      <c r="E20" s="104">
        <v>45516</v>
      </c>
      <c r="F20" s="50">
        <v>1</v>
      </c>
      <c r="G20" s="272" t="s">
        <v>4526</v>
      </c>
      <c r="H20" s="107">
        <v>0</v>
      </c>
      <c r="I20" s="50" t="s">
        <v>3647</v>
      </c>
      <c r="J20" s="50" t="s">
        <v>3647</v>
      </c>
      <c r="K20" s="50" t="s">
        <v>3647</v>
      </c>
      <c r="L20" s="50" t="s">
        <v>3647</v>
      </c>
      <c r="M20" s="50" t="s">
        <v>3647</v>
      </c>
      <c r="N20" s="50" t="s">
        <v>3647</v>
      </c>
      <c r="O20" s="50" t="s">
        <v>3647</v>
      </c>
    </row>
    <row r="21" spans="2:24">
      <c r="B21" s="50" t="s">
        <v>3630</v>
      </c>
      <c r="C21" s="50">
        <v>19</v>
      </c>
      <c r="D21" s="50" t="s">
        <v>4545</v>
      </c>
      <c r="E21" s="104">
        <v>45492</v>
      </c>
      <c r="F21" s="50">
        <v>1</v>
      </c>
      <c r="G21" s="272" cm="1">
        <f t="array" aca="1" ref="G21" ca="1">SUMPRODUCT(--(ISNUMBER((SEARCH(I27:O27,I21:O21)))))/COUNTA(I21:O21)</f>
        <v>0</v>
      </c>
      <c r="H21" s="107">
        <v>0</v>
      </c>
      <c r="I21" s="50" t="s">
        <v>3647</v>
      </c>
      <c r="J21" s="50" t="s">
        <v>3647</v>
      </c>
      <c r="K21" s="50" t="s">
        <v>3647</v>
      </c>
      <c r="L21" s="50" t="s">
        <v>3647</v>
      </c>
      <c r="M21" s="50" t="s">
        <v>3647</v>
      </c>
      <c r="N21" s="50" t="s">
        <v>3647</v>
      </c>
      <c r="O21" s="50" t="s">
        <v>3647</v>
      </c>
    </row>
    <row r="22" spans="2:24">
      <c r="B22" s="50" t="s">
        <v>3633</v>
      </c>
      <c r="C22" s="50">
        <v>20</v>
      </c>
      <c r="D22" s="50"/>
      <c r="E22" s="104"/>
      <c r="F22" s="50"/>
      <c r="G22" s="202" cm="1">
        <f t="array" ref="G22">SUM(IF(I2:O2 = I26:O26, 1, 0))/ COUNTA(I2:O2)</f>
        <v>0.7142857142857143</v>
      </c>
      <c r="H22" s="50"/>
      <c r="I22" s="50"/>
      <c r="J22" s="50"/>
      <c r="K22" s="50"/>
      <c r="L22" s="50"/>
      <c r="M22" s="50"/>
      <c r="N22" s="50"/>
      <c r="O22" s="50"/>
    </row>
    <row r="23" spans="2:24">
      <c r="B23" s="50" t="s">
        <v>3636</v>
      </c>
      <c r="C23" s="50">
        <v>21</v>
      </c>
      <c r="D23" s="50"/>
      <c r="E23" s="104"/>
      <c r="F23" s="50"/>
      <c r="G23" s="202" cm="1">
        <f t="array" aca="1" ref="G23" ca="1">SUM(IF(IF(G3:G22="null",1,G3:G22)=1,1,0))/COUNT(IF(G3:G22="null",1,1))</f>
        <v>0.35</v>
      </c>
      <c r="H23" s="50"/>
      <c r="I23" s="50"/>
      <c r="J23" s="50"/>
      <c r="K23" s="50"/>
      <c r="L23" s="50"/>
      <c r="M23" s="50"/>
      <c r="N23" s="50"/>
      <c r="O23" s="50"/>
    </row>
    <row r="25" spans="2:24">
      <c r="B25" s="139" t="s">
        <v>3753</v>
      </c>
    </row>
    <row r="26" spans="2:24">
      <c r="B26" s="137" t="s">
        <v>3639</v>
      </c>
      <c r="C26" s="138" t="s">
        <v>3640</v>
      </c>
      <c r="D26" s="138" t="s">
        <v>3641</v>
      </c>
      <c r="E26" s="138" t="s">
        <v>3642</v>
      </c>
      <c r="F26" s="138" t="s">
        <v>3643</v>
      </c>
      <c r="G26" s="138" t="s">
        <v>3644</v>
      </c>
      <c r="H26" s="138" t="s">
        <v>3645</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3684</v>
      </c>
      <c r="C27" s="102">
        <v>21</v>
      </c>
      <c r="D27" s="101" t="s">
        <v>3685</v>
      </c>
      <c r="E27" t="s">
        <v>3686</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3687</v>
      </c>
      <c r="C28" s="160">
        <v>7</v>
      </c>
      <c r="D28" s="115" t="s">
        <v>3685</v>
      </c>
      <c r="E28" s="114" t="s">
        <v>3686</v>
      </c>
      <c r="F28" s="114" t="s">
        <v>372</v>
      </c>
      <c r="G28" s="114" t="s">
        <v>372</v>
      </c>
      <c r="H28" s="114" t="s">
        <v>372</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3688</v>
      </c>
    </row>
    <row r="31" spans="2:24">
      <c r="B31" s="143" t="s">
        <v>3689</v>
      </c>
      <c r="C31" s="143" t="s">
        <v>3690</v>
      </c>
      <c r="D31" s="144" t="s">
        <v>3691</v>
      </c>
      <c r="E31" s="143" t="s">
        <v>3692</v>
      </c>
      <c r="F31" s="143" t="s">
        <v>3693</v>
      </c>
    </row>
    <row r="32" spans="2:24" ht="29.1">
      <c r="B32" s="120" t="s">
        <v>3797</v>
      </c>
      <c r="C32" s="124" t="s">
        <v>4469</v>
      </c>
      <c r="D32" s="53" t="s">
        <v>4546</v>
      </c>
      <c r="E32" s="162" t="s">
        <v>4547</v>
      </c>
      <c r="F32" s="145" t="s">
        <v>3700</v>
      </c>
    </row>
    <row r="33" spans="2:6" ht="29.1">
      <c r="B33" s="146" t="s">
        <v>3807</v>
      </c>
      <c r="C33" s="147" t="s">
        <v>4469</v>
      </c>
      <c r="D33" s="148" t="s">
        <v>4546</v>
      </c>
      <c r="E33" s="273" t="s">
        <v>4547</v>
      </c>
      <c r="F33"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3764</v>
      </c>
      <c r="C2" s="85" t="s">
        <v>3640</v>
      </c>
      <c r="D2" s="85" t="s">
        <v>3641</v>
      </c>
      <c r="E2" s="85" t="s">
        <v>3642</v>
      </c>
      <c r="F2" s="85" t="s">
        <v>3643</v>
      </c>
      <c r="G2" s="85" t="s">
        <v>3644</v>
      </c>
      <c r="H2" s="85" t="s">
        <v>3645</v>
      </c>
      <c r="I2" s="85" t="s">
        <v>121</v>
      </c>
      <c r="J2" s="85" t="s">
        <v>137</v>
      </c>
      <c r="K2" s="138" t="s">
        <v>4548</v>
      </c>
      <c r="L2" s="138" t="s">
        <v>4549</v>
      </c>
      <c r="M2" s="85" t="s">
        <v>4550</v>
      </c>
      <c r="N2" s="85" t="s">
        <v>4551</v>
      </c>
      <c r="O2" s="85" t="s">
        <v>318</v>
      </c>
      <c r="P2" s="85" t="s">
        <v>327</v>
      </c>
      <c r="Q2" s="85" t="s">
        <v>334</v>
      </c>
      <c r="R2" s="85"/>
    </row>
    <row r="3" spans="2:18">
      <c r="B3" s="50" t="s">
        <v>3593</v>
      </c>
      <c r="C3" s="50">
        <v>1</v>
      </c>
      <c r="D3" s="50" t="s">
        <v>4552</v>
      </c>
      <c r="E3" s="104">
        <v>45534</v>
      </c>
      <c r="F3" s="50">
        <v>1</v>
      </c>
      <c r="G3" s="272">
        <v>1</v>
      </c>
      <c r="H3" s="191">
        <v>10349</v>
      </c>
      <c r="I3" s="50" t="s">
        <v>3647</v>
      </c>
      <c r="J3" s="50" t="s">
        <v>3647</v>
      </c>
      <c r="K3" s="50" t="s">
        <v>3647</v>
      </c>
      <c r="L3" s="50" t="s">
        <v>3647</v>
      </c>
      <c r="M3" s="50" t="s">
        <v>3647</v>
      </c>
      <c r="N3" s="50" t="s">
        <v>3647</v>
      </c>
      <c r="O3" s="50" t="s">
        <v>3647</v>
      </c>
      <c r="P3" s="50" t="s">
        <v>3647</v>
      </c>
      <c r="Q3" s="50" t="s">
        <v>3647</v>
      </c>
      <c r="R3" s="50"/>
    </row>
    <row r="4" spans="2:18">
      <c r="B4" s="50" t="s">
        <v>3595</v>
      </c>
      <c r="C4" s="50">
        <v>2</v>
      </c>
      <c r="D4" s="50" t="s">
        <v>4553</v>
      </c>
      <c r="E4" s="104">
        <v>45534</v>
      </c>
      <c r="F4" s="50">
        <v>1</v>
      </c>
      <c r="G4" s="272">
        <v>1</v>
      </c>
      <c r="H4" s="50" t="s">
        <v>3656</v>
      </c>
      <c r="I4" s="50" t="s">
        <v>3647</v>
      </c>
      <c r="J4" s="50" t="s">
        <v>3647</v>
      </c>
      <c r="K4" s="50" t="s">
        <v>3647</v>
      </c>
      <c r="L4" s="50" t="s">
        <v>3647</v>
      </c>
      <c r="M4" s="50" t="s">
        <v>3647</v>
      </c>
      <c r="N4" s="50" t="s">
        <v>3647</v>
      </c>
      <c r="O4" s="50" t="s">
        <v>3647</v>
      </c>
      <c r="P4" s="50" t="s">
        <v>3647</v>
      </c>
      <c r="Q4" s="50" t="s">
        <v>3647</v>
      </c>
      <c r="R4" s="50"/>
    </row>
    <row r="5" spans="2:18">
      <c r="B5" s="50" t="s">
        <v>3597</v>
      </c>
      <c r="C5" s="50">
        <v>3</v>
      </c>
      <c r="D5" s="50" t="s">
        <v>4554</v>
      </c>
      <c r="E5" s="104">
        <v>45534</v>
      </c>
      <c r="F5" s="50">
        <v>1</v>
      </c>
      <c r="G5" s="272">
        <v>1</v>
      </c>
      <c r="H5" s="50" t="s">
        <v>3656</v>
      </c>
      <c r="I5" s="50">
        <v>0</v>
      </c>
      <c r="J5" s="50">
        <v>0</v>
      </c>
      <c r="K5" s="50">
        <v>0</v>
      </c>
      <c r="L5" s="50" t="s">
        <v>3647</v>
      </c>
      <c r="M5" s="50" t="s">
        <v>3647</v>
      </c>
      <c r="N5" s="50" t="s">
        <v>3647</v>
      </c>
      <c r="O5" s="50" t="s">
        <v>3647</v>
      </c>
      <c r="P5" s="50">
        <v>0</v>
      </c>
      <c r="Q5" s="50" t="s">
        <v>3647</v>
      </c>
      <c r="R5" s="50"/>
    </row>
    <row r="6" spans="2:18">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row>
    <row r="7" spans="2:18">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row>
    <row r="8" spans="2:18">
      <c r="B8" s="106" t="s">
        <v>3602</v>
      </c>
      <c r="C8" s="50">
        <v>6</v>
      </c>
      <c r="D8" s="50" t="s">
        <v>4555</v>
      </c>
      <c r="E8" s="104">
        <v>45534</v>
      </c>
      <c r="F8" s="50">
        <v>1</v>
      </c>
      <c r="G8" s="218" cm="1">
        <f t="array" ref="G8">SUMPRODUCT(--(I8:O8&gt;0))/COUNTA(I8:O8)</f>
        <v>1</v>
      </c>
      <c r="H8" s="50" t="s">
        <v>3656</v>
      </c>
      <c r="I8" s="50">
        <v>2</v>
      </c>
      <c r="J8" s="50">
        <v>30</v>
      </c>
      <c r="K8" s="50">
        <v>1</v>
      </c>
      <c r="L8" s="50">
        <v>1</v>
      </c>
      <c r="M8" s="50">
        <v>1</v>
      </c>
      <c r="N8" s="50">
        <v>1</v>
      </c>
      <c r="O8" s="50">
        <v>2</v>
      </c>
      <c r="P8" s="50">
        <v>10</v>
      </c>
      <c r="Q8" s="50">
        <v>23</v>
      </c>
      <c r="R8" s="50"/>
    </row>
    <row r="9" spans="2:18">
      <c r="B9" s="50" t="s">
        <v>3605</v>
      </c>
      <c r="C9" s="50">
        <v>7</v>
      </c>
      <c r="D9" s="50" t="s">
        <v>4556</v>
      </c>
      <c r="E9" s="104">
        <v>45534</v>
      </c>
      <c r="F9" s="50">
        <v>1</v>
      </c>
      <c r="G9" s="218" t="e" cm="1">
        <f t="array" ref="G9">SUMPRODUCT(--(I9:Q9 &lt;= I26:Q26))/COUNTA(I26:Q26)</f>
        <v>#DIV/0!</v>
      </c>
      <c r="H9" s="50" t="s">
        <v>3656</v>
      </c>
      <c r="I9" s="50">
        <v>2</v>
      </c>
      <c r="J9" s="50">
        <v>30</v>
      </c>
      <c r="K9" s="50">
        <v>2</v>
      </c>
      <c r="L9" s="50">
        <v>35</v>
      </c>
      <c r="M9" s="50">
        <v>28</v>
      </c>
      <c r="N9" s="50">
        <v>31</v>
      </c>
      <c r="O9" s="50">
        <v>2</v>
      </c>
      <c r="P9" s="50">
        <v>10</v>
      </c>
      <c r="Q9" s="50">
        <v>23</v>
      </c>
      <c r="R9" s="50"/>
    </row>
    <row r="10" spans="2:18">
      <c r="B10" s="50" t="s">
        <v>3608</v>
      </c>
      <c r="C10" s="50">
        <v>8</v>
      </c>
      <c r="D10" s="50" t="s">
        <v>4557</v>
      </c>
      <c r="E10" s="104">
        <v>45534</v>
      </c>
      <c r="F10" s="50">
        <v>1</v>
      </c>
      <c r="G10" s="104" t="s">
        <v>3647</v>
      </c>
      <c r="H10" s="50" t="s">
        <v>3656</v>
      </c>
      <c r="I10" s="50">
        <v>31</v>
      </c>
      <c r="J10" s="50">
        <v>6.6350038000872803E+29</v>
      </c>
      <c r="K10" s="50">
        <v>0</v>
      </c>
      <c r="L10" s="50" t="s">
        <v>4558</v>
      </c>
      <c r="M10" s="50" t="s">
        <v>4558</v>
      </c>
      <c r="N10" s="104" t="s">
        <v>4558</v>
      </c>
      <c r="O10" s="104" t="s">
        <v>4559</v>
      </c>
      <c r="P10" s="104">
        <v>45534</v>
      </c>
      <c r="Q10" s="104" t="s">
        <v>4560</v>
      </c>
      <c r="R10" s="104"/>
    </row>
    <row r="11" spans="2:18">
      <c r="B11" s="50" t="s">
        <v>3610</v>
      </c>
      <c r="C11" s="50">
        <v>9</v>
      </c>
      <c r="D11" s="50" t="s">
        <v>4561</v>
      </c>
      <c r="E11" s="104">
        <v>45534</v>
      </c>
      <c r="F11" s="50">
        <v>1</v>
      </c>
      <c r="G11" s="104" t="s">
        <v>3647</v>
      </c>
      <c r="H11" s="50" t="s">
        <v>3656</v>
      </c>
      <c r="I11" s="50"/>
      <c r="J11" s="50">
        <v>6.6350038000872803E+29</v>
      </c>
      <c r="K11" s="50">
        <v>0</v>
      </c>
      <c r="L11" s="50"/>
      <c r="M11" s="50"/>
      <c r="N11" s="104"/>
      <c r="O11" s="104" t="s">
        <v>4559</v>
      </c>
      <c r="P11" s="104">
        <v>45534</v>
      </c>
      <c r="Q11" s="104" t="s">
        <v>4562</v>
      </c>
      <c r="R11" s="104"/>
    </row>
    <row r="12" spans="2:18">
      <c r="B12" s="106" t="s">
        <v>3612</v>
      </c>
      <c r="C12" s="50">
        <v>10</v>
      </c>
      <c r="D12" s="50" t="s">
        <v>4563</v>
      </c>
      <c r="E12" s="104">
        <v>45534</v>
      </c>
      <c r="F12" s="50">
        <v>1</v>
      </c>
      <c r="G12" s="104" t="s">
        <v>3647</v>
      </c>
      <c r="H12" s="50" t="s">
        <v>3656</v>
      </c>
      <c r="I12" s="50">
        <v>31</v>
      </c>
      <c r="J12" s="50">
        <v>8.8780038000002303E+29</v>
      </c>
      <c r="K12" s="50">
        <v>99</v>
      </c>
      <c r="L12" s="50" t="s">
        <v>4564</v>
      </c>
      <c r="M12" s="50" t="s">
        <v>4565</v>
      </c>
      <c r="N12" s="104" t="s">
        <v>4566</v>
      </c>
      <c r="O12" s="104" t="s">
        <v>4567</v>
      </c>
      <c r="P12" s="104">
        <v>45534</v>
      </c>
      <c r="Q12" s="104" t="s">
        <v>4560</v>
      </c>
      <c r="R12" s="104"/>
    </row>
    <row r="13" spans="2:18">
      <c r="B13" s="50" t="s">
        <v>3614</v>
      </c>
      <c r="C13" s="50">
        <v>11</v>
      </c>
      <c r="D13" s="50" t="s">
        <v>4568</v>
      </c>
      <c r="E13" s="104">
        <v>45534</v>
      </c>
      <c r="F13" s="50">
        <v>1</v>
      </c>
      <c r="G13" s="104" t="s">
        <v>3647</v>
      </c>
      <c r="H13" s="50" t="s">
        <v>3656</v>
      </c>
      <c r="I13" s="50"/>
      <c r="J13" s="50">
        <v>8.8780038000002303E+29</v>
      </c>
      <c r="K13" s="50">
        <v>99</v>
      </c>
      <c r="L13" s="50" t="s">
        <v>4564</v>
      </c>
      <c r="M13" s="50" t="s">
        <v>4565</v>
      </c>
      <c r="N13" s="104" t="s">
        <v>4566</v>
      </c>
      <c r="O13" s="104" t="s">
        <v>4567</v>
      </c>
      <c r="P13" s="104">
        <v>45534</v>
      </c>
      <c r="Q13" s="104" t="s">
        <v>4569</v>
      </c>
      <c r="R13" s="104"/>
    </row>
    <row r="14" spans="2:18">
      <c r="B14" s="50" t="s">
        <v>3616</v>
      </c>
      <c r="C14" s="50">
        <v>12</v>
      </c>
      <c r="D14" s="50" t="s">
        <v>4570</v>
      </c>
      <c r="E14" s="104">
        <v>45534</v>
      </c>
      <c r="F14" s="50">
        <v>1</v>
      </c>
      <c r="G14" s="272">
        <v>0.67</v>
      </c>
      <c r="H14" s="50" t="s">
        <v>3656</v>
      </c>
      <c r="I14" s="50">
        <v>0</v>
      </c>
      <c r="J14" s="50">
        <v>0</v>
      </c>
      <c r="K14" s="50">
        <v>0</v>
      </c>
      <c r="L14" s="50">
        <v>9224</v>
      </c>
      <c r="M14" s="50">
        <v>9807</v>
      </c>
      <c r="N14" s="50">
        <v>9168</v>
      </c>
      <c r="O14" s="50">
        <v>0</v>
      </c>
      <c r="P14" s="50">
        <v>0</v>
      </c>
      <c r="Q14" s="50">
        <v>0</v>
      </c>
      <c r="R14" s="50"/>
    </row>
    <row r="15" spans="2:18">
      <c r="B15" s="50" t="s">
        <v>3618</v>
      </c>
      <c r="C15" s="50">
        <v>13</v>
      </c>
      <c r="D15" s="50" t="s">
        <v>4571</v>
      </c>
      <c r="E15" s="104">
        <v>45518</v>
      </c>
      <c r="F15" s="50">
        <v>1</v>
      </c>
      <c r="G15" s="272">
        <v>1</v>
      </c>
      <c r="H15" s="50" t="s">
        <v>3656</v>
      </c>
      <c r="I15" s="50">
        <v>0</v>
      </c>
      <c r="J15" s="50">
        <v>0</v>
      </c>
      <c r="K15" s="50">
        <v>0</v>
      </c>
      <c r="L15" s="50">
        <v>0</v>
      </c>
      <c r="M15" s="50" t="s">
        <v>3647</v>
      </c>
      <c r="N15" s="104">
        <v>0</v>
      </c>
      <c r="O15" s="104" t="s">
        <v>3647</v>
      </c>
      <c r="P15" s="50">
        <v>0</v>
      </c>
      <c r="Q15" s="50" t="s">
        <v>3647</v>
      </c>
      <c r="R15" s="104"/>
    </row>
    <row r="16" spans="2:18">
      <c r="B16" s="50" t="s">
        <v>3620</v>
      </c>
      <c r="C16" s="50">
        <v>14</v>
      </c>
      <c r="D16" s="50" t="s">
        <v>4572</v>
      </c>
      <c r="E16" s="104">
        <v>45534</v>
      </c>
      <c r="F16" s="50">
        <v>1</v>
      </c>
      <c r="G16" s="272">
        <v>1</v>
      </c>
      <c r="H16" s="107" t="s">
        <v>3656</v>
      </c>
      <c r="I16" s="50">
        <v>0</v>
      </c>
      <c r="J16" s="50">
        <v>0</v>
      </c>
      <c r="K16" s="50">
        <v>0</v>
      </c>
      <c r="L16" s="50">
        <v>0</v>
      </c>
      <c r="M16" s="50" t="s">
        <v>3647</v>
      </c>
      <c r="N16" s="50" t="s">
        <v>3647</v>
      </c>
      <c r="O16" s="50">
        <v>0</v>
      </c>
      <c r="P16" s="50" t="s">
        <v>3647</v>
      </c>
      <c r="Q16" s="50" t="s">
        <v>3647</v>
      </c>
      <c r="R16" s="50"/>
    </row>
    <row r="17" spans="2:19">
      <c r="B17" s="50" t="s">
        <v>3622</v>
      </c>
      <c r="C17" s="50">
        <v>15</v>
      </c>
      <c r="D17" s="50" t="s">
        <v>4573</v>
      </c>
      <c r="E17" s="104">
        <v>45534</v>
      </c>
      <c r="F17" s="50">
        <v>1</v>
      </c>
      <c r="G17" s="272">
        <v>1</v>
      </c>
      <c r="H17" s="50" t="s">
        <v>3656</v>
      </c>
      <c r="I17" s="50" t="s">
        <v>3647</v>
      </c>
      <c r="J17" s="50" t="s">
        <v>3647</v>
      </c>
      <c r="K17" s="50" t="s">
        <v>3647</v>
      </c>
      <c r="L17" s="50" t="s">
        <v>3647</v>
      </c>
      <c r="M17" s="50" t="s">
        <v>3647</v>
      </c>
      <c r="N17" s="50" t="s">
        <v>3647</v>
      </c>
      <c r="O17" s="50" t="s">
        <v>3647</v>
      </c>
      <c r="P17" s="50" t="s">
        <v>3647</v>
      </c>
      <c r="Q17" s="50" t="s">
        <v>3647</v>
      </c>
      <c r="R17" s="50"/>
    </row>
    <row r="18" spans="2:19">
      <c r="B18" s="50" t="s">
        <v>3624</v>
      </c>
      <c r="C18" s="50">
        <v>16</v>
      </c>
      <c r="D18" s="50" t="s">
        <v>4573</v>
      </c>
      <c r="E18" s="104">
        <v>45534</v>
      </c>
      <c r="F18" s="50">
        <v>1</v>
      </c>
      <c r="G18" s="272">
        <v>1</v>
      </c>
      <c r="H18" s="107" t="s">
        <v>3656</v>
      </c>
      <c r="I18" s="50" t="s">
        <v>3647</v>
      </c>
      <c r="J18" s="50" t="s">
        <v>3647</v>
      </c>
      <c r="K18" s="50" t="s">
        <v>3647</v>
      </c>
      <c r="L18" s="50" t="s">
        <v>3647</v>
      </c>
      <c r="M18" s="50" t="s">
        <v>3647</v>
      </c>
      <c r="N18" s="106" t="s">
        <v>3647</v>
      </c>
      <c r="O18" s="106" t="s">
        <v>3647</v>
      </c>
      <c r="P18" s="106" t="s">
        <v>3647</v>
      </c>
      <c r="Q18" s="106" t="s">
        <v>3647</v>
      </c>
      <c r="R18" s="50"/>
    </row>
    <row r="19" spans="2:19">
      <c r="B19" s="50" t="s">
        <v>3630</v>
      </c>
      <c r="C19" s="50">
        <v>19</v>
      </c>
      <c r="D19" s="50" t="s">
        <v>4574</v>
      </c>
      <c r="E19" s="104">
        <v>45534</v>
      </c>
      <c r="F19" s="50">
        <v>1</v>
      </c>
      <c r="G19" s="218" cm="1">
        <f t="array" aca="1" ref="G19" ca="1">SUMPRODUCT(--(ISNUMBER((SEARCH(I25:AJ25,I19:AJ19)))))/COUNTA(I19:AJ19)</f>
        <v>0.88888888888888884</v>
      </c>
      <c r="H19" s="107" t="s">
        <v>3656</v>
      </c>
      <c r="I19" s="50" t="s">
        <v>3681</v>
      </c>
      <c r="J19" s="50" t="s">
        <v>3681</v>
      </c>
      <c r="K19" s="50" t="s">
        <v>4575</v>
      </c>
      <c r="L19" s="50" t="s">
        <v>3681</v>
      </c>
      <c r="M19" s="50" t="s">
        <v>3681</v>
      </c>
      <c r="N19" s="106" t="s">
        <v>3681</v>
      </c>
      <c r="O19" s="106" t="s">
        <v>3681</v>
      </c>
      <c r="P19" s="50" t="s">
        <v>3681</v>
      </c>
      <c r="Q19" s="50" t="s">
        <v>3683</v>
      </c>
      <c r="R19" s="50"/>
    </row>
    <row r="20" spans="2:19">
      <c r="B20" s="50" t="s">
        <v>3633</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3636</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3753</v>
      </c>
    </row>
    <row r="24" spans="2:19">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3684</v>
      </c>
      <c r="C25" s="102">
        <v>21</v>
      </c>
      <c r="D25" s="101" t="s">
        <v>3685</v>
      </c>
      <c r="E25" t="s">
        <v>3686</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3687</v>
      </c>
      <c r="C26" s="160">
        <v>7</v>
      </c>
      <c r="D26" s="115" t="s">
        <v>3685</v>
      </c>
      <c r="E26" s="114" t="s">
        <v>3686</v>
      </c>
      <c r="F26" s="114" t="s">
        <v>372</v>
      </c>
      <c r="G26" s="114" t="s">
        <v>372</v>
      </c>
      <c r="H26" s="114" t="s">
        <v>372</v>
      </c>
      <c r="I26" s="160"/>
      <c r="J26" s="160"/>
      <c r="K26" s="160"/>
      <c r="L26" s="160"/>
      <c r="M26" s="160"/>
      <c r="N26" s="160"/>
      <c r="O26" s="160"/>
      <c r="P26" s="160"/>
      <c r="Q26" s="160"/>
      <c r="R26" s="102"/>
      <c r="S26" s="102"/>
    </row>
    <row r="28" spans="2:19">
      <c r="B28" s="149" t="s">
        <v>3688</v>
      </c>
    </row>
    <row r="29" spans="2:19">
      <c r="B29" s="143" t="s">
        <v>3689</v>
      </c>
      <c r="C29" s="143" t="s">
        <v>3690</v>
      </c>
      <c r="D29" s="144" t="s">
        <v>3691</v>
      </c>
      <c r="E29" s="143" t="s">
        <v>3692</v>
      </c>
      <c r="F29" s="143" t="s">
        <v>3693</v>
      </c>
    </row>
    <row r="30" spans="2:19" ht="87">
      <c r="B30" s="120" t="s">
        <v>3694</v>
      </c>
      <c r="C30" s="124" t="s">
        <v>4549</v>
      </c>
      <c r="D30" s="53" t="s">
        <v>4576</v>
      </c>
      <c r="E30" s="162" t="s">
        <v>4577</v>
      </c>
      <c r="F30" s="145"/>
    </row>
    <row r="31" spans="2:19" ht="87">
      <c r="B31" s="120" t="s">
        <v>4092</v>
      </c>
      <c r="C31" s="147" t="s">
        <v>4550</v>
      </c>
      <c r="D31" s="53" t="s">
        <v>4576</v>
      </c>
      <c r="E31" s="162" t="s">
        <v>4578</v>
      </c>
      <c r="F31" s="198"/>
    </row>
    <row r="32" spans="2:19" ht="87">
      <c r="B32" s="120" t="s">
        <v>4579</v>
      </c>
      <c r="C32" s="147" t="s">
        <v>4551</v>
      </c>
      <c r="D32" s="53" t="s">
        <v>4576</v>
      </c>
      <c r="E32" s="162" t="s">
        <v>4580</v>
      </c>
      <c r="F32" s="198"/>
    </row>
    <row r="33" spans="2:6" ht="66" customHeight="1">
      <c r="B33" s="307" t="s">
        <v>4581</v>
      </c>
      <c r="C33" s="308" t="s">
        <v>4469</v>
      </c>
      <c r="D33" s="309" t="s">
        <v>4582</v>
      </c>
      <c r="E33" s="310" t="s">
        <v>4583</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1619</v>
      </c>
      <c r="W2" s="85" t="s">
        <v>649</v>
      </c>
      <c r="X2" s="85" t="s">
        <v>272</v>
      </c>
      <c r="Y2" s="85" t="s">
        <v>283</v>
      </c>
      <c r="Z2" s="85" t="s">
        <v>4149</v>
      </c>
      <c r="AA2" s="85" t="s">
        <v>1987</v>
      </c>
      <c r="AB2" s="85" t="s">
        <v>1998</v>
      </c>
      <c r="AC2" s="85" t="s">
        <v>2008</v>
      </c>
      <c r="AD2" s="85" t="s">
        <v>1523</v>
      </c>
      <c r="AE2" s="85" t="s">
        <v>1530</v>
      </c>
      <c r="AF2" s="85" t="s">
        <v>756</v>
      </c>
      <c r="AG2" s="85" t="s">
        <v>766</v>
      </c>
      <c r="AH2" s="85" t="s">
        <v>776</v>
      </c>
      <c r="AI2" s="85" t="s">
        <v>785</v>
      </c>
      <c r="AJ2" s="85" t="s">
        <v>294</v>
      </c>
      <c r="AK2" s="85" t="s">
        <v>305</v>
      </c>
      <c r="AL2" s="85" t="s">
        <v>318</v>
      </c>
      <c r="AM2" s="85" t="s">
        <v>327</v>
      </c>
      <c r="AN2" s="85" t="s">
        <v>334</v>
      </c>
    </row>
    <row r="3" spans="2:40">
      <c r="B3" s="50" t="s">
        <v>3593</v>
      </c>
      <c r="C3" s="50">
        <v>1</v>
      </c>
      <c r="D3" s="50" t="s">
        <v>4584</v>
      </c>
      <c r="E3" s="104">
        <v>45513</v>
      </c>
      <c r="F3" s="50">
        <v>1</v>
      </c>
      <c r="G3" s="107">
        <v>1</v>
      </c>
      <c r="H3" s="234" t="s">
        <v>4585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196" t="s">
        <v>3647</v>
      </c>
      <c r="AA3" s="196" t="s">
        <v>3647</v>
      </c>
      <c r="AB3" s="196" t="s">
        <v>3647</v>
      </c>
      <c r="AC3" s="196" t="s">
        <v>3647</v>
      </c>
      <c r="AD3" s="196" t="s">
        <v>3647</v>
      </c>
      <c r="AE3" s="196" t="s">
        <v>3647</v>
      </c>
      <c r="AF3" s="196" t="s">
        <v>3647</v>
      </c>
      <c r="AG3" s="196" t="s">
        <v>3647</v>
      </c>
      <c r="AH3" s="196" t="s">
        <v>3647</v>
      </c>
      <c r="AI3" s="196" t="s">
        <v>3647</v>
      </c>
      <c r="AJ3" s="50" t="s">
        <v>3647</v>
      </c>
      <c r="AK3" s="50" t="s">
        <v>3647</v>
      </c>
      <c r="AL3" s="50" t="s">
        <v>3647</v>
      </c>
      <c r="AM3" s="50" t="s">
        <v>3647</v>
      </c>
      <c r="AN3" s="50" t="s">
        <v>3647</v>
      </c>
    </row>
    <row r="4" spans="2:40">
      <c r="B4" s="50" t="s">
        <v>3595</v>
      </c>
      <c r="C4" s="50">
        <v>2</v>
      </c>
      <c r="D4" s="50" t="s">
        <v>4586</v>
      </c>
      <c r="E4" s="104">
        <v>45513</v>
      </c>
      <c r="F4" s="50">
        <v>1</v>
      </c>
      <c r="G4" s="107">
        <v>1</v>
      </c>
      <c r="H4" s="194"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196" t="s">
        <v>3647</v>
      </c>
      <c r="AA4" s="196" t="s">
        <v>3647</v>
      </c>
      <c r="AB4" s="196" t="s">
        <v>3647</v>
      </c>
      <c r="AC4" s="196" t="s">
        <v>3647</v>
      </c>
      <c r="AD4" s="196" t="s">
        <v>3647</v>
      </c>
      <c r="AE4" s="196" t="s">
        <v>3647</v>
      </c>
      <c r="AF4" s="196" t="s">
        <v>3647</v>
      </c>
      <c r="AG4" s="196" t="s">
        <v>3647</v>
      </c>
      <c r="AH4" s="196" t="s">
        <v>3647</v>
      </c>
      <c r="AI4" s="196" t="s">
        <v>3647</v>
      </c>
      <c r="AJ4" s="50" t="s">
        <v>3647</v>
      </c>
      <c r="AK4" s="50" t="s">
        <v>3647</v>
      </c>
      <c r="AL4" s="50" t="s">
        <v>3647</v>
      </c>
      <c r="AM4" s="50" t="s">
        <v>3647</v>
      </c>
      <c r="AN4" s="50" t="s">
        <v>3647</v>
      </c>
    </row>
    <row r="5" spans="2:40">
      <c r="B5" s="50" t="s">
        <v>3597</v>
      </c>
      <c r="C5" s="50">
        <v>3</v>
      </c>
      <c r="D5" s="50" t="s">
        <v>4587</v>
      </c>
      <c r="E5" s="104">
        <v>45513</v>
      </c>
      <c r="F5" s="50">
        <v>1</v>
      </c>
      <c r="G5" s="107">
        <v>1</v>
      </c>
      <c r="H5" s="194"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196" t="s">
        <v>3647</v>
      </c>
      <c r="AA5" s="196" t="s">
        <v>3647</v>
      </c>
      <c r="AB5" s="196" t="s">
        <v>3647</v>
      </c>
      <c r="AC5" s="196" t="s">
        <v>3647</v>
      </c>
      <c r="AD5" s="196" t="s">
        <v>3647</v>
      </c>
      <c r="AE5" s="196" t="s">
        <v>3647</v>
      </c>
      <c r="AF5" s="196" t="s">
        <v>3647</v>
      </c>
      <c r="AG5" s="196" t="s">
        <v>3647</v>
      </c>
      <c r="AH5" s="196" t="s">
        <v>3647</v>
      </c>
      <c r="AI5" s="196" t="s">
        <v>3647</v>
      </c>
      <c r="AJ5" s="50" t="s">
        <v>3647</v>
      </c>
      <c r="AK5" s="50" t="s">
        <v>3647</v>
      </c>
      <c r="AL5" s="50" t="s">
        <v>3647</v>
      </c>
      <c r="AM5" s="50">
        <v>0</v>
      </c>
      <c r="AN5" s="50" t="s">
        <v>3647</v>
      </c>
    </row>
    <row r="6" spans="2:40">
      <c r="B6" s="106" t="s">
        <v>3599</v>
      </c>
      <c r="C6" s="50">
        <v>4</v>
      </c>
      <c r="D6" s="50" t="s">
        <v>3650</v>
      </c>
      <c r="E6" s="104" t="s">
        <v>3647</v>
      </c>
      <c r="F6" s="50">
        <v>1</v>
      </c>
      <c r="G6" s="50"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196" t="s">
        <v>3647</v>
      </c>
      <c r="AA6" s="196" t="s">
        <v>3647</v>
      </c>
      <c r="AB6" s="196" t="s">
        <v>3647</v>
      </c>
      <c r="AC6" s="196" t="s">
        <v>3647</v>
      </c>
      <c r="AD6" s="196" t="s">
        <v>3647</v>
      </c>
      <c r="AE6" s="196" t="s">
        <v>3647</v>
      </c>
      <c r="AF6" s="196" t="s">
        <v>3647</v>
      </c>
      <c r="AG6" s="196" t="s">
        <v>3647</v>
      </c>
      <c r="AH6" s="196" t="s">
        <v>3647</v>
      </c>
      <c r="AI6" s="196" t="s">
        <v>3647</v>
      </c>
      <c r="AJ6" s="50" t="s">
        <v>3647</v>
      </c>
      <c r="AK6" s="50" t="s">
        <v>3647</v>
      </c>
      <c r="AL6" s="50" t="s">
        <v>3647</v>
      </c>
      <c r="AM6" s="50" t="s">
        <v>3647</v>
      </c>
      <c r="AN6" s="50" t="s">
        <v>3647</v>
      </c>
    </row>
    <row r="7" spans="2:40">
      <c r="B7" s="50" t="s">
        <v>3601</v>
      </c>
      <c r="C7" s="50">
        <v>5</v>
      </c>
      <c r="D7" s="50" t="s">
        <v>3650</v>
      </c>
      <c r="E7" s="104" t="s">
        <v>3647</v>
      </c>
      <c r="F7" s="50">
        <v>1</v>
      </c>
      <c r="G7" s="50"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196" t="s">
        <v>3647</v>
      </c>
      <c r="AA7" s="196" t="s">
        <v>3647</v>
      </c>
      <c r="AB7" s="196" t="s">
        <v>3647</v>
      </c>
      <c r="AC7" s="196" t="s">
        <v>3647</v>
      </c>
      <c r="AD7" s="196" t="s">
        <v>3647</v>
      </c>
      <c r="AE7" s="196" t="s">
        <v>3647</v>
      </c>
      <c r="AF7" s="196" t="s">
        <v>3647</v>
      </c>
      <c r="AG7" s="196" t="s">
        <v>3647</v>
      </c>
      <c r="AH7" s="196" t="s">
        <v>3647</v>
      </c>
      <c r="AI7" s="196" t="s">
        <v>3647</v>
      </c>
      <c r="AJ7" s="50" t="s">
        <v>3647</v>
      </c>
      <c r="AK7" s="50" t="s">
        <v>3647</v>
      </c>
      <c r="AL7" s="50" t="s">
        <v>3647</v>
      </c>
      <c r="AM7" s="50" t="s">
        <v>3647</v>
      </c>
      <c r="AN7" s="50" t="s">
        <v>3647</v>
      </c>
    </row>
    <row r="8" spans="2:40">
      <c r="B8" s="106" t="s">
        <v>3602</v>
      </c>
      <c r="C8" s="50">
        <v>6</v>
      </c>
      <c r="D8" s="50" t="s">
        <v>4588</v>
      </c>
      <c r="E8" s="104">
        <v>45513</v>
      </c>
      <c r="F8" s="50">
        <v>1</v>
      </c>
      <c r="G8" s="218" cm="1">
        <f t="array" ref="G8">SUMPRODUCT(--(I8:AN8&gt;0))/COUNTA(I8:AN8)</f>
        <v>1</v>
      </c>
      <c r="H8" s="194" t="s">
        <v>3656</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3605</v>
      </c>
      <c r="C9" s="50">
        <v>7</v>
      </c>
      <c r="D9" s="50" t="s">
        <v>4589</v>
      </c>
      <c r="E9" s="104">
        <v>45513</v>
      </c>
      <c r="F9" s="50">
        <v>1</v>
      </c>
      <c r="G9" s="218" cm="1">
        <f t="array" aca="1" ref="G9" ca="1">SUMPRODUCT(--(I9:AN9 &lt;= I28:AN28))/COUNTA(I28:AN28)</f>
        <v>1</v>
      </c>
      <c r="H9" s="194" t="s">
        <v>3656</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3608</v>
      </c>
      <c r="C10" s="50">
        <v>8</v>
      </c>
      <c r="D10" s="50" t="s">
        <v>4590</v>
      </c>
      <c r="E10" s="104">
        <v>45513</v>
      </c>
      <c r="F10" s="50">
        <v>1</v>
      </c>
      <c r="G10" s="50" t="s">
        <v>3647</v>
      </c>
      <c r="H10" s="194" t="s">
        <v>3656</v>
      </c>
      <c r="I10" s="50">
        <v>31</v>
      </c>
      <c r="J10" s="189" t="s">
        <v>4591</v>
      </c>
      <c r="K10" s="50" t="s">
        <v>4592</v>
      </c>
      <c r="L10" s="50">
        <v>22</v>
      </c>
      <c r="M10" s="50">
        <v>0</v>
      </c>
      <c r="N10" s="50">
        <v>31</v>
      </c>
      <c r="O10" s="50">
        <v>2.2822000999999998E+22</v>
      </c>
      <c r="P10" s="104">
        <v>31530</v>
      </c>
      <c r="Q10" s="104">
        <v>34698</v>
      </c>
      <c r="R10" s="50">
        <v>826</v>
      </c>
      <c r="S10" s="107">
        <v>0</v>
      </c>
      <c r="T10" s="189" t="s">
        <v>3656</v>
      </c>
      <c r="U10" s="107">
        <v>-900000000000</v>
      </c>
      <c r="V10" s="50" t="s">
        <v>3656</v>
      </c>
      <c r="W10" s="107">
        <v>-16362170000</v>
      </c>
      <c r="X10" s="107">
        <v>-42408660000</v>
      </c>
      <c r="Y10" s="50" t="s">
        <v>3656</v>
      </c>
      <c r="Z10" s="196" t="s">
        <v>4149</v>
      </c>
      <c r="AA10" s="196" t="s">
        <v>1987</v>
      </c>
      <c r="AB10" s="196" t="s">
        <v>1998</v>
      </c>
      <c r="AC10" s="196" t="s">
        <v>2008</v>
      </c>
      <c r="AD10" s="196" t="s">
        <v>1523</v>
      </c>
      <c r="AE10" s="196" t="s">
        <v>1530</v>
      </c>
      <c r="AF10" s="196" t="s">
        <v>756</v>
      </c>
      <c r="AG10" s="196" t="s">
        <v>766</v>
      </c>
      <c r="AH10" s="196" t="s">
        <v>776</v>
      </c>
      <c r="AI10" s="196" t="s">
        <v>785</v>
      </c>
      <c r="AJ10" s="50" t="s">
        <v>3657</v>
      </c>
      <c r="AK10" s="50" t="s">
        <v>3658</v>
      </c>
      <c r="AL10" s="50" t="s">
        <v>3775</v>
      </c>
      <c r="AM10" s="104">
        <v>45513</v>
      </c>
      <c r="AN10" s="50" t="s">
        <v>4593</v>
      </c>
    </row>
    <row r="11" spans="2:40">
      <c r="B11" s="50" t="s">
        <v>3610</v>
      </c>
      <c r="C11" s="50">
        <v>9</v>
      </c>
      <c r="D11" s="50" t="s">
        <v>4594</v>
      </c>
      <c r="E11" s="104">
        <v>45513</v>
      </c>
      <c r="F11" s="50">
        <v>1</v>
      </c>
      <c r="G11" s="50" t="s">
        <v>3647</v>
      </c>
      <c r="H11" s="194" t="s">
        <v>3656</v>
      </c>
      <c r="I11" s="50">
        <v>31</v>
      </c>
      <c r="J11" s="189" t="s">
        <v>4591</v>
      </c>
      <c r="K11" s="50" t="s">
        <v>4595</v>
      </c>
      <c r="L11" s="50">
        <v>22</v>
      </c>
      <c r="M11" s="50">
        <v>0</v>
      </c>
      <c r="N11" s="50"/>
      <c r="O11" s="50">
        <v>2.2822000999999998E+22</v>
      </c>
      <c r="P11" s="104">
        <v>31530</v>
      </c>
      <c r="Q11" s="104">
        <v>34698</v>
      </c>
      <c r="R11" s="50">
        <v>826</v>
      </c>
      <c r="S11" s="50">
        <v>0</v>
      </c>
      <c r="T11" s="189" t="s">
        <v>3732</v>
      </c>
      <c r="U11" s="107">
        <v>-900000000000</v>
      </c>
      <c r="V11" s="50" t="s">
        <v>3732</v>
      </c>
      <c r="W11" s="107">
        <v>-16362170000</v>
      </c>
      <c r="X11" s="107" t="s">
        <v>4596</v>
      </c>
      <c r="Y11" s="50" t="s">
        <v>3732</v>
      </c>
      <c r="Z11" s="196" t="s">
        <v>4149</v>
      </c>
      <c r="AA11" s="196" t="s">
        <v>1987</v>
      </c>
      <c r="AB11" s="196" t="s">
        <v>1998</v>
      </c>
      <c r="AC11" s="196" t="s">
        <v>2008</v>
      </c>
      <c r="AD11" s="196" t="s">
        <v>1523</v>
      </c>
      <c r="AE11" s="196" t="s">
        <v>1530</v>
      </c>
      <c r="AF11" s="196" t="s">
        <v>756</v>
      </c>
      <c r="AG11" s="196" t="s">
        <v>766</v>
      </c>
      <c r="AH11" s="196" t="s">
        <v>776</v>
      </c>
      <c r="AI11" s="196" t="s">
        <v>785</v>
      </c>
      <c r="AJ11" s="50">
        <v>0</v>
      </c>
      <c r="AK11" s="50"/>
      <c r="AL11" s="50" t="s">
        <v>3775</v>
      </c>
      <c r="AM11" s="104">
        <v>45513</v>
      </c>
      <c r="AN11" s="50" t="s">
        <v>4597</v>
      </c>
    </row>
    <row r="12" spans="2:40">
      <c r="B12" s="106" t="s">
        <v>3612</v>
      </c>
      <c r="C12" s="50">
        <v>10</v>
      </c>
      <c r="D12" s="50" t="s">
        <v>4598</v>
      </c>
      <c r="E12" s="104">
        <v>45513</v>
      </c>
      <c r="F12" s="50">
        <v>1</v>
      </c>
      <c r="G12" s="50" t="s">
        <v>3647</v>
      </c>
      <c r="H12" s="194" t="s">
        <v>3656</v>
      </c>
      <c r="I12" s="50">
        <v>31</v>
      </c>
      <c r="J12" s="189" t="s">
        <v>4599</v>
      </c>
      <c r="K12" s="50" t="s">
        <v>4592</v>
      </c>
      <c r="L12" s="50">
        <v>97</v>
      </c>
      <c r="M12" s="104" t="s">
        <v>4600</v>
      </c>
      <c r="N12" s="50">
        <v>31</v>
      </c>
      <c r="O12" s="107">
        <v>2.3930258433501999E+29</v>
      </c>
      <c r="P12" s="202">
        <v>45513</v>
      </c>
      <c r="Q12" s="104">
        <v>2958464</v>
      </c>
      <c r="R12" s="50">
        <v>978</v>
      </c>
      <c r="S12" s="299" t="s">
        <v>4373</v>
      </c>
      <c r="T12" s="189" t="s">
        <v>4601</v>
      </c>
      <c r="U12" s="107">
        <v>72487500000000</v>
      </c>
      <c r="V12" s="107">
        <v>1634115960000</v>
      </c>
      <c r="W12" s="107">
        <v>27512500000000</v>
      </c>
      <c r="X12" s="107">
        <v>571000000000</v>
      </c>
      <c r="Y12" s="107">
        <v>1634115960000</v>
      </c>
      <c r="Z12" s="196" t="s">
        <v>4149</v>
      </c>
      <c r="AA12" s="196" t="s">
        <v>1987</v>
      </c>
      <c r="AB12" s="196" t="s">
        <v>1998</v>
      </c>
      <c r="AC12" s="196" t="s">
        <v>2008</v>
      </c>
      <c r="AD12" s="196" t="s">
        <v>1523</v>
      </c>
      <c r="AE12" s="196" t="s">
        <v>1530</v>
      </c>
      <c r="AF12" s="196" t="s">
        <v>756</v>
      </c>
      <c r="AG12" s="196" t="s">
        <v>766</v>
      </c>
      <c r="AH12" s="196" t="s">
        <v>776</v>
      </c>
      <c r="AI12" s="196" t="s">
        <v>785</v>
      </c>
      <c r="AJ12" s="50" t="s">
        <v>3831</v>
      </c>
      <c r="AK12" s="50" t="s">
        <v>3658</v>
      </c>
      <c r="AL12" s="50" t="s">
        <v>3667</v>
      </c>
      <c r="AM12" s="104">
        <v>45513</v>
      </c>
      <c r="AN12" s="50" t="s">
        <v>4593</v>
      </c>
    </row>
    <row r="13" spans="2:40">
      <c r="B13" s="50" t="s">
        <v>3614</v>
      </c>
      <c r="C13" s="50">
        <v>11</v>
      </c>
      <c r="D13" s="50" t="s">
        <v>4602</v>
      </c>
      <c r="E13" s="104">
        <v>45513</v>
      </c>
      <c r="F13" s="50">
        <v>1</v>
      </c>
      <c r="G13" s="50" t="s">
        <v>3647</v>
      </c>
      <c r="H13" s="194" t="s">
        <v>3656</v>
      </c>
      <c r="I13" s="50">
        <v>31</v>
      </c>
      <c r="J13" s="189" t="s">
        <v>4599</v>
      </c>
      <c r="K13" s="50" t="s">
        <v>4595</v>
      </c>
      <c r="L13" s="50">
        <v>97</v>
      </c>
      <c r="M13" s="104" t="s">
        <v>4600</v>
      </c>
      <c r="N13" s="50"/>
      <c r="O13" s="50">
        <v>2.3930258433501999E+29</v>
      </c>
      <c r="P13" s="104">
        <v>45513</v>
      </c>
      <c r="Q13" s="104">
        <v>2958464</v>
      </c>
      <c r="R13" s="50">
        <v>978</v>
      </c>
      <c r="S13" s="50">
        <v>1</v>
      </c>
      <c r="T13" s="189" t="s">
        <v>4603</v>
      </c>
      <c r="U13" s="107">
        <v>72487500000000</v>
      </c>
      <c r="V13" s="107" t="s">
        <v>4604</v>
      </c>
      <c r="W13" s="107">
        <v>27512500000000</v>
      </c>
      <c r="X13" s="107" t="s">
        <v>4605</v>
      </c>
      <c r="Y13" s="107" t="s">
        <v>4604</v>
      </c>
      <c r="Z13" s="196" t="s">
        <v>4149</v>
      </c>
      <c r="AA13" s="196" t="s">
        <v>1987</v>
      </c>
      <c r="AB13" s="196" t="s">
        <v>1998</v>
      </c>
      <c r="AC13" s="196" t="s">
        <v>2008</v>
      </c>
      <c r="AD13" s="196" t="s">
        <v>1523</v>
      </c>
      <c r="AE13" s="196" t="s">
        <v>1530</v>
      </c>
      <c r="AF13" s="196" t="s">
        <v>756</v>
      </c>
      <c r="AG13" s="196" t="s">
        <v>766</v>
      </c>
      <c r="AH13" s="196" t="s">
        <v>776</v>
      </c>
      <c r="AI13" s="196" t="s">
        <v>785</v>
      </c>
      <c r="AJ13" s="50">
        <v>8</v>
      </c>
      <c r="AK13" s="50"/>
      <c r="AL13" s="50" t="s">
        <v>3667</v>
      </c>
      <c r="AM13" s="104">
        <v>45513</v>
      </c>
      <c r="AN13" s="50" t="s">
        <v>4606</v>
      </c>
    </row>
    <row r="14" spans="2:40">
      <c r="B14" s="50" t="s">
        <v>3616</v>
      </c>
      <c r="C14" s="50">
        <v>12</v>
      </c>
      <c r="D14" s="50" t="s">
        <v>4607</v>
      </c>
      <c r="E14" s="104">
        <v>45513</v>
      </c>
      <c r="F14" s="50">
        <v>1</v>
      </c>
      <c r="G14" s="202" t="s">
        <v>4608</v>
      </c>
      <c r="H14" s="194" t="s">
        <v>3656</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3618</v>
      </c>
      <c r="C15" s="50">
        <v>13</v>
      </c>
      <c r="D15" s="50" t="s">
        <v>4609</v>
      </c>
      <c r="E15" s="104">
        <v>45513</v>
      </c>
      <c r="F15" s="50">
        <v>1</v>
      </c>
      <c r="G15" s="107">
        <v>1</v>
      </c>
      <c r="H15" s="194" t="s">
        <v>3656</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196" t="s">
        <v>3647</v>
      </c>
      <c r="AA15" s="196" t="s">
        <v>3647</v>
      </c>
      <c r="AB15" s="196" t="s">
        <v>3647</v>
      </c>
      <c r="AC15" s="196" t="s">
        <v>3647</v>
      </c>
      <c r="AD15" s="196" t="s">
        <v>3647</v>
      </c>
      <c r="AE15" s="196" t="s">
        <v>3647</v>
      </c>
      <c r="AF15" s="196" t="s">
        <v>3647</v>
      </c>
      <c r="AG15" s="196" t="s">
        <v>3647</v>
      </c>
      <c r="AH15" s="196" t="s">
        <v>3647</v>
      </c>
      <c r="AI15" s="196" t="s">
        <v>3647</v>
      </c>
      <c r="AJ15" s="50" t="s">
        <v>3647</v>
      </c>
      <c r="AK15" s="50" t="s">
        <v>3647</v>
      </c>
      <c r="AL15" s="50" t="s">
        <v>3647</v>
      </c>
      <c r="AM15" s="50" t="s">
        <v>3647</v>
      </c>
      <c r="AN15" s="50" t="s">
        <v>3647</v>
      </c>
    </row>
    <row r="16" spans="2:40">
      <c r="B16" s="50" t="s">
        <v>3620</v>
      </c>
      <c r="C16" s="50">
        <v>14</v>
      </c>
      <c r="D16" s="50" t="s">
        <v>4610</v>
      </c>
      <c r="E16" s="104">
        <v>45513</v>
      </c>
      <c r="F16" s="50">
        <v>1</v>
      </c>
      <c r="G16" s="107">
        <v>1</v>
      </c>
      <c r="H16" s="194" t="s">
        <v>3656</v>
      </c>
      <c r="I16" s="50">
        <v>0</v>
      </c>
      <c r="J16" s="50">
        <v>0</v>
      </c>
      <c r="K16" s="50">
        <v>0</v>
      </c>
      <c r="L16" s="50">
        <v>0</v>
      </c>
      <c r="M16" s="50">
        <v>0</v>
      </c>
      <c r="N16" s="50">
        <v>0</v>
      </c>
      <c r="O16" s="50">
        <v>0</v>
      </c>
      <c r="P16" s="50" t="s">
        <v>3647</v>
      </c>
      <c r="Q16" s="50" t="s">
        <v>3647</v>
      </c>
      <c r="R16" s="50">
        <v>0</v>
      </c>
      <c r="S16" s="50" t="s">
        <v>3647</v>
      </c>
      <c r="T16" s="50" t="s">
        <v>3647</v>
      </c>
      <c r="U16" s="50" t="s">
        <v>3647</v>
      </c>
      <c r="V16" s="50" t="s">
        <v>3647</v>
      </c>
      <c r="W16" s="50" t="s">
        <v>3647</v>
      </c>
      <c r="X16" s="50" t="s">
        <v>3647</v>
      </c>
      <c r="Y16" s="50" t="s">
        <v>3647</v>
      </c>
      <c r="Z16" s="196" t="s">
        <v>3647</v>
      </c>
      <c r="AA16" s="196" t="s">
        <v>3647</v>
      </c>
      <c r="AB16" s="196" t="s">
        <v>3647</v>
      </c>
      <c r="AC16" s="196" t="s">
        <v>3647</v>
      </c>
      <c r="AD16" s="196" t="s">
        <v>3647</v>
      </c>
      <c r="AE16" s="196">
        <v>0</v>
      </c>
      <c r="AF16" s="196" t="s">
        <v>3647</v>
      </c>
      <c r="AG16" s="196" t="s">
        <v>3647</v>
      </c>
      <c r="AH16" s="196" t="s">
        <v>3647</v>
      </c>
      <c r="AI16" s="196" t="s">
        <v>3647</v>
      </c>
      <c r="AJ16" s="50">
        <v>0</v>
      </c>
      <c r="AK16" s="50">
        <v>0</v>
      </c>
      <c r="AL16" s="50">
        <v>0</v>
      </c>
      <c r="AM16" s="50" t="s">
        <v>3647</v>
      </c>
      <c r="AN16" s="50" t="s">
        <v>3647</v>
      </c>
    </row>
    <row r="17" spans="2:40">
      <c r="B17" s="50" t="s">
        <v>3622</v>
      </c>
      <c r="C17" s="50">
        <v>15</v>
      </c>
      <c r="D17" s="50" t="s">
        <v>4611</v>
      </c>
      <c r="E17" s="104">
        <v>45513</v>
      </c>
      <c r="F17" s="50">
        <v>1</v>
      </c>
      <c r="G17" s="107">
        <v>1</v>
      </c>
      <c r="H17" s="194"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196" t="s">
        <v>3647</v>
      </c>
      <c r="AA17" s="196" t="s">
        <v>3647</v>
      </c>
      <c r="AB17" s="196" t="s">
        <v>3647</v>
      </c>
      <c r="AC17" s="196" t="s">
        <v>3647</v>
      </c>
      <c r="AD17" s="196" t="s">
        <v>3647</v>
      </c>
      <c r="AE17" s="196" t="s">
        <v>3647</v>
      </c>
      <c r="AF17" s="196" t="s">
        <v>3647</v>
      </c>
      <c r="AG17" s="196" t="s">
        <v>3647</v>
      </c>
      <c r="AH17" s="196" t="s">
        <v>3647</v>
      </c>
      <c r="AI17" s="196" t="s">
        <v>3647</v>
      </c>
      <c r="AJ17" s="50" t="s">
        <v>3647</v>
      </c>
      <c r="AK17" s="50" t="s">
        <v>3647</v>
      </c>
      <c r="AL17" s="50" t="s">
        <v>3647</v>
      </c>
      <c r="AM17" s="50" t="s">
        <v>3647</v>
      </c>
      <c r="AN17" s="50" t="s">
        <v>3647</v>
      </c>
    </row>
    <row r="18" spans="2:40">
      <c r="B18" s="50" t="s">
        <v>3624</v>
      </c>
      <c r="C18" s="50">
        <v>16</v>
      </c>
      <c r="D18" s="50" t="s">
        <v>4611</v>
      </c>
      <c r="E18" s="104">
        <v>45513</v>
      </c>
      <c r="F18" s="50">
        <v>1</v>
      </c>
      <c r="G18" s="107">
        <v>1</v>
      </c>
      <c r="H18" s="194"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196" t="s">
        <v>3647</v>
      </c>
      <c r="AA18" s="196" t="s">
        <v>3647</v>
      </c>
      <c r="AB18" s="196" t="s">
        <v>3647</v>
      </c>
      <c r="AC18" s="196" t="s">
        <v>3647</v>
      </c>
      <c r="AD18" s="196" t="s">
        <v>3647</v>
      </c>
      <c r="AE18" s="196" t="s">
        <v>3647</v>
      </c>
      <c r="AF18" s="196" t="s">
        <v>3647</v>
      </c>
      <c r="AG18" s="196" t="s">
        <v>3647</v>
      </c>
      <c r="AH18" s="196" t="s">
        <v>3647</v>
      </c>
      <c r="AI18" s="196" t="s">
        <v>3647</v>
      </c>
      <c r="AJ18" s="50" t="s">
        <v>3647</v>
      </c>
      <c r="AK18" s="50" t="s">
        <v>3647</v>
      </c>
      <c r="AL18" s="50" t="s">
        <v>3647</v>
      </c>
      <c r="AM18" s="50" t="s">
        <v>3647</v>
      </c>
      <c r="AN18" s="50" t="s">
        <v>3647</v>
      </c>
    </row>
    <row r="19" spans="2:40">
      <c r="B19" s="50" t="s">
        <v>3626</v>
      </c>
      <c r="C19" s="50">
        <v>17</v>
      </c>
      <c r="D19" s="50" t="s">
        <v>4612</v>
      </c>
      <c r="E19" s="104">
        <v>45513</v>
      </c>
      <c r="F19" s="50">
        <v>1</v>
      </c>
      <c r="G19" s="50" t="s">
        <v>4613</v>
      </c>
      <c r="H19" s="260" t="s">
        <v>4614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50" t="s">
        <v>3647</v>
      </c>
      <c r="W19" s="50" t="s">
        <v>3647</v>
      </c>
      <c r="X19" s="50" t="s">
        <v>3647</v>
      </c>
      <c r="Y19" s="50" t="s">
        <v>3647</v>
      </c>
      <c r="Z19" s="196" t="s">
        <v>3647</v>
      </c>
      <c r="AA19" s="196" t="s">
        <v>3647</v>
      </c>
      <c r="AB19" s="196" t="s">
        <v>3647</v>
      </c>
      <c r="AC19" s="196" t="s">
        <v>3647</v>
      </c>
      <c r="AD19" s="196" t="s">
        <v>3647</v>
      </c>
      <c r="AE19" s="196" t="s">
        <v>3647</v>
      </c>
      <c r="AF19" s="196" t="s">
        <v>3647</v>
      </c>
      <c r="AG19" s="196" t="s">
        <v>3647</v>
      </c>
      <c r="AH19" s="196" t="s">
        <v>3647</v>
      </c>
      <c r="AI19" s="196" t="s">
        <v>3647</v>
      </c>
      <c r="AJ19" s="50" t="s">
        <v>3647</v>
      </c>
      <c r="AK19" s="50" t="s">
        <v>3647</v>
      </c>
      <c r="AL19" s="50" t="s">
        <v>3647</v>
      </c>
      <c r="AM19" s="50" t="s">
        <v>3647</v>
      </c>
      <c r="AN19" s="50" t="s">
        <v>3647</v>
      </c>
    </row>
    <row r="20" spans="2:40">
      <c r="B20" s="50" t="s">
        <v>3628</v>
      </c>
      <c r="C20" s="50">
        <v>18</v>
      </c>
      <c r="D20" s="50" t="s">
        <v>4612</v>
      </c>
      <c r="E20" s="104">
        <v>45513</v>
      </c>
      <c r="F20" s="50">
        <v>1</v>
      </c>
      <c r="G20" s="219" t="s">
        <v>4615</v>
      </c>
      <c r="H20" s="272" t="s">
        <v>4616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196" t="s">
        <v>3647</v>
      </c>
      <c r="AA20" s="196" t="s">
        <v>3647</v>
      </c>
      <c r="AB20" s="196" t="s">
        <v>3647</v>
      </c>
      <c r="AC20" s="196" t="s">
        <v>3647</v>
      </c>
      <c r="AD20" s="196" t="s">
        <v>3647</v>
      </c>
      <c r="AE20" s="196" t="s">
        <v>3647</v>
      </c>
      <c r="AF20" s="196" t="s">
        <v>3647</v>
      </c>
      <c r="AG20" s="196" t="s">
        <v>3647</v>
      </c>
      <c r="AH20" s="196" t="s">
        <v>3647</v>
      </c>
      <c r="AI20" s="196" t="s">
        <v>3647</v>
      </c>
      <c r="AJ20" s="50" t="s">
        <v>3647</v>
      </c>
      <c r="AK20" s="50" t="s">
        <v>3647</v>
      </c>
      <c r="AL20" s="50" t="s">
        <v>3647</v>
      </c>
      <c r="AM20" s="50" t="s">
        <v>3647</v>
      </c>
      <c r="AN20" s="50" t="s">
        <v>3647</v>
      </c>
    </row>
    <row r="21" spans="2:40">
      <c r="B21" s="50" t="s">
        <v>3630</v>
      </c>
      <c r="C21" s="50">
        <v>19</v>
      </c>
      <c r="D21" s="50" t="s">
        <v>4617</v>
      </c>
      <c r="E21" s="104">
        <v>45513</v>
      </c>
      <c r="F21" s="50">
        <v>1</v>
      </c>
      <c r="G21" s="218" cm="1">
        <f t="array" aca="1" ref="G21" ca="1">SUMPRODUCT(--(ISNUMBER((SEARCH(I27:AN27,I21:AN21)))))/COUNTA(I21:AN21)</f>
        <v>0.8125</v>
      </c>
      <c r="H21" s="194"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3682</v>
      </c>
      <c r="Y21" s="50" t="s">
        <v>3682</v>
      </c>
      <c r="Z21" s="196" t="s">
        <v>3681</v>
      </c>
      <c r="AA21" s="196" t="s">
        <v>3681</v>
      </c>
      <c r="AB21" s="196" t="s">
        <v>3681</v>
      </c>
      <c r="AC21" s="196" t="s">
        <v>3681</v>
      </c>
      <c r="AD21" s="196" t="s">
        <v>3681</v>
      </c>
      <c r="AE21" s="196" t="s">
        <v>3681</v>
      </c>
      <c r="AF21" s="196" t="s">
        <v>3681</v>
      </c>
      <c r="AG21" s="196" t="s">
        <v>3681</v>
      </c>
      <c r="AH21" s="196" t="s">
        <v>3681</v>
      </c>
      <c r="AI21" s="196" t="s">
        <v>3681</v>
      </c>
      <c r="AJ21" s="50" t="s">
        <v>3681</v>
      </c>
      <c r="AK21" s="50" t="s">
        <v>3681</v>
      </c>
      <c r="AL21" s="50" t="s">
        <v>3681</v>
      </c>
      <c r="AM21" s="50" t="s">
        <v>3681</v>
      </c>
      <c r="AN21" s="50" t="s">
        <v>3683</v>
      </c>
    </row>
    <row r="22" spans="2:40">
      <c r="B22" s="50" t="s">
        <v>3633</v>
      </c>
      <c r="C22" s="50">
        <v>20</v>
      </c>
      <c r="D22" s="50"/>
      <c r="E22" s="104"/>
      <c r="F22" s="50">
        <v>1</v>
      </c>
      <c r="G22" s="202" cm="1">
        <f t="array" ref="G22">SUM(IF(I2:AN2 = I26:AN26, 1, 0))/ COUNTA(I2:AN2)</f>
        <v>0.9375</v>
      </c>
      <c r="H22" s="50" t="s">
        <v>3647</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3636</v>
      </c>
      <c r="C23" s="50">
        <v>21</v>
      </c>
      <c r="D23" s="50"/>
      <c r="E23" s="104"/>
      <c r="F23" s="50">
        <v>1</v>
      </c>
      <c r="G23" s="202" cm="1">
        <f t="array" aca="1" ref="G23" ca="1">SUM(IF(IF(G3:G22="null",1,G3:G22)=1,1,0))/COUNT(IF(G3:G22="null",1,1))</f>
        <v>0.75</v>
      </c>
      <c r="H23" s="50" t="s">
        <v>3647</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3753</v>
      </c>
    </row>
    <row r="26" spans="2:40">
      <c r="B26" s="137" t="s">
        <v>3639</v>
      </c>
      <c r="C26" s="138" t="s">
        <v>3640</v>
      </c>
      <c r="D26" s="138" t="s">
        <v>3641</v>
      </c>
      <c r="E26" s="138" t="s">
        <v>3642</v>
      </c>
      <c r="F26" s="138" t="s">
        <v>3643</v>
      </c>
      <c r="G26" s="138" t="s">
        <v>3644</v>
      </c>
      <c r="H26" s="138" t="s">
        <v>3645</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c r="B27" s="116" t="s">
        <v>3684</v>
      </c>
      <c r="C27" s="119">
        <v>21</v>
      </c>
      <c r="D27" s="113" t="s">
        <v>3685</v>
      </c>
      <c r="E27" s="112" t="s">
        <v>3686</v>
      </c>
      <c r="F27" s="112" t="s">
        <v>372</v>
      </c>
      <c r="G27" s="112" t="s">
        <v>372</v>
      </c>
      <c r="H27" s="112" t="s">
        <v>372</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3687</v>
      </c>
      <c r="C28" s="119">
        <v>7</v>
      </c>
      <c r="D28" s="113" t="s">
        <v>3685</v>
      </c>
      <c r="E28" s="112" t="s">
        <v>3686</v>
      </c>
      <c r="F28" s="114" t="s">
        <v>372</v>
      </c>
      <c r="G28" s="114" t="s">
        <v>372</v>
      </c>
      <c r="H28" s="114" t="s">
        <v>372</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3688</v>
      </c>
    </row>
    <row r="31" spans="2:40">
      <c r="B31" s="143" t="s">
        <v>3689</v>
      </c>
      <c r="C31" s="143" t="s">
        <v>3690</v>
      </c>
      <c r="D31" s="144" t="s">
        <v>3691</v>
      </c>
      <c r="E31" s="143" t="s">
        <v>3692</v>
      </c>
      <c r="F31" s="143" t="s">
        <v>3693</v>
      </c>
    </row>
    <row r="32" spans="2:40" ht="57.95">
      <c r="B32" s="146" t="s">
        <v>3797</v>
      </c>
      <c r="C32" s="147" t="s">
        <v>4149</v>
      </c>
      <c r="D32" s="250" t="s">
        <v>3798</v>
      </c>
      <c r="E32" s="156" t="s">
        <v>4618</v>
      </c>
      <c r="F32" s="207" t="s">
        <v>4619</v>
      </c>
    </row>
    <row r="33" spans="2:6" ht="57.95">
      <c r="B33" s="146" t="s">
        <v>3797</v>
      </c>
      <c r="C33" s="147" t="s">
        <v>1987</v>
      </c>
      <c r="D33" s="250" t="s">
        <v>3798</v>
      </c>
      <c r="E33" s="156" t="s">
        <v>4618</v>
      </c>
      <c r="F33" s="207" t="s">
        <v>4619</v>
      </c>
    </row>
    <row r="34" spans="2:6" ht="57.95">
      <c r="B34" s="146" t="s">
        <v>3797</v>
      </c>
      <c r="C34" s="147" t="s">
        <v>2008</v>
      </c>
      <c r="D34" s="250" t="s">
        <v>3798</v>
      </c>
      <c r="E34" s="156" t="s">
        <v>4618</v>
      </c>
      <c r="F34" s="207" t="s">
        <v>4619</v>
      </c>
    </row>
    <row r="35" spans="2:6" ht="57.95">
      <c r="B35" s="146" t="s">
        <v>3797</v>
      </c>
      <c r="C35" s="147" t="s">
        <v>1523</v>
      </c>
      <c r="D35" s="250" t="s">
        <v>3798</v>
      </c>
      <c r="E35" s="156" t="s">
        <v>4618</v>
      </c>
      <c r="F35" s="207" t="s">
        <v>4619</v>
      </c>
    </row>
    <row r="36" spans="2:6" ht="57.95">
      <c r="B36" s="146" t="s">
        <v>3797</v>
      </c>
      <c r="C36" s="147" t="s">
        <v>1530</v>
      </c>
      <c r="D36" s="250" t="s">
        <v>3798</v>
      </c>
      <c r="E36" s="156" t="s">
        <v>4618</v>
      </c>
      <c r="F36" s="207" t="s">
        <v>4619</v>
      </c>
    </row>
    <row r="37" spans="2:6" ht="57.95">
      <c r="B37" s="146" t="s">
        <v>3797</v>
      </c>
      <c r="C37" s="147" t="s">
        <v>756</v>
      </c>
      <c r="D37" s="250" t="s">
        <v>3798</v>
      </c>
      <c r="E37" s="156" t="s">
        <v>4618</v>
      </c>
      <c r="F37" s="207" t="s">
        <v>4619</v>
      </c>
    </row>
    <row r="38" spans="2:6" ht="57.95">
      <c r="B38" s="146" t="s">
        <v>3797</v>
      </c>
      <c r="C38" s="147" t="s">
        <v>776</v>
      </c>
      <c r="D38" s="250" t="s">
        <v>3798</v>
      </c>
      <c r="E38" s="156" t="s">
        <v>4618</v>
      </c>
      <c r="F38" s="207" t="s">
        <v>4619</v>
      </c>
    </row>
    <row r="39" spans="2:6" ht="57.95">
      <c r="B39" s="146" t="s">
        <v>3797</v>
      </c>
      <c r="C39" s="147" t="s">
        <v>785</v>
      </c>
      <c r="D39" s="250" t="s">
        <v>3798</v>
      </c>
      <c r="E39" s="156" t="s">
        <v>4618</v>
      </c>
      <c r="F39" s="207" t="s">
        <v>4619</v>
      </c>
    </row>
    <row r="40" spans="2:6" ht="57.95">
      <c r="B40" s="127" t="s">
        <v>3694</v>
      </c>
      <c r="C40" s="126" t="s">
        <v>188</v>
      </c>
      <c r="D40" s="132" t="s">
        <v>4620</v>
      </c>
      <c r="E40" s="155" t="s">
        <v>4621</v>
      </c>
      <c r="F40" s="145" t="s">
        <v>3697</v>
      </c>
    </row>
    <row r="41" spans="2:6">
      <c r="B41" s="146" t="s">
        <v>3704</v>
      </c>
      <c r="C41" s="147" t="s">
        <v>3705</v>
      </c>
      <c r="D41" s="250"/>
      <c r="E41" s="156" t="s">
        <v>4622</v>
      </c>
      <c r="F41" s="198"/>
    </row>
    <row r="42" spans="2:6">
      <c r="B42" s="146" t="s">
        <v>3762</v>
      </c>
      <c r="C42" s="147" t="s">
        <v>3705</v>
      </c>
      <c r="D42" s="250"/>
      <c r="E42" s="156" t="s">
        <v>4623</v>
      </c>
      <c r="F42" s="198"/>
    </row>
    <row r="43" spans="2:6" ht="72.599999999999994">
      <c r="B43" s="146" t="s">
        <v>3807</v>
      </c>
      <c r="C43" s="147" t="s">
        <v>1998</v>
      </c>
      <c r="D43" s="148" t="s">
        <v>3808</v>
      </c>
      <c r="E43" s="156" t="s">
        <v>4618</v>
      </c>
      <c r="F43" s="207" t="s">
        <v>4619</v>
      </c>
    </row>
    <row r="44" spans="2:6" ht="72.599999999999994">
      <c r="B44" s="146" t="s">
        <v>3807</v>
      </c>
      <c r="C44" s="147" t="s">
        <v>2008</v>
      </c>
      <c r="D44" s="250" t="s">
        <v>3808</v>
      </c>
      <c r="E44" s="156" t="s">
        <v>4618</v>
      </c>
      <c r="F44" s="198" t="s">
        <v>4619</v>
      </c>
    </row>
    <row r="45" spans="2:6" ht="72.599999999999994">
      <c r="B45" s="146" t="s">
        <v>3807</v>
      </c>
      <c r="C45" s="147" t="s">
        <v>1523</v>
      </c>
      <c r="D45" s="250" t="s">
        <v>3808</v>
      </c>
      <c r="E45" s="156" t="s">
        <v>4618</v>
      </c>
      <c r="F45" s="198" t="s">
        <v>4619</v>
      </c>
    </row>
    <row r="46" spans="2:6" ht="72.599999999999994">
      <c r="B46" s="146" t="s">
        <v>3807</v>
      </c>
      <c r="C46" s="147" t="s">
        <v>766</v>
      </c>
      <c r="D46" s="250" t="s">
        <v>3808</v>
      </c>
      <c r="E46" s="156" t="s">
        <v>4618</v>
      </c>
      <c r="F46" s="198" t="s">
        <v>4619</v>
      </c>
    </row>
    <row r="47" spans="2:6" ht="72.599999999999994">
      <c r="B47" s="146" t="s">
        <v>3807</v>
      </c>
      <c r="C47" s="147" t="s">
        <v>776</v>
      </c>
      <c r="D47" s="250" t="s">
        <v>3808</v>
      </c>
      <c r="E47" s="156" t="s">
        <v>4618</v>
      </c>
      <c r="F47" s="198" t="s">
        <v>4619</v>
      </c>
    </row>
    <row r="48" spans="2:6" ht="72.599999999999994">
      <c r="B48" s="146" t="s">
        <v>3807</v>
      </c>
      <c r="C48" s="147" t="s">
        <v>785</v>
      </c>
      <c r="D48" s="250" t="s">
        <v>3808</v>
      </c>
      <c r="E48" s="156" t="s">
        <v>4618</v>
      </c>
      <c r="F48" s="198" t="s">
        <v>4619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1843</v>
      </c>
      <c r="Q2" s="85" t="s">
        <v>2297</v>
      </c>
      <c r="R2" s="85" t="s">
        <v>4624</v>
      </c>
      <c r="S2" s="85" t="s">
        <v>2311</v>
      </c>
      <c r="T2" s="85" t="s">
        <v>2318</v>
      </c>
      <c r="U2" s="85" t="s">
        <v>199</v>
      </c>
      <c r="V2" s="85" t="s">
        <v>211</v>
      </c>
      <c r="W2" s="85" t="s">
        <v>223</v>
      </c>
      <c r="X2" s="85" t="s">
        <v>239</v>
      </c>
      <c r="Y2" s="85" t="s">
        <v>2334</v>
      </c>
      <c r="Z2" s="85" t="s">
        <v>248</v>
      </c>
      <c r="AA2" s="85" t="s">
        <v>261</v>
      </c>
      <c r="AB2" s="85" t="s">
        <v>2346</v>
      </c>
      <c r="AC2" s="85" t="s">
        <v>2352</v>
      </c>
      <c r="AD2" s="85" t="s">
        <v>880</v>
      </c>
      <c r="AE2" s="85" t="s">
        <v>649</v>
      </c>
      <c r="AF2" s="85" t="s">
        <v>272</v>
      </c>
      <c r="AG2" s="85" t="s">
        <v>2371</v>
      </c>
      <c r="AH2" s="85" t="s">
        <v>2377</v>
      </c>
      <c r="AI2" s="85" t="s">
        <v>2384</v>
      </c>
      <c r="AJ2" s="85" t="s">
        <v>283</v>
      </c>
      <c r="AK2" s="85" t="s">
        <v>2391</v>
      </c>
      <c r="AL2" s="85" t="s">
        <v>2399</v>
      </c>
      <c r="AM2" s="85" t="s">
        <v>2405</v>
      </c>
      <c r="AN2" s="85" t="s">
        <v>2411</v>
      </c>
      <c r="AO2" s="85" t="s">
        <v>715</v>
      </c>
      <c r="AP2" s="85" t="s">
        <v>1457</v>
      </c>
      <c r="AQ2" s="85" t="s">
        <v>1466</v>
      </c>
      <c r="AR2" s="85" t="s">
        <v>1475</v>
      </c>
      <c r="AS2" s="85" t="s">
        <v>2431</v>
      </c>
      <c r="AT2" s="85" t="s">
        <v>2437</v>
      </c>
      <c r="AU2" s="85" t="s">
        <v>4625</v>
      </c>
      <c r="AV2" s="85" t="s">
        <v>1481</v>
      </c>
      <c r="AW2" s="85" t="s">
        <v>1489</v>
      </c>
      <c r="AX2" s="85" t="s">
        <v>2455</v>
      </c>
      <c r="AY2" s="85" t="s">
        <v>2461</v>
      </c>
      <c r="AZ2" s="85" t="s">
        <v>4626</v>
      </c>
      <c r="BA2" s="85" t="s">
        <v>4627</v>
      </c>
      <c r="BB2" s="85" t="s">
        <v>1509</v>
      </c>
      <c r="BC2" s="85" t="s">
        <v>1979</v>
      </c>
      <c r="BD2" s="85" t="s">
        <v>1987</v>
      </c>
      <c r="BE2" s="85" t="s">
        <v>1998</v>
      </c>
      <c r="BF2" s="85" t="s">
        <v>2008</v>
      </c>
      <c r="BG2" s="85" t="s">
        <v>1523</v>
      </c>
      <c r="BH2" s="85" t="s">
        <v>1530</v>
      </c>
      <c r="BI2" s="85" t="s">
        <v>756</v>
      </c>
      <c r="BJ2" s="85" t="s">
        <v>766</v>
      </c>
      <c r="BK2" s="85" t="s">
        <v>776</v>
      </c>
      <c r="BL2" s="85" t="s">
        <v>785</v>
      </c>
      <c r="BM2" s="85" t="s">
        <v>294</v>
      </c>
      <c r="BN2" s="85" t="s">
        <v>305</v>
      </c>
      <c r="BO2" s="85" t="s">
        <v>318</v>
      </c>
      <c r="BP2" s="85" t="s">
        <v>327</v>
      </c>
      <c r="BQ2" s="85" t="s">
        <v>334</v>
      </c>
    </row>
    <row r="3" spans="2:69">
      <c r="B3" s="50" t="s">
        <v>3593</v>
      </c>
      <c r="C3" s="50">
        <v>1</v>
      </c>
      <c r="D3" s="50" t="s">
        <v>4628</v>
      </c>
      <c r="E3" s="104">
        <v>45534</v>
      </c>
      <c r="F3" s="50">
        <v>1</v>
      </c>
      <c r="G3" s="272">
        <v>1</v>
      </c>
      <c r="H3" s="191" t="s">
        <v>4629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c r="BC3" s="50" t="s">
        <v>3647</v>
      </c>
      <c r="BD3" s="50" t="s">
        <v>3647</v>
      </c>
      <c r="BE3" s="50" t="s">
        <v>3647</v>
      </c>
      <c r="BF3" s="50" t="s">
        <v>3647</v>
      </c>
      <c r="BG3" s="50" t="s">
        <v>3647</v>
      </c>
      <c r="BH3" s="50" t="s">
        <v>3647</v>
      </c>
      <c r="BI3" s="50" t="s">
        <v>3647</v>
      </c>
      <c r="BJ3" s="50" t="s">
        <v>3647</v>
      </c>
      <c r="BK3" s="50" t="s">
        <v>3647</v>
      </c>
      <c r="BL3" s="50" t="s">
        <v>3647</v>
      </c>
      <c r="BM3" s="50" t="s">
        <v>3647</v>
      </c>
      <c r="BN3" s="50" t="s">
        <v>3647</v>
      </c>
      <c r="BO3" s="50" t="s">
        <v>3647</v>
      </c>
      <c r="BP3" s="50" t="s">
        <v>3647</v>
      </c>
      <c r="BQ3" s="50" t="s">
        <v>3647</v>
      </c>
    </row>
    <row r="4" spans="2:69">
      <c r="B4" s="50" t="s">
        <v>3595</v>
      </c>
      <c r="C4" s="50">
        <v>2</v>
      </c>
      <c r="D4" s="50" t="s">
        <v>4630</v>
      </c>
      <c r="E4" s="104">
        <v>45534</v>
      </c>
      <c r="F4" s="50">
        <v>1</v>
      </c>
      <c r="G4" s="272">
        <v>1</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c r="BC4" s="50" t="s">
        <v>3647</v>
      </c>
      <c r="BD4" s="50" t="s">
        <v>3647</v>
      </c>
      <c r="BE4" s="50" t="s">
        <v>3647</v>
      </c>
      <c r="BF4" s="50" t="s">
        <v>3647</v>
      </c>
      <c r="BG4" s="50" t="s">
        <v>3647</v>
      </c>
      <c r="BH4" s="50" t="s">
        <v>3647</v>
      </c>
      <c r="BI4" s="50" t="s">
        <v>3647</v>
      </c>
      <c r="BJ4" s="50" t="s">
        <v>3647</v>
      </c>
      <c r="BK4" s="50" t="s">
        <v>3647</v>
      </c>
      <c r="BL4" s="50" t="s">
        <v>3647</v>
      </c>
      <c r="BM4" s="50" t="s">
        <v>3647</v>
      </c>
      <c r="BN4" s="50" t="s">
        <v>3647</v>
      </c>
      <c r="BO4" s="50" t="s">
        <v>3647</v>
      </c>
      <c r="BP4" s="50" t="s">
        <v>3647</v>
      </c>
      <c r="BQ4" s="50" t="s">
        <v>3647</v>
      </c>
    </row>
    <row r="5" spans="2:69">
      <c r="B5" s="50" t="s">
        <v>3597</v>
      </c>
      <c r="C5" s="50">
        <v>3</v>
      </c>
      <c r="D5" s="50" t="s">
        <v>4631</v>
      </c>
      <c r="E5" s="104">
        <v>45534</v>
      </c>
      <c r="F5" s="50">
        <v>1</v>
      </c>
      <c r="G5" s="272">
        <v>1</v>
      </c>
      <c r="H5" s="107"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t="s">
        <v>3647</v>
      </c>
      <c r="BB5" s="50" t="s">
        <v>3647</v>
      </c>
      <c r="BC5" s="50" t="s">
        <v>3647</v>
      </c>
      <c r="BD5" s="50" t="s">
        <v>3647</v>
      </c>
      <c r="BE5" s="50" t="s">
        <v>3647</v>
      </c>
      <c r="BF5" s="50" t="s">
        <v>3647</v>
      </c>
      <c r="BG5" s="50" t="s">
        <v>3647</v>
      </c>
      <c r="BH5" s="50" t="s">
        <v>3647</v>
      </c>
      <c r="BI5" s="50" t="s">
        <v>3647</v>
      </c>
      <c r="BJ5" s="50" t="s">
        <v>3647</v>
      </c>
      <c r="BK5" s="50" t="s">
        <v>3647</v>
      </c>
      <c r="BL5" s="50" t="s">
        <v>3647</v>
      </c>
      <c r="BM5" s="50" t="s">
        <v>3647</v>
      </c>
      <c r="BN5" s="50" t="s">
        <v>3647</v>
      </c>
      <c r="BO5" s="50" t="s">
        <v>3647</v>
      </c>
      <c r="BP5" s="50">
        <v>0</v>
      </c>
      <c r="BQ5" s="50" t="s">
        <v>3647</v>
      </c>
    </row>
    <row r="6" spans="2:69">
      <c r="B6" s="106" t="s">
        <v>3599</v>
      </c>
      <c r="C6" s="50">
        <v>4</v>
      </c>
      <c r="D6" s="50" t="s">
        <v>3650</v>
      </c>
      <c r="E6" s="104" t="s">
        <v>3647</v>
      </c>
      <c r="F6" s="50">
        <v>1</v>
      </c>
      <c r="G6" s="104" t="s">
        <v>3647</v>
      </c>
      <c r="H6" s="107"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c r="BC6" s="50" t="s">
        <v>3647</v>
      </c>
      <c r="BD6" s="50" t="s">
        <v>3647</v>
      </c>
      <c r="BE6" s="50" t="s">
        <v>3647</v>
      </c>
      <c r="BF6" s="50" t="s">
        <v>3647</v>
      </c>
      <c r="BG6" s="50" t="s">
        <v>3647</v>
      </c>
      <c r="BH6" s="50" t="s">
        <v>3647</v>
      </c>
      <c r="BI6" s="50" t="s">
        <v>3647</v>
      </c>
      <c r="BJ6" s="50" t="s">
        <v>3647</v>
      </c>
      <c r="BK6" s="50" t="s">
        <v>3647</v>
      </c>
      <c r="BL6" s="50" t="s">
        <v>3647</v>
      </c>
      <c r="BM6" s="50" t="s">
        <v>3647</v>
      </c>
      <c r="BN6" s="50" t="s">
        <v>3647</v>
      </c>
      <c r="BO6" s="50" t="s">
        <v>3647</v>
      </c>
      <c r="BP6" s="50" t="s">
        <v>3647</v>
      </c>
      <c r="BQ6" s="50" t="s">
        <v>3647</v>
      </c>
    </row>
    <row r="7" spans="2:69">
      <c r="B7" s="50" t="s">
        <v>3601</v>
      </c>
      <c r="C7" s="50">
        <v>5</v>
      </c>
      <c r="D7" s="50" t="s">
        <v>3650</v>
      </c>
      <c r="E7" s="104" t="s">
        <v>3647</v>
      </c>
      <c r="F7" s="50">
        <v>1</v>
      </c>
      <c r="G7" s="104" t="s">
        <v>3647</v>
      </c>
      <c r="H7" s="107"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c r="BC7" s="50" t="s">
        <v>3647</v>
      </c>
      <c r="BD7" s="50" t="s">
        <v>3647</v>
      </c>
      <c r="BE7" s="50" t="s">
        <v>3647</v>
      </c>
      <c r="BF7" s="50" t="s">
        <v>3647</v>
      </c>
      <c r="BG7" s="50" t="s">
        <v>3647</v>
      </c>
      <c r="BH7" s="50" t="s">
        <v>3647</v>
      </c>
      <c r="BI7" s="50" t="s">
        <v>3647</v>
      </c>
      <c r="BJ7" s="50" t="s">
        <v>3647</v>
      </c>
      <c r="BK7" s="50" t="s">
        <v>3647</v>
      </c>
      <c r="BL7" s="50" t="s">
        <v>3647</v>
      </c>
      <c r="BM7" s="50" t="s">
        <v>3647</v>
      </c>
      <c r="BN7" s="50" t="s">
        <v>3647</v>
      </c>
      <c r="BO7" s="50" t="s">
        <v>3647</v>
      </c>
      <c r="BP7" s="50" t="s">
        <v>3647</v>
      </c>
      <c r="BQ7" s="50" t="s">
        <v>3647</v>
      </c>
    </row>
    <row r="8" spans="2:69">
      <c r="B8" s="106" t="s">
        <v>3602</v>
      </c>
      <c r="C8" s="50">
        <v>6</v>
      </c>
      <c r="D8" s="50" t="s">
        <v>4632</v>
      </c>
      <c r="E8" s="104">
        <v>45534</v>
      </c>
      <c r="F8" s="50">
        <v>1</v>
      </c>
      <c r="G8" s="218" cm="1">
        <f t="array" ref="G8">SUMPRODUCT(--(I8:BQ8&gt;0))/COUNTA(I8:BQ8)</f>
        <v>1</v>
      </c>
      <c r="H8" s="107" t="s">
        <v>3656</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3605</v>
      </c>
      <c r="C9" s="50">
        <v>7</v>
      </c>
      <c r="D9" s="50" t="s">
        <v>4633</v>
      </c>
      <c r="E9" s="104">
        <v>45534</v>
      </c>
      <c r="F9" s="50">
        <v>1</v>
      </c>
      <c r="G9" s="218" cm="1">
        <f t="array" aca="1" ref="G9" ca="1">SUMPRODUCT(--(I9:BQ9 &lt;= I28:BQ28))/COUNTA(I28:BQ28)</f>
        <v>0.98360655737704916</v>
      </c>
      <c r="H9" s="107" t="s">
        <v>3656</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3608</v>
      </c>
      <c r="C10" s="50">
        <v>8</v>
      </c>
      <c r="D10" s="50" t="s">
        <v>4634</v>
      </c>
      <c r="E10" s="104">
        <v>45534</v>
      </c>
      <c r="F10" s="50">
        <v>1</v>
      </c>
      <c r="G10" s="104" t="s">
        <v>3647</v>
      </c>
      <c r="H10" s="107" t="s">
        <v>3656</v>
      </c>
      <c r="I10" s="50">
        <v>90</v>
      </c>
      <c r="J10" s="50">
        <v>2.5690004500003999E+18</v>
      </c>
      <c r="K10" s="50" t="s">
        <v>4635</v>
      </c>
      <c r="L10" s="50">
        <v>0</v>
      </c>
      <c r="M10" s="50">
        <v>3</v>
      </c>
      <c r="N10" s="104">
        <v>31</v>
      </c>
      <c r="O10" s="50">
        <v>2.569E+18</v>
      </c>
      <c r="P10" s="50" t="s">
        <v>4636</v>
      </c>
      <c r="Q10" s="50">
        <v>0</v>
      </c>
      <c r="R10" s="50">
        <v>0</v>
      </c>
      <c r="S10" s="50">
        <v>0</v>
      </c>
      <c r="T10" s="50">
        <v>0</v>
      </c>
      <c r="U10" s="104">
        <v>33756</v>
      </c>
      <c r="V10" s="104">
        <v>34669</v>
      </c>
      <c r="W10" s="50">
        <v>978</v>
      </c>
      <c r="X10" s="50">
        <v>0</v>
      </c>
      <c r="Y10" s="50">
        <v>0</v>
      </c>
      <c r="Z10" s="50" t="s">
        <v>3656</v>
      </c>
      <c r="AA10" s="50" t="s">
        <v>3656</v>
      </c>
      <c r="AB10" s="50" t="s">
        <v>3656</v>
      </c>
      <c r="AC10" s="50" t="s">
        <v>3656</v>
      </c>
      <c r="AD10" s="191" t="s">
        <v>4637</v>
      </c>
      <c r="AE10" s="50" t="s">
        <v>3656</v>
      </c>
      <c r="AF10" s="50" t="s">
        <v>3656</v>
      </c>
      <c r="AG10" s="50" t="s">
        <v>3656</v>
      </c>
      <c r="AH10" s="50" t="s">
        <v>3656</v>
      </c>
      <c r="AI10" s="50" t="s">
        <v>3656</v>
      </c>
      <c r="AJ10" s="50" t="s">
        <v>3656</v>
      </c>
      <c r="AK10" s="50" t="s">
        <v>4638</v>
      </c>
      <c r="AL10" s="50" t="s">
        <v>3656</v>
      </c>
      <c r="AM10" s="107">
        <v>-2480000</v>
      </c>
      <c r="AN10" s="50" t="s">
        <v>3656</v>
      </c>
      <c r="AO10" s="104">
        <v>45535</v>
      </c>
      <c r="AP10" s="50" t="s">
        <v>3656</v>
      </c>
      <c r="AQ10" s="104">
        <v>34684</v>
      </c>
      <c r="AR10" s="50" t="s">
        <v>3656</v>
      </c>
      <c r="AS10" s="50" t="s">
        <v>3656</v>
      </c>
      <c r="AT10" s="50" t="s">
        <v>3656</v>
      </c>
      <c r="AU10" s="50" t="s">
        <v>3656</v>
      </c>
      <c r="AV10" s="104">
        <v>37553</v>
      </c>
      <c r="AW10" s="50" t="s">
        <v>3819</v>
      </c>
      <c r="AX10" s="50" t="s">
        <v>3656</v>
      </c>
      <c r="AY10" s="50" t="s">
        <v>3656</v>
      </c>
      <c r="AZ10" s="104">
        <v>36708</v>
      </c>
      <c r="BA10" s="50" t="s">
        <v>3656</v>
      </c>
      <c r="BB10" s="50">
        <v>0</v>
      </c>
      <c r="BC10" s="50" t="s">
        <v>4639</v>
      </c>
      <c r="BD10" s="50" t="s">
        <v>4640</v>
      </c>
      <c r="BE10" s="50" t="s">
        <v>3656</v>
      </c>
      <c r="BF10" s="50" t="s">
        <v>3656</v>
      </c>
      <c r="BG10" s="50" t="s">
        <v>3656</v>
      </c>
      <c r="BH10" s="50" t="s">
        <v>4639</v>
      </c>
      <c r="BI10" s="50" t="s">
        <v>4640</v>
      </c>
      <c r="BJ10" s="50" t="s">
        <v>3656</v>
      </c>
      <c r="BK10" s="50" t="s">
        <v>3656</v>
      </c>
      <c r="BL10" s="50" t="s">
        <v>3656</v>
      </c>
      <c r="BM10" s="50" t="s">
        <v>3657</v>
      </c>
      <c r="BN10" s="50" t="s">
        <v>4294</v>
      </c>
      <c r="BO10" s="50" t="s">
        <v>4641</v>
      </c>
      <c r="BP10" s="104">
        <v>45534</v>
      </c>
      <c r="BQ10" s="50" t="s">
        <v>4642</v>
      </c>
    </row>
    <row r="11" spans="2:69">
      <c r="B11" s="50" t="s">
        <v>3610</v>
      </c>
      <c r="C11" s="50">
        <v>9</v>
      </c>
      <c r="D11" s="50" t="s">
        <v>4643</v>
      </c>
      <c r="E11" s="104">
        <v>45534</v>
      </c>
      <c r="F11" s="50">
        <v>1</v>
      </c>
      <c r="G11" s="104" t="s">
        <v>3647</v>
      </c>
      <c r="H11" s="107" t="s">
        <v>3656</v>
      </c>
      <c r="I11" s="50">
        <v>90</v>
      </c>
      <c r="J11" s="50">
        <v>2.5690004500003999E+18</v>
      </c>
      <c r="K11" s="50"/>
      <c r="L11" s="50">
        <v>0</v>
      </c>
      <c r="M11" s="50">
        <v>3</v>
      </c>
      <c r="N11" s="104"/>
      <c r="O11" s="106">
        <v>2.569E+18</v>
      </c>
      <c r="P11" s="50" t="s">
        <v>4636</v>
      </c>
      <c r="Q11" s="50">
        <v>0</v>
      </c>
      <c r="R11" s="50">
        <v>0</v>
      </c>
      <c r="S11" s="50">
        <v>0</v>
      </c>
      <c r="T11" s="50">
        <v>0</v>
      </c>
      <c r="U11" s="50">
        <v>19920601</v>
      </c>
      <c r="V11" s="50">
        <v>19941201</v>
      </c>
      <c r="W11" s="50">
        <v>978</v>
      </c>
      <c r="X11" s="50">
        <v>0</v>
      </c>
      <c r="Y11" s="50">
        <v>0</v>
      </c>
      <c r="Z11" s="50" t="s">
        <v>3732</v>
      </c>
      <c r="AA11" s="50" t="s">
        <v>3732</v>
      </c>
      <c r="AB11" s="50" t="s">
        <v>3732</v>
      </c>
      <c r="AC11" s="50" t="s">
        <v>3732</v>
      </c>
      <c r="AD11" s="50" t="s">
        <v>4644</v>
      </c>
      <c r="AE11" s="50" t="s">
        <v>3732</v>
      </c>
      <c r="AF11" s="50" t="s">
        <v>3732</v>
      </c>
      <c r="AG11" s="50" t="s">
        <v>3732</v>
      </c>
      <c r="AH11" s="50" t="s">
        <v>3732</v>
      </c>
      <c r="AI11" s="50" t="s">
        <v>3732</v>
      </c>
      <c r="AJ11" s="50" t="s">
        <v>3732</v>
      </c>
      <c r="AK11" s="50" t="s">
        <v>4645</v>
      </c>
      <c r="AL11" s="50" t="s">
        <v>3732</v>
      </c>
      <c r="AM11" s="50" t="s">
        <v>4646</v>
      </c>
      <c r="AN11" s="50" t="s">
        <v>3732</v>
      </c>
      <c r="AO11" s="50">
        <v>20240831</v>
      </c>
      <c r="AP11" s="50" t="s">
        <v>3732</v>
      </c>
      <c r="AQ11" s="50">
        <v>19941216</v>
      </c>
      <c r="AR11" s="50" t="s">
        <v>3732</v>
      </c>
      <c r="AS11" s="50" t="s">
        <v>3732</v>
      </c>
      <c r="AT11" s="50" t="s">
        <v>3732</v>
      </c>
      <c r="AU11" s="50" t="s">
        <v>3732</v>
      </c>
      <c r="AV11" s="50">
        <v>20011120</v>
      </c>
      <c r="AW11" s="50" t="s">
        <v>3824</v>
      </c>
      <c r="AX11" s="50" t="s">
        <v>3732</v>
      </c>
      <c r="AY11" s="50" t="s">
        <v>3732</v>
      </c>
      <c r="AZ11" s="50">
        <v>20000515</v>
      </c>
      <c r="BA11" s="50" t="s">
        <v>3732</v>
      </c>
      <c r="BB11" s="50">
        <v>0</v>
      </c>
      <c r="BC11" s="50" t="s">
        <v>4639</v>
      </c>
      <c r="BD11" s="50" t="s">
        <v>4640</v>
      </c>
      <c r="BE11" s="50" t="s">
        <v>4647</v>
      </c>
      <c r="BF11" s="50" t="s">
        <v>4647</v>
      </c>
      <c r="BG11" s="50" t="s">
        <v>4647</v>
      </c>
      <c r="BH11" s="50" t="s">
        <v>4639</v>
      </c>
      <c r="BI11" s="50" t="s">
        <v>4640</v>
      </c>
      <c r="BJ11" s="50" t="s">
        <v>4647</v>
      </c>
      <c r="BK11" s="50" t="s">
        <v>4647</v>
      </c>
      <c r="BL11" s="50" t="s">
        <v>4647</v>
      </c>
      <c r="BM11" s="50">
        <v>1</v>
      </c>
      <c r="BN11" s="50" t="s">
        <v>4648</v>
      </c>
      <c r="BO11" s="50" t="s">
        <v>4641</v>
      </c>
      <c r="BP11" s="104">
        <v>45534</v>
      </c>
      <c r="BQ11" s="50" t="s">
        <v>4649</v>
      </c>
    </row>
    <row r="12" spans="2:69">
      <c r="B12" s="106" t="s">
        <v>3612</v>
      </c>
      <c r="C12" s="50">
        <v>10</v>
      </c>
      <c r="D12" s="50" t="s">
        <v>4650</v>
      </c>
      <c r="E12" s="104">
        <v>45534</v>
      </c>
      <c r="F12" s="50">
        <v>1</v>
      </c>
      <c r="G12" s="104" t="s">
        <v>3647</v>
      </c>
      <c r="H12" s="107" t="s">
        <v>3656</v>
      </c>
      <c r="I12" s="50">
        <v>90</v>
      </c>
      <c r="J12" s="50">
        <v>2.3020041000509998E+22</v>
      </c>
      <c r="K12" s="50" t="s">
        <v>4635</v>
      </c>
      <c r="L12" s="50">
        <v>0</v>
      </c>
      <c r="M12" s="50" t="s">
        <v>4651</v>
      </c>
      <c r="N12" s="104">
        <v>31</v>
      </c>
      <c r="O12" s="50">
        <v>2.3020041E+22</v>
      </c>
      <c r="P12" s="50" t="s">
        <v>4652</v>
      </c>
      <c r="Q12" s="50">
        <v>9.9999999740799995E+20</v>
      </c>
      <c r="R12" s="50">
        <v>9999</v>
      </c>
      <c r="S12" s="50">
        <v>9999</v>
      </c>
      <c r="T12" s="50">
        <v>99999999999999</v>
      </c>
      <c r="U12" s="104">
        <v>45519</v>
      </c>
      <c r="V12" s="104">
        <v>54056</v>
      </c>
      <c r="W12" s="50">
        <v>978</v>
      </c>
      <c r="X12" s="50">
        <v>1</v>
      </c>
      <c r="Y12" s="50">
        <v>281</v>
      </c>
      <c r="Z12" s="191" t="s">
        <v>4653</v>
      </c>
      <c r="AA12" s="191" t="s">
        <v>4653</v>
      </c>
      <c r="AB12" s="191" t="s">
        <v>4653</v>
      </c>
      <c r="AC12" s="191" t="s">
        <v>4653</v>
      </c>
      <c r="AD12" s="191" t="s">
        <v>4654</v>
      </c>
      <c r="AE12" s="191" t="s">
        <v>4655</v>
      </c>
      <c r="AF12" s="191" t="s">
        <v>4656</v>
      </c>
      <c r="AG12" s="191" t="s">
        <v>4657</v>
      </c>
      <c r="AH12" s="191" t="s">
        <v>4658</v>
      </c>
      <c r="AI12" s="191" t="s">
        <v>4659</v>
      </c>
      <c r="AJ12" s="191" t="s">
        <v>4660</v>
      </c>
      <c r="AK12" s="191" t="s">
        <v>4661</v>
      </c>
      <c r="AL12" s="191" t="s">
        <v>4662</v>
      </c>
      <c r="AM12" s="191" t="s">
        <v>4663</v>
      </c>
      <c r="AN12" s="191" t="s">
        <v>4664</v>
      </c>
      <c r="AO12" s="104">
        <v>45898</v>
      </c>
      <c r="AP12" s="191" t="s">
        <v>4665</v>
      </c>
      <c r="AQ12" s="104">
        <v>45534</v>
      </c>
      <c r="AR12" s="191" t="s">
        <v>4666</v>
      </c>
      <c r="AS12" s="191" t="s">
        <v>4667</v>
      </c>
      <c r="AT12" s="191" t="s">
        <v>4668</v>
      </c>
      <c r="AU12" s="191" t="s">
        <v>4669</v>
      </c>
      <c r="AV12" s="104">
        <v>45533</v>
      </c>
      <c r="AW12" s="191" t="s">
        <v>4670</v>
      </c>
      <c r="AX12" s="191" t="s">
        <v>4671</v>
      </c>
      <c r="AY12" s="191" t="s">
        <v>4672</v>
      </c>
      <c r="AZ12" s="104">
        <v>45534</v>
      </c>
      <c r="BA12" s="191" t="s">
        <v>4673</v>
      </c>
      <c r="BB12" s="50">
        <v>281</v>
      </c>
      <c r="BC12" s="50" t="s">
        <v>4674</v>
      </c>
      <c r="BD12" s="50" t="s">
        <v>4675</v>
      </c>
      <c r="BE12" s="191" t="s">
        <v>4676</v>
      </c>
      <c r="BF12" s="191" t="s">
        <v>4677</v>
      </c>
      <c r="BG12" s="191" t="s">
        <v>4678</v>
      </c>
      <c r="BH12" s="50" t="s">
        <v>4674</v>
      </c>
      <c r="BI12" s="50" t="s">
        <v>4675</v>
      </c>
      <c r="BJ12" s="191" t="s">
        <v>4679</v>
      </c>
      <c r="BK12" s="191" t="s">
        <v>4680</v>
      </c>
      <c r="BL12" s="191" t="s">
        <v>4678</v>
      </c>
      <c r="BM12" s="50" t="s">
        <v>3666</v>
      </c>
      <c r="BN12" s="50" t="s">
        <v>3832</v>
      </c>
      <c r="BO12" s="50" t="s">
        <v>4641</v>
      </c>
      <c r="BP12" s="104">
        <v>45534</v>
      </c>
      <c r="BQ12" s="50" t="s">
        <v>4642</v>
      </c>
    </row>
    <row r="13" spans="2:69">
      <c r="B13" s="50" t="s">
        <v>3614</v>
      </c>
      <c r="C13" s="50">
        <v>11</v>
      </c>
      <c r="D13" s="50" t="s">
        <v>4681</v>
      </c>
      <c r="E13" s="104">
        <v>45534</v>
      </c>
      <c r="F13" s="50">
        <v>1</v>
      </c>
      <c r="G13" s="104" t="s">
        <v>3647</v>
      </c>
      <c r="H13" s="107" t="s">
        <v>3656</v>
      </c>
      <c r="I13" s="50">
        <v>90</v>
      </c>
      <c r="J13" s="50">
        <v>2.3020041000509998E+22</v>
      </c>
      <c r="K13" s="50"/>
      <c r="L13" s="50">
        <v>0</v>
      </c>
      <c r="M13" s="50" t="s">
        <v>4651</v>
      </c>
      <c r="N13" s="104"/>
      <c r="O13" s="50">
        <v>2.3020041E+22</v>
      </c>
      <c r="P13" s="50" t="s">
        <v>4652</v>
      </c>
      <c r="Q13" s="50">
        <v>9.9999999740799995E+20</v>
      </c>
      <c r="R13" s="50">
        <v>9999</v>
      </c>
      <c r="S13" s="50">
        <v>9999</v>
      </c>
      <c r="T13" s="50">
        <v>99999999999999</v>
      </c>
      <c r="U13" s="50">
        <v>20240815</v>
      </c>
      <c r="V13" s="50">
        <v>20471230</v>
      </c>
      <c r="W13" s="50">
        <v>978</v>
      </c>
      <c r="X13" s="50">
        <v>1</v>
      </c>
      <c r="Y13" s="50">
        <v>281</v>
      </c>
      <c r="Z13" s="50" t="s">
        <v>4682</v>
      </c>
      <c r="AA13" s="50" t="s">
        <v>4682</v>
      </c>
      <c r="AB13" s="50" t="s">
        <v>4682</v>
      </c>
      <c r="AC13" s="50" t="s">
        <v>4682</v>
      </c>
      <c r="AD13" s="50" t="s">
        <v>4683</v>
      </c>
      <c r="AE13" s="50" t="s">
        <v>4684</v>
      </c>
      <c r="AF13" s="50" t="s">
        <v>4685</v>
      </c>
      <c r="AG13" s="50" t="s">
        <v>4686</v>
      </c>
      <c r="AH13" s="50" t="s">
        <v>4687</v>
      </c>
      <c r="AI13" s="50" t="s">
        <v>4688</v>
      </c>
      <c r="AJ13" s="50" t="s">
        <v>4689</v>
      </c>
      <c r="AK13" s="50" t="s">
        <v>4690</v>
      </c>
      <c r="AL13" s="50" t="s">
        <v>4691</v>
      </c>
      <c r="AM13" s="50" t="s">
        <v>4692</v>
      </c>
      <c r="AN13" s="50" t="s">
        <v>4693</v>
      </c>
      <c r="AO13" s="50">
        <v>20250829</v>
      </c>
      <c r="AP13" s="50" t="s">
        <v>4694</v>
      </c>
      <c r="AQ13" s="50">
        <v>20240830</v>
      </c>
      <c r="AR13" s="50" t="s">
        <v>4695</v>
      </c>
      <c r="AS13" s="50" t="s">
        <v>4696</v>
      </c>
      <c r="AT13" s="50" t="s">
        <v>4697</v>
      </c>
      <c r="AU13" s="50" t="s">
        <v>4698</v>
      </c>
      <c r="AV13" s="50">
        <v>20240829</v>
      </c>
      <c r="AW13" s="50" t="s">
        <v>4699</v>
      </c>
      <c r="AX13" s="50" t="s">
        <v>4700</v>
      </c>
      <c r="AY13" s="50" t="s">
        <v>4701</v>
      </c>
      <c r="AZ13" s="50">
        <v>20240830</v>
      </c>
      <c r="BA13" s="50" t="s">
        <v>4702</v>
      </c>
      <c r="BB13" s="50">
        <v>281</v>
      </c>
      <c r="BC13" s="50" t="s">
        <v>4674</v>
      </c>
      <c r="BD13" s="50" t="s">
        <v>4675</v>
      </c>
      <c r="BE13" s="191" t="s">
        <v>4703</v>
      </c>
      <c r="BF13" s="191" t="s">
        <v>4704</v>
      </c>
      <c r="BG13" s="191" t="s">
        <v>4705</v>
      </c>
      <c r="BH13" s="50" t="s">
        <v>4674</v>
      </c>
      <c r="BI13" s="50" t="s">
        <v>4675</v>
      </c>
      <c r="BJ13" s="191" t="s">
        <v>4706</v>
      </c>
      <c r="BK13" s="191" t="s">
        <v>4707</v>
      </c>
      <c r="BL13" s="191" t="s">
        <v>4705</v>
      </c>
      <c r="BM13" s="50">
        <v>5</v>
      </c>
      <c r="BN13" s="50" t="s">
        <v>4708</v>
      </c>
      <c r="BO13" s="50" t="s">
        <v>4641</v>
      </c>
      <c r="BP13" s="104">
        <v>45534</v>
      </c>
      <c r="BQ13" s="50" t="s">
        <v>4709</v>
      </c>
    </row>
    <row r="14" spans="2:69">
      <c r="B14" s="50" t="s">
        <v>3616</v>
      </c>
      <c r="C14" s="50">
        <v>12</v>
      </c>
      <c r="D14" s="50" t="s">
        <v>4710</v>
      </c>
      <c r="E14" s="104">
        <v>45534</v>
      </c>
      <c r="F14" s="50">
        <v>1</v>
      </c>
      <c r="G14" s="272" t="s">
        <v>4711</v>
      </c>
      <c r="H14" s="107" t="s">
        <v>3656</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3618</v>
      </c>
      <c r="C15" s="50">
        <v>13</v>
      </c>
      <c r="D15" s="50" t="s">
        <v>4712</v>
      </c>
      <c r="E15" s="104">
        <v>45534</v>
      </c>
      <c r="F15" s="50">
        <v>1</v>
      </c>
      <c r="G15" s="272">
        <v>1</v>
      </c>
      <c r="H15" s="107" t="s">
        <v>3656</v>
      </c>
      <c r="I15" s="50" t="s">
        <v>3647</v>
      </c>
      <c r="J15" s="50" t="s">
        <v>3647</v>
      </c>
      <c r="K15" s="50" t="s">
        <v>3647</v>
      </c>
      <c r="L15" s="50" t="s">
        <v>3647</v>
      </c>
      <c r="M15" s="50" t="s">
        <v>3647</v>
      </c>
      <c r="N15" s="104" t="s">
        <v>3647</v>
      </c>
      <c r="O15" s="104" t="s">
        <v>3647</v>
      </c>
      <c r="P15" s="50" t="s">
        <v>3647</v>
      </c>
      <c r="Q15" s="50" t="s">
        <v>3647</v>
      </c>
      <c r="R15" s="50" t="s">
        <v>3647</v>
      </c>
      <c r="S15" s="50" t="s">
        <v>3647</v>
      </c>
      <c r="T15" s="50" t="s">
        <v>3647</v>
      </c>
      <c r="U15" s="50">
        <v>0</v>
      </c>
      <c r="V15" s="50">
        <v>0</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c r="AO15" s="50">
        <v>0</v>
      </c>
      <c r="AP15" s="50" t="s">
        <v>3647</v>
      </c>
      <c r="AQ15" s="50">
        <v>0</v>
      </c>
      <c r="AR15" s="50" t="s">
        <v>3647</v>
      </c>
      <c r="AS15" s="50" t="s">
        <v>3647</v>
      </c>
      <c r="AT15" s="50" t="s">
        <v>3647</v>
      </c>
      <c r="AU15" s="50" t="s">
        <v>3647</v>
      </c>
      <c r="AV15" s="50">
        <v>0</v>
      </c>
      <c r="AW15" s="50" t="s">
        <v>3647</v>
      </c>
      <c r="AX15" s="50" t="s">
        <v>3647</v>
      </c>
      <c r="AY15" s="50" t="s">
        <v>3647</v>
      </c>
      <c r="AZ15" s="50">
        <v>0</v>
      </c>
      <c r="BA15" s="50" t="s">
        <v>3647</v>
      </c>
      <c r="BB15" s="50" t="s">
        <v>3647</v>
      </c>
      <c r="BC15" s="50" t="s">
        <v>3647</v>
      </c>
      <c r="BD15" s="50" t="s">
        <v>3647</v>
      </c>
      <c r="BE15" s="50" t="s">
        <v>3647</v>
      </c>
      <c r="BF15" s="50" t="s">
        <v>3647</v>
      </c>
      <c r="BG15" s="50" t="s">
        <v>3647</v>
      </c>
      <c r="BH15" s="50" t="s">
        <v>3647</v>
      </c>
      <c r="BI15" s="50" t="s">
        <v>3647</v>
      </c>
      <c r="BJ15" s="50" t="s">
        <v>3647</v>
      </c>
      <c r="BK15" s="50" t="s">
        <v>3647</v>
      </c>
      <c r="BL15" s="50" t="s">
        <v>3647</v>
      </c>
      <c r="BM15" s="50" t="s">
        <v>3647</v>
      </c>
      <c r="BN15" s="50" t="s">
        <v>3647</v>
      </c>
      <c r="BO15" s="50" t="s">
        <v>3647</v>
      </c>
      <c r="BP15" s="50" t="s">
        <v>3647</v>
      </c>
      <c r="BQ15" s="50" t="s">
        <v>3647</v>
      </c>
    </row>
    <row r="16" spans="2:69">
      <c r="B16" s="50" t="s">
        <v>3620</v>
      </c>
      <c r="C16" s="50">
        <v>14</v>
      </c>
      <c r="D16" s="50" t="s">
        <v>4713</v>
      </c>
      <c r="E16" s="104">
        <v>45534</v>
      </c>
      <c r="F16" s="50">
        <v>1</v>
      </c>
      <c r="G16" s="272">
        <v>1</v>
      </c>
      <c r="H16" s="107" t="s">
        <v>3656</v>
      </c>
      <c r="I16" s="50">
        <v>0</v>
      </c>
      <c r="J16" s="50">
        <v>0</v>
      </c>
      <c r="K16" s="50">
        <v>0</v>
      </c>
      <c r="L16" s="50" t="s">
        <v>3647</v>
      </c>
      <c r="M16" s="50">
        <v>0</v>
      </c>
      <c r="N16" s="50">
        <v>0</v>
      </c>
      <c r="O16" s="50">
        <v>0</v>
      </c>
      <c r="P16" s="50" t="s">
        <v>3647</v>
      </c>
      <c r="Q16" s="50" t="s">
        <v>3647</v>
      </c>
      <c r="R16" s="50">
        <v>0</v>
      </c>
      <c r="S16" s="50">
        <v>0</v>
      </c>
      <c r="T16" s="50" t="s">
        <v>3647</v>
      </c>
      <c r="U16" s="50" t="s">
        <v>3647</v>
      </c>
      <c r="V16" s="50" t="s">
        <v>3647</v>
      </c>
      <c r="W16" s="50">
        <v>0</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t="s">
        <v>3647</v>
      </c>
      <c r="AN16" s="50" t="s">
        <v>3647</v>
      </c>
      <c r="AO16" s="50" t="s">
        <v>3647</v>
      </c>
      <c r="AP16" s="50" t="s">
        <v>3647</v>
      </c>
      <c r="AQ16" s="50" t="s">
        <v>3647</v>
      </c>
      <c r="AR16" s="50" t="s">
        <v>3647</v>
      </c>
      <c r="AS16" s="50" t="s">
        <v>3647</v>
      </c>
      <c r="AT16" s="50" t="s">
        <v>3647</v>
      </c>
      <c r="AU16" s="50" t="s">
        <v>3647</v>
      </c>
      <c r="AV16" s="50" t="s">
        <v>3647</v>
      </c>
      <c r="AW16" s="50" t="s">
        <v>3647</v>
      </c>
      <c r="AX16" s="50" t="s">
        <v>3647</v>
      </c>
      <c r="AY16" s="50" t="s">
        <v>3647</v>
      </c>
      <c r="AZ16" s="50" t="s">
        <v>3647</v>
      </c>
      <c r="BA16" s="50" t="s">
        <v>3647</v>
      </c>
      <c r="BB16" s="50" t="s">
        <v>3647</v>
      </c>
      <c r="BC16" s="50" t="s">
        <v>3647</v>
      </c>
      <c r="BD16" s="50" t="s">
        <v>3647</v>
      </c>
      <c r="BE16" s="50" t="s">
        <v>3647</v>
      </c>
      <c r="BF16" s="50" t="s">
        <v>3647</v>
      </c>
      <c r="BG16" s="50" t="s">
        <v>3647</v>
      </c>
      <c r="BH16" s="50">
        <v>0</v>
      </c>
      <c r="BI16" s="50" t="s">
        <v>3647</v>
      </c>
      <c r="BJ16" s="50" t="s">
        <v>3647</v>
      </c>
      <c r="BK16" s="50" t="s">
        <v>3647</v>
      </c>
      <c r="BL16" s="50" t="s">
        <v>3647</v>
      </c>
      <c r="BM16" s="50">
        <v>0</v>
      </c>
      <c r="BN16" s="50">
        <v>0</v>
      </c>
      <c r="BO16" s="50">
        <v>0</v>
      </c>
      <c r="BP16" s="50" t="s">
        <v>3647</v>
      </c>
      <c r="BQ16" s="50" t="s">
        <v>3647</v>
      </c>
    </row>
    <row r="17" spans="2:69">
      <c r="B17" s="50" t="s">
        <v>3622</v>
      </c>
      <c r="C17" s="50">
        <v>15</v>
      </c>
      <c r="D17" s="50" t="s">
        <v>4714</v>
      </c>
      <c r="E17" s="104">
        <v>45534</v>
      </c>
      <c r="F17" s="50">
        <v>1</v>
      </c>
      <c r="G17" s="272">
        <v>1</v>
      </c>
      <c r="H17" s="107" t="s">
        <v>3656</v>
      </c>
      <c r="I17" s="50" t="s">
        <v>3647</v>
      </c>
      <c r="J17" s="50" t="s">
        <v>3647</v>
      </c>
      <c r="K17" s="50" t="s">
        <v>3647</v>
      </c>
      <c r="L17" s="50" t="s">
        <v>3647</v>
      </c>
      <c r="M17" s="50" t="s">
        <v>3647</v>
      </c>
      <c r="N17" s="106" t="s">
        <v>3647</v>
      </c>
      <c r="O17" s="106"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c r="BC17" s="50" t="s">
        <v>3647</v>
      </c>
      <c r="BD17" s="50" t="s">
        <v>3647</v>
      </c>
      <c r="BE17" s="50" t="s">
        <v>3647</v>
      </c>
      <c r="BF17" s="50" t="s">
        <v>3647</v>
      </c>
      <c r="BG17" s="50" t="s">
        <v>3647</v>
      </c>
      <c r="BH17" s="50" t="s">
        <v>3647</v>
      </c>
      <c r="BI17" s="50" t="s">
        <v>3647</v>
      </c>
      <c r="BJ17" s="50" t="s">
        <v>3647</v>
      </c>
      <c r="BK17" s="50" t="s">
        <v>3647</v>
      </c>
      <c r="BL17" s="50" t="s">
        <v>3647</v>
      </c>
      <c r="BM17" s="50" t="s">
        <v>3647</v>
      </c>
      <c r="BN17" s="50" t="s">
        <v>3647</v>
      </c>
      <c r="BO17" s="50" t="s">
        <v>3647</v>
      </c>
      <c r="BP17" s="50" t="s">
        <v>3647</v>
      </c>
      <c r="BQ17" s="50" t="s">
        <v>3647</v>
      </c>
    </row>
    <row r="18" spans="2:69">
      <c r="B18" s="50" t="s">
        <v>3624</v>
      </c>
      <c r="C18" s="50">
        <v>16</v>
      </c>
      <c r="D18" s="50" t="s">
        <v>4714</v>
      </c>
      <c r="E18" s="104">
        <v>45534</v>
      </c>
      <c r="F18" s="50">
        <v>1</v>
      </c>
      <c r="G18" s="272">
        <v>1</v>
      </c>
      <c r="H18" s="107" t="s">
        <v>3656</v>
      </c>
      <c r="I18" s="50" t="s">
        <v>3647</v>
      </c>
      <c r="J18" s="50" t="s">
        <v>3647</v>
      </c>
      <c r="K18" s="50" t="s">
        <v>3647</v>
      </c>
      <c r="L18" s="50" t="s">
        <v>3647</v>
      </c>
      <c r="M18" s="50" t="s">
        <v>3647</v>
      </c>
      <c r="N18" s="106" t="s">
        <v>3647</v>
      </c>
      <c r="O18" s="106"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c r="BC18" s="50" t="s">
        <v>3647</v>
      </c>
      <c r="BD18" s="50" t="s">
        <v>3647</v>
      </c>
      <c r="BE18" s="50" t="s">
        <v>3647</v>
      </c>
      <c r="BF18" s="50" t="s">
        <v>3647</v>
      </c>
      <c r="BG18" s="50" t="s">
        <v>3647</v>
      </c>
      <c r="BH18" s="50" t="s">
        <v>3647</v>
      </c>
      <c r="BI18" s="50" t="s">
        <v>3647</v>
      </c>
      <c r="BJ18" s="50" t="s">
        <v>3647</v>
      </c>
      <c r="BK18" s="50" t="s">
        <v>3647</v>
      </c>
      <c r="BL18" s="50" t="s">
        <v>3647</v>
      </c>
      <c r="BM18" s="50" t="s">
        <v>3647</v>
      </c>
      <c r="BN18" s="50" t="s">
        <v>3647</v>
      </c>
      <c r="BO18" s="50" t="s">
        <v>3647</v>
      </c>
      <c r="BP18" s="50" t="s">
        <v>3647</v>
      </c>
      <c r="BQ18" s="50" t="s">
        <v>3647</v>
      </c>
    </row>
    <row r="19" spans="2:69">
      <c r="B19" s="50" t="s">
        <v>3626</v>
      </c>
      <c r="C19" s="50">
        <v>17</v>
      </c>
      <c r="D19" s="50" t="s">
        <v>4715</v>
      </c>
      <c r="E19" s="104">
        <v>45534</v>
      </c>
      <c r="F19" s="50">
        <v>1</v>
      </c>
      <c r="G19" s="272" t="s">
        <v>4716</v>
      </c>
      <c r="H19" s="191" t="s">
        <v>4717</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c r="BC19" s="50" t="s">
        <v>3647</v>
      </c>
      <c r="BD19" s="50" t="s">
        <v>3647</v>
      </c>
      <c r="BE19" s="50" t="s">
        <v>3647</v>
      </c>
      <c r="BF19" s="50" t="s">
        <v>3647</v>
      </c>
      <c r="BG19" s="50" t="s">
        <v>3647</v>
      </c>
      <c r="BH19" s="50" t="s">
        <v>3647</v>
      </c>
      <c r="BI19" s="50" t="s">
        <v>3647</v>
      </c>
      <c r="BJ19" s="50" t="s">
        <v>3647</v>
      </c>
      <c r="BK19" s="50" t="s">
        <v>3647</v>
      </c>
      <c r="BL19" s="50" t="s">
        <v>3647</v>
      </c>
      <c r="BM19" s="50" t="s">
        <v>3647</v>
      </c>
      <c r="BN19" s="50" t="s">
        <v>3647</v>
      </c>
      <c r="BO19" s="50" t="s">
        <v>3647</v>
      </c>
      <c r="BP19" s="50" t="s">
        <v>3647</v>
      </c>
      <c r="BQ19" s="50" t="s">
        <v>3647</v>
      </c>
    </row>
    <row r="20" spans="2:69">
      <c r="B20" s="50" t="s">
        <v>3628</v>
      </c>
      <c r="C20" s="50">
        <v>18</v>
      </c>
      <c r="D20" s="50" t="s">
        <v>4715</v>
      </c>
      <c r="E20" s="104">
        <v>45534</v>
      </c>
      <c r="F20" s="50">
        <v>1</v>
      </c>
      <c r="G20" s="272" t="s">
        <v>4718</v>
      </c>
      <c r="H20" s="191" t="s">
        <v>4719</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c r="BC20" s="50" t="s">
        <v>3647</v>
      </c>
      <c r="BD20" s="50" t="s">
        <v>3647</v>
      </c>
      <c r="BE20" s="50" t="s">
        <v>3647</v>
      </c>
      <c r="BF20" s="50" t="s">
        <v>3647</v>
      </c>
      <c r="BG20" s="50" t="s">
        <v>3647</v>
      </c>
      <c r="BH20" s="50" t="s">
        <v>3647</v>
      </c>
      <c r="BI20" s="50" t="s">
        <v>3647</v>
      </c>
      <c r="BJ20" s="50" t="s">
        <v>3647</v>
      </c>
      <c r="BK20" s="50" t="s">
        <v>3647</v>
      </c>
      <c r="BL20" s="50" t="s">
        <v>3647</v>
      </c>
      <c r="BM20" s="50" t="s">
        <v>3647</v>
      </c>
      <c r="BN20" s="50" t="s">
        <v>3647</v>
      </c>
      <c r="BO20" s="50" t="s">
        <v>3647</v>
      </c>
      <c r="BP20" s="50" t="s">
        <v>3647</v>
      </c>
      <c r="BQ20" s="50" t="s">
        <v>3647</v>
      </c>
    </row>
    <row r="21" spans="2:69">
      <c r="B21" s="50" t="s">
        <v>3630</v>
      </c>
      <c r="C21" s="50">
        <v>19</v>
      </c>
      <c r="D21" s="50" t="s">
        <v>4720</v>
      </c>
      <c r="E21" s="104">
        <v>45534</v>
      </c>
      <c r="F21" s="50">
        <v>1</v>
      </c>
      <c r="G21" s="272" cm="1">
        <f t="array" aca="1" ref="G21" ca="1">SUMPRODUCT(--(ISNUMBER((SEARCH(I27:BQ27,I21:BQ21)))))/COUNTA(I21:BQ21)</f>
        <v>1</v>
      </c>
      <c r="H21" s="107"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4065</v>
      </c>
      <c r="Z21" s="50" t="s">
        <v>3682</v>
      </c>
      <c r="AA21" s="50" t="s">
        <v>3682</v>
      </c>
      <c r="AB21" s="50" t="s">
        <v>3682</v>
      </c>
      <c r="AC21" s="50" t="s">
        <v>3682</v>
      </c>
      <c r="AD21" s="50" t="s">
        <v>3682</v>
      </c>
      <c r="AE21" s="50" t="s">
        <v>3682</v>
      </c>
      <c r="AF21" s="50" t="s">
        <v>3682</v>
      </c>
      <c r="AG21" s="50" t="s">
        <v>3682</v>
      </c>
      <c r="AH21" s="50" t="s">
        <v>3682</v>
      </c>
      <c r="AI21" s="50" t="s">
        <v>3682</v>
      </c>
      <c r="AJ21" s="50" t="s">
        <v>3682</v>
      </c>
      <c r="AK21" s="50" t="s">
        <v>3682</v>
      </c>
      <c r="AL21" s="50" t="s">
        <v>3682</v>
      </c>
      <c r="AM21" s="50" t="s">
        <v>3682</v>
      </c>
      <c r="AN21" s="50" t="s">
        <v>3682</v>
      </c>
      <c r="AO21" s="50" t="s">
        <v>3681</v>
      </c>
      <c r="AP21" s="50" t="s">
        <v>3682</v>
      </c>
      <c r="AQ21" s="50" t="s">
        <v>3681</v>
      </c>
      <c r="AR21" s="50" t="s">
        <v>3682</v>
      </c>
      <c r="AS21" s="50" t="s">
        <v>3682</v>
      </c>
      <c r="AT21" s="50" t="s">
        <v>3682</v>
      </c>
      <c r="AU21" s="50" t="s">
        <v>3682</v>
      </c>
      <c r="AV21" s="50" t="s">
        <v>3681</v>
      </c>
      <c r="AW21" s="50" t="s">
        <v>3682</v>
      </c>
      <c r="AX21" s="50" t="s">
        <v>3682</v>
      </c>
      <c r="AY21" s="50" t="s">
        <v>3682</v>
      </c>
      <c r="AZ21" s="50" t="s">
        <v>3681</v>
      </c>
      <c r="BA21" s="50" t="s">
        <v>3682</v>
      </c>
      <c r="BB21" s="50" t="s">
        <v>4065</v>
      </c>
      <c r="BC21" s="50" t="s">
        <v>3681</v>
      </c>
      <c r="BD21" s="50" t="s">
        <v>3681</v>
      </c>
      <c r="BE21" s="50" t="s">
        <v>3682</v>
      </c>
      <c r="BF21" s="50" t="s">
        <v>3682</v>
      </c>
      <c r="BG21" s="50" t="s">
        <v>3682</v>
      </c>
      <c r="BH21" s="50" t="s">
        <v>3681</v>
      </c>
      <c r="BI21" s="50" t="s">
        <v>3681</v>
      </c>
      <c r="BJ21" s="50" t="s">
        <v>3682</v>
      </c>
      <c r="BK21" s="50" t="s">
        <v>3682</v>
      </c>
      <c r="BL21" s="50" t="s">
        <v>3682</v>
      </c>
      <c r="BM21" s="50" t="s">
        <v>3681</v>
      </c>
      <c r="BN21" s="50" t="s">
        <v>3681</v>
      </c>
      <c r="BO21" s="50" t="s">
        <v>3681</v>
      </c>
      <c r="BP21" s="50" t="s">
        <v>3681</v>
      </c>
      <c r="BQ21" s="50" t="s">
        <v>3683</v>
      </c>
    </row>
    <row r="22" spans="2:69">
      <c r="B22" s="50" t="s">
        <v>3633</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3636</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3753</v>
      </c>
    </row>
    <row r="26" spans="2:69">
      <c r="B26" s="137" t="s">
        <v>3639</v>
      </c>
      <c r="C26" s="138" t="s">
        <v>3640</v>
      </c>
      <c r="D26" s="138" t="s">
        <v>3641</v>
      </c>
      <c r="E26" s="138" t="s">
        <v>3642</v>
      </c>
      <c r="F26" s="138" t="s">
        <v>3643</v>
      </c>
      <c r="G26" s="138" t="s">
        <v>3644</v>
      </c>
      <c r="H26" s="138" t="s">
        <v>3645</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3684</v>
      </c>
      <c r="C27" s="102">
        <v>21</v>
      </c>
      <c r="D27" s="101" t="s">
        <v>3685</v>
      </c>
      <c r="E27" t="s">
        <v>3686</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3688</v>
      </c>
    </row>
    <row r="31" spans="2:69">
      <c r="B31" s="143" t="s">
        <v>3689</v>
      </c>
      <c r="C31" s="143" t="s">
        <v>3690</v>
      </c>
      <c r="D31" s="144" t="s">
        <v>3691</v>
      </c>
      <c r="E31" s="143" t="s">
        <v>3692</v>
      </c>
      <c r="F31" s="143" t="s">
        <v>3693</v>
      </c>
    </row>
    <row r="32" spans="2:69" ht="29.1">
      <c r="B32" s="120" t="s">
        <v>3797</v>
      </c>
      <c r="C32" s="124" t="s">
        <v>1843</v>
      </c>
      <c r="D32" s="53" t="s">
        <v>4721</v>
      </c>
      <c r="E32" s="162" t="s">
        <v>4722</v>
      </c>
      <c r="F32" s="145" t="s">
        <v>3700</v>
      </c>
    </row>
    <row r="33" spans="2:6" ht="29.1">
      <c r="B33" s="146" t="s">
        <v>3694</v>
      </c>
      <c r="C33" s="147" t="s">
        <v>1843</v>
      </c>
      <c r="D33" s="148" t="s">
        <v>4723</v>
      </c>
      <c r="E33" s="106" t="s">
        <v>4724</v>
      </c>
      <c r="F33" s="198" t="s">
        <v>3700</v>
      </c>
    </row>
    <row r="34" spans="2:6" ht="29.1">
      <c r="B34" s="146" t="s">
        <v>3694</v>
      </c>
      <c r="C34" s="147" t="s">
        <v>2297</v>
      </c>
      <c r="D34" s="148" t="s">
        <v>4723</v>
      </c>
      <c r="E34" s="106" t="s">
        <v>4725</v>
      </c>
      <c r="F34" s="198" t="s">
        <v>3700</v>
      </c>
    </row>
    <row r="35" spans="2:6" ht="29.1">
      <c r="B35" s="146" t="s">
        <v>3694</v>
      </c>
      <c r="C35" s="147" t="s">
        <v>2318</v>
      </c>
      <c r="D35" s="148" t="s">
        <v>4723</v>
      </c>
      <c r="E35" s="106" t="s">
        <v>4725</v>
      </c>
      <c r="F35" s="198" t="s">
        <v>3700</v>
      </c>
    </row>
    <row r="36" spans="2:6" ht="29.1">
      <c r="B36" s="146" t="s">
        <v>3694</v>
      </c>
      <c r="C36" s="147" t="s">
        <v>715</v>
      </c>
      <c r="D36" s="148" t="s">
        <v>4723</v>
      </c>
      <c r="E36" s="106" t="s">
        <v>4726</v>
      </c>
      <c r="F36" s="198" t="s">
        <v>3700</v>
      </c>
    </row>
    <row r="37" spans="2:6" ht="29.1">
      <c r="B37" s="146" t="s">
        <v>3694</v>
      </c>
      <c r="C37" s="147" t="s">
        <v>1466</v>
      </c>
      <c r="D37" s="148" t="s">
        <v>4723</v>
      </c>
      <c r="E37" s="106" t="s">
        <v>4727</v>
      </c>
      <c r="F37" s="198" t="s">
        <v>3700</v>
      </c>
    </row>
    <row r="38" spans="2:6" ht="29.1">
      <c r="B38" s="146" t="s">
        <v>3694</v>
      </c>
      <c r="C38" s="147" t="s">
        <v>1481</v>
      </c>
      <c r="D38" s="148" t="s">
        <v>4723</v>
      </c>
      <c r="E38" s="106" t="s">
        <v>4728</v>
      </c>
      <c r="F38" s="198" t="s">
        <v>3700</v>
      </c>
    </row>
    <row r="39" spans="2:6" ht="29.1">
      <c r="B39" s="146" t="s">
        <v>3694</v>
      </c>
      <c r="C39" s="147" t="s">
        <v>4626</v>
      </c>
      <c r="D39" s="148" t="s">
        <v>4723</v>
      </c>
      <c r="E39" s="106" t="s">
        <v>4729</v>
      </c>
      <c r="F39" s="198" t="s">
        <v>3700</v>
      </c>
    </row>
    <row r="40" spans="2:6" ht="29.1">
      <c r="B40" s="146" t="s">
        <v>3694</v>
      </c>
      <c r="C40" s="147" t="s">
        <v>1987</v>
      </c>
      <c r="D40" s="148" t="s">
        <v>4723</v>
      </c>
      <c r="E40" s="106" t="s">
        <v>4730</v>
      </c>
      <c r="F40" s="198" t="s">
        <v>3700</v>
      </c>
    </row>
    <row r="41" spans="2:6" ht="29.1">
      <c r="B41" s="146" t="s">
        <v>3694</v>
      </c>
      <c r="C41" s="147" t="s">
        <v>756</v>
      </c>
      <c r="D41" s="148" t="s">
        <v>4723</v>
      </c>
      <c r="E41" s="106" t="s">
        <v>4730</v>
      </c>
      <c r="F41" s="198" t="s">
        <v>3700</v>
      </c>
    </row>
    <row r="42" spans="2:6" ht="43.5">
      <c r="B42" s="146" t="s">
        <v>3694</v>
      </c>
      <c r="C42" s="147" t="s">
        <v>305</v>
      </c>
      <c r="D42" s="148" t="s">
        <v>4731</v>
      </c>
      <c r="E42" s="106" t="s">
        <v>4732</v>
      </c>
      <c r="F42" s="198" t="s">
        <v>3700</v>
      </c>
    </row>
    <row r="43" spans="2:6" ht="72.599999999999994">
      <c r="B43" s="146" t="s">
        <v>3704</v>
      </c>
      <c r="C43" s="147" t="s">
        <v>4469</v>
      </c>
      <c r="D43" s="148" t="s">
        <v>4733</v>
      </c>
      <c r="E43" s="106" t="s">
        <v>4734</v>
      </c>
      <c r="F43" s="198" t="s">
        <v>3697</v>
      </c>
    </row>
    <row r="44" spans="2:6" ht="29.1">
      <c r="B44" s="146" t="s">
        <v>3762</v>
      </c>
      <c r="C44" s="147" t="s">
        <v>4469</v>
      </c>
      <c r="D44" s="148" t="s">
        <v>4735</v>
      </c>
      <c r="E44" s="106" t="s">
        <v>4736</v>
      </c>
      <c r="F44" s="198"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15237B70-D80C-4618-B2D2-D52122615165}"/>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Soares de Sousa Leite</cp:lastModifiedBy>
  <cp:revision/>
  <dcterms:created xsi:type="dcterms:W3CDTF">2023-01-24T18:52:31Z</dcterms:created>
  <dcterms:modified xsi:type="dcterms:W3CDTF">2025-05-22T09:21:09Z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