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2"/>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4932" documentId="8_{61D38E54-D008-48DA-9840-B5825BD93502}" xr6:coauthVersionLast="47" xr6:coauthVersionMax="47" xr10:uidLastSave="{A94F50E5-B8DD-4487-93C8-2C28281B3730}"/>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<sst xmlns="http://schemas.openxmlformats.org/spreadsheetml/2006/main" count="12944" uniqueCount="2714">
  <si>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</si>
  <si>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</si>
  <si>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</si>
  <si>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</si>
  <si>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</si>
  <si>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</si>
  <si>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</si>
  <si>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</si>
  <si>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</si>
  <si>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</si>
  <si>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</si>
  <si>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</si>
  <si>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</si>
  <si>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</si>
  <si>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</si>
  <si>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</si>
  <si>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</si>
  <si>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</si>
  <si>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</si>
  <si>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</si>
  <si>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</si>
  <si>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</si>
  <si>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</si>
  <si>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</si>
  <si>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</si>
  <si>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</si>
  <si>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</si>
  <si>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</si>
  <si>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</si>
  <si>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</si>
  <si>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</si>
  <si>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</si>
  <si>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</si>
  <si>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</si>
  <si>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</si>
  <si>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</si>
  <si>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</si>
  <si>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</si>
  <si>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</si>
  <si>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</si>
  <si>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</si>
  <si>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</si>
  <si>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</si>
  <si>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</si>
  <si>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</si>
  <si>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</si>
  <si>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</si>
  <si>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</si>
  <si>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</si>
  <si>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</si>
  <si>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</si>
  <si>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</si>
  <si>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</si>
  <si>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</si>
  <si>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</si>
  <si>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</si>
  <si>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</si>
  <si>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</si>
  <si>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</si>
  <si>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</si>
  <si>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</si>
  <si>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</si>
  <si>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</si>
  <si>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</si>
  <si>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</si>
  <si>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</si>
  <si>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</si>
  <si>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</si>
  <si>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</si>
  <si>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</si>
  <si>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</si>
  <si>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</si>
  <si>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</si>
  <si>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</si>
  <si>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</si>
  <si>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</si>
  <si>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</si>
  <si>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</si>
  <si>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</si>
  <si>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</si>
  <si>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</si>
  <si>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</si>
  <si>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</si>
  <si>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</si>
  <si>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</si>
  <si>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</si>
  <si>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</si>
  <si>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</si>
  <si>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</si>
  <si>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</si>
  <si>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</si>
  <si>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</si>
  <si>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</si>
  <si>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</si>
  <si>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</si>
  <si>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</si>
  <si>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</si>
  <si>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</si>
  <si>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</si>
  <si>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</si>
  <si>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</si>
  <si>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</si>
  <si>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</si>
  <si>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</si>
  <si>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</si>
  <si>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</si>
  <si>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</si>
  <si>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</si>
  <si>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</si>
  <si>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</si>
  <si>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</si>
  <si>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</si>
  <si>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</si>
  <si>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</si>
  <si>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</si>
  <si>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</si>
  <si>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</si>
  <si>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</si>
  <si>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</si>
  <si>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</si>
  <si>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</si>
  <si>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</si>
  <si>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</si>
  <si>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</si>
  <si>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</si>
  <si>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</si>
  <si>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</si>
  <si>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</si>
  <si>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</si>
  <si>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</si>
  <si>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</si>
  <si>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</si>
  <si>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</si>
  <si>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</si>
  <si>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</si>
  <si>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</si>
  <si>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</si>
  <si>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</si>
  <si>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</si>
  <si>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</si>
  <si>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</si>
  <si>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</si>
  <si>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</si>
  <si>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</si>
  <si>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</si>
  <si>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</si>
  <si>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</si>
  <si>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</si>
  <si>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</si>
  <si>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</si>
  <si>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</si>
  <si>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</si>
  <si>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</si>
  <si>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</si>
  <si>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</si>
  <si>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</si>
  <si>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</si>
  <si>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</si>
  <si>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</si>
  <si>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</si>
  <si>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</si>
  <si>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</si>
  <si>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</si>
  <si>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</si>
  <si>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</si>
  <si>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</si>
  <si>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</si>
  <si>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</si>
  <si>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</si>
  <si>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</si>
  <si>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</si>
  <si>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</si>
  <si>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</si>
  <si>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</si>
  <si>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</si>
  <si>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</si>
  <si>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</si>
  <si>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</si>
  <si>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</si>
  <si>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</si>
  <si>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</si>
  <si>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</si>
  <si>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</si>
  <si>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</si>
  <si>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</si>
  <si>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</si>
  <si>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</si>
  <si>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</si>
  <si>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</si>
  <si>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</si>
  <si>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</si>
  <si>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</si>
  <si>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</si>
  <si>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</si>
  <si>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</si>
  <si>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</si>
  <si>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</si>
  <si>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</si>
  <si>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</si>
  <si>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</si>
  <si>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</si>
  <si>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</si>
  <si>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</si>
  <si>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</si>
  <si>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</si>
  <si>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</si>
  <si>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</si>
  <si>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</si>
  <si>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</si>
  <si>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</si>
  <si>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</si>
  <si>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</si>
  <si>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</si>
  <si>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</si>
  <si>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</si>
  <si>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</si>
  <si>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</si>
  <si>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</si>
  <si>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</si>
  <si>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</si>
  <si>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</si>
  <si>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</si>
  <si>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</si>
  <si>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</si>
  <si>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</si>
  <si>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</si>
  <si>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</si>
  <si>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</si>
  <si>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</si>
  <si>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</si>
  <si>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</si>
  <si>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</si>
  <si>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</si>
  <si>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</si>
  <si>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</si>
  <si>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</si>
  <si>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</si>
  <si>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</si>
  <si>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</si>
  <si>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</si>
  <si>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</si>
  <si>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</si>
  <si>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</si>
  <si>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</si>
  <si>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</si>
  <si>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</si>
  <si>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</si>
  <si>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</si>
  <si>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</si>
  <si>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</si>
  <si>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</si>
  <si>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</si>
  <si>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</si>
  <si>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</si>
  <si>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</si>
  <si>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</si>
  <si>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</si>
  <si>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</si>
  <si>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</si>
  <si>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</si>
  <si>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</si>
  <si>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</si>
  <si>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</si>
  <si>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</si>
  <si>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</si>
  <si>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</si>
  <si>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</si>
  <si>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</si>
  <si>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</si>
  <si>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</si>
  <si>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</si>
  <si>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</si>
  <si>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</si>
  <si>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</si>
  <si>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</si>
  <si>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</si>
  <si>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</si>
  <si>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</si>
  <si>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</si>
  <si>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</si>
  <si>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</si>
  <si>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</si>
  <si>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</si>
  <si>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</si>
  <si>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</si>
  <si>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</si>
  <si>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</si>
  <si>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</si>
  <si>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</si>
  <si>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</si>
  <si>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</si>
  <si>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</si>
  <si>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</si>
  <si>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</si>
  <si>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</si>
  <si>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</si>
  <si>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</si>
  <si>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</si>
  <si>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</si>
  <si>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</si>
  <si>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</si>
  <si>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</si>
  <si>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</si>
  <si>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</si>
  <si>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</si>
  <si>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</si>
  <si>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</si>
  <si>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</si>
  <si>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</si>
  <si>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</si>
  <si>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</si>
  <si>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</si>
  <si>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</si>
  <si>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</si>
  <si>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</si>
  <si>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</si>
  <si>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</si>
  <si>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</si>
  <si>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</si>
  <si>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</si>
  <si>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</si>
  <si>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</si>
  <si>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</si>
  <si>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</si>
  <si>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</si>
  <si>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</si>
  <si>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</si>
  <si>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</si>
  <si>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</si>
  <si>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</si>
  <si>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</si>
  <si>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</si>
  <si>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</si>
  <si>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</si>
  <si>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</si>
  <si>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</si>
  <si>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</si>
  <si>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</si>
  <si>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</si>
  <si>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</si>
  <si>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</si>
  <si>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</si>
  <si>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</si>
  <si>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</si>
  <si>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</si>
  <si>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</si>
  <si>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</si>
  <si>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</si>
  <si>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</si>
  <si>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</si>
  <si>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</si>
  <si>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</si>
  <si>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</si>
  <si>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</si>
  <si>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</si>
  <si>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</si>
  <si>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</si>
  <si>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</si>
  <si>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</si>
  <si>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</si>
  <si>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</si>
  <si>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</si>
  <si>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</si>
  <si>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</si>
  <si>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</si>
  <si>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</si>
  <si>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</si>
  <si>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</si>
  <si>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</si>
  <si>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</si>
  <si>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</si>
  <si>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</si>
  <si>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</si>
  <si>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</si>
  <si>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</si>
  <si>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</si>
  <si>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</si>
  <si>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</si>
  <si>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</si>
  <si>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</si>
  <si>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</si>
  <si>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</si>
  <si>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</si>
  <si>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</si>
  <si>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</si>
  <si>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</si>
  <si>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</si>
  <si>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</si>
  <si>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</si>
  <si>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</si>
  <si>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</si>
  <si>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</si>
  <si>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</si>
  <si>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</si>
  <si>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</si>
  <si>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</si>
  <si>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</si>
  <si>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</si>
  <si>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</si>
  <si>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</si>
  <si>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</si>
  <si>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</si>
  <si>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</si>
  <si>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</si>
  <si>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</si>
  <si>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</si>
  <si>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</si>
  <si>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</si>
  <si>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</si>
  <si>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</si>
  <si>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</si>
  <si>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</si>
  <si>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</si>
  <si>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</si>
  <si>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</si>
  <si>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</si>
  <si>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</si>
  <si>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</si>
  <si>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</si>
  <si>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</si>
  <si>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</si>
  <si>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</si>
  <si>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</si>
  <si>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</si>
  <si>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</si>
  <si>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</si>
  <si>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</si>
  <si>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</si>
  <si>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</si>
  <si>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</si>
  <si>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</si>
  <si>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</si>
  <si>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</si>
  <si>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</si>
  <si>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</si>
  <si>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</si>
  <si>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</si>
  <si>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</si>
  <si>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</si>
  <si>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</si>
  <si>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</si>
  <si>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</si>
  <si>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</si>
  <si>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</si>
  <si>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</si>
  <si>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</si>
  <si>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</si>
  <si>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</si>
  <si>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</si>
  <si>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</si>
  <si>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</si>
  <si>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</si>
  <si>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</si>
  <si>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</si>
  <si>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</si>
  <si>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</si>
  <si>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</si>
  <si>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</si>
  <si>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</si>
  <si>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</si>
  <si>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</si>
  <si>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</si>
  <si>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</si>
  <si>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</si>
  <si>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</si>
  <si>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</si>
  <si>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</si>
  <si>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</si>
  <si>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</si>
  <si>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</si>
  <si>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</si>
  <si>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</si>
  <si>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</si>
  <si>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</si>
  <si>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</si>
  <si>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</si>
  <si>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</si>
  <si>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</si>
  <si>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</si>
  <si>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</si>
  <si>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</si>
  <si>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</si>
  <si>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</si>
  <si>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</si>
  <si>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</si>
  <si>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</si>
  <si>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</si>
  <si>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</si>
  <si>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</si>
  <si>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</si>
  <si>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</si>
  <si>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</si>
  <si>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</si>
  <si>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</si>
  <si>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</si>
  <si>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</si>
  <si>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</si>
  <si>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</si>
  <si>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</si>
  <si>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</si>
  <si>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</si>
  <si>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</si>
  <si>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</si>
  <si>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</si>
  <si>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</si>
  <si>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</si>
  <si>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</si>
  <si>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</si>
  <si>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</si>
  <si>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</si>
  <si>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</si>
  <si>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</si>
  <si>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</si>
  <si>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</si>
  <si>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</si>
  <si>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</si>
  <si>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</si>
  <si>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</si>
  <si>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</si>
  <si>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</si>
  <si>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</si>
  <si>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</si>
  <si>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</si>
  <si>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</si>
  <si>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</si>
  <si>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</si>
  <si>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</si>
  <si>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</si>
  <si>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</si>
  <si>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</si>
  <si>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</si>
  <si>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</si>
  <si>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</si>
  <si>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</si>
  <si>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</si>
  <si>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</si>
  <si>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</si>
  <si>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</si>
  <si>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</si>
  <si>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</si>
  <si>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</si>
  <si>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</si>
  <si>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</si>
  <si>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</si>
  <si>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</si>
  <si>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</si>
  <si>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</si>
  <si>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</si>
  <si>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</si>
  <si>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</si>
  <si>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</si>
  <si>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</si>
  <si>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</si>
  <si>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</si>
  <si>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</si>
  <si>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</si>
  <si>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</si>
  <si>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</si>
  <si>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</si>
  <si>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</si>
  <si>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</si>
  <si>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</si>
  <si>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</si>
  <si>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</si>
  <si>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</si>
  <si>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</si>
  <si>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</si>
  <si>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</si>
  <si>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</si>
  <si>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</si>
  <si>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</si>
  <si>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</si>
  <si>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</si>
  <si>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</si>
  <si>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</si>
  <si>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</si>
  <si>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</si>
  <si>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</si>
  <si>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</si>
  <si>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</si>
  <si>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</si>
  <si>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</si>
  <si>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</si>
  <si>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</si>
  <si>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</si>
  <si>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</si>
  <si>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</si>
  <si>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</si>
  <si>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</si>
  <si>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</si>
  <si>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</si>
  <si>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</si>
  <si>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</si>
  <si>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</si>
  <si>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</si>
  <si>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</si>
  <si>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</si>
  <si>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</si>
  <si>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</si>
  <si>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</si>
  <si>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</si>
  <si>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</si>
  <si>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</si>
  <si>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</si>
  <si>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</si>
  <si>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</si>
  <si>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</si>
  <si>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</si>
  <si>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</si>
  <si>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</si>
  <si>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</si>
  <si>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</si>
  <si>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</si>
  <si>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</si>
  <si>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</si>
  <si>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</si>
  <si>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</si>
  <si>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</si>
  <si>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</si>
  <si>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</si>
  <si>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</si>
  <si>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</si>
  <si>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</si>
  <si>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</si>
  <si>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</si>
  <si>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</si>
  <si>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</si>
  <si>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</si>
  <si>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</si>
  <si>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</si>
  <si>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</si>
  <si>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</si>
  <si>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</si>
  <si>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</si>
  <si>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</si>
  <si>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</si>
  <si>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</si>
  <si>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</si>
  <si>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</si>
  <si>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</si>
  <si>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</si>
  <si>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</si>
  <si>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</si>
  <si>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</si>
  <si>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</si>
  <si>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</si>
  <si>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</si>
  <si>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</si>
  <si>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</si>
  <si>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</si>
  <si>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</si>
  <si>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</si>
  <si>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</si>
  <si>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</si>
  <si>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</si>
  <si>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</si>
  <si>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</si>
  <si>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</si>
  <si>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</si>
  <si>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</si>
  <si>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</si>
  <si>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</si>
  <si>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</si>
  <si>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</si>
  <si>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</si>
  <si>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</si>
  <si>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</si>
  <si>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</si>
  <si>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</si>
  <si>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</si>
  <si>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</si>
  <si>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</si>
  <si>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</si>
  <si>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</si>
  <si>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</si>
  <si>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</si>
  <si>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</si>
  <si>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</si>
  <si>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</si>
  <si>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</si>
  <si>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</si>
  <si>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</si>
  <si>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</si>
  <si>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</si>
  <si>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</si>
  <si>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</si>
  <si>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</si>
  <si>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</si>
  <si>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</si>
  <si>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</si>
  <si>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</si>
  <si>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</si>
  <si>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</si>
  <si>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</si>
  <si>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</si>
  <si>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</si>
  <si>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</si>
  <si>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</si>
  <si>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</si>
  <si>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</si>
  <si>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</si>
  <si>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</si>
  <si>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</si>
  <si>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</si>
  <si>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</si>
  <si>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</si>
  <si>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</si>
  <si>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</si>
  <si>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</si>
  <si>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</si>
  <si>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</si>
  <si>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</si>
  <si>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</si>
  <si>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</si>
  <si>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</si>
  <si>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</si>
  <si>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</si>
  <si>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</si>
  <si>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</si>
  <si>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</si>
  <si>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</si>
  <si>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</si>
  <si>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</si>
  <si>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</si>
  <si>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</si>
  <si>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</si>
  <si>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</si>
  <si>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</si>
  <si>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</si>
  <si>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</si>
  <si>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</si>
  <si>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</si>
  <si>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</si>
  <si>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</si>
  <si>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</si>
  <si>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</si>
  <si>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</si>
  <si>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</si>
  <si>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</si>
  <si>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</si>
  <si>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</si>
  <si>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</si>
  <si>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</si>
  <si>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</si>
  <si>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</si>
  <si>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</si>
  <si>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</si>
  <si>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</si>
  <si>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Transaction Execution Date</t>
  </si>
  <si>
    <t>transaction_execution_date</t>
  </si>
  <si>
    <t>Ext Inf - Trans Cal Inf - Date</t>
  </si>
  <si>
    <t>Represents the date in which the transaction was actually executed. Not to be mistaken by the moment in which the transaction was performed.</t>
  </si>
  <si>
    <t>Transactions - General</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</si>
  <si>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</si>
  <si>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</si>
  <si>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</si>
  <si>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</si>
  <si>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</si>
  <si>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</si>
  <si>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</si>
  <si>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</si>
  <si>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</si>
  <si>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</si>
  <si>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</si>
  <si>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</si>
  <si>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</si>
  <si>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</si>
  <si>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</si>
  <si>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</si>
  <si>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</si>
  <si>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</si>
  <si>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</si>
  <si>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</si>
  <si>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</si>
  <si>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BG_OPERACION
DCYR9750 
TCT72_MOVCTA</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</si>
  <si>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</si>
  <si>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</si>
  <si>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</si>
  <si>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</si>
  <si>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</si>
  <si>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</si>
  <si>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</si>
  <si>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</si>
  <si>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</si>
  <si>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</si>
  <si>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</si>
  <si>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</si>
  <si>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</si>
  <si>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</si>
  <si>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</si>
  <si>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</si>
  <si>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</si>
  <si>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</si>
  <si>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</si>
  <si>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</si>
  <si>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</si>
  <si>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</si>
  <si>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</si>
  <si>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</si>
  <si>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</si>
  <si>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</si>
  <si>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</si>
  <si>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</si>
  <si>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</si>
  <si>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</si>
  <si>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</si>
  <si>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</si>
  <si>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</si>
  <si>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</si>
  <si>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</si>
  <si>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</si>
  <si>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</si>
  <si>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</si>
  <si>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</si>
  <si>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</si>
  <si>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</si>
  <si>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</si>
  <si>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</si>
  <si>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</si>
  <si>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</si>
  <si>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</si>
  <si>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</si>
  <si>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</si>
  <si>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</si>
  <si>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</si>
  <si>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</si>
  <si>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</si>
  <si>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</si>
  <si>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</si>
  <si>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</si>
  <si>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</si>
  <si>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</si>
  <si>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</si>
  <si>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</si>
  <si>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</si>
  <si>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</si>
  <si>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</si>
  <si>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</si>
  <si>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</si>
  <si>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</si>
  <si>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</si>
  <si>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</si>
  <si>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</si>
  <si>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</si>
  <si>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</si>
  <si>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</si>
  <si>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</si>
  <si>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</si>
  <si>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</si>
  <si>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</si>
  <si>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</si>
  <si>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</si>
  <si>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</si>
  <si>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</si>
  <si>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</si>
  <si>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</si>
  <si>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</si>
  <si>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</si>
  <si>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</si>
  <si>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</si>
  <si>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</si>
  <si>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</si>
  <si>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</si>
  <si>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</si>
  <si>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</si>
  <si>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</si>
  <si>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</si>
  <si>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</si>
  <si>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</si>
  <si>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</si>
  <si>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</si>
  <si>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</si>
  <si>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</si>
  <si>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</si>
  <si>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</si>
  <si>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</si>
  <si>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</si>
  <si>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</si>
  <si>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CONF_LITIGATION_PRODUTC.PRODUCT_ID = '029' AND CONF_LITIGATION_PRODUCT.SUBPRODUCT_ID = '286'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AND CONF_GENERAL_CODE_CONVERTER.CODE CATEGORY = 'bank_id' AND CONF_GENERAL_CODE_CONVERTER.SOURCE_CODE = 'TC' AND CONF_GENERAL_CODE_CONVERTER.SOURCE_VALUE = '' AND CONF_GENERAL_CODE_CONVERTER.PRIORITY_LEVEL = '1'
    EXCEPT LAST 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</si>
  <si>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</si>
  <si>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</si>
  <si>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</si>
  <si>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</si>
  <si>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</si>
  <si>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IF( TCT09_OPERN.CKPRODUT != '029' AND TCT09_OPERN.CKSUBPRO != '286',
    CONCAT( TCT72_MOVCTA.CKBALCAO, TCT72_MOVCTA.CKNUMCTA, '0000000', '0000', '0001' ),
    CONCAT( TCT72_MOVCTA.CKBALCAO, TCT72_MOVCTA.CKNUMCTA, tct72.ZDEPOSIT )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</si>
  <si>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</si>
  <si>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 CKBALCAO, CKNUMCTA, ZDEPOSIT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</si>
  <si>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</si>
  <si>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</si>
  <si>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</si>
  <si>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INTERFACE_DCT01.DCYR9750_ZMOVCTA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</si>
  <si>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</si>
  <si>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</si>
  <si>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</si>
  <si>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</si>
  <si>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</si>
  <si>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</si>
  <si>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</si>
  <si>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</si>
  <si>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</si>
  <si>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</si>
  <si>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</si>
  <si>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</si>
  <si>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CONCAT ( INDORI, TIPOFACN, INDESTR )
CONCAT ( INDORI, TIPOFACN, INDESTR )
COPERAC || CONCAT ( OPERBAS, OPERBAN )
COPERAC</t>
  </si>
  <si>
    <t>N\A
N\A
N\A || N\A
N\A</t>
  </si>
  <si>
    <t>Accounting Operation Code</t>
  </si>
  <si>
    <t>accounting_operation_code</t>
  </si>
  <si>
    <t>Ext Inf - Trans Inf - Code</t>
  </si>
  <si>
    <t>Sintra's accounting transaction code.</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</si>
  <si>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</si>
  <si>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</si>
  <si>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</si>
  <si>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</si>
  <si>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</si>
  <si>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</si>
  <si>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</si>
  <si>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</si>
  <si>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</si>
  <si>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</si>
  <si>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</si>
  <si>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</si>
  <si>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</si>
  <si>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</si>
  <si>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</si>
  <si>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</si>
  <si>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</si>
  <si>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</si>
  <si>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</si>
  <si>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</si>
  <si>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</si>
  <si>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</si>
  <si>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V.CRT12_INDESTR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</si>
  <si>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</si>
  <si>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</si>
  <si>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</si>
  <si>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</si>
  <si>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</si>
  <si>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 xml:space="preserve">WHERE TCT09_OPERCN.ISITUAC = '1'
    AND CONF_LITIGATION_PRODUTC.PRODUCT_ID = '029' AND CONF_LITIGATION_PRODUCT.SUBPRODUCT_ID = '286'
    AND CONF_FINANCIAL_FLOW_INDICATOR_CONVERTER.SOURCE_TRANSACTION_TYPE_CODE = 'coperac' AND CONF_FINANCIAL_FLOW_INDICATOR_CONVERTER.SOURCE_CODE = 'TC' 
    EXCEPT LAST DATA_DATE_PART </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</si>
  <si>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</si>
  <si>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</si>
  <si>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</si>
  <si>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</si>
  <si>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</si>
  <si>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</si>
  <si>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</si>
  <si>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</si>
  <si>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</si>
  <si>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'029'AND CONF_LITIGATION_PRODUCT.SUBPRODUCT_ID = '286'
    EXCEPT LAST DATA_DATE_PART</t>
    </r>
  </si>
  <si>
    <t>PAN
PAN
N\A
N\A</t>
  </si>
  <si>
    <t>N\A
N\A
"NULL"
"#N/A"</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</si>
  <si>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</si>
  <si>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</si>
  <si>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</si>
  <si>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</si>
  <si>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</si>
  <si>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CRT09_TBTARJET
MOVIMENTOS_CONSOLIDADOS
INTERFACE_DCT01
TCT72_MOVCTA
TCT09_OPERN
CONF_LITIGATION_PRODUCT</t>
  </si>
  <si>
    <t>N\A
N\A
N\A
NUMBENCTA
N\A
N\A
N\A
N\A
N\A</t>
  </si>
  <si>
    <r>
      <rPr>
        <b/>
        <sz val="11"/>
        <color rgb="FF000000"/>
        <rFont val="Calibri"/>
        <scheme val="minor"/>
      </rPr>
      <t xml:space="preserve">SELECT </t>
    </r>
    <r>
      <rPr>
        <sz val="11"/>
        <color rgb="FF000000"/>
        <rFont val="Calibri"/>
        <scheme val="minor"/>
      </rPr>
      <t xml:space="preserve">IF( TRIM( CRT09_TBTARJET.NUMBENCTA ) = '', NULL, CAST( CAST( ( CRT09_TBTARJET.NUMBENCTA - 1 ) AS INT ) AS STRING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CRT09_TBTARJET.NUMBENCTA ) = '', NULL, CAST( CAST( ( CRT09_TBTARJET.NUMBENCTA - 1 ) AS INT ) AS STRING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</si>
  <si>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NUMBENCTA - 1
NUMBENCTA - 1
N\A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</si>
  <si>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</si>
  <si>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</si>
  <si>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</si>
  <si>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</si>
  <si>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</si>
  <si>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</si>
  <si>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</si>
  <si>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</si>
  <si>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</si>
  <si>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</si>
  <si>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</si>
  <si>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</si>
  <si>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</si>
  <si>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</si>
  <si>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</si>
  <si>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 TRIM( crt53.tipoaut ) = '' OR crt53.tipoaut IS NULL ),
    NULL,
    IF(SUBSTR(crt53.tipoaut, 1, 1) IN ('1', '4', '8'),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</si>
  <si>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</si>
  <si>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</si>
  <si>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</si>
  <si>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</si>
  <si>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</si>
  <si>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</si>
  <si>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</si>
  <si>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</si>
  <si>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</si>
  <si>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</si>
  <si>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</si>
  <si>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</si>
  <si>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</si>
  <si>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</si>
  <si>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</si>
  <si>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CRT12_TBMOVEXT_NEW.CRT12_CLAMON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</si>
  <si>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</si>
  <si>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</si>
  <si>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</si>
  <si>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CRT90_TBMOVDEB_NEW.CRT90_CLAMONEUR ) = '', NULL, CRT90_TBMOVDEB_NEW.CRT90_CLAMONEUR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</si>
  <si>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</si>
  <si>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</si>
  <si>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</si>
  <si>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</si>
  <si>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</si>
  <si>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</si>
  <si>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FECFAC
FECFAC
DDIAOP
DDIAOP</t>
  </si>
  <si>
    <t>Original Amount</t>
  </si>
  <si>
    <t>original_amount</t>
  </si>
  <si>
    <t>Original amount of the transaction. Represents the amount before the currency exchange, if applicable.</t>
  </si>
  <si>
    <t>Counterparty Transaction Amount</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</si>
  <si>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</si>
  <si>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</si>
  <si>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</si>
  <si>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</si>
  <si>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</si>
  <si>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</si>
  <si>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N\A
MMOVIM
N\A
N\A</t>
  </si>
  <si>
    <r>
      <rPr>
        <b/>
        <sz val="11"/>
        <color rgb="FF000000"/>
        <rFont val="Calibri"/>
        <scheme val="minor"/>
      </rPr>
      <t xml:space="preserve">SELECT </t>
    </r>
    <r>
      <rPr>
        <sz val="11"/>
        <color rgb="FF000000"/>
        <rFont val="Calibri"/>
        <scheme val="minor"/>
      </rPr>
      <t xml:space="preserve">CAST( CONCAT( CRT44_TBTIPFAC.SIGNO, CRT12_TBMOVEXT_NEW.CRT12_IMPFAC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</si>
  <si>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</si>
  <si>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</si>
  <si>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</si>
  <si>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</si>
  <si>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</si>
  <si>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</si>
  <si>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</si>
  <si>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</si>
  <si>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</si>
  <si>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CRT12_TBMOVEXT_NEW.CRT12_BANAPOIO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</si>
  <si>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CRT12_TBMOVEXT || N\A
CRT90_TBMOVDEB || N\A
N\A
N\A</t>
  </si>
  <si>
    <t>BANAPOIO
BANAPOIO
N\A
N\A</t>
  </si>
  <si>
    <t>N\A 
N\A
"NULL"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</si>
  <si>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</si>
  <si>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</si>
  <si>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</si>
  <si>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</si>
  <si>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</si>
  <si>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</si>
  <si>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</si>
  <si>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</si>
  <si>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</si>
  <si>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</si>
  <si>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</si>
  <si>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</si>
  <si>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</si>
  <si>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</si>
  <si>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</si>
  <si>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</si>
  <si>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</si>
  <si>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</si>
  <si>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</si>
  <si>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</si>
  <si>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</si>
  <si>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</si>
  <si>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</si>
  <si>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</si>
  <si>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</si>
  <si>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</si>
  <si>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</si>
  <si>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</si>
  <si>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</si>
  <si>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</si>
  <si>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</si>
  <si>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</si>
  <si>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</si>
  <si>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</si>
  <si>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</si>
  <si>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</si>
  <si>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</si>
  <si>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</si>
  <si>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</si>
  <si>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</si>
  <si>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CRT12_TBMOVEXT_NEW.CRT12_CODACT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and CONF_LITIGATION_PRODUCT.source_code = 'CR'
    EXCEPT LAST 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</si>
  <si>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</si>
  <si>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</si>
  <si>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</si>
  <si>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</si>
  <si>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</si>
  <si>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</si>
  <si>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</si>
  <si>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CONF_LITIGATION_PRODUTC.PRODUCT_ID = '029' AND CONF_LITIGATION_PRODUCT.SUBPRODUCT_ID = '286'
    EXCEPT LAST DATA_DATE_PART</t>
    </r>
  </si>
  <si>
    <t>common_contracts_currentaccounts</t>
  </si>
  <si>
    <t>Current Account Transaction</t>
  </si>
  <si>
    <t>current_account_transaction</t>
  </si>
  <si>
    <t>Accounting Basic Bank Operation</t>
  </si>
  <si>
    <t>accounting_bank_basic_operation</t>
  </si>
  <si>
    <t>Partenon's accounting transaction code.</t>
  </si>
  <si>
    <t>Transaction Type:
OB_OPERACION + OB_OPER_BASICA; ? + ?</t>
  </si>
  <si>
    <t>CURATED_INTERNAL_MAINFRAME_CONTAS
CURATED_INTERNAL_MAINFRAME_CONTAS
CURATED_INTERNAL_MAINFRAME_CONTENCIOSO
CURATED_INTERNAL_MAINFRAME_CONTENCIOSO</t>
  </si>
  <si>
    <t>MOVIMENTOS_CONSOLIDADOS
INTERFACE_DCT01
TCT72_MOVCTA
TCT09_OPERCN</t>
  </si>
  <si>
    <t>DCYR9750_OPERBAS, DCY9750_OPERBAN
N\A
COPERAC
N\A</t>
  </si>
  <si>
    <r>
      <rPr>
        <b/>
        <sz val="11"/>
        <color rgb="FF000000"/>
        <rFont val="Calibri"/>
        <scheme val="minor"/>
      </rPr>
      <t xml:space="preserve">SELECT </t>
    </r>
    <r>
      <rPr>
        <sz val="11"/>
        <color rgb="FF000000"/>
        <rFont val="Calibri"/>
        <scheme val="minor"/>
      </rPr>
      <t xml:space="preserve">CONCAT( DCYR9750_OPERBAS, DCY9750_OPERBAN )
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</si>
  <si>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 - Contas a Vista
TC - Terminal Contencioso</t>
  </si>
  <si>
    <t>DCYR9750
TCT72_MOVCTA</t>
  </si>
  <si>
    <t>CONCAT( OPERBAS, OPERBAN )
N\A</t>
  </si>
  <si>
    <t>N\A
"#N/A"</t>
  </si>
  <si>
    <t>common_contracts_incomesavingsaccounts</t>
  </si>
  <si>
    <t>Income Saving Account Transaction</t>
  </si>
  <si>
    <t>incomesaving_account_transaction</t>
  </si>
  <si>
    <t>CURATED_INTERNAL_MAINFRAME_CONTAS
CURATED_INTERNAL_MAINFRAME_CONTAS</t>
  </si>
  <si>
    <t>MOVIMENTOS_CONSOLIDADOS
INTERFACE_DCT01</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</si>
  <si>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</si>
  <si>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</si>
  <si>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 - Contas a Vista</t>
  </si>
  <si>
    <t>DCYR9750</t>
  </si>
  <si>
    <t>CONCAT( OPERBAS, OPERBAN )</t>
  </si>
  <si>
    <t>N\A</t>
  </si>
  <si>
    <t>common_contracts_internalaccounts</t>
  </si>
  <si>
    <t>Internal Account Transaction</t>
  </si>
  <si>
    <t>internal_account_transaction</t>
  </si>
  <si>
    <t>CURATED_INTERNAL_MAINFRAME_CONTAS
CURATED_INTERNAL_MAINFRAME_CONTAS
OPERATIONS_COMMON_REFERENCEDATA_CORE</t>
  </si>
  <si>
    <t>MOVIMENTOS_CONSOLIDADOS
INTERFACE_DCT01
CONF_LITIGATION_PRODUCT</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</si>
  <si>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</si>
  <si>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</si>
  <si>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common_contracts_loanaccounts</t>
  </si>
  <si>
    <t>Loan Account Transaction</t>
  </si>
  <si>
    <t>loan_account_transaction</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</si>
  <si>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</si>
  <si>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</si>
  <si>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EXCEPT LAST DATA_DATE_PART</t>
    </r>
  </si>
  <si>
    <t>common_contracts_nostrovostroaccounts</t>
  </si>
  <si>
    <t>Nostro Vostro Account Transaction</t>
  </si>
  <si>
    <t>nostrovostro_account_transaction</t>
  </si>
  <si>
    <r>
      <rPr>
        <b/>
        <sz val="11"/>
        <color rgb="FF000000"/>
        <rFont val="Calibri"/>
        <scheme val="minor"/>
      </rPr>
      <t xml:space="preserve">SELECT </t>
    </r>
    <r>
      <rPr>
        <sz val="11"/>
        <color rgb="FF000000"/>
        <rFont val="Calibri"/>
        <scheme val="minor"/>
      </rPr>
      <t xml:space="preserve">IF( TRIM( CONCAT( MOVIMENTOS_CONSOLIDADOS.DCYR9750_OPERBAS, dcy.DCY9750_OPERBAN ) ) = '', NULL, CONCAT(MOVIMENTOS_CONSOLIDADOS.DCYR9750_OPERBAS,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</si>
  <si>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Transaction Type:
TAT91 - CTABELA 021;  CURATED_INTERNAL_MAINFRAME_ESTRUTURAIS.TAT91_TABELAS - TAYD91C0_CTABELA 021</t>
  </si>
  <si>
    <t>DCYR9750_COPERAC
N\A
COPERAC
N\A</t>
  </si>
  <si>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</si>
  <si>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DCYR9750_COPERAC
COPERAC</t>
  </si>
  <si>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</si>
  <si>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COPERAC</t>
  </si>
  <si>
    <t>DCYR9750_COPERAC
N\A
N\A</t>
  </si>
  <si>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</si>
  <si>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</si>
  <si>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</si>
  <si>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CONCAT( CKBALCAO, CKNUMCTA, "000000000000000" )
CONCAT( CKBALCAO, CKNUMCTA, "000000000000000" )</t>
  </si>
  <si>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</si>
  <si>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DCYR9750_COPCAO
N\A
COPCAO
N\A</t>
  </si>
  <si>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</si>
  <si>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COPCAO
COPCAO</t>
  </si>
  <si>
    <t>DCYR9750_COPCAO
COPCAO</t>
  </si>
  <si>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</si>
  <si>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COPCAO</t>
  </si>
  <si>
    <t>DCYR9750_COPCAO
N\A
N\A</t>
  </si>
  <si>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</si>
  <si>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BIG INT</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</si>
  <si>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</si>
  <si>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</si>
  <si>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</si>
  <si>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</si>
  <si>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</si>
  <si>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</si>
  <si>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</si>
  <si>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</si>
  <si>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MMOVIM</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</si>
  <si>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</si>
  <si>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</si>
  <si>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Represents the sequencial stage order inside of the transaction. In case of accounts the field does not apply unless it is a litigation transaction.</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</si>
  <si>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</si>
  <si>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EXCEPT LAST DATA_DATE_PART</t>
    </r>
  </si>
  <si>
    <t>N\A
TCT72_MOVCTA</t>
  </si>
  <si>
    <t>N\A
ZSEQMOV</t>
  </si>
  <si>
    <t>"1"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</si>
  <si>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</si>
  <si>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Transactions - General
Transactions - General
Transactions - General
Transactions - Accounts
Transactions - Accounts</t>
  </si>
  <si>
    <t>Contract ID
Contract Number
Transaction ID
Account Number
Transaction ID</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</si>
  <si>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EXCEPT LAST DATA_DATE_PART</t>
    </r>
  </si>
  <si>
    <t>N\A
NA\</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</si>
  <si>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</si>
  <si>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</si>
  <si>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</si>
  <si>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"31"</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</si>
  <si>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</si>
  <si>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</si>
  <si>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</si>
  <si>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</si>
  <si>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common_contracts_debitcards</t>
  </si>
  <si>
    <t>Debit Card Account Transaction</t>
  </si>
  <si>
    <t>debit_card_account_transaction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</si>
  <si>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</si>
  <si>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</si>
  <si>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</si>
  <si>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</si>
  <si>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</si>
  <si>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</si>
  <si>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</si>
  <si>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</si>
  <si>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</si>
  <si>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</si>
  <si>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</si>
  <si>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</si>
  <si>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</si>
  <si>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</si>
  <si>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</si>
  <si>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</si>
  <si>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</si>
  <si>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</si>
  <si>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</si>
  <si>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</si>
  <si>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</si>
  <si>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'CR'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</si>
  <si>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</si>
  <si>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</si>
  <si>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</si>
  <si>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</si>
  <si>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</si>
  <si>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</si>
  <si>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</si>
  <si>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</si>
  <si>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</si>
  <si>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</si>
  <si>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</si>
  <si>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</si>
  <si>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</si>
  <si>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</si>
  <si>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INT</t>
  </si>
  <si>
    <t>CURATED_INTERNAL_MAINFRAME_CARTOES
CURATED_INTERNAL_MAINFRAME_CARTOES
CURATED_INTERNAL_MAINFRAME_CARTOES
CURATED_INTERNAL_MAINFRAME_ESTRUTURAIS</t>
  </si>
  <si>
    <t>CRT90_TBMOVDEB_NEW
CRT07_TBCTATAR
CRT09_TBTARJET
TAT91_TABELAS</t>
  </si>
  <si>
    <t>N\A
N\A
NUMBENCTA
N\A</t>
  </si>
  <si>
    <r>
      <rPr>
        <b/>
        <sz val="11"/>
        <color rgb="FF000000"/>
        <rFont val="Calibri"/>
        <scheme val="minor"/>
      </rPr>
      <t xml:space="preserve">SELECT </t>
    </r>
    <r>
      <rPr>
        <sz val="11"/>
        <color rgb="FF000000"/>
        <rFont val="Calibri"/>
        <scheme val="minor"/>
      </rPr>
      <t xml:space="preserve">IF( TRIM( CRT09_TBTARJET.NUMBENCTA) = '', NULL, CAST( ( CRT09_TBTARJET.NUMBENCTA- 1 ) AS INT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</si>
  <si>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CRT09_TBTARJET</t>
  </si>
  <si>
    <t>NUMBENCTA - 1</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</si>
  <si>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</si>
  <si>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</si>
  <si>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</si>
  <si>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</si>
  <si>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</si>
  <si>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</si>
  <si>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</si>
  <si>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</si>
  <si>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</si>
  <si>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</si>
  <si>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</si>
  <si>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</si>
  <si>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</si>
  <si>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</si>
  <si>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</si>
  <si>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</si>
  <si>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</si>
  <si>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</si>
  <si>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</si>
  <si>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</si>
  <si>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</si>
  <si>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</si>
  <si>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</si>
  <si>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</si>
  <si>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</si>
  <si>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</si>
  <si>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</si>
  <si>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</si>
  <si>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</si>
  <si>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</si>
  <si>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</si>
  <si>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</si>
  <si>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</si>
  <si>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</si>
  <si>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</si>
  <si>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</si>
  <si>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</si>
  <si>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</si>
  <si>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</si>
  <si>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</si>
  <si>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</si>
  <si>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</si>
  <si>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</si>
  <si>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</si>
  <si>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</si>
  <si>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</si>
  <si>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</si>
  <si>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</si>
  <si>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</si>
  <si>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</si>
  <si>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</si>
  <si>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</si>
  <si>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</si>
  <si>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</si>
  <si>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</si>
  <si>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</si>
  <si>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</si>
  <si>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</si>
  <si>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</si>
  <si>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</si>
  <si>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</si>
  <si>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</si>
  <si>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</si>
  <si>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</si>
  <si>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</si>
  <si>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</si>
  <si>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</si>
  <si>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</si>
  <si>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</si>
  <si>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</si>
  <si>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</si>
  <si>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</si>
  <si>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</si>
  <si>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</si>
  <si>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</si>
  <si>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</si>
  <si>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</si>
  <si>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</si>
  <si>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</si>
  <si>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</si>
  <si>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</si>
  <si>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</si>
  <si>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</si>
  <si>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</si>
  <si>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</si>
  <si>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</si>
  <si>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</si>
  <si>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</si>
  <si>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</si>
  <si>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</si>
  <si>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</si>
  <si>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</si>
  <si>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</si>
  <si>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</si>
  <si>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</si>
  <si>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</si>
  <si>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</si>
  <si>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</si>
  <si>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</si>
  <si>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</si>
  <si>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</si>
  <si>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</si>
  <si>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</si>
  <si>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</si>
  <si>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</si>
  <si>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</si>
  <si>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</si>
  <si>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</si>
  <si>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</si>
  <si>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</si>
  <si>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</si>
  <si>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</si>
  <si>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</si>
  <si>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</si>
  <si>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</si>
  <si>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</si>
  <si>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</si>
  <si>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</si>
  <si>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</si>
  <si>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</si>
  <si>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</si>
  <si>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</si>
  <si>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</si>
  <si>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</si>
  <si>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</si>
  <si>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</si>
  <si>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</si>
  <si>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</si>
  <si>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</si>
  <si>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</si>
  <si>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</si>
  <si>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</si>
  <si>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</si>
  <si>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</si>
  <si>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</si>
  <si>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</si>
  <si>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</si>
  <si>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</si>
  <si>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</si>
  <si>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</si>
  <si>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</si>
  <si>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</si>
  <si>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</si>
  <si>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</si>
  <si>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</si>
  <si>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</si>
  <si>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</si>
  <si>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</si>
  <si>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</si>
  <si>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</si>
  <si>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</si>
  <si>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</si>
  <si>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</si>
  <si>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</si>
  <si>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</si>
  <si>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</si>
  <si>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</si>
  <si>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</si>
  <si>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</si>
  <si>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</si>
  <si>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</si>
  <si>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</si>
  <si>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</si>
  <si>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</si>
  <si>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</si>
  <si>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</si>
  <si>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</si>
  <si>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</si>
  <si>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</si>
  <si>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</si>
  <si>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</si>
  <si>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</si>
  <si>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</si>
  <si>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</si>
  <si>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</si>
  <si>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</si>
  <si>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</si>
  <si>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</si>
  <si>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</si>
  <si>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</si>
  <si>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</si>
  <si>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</si>
  <si>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</si>
  <si>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</si>
  <si>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</si>
  <si>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</si>
  <si>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</si>
  <si>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</si>
  <si>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 xml:space="preserve">COPERAC || CONCAT( OPERBAS, OPERBAN )
COPERAC </t>
  </si>
  <si>
    <t>N\A ||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</si>
  <si>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EXCEPT LAST DATA_DATE_PART</t>
    </r>
  </si>
  <si>
    <t>Check Number</t>
  </si>
  <si>
    <t>check_number</t>
  </si>
  <si>
    <t>Ext Inf - Trans Inf - Value</t>
  </si>
  <si>
    <t>If applicable, identifies the check associated with the transaction.</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</si>
  <si>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</si>
  <si>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</si>
  <si>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
N\A</t>
  </si>
  <si>
    <t>ZCHQ
N\A</t>
  </si>
  <si>
    <t>N\A
"NULL"</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</si>
  <si>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</si>
  <si>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</si>
  <si>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ZCHQ</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</si>
  <si>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</si>
  <si>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</si>
  <si>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</si>
  <si>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</si>
  <si>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Comment</t>
  </si>
  <si>
    <t>comment</t>
  </si>
  <si>
    <t>General observations about the transactions. If applicable, it can be used to identify the swift \ sepa transfer.</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</si>
  <si>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</si>
  <si>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</si>
  <si>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GOBSERV
N\A</t>
  </si>
  <si>
    <t>N\A
" "</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</si>
  <si>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</si>
  <si>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</si>
  <si>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GOBSERV</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</si>
  <si>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</si>
  <si>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</si>
  <si>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SELECT</t>
    </r>
    <r>
      <rPr>
        <sz val="11"/>
        <color rgb="FF000000"/>
        <rFont val="Calibri"/>
        <scheme val="minor"/>
      </rPr>
      <t xml:space="preserve"> 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</si>
  <si>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</si>
  <si>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</si>
  <si>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</si>
  <si>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</si>
  <si>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CONCAT( CKBALCAO, CKNUMCTA, "000000000000000" )</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</si>
  <si>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</si>
  <si>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</si>
  <si>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</si>
  <si>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</si>
  <si>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DCYR9750_CMOEDA 
N\A
CMOEDAOR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</si>
  <si>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</si>
  <si>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</si>
  <si>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</si>
  <si>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</si>
  <si>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</si>
  <si>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</si>
  <si>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</si>
  <si>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</si>
  <si>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EXCEPT LAST DATA_DATE_PART</t>
    </r>
  </si>
  <si>
    <t xml:space="preserve">N\A
COPERAC </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</si>
  <si>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</si>
  <si>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</si>
  <si>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</si>
  <si>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common_contracts_leasing</t>
  </si>
  <si>
    <t>Leasing Transaction</t>
  </si>
  <si>
    <t>leasing_transaction</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</si>
  <si>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</si>
  <si>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</si>
  <si>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</si>
  <si>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</si>
  <si>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</si>
  <si>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</si>
  <si>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</si>
  <si>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</si>
  <si>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</si>
  <si>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</si>
  <si>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</si>
  <si>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</si>
  <si>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</si>
  <si>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</si>
  <si>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</si>
  <si>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</si>
  <si>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</si>
  <si>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</si>
  <si>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</si>
  <si>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</si>
  <si>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</si>
  <si>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</si>
  <si>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</si>
  <si>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</si>
  <si>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</si>
  <si>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</si>
  <si>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</si>
  <si>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</si>
  <si>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</si>
  <si>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</si>
  <si>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</si>
  <si>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</si>
  <si>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</si>
  <si>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</si>
  <si>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</si>
  <si>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</si>
  <si>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</si>
  <si>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</si>
  <si>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</si>
  <si>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</si>
  <si>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</si>
  <si>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</si>
  <si>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</si>
  <si>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</si>
  <si>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</si>
  <si>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</si>
  <si>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</si>
  <si>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</si>
  <si>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</si>
  <si>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</si>
  <si>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</si>
  <si>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</si>
  <si>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</si>
  <si>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</si>
  <si>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</si>
  <si>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</si>
  <si>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</si>
  <si>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</si>
  <si>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</si>
  <si>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</si>
  <si>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</si>
  <si>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</si>
  <si>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</si>
  <si>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</si>
  <si>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</si>
  <si>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</si>
  <si>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</si>
  <si>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Description</t>
  </si>
  <si>
    <t>description</t>
  </si>
  <si>
    <t>Detail information and payment details of a transaction. This field has a limited size of 30.</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</si>
  <si>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</si>
  <si>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</si>
  <si>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GDESMOV
N\A</t>
  </si>
  <si>
    <t>Narrative information and payment details of a transaction.</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</si>
  <si>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</si>
  <si>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</si>
  <si>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GDESMOV</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</si>
  <si>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</si>
  <si>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</si>
  <si>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</si>
  <si>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</si>
  <si>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</si>
  <si>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DCYR9750 || DCYR9750
TCT72_MOVCTA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</si>
  <si>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</si>
  <si>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EXCEPT LAST 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</si>
  <si>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</si>
  <si>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</si>
  <si>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CASE 
    WHEN MOVIMENTOS_CONSOLIDADOS.DCR9750_COPER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</si>
  <si>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</si>
  <si>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EXCEPT LAST DATA_DATE_PART</t>
    </r>
  </si>
  <si>
    <t>N\A
COPERAC</t>
  </si>
  <si>
    <t>Full Description</t>
  </si>
  <si>
    <t>full_description</t>
  </si>
  <si>
    <t xml:space="preserve">Full detail information and payment details of a transaction. </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</si>
  <si>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</si>
  <si>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</si>
  <si>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DESCR01
N\A</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</si>
  <si>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</si>
  <si>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</si>
  <si>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DESCR01</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</si>
  <si>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</si>
  <si>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</si>
  <si>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</si>
  <si>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</si>
  <si>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</si>
  <si>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</si>
  <si>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</si>
  <si>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</si>
  <si>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</si>
  <si>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EH_OPER_CONTR
TCT72_MOVCTA
TCT09_OPERN
CONF_GENERAL_CONVERTER</t>
  </si>
  <si>
    <t>N\A
N\A
N\A
N\A
N\A
N\A
CDM_VALUE</t>
  </si>
  <si>
    <t>SELECT CONF_GENERAL_CONVERTER.CDM_VALUE
WHERE EPT01_CONTAS.CSITCTA IN ( 'FO', 'SU', 'ES' ) AND EPT01_CONTAS.CSITCTA != 'EH' AND CONF_GENERAL_CONVERTER.CODE CATEGORY = 'bank_id' AND CONF_GENERAL_CONVERTER.SOURCE_CODE = 'EP' AND CONF_GENERAL_CONVERTER.SOURCE_VALUE = '' EXCEPT LAST DATA_DATE_PART
SELECT CONF_GENERAL_CONVERTER.CDM_VALUE
WHERE CONTBACH_PRESTM.CTP_COTSITCO = 0 AND CONF_GENERAL_CONVERTER.CODE CATEGORY = 'bank_id' AND CONF_GENERAL_CONVERTER.SOURCE_CODE = 'EP' AND CONF_GENERAL_CONVERTER.SOURCE_VALUE = '' EXCEPT LAST DATA_DATE_PART
SELECT CONF_GENERAL_CONVERTER.CDM_VALUE
WHERE TCT09_OPERN.ISITUAC = '1' AND CONF_GENERAL_CONVERTER.CODE CATEGORY = 'bank_id' AND CONF_GENERAL_CONVERTER.SOURCE_CODE = 'TC' AND CONF_GENERAL_CONVERTER.SOURCE_VALUE = '' EXCEPT LAST DATA_DATE_PART</t>
  </si>
  <si>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</si>
  <si>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EH_OPER_CONTR
TCT72_MOVCTA
TCT09_OPERN
COINT_CTOLOC_P</t>
  </si>
  <si>
    <t>CKBALCAO, CKNUMCTA
N\A
N\A
N\A
E2616_IDCENT_L, E2616_IDCONT_L</t>
  </si>
  <si>
    <t>SELECT CONCAT( EPT07_MOVCTA.CKBALCAO, EPT07_MOVCTA.CKNUMCTA, '000000000000000' )
WHERE EPT01_CONTAS.CSITCTA IN ( 'FO', 'SU', 'ES' ) AND EPT01_CONTAS.CSITCTA != 'EH' 
SELECT CONCAT( COINT_CTOLOC_P.E2616_IDCENT_L, COINT_CTOLOC_P.E2616_IDCONT_L, '000000000000000' )
WHERE CONTBACH_PRESTM.CTP_COTSITCO = 0 EXCEPT LAST DATA_DATE_PART
SELECT CONCAT( TCT72_MOVCTA.CKBALCAO, TCT72_MOVCTA.CKNUMCTA, TCT72_MOVCTA.ZDEPOSIT )
WHERE TCT09_OPERN.ISITUAC = '1'  EXCEPT LAST DATA_DATE_PART</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</si>
  <si>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</si>
  <si>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</si>
  <si>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
CONCAT ( CKBALCAO, CKNUMCTA, ZDEPOSIT )</t>
  </si>
  <si>
    <t>N\A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</si>
  <si>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</si>
  <si>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EH_OPER_CONTR
TCT72_MOVCTA
TCT09_OPERN</t>
  </si>
  <si>
    <t>ZMOVCTA
N\A
N\A
EH10_HNUOPEM
ZMOVCTA
N\A</t>
  </si>
  <si>
    <t>SELECT CAST( EPT07_MOVCTA.ZMOVCTA AS BIGINT )
WHERE EPT01_CONTAS.CSITCTA IN ( 'FO', 'SU', 'ES' ) AND EPT01_CONTAS.CSITCTA != 'EH' 
SELECT CAST( EH_OPER_CONTR.EH10_HNUOPEM AS BIGINT )
WHERE CONTBACH_PRESTM.CTP_COTSITCO = 0 EXCEPT LAST DATA_DATE_PART
SELECT CAST( TCT72_MOVCTA.ZMOVCTA AS BIGINT )
WHERE TCT09_OPERN.ISITUAC = '1'  EXCEPT LAST DATA_DATE_PART</t>
  </si>
  <si>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</si>
  <si>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</si>
  <si>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</si>
  <si>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</si>
  <si>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ZSEQMOV</t>
  </si>
  <si>
    <t>SELECT CAST( EPT07_MOVCTA.ZSEQMOV AS BIGINT )
WHERE EPT01_CONTAS.CSITCTA IN ( 'FO', 'SU', 'ES' ) AND EPT01_CONTAS.CSITCTA != 'EH' 
SELECT CAST( '1' AS BIGINT )
WHERE CONTBACH_PRESTM.CTP_COTSITCO = 0 EXCEPT LAST DATA_DATE_PART
SELECT CAST( TCT72_MOVCTA.ZSEQMOV AS BIGINT )
WHERE TCT09_OPERN.ISITUAC = '1'  EXCEPT LAST DATA_DATE_PART</t>
  </si>
  <si>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</si>
  <si>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</si>
  <si>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</si>
  <si>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</si>
  <si>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</si>
  <si>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EH_REL_REC_OPER
TCT09_OPERN
TCT72_MOVCTA</t>
  </si>
  <si>
    <t>DLIQUID
N\A
N\A
E4282_FECALTA
N\A
DDIAOP</t>
  </si>
  <si>
    <t>SELECT IF( TRIM( EPT07_MOVCTA.DLIQUID ) = '', NULL, EPT07_MOVCTA.DLIQUID )
WHERE EPT01_CONTAS.CSITCTA IN ( 'FO', 'SU', 'ES' ) AND EPT01_CONTAS.CSITCTA != 'EH' 
SELECT IF( TRIM( EH_OPER_CONTR.E4282_FECALTA ) = '', NULL, EH_OPER_CONTR.E4282_FECALTA )
WHERE CONTBACH_PRESTM.CTP_COTSITCO = 0 EXCEPT LAST DATA_DATE_PART
SELECT '#N/A'
WHERE TCT09_OPERN.ISITUAC = '1'  EXCEPT LAST DATA_DATE_PART</t>
  </si>
  <si>
    <t>EPT07_MOVCTA 
EH_REL_REC_OPER
TCT72_MOVCTA</t>
  </si>
  <si>
    <t>DLIQUID
FECALTA
N\A</t>
  </si>
  <si>
    <t>N\A
N\A
"#N/A"</t>
  </si>
  <si>
    <t>Accounting Basic Bank Operation Code</t>
  </si>
  <si>
    <t>N\A
CONCAT( CODOPBAS, CODOPEOB )
N\A</t>
  </si>
  <si>
    <t>"#N/A"
N\A
"#N/A"</t>
  </si>
  <si>
    <t>Accounting Concept Type Code</t>
  </si>
  <si>
    <t>accounting_concept_type_code</t>
  </si>
  <si>
    <t>N\A
INDCONC1
N\A</t>
  </si>
  <si>
    <t>Accounting Concept Code</t>
  </si>
  <si>
    <t>accounting_concept_code</t>
  </si>
  <si>
    <t>N\A
CODCONCE
N\A</t>
  </si>
  <si>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</si>
  <si>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</si>
  <si>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</si>
  <si>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</si>
  <si>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EH_OPER_CONTR
CONF_TRANSACTION_TYPE_CONVERTER
CONF_GENERAL_CONVERTER
TCT72_MOVCTA
TCT09_OPERN</t>
  </si>
  <si>
    <t>N\A
N\A
N\A
N\A
N\A
CDM_VALUE
N\A
N\A</t>
  </si>
  <si>
    <t>SELECT CONF_GENERAL_CONVERTER.CDM_VALUE
WHERE EPT01_CONTAS.CSITCTA IN ( 'FO', 'SU', 'ES' ) AND EPT01_CONTAS.CSITCTA != 'EH' AND CONF_TRANSACTION_TYPE_CONVERTER.SOURCE_CODE = 'EP' AND CONF_TRANSACTION_TYPE_CONVERTER.SOURCE_TRANSACTION_TYPE_CODE  = 'coperac' AND CONF_TRANSACTION_TYPE_CONVERTER.SOURCE_VALUE =  EPT07_MOVCTA.COPERAC AND CONF_GENERAL_CONVERTER.CODE CATEGORY = 'transaction_type_code' AND CONF_GENERAL_CONVERTER.SOURCE_CODE = 'EP' AND CONF_GENERAL_CONVERTER.SOURCE_VALUE = CONF_TRANSACTION_TYPE_CONVERTER.CDM_VALUE AND CONF_GENERAL_CONVERTER.PRIORITY_LEVEL = '1'
SELECT CONF_GENERAL_CONVERTER.CDM_VALUE
WHERE CONTBACH_PRESTM.CTP_COTSITCO = 0 AND CONF_TRANSACTION_TYPE_CONVERTER.SOURCE_CODE = 'EP' AND CONF_TRANSACTION_TYPE_CONVERTER.SOURCE_TRANSACTION_TYPE_CODE  = 'obb' AND CONF_TRANSACTION_TYPE_CONVERTER.SOURCE_VALUE =  CONCAT( EH_OPER_CONTR.EH10_CODOPBAS, EH_OPER_CONTR.EH10_CODOPEOB ) AND CONF_GENERAL_CONVERTER.CODE CATEGORY = 'transaction_type_code' AND CONF_GENERAL_CONVERTER.SOURCE_CODE = 'EP' AND CONF_GENERAL_CONVERTER.SOURCE_VALUE = CONF_TRANSACTION_TYPE_CONVERTER.CDM_VALUE  AND CONF_GENERAL_CONVERTER.PRIORITY_LEVEL = '1' EXCEPT LAST DATA_DATE_PART
SELECT CONF_GENERAL_CONVERTER.CDM_VALUE
WHERE TCT09_OPERN.ISITUAC = '1' AND CONF_TRANSACTION_TYPE_CONVERTER.SOURCE_CODE = 'TC' AND CONF_TRANSACTION_TYPE_CONVERTER.SOURCE_TRANSACTION_TYPE_CODE  = 'coperac' AND CONF_TRANSACTION_TYPE_CONVERTER.SOURCE_VALUE =  TCT72_MOVCTA.COPERA AND CONF_GENERAL_CONVERTER.CODE CATEGORY = 'transaction_type_code' AND CONF_GENERAL_CONVERTER.SOURCE_CODE = 'TC' AND CONF_GENERAL_CONVERTER.SOURCE_VALUE = CONF_TRANSACTION_TYPE_CONVERTER.CDM_VALUE  AND CONF_GENERAL_CONVERTER.PRIORITY_LEVEL = '1'</t>
  </si>
  <si>
    <t>COPERAC
CONCAT (CODOPBAS, CODOPEOB, CODCONP )
COPERAC</t>
  </si>
  <si>
    <t>CURATED_INTERNAL_MAINFRAME_EMPRESTIMOS
CURATED_INTERNAL_MAINFRAME_EMPRESTIMOS
OPERATIONS_COMMON_REFERENCEDATA_CORE
CURATED_INTERNAL_MAINFRAME_CONTENCIOSO
CURATED_INTERNAL_MAINFRAME_CONTENCIOSO</t>
  </si>
  <si>
    <t>EPT07_MOVCTA
EPT01_CONTAS
CONF_FINANCIAL_FLOW_CONVERTER
TCT72_MOVCTA
TCT09_OPERN</t>
  </si>
  <si>
    <t>N\A
N\A
CDM_VALUE
N\A
N\A</t>
  </si>
  <si>
    <t xml:space="preserve">SELECT CONF_FINANCIAL_FLOW_CONVERTER.CDM_VALUE
WHERE EPT01_CONTAS.CSITCTA IN ( 'FO', 'SU', 'ES' ) AND EPT01_CONTAS.CSITCTA != 'EH'  AND CONF_FINANCIAL_FLOW_CONVERTER.SOURCE_CODE = 'EP' AND CONF_FINANCIAL_FLOW_CONVERTER.SOURCE_TRANSACTION_TYPE_CODE  = 'coperac' AND CONF_FINANCIAL_FLOW_CONVERTER.SOURCE_VALUE =  EPT07_MOVCTA.COPERAC 
SELECT CONF_FINANCIAL_FLOW_CONVERTER.CDM_VALUE
WHERE CONTBACH_PRESTM.CTP_COTSITCO = 0 AND CONF_FINANCIAL_FLOW_CONVERTER.SOURCE_CODE = 'EP' AND CONF_FINANCIAL_FLOW_CONVERTER.SOURCE_TRANSACTION_TYPE_CODE  = 'coperac' AND CONF_FINANCIAL_FLOW_CONVERTER.SOURCE_VALUE =  CONCAT( EH_OPER_CONTR.EH10_CODOPBAS, EH_OPER_CONTR.EH10_CODOPEOB ) EXCEPT LAST DATA_DATE_PART
SELECT CONF_FINANCIAL_FLOW_CONVERTER.CDM_VALUE
WHERE TCT09_OPERN.ISITUAC = '1' AND CONF_FINANCIAL_FLOW_CONVERTER.SOURCE_CODE = 'EP' AND CONF_FINANCIAL_FLOW_CONVERTER.SOURCE_TRANSACTION_TYPE_CODE  = 'coperac' AND CONF_FINANCIAL_FLOW_CONVERTER.SOURCE_VALUE =  TCT72_MOVCTA.COPERAC </t>
  </si>
  <si>
    <t>COPERAC
CONCAT ( CODOPBAS, CODOPEOB )
COPERAC</t>
  </si>
  <si>
    <t>EPT07_MOVCTA
EPT01_CONTAS
CONTBACH_PRESTM
EH_OPER_CONTR
TCT09_OPERN
TCT72_MOVCTA</t>
  </si>
  <si>
    <t>IOPANULA
N\A
N\A
EH10_INDSIT 
N\A
N\A</t>
  </si>
  <si>
    <t>SELECT IF( TRIM( EPT07_MOVCTA.IOPANULA ) = '', NULL,
    IF( EPT07_MOVCTA.IOPANULA = 'S',
        '1',
        '0' )
WHERE EPT01_CONTAS.CSITCTA IN ( 'FO', 'SU', 'ES' ) AND EPT01_CONTAS.CSITCTA != 'EH' 
SELECT IF( TRIM( EH_OPER_CONTR.EH10_INDSIT ) = '', NULL,
    IF( EH_OPER_CONTR.EH10_INDSIT IN ( 'AN' ),
        '1',
        '0' )
WHERE CONTBACH_PRESTM.CTP_COTSITCO = 0 EXCEPT LAST DATA_DATE_PART
SELECT NULL
WHERE TCT09_OPERN.ISITUAC = '1'  EXCEPT LAST DATA_DATE_PART</t>
  </si>
  <si>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</si>
  <si>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</si>
  <si>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</si>
  <si>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</si>
  <si>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</si>
  <si>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</si>
  <si>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</si>
  <si>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</si>
  <si>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EH10_TIMESTAM
N\A
N\A</t>
  </si>
  <si>
    <t>SELECT IF( TRIM( EPT07_MOVCTA.DANULACA ) = '', NULL, EPT07_MOVCTA.EPYD07C0_DANULACA )
WHERE EPT01_CONTAS.CSITCTA IN ( 'FO', 'SU', 'ES' ) AND EPT01_CONTAS.CSITCTA != 'EH'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EXCEPT LAST DATA_DATE_PART
SELECT NULL
WHERE TCT09_OPERN.ISITUAC = '1'  EXCEPT LAST DATA_DATE_PART</t>
  </si>
  <si>
    <t>DANULACA 
TIMESTAMP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</si>
  <si>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</si>
  <si>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</si>
  <si>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</si>
  <si>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</si>
  <si>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EH_REL_REC_OPER
EH_OPER_CONTR
EPT99_MOVIMENTO
TCT09_OPERN
TCT72_MOVCTA</t>
  </si>
  <si>
    <t>N\A
ZNUMPRE
N\A
N\A
ZNUMPRES
N\A
N\A
N\A</t>
  </si>
  <si>
    <t>SELECT IF( TRIM( EPT07_MOVCTA.ZNUMPRE ) = '', NULL, EPT07_MOVCTA.EPYD07C0_ZNUMPRE )
WHERE EPT01_CONTAS.CSITCTA IN ( 'FO', 'SU', 'ES' ) AND EPT01_CONTAS.CSITCTA != 'EH' 
SELECT CAST( EPT99_MOVIMENTO.ZNUMPRES AS INT )
WHERE CONTBACH_PRESTM.CTP_COTSITCO = 0 AND  EH_OPER_CONTR.EH10_CODCONP = '031' AND EH_OPER_CONTR.EH10_IMPOPERA != 0 AND MAX( EH_DET_REC_COB.EH10_HNUOPEM ) AND EH_OPER_CONTR. EH10_CODOPBAS = '031' AND REL_REC_OPER.E4282_CODCONP = '323' AND EH_REL_REC_OPER.E4282_CODOPBAS = '031' AND MAX( EPT99_MOVIMENTO.ZSEQOPER ) AND EPT99_MOVIMENTO.DLIQUID = EH_REL_REC_OPER.E4282_FECALTA
SELECT '#N/A'
WHERE TCT09_OPERN.ISITUAC = '1'  EXCEPT LAST DATA_DATE_PART</t>
  </si>
  <si>
    <t>EPT07_MOVCTA
EPT99_MOVIMENTO
N\A</t>
  </si>
  <si>
    <t>ZNUMPRE
ZNUMPRE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</si>
  <si>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</si>
  <si>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</si>
  <si>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EH_OPER_CONTR
TAT21_MOEDA
TCT72_MOVCTA
TCT09_OPERN</t>
  </si>
  <si>
    <t>CMOEDAOR
N\A
N\A
N\A
CMOEDA
CMOEDAOR
N\A</t>
  </si>
  <si>
    <t>SELECT IF( TRIM( EPT07_MOVCTA.CMOEDAOR ) = '', NULL, EPT07_MOVCTA.EPYD07C0_CMOEDAOR )
WHERE EPT01_CONTAS.CSITCTA IN ( 'FO', 'SU', 'ES' ) AND EPT01_CONTAS.CSITCTA != 'EH' 
SELECT IF( TRIM( TAT21_MOEDA.CMOEDA ) = '', NULL, TAT21_MOEDA.CMOEDA)
WHERE CONTBACH_PRESTM.CTP_COTSITCO = 0 EXCEPT LAST DATA_DATE_PART
SELECT IF( TRIM( TCT72_MOVCTA.CMOEDAOR ) = '', NULL, TCT72_MOVCTA.CMOEDAOR )
WHERE TCT09_OPERN.ISITUAC = '1'  EXCEPT LAST DATA_DATE_PART</t>
  </si>
  <si>
    <t>EPT07_MOVCTA 
EH_OPER_CONTR -&gt; TAT21_MOEDA
TCT72_MOVCTA</t>
  </si>
  <si>
    <t>CMOEDAOR
CODMONSW -&gt; CMOEDA
CMOEDAOR</t>
  </si>
  <si>
    <t>DDIAVL
N\A
N\A
EH10_FECVAL
N\A
DDIAVL</t>
  </si>
  <si>
    <t>SELECT IF( TRIM( EPT07_MOVCTA.DDIAVL ) = '', NULL, EPT07_MOVCTA.EPYD07C0_DDIAVL )
WHERE EPT01_CONTAS.CSITCTA IN ( 'FO', 'SU', 'ES' ) AND EPT01_CONTAS.CSITCTA != 'EH' 
SELECT IF( TRIM( EH_OPER_CONTR.EH10_FECVAL ) = '', NULL, EH_OPER_CONTR.EH10_FECVAL )
WHERE CONTBACH_PRESTM.CTP_COTSITCO = 0 EXCEPT LAST DATA_DATE_PART
SELECT IF( TRIM( TCT72_MOVCTA.DDIAVL ) = '', NULL, TCT72_MOVCTA.DDIAVL )
WHERE TCT09_OPERN.ISITUAC = '1'  EXCEPT LAST DATA_DATE_PART</t>
  </si>
  <si>
    <t>DDIAVL
FECVAL
DDIAVL</t>
  </si>
  <si>
    <t>DDIOP
N\A
N\A
EH10_FECOPER
N\A
DDIAOP</t>
  </si>
  <si>
    <t>SELECT IF( TRIM( EPT07_MOVCTA.DDIOP ) = '', NULL, EPT07_MOVCTA.EPYD07C0_DDIOP )
WHERE EPT01_CONTAS.CSITCTA IN ( 'FO', 'SU', 'ES' ) AND EPT01_CONTAS.CSITCTA != 'EH' 
SELECT IF( TRIM( EH_OPER_CONTR.EH10_FECOPER ) = '', NULL, EH_OPER_CONTR.EH10_FECOPER )
WHERE CONTBACH_PRESTM.CTP_COTSITCO = 0 EXCEPT LAST DATA_DATE_PART
SELECT IF( TRIM( TCT72_MOVCTA.DDIAOP ) = '', NULL, TCT72_MOVCTA.DDIAOP )
WHERE TCT09_OPERN.ISITUAC = '1'  EXCEPT LAST DATA_DATE_PART</t>
  </si>
  <si>
    <t>DDIAOP
FECOPER
DDIAOP</t>
  </si>
  <si>
    <t>Amount of the transaction type of the transaction: interest, capital, ect. Represents the amount after the currency exchange, if applicable. If there was no currency exchange it represents the amount of the transaction.</t>
  </si>
  <si>
    <t>MMOVORIG
N\A
N\A
E4282_IMPORCOO
N\A
MMOVIM</t>
  </si>
  <si>
    <t>SELECT CAST( CASE
    WHEN EPT07_MOVCTA.CITPOPER = 'D' THEN -1 * EPT07_MOVCTA.MMOVORIG
    ELSE EPT07_MOVCTA.MMOVORIG
END AS DECIMAL( 23, 6 ) )
WHERE EPT01_CONTAS.CSITCTA IN ( 'FO', 'SU', 'ES' ) AND EPT01_CONTAS.CSITCTA != 'EH' 
SELECT CAST( EH_REL_REC_OPER.E4282_IMPORCOO AS DECIMAL( 23,  6 ) )
WHERE CONTBACH_PRESTM.CTP_COTSITCO = 0 EXCEPT LAST DATA_DATE_PART
SELECT CAST( TCT72_MOVCTA.MMOVIM AS DECIMAL( 23, 6 ) )
WHERE TCT09_OPERN.ISITUAC = '1'  EXCEPT LAST DATA_DATE_PART</t>
  </si>
  <si>
    <t>MMOVORIG
IMPORCOO
MMOVIM</t>
  </si>
  <si>
    <t>Information Source Application:
N\A; N\A
N\A; N\A
N\A; N\A</t>
  </si>
  <si>
    <t>N\A
N\A
N\A
N\A
N\A
N\A</t>
  </si>
  <si>
    <t>SELECT 'EP'
WHERE EPT01_CONTAS.CSITCTA IN ( 'FO', 'SU', 'ES' ) AND EPT01_CONTAS.CSITCTA != 'EH' 
SELECT 'EP'
WHERE CONTBACH_PRESTM.CTP_COTSITCO = 0 EXCEPT LAST DATA_DATE_PART
SELECT 'TC'
WHERE TCT09_OPERN.ISITUAC = '1'  EXCEPT LAST DATA_DATE_PART</t>
  </si>
  <si>
    <t>DATA_DATE_PART
N\A
N\A
DATA_DATE_PART
N\A
DATA_DATE_PART</t>
  </si>
  <si>
    <t>SELECT EPT07_MOVCTA.DATA_DATE_PART
WHERE EPT01_CONTAS.CSITCTA IN ( 'FO', 'SU', 'ES' ) AND EPT01_CONTAS.CSITCTA != 'EH' 
SELECT EH_OPER_CONTR.DATA_DATE_PART
WHERE CONTBACH_PRESTM.CTP_COTSITCO = 0 EXCEPT LAST DATA_DATE_PART
SELECT TCT72_MOVCTA.DATA_DATE_PART
WHERE TCT09_OPERN.ISITUAC = '1'  EXCEPT LAST DATA_DATE_PART</t>
  </si>
  <si>
    <t>SELECT NOW()
WHERE EPT01_CONTAS.CSITCTA IN ( 'FO', 'SU', 'ES' ) AND EPT01_CONTAS.CSITCTA != 'EH' 
SELECT NOW()
WHERE CONTBACH_PRESTM.CTP_COTSITCO = 0 EXCEPT LAST DATA_DATE_PART
SELECT NOW()
WHERE TCT09_OPERN.ISITUAC = '1'  EXCEPT LAST DATA_DATE_PART</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</si>
  <si>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</si>
  <si>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Transactions - General
Transactions - General
Transactions - Accounts</t>
  </si>
  <si>
    <t>Operation Order
Transaction ID
Transaction ID</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</si>
  <si>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EXCEPT LAST 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</si>
  <si>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</si>
  <si>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</si>
  <si>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</si>
  <si>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</si>
  <si>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</si>
  <si>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Transfer Reference</t>
  </si>
  <si>
    <t>transfer_reference</t>
  </si>
  <si>
    <t>If the movement is a payment or a transfer it contains its reference.</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</si>
  <si>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</si>
  <si>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EXCEPT LAST DATA_DATE_PART</t>
    </r>
  </si>
  <si>
    <t>GREFMOV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</si>
  <si>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</si>
  <si>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</si>
  <si>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</si>
  <si>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</si>
  <si>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</si>
  <si>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</si>
  <si>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Sender Order Number Stage</t>
  </si>
  <si>
    <t>sender_order_number_stage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</si>
  <si>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</si>
  <si>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</si>
  <si>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</si>
  <si>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NUMMOVIM_OPER
N\A</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</si>
  <si>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</si>
  <si>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</si>
  <si>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NUMMOVIM_OPER</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</si>
  <si>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</si>
  <si>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</si>
  <si>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</si>
  <si>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</si>
  <si>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Sender Source Code</t>
  </si>
  <si>
    <t>sender_source_code</t>
  </si>
  <si>
    <t>Identifies the application that generated the transaction in the current account (DC) application.</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</si>
  <si>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</si>
  <si>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</si>
  <si>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CAPLIC
CAPLIC</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</si>
  <si>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</si>
  <si>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</si>
  <si>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</si>
  <si>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</si>
  <si>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</si>
  <si>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</si>
  <si>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</si>
  <si>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
"TC"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</si>
  <si>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</si>
  <si>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t>
  </si>
  <si>
    <t>common_contracts_prepaidcards</t>
  </si>
  <si>
    <t>Pre-Paid Card Account Transaction</t>
  </si>
  <si>
    <t>prepaid_card_account_transaction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</si>
  <si>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</si>
  <si>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</si>
  <si>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</si>
  <si>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</si>
  <si>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</si>
  <si>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</si>
  <si>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</si>
  <si>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</si>
  <si>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</si>
  <si>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CRT09_TBTARJET.NUMBENCTA) = '', NULL, CAST( ( CRT09_TBTARJET.NUMBENCTA- 1 ) AS INT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</si>
  <si>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</si>
  <si>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</si>
  <si>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</si>
  <si>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</si>
  <si>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</si>
  <si>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</si>
  <si>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</si>
  <si>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</si>
  <si>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</si>
  <si>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</si>
  <si>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</si>
  <si>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BANAPOIO ||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</si>
  <si>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</si>
  <si>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</si>
  <si>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</si>
  <si>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</si>
  <si>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</si>
  <si>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</si>
  <si>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</si>
  <si>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</si>
  <si>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</si>
  <si>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</si>
  <si>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</si>
  <si>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</si>
  <si>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</si>
  <si>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</si>
  <si>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</si>
  <si>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</si>
  <si>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</si>
  <si>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</si>
  <si>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</si>
  <si>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</si>
  <si>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</si>
  <si>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</si>
  <si>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</si>
  <si>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</si>
  <si>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</si>
  <si>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</si>
  <si>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</si>
  <si>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</si>
  <si>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</si>
  <si>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</si>
  <si>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</si>
  <si>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</si>
  <si>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</si>
  <si>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</si>
  <si>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</si>
  <si>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</si>
  <si>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</si>
  <si>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</si>
  <si>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DP_DPYR0580_MOVIMENTOS.DPYR0580_TIPMVTO )</t>
    </r>
  </si>
  <si>
    <t>Currency:
TAT91 - CTABELA 901; CURATED_INTERNAL_MAINFRAME_ESTRUTURAIS.TAT91_TABELAS - TAYD91C0_CTABELA 901</t>
  </si>
  <si>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</si>
  <si>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</si>
  <si>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</si>
  <si>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</si>
  <si>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</si>
  <si>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</si>
  <si>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</si>
  <si>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</si>
  <si>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DDIAOP</t>
  </si>
  <si>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</si>
  <si>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</si>
  <si>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</si>
  <si>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</si>
  <si>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</si>
  <si>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</si>
  <si>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</si>
  <si>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</si>
  <si>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</si>
  <si>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</si>
  <si>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</si>
  <si>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</si>
  <si>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</si>
  <si>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</si>
  <si>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</si>
  <si>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</si>
  <si>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</si>
  <si>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</si>
  <si>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</si>
  <si>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</si>
  <si>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</si>
  <si>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</si>
  <si>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</si>
  <si>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</si>
  <si>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</si>
  <si>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</si>
  <si>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</si>
  <si>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</si>
  <si>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</si>
  <si>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</si>
  <si>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</si>
  <si>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</si>
  <si>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</si>
  <si>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</si>
  <si>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</si>
  <si>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</si>
  <si>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</si>
  <si>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</si>
  <si>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</si>
  <si>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</si>
  <si>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</si>
  <si>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</si>
  <si>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</si>
  <si>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</si>
  <si>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</si>
  <si>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</si>
  <si>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</si>
  <si>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</si>
  <si>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</si>
  <si>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</si>
  <si>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</si>
  <si>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</si>
  <si>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</si>
  <si>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</si>
  <si>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</si>
  <si>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</si>
  <si>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</si>
  <si>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</si>
  <si>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</si>
  <si>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</si>
  <si>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</si>
  <si>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</si>
  <si>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</si>
  <si>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</si>
  <si>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</si>
  <si>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</si>
  <si>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</si>
  <si>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</si>
  <si>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</si>
  <si>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</si>
  <si>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</si>
  <si>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</si>
  <si>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</si>
  <si>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</si>
  <si>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</si>
  <si>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</si>
  <si>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</si>
  <si>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</si>
  <si>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</si>
  <si>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</si>
  <si>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</si>
  <si>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</si>
  <si>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</si>
  <si>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</si>
  <si>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</si>
  <si>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</si>
  <si>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</si>
  <si>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</si>
  <si>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</si>
  <si>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</si>
  <si>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</si>
  <si>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</si>
  <si>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</si>
  <si>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</si>
  <si>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</si>
  <si>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</si>
  <si>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</si>
  <si>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</si>
  <si>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</si>
  <si>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</si>
  <si>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</si>
  <si>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</si>
  <si>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</si>
  <si>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</si>
  <si>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</si>
  <si>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</si>
  <si>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</si>
  <si>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</si>
  <si>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</si>
  <si>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</si>
  <si>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</si>
  <si>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</si>
  <si>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</si>
  <si>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</si>
  <si>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</si>
  <si>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</si>
  <si>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</si>
  <si>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</si>
  <si>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</si>
  <si>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</si>
  <si>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</si>
  <si>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EXCEPT LAST 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</si>
  <si>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</si>
  <si>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</si>
  <si>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</si>
  <si>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</si>
  <si>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</si>
  <si>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EXCEPT LAST 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</si>
  <si>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</si>
  <si>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</si>
  <si>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DCYR9750 || DCYR9750 
TCT72_MOVCTA</t>
  </si>
  <si>
    <t>COPERAC || CONCAT( OPERBAS, OPERBAN )
COPERAC</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</si>
  <si>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</si>
  <si>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</si>
  <si>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</si>
  <si>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t>
    </r>
  </si>
  <si>
    <t xml:space="preserve">DCYR9750 || DCYR9750 </t>
  </si>
  <si>
    <t>COPERAC || CONCAT( OPERBAS, OPERBAN )</t>
  </si>
  <si>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</si>
  <si>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</si>
  <si>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</si>
  <si>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</si>
  <si>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</si>
  <si>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</si>
  <si>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r>
  </si>
  <si>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</si>
  <si>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EXCEPT LAST DATA_DATE_PART</t>
    </r>
  </si>
  <si>
    <t>GREFMOV
GREFMOV</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</si>
  <si>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</si>
  <si>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</si>
  <si>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</si>
  <si>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</si>
  <si>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EXCEPT LAST DATA_DATE_PART</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</si>
  <si>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EXCEPT LAST 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</si>
  <si>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</si>
  <si>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</si>
  <si>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</si>
  <si>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</si>
  <si>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</si>
  <si>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</si>
  <si>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</si>
  <si>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</si>
  <si>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</si>
  <si>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</si>
  <si>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</si>
  <si>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</si>
  <si>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</si>
  <si>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</si>
  <si>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</si>
  <si>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</si>
  <si>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</si>
  <si>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</si>
  <si>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</si>
  <si>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</si>
  <si>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</si>
  <si>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</si>
  <si>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</si>
  <si>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</si>
  <si>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</si>
  <si>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</si>
  <si>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</si>
  <si>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</si>
  <si>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</si>
  <si>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</si>
  <si>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</si>
  <si>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</si>
  <si>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</si>
  <si>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</si>
  <si>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</si>
  <si>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</si>
  <si>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</si>
  <si>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</si>
  <si>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</si>
  <si>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</si>
  <si>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</si>
  <si>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</si>
  <si>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</si>
  <si>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</si>
  <si>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</si>
  <si>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</si>
  <si>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</si>
  <si>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</si>
  <si>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</si>
  <si>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</si>
  <si>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</si>
  <si>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</si>
  <si>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</si>
  <si>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</si>
  <si>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</si>
  <si>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</si>
  <si>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</si>
  <si>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</si>
  <si>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</si>
  <si>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</si>
  <si>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</si>
  <si>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</si>
  <si>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</si>
  <si>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</si>
  <si>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</si>
  <si>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</si>
  <si>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</si>
  <si>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</si>
  <si>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credit_card_account_plan_transaction</t>
  </si>
  <si>
    <t>crt12_tbmovext_new</t>
  </si>
  <si>
    <t>crt12_tbmovext_new.crt12_codent = crt07_tbctatar.codent and crt12_tbmovext_new.crt12_numctatar = crt07_tbctatar.numctatar</t>
  </si>
  <si>
    <t>concat( lpad( crt07_tbctatar.codmar, 2, '0' ), lpad( crt07_tbctatar.indtipt, 2, '0' ) ) = tat91_tabelas.tat593_filter.tayd91c0_celemtab and crt07_tbctatar.cmarca = tat91_tabelas.tayd91c0_cempmarc</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</si>
  <si>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</si>
  <si>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</si>
  <si>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</si>
  <si>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</si>
  <si>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</si>
  <si>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</si>
  <si>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interface_dct01.dcyr8101_ckbalcao = movimentos_consolidados.dcyr9750_ckbalcao and interface_dct01.dcyr8101_cknumcta = movimentos_consolidados.dcyr9750_cknumcta</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</si>
  <si>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</si>
  <si>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</si>
  <si>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</si>
  <si>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</si>
  <si>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</si>
  <si>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t>
  </si>
  <si>
    <t>curated_internal_mainframe_emprestimos</t>
  </si>
  <si>
    <t>ept07_movcta</t>
  </si>
  <si>
    <t>ept01_contas</t>
  </si>
  <si>
    <t>ept01_contas.ckbalcao = ept07_movcta.ckbalcao and ept01_contas.cknumcta = ept07_movcta.cknumcta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</si>
  <si>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</si>
  <si>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</si>
  <si>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</si>
  <si>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</si>
  <si>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</si>
  <si>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</si>
  <si>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ept99_movimento</t>
  </si>
  <si>
    <t>coint_ctoloc_p.e2616_idcent_l = ept99_movimento.ckbalcao and coint_ctoloc_p.e2616_idcont_l =  ept99_movimento.cknumcta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</si>
  <si>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</si>
  <si>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</si>
  <si>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</si>
  <si>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</si>
  <si>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</si>
  <si>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</si>
  <si>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</si>
  <si>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</si>
  <si>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</si>
  <si>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</si>
  <si>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</si>
  <si>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</si>
  <si>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</si>
  <si>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</si>
  <si>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</si>
  <si>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</si>
  <si>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</si>
  <si>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</si>
  <si>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</si>
  <si>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</si>
  <si>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</si>
  <si>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</si>
  <si>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</si>
  <si>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</si>
  <si>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</si>
  <si>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</si>
  <si>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</si>
  <si>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</si>
  <si>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</si>
  <si>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</si>
  <si>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</si>
  <si>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</si>
  <si>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</si>
  <si>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</si>
  <si>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</si>
  <si>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</si>
  <si>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</si>
  <si>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</si>
  <si>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</si>
  <si>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</si>
  <si>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</si>
  <si>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</si>
  <si>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</si>
  <si>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</si>
  <si>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</si>
  <si>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</si>
  <si>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</si>
  <si>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</si>
  <si>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</si>
  <si>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</si>
  <si>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</si>
  <si>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</si>
  <si>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</si>
  <si>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</si>
  <si>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</si>
  <si>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</si>
  <si>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</si>
  <si>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</si>
  <si>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</si>
  <si>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</si>
  <si>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</si>
  <si>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</si>
  <si>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'213' )</t>
  </si>
  <si>
    <t>tct72_movcta.ckbalcao and tct72_movcta.cknumcta exists in ( tct09_opercn.isituac = 1 and crt07_tbctatar.fecbaja = 0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</si>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</sst>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0">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336" totalsRowShown="0" headerRowDxfId="591" tableBorderDxfId="590">
  <autoFilter ref="B8:AA336" xr:uid="{E005BC36-6E9E-40C7-82DB-D8159E0040FF}">
    <filterColumn colId="2">
      <filters>
        <filter val="credit_card_contract_transaction"/>
      </filters>
    </filterColumn>
  </autoFilter>
  <sortState xmlns:xlrd2="http://schemas.microsoft.com/office/spreadsheetml/2017/richdata2" ref="B9:AA336">
    <sortCondition ref="I8:I336"/>
  </sortState>
  <tableColumns count="26">
    <tableColumn id="1" xr3:uid="{B202AB96-6DBE-4E4C-9212-5291A005DCC8}" name="NOME BD" dataDxfId="589"/>
    <tableColumn id="2" xr3:uid="{3FF272FE-C1A4-450E-9322-82A40048A5EF}" name="NOME TABELA" dataDxfId="588"/>
    <tableColumn id="3" xr3:uid="{26DB6D8C-2119-4367-9ACD-A86BC22D445C}" name="NOME FÍSICO TABELA" dataDxfId="587"/>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2" totalsRowShown="0" headerRowDxfId="563" tableBorderDxfId="562">
  <autoFilter ref="B2:I72" xr:uid="{C81C153A-084F-452D-9936-E389B95C8041}">
    <filterColumn colId="1">
      <filters>
        <filter val="credit_card_account_plan_transaction"/>
      </filters>
    </filterColumn>
  </autoFilter>
  <sortState xmlns:xlrd2="http://schemas.microsoft.com/office/spreadsheetml/2017/richdata2" ref="B3:I72">
    <sortCondition ref="C2:C72"/>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current_account_transaction"/>
        <filter val="incomesaving_account_transaction"/>
        <filter val="loan_account_transaction"/>
        <filter val="nostrovostro_account_transaction"/>
      </filters>
    </filterColumn>
  </autoFilter>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68" t="s">
        <v>530</v>
      </c>
      <c r="B2" s="39" t="s">
        <v>531</v>
      </c>
      <c r="C2" s="30"/>
      <c r="D2" s="41"/>
      <c r="E2" s="30" t="s">
        <v>532</v>
      </c>
      <c r="F2" s="41" t="s">
        <v>533</v>
      </c>
    </row>
    <row r="3" spans="1:7" ht="30">
      <c r="A3" s="269"/>
      <c r="B3" s="40" t="s">
        <v>534</v>
      </c>
      <c r="C3" s="34" t="s">
        <v>535</v>
      </c>
      <c r="D3" s="34" t="s">
        <v>536</v>
      </c>
      <c r="E3" s="34" t="s">
        <v>537</v>
      </c>
      <c r="F3" s="34" t="s">
        <v>533</v>
      </c>
    </row>
    <row r="4" spans="1:7" ht="30">
      <c r="A4" s="270"/>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8" t="s">
        <v>558</v>
      </c>
      <c r="B16" s="268" t="s">
        <v>559</v>
      </c>
      <c r="C16" s="34" t="s">
        <v>560</v>
      </c>
      <c r="D16" s="34" t="s">
        <v>176</v>
      </c>
      <c r="E16" s="34" t="s">
        <v>561</v>
      </c>
      <c r="F16" s="34"/>
    </row>
    <row r="17" spans="1:6">
      <c r="A17" s="269"/>
      <c r="B17" s="269"/>
      <c r="C17" s="34" t="s">
        <v>562</v>
      </c>
      <c r="D17" s="34" t="s">
        <v>176</v>
      </c>
      <c r="E17" s="34" t="s">
        <v>563</v>
      </c>
      <c r="F17" s="34"/>
    </row>
    <row r="18" spans="1:6">
      <c r="A18" s="269"/>
      <c r="B18" s="269"/>
      <c r="C18" s="34" t="s">
        <v>564</v>
      </c>
      <c r="D18" s="34" t="s">
        <v>176</v>
      </c>
      <c r="E18" s="34" t="s">
        <v>565</v>
      </c>
      <c r="F18" s="34"/>
    </row>
    <row r="19" spans="1:6">
      <c r="A19" s="270"/>
      <c r="B19" s="270"/>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1" t="s">
        <v>530</v>
      </c>
      <c r="B2" s="38" t="s">
        <v>531</v>
      </c>
      <c r="C2" s="28"/>
      <c r="D2" s="23"/>
      <c r="E2" s="28" t="s">
        <v>532</v>
      </c>
      <c r="F2" s="23" t="s">
        <v>533</v>
      </c>
    </row>
    <row r="3" spans="1:6">
      <c r="A3" s="272"/>
      <c r="B3" s="25" t="s">
        <v>534</v>
      </c>
      <c r="C3" s="23" t="s">
        <v>535</v>
      </c>
      <c r="D3" s="23" t="s">
        <v>536</v>
      </c>
      <c r="E3" s="23" t="s">
        <v>537</v>
      </c>
      <c r="F3" s="23" t="s">
        <v>533</v>
      </c>
    </row>
    <row r="4" spans="1:6">
      <c r="A4" s="273"/>
      <c r="B4" t="s">
        <v>538</v>
      </c>
      <c r="C4" s="34" t="s">
        <v>539</v>
      </c>
      <c r="D4" s="23"/>
      <c r="E4" s="34" t="s">
        <v>540</v>
      </c>
      <c r="F4" s="23" t="s">
        <v>533</v>
      </c>
    </row>
    <row r="5" spans="1:6">
      <c r="A5" s="23"/>
      <c r="B5" s="25"/>
      <c r="C5" s="23"/>
      <c r="D5" s="23"/>
      <c r="E5" s="23"/>
      <c r="F5" s="23"/>
    </row>
    <row r="6" spans="1:6">
      <c r="A6" s="274" t="s">
        <v>573</v>
      </c>
      <c r="B6" s="23"/>
      <c r="C6" s="23" t="s">
        <v>574</v>
      </c>
      <c r="D6" s="23"/>
      <c r="E6" s="23" t="s">
        <v>575</v>
      </c>
      <c r="F6" s="25"/>
    </row>
    <row r="7" spans="1:6">
      <c r="A7" s="274"/>
      <c r="B7" s="23"/>
      <c r="C7" s="23" t="s">
        <v>576</v>
      </c>
      <c r="D7" s="23"/>
      <c r="E7" s="23" t="s">
        <v>577</v>
      </c>
      <c r="F7" s="25"/>
    </row>
    <row r="8" spans="1:6">
      <c r="A8" s="274"/>
      <c r="B8" s="23"/>
      <c r="C8" s="23" t="s">
        <v>578</v>
      </c>
      <c r="D8" s="23"/>
      <c r="E8" s="23" t="s">
        <v>579</v>
      </c>
    </row>
    <row r="9" spans="1:6">
      <c r="A9" s="274"/>
      <c r="B9" s="23"/>
      <c r="C9" s="23" t="s">
        <v>580</v>
      </c>
      <c r="D9" s="23"/>
      <c r="E9" s="23" t="s">
        <v>581</v>
      </c>
    </row>
    <row r="10" spans="1:6">
      <c r="A10" s="274"/>
      <c r="B10" s="23"/>
      <c r="C10" s="23" t="s">
        <v>582</v>
      </c>
      <c r="D10" s="23"/>
      <c r="E10" s="23" t="s">
        <v>583</v>
      </c>
    </row>
    <row r="11" spans="1:6">
      <c r="A11" s="274"/>
      <c r="B11" s="23"/>
      <c r="C11" s="23" t="s">
        <v>584</v>
      </c>
      <c r="D11" s="23"/>
      <c r="E11" s="23" t="s">
        <v>585</v>
      </c>
    </row>
    <row r="12" spans="1:6">
      <c r="A12" s="274"/>
      <c r="B12" s="23"/>
      <c r="C12" s="23" t="s">
        <v>586</v>
      </c>
      <c r="D12" s="23"/>
      <c r="E12" s="23" t="s">
        <v>587</v>
      </c>
    </row>
    <row r="13" spans="1:6">
      <c r="A13" s="274"/>
      <c r="B13" s="23"/>
      <c r="C13" s="23" t="s">
        <v>588</v>
      </c>
      <c r="D13" s="23"/>
      <c r="E13" s="23" t="s">
        <v>589</v>
      </c>
    </row>
    <row r="14" spans="1:6">
      <c r="A14" s="274"/>
      <c r="B14" s="23"/>
      <c r="C14" s="23" t="s">
        <v>590</v>
      </c>
      <c r="D14" s="23"/>
      <c r="E14" s="23" t="s">
        <v>591</v>
      </c>
    </row>
    <row r="15" spans="1:6">
      <c r="A15" s="274"/>
      <c r="B15" s="23"/>
      <c r="C15" s="23" t="s">
        <v>592</v>
      </c>
      <c r="D15" s="23"/>
      <c r="E15" s="23" t="s">
        <v>593</v>
      </c>
    </row>
    <row r="16" spans="1:6">
      <c r="A16" s="274"/>
      <c r="B16" s="23"/>
      <c r="C16" s="23" t="s">
        <v>594</v>
      </c>
      <c r="D16" s="23"/>
      <c r="E16" s="23" t="s">
        <v>595</v>
      </c>
    </row>
    <row r="17" spans="1:5">
      <c r="A17" s="274"/>
      <c r="B17" s="23"/>
      <c r="C17" s="23" t="s">
        <v>596</v>
      </c>
      <c r="D17" s="23"/>
      <c r="E17" s="23" t="s">
        <v>597</v>
      </c>
    </row>
    <row r="18" spans="1:5">
      <c r="A18" s="274"/>
      <c r="B18" s="23"/>
      <c r="C18" s="23" t="s">
        <v>598</v>
      </c>
      <c r="D18" s="23"/>
      <c r="E18" s="23" t="s">
        <v>599</v>
      </c>
    </row>
    <row r="19" spans="1:5">
      <c r="A19" s="274"/>
      <c r="B19" s="23"/>
      <c r="C19" s="23" t="s">
        <v>600</v>
      </c>
      <c r="D19" s="23"/>
      <c r="E19" s="23" t="s">
        <v>601</v>
      </c>
    </row>
    <row r="20" spans="1:5">
      <c r="A20" s="271" t="s">
        <v>602</v>
      </c>
      <c r="B20" s="23"/>
      <c r="C20" s="23" t="s">
        <v>603</v>
      </c>
      <c r="D20" s="23"/>
      <c r="E20" s="23" t="s">
        <v>604</v>
      </c>
    </row>
    <row r="21" spans="1:5">
      <c r="A21" s="272"/>
      <c r="B21" s="23"/>
      <c r="C21" s="23" t="s">
        <v>605</v>
      </c>
      <c r="D21" s="23"/>
      <c r="E21" s="23" t="s">
        <v>606</v>
      </c>
    </row>
    <row r="22" spans="1:5">
      <c r="A22" s="272"/>
      <c r="B22" s="23"/>
      <c r="C22" s="23" t="s">
        <v>607</v>
      </c>
      <c r="D22" s="23"/>
      <c r="E22" s="23" t="s">
        <v>608</v>
      </c>
    </row>
    <row r="23" spans="1:5">
      <c r="A23" s="272"/>
      <c r="B23" s="23"/>
      <c r="C23" s="23" t="s">
        <v>609</v>
      </c>
      <c r="D23" s="23"/>
      <c r="E23" s="23" t="s">
        <v>610</v>
      </c>
    </row>
    <row r="24" spans="1:5">
      <c r="A24" s="272"/>
      <c r="B24" s="23"/>
      <c r="C24" s="23" t="s">
        <v>611</v>
      </c>
      <c r="D24" s="23"/>
      <c r="E24" s="23" t="s">
        <v>612</v>
      </c>
    </row>
    <row r="25" spans="1:5">
      <c r="A25" s="272"/>
      <c r="B25" s="23"/>
      <c r="C25" s="23" t="s">
        <v>613</v>
      </c>
      <c r="D25" s="23"/>
      <c r="E25" s="23" t="s">
        <v>614</v>
      </c>
    </row>
    <row r="26" spans="1:5">
      <c r="A26" s="272"/>
      <c r="B26" s="23"/>
      <c r="C26" s="23" t="s">
        <v>615</v>
      </c>
      <c r="D26" s="23"/>
      <c r="E26" s="23" t="s">
        <v>616</v>
      </c>
    </row>
    <row r="27" spans="1:5">
      <c r="A27" s="272"/>
      <c r="B27" s="23"/>
      <c r="C27" s="23" t="s">
        <v>617</v>
      </c>
      <c r="D27" s="23"/>
      <c r="E27" s="23" t="s">
        <v>618</v>
      </c>
    </row>
    <row r="28" spans="1:5">
      <c r="A28" s="272"/>
      <c r="B28" s="23"/>
      <c r="C28" s="23" t="s">
        <v>619</v>
      </c>
      <c r="D28" s="23"/>
      <c r="E28" s="23" t="s">
        <v>620</v>
      </c>
    </row>
    <row r="29" spans="1:5">
      <c r="A29" s="272"/>
      <c r="B29" s="23"/>
      <c r="C29" s="23" t="s">
        <v>621</v>
      </c>
      <c r="D29" s="23"/>
      <c r="E29" s="23" t="s">
        <v>622</v>
      </c>
    </row>
    <row r="30" spans="1:5">
      <c r="A30" s="273"/>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3"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99"/>
  <sheetViews>
    <sheetView showGridLines="0" tabSelected="1" topLeftCell="F60" zoomScale="85" zoomScaleNormal="85" workbookViewId="0">
      <selection activeCell="V61" sqref="V61"/>
    </sheetView>
  </sheetViews>
  <sheetFormatPr defaultColWidth="8.5703125" defaultRowHeight="15" customHeight="1"/>
  <cols>
    <col min="1" max="1" width="2.42578125" style="27" customWidth="1"/>
    <col min="2" max="2" width="48.85546875" style="64" customWidth="1"/>
    <col min="3" max="3" width="37.42578125" style="33" customWidth="1"/>
    <col min="4" max="4" width="40.5703125" style="33" customWidth="1"/>
    <col min="5" max="5" width="18.85546875" style="33" customWidth="1"/>
    <col min="6" max="6" width="49.85546875" style="33" customWidth="1"/>
    <col min="7" max="7" width="39" style="65" customWidth="1"/>
    <col min="8" max="8" width="28.5703125" style="33" hidden="1" customWidth="1"/>
    <col min="9" max="9" width="21.5703125" style="65" hidden="1" customWidth="1"/>
    <col min="10" max="10" width="22.28515625" style="66" hidden="1" customWidth="1"/>
    <col min="11" max="11" width="20.140625" style="65" hidden="1" customWidth="1"/>
    <col min="12" max="12" width="20.140625" style="67" hidden="1" customWidth="1"/>
    <col min="13" max="13" width="34.7109375" style="67" hidden="1" customWidth="1"/>
    <col min="14" max="14" width="65.5703125" style="64" hidden="1" customWidth="1"/>
    <col min="15" max="15" width="36.7109375" style="66" hidden="1" customWidth="1"/>
    <col min="16" max="16" width="175.7109375" style="66" hidden="1" customWidth="1"/>
    <col min="17" max="17" width="50.7109375" style="66" hidden="1" customWidth="1"/>
    <col min="18" max="18" width="50.7109375" style="33" hidden="1" customWidth="1"/>
    <col min="19" max="19" width="78.28515625" style="33" hidden="1" customWidth="1"/>
    <col min="20" max="20" width="57.140625" style="33" hidden="1" customWidth="1"/>
    <col min="21" max="21" width="56.7109375" style="67" hidden="1" customWidth="1"/>
    <col min="22" max="22" width="193.42578125" style="67" customWidth="1"/>
    <col min="23" max="23" width="29.140625" style="67" customWidth="1"/>
    <col min="24" max="24" width="48" style="67" customWidth="1"/>
    <col min="25" max="25" width="103.5703125" style="33" customWidth="1"/>
    <col min="26" max="26" width="174.7109375" style="33" customWidth="1"/>
    <col min="27" max="27" width="28.570312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33" customFormat="1">
      <c r="A5" s="27"/>
      <c r="B5" s="64"/>
      <c r="G5" s="65"/>
      <c r="I5" s="65"/>
      <c r="J5" s="66"/>
      <c r="K5" s="65"/>
      <c r="L5" s="67"/>
      <c r="M5" s="67"/>
      <c r="N5" s="64"/>
      <c r="O5" s="66"/>
      <c r="P5" s="66"/>
      <c r="Q5" s="66"/>
      <c r="U5" s="67"/>
      <c r="V5" s="67"/>
      <c r="W5" s="67"/>
      <c r="X5" s="67"/>
      <c r="AA5" s="65"/>
    </row>
    <row r="6" spans="1:27" s="65" customFormat="1" ht="30" customHeight="1">
      <c r="B6" s="278" t="s">
        <v>654</v>
      </c>
      <c r="C6" s="279"/>
      <c r="D6" s="279"/>
      <c r="E6" s="279"/>
      <c r="F6" s="279"/>
      <c r="G6" s="279"/>
      <c r="H6" s="279"/>
      <c r="I6" s="279"/>
      <c r="J6" s="279"/>
      <c r="K6" s="279"/>
      <c r="L6" s="279"/>
      <c r="M6" s="279"/>
      <c r="N6" s="279"/>
      <c r="O6" s="279"/>
      <c r="P6" s="280"/>
      <c r="Q6" s="284" t="s">
        <v>655</v>
      </c>
      <c r="R6" s="285"/>
      <c r="S6" s="288" t="s">
        <v>656</v>
      </c>
      <c r="T6" s="289"/>
      <c r="U6" s="289"/>
      <c r="V6" s="289"/>
      <c r="W6" s="287"/>
      <c r="X6" s="275" t="s">
        <v>657</v>
      </c>
      <c r="Y6" s="275"/>
      <c r="Z6" s="275"/>
      <c r="AA6" s="275"/>
    </row>
    <row r="7" spans="1:27" s="33" customFormat="1" ht="30" customHeight="1">
      <c r="A7" s="27"/>
      <c r="B7" s="281" t="s">
        <v>658</v>
      </c>
      <c r="C7" s="282"/>
      <c r="D7" s="282"/>
      <c r="E7" s="282"/>
      <c r="F7" s="282"/>
      <c r="G7" s="282"/>
      <c r="H7" s="282"/>
      <c r="I7" s="282"/>
      <c r="J7" s="282"/>
      <c r="K7" s="282"/>
      <c r="L7" s="282"/>
      <c r="M7" s="282"/>
      <c r="N7" s="282"/>
      <c r="O7" s="282"/>
      <c r="P7" s="283"/>
      <c r="Q7" s="284" t="s">
        <v>659</v>
      </c>
      <c r="R7" s="285"/>
      <c r="S7" s="286" t="s">
        <v>660</v>
      </c>
      <c r="T7" s="287"/>
      <c r="U7" s="287"/>
      <c r="V7" s="287"/>
      <c r="W7" s="63" t="s">
        <v>661</v>
      </c>
      <c r="X7" s="276" t="s">
        <v>662</v>
      </c>
      <c r="Y7" s="276"/>
      <c r="Z7" s="276"/>
      <c r="AA7" s="277"/>
    </row>
    <row r="8" spans="1:27"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241" t="s">
        <v>688</v>
      </c>
    </row>
    <row r="9" spans="1:27" s="33" customFormat="1" ht="225.75" hidden="1" customHeight="1">
      <c r="A9" s="27"/>
      <c r="B9" s="84" t="s">
        <v>648</v>
      </c>
      <c r="C9" s="84" t="s">
        <v>689</v>
      </c>
      <c r="D9" s="84" t="s">
        <v>649</v>
      </c>
      <c r="E9" s="131">
        <v>2</v>
      </c>
      <c r="F9" s="84" t="s">
        <v>690</v>
      </c>
      <c r="G9" s="84" t="s">
        <v>691</v>
      </c>
      <c r="H9" s="75" t="s">
        <v>692</v>
      </c>
      <c r="I9" s="76">
        <v>1</v>
      </c>
      <c r="J9" s="77" t="s">
        <v>693</v>
      </c>
      <c r="K9" s="76">
        <v>4</v>
      </c>
      <c r="L9" s="76"/>
      <c r="M9" s="84" t="s">
        <v>694</v>
      </c>
      <c r="N9" s="75"/>
      <c r="O9" s="76" t="s">
        <v>695</v>
      </c>
      <c r="P9" s="77"/>
      <c r="Q9" s="130" t="s">
        <v>696</v>
      </c>
      <c r="R9" s="133" t="s">
        <v>697</v>
      </c>
      <c r="S9" s="87" t="s">
        <v>698</v>
      </c>
      <c r="T9" s="87" t="s">
        <v>699</v>
      </c>
      <c r="U9" s="87" t="s">
        <v>700</v>
      </c>
      <c r="V9" s="87" t="s">
        <v>701</v>
      </c>
      <c r="W9" s="75"/>
      <c r="X9" s="87" t="s">
        <v>702</v>
      </c>
      <c r="Y9" s="84" t="s">
        <v>703</v>
      </c>
      <c r="Z9" s="84" t="s">
        <v>703</v>
      </c>
      <c r="AA9" s="239" t="s">
        <v>704</v>
      </c>
    </row>
    <row r="10" spans="1:27" s="33" customFormat="1" ht="219.75" hidden="1" customHeight="1">
      <c r="A10" s="27"/>
      <c r="B10" s="84" t="s">
        <v>648</v>
      </c>
      <c r="C10" s="84" t="s">
        <v>689</v>
      </c>
      <c r="D10" s="84" t="s">
        <v>649</v>
      </c>
      <c r="E10" s="131">
        <v>2</v>
      </c>
      <c r="F10" s="84" t="s">
        <v>705</v>
      </c>
      <c r="G10" s="84" t="s">
        <v>706</v>
      </c>
      <c r="H10" s="75" t="s">
        <v>692</v>
      </c>
      <c r="I10" s="76">
        <v>2</v>
      </c>
      <c r="J10" s="77" t="s">
        <v>693</v>
      </c>
      <c r="K10" s="76">
        <v>30</v>
      </c>
      <c r="L10" s="76"/>
      <c r="M10" s="84" t="s">
        <v>707</v>
      </c>
      <c r="N10" s="75"/>
      <c r="O10" s="76" t="s">
        <v>695</v>
      </c>
      <c r="P10" s="77"/>
      <c r="Q10" s="130" t="s">
        <v>696</v>
      </c>
      <c r="R10" s="133" t="s">
        <v>697</v>
      </c>
      <c r="S10" s="87" t="s">
        <v>708</v>
      </c>
      <c r="T10" s="87" t="s">
        <v>709</v>
      </c>
      <c r="U10" s="87" t="s">
        <v>710</v>
      </c>
      <c r="V10" s="87" t="s">
        <v>711</v>
      </c>
      <c r="W10" s="75"/>
      <c r="X10" s="87" t="s">
        <v>712</v>
      </c>
      <c r="Y10" s="84" t="s">
        <v>713</v>
      </c>
      <c r="Z10" s="86" t="s">
        <v>714</v>
      </c>
      <c r="AA10" s="131" t="s">
        <v>703</v>
      </c>
    </row>
    <row r="11" spans="1:27" s="33" customFormat="1" ht="183.75" hidden="1" customHeight="1">
      <c r="A11" s="27"/>
      <c r="B11" s="84" t="s">
        <v>648</v>
      </c>
      <c r="C11" s="84" t="s">
        <v>689</v>
      </c>
      <c r="D11" s="84" t="s">
        <v>649</v>
      </c>
      <c r="E11" s="131">
        <v>2</v>
      </c>
      <c r="F11" s="84" t="s">
        <v>715</v>
      </c>
      <c r="G11" s="84" t="s">
        <v>716</v>
      </c>
      <c r="H11" s="75" t="s">
        <v>717</v>
      </c>
      <c r="I11" s="76">
        <v>3</v>
      </c>
      <c r="J11" s="75" t="s">
        <v>718</v>
      </c>
      <c r="K11" s="76"/>
      <c r="L11" s="76"/>
      <c r="M11" s="84" t="s">
        <v>719</v>
      </c>
      <c r="N11" s="75"/>
      <c r="O11" s="76" t="s">
        <v>695</v>
      </c>
      <c r="P11" s="77"/>
      <c r="Q11" s="130" t="s">
        <v>720</v>
      </c>
      <c r="R11" s="133" t="s">
        <v>721</v>
      </c>
      <c r="S11" s="87" t="s">
        <v>722</v>
      </c>
      <c r="T11" s="87" t="s">
        <v>723</v>
      </c>
      <c r="U11" s="87" t="s">
        <v>724</v>
      </c>
      <c r="V11" s="87" t="s">
        <v>725</v>
      </c>
      <c r="W11" s="75"/>
      <c r="X11" s="87" t="s">
        <v>702</v>
      </c>
      <c r="Y11" s="84" t="s">
        <v>726</v>
      </c>
      <c r="Z11" s="84" t="s">
        <v>727</v>
      </c>
      <c r="AA11" s="131" t="s">
        <v>703</v>
      </c>
    </row>
    <row r="12" spans="1:27" s="33" customFormat="1" ht="152.25" hidden="1" customHeight="1">
      <c r="A12" s="27"/>
      <c r="B12" s="84" t="s">
        <v>648</v>
      </c>
      <c r="C12" s="84" t="s">
        <v>689</v>
      </c>
      <c r="D12" s="84" t="s">
        <v>649</v>
      </c>
      <c r="E12" s="131">
        <v>2</v>
      </c>
      <c r="F12" s="84" t="s">
        <v>728</v>
      </c>
      <c r="G12" s="84" t="s">
        <v>729</v>
      </c>
      <c r="H12" s="75" t="s">
        <v>717</v>
      </c>
      <c r="I12" s="76">
        <v>4</v>
      </c>
      <c r="J12" s="75" t="s">
        <v>718</v>
      </c>
      <c r="K12" s="76"/>
      <c r="L12" s="76"/>
      <c r="M12" s="84" t="s">
        <v>730</v>
      </c>
      <c r="N12" s="75"/>
      <c r="O12" s="76" t="s">
        <v>695</v>
      </c>
      <c r="P12" s="77"/>
      <c r="Q12" s="130" t="s">
        <v>720</v>
      </c>
      <c r="R12" s="133" t="s">
        <v>721</v>
      </c>
      <c r="S12" s="87" t="s">
        <v>722</v>
      </c>
      <c r="T12" s="87" t="s">
        <v>723</v>
      </c>
      <c r="U12" s="87" t="s">
        <v>731</v>
      </c>
      <c r="V12" s="87" t="s">
        <v>732</v>
      </c>
      <c r="W12" s="75"/>
      <c r="X12" s="87" t="s">
        <v>702</v>
      </c>
      <c r="Y12" s="159" t="s">
        <v>733</v>
      </c>
      <c r="Z12" s="159" t="s">
        <v>734</v>
      </c>
      <c r="AA12" s="131" t="s">
        <v>735</v>
      </c>
    </row>
    <row r="13" spans="1:27" s="33" customFormat="1" ht="213.75" hidden="1" customHeight="1">
      <c r="A13" s="27"/>
      <c r="B13" s="84" t="s">
        <v>648</v>
      </c>
      <c r="C13" s="84" t="s">
        <v>689</v>
      </c>
      <c r="D13" s="84" t="s">
        <v>649</v>
      </c>
      <c r="E13" s="131">
        <v>2</v>
      </c>
      <c r="F13" s="159" t="s">
        <v>736</v>
      </c>
      <c r="G13" s="159" t="s">
        <v>737</v>
      </c>
      <c r="H13" s="75" t="s">
        <v>738</v>
      </c>
      <c r="I13" s="76">
        <v>5</v>
      </c>
      <c r="J13" s="75" t="s">
        <v>693</v>
      </c>
      <c r="K13" s="76">
        <v>4</v>
      </c>
      <c r="L13" s="76"/>
      <c r="M13" s="159" t="s">
        <v>739</v>
      </c>
      <c r="N13" s="75"/>
      <c r="O13" s="76" t="s">
        <v>695</v>
      </c>
      <c r="P13" s="87" t="s">
        <v>740</v>
      </c>
      <c r="Q13" s="130" t="s">
        <v>741</v>
      </c>
      <c r="R13" s="133" t="s">
        <v>742</v>
      </c>
      <c r="S13" s="87" t="s">
        <v>722</v>
      </c>
      <c r="T13" s="87" t="s">
        <v>723</v>
      </c>
      <c r="U13" s="130" t="s">
        <v>743</v>
      </c>
      <c r="V13" s="130" t="s">
        <v>744</v>
      </c>
      <c r="W13" s="75"/>
      <c r="X13" s="87" t="s">
        <v>702</v>
      </c>
      <c r="Y13" s="84" t="s">
        <v>745</v>
      </c>
      <c r="Z13" s="86" t="s">
        <v>746</v>
      </c>
      <c r="AA13" s="131" t="s">
        <v>747</v>
      </c>
    </row>
    <row r="14" spans="1:27" s="33" customFormat="1" ht="185.25" hidden="1" customHeight="1">
      <c r="A14" s="27"/>
      <c r="B14" s="84" t="s">
        <v>648</v>
      </c>
      <c r="C14" s="84" t="s">
        <v>689</v>
      </c>
      <c r="D14" s="84" t="s">
        <v>649</v>
      </c>
      <c r="E14" s="131">
        <v>2</v>
      </c>
      <c r="F14" s="84" t="s">
        <v>748</v>
      </c>
      <c r="G14" s="84" t="s">
        <v>749</v>
      </c>
      <c r="H14" s="75" t="s">
        <v>750</v>
      </c>
      <c r="I14" s="76">
        <v>6</v>
      </c>
      <c r="J14" s="75" t="s">
        <v>693</v>
      </c>
      <c r="K14" s="76">
        <v>10</v>
      </c>
      <c r="L14" s="76"/>
      <c r="M14" s="84" t="s">
        <v>751</v>
      </c>
      <c r="N14" s="75"/>
      <c r="O14" s="76" t="s">
        <v>695</v>
      </c>
      <c r="P14" s="77"/>
      <c r="Q14" s="130" t="s">
        <v>752</v>
      </c>
      <c r="R14" s="133" t="s">
        <v>753</v>
      </c>
      <c r="S14" s="87" t="s">
        <v>722</v>
      </c>
      <c r="T14" s="87" t="s">
        <v>723</v>
      </c>
      <c r="U14" s="87" t="s">
        <v>754</v>
      </c>
      <c r="V14" s="87" t="s">
        <v>755</v>
      </c>
      <c r="W14" s="75"/>
      <c r="X14" s="87" t="s">
        <v>702</v>
      </c>
      <c r="Y14" s="84" t="s">
        <v>726</v>
      </c>
      <c r="Z14" s="84" t="s">
        <v>756</v>
      </c>
      <c r="AA14" s="131" t="s">
        <v>703</v>
      </c>
    </row>
    <row r="15" spans="1:27" s="33" customFormat="1" ht="321" hidden="1" customHeight="1">
      <c r="A15" s="27"/>
      <c r="B15" s="84" t="s">
        <v>648</v>
      </c>
      <c r="C15" s="84" t="s">
        <v>689</v>
      </c>
      <c r="D15" s="84" t="s">
        <v>649</v>
      </c>
      <c r="E15" s="131">
        <v>2</v>
      </c>
      <c r="F15" s="84" t="s">
        <v>757</v>
      </c>
      <c r="G15" s="84" t="s">
        <v>758</v>
      </c>
      <c r="H15" s="75" t="s">
        <v>759</v>
      </c>
      <c r="I15" s="76">
        <v>7</v>
      </c>
      <c r="J15" s="75" t="s">
        <v>760</v>
      </c>
      <c r="K15" s="76">
        <v>23</v>
      </c>
      <c r="L15" s="76">
        <v>6</v>
      </c>
      <c r="M15" s="84" t="s">
        <v>761</v>
      </c>
      <c r="N15" s="75"/>
      <c r="O15" s="76" t="s">
        <v>695</v>
      </c>
      <c r="P15" s="77"/>
      <c r="Q15" s="130" t="s">
        <v>752</v>
      </c>
      <c r="R15" s="133" t="s">
        <v>762</v>
      </c>
      <c r="S15" s="87" t="s">
        <v>722</v>
      </c>
      <c r="T15" s="87" t="s">
        <v>723</v>
      </c>
      <c r="U15" s="87" t="s">
        <v>763</v>
      </c>
      <c r="V15" s="87" t="s">
        <v>764</v>
      </c>
      <c r="W15" s="75"/>
      <c r="X15" s="87" t="s">
        <v>702</v>
      </c>
      <c r="Y15" s="84" t="s">
        <v>726</v>
      </c>
      <c r="Z15" s="84" t="s">
        <v>765</v>
      </c>
      <c r="AA15" s="131" t="s">
        <v>703</v>
      </c>
    </row>
    <row r="16" spans="1:27" s="33" customFormat="1" ht="321" hidden="1" customHeight="1">
      <c r="A16" s="27"/>
      <c r="B16" s="84" t="s">
        <v>648</v>
      </c>
      <c r="C16" s="84" t="s">
        <v>689</v>
      </c>
      <c r="D16" s="84" t="s">
        <v>649</v>
      </c>
      <c r="E16" s="131">
        <v>2</v>
      </c>
      <c r="F16" s="194" t="s">
        <v>766</v>
      </c>
      <c r="G16" s="194" t="s">
        <v>767</v>
      </c>
      <c r="H16" s="75" t="s">
        <v>768</v>
      </c>
      <c r="I16" s="76">
        <v>8</v>
      </c>
      <c r="J16" s="75" t="s">
        <v>693</v>
      </c>
      <c r="K16" s="76">
        <v>4</v>
      </c>
      <c r="L16" s="76"/>
      <c r="M16" s="159" t="s">
        <v>769</v>
      </c>
      <c r="N16" s="75"/>
      <c r="O16" s="76"/>
      <c r="P16" s="77"/>
      <c r="Q16" s="193"/>
      <c r="R16" s="193"/>
      <c r="S16" s="130" t="s">
        <v>770</v>
      </c>
      <c r="T16" s="130" t="s">
        <v>771</v>
      </c>
      <c r="U16" s="130" t="s">
        <v>772</v>
      </c>
      <c r="V16" s="130" t="s">
        <v>773</v>
      </c>
      <c r="W16" s="75"/>
      <c r="X16" s="87" t="s">
        <v>702</v>
      </c>
      <c r="Y16" s="194" t="s">
        <v>774</v>
      </c>
      <c r="Z16" s="194" t="s">
        <v>775</v>
      </c>
      <c r="AA16" s="195" t="s">
        <v>776</v>
      </c>
    </row>
    <row r="17" spans="1:27" s="33" customFormat="1" ht="229.5" hidden="1" customHeight="1">
      <c r="A17" s="27"/>
      <c r="B17" s="84" t="s">
        <v>648</v>
      </c>
      <c r="C17" s="84" t="s">
        <v>689</v>
      </c>
      <c r="D17" s="84" t="s">
        <v>649</v>
      </c>
      <c r="E17" s="131">
        <v>2</v>
      </c>
      <c r="F17" s="159" t="s">
        <v>777</v>
      </c>
      <c r="G17" s="159" t="s">
        <v>778</v>
      </c>
      <c r="H17" s="75" t="s">
        <v>779</v>
      </c>
      <c r="I17" s="76">
        <v>9</v>
      </c>
      <c r="J17" s="75" t="s">
        <v>693</v>
      </c>
      <c r="K17" s="76">
        <v>4</v>
      </c>
      <c r="L17" s="76"/>
      <c r="M17" s="84" t="s">
        <v>780</v>
      </c>
      <c r="N17" s="75"/>
      <c r="O17" s="76"/>
      <c r="P17" s="87" t="s">
        <v>781</v>
      </c>
      <c r="Q17" s="130" t="s">
        <v>752</v>
      </c>
      <c r="R17" s="133" t="s">
        <v>782</v>
      </c>
      <c r="S17" s="87" t="s">
        <v>783</v>
      </c>
      <c r="T17" s="87" t="s">
        <v>784</v>
      </c>
      <c r="U17" s="87" t="s">
        <v>785</v>
      </c>
      <c r="V17" s="87" t="s">
        <v>786</v>
      </c>
      <c r="W17" s="75"/>
      <c r="X17" s="87" t="s">
        <v>712</v>
      </c>
      <c r="Y17" s="84" t="s">
        <v>787</v>
      </c>
      <c r="Z17" s="84" t="s">
        <v>788</v>
      </c>
      <c r="AA17" s="131" t="s">
        <v>789</v>
      </c>
    </row>
    <row r="18" spans="1:27" s="33" customFormat="1" ht="186.75" hidden="1" customHeight="1">
      <c r="A18" s="27"/>
      <c r="B18" s="84" t="s">
        <v>648</v>
      </c>
      <c r="C18" s="84" t="s">
        <v>689</v>
      </c>
      <c r="D18" s="84" t="s">
        <v>649</v>
      </c>
      <c r="E18" s="131">
        <v>2</v>
      </c>
      <c r="F18" s="84" t="s">
        <v>790</v>
      </c>
      <c r="G18" s="84" t="s">
        <v>791</v>
      </c>
      <c r="H18" s="75" t="s">
        <v>750</v>
      </c>
      <c r="I18" s="76">
        <v>10</v>
      </c>
      <c r="J18" s="75" t="s">
        <v>693</v>
      </c>
      <c r="K18" s="76">
        <v>10</v>
      </c>
      <c r="L18" s="76"/>
      <c r="M18" s="84" t="s">
        <v>792</v>
      </c>
      <c r="N18" s="75"/>
      <c r="O18" s="76" t="s">
        <v>695</v>
      </c>
      <c r="P18" s="77"/>
      <c r="Q18" s="130" t="s">
        <v>752</v>
      </c>
      <c r="R18" s="133" t="s">
        <v>793</v>
      </c>
      <c r="S18" s="87" t="s">
        <v>722</v>
      </c>
      <c r="T18" s="87" t="s">
        <v>723</v>
      </c>
      <c r="U18" s="87" t="s">
        <v>794</v>
      </c>
      <c r="V18" s="87" t="s">
        <v>795</v>
      </c>
      <c r="W18" s="75"/>
      <c r="X18" s="87" t="s">
        <v>702</v>
      </c>
      <c r="Y18" s="84" t="s">
        <v>726</v>
      </c>
      <c r="Z18" s="84" t="s">
        <v>796</v>
      </c>
      <c r="AA18" s="131" t="s">
        <v>703</v>
      </c>
    </row>
    <row r="19" spans="1:27" s="33" customFormat="1" ht="204.75" hidden="1" customHeight="1">
      <c r="A19" s="27"/>
      <c r="B19" s="84" t="s">
        <v>648</v>
      </c>
      <c r="C19" s="84" t="s">
        <v>689</v>
      </c>
      <c r="D19" s="84" t="s">
        <v>649</v>
      </c>
      <c r="E19" s="131">
        <v>2</v>
      </c>
      <c r="F19" s="77" t="s">
        <v>797</v>
      </c>
      <c r="G19" s="77" t="s">
        <v>798</v>
      </c>
      <c r="H19" s="77" t="s">
        <v>799</v>
      </c>
      <c r="I19" s="76">
        <v>11</v>
      </c>
      <c r="J19" s="77" t="s">
        <v>693</v>
      </c>
      <c r="K19" s="76">
        <v>2</v>
      </c>
      <c r="L19" s="76"/>
      <c r="M19" s="86" t="s">
        <v>800</v>
      </c>
      <c r="N19" s="86"/>
      <c r="O19" s="76"/>
      <c r="P19" s="86" t="s">
        <v>801</v>
      </c>
      <c r="Q19" s="87"/>
      <c r="R19" s="77"/>
      <c r="S19" s="87" t="s">
        <v>722</v>
      </c>
      <c r="T19" s="87" t="s">
        <v>723</v>
      </c>
      <c r="U19" s="87" t="s">
        <v>802</v>
      </c>
      <c r="V19" s="87" t="s">
        <v>803</v>
      </c>
      <c r="W19" s="76"/>
      <c r="X19" s="87" t="s">
        <v>702</v>
      </c>
      <c r="Y19" s="84" t="s">
        <v>703</v>
      </c>
      <c r="Z19" s="84" t="s">
        <v>703</v>
      </c>
      <c r="AA19" s="201" t="s">
        <v>804</v>
      </c>
    </row>
    <row r="20" spans="1:27" s="33" customFormat="1" ht="204" hidden="1" customHeight="1">
      <c r="A20" s="27"/>
      <c r="B20" s="84" t="s">
        <v>648</v>
      </c>
      <c r="C20" s="84" t="s">
        <v>689</v>
      </c>
      <c r="D20" s="84" t="s">
        <v>649</v>
      </c>
      <c r="E20" s="131">
        <v>2</v>
      </c>
      <c r="F20" s="84" t="s">
        <v>805</v>
      </c>
      <c r="G20" s="84" t="s">
        <v>806</v>
      </c>
      <c r="H20" s="75" t="s">
        <v>807</v>
      </c>
      <c r="I20" s="76">
        <v>12</v>
      </c>
      <c r="J20" s="75" t="s">
        <v>693</v>
      </c>
      <c r="K20" s="76">
        <v>10</v>
      </c>
      <c r="L20" s="76"/>
      <c r="M20" s="86" t="s">
        <v>808</v>
      </c>
      <c r="N20" s="75"/>
      <c r="O20" s="76" t="s">
        <v>695</v>
      </c>
      <c r="P20" s="77"/>
      <c r="Q20" s="84"/>
      <c r="R20" s="84"/>
      <c r="S20" s="87" t="s">
        <v>722</v>
      </c>
      <c r="T20" s="87" t="s">
        <v>723</v>
      </c>
      <c r="U20" s="87" t="s">
        <v>809</v>
      </c>
      <c r="V20" s="87" t="s">
        <v>810</v>
      </c>
      <c r="W20" s="75"/>
      <c r="X20" s="84" t="s">
        <v>811</v>
      </c>
      <c r="Y20" s="84" t="s">
        <v>703</v>
      </c>
      <c r="Z20" s="84" t="s">
        <v>703</v>
      </c>
      <c r="AA20" s="131" t="s">
        <v>703</v>
      </c>
    </row>
    <row r="21" spans="1:27" s="33" customFormat="1" ht="158.25" hidden="1" customHeight="1">
      <c r="A21" s="27"/>
      <c r="B21" s="84" t="s">
        <v>648</v>
      </c>
      <c r="C21" s="84" t="s">
        <v>689</v>
      </c>
      <c r="D21" s="84" t="s">
        <v>649</v>
      </c>
      <c r="E21" s="131">
        <v>2</v>
      </c>
      <c r="F21" s="84" t="s">
        <v>812</v>
      </c>
      <c r="G21" s="84" t="s">
        <v>813</v>
      </c>
      <c r="H21" s="75" t="s">
        <v>814</v>
      </c>
      <c r="I21" s="76">
        <v>13</v>
      </c>
      <c r="J21" s="75" t="s">
        <v>815</v>
      </c>
      <c r="K21" s="76">
        <v>23</v>
      </c>
      <c r="L21" s="76"/>
      <c r="M21" s="86" t="s">
        <v>816</v>
      </c>
      <c r="N21" s="75"/>
      <c r="O21" s="76"/>
      <c r="P21" s="77"/>
      <c r="Q21" s="84"/>
      <c r="R21" s="84"/>
      <c r="S21" s="87" t="s">
        <v>722</v>
      </c>
      <c r="T21" s="87" t="s">
        <v>723</v>
      </c>
      <c r="U21" s="87" t="s">
        <v>802</v>
      </c>
      <c r="V21" s="87" t="s">
        <v>817</v>
      </c>
      <c r="W21" s="75"/>
      <c r="X21" s="84" t="s">
        <v>811</v>
      </c>
      <c r="Y21" s="84" t="s">
        <v>703</v>
      </c>
      <c r="Z21" s="84" t="s">
        <v>703</v>
      </c>
      <c r="AA21" s="131" t="s">
        <v>818</v>
      </c>
    </row>
    <row r="22" spans="1:27" s="33" customFormat="1" ht="171" hidden="1" customHeight="1">
      <c r="A22" s="27"/>
      <c r="B22" s="84" t="s">
        <v>651</v>
      </c>
      <c r="C22" s="84" t="s">
        <v>819</v>
      </c>
      <c r="D22" s="84" t="s">
        <v>652</v>
      </c>
      <c r="E22" s="131">
        <v>2</v>
      </c>
      <c r="F22" s="84" t="s">
        <v>690</v>
      </c>
      <c r="G22" s="84" t="s">
        <v>691</v>
      </c>
      <c r="H22" s="75" t="s">
        <v>692</v>
      </c>
      <c r="I22" s="76">
        <v>1</v>
      </c>
      <c r="J22" s="77" t="s">
        <v>693</v>
      </c>
      <c r="K22" s="76">
        <v>4</v>
      </c>
      <c r="L22" s="76"/>
      <c r="M22" s="84" t="s">
        <v>694</v>
      </c>
      <c r="N22" s="75"/>
      <c r="O22" s="76" t="s">
        <v>695</v>
      </c>
      <c r="P22" s="77"/>
      <c r="Q22" s="130" t="s">
        <v>820</v>
      </c>
      <c r="R22" s="133" t="s">
        <v>821</v>
      </c>
      <c r="S22" s="86" t="s">
        <v>822</v>
      </c>
      <c r="T22" s="86" t="s">
        <v>823</v>
      </c>
      <c r="U22" s="87" t="s">
        <v>824</v>
      </c>
      <c r="V22" s="86" t="s">
        <v>825</v>
      </c>
      <c r="W22" s="75"/>
      <c r="X22" s="84" t="s">
        <v>826</v>
      </c>
      <c r="Y22" s="84" t="s">
        <v>811</v>
      </c>
      <c r="Z22" s="84" t="s">
        <v>811</v>
      </c>
      <c r="AA22" s="131" t="s">
        <v>827</v>
      </c>
    </row>
    <row r="23" spans="1:27" s="33" customFormat="1" ht="120" hidden="1" customHeight="1">
      <c r="A23" s="27"/>
      <c r="B23" s="84" t="s">
        <v>651</v>
      </c>
      <c r="C23" s="84" t="s">
        <v>819</v>
      </c>
      <c r="D23" s="84" t="s">
        <v>652</v>
      </c>
      <c r="E23" s="131">
        <v>2</v>
      </c>
      <c r="F23" s="84" t="s">
        <v>705</v>
      </c>
      <c r="G23" s="84" t="s">
        <v>706</v>
      </c>
      <c r="H23" s="75" t="s">
        <v>692</v>
      </c>
      <c r="I23" s="76">
        <v>2</v>
      </c>
      <c r="J23" s="77" t="s">
        <v>693</v>
      </c>
      <c r="K23" s="76">
        <v>30</v>
      </c>
      <c r="L23" s="76"/>
      <c r="M23" s="84" t="s">
        <v>707</v>
      </c>
      <c r="N23" s="75"/>
      <c r="O23" s="76" t="s">
        <v>695</v>
      </c>
      <c r="P23" s="77"/>
      <c r="Q23" s="130" t="s">
        <v>820</v>
      </c>
      <c r="R23" s="133" t="s">
        <v>821</v>
      </c>
      <c r="S23" s="86" t="s">
        <v>828</v>
      </c>
      <c r="T23" s="86" t="s">
        <v>829</v>
      </c>
      <c r="U23" s="87" t="s">
        <v>830</v>
      </c>
      <c r="V23" s="86" t="s">
        <v>831</v>
      </c>
      <c r="W23" s="75"/>
      <c r="X23" s="84" t="s">
        <v>826</v>
      </c>
      <c r="Y23" s="84" t="s">
        <v>832</v>
      </c>
      <c r="Z23" s="209" t="s">
        <v>833</v>
      </c>
      <c r="AA23" s="131" t="s">
        <v>811</v>
      </c>
    </row>
    <row r="24" spans="1:27" s="33" customFormat="1" ht="99.75" hidden="1" customHeight="1">
      <c r="A24" s="27"/>
      <c r="B24" s="84" t="s">
        <v>651</v>
      </c>
      <c r="C24" s="84" t="s">
        <v>819</v>
      </c>
      <c r="D24" s="84" t="s">
        <v>652</v>
      </c>
      <c r="E24" s="131">
        <v>2</v>
      </c>
      <c r="F24" s="84" t="s">
        <v>715</v>
      </c>
      <c r="G24" s="84" t="s">
        <v>716</v>
      </c>
      <c r="H24" s="75" t="s">
        <v>717</v>
      </c>
      <c r="I24" s="76">
        <v>3</v>
      </c>
      <c r="J24" s="75" t="s">
        <v>718</v>
      </c>
      <c r="K24" s="76"/>
      <c r="L24" s="76"/>
      <c r="M24" s="84" t="s">
        <v>834</v>
      </c>
      <c r="N24" s="75"/>
      <c r="O24" s="76" t="s">
        <v>695</v>
      </c>
      <c r="P24" s="77"/>
      <c r="Q24" s="130" t="s">
        <v>720</v>
      </c>
      <c r="R24" s="84" t="s">
        <v>721</v>
      </c>
      <c r="S24" s="86" t="s">
        <v>828</v>
      </c>
      <c r="T24" s="86" t="s">
        <v>829</v>
      </c>
      <c r="U24" s="84" t="s">
        <v>835</v>
      </c>
      <c r="V24" s="86" t="s">
        <v>836</v>
      </c>
      <c r="W24" s="75"/>
      <c r="X24" s="84" t="s">
        <v>826</v>
      </c>
      <c r="Y24" s="84" t="s">
        <v>832</v>
      </c>
      <c r="Z24" s="84" t="s">
        <v>837</v>
      </c>
      <c r="AA24" s="131" t="s">
        <v>811</v>
      </c>
    </row>
    <row r="25" spans="1:27" s="33" customFormat="1" ht="99.75" hidden="1" customHeight="1">
      <c r="A25" s="27"/>
      <c r="B25" s="84" t="s">
        <v>651</v>
      </c>
      <c r="C25" s="84" t="s">
        <v>819</v>
      </c>
      <c r="D25" s="84" t="s">
        <v>652</v>
      </c>
      <c r="E25" s="131">
        <v>2</v>
      </c>
      <c r="F25" s="84" t="s">
        <v>728</v>
      </c>
      <c r="G25" s="84" t="s">
        <v>729</v>
      </c>
      <c r="H25" s="75" t="s">
        <v>717</v>
      </c>
      <c r="I25" s="76">
        <v>4</v>
      </c>
      <c r="J25" s="75" t="s">
        <v>718</v>
      </c>
      <c r="K25" s="76"/>
      <c r="L25" s="76"/>
      <c r="M25" s="84" t="s">
        <v>730</v>
      </c>
      <c r="N25" s="75"/>
      <c r="O25" s="76" t="s">
        <v>695</v>
      </c>
      <c r="P25" s="77"/>
      <c r="Q25" s="130" t="s">
        <v>720</v>
      </c>
      <c r="R25" s="84" t="s">
        <v>721</v>
      </c>
      <c r="S25" s="86" t="s">
        <v>828</v>
      </c>
      <c r="T25" s="86" t="s">
        <v>829</v>
      </c>
      <c r="U25" s="84" t="s">
        <v>838</v>
      </c>
      <c r="V25" s="86" t="s">
        <v>839</v>
      </c>
      <c r="W25" s="75"/>
      <c r="X25" s="84" t="s">
        <v>826</v>
      </c>
      <c r="Y25" s="84" t="s">
        <v>832</v>
      </c>
      <c r="Z25" s="84" t="s">
        <v>840</v>
      </c>
      <c r="AA25" s="131" t="s">
        <v>811</v>
      </c>
    </row>
    <row r="26" spans="1:27" s="33" customFormat="1" ht="157.5" hidden="1" customHeight="1">
      <c r="A26" s="27"/>
      <c r="B26" s="84" t="s">
        <v>651</v>
      </c>
      <c r="C26" s="84" t="s">
        <v>819</v>
      </c>
      <c r="D26" s="84" t="s">
        <v>652</v>
      </c>
      <c r="E26" s="131">
        <v>2</v>
      </c>
      <c r="F26" s="159" t="s">
        <v>736</v>
      </c>
      <c r="G26" s="159" t="s">
        <v>737</v>
      </c>
      <c r="H26" s="75" t="s">
        <v>779</v>
      </c>
      <c r="I26" s="76">
        <v>5</v>
      </c>
      <c r="J26" s="75" t="s">
        <v>693</v>
      </c>
      <c r="K26" s="76">
        <v>4</v>
      </c>
      <c r="L26" s="76"/>
      <c r="M26" s="159" t="s">
        <v>739</v>
      </c>
      <c r="N26" s="75"/>
      <c r="O26" s="76" t="s">
        <v>695</v>
      </c>
      <c r="P26" s="87" t="s">
        <v>841</v>
      </c>
      <c r="Q26" s="130" t="s">
        <v>842</v>
      </c>
      <c r="R26" s="133" t="s">
        <v>843</v>
      </c>
      <c r="S26" s="86" t="s">
        <v>844</v>
      </c>
      <c r="T26" s="86" t="s">
        <v>845</v>
      </c>
      <c r="U26" s="86" t="s">
        <v>846</v>
      </c>
      <c r="V26" s="86" t="s">
        <v>847</v>
      </c>
      <c r="W26" s="75"/>
      <c r="X26" s="84" t="s">
        <v>826</v>
      </c>
      <c r="Y26" s="84" t="s">
        <v>832</v>
      </c>
      <c r="Z26" s="86" t="s">
        <v>848</v>
      </c>
      <c r="AA26" s="131" t="s">
        <v>811</v>
      </c>
    </row>
    <row r="27" spans="1:27" s="33" customFormat="1" ht="99.75" hidden="1" customHeight="1">
      <c r="A27" s="27"/>
      <c r="B27" s="194" t="s">
        <v>651</v>
      </c>
      <c r="C27" s="194" t="s">
        <v>819</v>
      </c>
      <c r="D27" s="194" t="s">
        <v>652</v>
      </c>
      <c r="E27" s="195">
        <v>2</v>
      </c>
      <c r="F27" s="194" t="s">
        <v>766</v>
      </c>
      <c r="G27" s="194" t="s">
        <v>767</v>
      </c>
      <c r="H27" s="75" t="s">
        <v>768</v>
      </c>
      <c r="I27" s="76">
        <v>6</v>
      </c>
      <c r="J27" s="75" t="s">
        <v>693</v>
      </c>
      <c r="K27" s="76">
        <v>4</v>
      </c>
      <c r="L27" s="76"/>
      <c r="M27" s="159" t="s">
        <v>769</v>
      </c>
      <c r="N27" s="75"/>
      <c r="O27" s="76"/>
      <c r="P27" s="77"/>
      <c r="Q27" s="193"/>
      <c r="R27" s="193"/>
      <c r="S27" s="86" t="s">
        <v>844</v>
      </c>
      <c r="T27" s="86" t="s">
        <v>849</v>
      </c>
      <c r="U27" s="86" t="s">
        <v>824</v>
      </c>
      <c r="V27" s="242" t="s">
        <v>850</v>
      </c>
      <c r="W27" s="75"/>
      <c r="X27" s="84" t="s">
        <v>826</v>
      </c>
      <c r="Y27" s="84" t="s">
        <v>832</v>
      </c>
      <c r="Z27" s="86" t="s">
        <v>848</v>
      </c>
      <c r="AA27" s="131" t="s">
        <v>811</v>
      </c>
    </row>
    <row r="28" spans="1:27" s="33" customFormat="1" ht="99.75" hidden="1" customHeight="1">
      <c r="A28" s="27"/>
      <c r="B28" s="84" t="s">
        <v>651</v>
      </c>
      <c r="C28" s="84" t="s">
        <v>819</v>
      </c>
      <c r="D28" s="84" t="s">
        <v>652</v>
      </c>
      <c r="E28" s="131">
        <v>2</v>
      </c>
      <c r="F28" s="159" t="s">
        <v>777</v>
      </c>
      <c r="G28" s="159" t="s">
        <v>778</v>
      </c>
      <c r="H28" s="75" t="s">
        <v>779</v>
      </c>
      <c r="I28" s="76">
        <v>7</v>
      </c>
      <c r="J28" s="75" t="s">
        <v>693</v>
      </c>
      <c r="K28" s="76">
        <v>4</v>
      </c>
      <c r="L28" s="76"/>
      <c r="M28" s="84" t="s">
        <v>780</v>
      </c>
      <c r="N28" s="75"/>
      <c r="O28" s="76"/>
      <c r="P28" s="86" t="s">
        <v>851</v>
      </c>
      <c r="Q28" s="130" t="s">
        <v>752</v>
      </c>
      <c r="R28" s="133" t="s">
        <v>782</v>
      </c>
      <c r="S28" s="86" t="s">
        <v>828</v>
      </c>
      <c r="T28" s="86" t="s">
        <v>829</v>
      </c>
      <c r="U28" s="84" t="s">
        <v>852</v>
      </c>
      <c r="V28" s="86" t="s">
        <v>853</v>
      </c>
      <c r="W28" s="75"/>
      <c r="X28" s="84" t="s">
        <v>826</v>
      </c>
      <c r="Y28" s="84" t="s">
        <v>832</v>
      </c>
      <c r="Z28" s="84" t="s">
        <v>854</v>
      </c>
      <c r="AA28" s="131" t="s">
        <v>811</v>
      </c>
    </row>
    <row r="29" spans="1:27" s="33" customFormat="1" ht="99.75" hidden="1" customHeight="1">
      <c r="A29" s="27"/>
      <c r="B29" s="84" t="s">
        <v>651</v>
      </c>
      <c r="C29" s="84" t="s">
        <v>819</v>
      </c>
      <c r="D29" s="84" t="s">
        <v>652</v>
      </c>
      <c r="E29" s="131">
        <v>2</v>
      </c>
      <c r="F29" s="84" t="s">
        <v>790</v>
      </c>
      <c r="G29" s="84" t="s">
        <v>791</v>
      </c>
      <c r="H29" s="75" t="s">
        <v>750</v>
      </c>
      <c r="I29" s="76">
        <v>8</v>
      </c>
      <c r="J29" s="75" t="s">
        <v>693</v>
      </c>
      <c r="K29" s="76">
        <v>10</v>
      </c>
      <c r="L29" s="76"/>
      <c r="M29" s="84" t="s">
        <v>792</v>
      </c>
      <c r="N29" s="75"/>
      <c r="O29" s="76"/>
      <c r="P29" s="77"/>
      <c r="Q29" s="130" t="s">
        <v>752</v>
      </c>
      <c r="R29" s="133" t="s">
        <v>793</v>
      </c>
      <c r="S29" s="86" t="s">
        <v>828</v>
      </c>
      <c r="T29" s="86" t="s">
        <v>829</v>
      </c>
      <c r="U29" s="84" t="s">
        <v>855</v>
      </c>
      <c r="V29" s="86" t="s">
        <v>856</v>
      </c>
      <c r="W29" s="75"/>
      <c r="X29" s="84" t="s">
        <v>826</v>
      </c>
      <c r="Y29" s="84" t="s">
        <v>832</v>
      </c>
      <c r="Z29" s="84" t="s">
        <v>857</v>
      </c>
      <c r="AA29" s="131" t="s">
        <v>811</v>
      </c>
    </row>
    <row r="30" spans="1:27" s="33" customFormat="1" ht="99.75" hidden="1" customHeight="1">
      <c r="A30" s="27"/>
      <c r="B30" s="84" t="s">
        <v>651</v>
      </c>
      <c r="C30" s="84" t="s">
        <v>819</v>
      </c>
      <c r="D30" s="84" t="s">
        <v>652</v>
      </c>
      <c r="E30" s="131">
        <v>2</v>
      </c>
      <c r="F30" s="84" t="s">
        <v>748</v>
      </c>
      <c r="G30" s="84" t="s">
        <v>749</v>
      </c>
      <c r="H30" s="75" t="s">
        <v>750</v>
      </c>
      <c r="I30" s="76">
        <v>9</v>
      </c>
      <c r="J30" s="75" t="s">
        <v>693</v>
      </c>
      <c r="K30" s="76">
        <v>10</v>
      </c>
      <c r="L30" s="76"/>
      <c r="M30" s="84" t="s">
        <v>751</v>
      </c>
      <c r="N30" s="75"/>
      <c r="O30" s="76"/>
      <c r="P30" s="77"/>
      <c r="Q30" s="130" t="s">
        <v>752</v>
      </c>
      <c r="R30" s="133" t="s">
        <v>753</v>
      </c>
      <c r="S30" s="86" t="s">
        <v>828</v>
      </c>
      <c r="T30" s="86" t="s">
        <v>829</v>
      </c>
      <c r="U30" s="191" t="s">
        <v>858</v>
      </c>
      <c r="V30" s="86" t="s">
        <v>859</v>
      </c>
      <c r="W30" s="75"/>
      <c r="X30" s="84" t="s">
        <v>826</v>
      </c>
      <c r="Y30" s="84" t="s">
        <v>832</v>
      </c>
      <c r="Z30" s="191" t="s">
        <v>860</v>
      </c>
      <c r="AA30" s="131" t="s">
        <v>811</v>
      </c>
    </row>
    <row r="31" spans="1:27" s="33" customFormat="1" ht="99.75" hidden="1" customHeight="1">
      <c r="A31" s="27"/>
      <c r="B31" s="84" t="s">
        <v>651</v>
      </c>
      <c r="C31" s="84" t="s">
        <v>819</v>
      </c>
      <c r="D31" s="84" t="s">
        <v>652</v>
      </c>
      <c r="E31" s="131">
        <v>2</v>
      </c>
      <c r="F31" s="84" t="s">
        <v>757</v>
      </c>
      <c r="G31" s="84" t="s">
        <v>758</v>
      </c>
      <c r="H31" s="75" t="s">
        <v>759</v>
      </c>
      <c r="I31" s="76">
        <v>10</v>
      </c>
      <c r="J31" s="75" t="s">
        <v>760</v>
      </c>
      <c r="K31" s="76">
        <v>23</v>
      </c>
      <c r="L31" s="76">
        <v>6</v>
      </c>
      <c r="M31" s="84" t="s">
        <v>761</v>
      </c>
      <c r="N31" s="75"/>
      <c r="O31" s="76"/>
      <c r="P31" s="77"/>
      <c r="Q31" s="130" t="s">
        <v>752</v>
      </c>
      <c r="R31" s="133" t="s">
        <v>762</v>
      </c>
      <c r="S31" s="86" t="s">
        <v>828</v>
      </c>
      <c r="T31" s="86" t="s">
        <v>829</v>
      </c>
      <c r="U31" s="84" t="s">
        <v>861</v>
      </c>
      <c r="V31" s="86" t="s">
        <v>862</v>
      </c>
      <c r="W31" s="75"/>
      <c r="X31" s="84" t="s">
        <v>826</v>
      </c>
      <c r="Y31" s="84" t="s">
        <v>832</v>
      </c>
      <c r="Z31" s="84" t="s">
        <v>863</v>
      </c>
      <c r="AA31" s="131" t="s">
        <v>811</v>
      </c>
    </row>
    <row r="32" spans="1:27" s="33" customFormat="1" ht="99.75" hidden="1" customHeight="1">
      <c r="A32" s="27"/>
      <c r="B32" s="84" t="s">
        <v>651</v>
      </c>
      <c r="C32" s="84" t="s">
        <v>819</v>
      </c>
      <c r="D32" s="84" t="s">
        <v>652</v>
      </c>
      <c r="E32" s="131">
        <v>2</v>
      </c>
      <c r="F32" s="77" t="s">
        <v>797</v>
      </c>
      <c r="G32" s="77" t="s">
        <v>798</v>
      </c>
      <c r="H32" s="77" t="s">
        <v>799</v>
      </c>
      <c r="I32" s="76">
        <v>11</v>
      </c>
      <c r="J32" s="77" t="s">
        <v>693</v>
      </c>
      <c r="K32" s="76">
        <v>2</v>
      </c>
      <c r="L32" s="76"/>
      <c r="M32" s="86" t="s">
        <v>800</v>
      </c>
      <c r="N32" s="86"/>
      <c r="O32" s="76"/>
      <c r="P32" s="86" t="s">
        <v>801</v>
      </c>
      <c r="Q32" s="87"/>
      <c r="R32" s="77"/>
      <c r="S32" s="86" t="s">
        <v>828</v>
      </c>
      <c r="T32" s="86" t="s">
        <v>829</v>
      </c>
      <c r="U32" s="87" t="s">
        <v>818</v>
      </c>
      <c r="V32" s="86" t="s">
        <v>864</v>
      </c>
      <c r="W32" s="76"/>
      <c r="X32" s="84" t="s">
        <v>826</v>
      </c>
      <c r="Y32" s="87" t="s">
        <v>811</v>
      </c>
      <c r="Z32" s="87" t="s">
        <v>811</v>
      </c>
      <c r="AA32" s="201" t="s">
        <v>865</v>
      </c>
    </row>
    <row r="33" spans="1:27" s="33" customFormat="1" ht="99.75" hidden="1" customHeight="1">
      <c r="A33" s="27"/>
      <c r="B33" s="84" t="s">
        <v>651</v>
      </c>
      <c r="C33" s="84" t="s">
        <v>819</v>
      </c>
      <c r="D33" s="84" t="s">
        <v>652</v>
      </c>
      <c r="E33" s="131">
        <v>2</v>
      </c>
      <c r="F33" s="84" t="s">
        <v>805</v>
      </c>
      <c r="G33" s="84" t="s">
        <v>806</v>
      </c>
      <c r="H33" s="75" t="s">
        <v>807</v>
      </c>
      <c r="I33" s="76">
        <v>12</v>
      </c>
      <c r="J33" s="75" t="s">
        <v>693</v>
      </c>
      <c r="K33" s="76">
        <v>10</v>
      </c>
      <c r="L33" s="76"/>
      <c r="M33" s="84" t="s">
        <v>808</v>
      </c>
      <c r="N33" s="75"/>
      <c r="O33" s="76" t="s">
        <v>695</v>
      </c>
      <c r="P33" s="77"/>
      <c r="Q33" s="130"/>
      <c r="R33" s="133"/>
      <c r="S33" s="86" t="s">
        <v>828</v>
      </c>
      <c r="T33" s="86" t="s">
        <v>829</v>
      </c>
      <c r="U33" s="87" t="s">
        <v>866</v>
      </c>
      <c r="V33" s="86" t="s">
        <v>867</v>
      </c>
      <c r="W33" s="75"/>
      <c r="X33" s="87" t="s">
        <v>811</v>
      </c>
      <c r="Y33" s="87" t="s">
        <v>811</v>
      </c>
      <c r="Z33" s="87" t="s">
        <v>811</v>
      </c>
      <c r="AA33" s="131" t="s">
        <v>811</v>
      </c>
    </row>
    <row r="34" spans="1:27" s="33" customFormat="1" ht="99.75" hidden="1" customHeight="1">
      <c r="A34" s="27"/>
      <c r="B34" s="84" t="s">
        <v>651</v>
      </c>
      <c r="C34" s="84" t="s">
        <v>819</v>
      </c>
      <c r="D34" s="84" t="s">
        <v>652</v>
      </c>
      <c r="E34" s="131">
        <v>2</v>
      </c>
      <c r="F34" s="84" t="s">
        <v>812</v>
      </c>
      <c r="G34" s="84" t="s">
        <v>813</v>
      </c>
      <c r="H34" s="75" t="s">
        <v>814</v>
      </c>
      <c r="I34" s="76">
        <v>13</v>
      </c>
      <c r="J34" s="75" t="s">
        <v>815</v>
      </c>
      <c r="K34" s="76">
        <v>23</v>
      </c>
      <c r="L34" s="76"/>
      <c r="M34" s="84" t="s">
        <v>816</v>
      </c>
      <c r="N34" s="75"/>
      <c r="O34" s="76"/>
      <c r="P34" s="77"/>
      <c r="Q34" s="84"/>
      <c r="R34" s="84"/>
      <c r="S34" s="86" t="s">
        <v>828</v>
      </c>
      <c r="T34" s="86" t="s">
        <v>829</v>
      </c>
      <c r="U34" s="87" t="s">
        <v>818</v>
      </c>
      <c r="V34" s="86" t="s">
        <v>868</v>
      </c>
      <c r="W34" s="75"/>
      <c r="X34" s="87" t="s">
        <v>811</v>
      </c>
      <c r="Y34" s="87" t="s">
        <v>811</v>
      </c>
      <c r="Z34" s="87" t="s">
        <v>811</v>
      </c>
      <c r="AA34" s="131" t="s">
        <v>811</v>
      </c>
    </row>
    <row r="35" spans="1:27" s="33" customFormat="1" ht="387.75" customHeight="1">
      <c r="A35" s="27"/>
      <c r="B35" s="84" t="s">
        <v>869</v>
      </c>
      <c r="C35" s="159" t="s">
        <v>870</v>
      </c>
      <c r="D35" s="84" t="s">
        <v>871</v>
      </c>
      <c r="E35" s="131">
        <v>2</v>
      </c>
      <c r="F35" s="84" t="s">
        <v>690</v>
      </c>
      <c r="G35" s="84" t="s">
        <v>691</v>
      </c>
      <c r="H35" s="75" t="s">
        <v>872</v>
      </c>
      <c r="I35" s="76">
        <v>1</v>
      </c>
      <c r="J35" s="77" t="s">
        <v>693</v>
      </c>
      <c r="K35" s="76">
        <v>4</v>
      </c>
      <c r="L35" s="76"/>
      <c r="M35" s="84" t="s">
        <v>694</v>
      </c>
      <c r="N35" s="75"/>
      <c r="O35" s="76" t="s">
        <v>695</v>
      </c>
      <c r="P35" s="77"/>
      <c r="Q35" s="130" t="s">
        <v>873</v>
      </c>
      <c r="R35" s="133" t="s">
        <v>874</v>
      </c>
      <c r="S35" s="86" t="s">
        <v>875</v>
      </c>
      <c r="T35" s="86" t="s">
        <v>876</v>
      </c>
      <c r="U35" s="87" t="s">
        <v>877</v>
      </c>
      <c r="V35" s="233" t="s">
        <v>878</v>
      </c>
      <c r="W35" s="75"/>
      <c r="X35" s="87" t="s">
        <v>879</v>
      </c>
      <c r="Y35" s="84" t="s">
        <v>818</v>
      </c>
      <c r="Z35" s="84" t="s">
        <v>818</v>
      </c>
      <c r="AA35" s="131" t="s">
        <v>880</v>
      </c>
    </row>
    <row r="36" spans="1:27" s="33" customFormat="1" ht="315.75" customHeight="1">
      <c r="A36" s="27"/>
      <c r="B36" s="84" t="s">
        <v>869</v>
      </c>
      <c r="C36" s="159" t="s">
        <v>870</v>
      </c>
      <c r="D36" s="84" t="s">
        <v>871</v>
      </c>
      <c r="E36" s="131">
        <v>2</v>
      </c>
      <c r="F36" s="84" t="s">
        <v>705</v>
      </c>
      <c r="G36" s="84" t="s">
        <v>706</v>
      </c>
      <c r="H36" s="75" t="s">
        <v>872</v>
      </c>
      <c r="I36" s="76">
        <v>2</v>
      </c>
      <c r="J36" s="77" t="s">
        <v>693</v>
      </c>
      <c r="K36" s="76">
        <v>30</v>
      </c>
      <c r="L36" s="76"/>
      <c r="M36" s="84" t="s">
        <v>707</v>
      </c>
      <c r="N36" s="75"/>
      <c r="O36" s="76" t="s">
        <v>695</v>
      </c>
      <c r="P36" s="77"/>
      <c r="Q36" s="130" t="s">
        <v>873</v>
      </c>
      <c r="R36" s="133" t="s">
        <v>874</v>
      </c>
      <c r="S36" s="86" t="s">
        <v>881</v>
      </c>
      <c r="T36" s="86" t="s">
        <v>882</v>
      </c>
      <c r="U36" s="87" t="s">
        <v>883</v>
      </c>
      <c r="V36" s="233" t="s">
        <v>884</v>
      </c>
      <c r="W36" s="75"/>
      <c r="X36" s="87" t="s">
        <v>879</v>
      </c>
      <c r="Y36" s="84" t="s">
        <v>885</v>
      </c>
      <c r="Z36" s="84" t="s">
        <v>886</v>
      </c>
      <c r="AA36" s="131" t="s">
        <v>818</v>
      </c>
    </row>
    <row r="37" spans="1:27" s="33" customFormat="1" ht="255" customHeight="1">
      <c r="A37" s="27"/>
      <c r="B37" s="84" t="s">
        <v>869</v>
      </c>
      <c r="C37" s="159" t="s">
        <v>870</v>
      </c>
      <c r="D37" s="84" t="s">
        <v>871</v>
      </c>
      <c r="E37" s="131">
        <v>2</v>
      </c>
      <c r="F37" s="84" t="s">
        <v>715</v>
      </c>
      <c r="G37" s="84" t="s">
        <v>716</v>
      </c>
      <c r="H37" s="75" t="s">
        <v>759</v>
      </c>
      <c r="I37" s="76">
        <v>3</v>
      </c>
      <c r="J37" s="75" t="s">
        <v>718</v>
      </c>
      <c r="K37" s="76"/>
      <c r="L37" s="76"/>
      <c r="M37" s="84" t="s">
        <v>887</v>
      </c>
      <c r="N37" s="75"/>
      <c r="O37" s="76" t="s">
        <v>695</v>
      </c>
      <c r="P37" s="77"/>
      <c r="Q37" s="130" t="s">
        <v>888</v>
      </c>
      <c r="R37" s="133" t="s">
        <v>721</v>
      </c>
      <c r="S37" s="86" t="s">
        <v>881</v>
      </c>
      <c r="T37" s="86" t="s">
        <v>882</v>
      </c>
      <c r="U37" s="86" t="s">
        <v>889</v>
      </c>
      <c r="V37" s="233" t="s">
        <v>890</v>
      </c>
      <c r="W37" s="75"/>
      <c r="X37" s="87" t="s">
        <v>879</v>
      </c>
      <c r="Y37" s="86" t="s">
        <v>891</v>
      </c>
      <c r="Z37" s="84" t="s">
        <v>892</v>
      </c>
      <c r="AA37" s="131" t="s">
        <v>818</v>
      </c>
    </row>
    <row r="38" spans="1:27" s="33" customFormat="1" ht="281.25" customHeight="1">
      <c r="A38" s="27"/>
      <c r="B38" s="84" t="s">
        <v>869</v>
      </c>
      <c r="C38" s="159" t="s">
        <v>870</v>
      </c>
      <c r="D38" s="84" t="s">
        <v>871</v>
      </c>
      <c r="E38" s="131">
        <v>2</v>
      </c>
      <c r="F38" s="84" t="s">
        <v>728</v>
      </c>
      <c r="G38" s="84" t="s">
        <v>729</v>
      </c>
      <c r="H38" s="75" t="s">
        <v>893</v>
      </c>
      <c r="I38" s="76">
        <v>4</v>
      </c>
      <c r="J38" s="75" t="s">
        <v>718</v>
      </c>
      <c r="K38" s="76"/>
      <c r="L38" s="76"/>
      <c r="M38" s="84" t="s">
        <v>894</v>
      </c>
      <c r="N38" s="75"/>
      <c r="O38" s="76" t="s">
        <v>695</v>
      </c>
      <c r="P38" s="77"/>
      <c r="Q38" s="130" t="s">
        <v>888</v>
      </c>
      <c r="R38" s="133" t="s">
        <v>721</v>
      </c>
      <c r="S38" s="86" t="s">
        <v>881</v>
      </c>
      <c r="T38" s="86" t="s">
        <v>882</v>
      </c>
      <c r="U38" s="86" t="s">
        <v>895</v>
      </c>
      <c r="V38" s="233" t="s">
        <v>896</v>
      </c>
      <c r="W38" s="75"/>
      <c r="X38" s="87" t="s">
        <v>879</v>
      </c>
      <c r="Y38" s="86" t="s">
        <v>891</v>
      </c>
      <c r="Z38" s="84" t="s">
        <v>897</v>
      </c>
      <c r="AA38" s="131" t="s">
        <v>818</v>
      </c>
    </row>
    <row r="39" spans="1:27" s="33" customFormat="1" ht="408.75" customHeight="1">
      <c r="A39" s="27"/>
      <c r="B39" s="84" t="s">
        <v>869</v>
      </c>
      <c r="C39" s="159" t="s">
        <v>870</v>
      </c>
      <c r="D39" s="84" t="s">
        <v>871</v>
      </c>
      <c r="E39" s="131">
        <v>2</v>
      </c>
      <c r="F39" s="159" t="s">
        <v>736</v>
      </c>
      <c r="G39" s="159" t="s">
        <v>737</v>
      </c>
      <c r="H39" s="75" t="s">
        <v>779</v>
      </c>
      <c r="I39" s="76">
        <v>5</v>
      </c>
      <c r="J39" s="75" t="s">
        <v>693</v>
      </c>
      <c r="K39" s="76">
        <v>4</v>
      </c>
      <c r="L39" s="76"/>
      <c r="M39" s="159" t="s">
        <v>739</v>
      </c>
      <c r="N39" s="75"/>
      <c r="O39" s="76"/>
      <c r="P39" s="87" t="s">
        <v>898</v>
      </c>
      <c r="Q39" s="130" t="s">
        <v>842</v>
      </c>
      <c r="R39" s="133" t="s">
        <v>843</v>
      </c>
      <c r="S39" s="86" t="s">
        <v>899</v>
      </c>
      <c r="T39" s="86" t="s">
        <v>900</v>
      </c>
      <c r="U39" s="87" t="s">
        <v>901</v>
      </c>
      <c r="V39" s="233" t="s">
        <v>902</v>
      </c>
      <c r="W39" s="75"/>
      <c r="X39" s="87" t="s">
        <v>879</v>
      </c>
      <c r="Y39" s="86" t="s">
        <v>891</v>
      </c>
      <c r="Z39" s="84" t="s">
        <v>903</v>
      </c>
      <c r="AA39" s="131" t="s">
        <v>904</v>
      </c>
    </row>
    <row r="40" spans="1:27" s="33" customFormat="1" ht="342" customHeight="1">
      <c r="A40" s="27"/>
      <c r="B40" s="84" t="s">
        <v>869</v>
      </c>
      <c r="C40" s="159" t="s">
        <v>870</v>
      </c>
      <c r="D40" s="84" t="s">
        <v>871</v>
      </c>
      <c r="E40" s="76">
        <v>2</v>
      </c>
      <c r="F40" s="194" t="s">
        <v>905</v>
      </c>
      <c r="G40" s="194" t="s">
        <v>906</v>
      </c>
      <c r="H40" s="75" t="s">
        <v>907</v>
      </c>
      <c r="I40" s="76">
        <v>6</v>
      </c>
      <c r="J40" s="75" t="s">
        <v>693</v>
      </c>
      <c r="K40" s="76">
        <v>4</v>
      </c>
      <c r="L40" s="76"/>
      <c r="M40" s="84" t="s">
        <v>908</v>
      </c>
      <c r="N40" s="75"/>
      <c r="O40" s="211"/>
      <c r="P40" s="77"/>
      <c r="Q40" s="193"/>
      <c r="R40" s="193"/>
      <c r="S40" s="86" t="s">
        <v>881</v>
      </c>
      <c r="T40" s="86" t="s">
        <v>882</v>
      </c>
      <c r="U40" s="86" t="s">
        <v>909</v>
      </c>
      <c r="V40" s="233" t="s">
        <v>910</v>
      </c>
      <c r="W40" s="75"/>
      <c r="X40" s="87" t="s">
        <v>879</v>
      </c>
      <c r="Y40" s="86" t="s">
        <v>891</v>
      </c>
      <c r="Z40" s="161" t="s">
        <v>911</v>
      </c>
      <c r="AA40" s="131" t="s">
        <v>912</v>
      </c>
    </row>
    <row r="41" spans="1:27" s="33" customFormat="1" ht="295.5" customHeight="1">
      <c r="A41" s="27"/>
      <c r="B41" s="84" t="s">
        <v>869</v>
      </c>
      <c r="C41" s="159" t="s">
        <v>870</v>
      </c>
      <c r="D41" s="84" t="s">
        <v>871</v>
      </c>
      <c r="E41" s="76">
        <v>2</v>
      </c>
      <c r="F41" s="194" t="s">
        <v>913</v>
      </c>
      <c r="G41" s="194" t="s">
        <v>914</v>
      </c>
      <c r="H41" s="75" t="s">
        <v>907</v>
      </c>
      <c r="I41" s="76">
        <v>7</v>
      </c>
      <c r="J41" s="75" t="s">
        <v>693</v>
      </c>
      <c r="K41" s="76">
        <v>4</v>
      </c>
      <c r="L41" s="76"/>
      <c r="M41" s="84" t="s">
        <v>915</v>
      </c>
      <c r="N41" s="75"/>
      <c r="O41" s="211"/>
      <c r="P41" s="77"/>
      <c r="Q41" s="193"/>
      <c r="R41" s="193"/>
      <c r="S41" s="86" t="s">
        <v>881</v>
      </c>
      <c r="T41" s="86" t="s">
        <v>882</v>
      </c>
      <c r="U41" s="86" t="s">
        <v>916</v>
      </c>
      <c r="V41" s="233" t="s">
        <v>917</v>
      </c>
      <c r="W41" s="75"/>
      <c r="X41" s="87" t="s">
        <v>879</v>
      </c>
      <c r="Y41" s="86" t="s">
        <v>891</v>
      </c>
      <c r="Z41" s="194" t="s">
        <v>918</v>
      </c>
      <c r="AA41" s="131" t="s">
        <v>912</v>
      </c>
    </row>
    <row r="42" spans="1:27" s="33" customFormat="1" ht="290.25" customHeight="1">
      <c r="A42" s="27"/>
      <c r="B42" s="84" t="s">
        <v>869</v>
      </c>
      <c r="C42" s="159" t="s">
        <v>870</v>
      </c>
      <c r="D42" s="84" t="s">
        <v>871</v>
      </c>
      <c r="E42" s="76">
        <v>2</v>
      </c>
      <c r="F42" s="194" t="s">
        <v>919</v>
      </c>
      <c r="G42" s="194" t="s">
        <v>920</v>
      </c>
      <c r="H42" s="75" t="s">
        <v>907</v>
      </c>
      <c r="I42" s="76">
        <v>8</v>
      </c>
      <c r="J42" s="75" t="s">
        <v>693</v>
      </c>
      <c r="K42" s="76">
        <v>4</v>
      </c>
      <c r="L42" s="76"/>
      <c r="M42" s="84" t="s">
        <v>921</v>
      </c>
      <c r="N42" s="75"/>
      <c r="O42" s="76"/>
      <c r="P42" s="77"/>
      <c r="Q42" s="193"/>
      <c r="R42" s="193"/>
      <c r="S42" s="86" t="s">
        <v>881</v>
      </c>
      <c r="T42" s="86" t="s">
        <v>882</v>
      </c>
      <c r="U42" s="86" t="s">
        <v>922</v>
      </c>
      <c r="V42" s="233" t="s">
        <v>923</v>
      </c>
      <c r="W42" s="75"/>
      <c r="X42" s="87" t="s">
        <v>879</v>
      </c>
      <c r="Y42" s="86" t="s">
        <v>891</v>
      </c>
      <c r="Z42" s="194" t="s">
        <v>924</v>
      </c>
      <c r="AA42" s="131" t="s">
        <v>925</v>
      </c>
    </row>
    <row r="43" spans="1:27" s="33" customFormat="1" ht="396.75" customHeight="1">
      <c r="A43" s="27"/>
      <c r="B43" s="84" t="s">
        <v>869</v>
      </c>
      <c r="C43" s="159" t="s">
        <v>870</v>
      </c>
      <c r="D43" s="84" t="s">
        <v>871</v>
      </c>
      <c r="E43" s="131">
        <v>2</v>
      </c>
      <c r="F43" s="84" t="s">
        <v>926</v>
      </c>
      <c r="G43" s="84" t="s">
        <v>927</v>
      </c>
      <c r="H43" s="75" t="s">
        <v>768</v>
      </c>
      <c r="I43" s="76">
        <v>9</v>
      </c>
      <c r="J43" s="75" t="s">
        <v>693</v>
      </c>
      <c r="K43" s="76">
        <v>4</v>
      </c>
      <c r="L43" s="76"/>
      <c r="M43" s="84" t="s">
        <v>928</v>
      </c>
      <c r="N43" s="75"/>
      <c r="O43" s="76"/>
      <c r="P43" s="77"/>
      <c r="Q43" s="130" t="s">
        <v>752</v>
      </c>
      <c r="R43" s="133" t="s">
        <v>929</v>
      </c>
      <c r="S43" s="86" t="s">
        <v>881</v>
      </c>
      <c r="T43" s="86" t="s">
        <v>882</v>
      </c>
      <c r="U43" s="86" t="s">
        <v>930</v>
      </c>
      <c r="V43" s="233" t="s">
        <v>931</v>
      </c>
      <c r="W43" s="75"/>
      <c r="X43" s="87" t="s">
        <v>879</v>
      </c>
      <c r="Y43" s="86" t="s">
        <v>932</v>
      </c>
      <c r="Z43" s="84" t="s">
        <v>933</v>
      </c>
      <c r="AA43" s="131" t="s">
        <v>934</v>
      </c>
    </row>
    <row r="44" spans="1:27" s="33" customFormat="1" ht="270.75" customHeight="1">
      <c r="A44" s="27"/>
      <c r="B44" s="84" t="s">
        <v>869</v>
      </c>
      <c r="C44" s="159" t="s">
        <v>870</v>
      </c>
      <c r="D44" s="84" t="s">
        <v>871</v>
      </c>
      <c r="E44" s="131">
        <v>2</v>
      </c>
      <c r="F44" s="194" t="s">
        <v>766</v>
      </c>
      <c r="G44" s="194" t="s">
        <v>767</v>
      </c>
      <c r="H44" s="75" t="s">
        <v>768</v>
      </c>
      <c r="I44" s="76">
        <v>10</v>
      </c>
      <c r="J44" s="75" t="s">
        <v>693</v>
      </c>
      <c r="K44" s="76">
        <v>4</v>
      </c>
      <c r="L44" s="76"/>
      <c r="M44" s="159" t="s">
        <v>769</v>
      </c>
      <c r="N44" s="75"/>
      <c r="O44" s="76"/>
      <c r="P44" s="77"/>
      <c r="Q44" s="193"/>
      <c r="R44" s="193"/>
      <c r="S44" s="86" t="s">
        <v>899</v>
      </c>
      <c r="T44" s="86" t="s">
        <v>935</v>
      </c>
      <c r="U44" s="87" t="s">
        <v>936</v>
      </c>
      <c r="V44" s="233" t="s">
        <v>937</v>
      </c>
      <c r="W44" s="75"/>
      <c r="X44" s="87" t="s">
        <v>879</v>
      </c>
      <c r="Y44" s="86" t="s">
        <v>938</v>
      </c>
      <c r="Z44" s="194" t="s">
        <v>939</v>
      </c>
      <c r="AA44" s="195" t="s">
        <v>940</v>
      </c>
    </row>
    <row r="45" spans="1:27" s="33" customFormat="1" ht="394.5" customHeight="1">
      <c r="A45" s="27"/>
      <c r="B45" s="84" t="s">
        <v>869</v>
      </c>
      <c r="C45" s="159" t="s">
        <v>870</v>
      </c>
      <c r="D45" s="84" t="s">
        <v>871</v>
      </c>
      <c r="E45" s="131">
        <v>2</v>
      </c>
      <c r="F45" s="84" t="s">
        <v>941</v>
      </c>
      <c r="G45" s="84" t="s">
        <v>942</v>
      </c>
      <c r="H45" s="75" t="s">
        <v>943</v>
      </c>
      <c r="I45" s="76">
        <v>11</v>
      </c>
      <c r="J45" s="75" t="s">
        <v>693</v>
      </c>
      <c r="K45" s="76">
        <v>16</v>
      </c>
      <c r="L45" s="76"/>
      <c r="M45" s="84" t="s">
        <v>944</v>
      </c>
      <c r="N45" s="75"/>
      <c r="O45" s="76"/>
      <c r="P45" s="77"/>
      <c r="Q45" s="130" t="s">
        <v>945</v>
      </c>
      <c r="R45" s="133" t="s">
        <v>941</v>
      </c>
      <c r="S45" s="86" t="s">
        <v>881</v>
      </c>
      <c r="T45" s="86" t="s">
        <v>882</v>
      </c>
      <c r="U45" s="86" t="s">
        <v>946</v>
      </c>
      <c r="V45" s="233" t="s">
        <v>947</v>
      </c>
      <c r="W45" s="75"/>
      <c r="X45" s="87" t="s">
        <v>879</v>
      </c>
      <c r="Y45" s="86" t="s">
        <v>932</v>
      </c>
      <c r="Z45" s="84" t="s">
        <v>948</v>
      </c>
      <c r="AA45" s="131" t="s">
        <v>949</v>
      </c>
    </row>
    <row r="46" spans="1:27" s="33" customFormat="1" ht="252" customHeight="1">
      <c r="A46" s="27"/>
      <c r="B46" s="130" t="s">
        <v>869</v>
      </c>
      <c r="C46" s="159" t="s">
        <v>870</v>
      </c>
      <c r="D46" s="84" t="s">
        <v>871</v>
      </c>
      <c r="E46" s="131">
        <v>2</v>
      </c>
      <c r="F46" s="84" t="s">
        <v>950</v>
      </c>
      <c r="G46" s="84" t="s">
        <v>951</v>
      </c>
      <c r="H46" s="75" t="s">
        <v>952</v>
      </c>
      <c r="I46" s="76">
        <v>12</v>
      </c>
      <c r="J46" s="75" t="s">
        <v>693</v>
      </c>
      <c r="K46" s="76"/>
      <c r="L46" s="76"/>
      <c r="M46" s="86" t="s">
        <v>953</v>
      </c>
      <c r="N46" s="75"/>
      <c r="O46" s="76"/>
      <c r="P46" s="77"/>
      <c r="Q46" s="130"/>
      <c r="R46" s="133"/>
      <c r="S46" s="86" t="s">
        <v>954</v>
      </c>
      <c r="T46" s="86" t="s">
        <v>955</v>
      </c>
      <c r="U46" s="86" t="s">
        <v>956</v>
      </c>
      <c r="V46" s="233" t="s">
        <v>957</v>
      </c>
      <c r="W46" s="75"/>
      <c r="X46" s="87" t="s">
        <v>879</v>
      </c>
      <c r="Y46" s="86" t="s">
        <v>932</v>
      </c>
      <c r="Z46" s="86" t="s">
        <v>958</v>
      </c>
      <c r="AA46" s="131" t="s">
        <v>934</v>
      </c>
    </row>
    <row r="47" spans="1:27" s="33" customFormat="1" ht="285" customHeight="1">
      <c r="A47" s="27"/>
      <c r="B47" s="84" t="s">
        <v>869</v>
      </c>
      <c r="C47" s="159" t="s">
        <v>870</v>
      </c>
      <c r="D47" s="84" t="s">
        <v>871</v>
      </c>
      <c r="E47" s="131">
        <v>2</v>
      </c>
      <c r="F47" s="84" t="s">
        <v>959</v>
      </c>
      <c r="G47" s="84" t="s">
        <v>960</v>
      </c>
      <c r="H47" s="75" t="s">
        <v>768</v>
      </c>
      <c r="I47" s="76">
        <v>13</v>
      </c>
      <c r="J47" s="75" t="s">
        <v>693</v>
      </c>
      <c r="K47" s="76">
        <v>4</v>
      </c>
      <c r="L47" s="76"/>
      <c r="M47" s="84" t="s">
        <v>961</v>
      </c>
      <c r="N47" s="75"/>
      <c r="O47" s="76"/>
      <c r="P47" s="77"/>
      <c r="Q47" s="84" t="s">
        <v>752</v>
      </c>
      <c r="R47" s="84" t="s">
        <v>962</v>
      </c>
      <c r="S47" s="86" t="s">
        <v>881</v>
      </c>
      <c r="T47" s="86" t="s">
        <v>882</v>
      </c>
      <c r="U47" s="86" t="s">
        <v>963</v>
      </c>
      <c r="V47" s="233" t="s">
        <v>964</v>
      </c>
      <c r="W47" s="75"/>
      <c r="X47" s="87" t="s">
        <v>879</v>
      </c>
      <c r="Y47" s="86" t="s">
        <v>932</v>
      </c>
      <c r="Z47" s="84" t="s">
        <v>965</v>
      </c>
      <c r="AA47" s="131" t="s">
        <v>966</v>
      </c>
    </row>
    <row r="48" spans="1:27" s="33" customFormat="1" ht="282.75" customHeight="1">
      <c r="A48" s="27"/>
      <c r="B48" s="84" t="s">
        <v>869</v>
      </c>
      <c r="C48" s="159" t="s">
        <v>870</v>
      </c>
      <c r="D48" s="84" t="s">
        <v>871</v>
      </c>
      <c r="E48" s="131">
        <v>2</v>
      </c>
      <c r="F48" s="84" t="s">
        <v>967</v>
      </c>
      <c r="G48" s="84" t="s">
        <v>968</v>
      </c>
      <c r="H48" s="75" t="s">
        <v>969</v>
      </c>
      <c r="I48" s="76">
        <v>14</v>
      </c>
      <c r="J48" s="75" t="s">
        <v>693</v>
      </c>
      <c r="K48" s="76">
        <v>4</v>
      </c>
      <c r="L48" s="76"/>
      <c r="M48" s="84" t="s">
        <v>970</v>
      </c>
      <c r="N48" s="75"/>
      <c r="O48" s="76"/>
      <c r="P48" s="77"/>
      <c r="Q48" s="130" t="s">
        <v>945</v>
      </c>
      <c r="R48" s="133" t="s">
        <v>971</v>
      </c>
      <c r="S48" s="86" t="s">
        <v>881</v>
      </c>
      <c r="T48" s="86" t="s">
        <v>972</v>
      </c>
      <c r="U48" s="86" t="s">
        <v>973</v>
      </c>
      <c r="V48" s="233" t="s">
        <v>974</v>
      </c>
      <c r="W48" s="75"/>
      <c r="X48" s="87" t="s">
        <v>879</v>
      </c>
      <c r="Y48" s="86" t="s">
        <v>975</v>
      </c>
      <c r="Z48" s="84" t="s">
        <v>976</v>
      </c>
      <c r="AA48" s="131" t="s">
        <v>949</v>
      </c>
    </row>
    <row r="49" spans="1:27" s="33" customFormat="1" ht="401.25" customHeight="1">
      <c r="A49" s="27"/>
      <c r="B49" s="84" t="s">
        <v>869</v>
      </c>
      <c r="C49" s="159" t="s">
        <v>870</v>
      </c>
      <c r="D49" s="84" t="s">
        <v>871</v>
      </c>
      <c r="E49" s="131">
        <v>2</v>
      </c>
      <c r="F49" s="84" t="s">
        <v>977</v>
      </c>
      <c r="G49" s="84" t="s">
        <v>978</v>
      </c>
      <c r="H49" s="75" t="s">
        <v>979</v>
      </c>
      <c r="I49" s="76">
        <v>15</v>
      </c>
      <c r="J49" s="75" t="s">
        <v>693</v>
      </c>
      <c r="K49" s="76">
        <v>4</v>
      </c>
      <c r="L49" s="76"/>
      <c r="M49" s="84" t="s">
        <v>980</v>
      </c>
      <c r="N49" s="75"/>
      <c r="O49" s="76"/>
      <c r="P49" s="87" t="s">
        <v>981</v>
      </c>
      <c r="Q49" s="130" t="s">
        <v>945</v>
      </c>
      <c r="R49" s="133" t="s">
        <v>982</v>
      </c>
      <c r="S49" s="86" t="s">
        <v>881</v>
      </c>
      <c r="T49" s="86" t="s">
        <v>972</v>
      </c>
      <c r="U49" s="86" t="s">
        <v>973</v>
      </c>
      <c r="V49" s="233" t="s">
        <v>983</v>
      </c>
      <c r="W49" s="75"/>
      <c r="X49" s="87" t="s">
        <v>879</v>
      </c>
      <c r="Y49" s="86" t="s">
        <v>975</v>
      </c>
      <c r="Z49" s="84" t="s">
        <v>976</v>
      </c>
      <c r="AA49" s="131" t="s">
        <v>949</v>
      </c>
    </row>
    <row r="50" spans="1:27" s="33" customFormat="1" ht="408.75" customHeight="1">
      <c r="A50" s="27"/>
      <c r="B50" s="84" t="s">
        <v>869</v>
      </c>
      <c r="C50" s="159" t="s">
        <v>870</v>
      </c>
      <c r="D50" s="84" t="s">
        <v>871</v>
      </c>
      <c r="E50" s="131">
        <v>2</v>
      </c>
      <c r="F50" s="158" t="s">
        <v>984</v>
      </c>
      <c r="G50" s="158" t="s">
        <v>985</v>
      </c>
      <c r="H50" s="75" t="s">
        <v>779</v>
      </c>
      <c r="I50" s="76">
        <v>16</v>
      </c>
      <c r="J50" s="75" t="s">
        <v>693</v>
      </c>
      <c r="K50" s="76">
        <v>4</v>
      </c>
      <c r="L50" s="76"/>
      <c r="M50" s="84" t="s">
        <v>986</v>
      </c>
      <c r="N50" s="75"/>
      <c r="O50" s="76"/>
      <c r="P50" s="87" t="s">
        <v>987</v>
      </c>
      <c r="Q50" s="130" t="s">
        <v>752</v>
      </c>
      <c r="R50" s="200" t="s">
        <v>988</v>
      </c>
      <c r="S50" s="86" t="s">
        <v>881</v>
      </c>
      <c r="T50" s="86" t="s">
        <v>882</v>
      </c>
      <c r="U50" s="86" t="s">
        <v>989</v>
      </c>
      <c r="V50" s="233" t="s">
        <v>990</v>
      </c>
      <c r="W50" s="75"/>
      <c r="X50" s="87" t="s">
        <v>879</v>
      </c>
      <c r="Y50" s="86" t="s">
        <v>932</v>
      </c>
      <c r="Z50" s="84" t="s">
        <v>991</v>
      </c>
      <c r="AA50" s="131" t="s">
        <v>949</v>
      </c>
    </row>
    <row r="51" spans="1:27" s="33" customFormat="1" ht="319.5" customHeight="1">
      <c r="A51" s="27"/>
      <c r="B51" s="84" t="s">
        <v>869</v>
      </c>
      <c r="C51" s="159" t="s">
        <v>870</v>
      </c>
      <c r="D51" s="84" t="s">
        <v>871</v>
      </c>
      <c r="E51" s="131">
        <v>2</v>
      </c>
      <c r="F51" s="159" t="s">
        <v>777</v>
      </c>
      <c r="G51" s="159" t="s">
        <v>778</v>
      </c>
      <c r="H51" s="75" t="s">
        <v>779</v>
      </c>
      <c r="I51" s="76">
        <v>17</v>
      </c>
      <c r="J51" s="75" t="s">
        <v>693</v>
      </c>
      <c r="K51" s="76">
        <v>4</v>
      </c>
      <c r="L51" s="76"/>
      <c r="M51" s="84" t="s">
        <v>780</v>
      </c>
      <c r="N51" s="75"/>
      <c r="O51" s="76"/>
      <c r="P51" s="87" t="s">
        <v>992</v>
      </c>
      <c r="Q51" s="130" t="s">
        <v>752</v>
      </c>
      <c r="R51" s="133" t="s">
        <v>782</v>
      </c>
      <c r="S51" s="86" t="s">
        <v>881</v>
      </c>
      <c r="T51" s="86" t="s">
        <v>882</v>
      </c>
      <c r="U51" s="86" t="s">
        <v>993</v>
      </c>
      <c r="V51" s="233" t="s">
        <v>994</v>
      </c>
      <c r="W51" s="75"/>
      <c r="X51" s="87" t="s">
        <v>879</v>
      </c>
      <c r="Y51" s="86" t="s">
        <v>891</v>
      </c>
      <c r="Z51" s="84" t="s">
        <v>995</v>
      </c>
      <c r="AA51" s="131" t="s">
        <v>818</v>
      </c>
    </row>
    <row r="52" spans="1:27" s="33" customFormat="1" ht="333.75" customHeight="1">
      <c r="A52" s="27"/>
      <c r="B52" s="84" t="s">
        <v>869</v>
      </c>
      <c r="C52" s="159" t="s">
        <v>870</v>
      </c>
      <c r="D52" s="84" t="s">
        <v>871</v>
      </c>
      <c r="E52" s="131">
        <v>2</v>
      </c>
      <c r="F52" s="84" t="s">
        <v>790</v>
      </c>
      <c r="G52" s="84" t="s">
        <v>791</v>
      </c>
      <c r="H52" s="75" t="s">
        <v>750</v>
      </c>
      <c r="I52" s="76">
        <v>18</v>
      </c>
      <c r="J52" s="75" t="s">
        <v>693</v>
      </c>
      <c r="K52" s="76">
        <v>10</v>
      </c>
      <c r="L52" s="76"/>
      <c r="M52" s="84" t="s">
        <v>792</v>
      </c>
      <c r="N52" s="75"/>
      <c r="O52" s="76"/>
      <c r="P52" s="77"/>
      <c r="Q52" s="130" t="s">
        <v>752</v>
      </c>
      <c r="R52" s="133" t="s">
        <v>793</v>
      </c>
      <c r="S52" s="86" t="s">
        <v>881</v>
      </c>
      <c r="T52" s="86" t="s">
        <v>882</v>
      </c>
      <c r="U52" s="86" t="s">
        <v>996</v>
      </c>
      <c r="V52" s="233" t="s">
        <v>997</v>
      </c>
      <c r="W52" s="75"/>
      <c r="X52" s="87" t="s">
        <v>879</v>
      </c>
      <c r="Y52" s="86" t="s">
        <v>891</v>
      </c>
      <c r="Z52" s="84" t="s">
        <v>998</v>
      </c>
      <c r="AA52" s="131" t="s">
        <v>818</v>
      </c>
    </row>
    <row r="53" spans="1:27" s="33" customFormat="1" ht="309.75" customHeight="1">
      <c r="A53" s="27"/>
      <c r="B53" s="84" t="s">
        <v>869</v>
      </c>
      <c r="C53" s="159" t="s">
        <v>870</v>
      </c>
      <c r="D53" s="84" t="s">
        <v>871</v>
      </c>
      <c r="E53" s="131">
        <v>2</v>
      </c>
      <c r="F53" s="84" t="s">
        <v>748</v>
      </c>
      <c r="G53" s="84" t="s">
        <v>749</v>
      </c>
      <c r="H53" s="75" t="s">
        <v>750</v>
      </c>
      <c r="I53" s="76">
        <v>19</v>
      </c>
      <c r="J53" s="75" t="s">
        <v>693</v>
      </c>
      <c r="K53" s="76">
        <v>10</v>
      </c>
      <c r="L53" s="76"/>
      <c r="M53" s="84" t="s">
        <v>751</v>
      </c>
      <c r="N53" s="75"/>
      <c r="O53" s="76"/>
      <c r="P53" s="77"/>
      <c r="Q53" s="130" t="s">
        <v>752</v>
      </c>
      <c r="R53" s="133" t="s">
        <v>753</v>
      </c>
      <c r="S53" s="86" t="s">
        <v>881</v>
      </c>
      <c r="T53" s="86" t="s">
        <v>882</v>
      </c>
      <c r="U53" s="86" t="s">
        <v>999</v>
      </c>
      <c r="V53" s="233" t="s">
        <v>1000</v>
      </c>
      <c r="W53" s="75"/>
      <c r="X53" s="87" t="s">
        <v>879</v>
      </c>
      <c r="Y53" s="86" t="s">
        <v>891</v>
      </c>
      <c r="Z53" s="84" t="s">
        <v>1001</v>
      </c>
      <c r="AA53" s="131" t="s">
        <v>818</v>
      </c>
    </row>
    <row r="54" spans="1:27" s="33" customFormat="1" ht="277.5" customHeight="1">
      <c r="A54" s="27"/>
      <c r="B54" s="84" t="s">
        <v>869</v>
      </c>
      <c r="C54" s="159" t="s">
        <v>870</v>
      </c>
      <c r="D54" s="84" t="s">
        <v>871</v>
      </c>
      <c r="E54" s="131">
        <v>2</v>
      </c>
      <c r="F54" s="158" t="s">
        <v>1002</v>
      </c>
      <c r="G54" s="158" t="s">
        <v>1003</v>
      </c>
      <c r="H54" s="75" t="s">
        <v>759</v>
      </c>
      <c r="I54" s="76">
        <v>20</v>
      </c>
      <c r="J54" s="75" t="s">
        <v>693</v>
      </c>
      <c r="K54" s="76"/>
      <c r="L54" s="76"/>
      <c r="M54" s="84" t="s">
        <v>1004</v>
      </c>
      <c r="N54" s="75"/>
      <c r="O54" s="76"/>
      <c r="P54" s="77"/>
      <c r="Q54" s="130" t="s">
        <v>752</v>
      </c>
      <c r="R54" s="200" t="s">
        <v>1005</v>
      </c>
      <c r="S54" s="86" t="s">
        <v>954</v>
      </c>
      <c r="T54" s="86" t="s">
        <v>1006</v>
      </c>
      <c r="U54" s="86" t="s">
        <v>1007</v>
      </c>
      <c r="V54" s="233" t="s">
        <v>1008</v>
      </c>
      <c r="W54" s="75"/>
      <c r="X54" s="87" t="s">
        <v>879</v>
      </c>
      <c r="Y54" s="86" t="s">
        <v>1009</v>
      </c>
      <c r="Z54" s="84" t="s">
        <v>1010</v>
      </c>
      <c r="AA54" s="131" t="s">
        <v>1011</v>
      </c>
    </row>
    <row r="55" spans="1:27" s="33" customFormat="1" ht="240" customHeight="1">
      <c r="A55" s="27"/>
      <c r="B55" s="84" t="s">
        <v>869</v>
      </c>
      <c r="C55" s="159" t="s">
        <v>870</v>
      </c>
      <c r="D55" s="84" t="s">
        <v>871</v>
      </c>
      <c r="E55" s="131">
        <v>2</v>
      </c>
      <c r="F55" s="84" t="s">
        <v>757</v>
      </c>
      <c r="G55" s="84" t="s">
        <v>758</v>
      </c>
      <c r="H55" s="75" t="s">
        <v>759</v>
      </c>
      <c r="I55" s="76">
        <v>21</v>
      </c>
      <c r="J55" s="75" t="s">
        <v>760</v>
      </c>
      <c r="K55" s="76">
        <v>23</v>
      </c>
      <c r="L55" s="76">
        <v>6</v>
      </c>
      <c r="M55" s="84" t="s">
        <v>761</v>
      </c>
      <c r="N55" s="75"/>
      <c r="O55" s="76"/>
      <c r="P55" s="77"/>
      <c r="Q55" s="130" t="s">
        <v>752</v>
      </c>
      <c r="R55" s="133" t="s">
        <v>762</v>
      </c>
      <c r="S55" s="86" t="s">
        <v>954</v>
      </c>
      <c r="T55" s="86" t="s">
        <v>1006</v>
      </c>
      <c r="U55" s="86" t="s">
        <v>1012</v>
      </c>
      <c r="V55" s="233" t="s">
        <v>1013</v>
      </c>
      <c r="W55" s="75"/>
      <c r="X55" s="87" t="s">
        <v>879</v>
      </c>
      <c r="Y55" s="86" t="s">
        <v>1014</v>
      </c>
      <c r="Z55" s="84" t="s">
        <v>1015</v>
      </c>
      <c r="AA55" s="131" t="s">
        <v>818</v>
      </c>
    </row>
    <row r="56" spans="1:27" s="33" customFormat="1" ht="250.5" customHeight="1">
      <c r="A56" s="27"/>
      <c r="B56" s="84" t="s">
        <v>869</v>
      </c>
      <c r="C56" s="159" t="s">
        <v>870</v>
      </c>
      <c r="D56" s="84" t="s">
        <v>871</v>
      </c>
      <c r="E56" s="131">
        <v>2</v>
      </c>
      <c r="F56" s="158" t="s">
        <v>1016</v>
      </c>
      <c r="G56" s="158" t="s">
        <v>1017</v>
      </c>
      <c r="H56" s="75" t="s">
        <v>1018</v>
      </c>
      <c r="I56" s="76">
        <v>22</v>
      </c>
      <c r="J56" s="75" t="s">
        <v>693</v>
      </c>
      <c r="K56" s="76">
        <v>4</v>
      </c>
      <c r="L56" s="76"/>
      <c r="M56" s="84" t="s">
        <v>1019</v>
      </c>
      <c r="N56" s="75"/>
      <c r="O56" s="76"/>
      <c r="P56" s="87" t="s">
        <v>1020</v>
      </c>
      <c r="Q56" s="75" t="s">
        <v>945</v>
      </c>
      <c r="R56" s="75" t="s">
        <v>1021</v>
      </c>
      <c r="S56" s="86" t="s">
        <v>881</v>
      </c>
      <c r="T56" s="86" t="s">
        <v>882</v>
      </c>
      <c r="U56" s="86" t="s">
        <v>1022</v>
      </c>
      <c r="V56" s="233" t="s">
        <v>1023</v>
      </c>
      <c r="W56" s="75"/>
      <c r="X56" s="87" t="s">
        <v>879</v>
      </c>
      <c r="Y56" s="86" t="s">
        <v>1024</v>
      </c>
      <c r="Z56" s="86" t="s">
        <v>1025</v>
      </c>
      <c r="AA56" s="131" t="s">
        <v>1026</v>
      </c>
    </row>
    <row r="57" spans="1:27" s="33" customFormat="1" ht="290.25" customHeight="1">
      <c r="A57" s="27"/>
      <c r="B57" s="84" t="s">
        <v>869</v>
      </c>
      <c r="C57" s="159" t="s">
        <v>870</v>
      </c>
      <c r="D57" s="84" t="s">
        <v>871</v>
      </c>
      <c r="E57" s="131">
        <v>2</v>
      </c>
      <c r="F57" s="158" t="s">
        <v>1027</v>
      </c>
      <c r="G57" s="158" t="s">
        <v>1028</v>
      </c>
      <c r="H57" s="75" t="s">
        <v>1029</v>
      </c>
      <c r="I57" s="76">
        <v>23</v>
      </c>
      <c r="J57" s="75" t="s">
        <v>693</v>
      </c>
      <c r="K57" s="76"/>
      <c r="L57" s="76"/>
      <c r="M57" s="84" t="s">
        <v>1030</v>
      </c>
      <c r="N57" s="75"/>
      <c r="O57" s="76"/>
      <c r="P57" s="77"/>
      <c r="Q57" s="86" t="s">
        <v>888</v>
      </c>
      <c r="R57" s="86" t="s">
        <v>1031</v>
      </c>
      <c r="S57" s="86" t="s">
        <v>881</v>
      </c>
      <c r="T57" s="86" t="s">
        <v>882</v>
      </c>
      <c r="U57" s="86" t="s">
        <v>1032</v>
      </c>
      <c r="V57" s="233" t="s">
        <v>1033</v>
      </c>
      <c r="W57" s="75"/>
      <c r="X57" s="87" t="s">
        <v>879</v>
      </c>
      <c r="Y57" s="86" t="s">
        <v>1034</v>
      </c>
      <c r="Z57" s="86" t="s">
        <v>1035</v>
      </c>
      <c r="AA57" s="131" t="s">
        <v>1036</v>
      </c>
    </row>
    <row r="58" spans="1:27" s="33" customFormat="1" ht="378" customHeight="1">
      <c r="A58" s="27"/>
      <c r="B58" s="84" t="s">
        <v>869</v>
      </c>
      <c r="C58" s="159" t="s">
        <v>870</v>
      </c>
      <c r="D58" s="84" t="s">
        <v>871</v>
      </c>
      <c r="E58" s="131">
        <v>2</v>
      </c>
      <c r="F58" s="84" t="s">
        <v>1037</v>
      </c>
      <c r="G58" s="84" t="s">
        <v>1038</v>
      </c>
      <c r="H58" s="75" t="s">
        <v>1018</v>
      </c>
      <c r="I58" s="76">
        <v>24</v>
      </c>
      <c r="J58" s="75" t="s">
        <v>693</v>
      </c>
      <c r="K58" s="76">
        <v>10</v>
      </c>
      <c r="L58" s="76"/>
      <c r="M58" s="84" t="s">
        <v>1039</v>
      </c>
      <c r="N58" s="75"/>
      <c r="O58" s="76"/>
      <c r="P58" s="87" t="s">
        <v>1040</v>
      </c>
      <c r="Q58" s="130" t="s">
        <v>945</v>
      </c>
      <c r="R58" s="133" t="s">
        <v>1037</v>
      </c>
      <c r="S58" s="86" t="s">
        <v>881</v>
      </c>
      <c r="T58" s="86" t="s">
        <v>882</v>
      </c>
      <c r="U58" s="86" t="s">
        <v>1041</v>
      </c>
      <c r="V58" s="233" t="s">
        <v>1042</v>
      </c>
      <c r="W58" s="75"/>
      <c r="X58" s="87" t="s">
        <v>879</v>
      </c>
      <c r="Y58" s="86" t="s">
        <v>1024</v>
      </c>
      <c r="Z58" s="84" t="s">
        <v>1043</v>
      </c>
      <c r="AA58" s="131" t="s">
        <v>1044</v>
      </c>
    </row>
    <row r="59" spans="1:27" s="33" customFormat="1" ht="409.5" customHeight="1">
      <c r="A59" s="27"/>
      <c r="B59" s="84" t="s">
        <v>869</v>
      </c>
      <c r="C59" s="159" t="s">
        <v>870</v>
      </c>
      <c r="D59" s="84" t="s">
        <v>871</v>
      </c>
      <c r="E59" s="131">
        <v>2</v>
      </c>
      <c r="F59" s="84" t="s">
        <v>1045</v>
      </c>
      <c r="G59" s="84" t="s">
        <v>1046</v>
      </c>
      <c r="H59" s="75" t="s">
        <v>1047</v>
      </c>
      <c r="I59" s="76">
        <v>25</v>
      </c>
      <c r="J59" s="75" t="s">
        <v>693</v>
      </c>
      <c r="K59" s="76">
        <v>10</v>
      </c>
      <c r="L59" s="76"/>
      <c r="M59" s="84" t="s">
        <v>1048</v>
      </c>
      <c r="N59" s="75"/>
      <c r="O59" s="76"/>
      <c r="P59" s="87" t="s">
        <v>1049</v>
      </c>
      <c r="Q59" s="130" t="s">
        <v>945</v>
      </c>
      <c r="R59" s="133" t="s">
        <v>1045</v>
      </c>
      <c r="S59" s="86" t="s">
        <v>881</v>
      </c>
      <c r="T59" s="86" t="s">
        <v>882</v>
      </c>
      <c r="U59" s="86" t="s">
        <v>1041</v>
      </c>
      <c r="V59" s="233" t="s">
        <v>1050</v>
      </c>
      <c r="W59" s="75"/>
      <c r="X59" s="87" t="s">
        <v>879</v>
      </c>
      <c r="Y59" s="86" t="s">
        <v>1034</v>
      </c>
      <c r="Z59" s="84" t="s">
        <v>1043</v>
      </c>
      <c r="AA59" s="131" t="s">
        <v>1044</v>
      </c>
    </row>
    <row r="60" spans="1:27" s="33" customFormat="1" ht="335.25" customHeight="1">
      <c r="A60" s="27"/>
      <c r="B60" s="84" t="s">
        <v>869</v>
      </c>
      <c r="C60" s="159" t="s">
        <v>870</v>
      </c>
      <c r="D60" s="84" t="s">
        <v>871</v>
      </c>
      <c r="E60" s="131">
        <v>2</v>
      </c>
      <c r="F60" s="84" t="s">
        <v>1051</v>
      </c>
      <c r="G60" s="84" t="s">
        <v>1052</v>
      </c>
      <c r="H60" s="75" t="s">
        <v>1053</v>
      </c>
      <c r="I60" s="76">
        <v>26</v>
      </c>
      <c r="J60" s="75" t="s">
        <v>693</v>
      </c>
      <c r="K60" s="76">
        <v>20</v>
      </c>
      <c r="L60" s="76"/>
      <c r="M60" s="84" t="s">
        <v>1054</v>
      </c>
      <c r="N60" s="75"/>
      <c r="O60" s="76"/>
      <c r="P60" s="87"/>
      <c r="Q60" s="130" t="s">
        <v>945</v>
      </c>
      <c r="R60" s="133" t="s">
        <v>1051</v>
      </c>
      <c r="S60" s="173" t="s">
        <v>954</v>
      </c>
      <c r="T60" s="173" t="s">
        <v>1055</v>
      </c>
      <c r="U60" s="173" t="s">
        <v>1056</v>
      </c>
      <c r="V60" s="233" t="s">
        <v>1057</v>
      </c>
      <c r="W60" s="75"/>
      <c r="X60" s="87" t="s">
        <v>879</v>
      </c>
      <c r="Y60" s="84" t="s">
        <v>1058</v>
      </c>
      <c r="Z60" s="84" t="s">
        <v>1059</v>
      </c>
      <c r="AA60" s="131" t="s">
        <v>1036</v>
      </c>
    </row>
    <row r="61" spans="1:27" s="33" customFormat="1" ht="305.25" customHeight="1">
      <c r="A61" s="27"/>
      <c r="B61" s="84" t="s">
        <v>869</v>
      </c>
      <c r="C61" s="159" t="s">
        <v>870</v>
      </c>
      <c r="D61" s="84" t="s">
        <v>871</v>
      </c>
      <c r="E61" s="131">
        <v>2</v>
      </c>
      <c r="F61" s="84" t="s">
        <v>1060</v>
      </c>
      <c r="G61" s="84" t="s">
        <v>1061</v>
      </c>
      <c r="H61" s="75" t="s">
        <v>1062</v>
      </c>
      <c r="I61" s="76">
        <v>27</v>
      </c>
      <c r="J61" s="75" t="s">
        <v>693</v>
      </c>
      <c r="K61" s="76">
        <v>10</v>
      </c>
      <c r="L61" s="76"/>
      <c r="M61" s="84" t="s">
        <v>1063</v>
      </c>
      <c r="N61" s="75"/>
      <c r="O61" s="76"/>
      <c r="P61" s="87" t="s">
        <v>1064</v>
      </c>
      <c r="Q61" s="130" t="s">
        <v>945</v>
      </c>
      <c r="R61" s="133" t="s">
        <v>1065</v>
      </c>
      <c r="S61" s="86" t="s">
        <v>881</v>
      </c>
      <c r="T61" s="86" t="s">
        <v>882</v>
      </c>
      <c r="U61" s="86" t="s">
        <v>1066</v>
      </c>
      <c r="V61" s="233" t="s">
        <v>1067</v>
      </c>
      <c r="W61" s="75"/>
      <c r="X61" s="87" t="s">
        <v>879</v>
      </c>
      <c r="Y61" s="86" t="s">
        <v>1034</v>
      </c>
      <c r="Z61" s="84" t="s">
        <v>1068</v>
      </c>
      <c r="AA61" s="239" t="s">
        <v>1036</v>
      </c>
    </row>
    <row r="62" spans="1:27" s="33" customFormat="1" ht="284.25" customHeight="1">
      <c r="A62" s="27"/>
      <c r="B62" s="84" t="s">
        <v>869</v>
      </c>
      <c r="C62" s="159" t="s">
        <v>870</v>
      </c>
      <c r="D62" s="84" t="s">
        <v>871</v>
      </c>
      <c r="E62" s="131">
        <v>2</v>
      </c>
      <c r="F62" s="77" t="s">
        <v>797</v>
      </c>
      <c r="G62" s="77" t="s">
        <v>798</v>
      </c>
      <c r="H62" s="77" t="s">
        <v>799</v>
      </c>
      <c r="I62" s="76">
        <v>28</v>
      </c>
      <c r="J62" s="77" t="s">
        <v>693</v>
      </c>
      <c r="K62" s="76">
        <v>2</v>
      </c>
      <c r="L62" s="76"/>
      <c r="M62" s="86" t="s">
        <v>800</v>
      </c>
      <c r="N62" s="86"/>
      <c r="O62" s="76"/>
      <c r="P62" s="86" t="s">
        <v>1069</v>
      </c>
      <c r="Q62" s="87"/>
      <c r="R62" s="77"/>
      <c r="S62" s="86" t="s">
        <v>881</v>
      </c>
      <c r="T62" s="86" t="s">
        <v>882</v>
      </c>
      <c r="U62" s="86" t="s">
        <v>1070</v>
      </c>
      <c r="V62" s="233" t="s">
        <v>1071</v>
      </c>
      <c r="W62" s="76"/>
      <c r="X62" s="87" t="s">
        <v>879</v>
      </c>
      <c r="Y62" s="87" t="s">
        <v>818</v>
      </c>
      <c r="Z62" s="87" t="s">
        <v>818</v>
      </c>
      <c r="AA62" s="201" t="s">
        <v>1072</v>
      </c>
    </row>
    <row r="63" spans="1:27" s="33" customFormat="1" ht="272.25" customHeight="1">
      <c r="A63" s="27"/>
      <c r="B63" s="84" t="s">
        <v>869</v>
      </c>
      <c r="C63" s="159" t="s">
        <v>870</v>
      </c>
      <c r="D63" s="84" t="s">
        <v>871</v>
      </c>
      <c r="E63" s="131">
        <v>2</v>
      </c>
      <c r="F63" s="84" t="s">
        <v>805</v>
      </c>
      <c r="G63" s="84" t="s">
        <v>806</v>
      </c>
      <c r="H63" s="75" t="s">
        <v>807</v>
      </c>
      <c r="I63" s="76">
        <v>29</v>
      </c>
      <c r="J63" s="75" t="s">
        <v>693</v>
      </c>
      <c r="K63" s="76">
        <v>10</v>
      </c>
      <c r="L63" s="76"/>
      <c r="M63" s="84" t="s">
        <v>808</v>
      </c>
      <c r="N63" s="75"/>
      <c r="O63" s="76" t="s">
        <v>695</v>
      </c>
      <c r="P63" s="77"/>
      <c r="Q63" s="84"/>
      <c r="R63" s="84"/>
      <c r="S63" s="86" t="s">
        <v>881</v>
      </c>
      <c r="T63" s="86" t="s">
        <v>882</v>
      </c>
      <c r="U63" s="86" t="s">
        <v>1073</v>
      </c>
      <c r="V63" s="233" t="s">
        <v>1074</v>
      </c>
      <c r="W63" s="75"/>
      <c r="X63" s="87" t="s">
        <v>879</v>
      </c>
      <c r="Y63" s="87" t="s">
        <v>818</v>
      </c>
      <c r="Z63" s="87" t="s">
        <v>818</v>
      </c>
      <c r="AA63" s="131" t="s">
        <v>818</v>
      </c>
    </row>
    <row r="64" spans="1:27" s="33" customFormat="1" ht="246" customHeight="1">
      <c r="A64" s="27"/>
      <c r="B64" s="84" t="s">
        <v>869</v>
      </c>
      <c r="C64" s="159" t="s">
        <v>870</v>
      </c>
      <c r="D64" s="84" t="s">
        <v>871</v>
      </c>
      <c r="E64" s="131">
        <v>2</v>
      </c>
      <c r="F64" s="84" t="s">
        <v>812</v>
      </c>
      <c r="G64" s="84" t="s">
        <v>813</v>
      </c>
      <c r="H64" s="75" t="s">
        <v>814</v>
      </c>
      <c r="I64" s="76">
        <v>30</v>
      </c>
      <c r="J64" s="75" t="s">
        <v>815</v>
      </c>
      <c r="K64" s="76">
        <v>23</v>
      </c>
      <c r="L64" s="76"/>
      <c r="M64" s="84" t="s">
        <v>816</v>
      </c>
      <c r="N64" s="75"/>
      <c r="O64" s="76"/>
      <c r="P64" s="77"/>
      <c r="Q64" s="84"/>
      <c r="R64" s="84"/>
      <c r="S64" s="86" t="s">
        <v>881</v>
      </c>
      <c r="T64" s="86" t="s">
        <v>882</v>
      </c>
      <c r="U64" s="86" t="s">
        <v>1070</v>
      </c>
      <c r="V64" s="233" t="s">
        <v>1075</v>
      </c>
      <c r="W64" s="75"/>
      <c r="X64" s="87" t="s">
        <v>879</v>
      </c>
      <c r="Y64" s="87" t="s">
        <v>818</v>
      </c>
      <c r="Z64" s="87" t="s">
        <v>818</v>
      </c>
      <c r="AA64" s="131" t="s">
        <v>818</v>
      </c>
    </row>
    <row r="65" spans="1:27" s="33" customFormat="1" ht="225.75" hidden="1" customHeight="1">
      <c r="A65" s="27"/>
      <c r="B65" s="75" t="s">
        <v>1076</v>
      </c>
      <c r="C65" s="75" t="s">
        <v>1077</v>
      </c>
      <c r="D65" s="75" t="s">
        <v>1078</v>
      </c>
      <c r="E65" s="76">
        <v>2</v>
      </c>
      <c r="F65" s="194" t="s">
        <v>1079</v>
      </c>
      <c r="G65" s="194" t="s">
        <v>1080</v>
      </c>
      <c r="H65" s="75" t="s">
        <v>907</v>
      </c>
      <c r="I65" s="76">
        <v>10</v>
      </c>
      <c r="J65" s="75" t="s">
        <v>693</v>
      </c>
      <c r="K65" s="76">
        <v>4</v>
      </c>
      <c r="L65" s="76"/>
      <c r="M65" s="84" t="s">
        <v>1081</v>
      </c>
      <c r="N65" s="75"/>
      <c r="O65" s="211"/>
      <c r="P65" s="87" t="s">
        <v>1082</v>
      </c>
      <c r="Q65" s="193"/>
      <c r="R65" s="193"/>
      <c r="S65" s="86" t="s">
        <v>1083</v>
      </c>
      <c r="T65" s="86" t="s">
        <v>1084</v>
      </c>
      <c r="U65" s="86" t="s">
        <v>1085</v>
      </c>
      <c r="V65" s="233" t="s">
        <v>1086</v>
      </c>
      <c r="W65" s="75"/>
      <c r="X65" s="84" t="s">
        <v>1087</v>
      </c>
      <c r="Y65" s="86" t="s">
        <v>1088</v>
      </c>
      <c r="Z65" s="161" t="s">
        <v>1089</v>
      </c>
      <c r="AA65" s="195" t="s">
        <v>1090</v>
      </c>
    </row>
    <row r="66" spans="1:27" s="33" customFormat="1" ht="135.75" hidden="1" customHeight="1">
      <c r="A66" s="27"/>
      <c r="B66" s="84" t="s">
        <v>1091</v>
      </c>
      <c r="C66" s="84" t="s">
        <v>1092</v>
      </c>
      <c r="D66" s="84" t="s">
        <v>1093</v>
      </c>
      <c r="E66" s="76">
        <v>2</v>
      </c>
      <c r="F66" s="194" t="s">
        <v>1079</v>
      </c>
      <c r="G66" s="194" t="s">
        <v>1080</v>
      </c>
      <c r="H66" s="75" t="s">
        <v>907</v>
      </c>
      <c r="I66" s="76">
        <v>8</v>
      </c>
      <c r="J66" s="75" t="s">
        <v>693</v>
      </c>
      <c r="K66" s="76">
        <v>4</v>
      </c>
      <c r="L66" s="76"/>
      <c r="M66" s="84" t="s">
        <v>1081</v>
      </c>
      <c r="N66" s="75"/>
      <c r="O66" s="211"/>
      <c r="P66" s="87" t="s">
        <v>1082</v>
      </c>
      <c r="Q66" s="193"/>
      <c r="R66" s="193"/>
      <c r="S66" s="86" t="s">
        <v>1094</v>
      </c>
      <c r="T66" s="86" t="s">
        <v>1095</v>
      </c>
      <c r="U66" s="86" t="s">
        <v>1096</v>
      </c>
      <c r="V66" s="233" t="s">
        <v>1097</v>
      </c>
      <c r="W66" s="75"/>
      <c r="X66" s="84" t="s">
        <v>1098</v>
      </c>
      <c r="Y66" s="86" t="s">
        <v>1099</v>
      </c>
      <c r="Z66" s="161" t="s">
        <v>1100</v>
      </c>
      <c r="AA66" s="131" t="s">
        <v>1101</v>
      </c>
    </row>
    <row r="67" spans="1:27" s="33" customFormat="1" ht="162.75" hidden="1" customHeight="1">
      <c r="A67" s="27"/>
      <c r="B67" s="194" t="s">
        <v>1102</v>
      </c>
      <c r="C67" s="194" t="s">
        <v>1103</v>
      </c>
      <c r="D67" s="194" t="s">
        <v>1104</v>
      </c>
      <c r="E67" s="76">
        <v>2</v>
      </c>
      <c r="F67" s="194" t="s">
        <v>1079</v>
      </c>
      <c r="G67" s="194" t="s">
        <v>1080</v>
      </c>
      <c r="H67" s="75" t="s">
        <v>907</v>
      </c>
      <c r="I67" s="76">
        <v>8</v>
      </c>
      <c r="J67" s="75" t="s">
        <v>693</v>
      </c>
      <c r="K67" s="76">
        <v>4</v>
      </c>
      <c r="L67" s="76"/>
      <c r="M67" s="84" t="s">
        <v>1081</v>
      </c>
      <c r="N67" s="75"/>
      <c r="O67" s="211"/>
      <c r="P67" s="87" t="s">
        <v>1082</v>
      </c>
      <c r="Q67" s="193"/>
      <c r="R67" s="193"/>
      <c r="S67" s="86" t="s">
        <v>1105</v>
      </c>
      <c r="T67" s="86" t="s">
        <v>1106</v>
      </c>
      <c r="U67" s="86" t="s">
        <v>1107</v>
      </c>
      <c r="V67" s="233" t="s">
        <v>1108</v>
      </c>
      <c r="W67" s="75"/>
      <c r="X67" s="84" t="s">
        <v>1098</v>
      </c>
      <c r="Y67" s="86" t="s">
        <v>1099</v>
      </c>
      <c r="Z67" s="161" t="s">
        <v>1100</v>
      </c>
      <c r="AA67" s="131" t="s">
        <v>1101</v>
      </c>
    </row>
    <row r="68" spans="1:27" s="33" customFormat="1" ht="190.5" hidden="1" customHeight="1">
      <c r="A68" s="27"/>
      <c r="B68" s="84" t="s">
        <v>1109</v>
      </c>
      <c r="C68" s="84" t="s">
        <v>1110</v>
      </c>
      <c r="D68" s="84" t="s">
        <v>1111</v>
      </c>
      <c r="E68" s="131">
        <v>2</v>
      </c>
      <c r="F68" s="75" t="s">
        <v>690</v>
      </c>
      <c r="G68" s="75" t="s">
        <v>691</v>
      </c>
      <c r="H68" s="75" t="s">
        <v>872</v>
      </c>
      <c r="I68" s="76">
        <v>1</v>
      </c>
      <c r="J68" s="77" t="s">
        <v>693</v>
      </c>
      <c r="K68" s="76">
        <v>4</v>
      </c>
      <c r="L68" s="76"/>
      <c r="M68" s="86" t="s">
        <v>694</v>
      </c>
      <c r="N68" s="75"/>
      <c r="O68" s="76" t="s">
        <v>695</v>
      </c>
      <c r="P68" s="77"/>
      <c r="Q68" s="86" t="s">
        <v>820</v>
      </c>
      <c r="R68" s="86" t="s">
        <v>821</v>
      </c>
      <c r="S68" s="86" t="s">
        <v>1112</v>
      </c>
      <c r="T68" s="86" t="s">
        <v>1113</v>
      </c>
      <c r="U68" s="86" t="s">
        <v>824</v>
      </c>
      <c r="V68" s="233" t="s">
        <v>1114</v>
      </c>
      <c r="W68" s="75"/>
      <c r="X68" s="84" t="s">
        <v>1087</v>
      </c>
      <c r="Y68" s="86" t="s">
        <v>811</v>
      </c>
      <c r="Z68" s="86" t="s">
        <v>811</v>
      </c>
      <c r="AA68" s="201" t="s">
        <v>827</v>
      </c>
    </row>
    <row r="69" spans="1:27" s="33" customFormat="1" ht="408.75" hidden="1" customHeight="1">
      <c r="A69" s="27"/>
      <c r="B69" s="86" t="s">
        <v>1115</v>
      </c>
      <c r="C69" s="86" t="s">
        <v>1116</v>
      </c>
      <c r="D69" s="86" t="s">
        <v>1117</v>
      </c>
      <c r="E69" s="76">
        <v>2</v>
      </c>
      <c r="F69" s="194" t="s">
        <v>1079</v>
      </c>
      <c r="G69" s="194" t="s">
        <v>1080</v>
      </c>
      <c r="H69" s="75" t="s">
        <v>907</v>
      </c>
      <c r="I69" s="76">
        <v>8</v>
      </c>
      <c r="J69" s="75" t="s">
        <v>693</v>
      </c>
      <c r="K69" s="76">
        <v>4</v>
      </c>
      <c r="L69" s="76"/>
      <c r="M69" s="84" t="s">
        <v>1081</v>
      </c>
      <c r="N69" s="75"/>
      <c r="O69" s="211"/>
      <c r="P69" s="87" t="s">
        <v>1082</v>
      </c>
      <c r="Q69" s="193"/>
      <c r="R69" s="193"/>
      <c r="S69" s="86" t="s">
        <v>1083</v>
      </c>
      <c r="T69" s="86" t="s">
        <v>1084</v>
      </c>
      <c r="U69" s="86" t="s">
        <v>1085</v>
      </c>
      <c r="V69" s="233" t="s">
        <v>1118</v>
      </c>
      <c r="W69" s="75"/>
      <c r="X69" s="84" t="s">
        <v>1087</v>
      </c>
      <c r="Y69" s="86" t="s">
        <v>1088</v>
      </c>
      <c r="Z69" s="161" t="s">
        <v>1089</v>
      </c>
      <c r="AA69" s="195" t="s">
        <v>1090</v>
      </c>
    </row>
    <row r="70" spans="1:27" s="33" customFormat="1" ht="234.75" hidden="1" customHeight="1">
      <c r="A70" s="27"/>
      <c r="B70" s="75" t="s">
        <v>1076</v>
      </c>
      <c r="C70" s="75" t="s">
        <v>1077</v>
      </c>
      <c r="D70" s="75" t="s">
        <v>1078</v>
      </c>
      <c r="E70" s="76">
        <v>2</v>
      </c>
      <c r="F70" s="194" t="s">
        <v>905</v>
      </c>
      <c r="G70" s="194" t="s">
        <v>906</v>
      </c>
      <c r="H70" s="75" t="s">
        <v>907</v>
      </c>
      <c r="I70" s="76">
        <v>8</v>
      </c>
      <c r="J70" s="75" t="s">
        <v>693</v>
      </c>
      <c r="K70" s="76">
        <v>4</v>
      </c>
      <c r="L70" s="76"/>
      <c r="M70" s="84" t="s">
        <v>908</v>
      </c>
      <c r="N70" s="75"/>
      <c r="O70" s="211"/>
      <c r="P70" s="87" t="s">
        <v>1119</v>
      </c>
      <c r="Q70" s="193"/>
      <c r="R70" s="193"/>
      <c r="S70" s="86" t="s">
        <v>1083</v>
      </c>
      <c r="T70" s="86" t="s">
        <v>1084</v>
      </c>
      <c r="U70" s="86" t="s">
        <v>1120</v>
      </c>
      <c r="V70" s="233" t="s">
        <v>1121</v>
      </c>
      <c r="W70" s="75"/>
      <c r="X70" s="84" t="s">
        <v>1087</v>
      </c>
      <c r="Y70" s="86" t="s">
        <v>1088</v>
      </c>
      <c r="Z70" s="161" t="s">
        <v>848</v>
      </c>
      <c r="AA70" s="131" t="s">
        <v>811</v>
      </c>
    </row>
    <row r="71" spans="1:27" s="33" customFormat="1" ht="215.25" hidden="1" customHeight="1">
      <c r="A71" s="27"/>
      <c r="B71" s="84" t="s">
        <v>1091</v>
      </c>
      <c r="C71" s="84" t="s">
        <v>1092</v>
      </c>
      <c r="D71" s="84" t="s">
        <v>1093</v>
      </c>
      <c r="E71" s="76">
        <v>2</v>
      </c>
      <c r="F71" s="194" t="s">
        <v>905</v>
      </c>
      <c r="G71" s="194" t="s">
        <v>906</v>
      </c>
      <c r="H71" s="75" t="s">
        <v>907</v>
      </c>
      <c r="I71" s="76">
        <v>6</v>
      </c>
      <c r="J71" s="75" t="s">
        <v>693</v>
      </c>
      <c r="K71" s="76">
        <v>4</v>
      </c>
      <c r="L71" s="76"/>
      <c r="M71" s="84" t="s">
        <v>908</v>
      </c>
      <c r="N71" s="75"/>
      <c r="O71" s="211"/>
      <c r="P71" s="87" t="s">
        <v>1119</v>
      </c>
      <c r="Q71" s="193"/>
      <c r="R71" s="193"/>
      <c r="S71" s="86" t="s">
        <v>1094</v>
      </c>
      <c r="T71" s="86" t="s">
        <v>1095</v>
      </c>
      <c r="U71" s="86" t="s">
        <v>1122</v>
      </c>
      <c r="V71" s="233" t="s">
        <v>1123</v>
      </c>
      <c r="W71" s="75"/>
      <c r="X71" s="84" t="s">
        <v>1098</v>
      </c>
      <c r="Y71" s="86" t="s">
        <v>1099</v>
      </c>
      <c r="Z71" s="161" t="s">
        <v>1124</v>
      </c>
      <c r="AA71" s="131" t="s">
        <v>1101</v>
      </c>
    </row>
    <row r="72" spans="1:27" s="33" customFormat="1" ht="211.5" hidden="1" customHeight="1">
      <c r="A72" s="27"/>
      <c r="B72" s="194" t="s">
        <v>1102</v>
      </c>
      <c r="C72" s="194" t="s">
        <v>1103</v>
      </c>
      <c r="D72" s="194" t="s">
        <v>1104</v>
      </c>
      <c r="E72" s="76">
        <v>2</v>
      </c>
      <c r="F72" s="194" t="s">
        <v>905</v>
      </c>
      <c r="G72" s="194" t="s">
        <v>906</v>
      </c>
      <c r="H72" s="75" t="s">
        <v>907</v>
      </c>
      <c r="I72" s="76">
        <v>6</v>
      </c>
      <c r="J72" s="75" t="s">
        <v>693</v>
      </c>
      <c r="K72" s="76">
        <v>4</v>
      </c>
      <c r="L72" s="76"/>
      <c r="M72" s="84" t="s">
        <v>908</v>
      </c>
      <c r="N72" s="75"/>
      <c r="O72" s="211"/>
      <c r="P72" s="87" t="s">
        <v>1119</v>
      </c>
      <c r="Q72" s="193"/>
      <c r="R72" s="193"/>
      <c r="S72" s="86" t="s">
        <v>1105</v>
      </c>
      <c r="T72" s="86" t="s">
        <v>1106</v>
      </c>
      <c r="U72" s="86" t="s">
        <v>1125</v>
      </c>
      <c r="V72" s="233" t="s">
        <v>1126</v>
      </c>
      <c r="W72" s="75"/>
      <c r="X72" s="84" t="s">
        <v>1098</v>
      </c>
      <c r="Y72" s="86" t="s">
        <v>1099</v>
      </c>
      <c r="Z72" s="161" t="s">
        <v>1124</v>
      </c>
      <c r="AA72" s="131" t="s">
        <v>1101</v>
      </c>
    </row>
    <row r="73" spans="1:27" s="33" customFormat="1" ht="174.75" hidden="1" customHeight="1">
      <c r="A73" s="27"/>
      <c r="B73" s="84" t="s">
        <v>1109</v>
      </c>
      <c r="C73" s="84" t="s">
        <v>1110</v>
      </c>
      <c r="D73" s="84" t="s">
        <v>1111</v>
      </c>
      <c r="E73" s="131">
        <v>2</v>
      </c>
      <c r="F73" s="75" t="s">
        <v>705</v>
      </c>
      <c r="G73" s="75" t="s">
        <v>706</v>
      </c>
      <c r="H73" s="75" t="s">
        <v>872</v>
      </c>
      <c r="I73" s="76">
        <v>2</v>
      </c>
      <c r="J73" s="77" t="s">
        <v>693</v>
      </c>
      <c r="K73" s="76">
        <v>30</v>
      </c>
      <c r="L73" s="76"/>
      <c r="M73" s="86" t="s">
        <v>707</v>
      </c>
      <c r="N73" s="75"/>
      <c r="O73" s="76" t="s">
        <v>695</v>
      </c>
      <c r="P73" s="77"/>
      <c r="Q73" s="86" t="s">
        <v>820</v>
      </c>
      <c r="R73" s="86" t="s">
        <v>821</v>
      </c>
      <c r="S73" s="86" t="s">
        <v>1083</v>
      </c>
      <c r="T73" s="86" t="s">
        <v>1084</v>
      </c>
      <c r="U73" s="86" t="s">
        <v>1127</v>
      </c>
      <c r="V73" s="233" t="s">
        <v>1128</v>
      </c>
      <c r="W73" s="75"/>
      <c r="X73" s="84" t="s">
        <v>1087</v>
      </c>
      <c r="Y73" s="86" t="s">
        <v>1088</v>
      </c>
      <c r="Z73" s="86" t="s">
        <v>1129</v>
      </c>
      <c r="AA73" s="131" t="s">
        <v>811</v>
      </c>
    </row>
    <row r="74" spans="1:27" s="33" customFormat="1" ht="140.25" hidden="1" customHeight="1">
      <c r="A74" s="27"/>
      <c r="B74" s="86" t="s">
        <v>1115</v>
      </c>
      <c r="C74" s="86" t="s">
        <v>1116</v>
      </c>
      <c r="D74" s="86" t="s">
        <v>1117</v>
      </c>
      <c r="E74" s="76">
        <v>2</v>
      </c>
      <c r="F74" s="194" t="s">
        <v>905</v>
      </c>
      <c r="G74" s="194" t="s">
        <v>906</v>
      </c>
      <c r="H74" s="75" t="s">
        <v>907</v>
      </c>
      <c r="I74" s="76">
        <v>6</v>
      </c>
      <c r="J74" s="75" t="s">
        <v>693</v>
      </c>
      <c r="K74" s="76">
        <v>4</v>
      </c>
      <c r="L74" s="76"/>
      <c r="M74" s="84" t="s">
        <v>908</v>
      </c>
      <c r="N74" s="75"/>
      <c r="O74" s="211"/>
      <c r="P74" s="87" t="s">
        <v>1119</v>
      </c>
      <c r="Q74" s="193"/>
      <c r="R74" s="193"/>
      <c r="S74" s="86" t="s">
        <v>1083</v>
      </c>
      <c r="T74" s="86" t="s">
        <v>1084</v>
      </c>
      <c r="U74" s="86" t="s">
        <v>1120</v>
      </c>
      <c r="V74" s="233" t="s">
        <v>1130</v>
      </c>
      <c r="W74" s="75"/>
      <c r="X74" s="84" t="s">
        <v>1087</v>
      </c>
      <c r="Y74" s="86" t="s">
        <v>1088</v>
      </c>
      <c r="Z74" s="161" t="s">
        <v>848</v>
      </c>
      <c r="AA74" s="131" t="s">
        <v>811</v>
      </c>
    </row>
    <row r="75" spans="1:27" s="33" customFormat="1" ht="153" hidden="1" customHeight="1">
      <c r="A75" s="27"/>
      <c r="B75" s="75" t="s">
        <v>1076</v>
      </c>
      <c r="C75" s="75" t="s">
        <v>1077</v>
      </c>
      <c r="D75" s="75" t="s">
        <v>1078</v>
      </c>
      <c r="E75" s="76">
        <v>2</v>
      </c>
      <c r="F75" s="194" t="s">
        <v>913</v>
      </c>
      <c r="G75" s="194" t="s">
        <v>914</v>
      </c>
      <c r="H75" s="75" t="s">
        <v>907</v>
      </c>
      <c r="I75" s="76">
        <v>9</v>
      </c>
      <c r="J75" s="75" t="s">
        <v>693</v>
      </c>
      <c r="K75" s="76">
        <v>4</v>
      </c>
      <c r="L75" s="76"/>
      <c r="M75" s="84" t="s">
        <v>915</v>
      </c>
      <c r="N75" s="75"/>
      <c r="O75" s="211"/>
      <c r="P75" s="87" t="s">
        <v>1119</v>
      </c>
      <c r="Q75" s="193"/>
      <c r="R75" s="193"/>
      <c r="S75" s="86" t="s">
        <v>1083</v>
      </c>
      <c r="T75" s="86" t="s">
        <v>1084</v>
      </c>
      <c r="U75" s="86" t="s">
        <v>1131</v>
      </c>
      <c r="V75" s="233" t="s">
        <v>1132</v>
      </c>
      <c r="W75" s="75"/>
      <c r="X75" s="84" t="s">
        <v>1087</v>
      </c>
      <c r="Y75" s="86" t="s">
        <v>1088</v>
      </c>
      <c r="Z75" s="194" t="s">
        <v>1133</v>
      </c>
      <c r="AA75" s="131" t="s">
        <v>811</v>
      </c>
    </row>
    <row r="76" spans="1:27" s="33" customFormat="1" ht="159" hidden="1" customHeight="1">
      <c r="A76" s="27"/>
      <c r="B76" s="84" t="s">
        <v>1091</v>
      </c>
      <c r="C76" s="84" t="s">
        <v>1092</v>
      </c>
      <c r="D76" s="84" t="s">
        <v>1093</v>
      </c>
      <c r="E76" s="76">
        <v>2</v>
      </c>
      <c r="F76" s="194" t="s">
        <v>913</v>
      </c>
      <c r="G76" s="194" t="s">
        <v>914</v>
      </c>
      <c r="H76" s="75" t="s">
        <v>907</v>
      </c>
      <c r="I76" s="76">
        <v>7</v>
      </c>
      <c r="J76" s="75" t="s">
        <v>693</v>
      </c>
      <c r="K76" s="76">
        <v>4</v>
      </c>
      <c r="L76" s="76"/>
      <c r="M76" s="84" t="s">
        <v>915</v>
      </c>
      <c r="N76" s="75"/>
      <c r="O76" s="211"/>
      <c r="P76" s="77"/>
      <c r="Q76" s="193"/>
      <c r="R76" s="193"/>
      <c r="S76" s="86" t="s">
        <v>1094</v>
      </c>
      <c r="T76" s="86" t="s">
        <v>1095</v>
      </c>
      <c r="U76" s="86" t="s">
        <v>1134</v>
      </c>
      <c r="V76" s="233" t="s">
        <v>1135</v>
      </c>
      <c r="W76" s="75"/>
      <c r="X76" s="84" t="s">
        <v>1098</v>
      </c>
      <c r="Y76" s="86" t="s">
        <v>1099</v>
      </c>
      <c r="Z76" s="194" t="s">
        <v>1136</v>
      </c>
      <c r="AA76" s="131" t="s">
        <v>1101</v>
      </c>
    </row>
    <row r="77" spans="1:27" s="33" customFormat="1" ht="161.25" hidden="1" customHeight="1">
      <c r="A77" s="27"/>
      <c r="B77" s="194" t="s">
        <v>1102</v>
      </c>
      <c r="C77" s="194" t="s">
        <v>1103</v>
      </c>
      <c r="D77" s="194" t="s">
        <v>1104</v>
      </c>
      <c r="E77" s="76">
        <v>2</v>
      </c>
      <c r="F77" s="194" t="s">
        <v>913</v>
      </c>
      <c r="G77" s="194" t="s">
        <v>914</v>
      </c>
      <c r="H77" s="75" t="s">
        <v>907</v>
      </c>
      <c r="I77" s="76">
        <v>7</v>
      </c>
      <c r="J77" s="75" t="s">
        <v>693</v>
      </c>
      <c r="K77" s="76">
        <v>4</v>
      </c>
      <c r="L77" s="76"/>
      <c r="M77" s="84" t="s">
        <v>915</v>
      </c>
      <c r="N77" s="75"/>
      <c r="O77" s="211"/>
      <c r="P77" s="77"/>
      <c r="Q77" s="193"/>
      <c r="R77" s="193"/>
      <c r="S77" s="86" t="s">
        <v>1105</v>
      </c>
      <c r="T77" s="86" t="s">
        <v>1106</v>
      </c>
      <c r="U77" s="86" t="s">
        <v>1137</v>
      </c>
      <c r="V77" s="233" t="s">
        <v>1138</v>
      </c>
      <c r="W77" s="75"/>
      <c r="X77" s="84" t="s">
        <v>1098</v>
      </c>
      <c r="Y77" s="86" t="s">
        <v>1099</v>
      </c>
      <c r="Z77" s="194" t="s">
        <v>1136</v>
      </c>
      <c r="AA77" s="131" t="s">
        <v>1101</v>
      </c>
    </row>
    <row r="78" spans="1:27" s="33" customFormat="1" ht="158.25" hidden="1" customHeight="1">
      <c r="A78" s="27"/>
      <c r="B78" s="84" t="s">
        <v>1109</v>
      </c>
      <c r="C78" s="84" t="s">
        <v>1110</v>
      </c>
      <c r="D78" s="84" t="s">
        <v>1111</v>
      </c>
      <c r="E78" s="131">
        <v>2</v>
      </c>
      <c r="F78" s="84" t="s">
        <v>715</v>
      </c>
      <c r="G78" s="84" t="s">
        <v>716</v>
      </c>
      <c r="H78" s="75" t="s">
        <v>893</v>
      </c>
      <c r="I78" s="76">
        <v>3</v>
      </c>
      <c r="J78" s="75" t="s">
        <v>1139</v>
      </c>
      <c r="K78" s="76"/>
      <c r="L78" s="76"/>
      <c r="M78" s="84" t="s">
        <v>1140</v>
      </c>
      <c r="N78" s="75"/>
      <c r="O78" s="76" t="s">
        <v>695</v>
      </c>
      <c r="P78" s="77"/>
      <c r="Q78" s="130" t="s">
        <v>720</v>
      </c>
      <c r="R78" s="133" t="s">
        <v>721</v>
      </c>
      <c r="S78" s="86" t="s">
        <v>1083</v>
      </c>
      <c r="T78" s="86" t="s">
        <v>1084</v>
      </c>
      <c r="U78" s="86" t="s">
        <v>1141</v>
      </c>
      <c r="V78" s="233" t="s">
        <v>1142</v>
      </c>
      <c r="W78" s="75"/>
      <c r="X78" s="84" t="s">
        <v>1087</v>
      </c>
      <c r="Y78" s="84" t="s">
        <v>1088</v>
      </c>
      <c r="Z78" s="84" t="s">
        <v>837</v>
      </c>
      <c r="AA78" s="131" t="s">
        <v>811</v>
      </c>
    </row>
    <row r="79" spans="1:27" s="33" customFormat="1" ht="173.25" hidden="1" customHeight="1">
      <c r="A79" s="27"/>
      <c r="B79" s="86" t="s">
        <v>1115</v>
      </c>
      <c r="C79" s="86" t="s">
        <v>1116</v>
      </c>
      <c r="D79" s="86" t="s">
        <v>1117</v>
      </c>
      <c r="E79" s="76">
        <v>2</v>
      </c>
      <c r="F79" s="194" t="s">
        <v>913</v>
      </c>
      <c r="G79" s="194" t="s">
        <v>914</v>
      </c>
      <c r="H79" s="75" t="s">
        <v>907</v>
      </c>
      <c r="I79" s="76">
        <v>7</v>
      </c>
      <c r="J79" s="75" t="s">
        <v>693</v>
      </c>
      <c r="K79" s="76">
        <v>4</v>
      </c>
      <c r="L79" s="76"/>
      <c r="M79" s="84" t="s">
        <v>915</v>
      </c>
      <c r="N79" s="75"/>
      <c r="O79" s="211"/>
      <c r="P79" s="77"/>
      <c r="Q79" s="193"/>
      <c r="R79" s="193"/>
      <c r="S79" s="86" t="s">
        <v>1083</v>
      </c>
      <c r="T79" s="86" t="s">
        <v>1084</v>
      </c>
      <c r="U79" s="86" t="s">
        <v>1131</v>
      </c>
      <c r="V79" s="233" t="s">
        <v>1143</v>
      </c>
      <c r="W79" s="75"/>
      <c r="X79" s="84" t="s">
        <v>1087</v>
      </c>
      <c r="Y79" s="86" t="s">
        <v>1088</v>
      </c>
      <c r="Z79" s="194" t="s">
        <v>1133</v>
      </c>
      <c r="AA79" s="131" t="s">
        <v>811</v>
      </c>
    </row>
    <row r="80" spans="1:27" s="33" customFormat="1" ht="186.75" hidden="1" customHeight="1">
      <c r="A80" s="27"/>
      <c r="B80" s="75" t="s">
        <v>1076</v>
      </c>
      <c r="C80" s="75" t="s">
        <v>1077</v>
      </c>
      <c r="D80" s="75" t="s">
        <v>1078</v>
      </c>
      <c r="E80" s="76">
        <v>2</v>
      </c>
      <c r="F80" s="75" t="s">
        <v>757</v>
      </c>
      <c r="G80" s="84" t="s">
        <v>758</v>
      </c>
      <c r="H80" s="75" t="s">
        <v>759</v>
      </c>
      <c r="I80" s="76">
        <v>15</v>
      </c>
      <c r="J80" s="75" t="s">
        <v>760</v>
      </c>
      <c r="K80" s="76">
        <v>23</v>
      </c>
      <c r="L80" s="76">
        <v>6</v>
      </c>
      <c r="M80" s="84" t="s">
        <v>761</v>
      </c>
      <c r="N80" s="75"/>
      <c r="O80" s="76"/>
      <c r="P80" s="77"/>
      <c r="Q80" s="75" t="s">
        <v>752</v>
      </c>
      <c r="R80" s="86" t="s">
        <v>762</v>
      </c>
      <c r="S80" s="86" t="s">
        <v>1083</v>
      </c>
      <c r="T80" s="86" t="s">
        <v>1084</v>
      </c>
      <c r="U80" s="86" t="s">
        <v>1144</v>
      </c>
      <c r="V80" s="233" t="s">
        <v>1145</v>
      </c>
      <c r="W80" s="75"/>
      <c r="X80" s="84" t="s">
        <v>1087</v>
      </c>
      <c r="Y80" s="86" t="s">
        <v>1088</v>
      </c>
      <c r="Z80" s="161" t="s">
        <v>863</v>
      </c>
      <c r="AA80" s="131" t="s">
        <v>811</v>
      </c>
    </row>
    <row r="81" spans="1:27" s="33" customFormat="1" ht="174" hidden="1" customHeight="1">
      <c r="A81" s="27"/>
      <c r="B81" s="84" t="s">
        <v>1091</v>
      </c>
      <c r="C81" s="84" t="s">
        <v>1092</v>
      </c>
      <c r="D81" s="84" t="s">
        <v>1093</v>
      </c>
      <c r="E81" s="76">
        <v>2</v>
      </c>
      <c r="F81" s="75" t="s">
        <v>757</v>
      </c>
      <c r="G81" s="84" t="s">
        <v>758</v>
      </c>
      <c r="H81" s="75" t="s">
        <v>759</v>
      </c>
      <c r="I81" s="76">
        <v>13</v>
      </c>
      <c r="J81" s="75" t="s">
        <v>760</v>
      </c>
      <c r="K81" s="76">
        <v>23</v>
      </c>
      <c r="L81" s="76">
        <v>6</v>
      </c>
      <c r="M81" s="84" t="s">
        <v>761</v>
      </c>
      <c r="N81" s="75"/>
      <c r="O81" s="76"/>
      <c r="P81" s="77"/>
      <c r="Q81" s="75" t="s">
        <v>752</v>
      </c>
      <c r="R81" s="86" t="s">
        <v>762</v>
      </c>
      <c r="S81" s="86" t="s">
        <v>1094</v>
      </c>
      <c r="T81" s="86" t="s">
        <v>1095</v>
      </c>
      <c r="U81" s="86" t="s">
        <v>1146</v>
      </c>
      <c r="V81" s="233" t="s">
        <v>1147</v>
      </c>
      <c r="W81" s="75"/>
      <c r="X81" s="84" t="s">
        <v>1098</v>
      </c>
      <c r="Y81" s="86" t="s">
        <v>1099</v>
      </c>
      <c r="Z81" s="161" t="s">
        <v>1148</v>
      </c>
      <c r="AA81" s="131" t="s">
        <v>1101</v>
      </c>
    </row>
    <row r="82" spans="1:27" s="33" customFormat="1" ht="146.25" hidden="1" customHeight="1">
      <c r="A82" s="27"/>
      <c r="B82" s="194" t="s">
        <v>1102</v>
      </c>
      <c r="C82" s="194" t="s">
        <v>1103</v>
      </c>
      <c r="D82" s="194" t="s">
        <v>1104</v>
      </c>
      <c r="E82" s="76">
        <v>2</v>
      </c>
      <c r="F82" s="75" t="s">
        <v>757</v>
      </c>
      <c r="G82" s="84" t="s">
        <v>758</v>
      </c>
      <c r="H82" s="75" t="s">
        <v>759</v>
      </c>
      <c r="I82" s="76">
        <v>13</v>
      </c>
      <c r="J82" s="75" t="s">
        <v>760</v>
      </c>
      <c r="K82" s="76">
        <v>23</v>
      </c>
      <c r="L82" s="76">
        <v>6</v>
      </c>
      <c r="M82" s="84" t="s">
        <v>761</v>
      </c>
      <c r="N82" s="75"/>
      <c r="O82" s="76"/>
      <c r="P82" s="77"/>
      <c r="Q82" s="75" t="s">
        <v>752</v>
      </c>
      <c r="R82" s="86" t="s">
        <v>762</v>
      </c>
      <c r="S82" s="86" t="s">
        <v>1105</v>
      </c>
      <c r="T82" s="86" t="s">
        <v>1106</v>
      </c>
      <c r="U82" s="86" t="s">
        <v>1149</v>
      </c>
      <c r="V82" s="233" t="s">
        <v>1150</v>
      </c>
      <c r="W82" s="75"/>
      <c r="X82" s="84" t="s">
        <v>1098</v>
      </c>
      <c r="Y82" s="86" t="s">
        <v>1099</v>
      </c>
      <c r="Z82" s="161" t="s">
        <v>1148</v>
      </c>
      <c r="AA82" s="131" t="s">
        <v>1101</v>
      </c>
    </row>
    <row r="83" spans="1:27" s="33" customFormat="1" ht="153.75" hidden="1" customHeight="1">
      <c r="A83" s="27"/>
      <c r="B83" s="84" t="s">
        <v>1109</v>
      </c>
      <c r="C83" s="84" t="s">
        <v>1110</v>
      </c>
      <c r="D83" s="84" t="s">
        <v>1111</v>
      </c>
      <c r="E83" s="76">
        <v>2</v>
      </c>
      <c r="F83" s="84" t="s">
        <v>728</v>
      </c>
      <c r="G83" s="84" t="s">
        <v>729</v>
      </c>
      <c r="H83" s="75" t="s">
        <v>893</v>
      </c>
      <c r="I83" s="76">
        <v>4</v>
      </c>
      <c r="J83" s="75" t="s">
        <v>718</v>
      </c>
      <c r="K83" s="76"/>
      <c r="L83" s="76"/>
      <c r="M83" s="84" t="s">
        <v>1151</v>
      </c>
      <c r="N83" s="75"/>
      <c r="O83" s="76" t="s">
        <v>695</v>
      </c>
      <c r="P83" s="77"/>
      <c r="Q83" s="86" t="s">
        <v>720</v>
      </c>
      <c r="R83" s="86" t="s">
        <v>721</v>
      </c>
      <c r="S83" s="86" t="s">
        <v>1083</v>
      </c>
      <c r="T83" s="86" t="s">
        <v>1084</v>
      </c>
      <c r="U83" s="86" t="s">
        <v>1152</v>
      </c>
      <c r="V83" s="233" t="s">
        <v>1153</v>
      </c>
      <c r="W83" s="75"/>
      <c r="X83" s="84" t="s">
        <v>1087</v>
      </c>
      <c r="Y83" s="84" t="s">
        <v>1154</v>
      </c>
      <c r="Z83" s="86" t="s">
        <v>1155</v>
      </c>
      <c r="AA83" s="131" t="s">
        <v>1156</v>
      </c>
    </row>
    <row r="84" spans="1:27" s="33" customFormat="1" ht="156.75" hidden="1" customHeight="1">
      <c r="A84" s="27"/>
      <c r="B84" s="86" t="s">
        <v>1115</v>
      </c>
      <c r="C84" s="86" t="s">
        <v>1116</v>
      </c>
      <c r="D84" s="86" t="s">
        <v>1117</v>
      </c>
      <c r="E84" s="76">
        <v>2</v>
      </c>
      <c r="F84" s="75" t="s">
        <v>757</v>
      </c>
      <c r="G84" s="84" t="s">
        <v>758</v>
      </c>
      <c r="H84" s="75" t="s">
        <v>759</v>
      </c>
      <c r="I84" s="76">
        <v>13</v>
      </c>
      <c r="J84" s="75" t="s">
        <v>760</v>
      </c>
      <c r="K84" s="76">
        <v>23</v>
      </c>
      <c r="L84" s="76">
        <v>6</v>
      </c>
      <c r="M84" s="84" t="s">
        <v>761</v>
      </c>
      <c r="N84" s="75"/>
      <c r="O84" s="76"/>
      <c r="P84" s="77"/>
      <c r="Q84" s="75" t="s">
        <v>752</v>
      </c>
      <c r="R84" s="86" t="s">
        <v>762</v>
      </c>
      <c r="S84" s="86" t="s">
        <v>1083</v>
      </c>
      <c r="T84" s="86" t="s">
        <v>1084</v>
      </c>
      <c r="U84" s="86" t="s">
        <v>1144</v>
      </c>
      <c r="V84" s="233" t="s">
        <v>1157</v>
      </c>
      <c r="W84" s="75"/>
      <c r="X84" s="84" t="s">
        <v>1087</v>
      </c>
      <c r="Y84" s="86" t="s">
        <v>1088</v>
      </c>
      <c r="Z84" s="161" t="s">
        <v>863</v>
      </c>
      <c r="AA84" s="131" t="s">
        <v>811</v>
      </c>
    </row>
    <row r="85" spans="1:27" s="33" customFormat="1" ht="138" hidden="1" customHeight="1">
      <c r="A85" s="27"/>
      <c r="B85" s="75" t="s">
        <v>1076</v>
      </c>
      <c r="C85" s="75" t="s">
        <v>1077</v>
      </c>
      <c r="D85" s="75" t="s">
        <v>1078</v>
      </c>
      <c r="E85" s="76">
        <v>2</v>
      </c>
      <c r="F85" s="75" t="s">
        <v>690</v>
      </c>
      <c r="G85" s="75" t="s">
        <v>691</v>
      </c>
      <c r="H85" s="75" t="s">
        <v>872</v>
      </c>
      <c r="I85" s="76">
        <v>1</v>
      </c>
      <c r="J85" s="77" t="s">
        <v>693</v>
      </c>
      <c r="K85" s="76">
        <v>4</v>
      </c>
      <c r="L85" s="76"/>
      <c r="M85" s="86" t="s">
        <v>694</v>
      </c>
      <c r="N85" s="75"/>
      <c r="O85" s="76" t="s">
        <v>695</v>
      </c>
      <c r="P85" s="77"/>
      <c r="Q85" s="86" t="s">
        <v>1158</v>
      </c>
      <c r="R85" s="86" t="s">
        <v>1159</v>
      </c>
      <c r="S85" s="86" t="s">
        <v>1112</v>
      </c>
      <c r="T85" s="86" t="s">
        <v>1113</v>
      </c>
      <c r="U85" s="86" t="s">
        <v>824</v>
      </c>
      <c r="V85" s="233" t="s">
        <v>1160</v>
      </c>
      <c r="W85" s="75"/>
      <c r="X85" s="84" t="s">
        <v>1087</v>
      </c>
      <c r="Y85" s="86" t="s">
        <v>1161</v>
      </c>
      <c r="Z85" s="86" t="s">
        <v>811</v>
      </c>
      <c r="AA85" s="201" t="s">
        <v>827</v>
      </c>
    </row>
    <row r="86" spans="1:27" s="33" customFormat="1" ht="135.75" hidden="1" customHeight="1">
      <c r="A86" s="27"/>
      <c r="B86" s="84" t="s">
        <v>1091</v>
      </c>
      <c r="C86" s="84" t="s">
        <v>1092</v>
      </c>
      <c r="D86" s="84" t="s">
        <v>1093</v>
      </c>
      <c r="E86" s="76">
        <v>2</v>
      </c>
      <c r="F86" s="75" t="s">
        <v>690</v>
      </c>
      <c r="G86" s="75" t="s">
        <v>691</v>
      </c>
      <c r="H86" s="75" t="s">
        <v>872</v>
      </c>
      <c r="I86" s="76">
        <v>1</v>
      </c>
      <c r="J86" s="77" t="s">
        <v>693</v>
      </c>
      <c r="K86" s="76">
        <v>4</v>
      </c>
      <c r="L86" s="76"/>
      <c r="M86" s="86" t="s">
        <v>694</v>
      </c>
      <c r="N86" s="75"/>
      <c r="O86" s="76" t="s">
        <v>695</v>
      </c>
      <c r="P86" s="77"/>
      <c r="Q86" s="86" t="s">
        <v>820</v>
      </c>
      <c r="R86" s="86" t="s">
        <v>821</v>
      </c>
      <c r="S86" s="86" t="s">
        <v>1105</v>
      </c>
      <c r="T86" s="86" t="s">
        <v>1162</v>
      </c>
      <c r="U86" s="86" t="s">
        <v>1163</v>
      </c>
      <c r="V86" s="233" t="s">
        <v>1164</v>
      </c>
      <c r="W86" s="75"/>
      <c r="X86" s="84" t="s">
        <v>1098</v>
      </c>
      <c r="Y86" s="86" t="s">
        <v>1101</v>
      </c>
      <c r="Z86" s="86" t="s">
        <v>1101</v>
      </c>
      <c r="AA86" s="201" t="s">
        <v>1165</v>
      </c>
    </row>
    <row r="87" spans="1:27" s="33" customFormat="1" ht="117" hidden="1" customHeight="1">
      <c r="A87" s="27"/>
      <c r="B87" s="194" t="s">
        <v>1102</v>
      </c>
      <c r="C87" s="194" t="s">
        <v>1103</v>
      </c>
      <c r="D87" s="194" t="s">
        <v>1104</v>
      </c>
      <c r="E87" s="76">
        <v>2</v>
      </c>
      <c r="F87" s="75" t="s">
        <v>690</v>
      </c>
      <c r="G87" s="75" t="s">
        <v>691</v>
      </c>
      <c r="H87" s="75" t="s">
        <v>872</v>
      </c>
      <c r="I87" s="76">
        <v>1</v>
      </c>
      <c r="J87" s="77" t="s">
        <v>693</v>
      </c>
      <c r="K87" s="76">
        <v>4</v>
      </c>
      <c r="L87" s="76"/>
      <c r="M87" s="86" t="s">
        <v>694</v>
      </c>
      <c r="N87" s="75"/>
      <c r="O87" s="76" t="s">
        <v>695</v>
      </c>
      <c r="P87" s="77"/>
      <c r="Q87" s="86" t="s">
        <v>820</v>
      </c>
      <c r="R87" s="86" t="s">
        <v>821</v>
      </c>
      <c r="S87" s="86" t="s">
        <v>1166</v>
      </c>
      <c r="T87" s="86" t="s">
        <v>1167</v>
      </c>
      <c r="U87" s="86" t="s">
        <v>1168</v>
      </c>
      <c r="V87" s="233" t="s">
        <v>1169</v>
      </c>
      <c r="W87" s="75"/>
      <c r="X87" s="84" t="s">
        <v>1098</v>
      </c>
      <c r="Y87" s="86" t="s">
        <v>1101</v>
      </c>
      <c r="Z87" s="86" t="s">
        <v>1101</v>
      </c>
      <c r="AA87" s="201" t="s">
        <v>1165</v>
      </c>
    </row>
    <row r="88" spans="1:27" s="33" customFormat="1" ht="99.75" hidden="1" customHeight="1">
      <c r="A88" s="27"/>
      <c r="B88" s="157" t="s">
        <v>1170</v>
      </c>
      <c r="C88" s="158" t="s">
        <v>1171</v>
      </c>
      <c r="D88" s="158" t="s">
        <v>1172</v>
      </c>
      <c r="E88" s="160">
        <v>2</v>
      </c>
      <c r="F88" s="158" t="s">
        <v>690</v>
      </c>
      <c r="G88" s="158" t="s">
        <v>691</v>
      </c>
      <c r="H88" s="75" t="s">
        <v>872</v>
      </c>
      <c r="I88" s="76">
        <v>1</v>
      </c>
      <c r="J88" s="75" t="s">
        <v>693</v>
      </c>
      <c r="K88" s="76">
        <v>4</v>
      </c>
      <c r="L88" s="76"/>
      <c r="M88" s="84" t="s">
        <v>694</v>
      </c>
      <c r="N88" s="75"/>
      <c r="O88" s="76" t="s">
        <v>695</v>
      </c>
      <c r="P88" s="77"/>
      <c r="Q88" s="130" t="s">
        <v>873</v>
      </c>
      <c r="R88" s="133" t="s">
        <v>874</v>
      </c>
      <c r="S88" s="86" t="s">
        <v>1173</v>
      </c>
      <c r="T88" s="86" t="s">
        <v>1174</v>
      </c>
      <c r="U88" s="86" t="s">
        <v>1175</v>
      </c>
      <c r="V88" s="233" t="s">
        <v>1176</v>
      </c>
      <c r="W88" s="75"/>
      <c r="X88" s="87" t="s">
        <v>1177</v>
      </c>
      <c r="Y88" s="84" t="s">
        <v>1101</v>
      </c>
      <c r="Z88" s="84" t="s">
        <v>1101</v>
      </c>
      <c r="AA88" s="131" t="s">
        <v>1165</v>
      </c>
    </row>
    <row r="89" spans="1:27" s="33" customFormat="1" ht="99.75" hidden="1" customHeight="1">
      <c r="A89" s="27"/>
      <c r="B89" s="157" t="s">
        <v>1170</v>
      </c>
      <c r="C89" s="158" t="s">
        <v>1171</v>
      </c>
      <c r="D89" s="158" t="s">
        <v>1172</v>
      </c>
      <c r="E89" s="160">
        <v>2</v>
      </c>
      <c r="F89" s="84" t="s">
        <v>705</v>
      </c>
      <c r="G89" s="84" t="s">
        <v>706</v>
      </c>
      <c r="H89" s="75" t="s">
        <v>872</v>
      </c>
      <c r="I89" s="76">
        <v>2</v>
      </c>
      <c r="J89" s="77" t="s">
        <v>693</v>
      </c>
      <c r="K89" s="76">
        <v>15</v>
      </c>
      <c r="L89" s="76"/>
      <c r="M89" s="84" t="s">
        <v>707</v>
      </c>
      <c r="N89" s="75"/>
      <c r="O89" s="76" t="s">
        <v>695</v>
      </c>
      <c r="P89" s="77"/>
      <c r="Q89" s="130" t="s">
        <v>873</v>
      </c>
      <c r="R89" s="133" t="s">
        <v>874</v>
      </c>
      <c r="S89" s="86" t="s">
        <v>1178</v>
      </c>
      <c r="T89" s="86" t="s">
        <v>1179</v>
      </c>
      <c r="U89" s="86" t="s">
        <v>1180</v>
      </c>
      <c r="V89" s="175" t="s">
        <v>1181</v>
      </c>
      <c r="W89" s="75"/>
      <c r="X89" s="87" t="s">
        <v>1177</v>
      </c>
      <c r="Y89" s="84" t="s">
        <v>1182</v>
      </c>
      <c r="Z89" s="84" t="s">
        <v>1183</v>
      </c>
      <c r="AA89" s="131" t="s">
        <v>1101</v>
      </c>
    </row>
    <row r="90" spans="1:27" s="33" customFormat="1" ht="99.75" hidden="1" customHeight="1">
      <c r="A90" s="27"/>
      <c r="B90" s="157" t="s">
        <v>1170</v>
      </c>
      <c r="C90" s="158" t="s">
        <v>1171</v>
      </c>
      <c r="D90" s="158" t="s">
        <v>1172</v>
      </c>
      <c r="E90" s="160">
        <v>2</v>
      </c>
      <c r="F90" s="84" t="s">
        <v>715</v>
      </c>
      <c r="G90" s="84" t="s">
        <v>716</v>
      </c>
      <c r="H90" s="75" t="s">
        <v>759</v>
      </c>
      <c r="I90" s="76">
        <v>3</v>
      </c>
      <c r="J90" s="75" t="s">
        <v>1139</v>
      </c>
      <c r="K90" s="76"/>
      <c r="L90" s="76"/>
      <c r="M90" s="84" t="s">
        <v>887</v>
      </c>
      <c r="N90" s="75"/>
      <c r="O90" s="76" t="s">
        <v>695</v>
      </c>
      <c r="P90" s="77"/>
      <c r="Q90" s="130" t="s">
        <v>888</v>
      </c>
      <c r="R90" s="133" t="s">
        <v>721</v>
      </c>
      <c r="S90" s="86" t="s">
        <v>1178</v>
      </c>
      <c r="T90" s="86" t="s">
        <v>1179</v>
      </c>
      <c r="U90" s="86" t="s">
        <v>1184</v>
      </c>
      <c r="V90" s="233" t="s">
        <v>1185</v>
      </c>
      <c r="W90" s="75" t="s">
        <v>6</v>
      </c>
      <c r="X90" s="87" t="s">
        <v>1177</v>
      </c>
      <c r="Y90" s="161" t="s">
        <v>1186</v>
      </c>
      <c r="Z90" s="84" t="s">
        <v>1187</v>
      </c>
      <c r="AA90" s="131" t="s">
        <v>1101</v>
      </c>
    </row>
    <row r="91" spans="1:27" s="33" customFormat="1" ht="99.75" hidden="1" customHeight="1">
      <c r="A91" s="27"/>
      <c r="B91" s="157" t="s">
        <v>1170</v>
      </c>
      <c r="C91" s="158" t="s">
        <v>1171</v>
      </c>
      <c r="D91" s="158" t="s">
        <v>1172</v>
      </c>
      <c r="E91" s="160">
        <v>2</v>
      </c>
      <c r="F91" s="84" t="s">
        <v>728</v>
      </c>
      <c r="G91" s="84" t="s">
        <v>729</v>
      </c>
      <c r="H91" s="75" t="s">
        <v>893</v>
      </c>
      <c r="I91" s="76">
        <v>4</v>
      </c>
      <c r="J91" s="75" t="s">
        <v>718</v>
      </c>
      <c r="K91" s="76"/>
      <c r="L91" s="76"/>
      <c r="M91" s="84" t="s">
        <v>894</v>
      </c>
      <c r="N91" s="75"/>
      <c r="O91" s="76" t="s">
        <v>695</v>
      </c>
      <c r="P91" s="77"/>
      <c r="Q91" s="130" t="s">
        <v>888</v>
      </c>
      <c r="R91" s="133" t="s">
        <v>721</v>
      </c>
      <c r="S91" s="86" t="s">
        <v>1178</v>
      </c>
      <c r="T91" s="86" t="s">
        <v>1179</v>
      </c>
      <c r="U91" s="86" t="s">
        <v>1188</v>
      </c>
      <c r="V91" s="233" t="s">
        <v>1189</v>
      </c>
      <c r="W91" s="75"/>
      <c r="X91" s="87" t="s">
        <v>1177</v>
      </c>
      <c r="Y91" s="161" t="s">
        <v>1186</v>
      </c>
      <c r="Z91" s="84" t="s">
        <v>1190</v>
      </c>
      <c r="AA91" s="131" t="s">
        <v>1101</v>
      </c>
    </row>
    <row r="92" spans="1:27" s="33" customFormat="1" ht="156" hidden="1" customHeight="1">
      <c r="A92" s="27"/>
      <c r="B92" s="157" t="s">
        <v>1170</v>
      </c>
      <c r="C92" s="158" t="s">
        <v>1171</v>
      </c>
      <c r="D92" s="158" t="s">
        <v>1172</v>
      </c>
      <c r="E92" s="160">
        <v>2</v>
      </c>
      <c r="F92" s="212" t="s">
        <v>736</v>
      </c>
      <c r="G92" s="159" t="s">
        <v>737</v>
      </c>
      <c r="H92" s="75" t="s">
        <v>779</v>
      </c>
      <c r="I92" s="76">
        <v>5</v>
      </c>
      <c r="J92" s="75" t="s">
        <v>693</v>
      </c>
      <c r="K92" s="76">
        <v>4</v>
      </c>
      <c r="L92" s="76"/>
      <c r="M92" s="159" t="s">
        <v>739</v>
      </c>
      <c r="N92" s="75"/>
      <c r="O92" s="76"/>
      <c r="P92" s="87" t="s">
        <v>1191</v>
      </c>
      <c r="Q92" s="130" t="s">
        <v>842</v>
      </c>
      <c r="R92" s="133" t="s">
        <v>843</v>
      </c>
      <c r="S92" s="86" t="s">
        <v>1192</v>
      </c>
      <c r="T92" s="86" t="s">
        <v>1193</v>
      </c>
      <c r="U92" s="86" t="s">
        <v>824</v>
      </c>
      <c r="V92" s="233" t="s">
        <v>1194</v>
      </c>
      <c r="W92" s="75"/>
      <c r="X92" s="87" t="s">
        <v>1177</v>
      </c>
      <c r="Y92" s="161" t="s">
        <v>1186</v>
      </c>
      <c r="Z92" s="84" t="s">
        <v>1195</v>
      </c>
      <c r="AA92" s="131" t="s">
        <v>1101</v>
      </c>
    </row>
    <row r="93" spans="1:27" s="33" customFormat="1" ht="99.75" hidden="1" customHeight="1">
      <c r="A93" s="27"/>
      <c r="B93" s="157" t="s">
        <v>1170</v>
      </c>
      <c r="C93" s="158" t="s">
        <v>1171</v>
      </c>
      <c r="D93" s="158" t="s">
        <v>1172</v>
      </c>
      <c r="E93" s="76">
        <v>2</v>
      </c>
      <c r="F93" s="194" t="s">
        <v>919</v>
      </c>
      <c r="G93" s="194" t="s">
        <v>920</v>
      </c>
      <c r="H93" s="75" t="s">
        <v>907</v>
      </c>
      <c r="I93" s="76">
        <v>6</v>
      </c>
      <c r="J93" s="75" t="s">
        <v>693</v>
      </c>
      <c r="K93" s="76">
        <v>4</v>
      </c>
      <c r="L93" s="76"/>
      <c r="M93" s="84" t="s">
        <v>921</v>
      </c>
      <c r="N93" s="75"/>
      <c r="O93" s="76"/>
      <c r="P93" s="77"/>
      <c r="Q93" s="193"/>
      <c r="R93" s="193"/>
      <c r="S93" s="86" t="s">
        <v>1178</v>
      </c>
      <c r="T93" s="86" t="s">
        <v>1179</v>
      </c>
      <c r="U93" s="86" t="s">
        <v>1196</v>
      </c>
      <c r="V93" s="233" t="s">
        <v>1197</v>
      </c>
      <c r="W93" s="75"/>
      <c r="X93" s="87" t="s">
        <v>1177</v>
      </c>
      <c r="Y93" s="161" t="s">
        <v>1186</v>
      </c>
      <c r="Z93" s="194" t="s">
        <v>1198</v>
      </c>
      <c r="AA93" s="131" t="s">
        <v>1101</v>
      </c>
    </row>
    <row r="94" spans="1:27" s="33" customFormat="1" ht="99.75" hidden="1" customHeight="1">
      <c r="A94" s="27"/>
      <c r="B94" s="157" t="s">
        <v>1170</v>
      </c>
      <c r="C94" s="158" t="s">
        <v>1171</v>
      </c>
      <c r="D94" s="158" t="s">
        <v>1172</v>
      </c>
      <c r="E94" s="160">
        <v>2</v>
      </c>
      <c r="F94" s="84" t="s">
        <v>926</v>
      </c>
      <c r="G94" s="84" t="s">
        <v>927</v>
      </c>
      <c r="H94" s="75" t="s">
        <v>768</v>
      </c>
      <c r="I94" s="76">
        <v>7</v>
      </c>
      <c r="J94" s="75" t="s">
        <v>693</v>
      </c>
      <c r="K94" s="76">
        <v>4</v>
      </c>
      <c r="L94" s="76"/>
      <c r="M94" s="84" t="s">
        <v>928</v>
      </c>
      <c r="N94" s="75"/>
      <c r="O94" s="76"/>
      <c r="P94" s="77"/>
      <c r="Q94" s="130" t="s">
        <v>752</v>
      </c>
      <c r="R94" s="133" t="s">
        <v>929</v>
      </c>
      <c r="S94" s="86" t="s">
        <v>1178</v>
      </c>
      <c r="T94" s="86" t="s">
        <v>1179</v>
      </c>
      <c r="U94" s="86" t="s">
        <v>1199</v>
      </c>
      <c r="V94" s="233" t="s">
        <v>1200</v>
      </c>
      <c r="W94" s="75"/>
      <c r="X94" s="87" t="s">
        <v>1177</v>
      </c>
      <c r="Y94" s="161" t="s">
        <v>1186</v>
      </c>
      <c r="Z94" s="84" t="s">
        <v>1201</v>
      </c>
      <c r="AA94" s="131" t="s">
        <v>1101</v>
      </c>
    </row>
    <row r="95" spans="1:27" s="33" customFormat="1" ht="99.75" hidden="1" customHeight="1">
      <c r="A95" s="27"/>
      <c r="B95" s="157" t="s">
        <v>1170</v>
      </c>
      <c r="C95" s="158" t="s">
        <v>1171</v>
      </c>
      <c r="D95" s="158" t="s">
        <v>1172</v>
      </c>
      <c r="E95" s="131">
        <v>2</v>
      </c>
      <c r="F95" s="194" t="s">
        <v>766</v>
      </c>
      <c r="G95" s="194" t="s">
        <v>767</v>
      </c>
      <c r="H95" s="75" t="s">
        <v>768</v>
      </c>
      <c r="I95" s="76">
        <v>8</v>
      </c>
      <c r="J95" s="75" t="s">
        <v>693</v>
      </c>
      <c r="K95" s="76">
        <v>4</v>
      </c>
      <c r="L95" s="76"/>
      <c r="M95" s="159" t="s">
        <v>769</v>
      </c>
      <c r="N95" s="75"/>
      <c r="O95" s="76"/>
      <c r="P95" s="77"/>
      <c r="Q95" s="193" t="s">
        <v>1202</v>
      </c>
      <c r="R95" s="193" t="s">
        <v>1203</v>
      </c>
      <c r="S95" s="86" t="s">
        <v>1178</v>
      </c>
      <c r="T95" s="86" t="s">
        <v>1179</v>
      </c>
      <c r="U95" s="86" t="s">
        <v>703</v>
      </c>
      <c r="V95" s="233" t="s">
        <v>1204</v>
      </c>
      <c r="W95" s="75"/>
      <c r="X95" s="87" t="s">
        <v>1177</v>
      </c>
      <c r="Y95" s="86" t="s">
        <v>1101</v>
      </c>
      <c r="Z95" s="194" t="s">
        <v>1101</v>
      </c>
      <c r="AA95" s="195" t="s">
        <v>1205</v>
      </c>
    </row>
    <row r="96" spans="1:27" s="33" customFormat="1" ht="158.25" hidden="1" customHeight="1">
      <c r="A96" s="27"/>
      <c r="B96" s="157" t="s">
        <v>1170</v>
      </c>
      <c r="C96" s="158" t="s">
        <v>1171</v>
      </c>
      <c r="D96" s="158" t="s">
        <v>1172</v>
      </c>
      <c r="E96" s="160">
        <v>2</v>
      </c>
      <c r="F96" s="84" t="s">
        <v>941</v>
      </c>
      <c r="G96" s="84" t="s">
        <v>942</v>
      </c>
      <c r="H96" s="75" t="s">
        <v>943</v>
      </c>
      <c r="I96" s="76">
        <v>9</v>
      </c>
      <c r="J96" s="75" t="s">
        <v>693</v>
      </c>
      <c r="K96" s="76">
        <v>16</v>
      </c>
      <c r="L96" s="76"/>
      <c r="M96" s="84" t="s">
        <v>944</v>
      </c>
      <c r="N96" s="75"/>
      <c r="O96" s="76"/>
      <c r="P96" s="77"/>
      <c r="Q96" s="130" t="s">
        <v>945</v>
      </c>
      <c r="R96" s="133" t="s">
        <v>941</v>
      </c>
      <c r="S96" s="86" t="s">
        <v>1178</v>
      </c>
      <c r="T96" s="86" t="s">
        <v>1179</v>
      </c>
      <c r="U96" s="86" t="s">
        <v>1206</v>
      </c>
      <c r="V96" s="233" t="s">
        <v>1207</v>
      </c>
      <c r="W96" s="75"/>
      <c r="X96" s="87" t="s">
        <v>1177</v>
      </c>
      <c r="Y96" s="161" t="s">
        <v>1186</v>
      </c>
      <c r="Z96" s="84" t="s">
        <v>1208</v>
      </c>
      <c r="AA96" s="131" t="s">
        <v>1101</v>
      </c>
    </row>
    <row r="97" spans="1:27" s="33" customFormat="1" ht="251.25" hidden="1" customHeight="1">
      <c r="A97" s="27"/>
      <c r="B97" s="157" t="s">
        <v>1170</v>
      </c>
      <c r="C97" s="158" t="s">
        <v>1171</v>
      </c>
      <c r="D97" s="158" t="s">
        <v>1172</v>
      </c>
      <c r="E97" s="160">
        <v>2</v>
      </c>
      <c r="F97" s="84" t="s">
        <v>950</v>
      </c>
      <c r="G97" s="84" t="s">
        <v>951</v>
      </c>
      <c r="H97" s="75" t="s">
        <v>952</v>
      </c>
      <c r="I97" s="76">
        <v>10</v>
      </c>
      <c r="J97" s="75" t="s">
        <v>1209</v>
      </c>
      <c r="K97" s="76"/>
      <c r="L97" s="76"/>
      <c r="M97" s="86" t="s">
        <v>953</v>
      </c>
      <c r="N97" s="75"/>
      <c r="O97" s="76"/>
      <c r="P97" s="77"/>
      <c r="Q97" s="158"/>
      <c r="R97" s="200"/>
      <c r="S97" s="86" t="s">
        <v>1210</v>
      </c>
      <c r="T97" s="86" t="s">
        <v>1211</v>
      </c>
      <c r="U97" s="86" t="s">
        <v>1212</v>
      </c>
      <c r="V97" s="233" t="s">
        <v>1213</v>
      </c>
      <c r="W97" s="75"/>
      <c r="X97" s="87" t="s">
        <v>1177</v>
      </c>
      <c r="Y97" s="86" t="s">
        <v>1214</v>
      </c>
      <c r="Z97" s="86" t="s">
        <v>1215</v>
      </c>
      <c r="AA97" s="131" t="s">
        <v>1101</v>
      </c>
    </row>
    <row r="98" spans="1:27" s="33" customFormat="1" ht="183.75" hidden="1" customHeight="1">
      <c r="A98" s="27"/>
      <c r="B98" s="157" t="s">
        <v>1170</v>
      </c>
      <c r="C98" s="158" t="s">
        <v>1171</v>
      </c>
      <c r="D98" s="158" t="s">
        <v>1172</v>
      </c>
      <c r="E98" s="160">
        <v>2</v>
      </c>
      <c r="F98" s="84" t="s">
        <v>959</v>
      </c>
      <c r="G98" s="84" t="s">
        <v>960</v>
      </c>
      <c r="H98" s="75" t="s">
        <v>768</v>
      </c>
      <c r="I98" s="76">
        <v>11</v>
      </c>
      <c r="J98" s="75" t="s">
        <v>693</v>
      </c>
      <c r="K98" s="76">
        <v>4</v>
      </c>
      <c r="L98" s="76"/>
      <c r="M98" s="84" t="s">
        <v>961</v>
      </c>
      <c r="N98" s="75"/>
      <c r="O98" s="76"/>
      <c r="P98" s="77"/>
      <c r="Q98" s="84" t="s">
        <v>752</v>
      </c>
      <c r="R98" s="84" t="s">
        <v>962</v>
      </c>
      <c r="S98" s="86" t="s">
        <v>1178</v>
      </c>
      <c r="T98" s="86" t="s">
        <v>1179</v>
      </c>
      <c r="U98" s="86" t="s">
        <v>1216</v>
      </c>
      <c r="V98" s="233" t="s">
        <v>1217</v>
      </c>
      <c r="W98" s="75"/>
      <c r="X98" s="87" t="s">
        <v>1177</v>
      </c>
      <c r="Y98" s="86" t="s">
        <v>1218</v>
      </c>
      <c r="Z98" s="84" t="s">
        <v>1219</v>
      </c>
      <c r="AA98" s="131" t="s">
        <v>1101</v>
      </c>
    </row>
    <row r="99" spans="1:27" s="33" customFormat="1" ht="99.75" hidden="1" customHeight="1">
      <c r="A99" s="27"/>
      <c r="B99" s="157" t="s">
        <v>1170</v>
      </c>
      <c r="C99" s="158" t="s">
        <v>1171</v>
      </c>
      <c r="D99" s="158" t="s">
        <v>1172</v>
      </c>
      <c r="E99" s="160">
        <v>2</v>
      </c>
      <c r="F99" s="84" t="s">
        <v>967</v>
      </c>
      <c r="G99" s="84" t="s">
        <v>968</v>
      </c>
      <c r="H99" s="75" t="s">
        <v>969</v>
      </c>
      <c r="I99" s="76">
        <v>12</v>
      </c>
      <c r="J99" s="75" t="s">
        <v>693</v>
      </c>
      <c r="K99" s="76">
        <v>4</v>
      </c>
      <c r="L99" s="76"/>
      <c r="M99" s="84" t="s">
        <v>970</v>
      </c>
      <c r="N99" s="75"/>
      <c r="O99" s="76"/>
      <c r="P99" s="87" t="s">
        <v>1220</v>
      </c>
      <c r="Q99" s="130" t="s">
        <v>945</v>
      </c>
      <c r="R99" s="133" t="s">
        <v>971</v>
      </c>
      <c r="S99" s="86" t="s">
        <v>1210</v>
      </c>
      <c r="T99" s="86" t="s">
        <v>1221</v>
      </c>
      <c r="U99" s="86" t="s">
        <v>1222</v>
      </c>
      <c r="V99" s="233" t="s">
        <v>1223</v>
      </c>
      <c r="W99" s="75"/>
      <c r="X99" s="87" t="s">
        <v>1177</v>
      </c>
      <c r="Y99" s="86" t="s">
        <v>1224</v>
      </c>
      <c r="Z99" s="84" t="s">
        <v>1225</v>
      </c>
      <c r="AA99" s="131" t="s">
        <v>1101</v>
      </c>
    </row>
    <row r="100" spans="1:27" s="33" customFormat="1" ht="204.75" hidden="1" customHeight="1">
      <c r="A100" s="27"/>
      <c r="B100" s="157" t="s">
        <v>1170</v>
      </c>
      <c r="C100" s="158" t="s">
        <v>1171</v>
      </c>
      <c r="D100" s="158" t="s">
        <v>1172</v>
      </c>
      <c r="E100" s="160">
        <v>2</v>
      </c>
      <c r="F100" s="84" t="s">
        <v>977</v>
      </c>
      <c r="G100" s="84" t="s">
        <v>978</v>
      </c>
      <c r="H100" s="75" t="s">
        <v>979</v>
      </c>
      <c r="I100" s="76">
        <v>13</v>
      </c>
      <c r="J100" s="75" t="s">
        <v>693</v>
      </c>
      <c r="K100" s="76">
        <v>4</v>
      </c>
      <c r="L100" s="76"/>
      <c r="M100" s="84" t="s">
        <v>980</v>
      </c>
      <c r="N100" s="75"/>
      <c r="O100" s="76"/>
      <c r="P100" s="87" t="s">
        <v>1220</v>
      </c>
      <c r="Q100" s="130" t="s">
        <v>945</v>
      </c>
      <c r="R100" s="133" t="s">
        <v>982</v>
      </c>
      <c r="S100" s="86" t="s">
        <v>1210</v>
      </c>
      <c r="T100" s="86" t="s">
        <v>1221</v>
      </c>
      <c r="U100" s="86" t="s">
        <v>1222</v>
      </c>
      <c r="V100" s="233" t="s">
        <v>1226</v>
      </c>
      <c r="W100" s="75"/>
      <c r="X100" s="87" t="s">
        <v>1177</v>
      </c>
      <c r="Y100" s="86" t="s">
        <v>1227</v>
      </c>
      <c r="Z100" s="84" t="s">
        <v>1228</v>
      </c>
      <c r="AA100" s="131" t="s">
        <v>1101</v>
      </c>
    </row>
    <row r="101" spans="1:27" s="33" customFormat="1" ht="99.75" hidden="1" customHeight="1">
      <c r="A101" s="27"/>
      <c r="B101" s="157" t="s">
        <v>1170</v>
      </c>
      <c r="C101" s="158" t="s">
        <v>1171</v>
      </c>
      <c r="D101" s="158" t="s">
        <v>1172</v>
      </c>
      <c r="E101" s="131">
        <v>2</v>
      </c>
      <c r="F101" s="158" t="s">
        <v>984</v>
      </c>
      <c r="G101" s="158" t="s">
        <v>985</v>
      </c>
      <c r="H101" s="75" t="s">
        <v>779</v>
      </c>
      <c r="I101" s="76">
        <v>14</v>
      </c>
      <c r="J101" s="75" t="s">
        <v>693</v>
      </c>
      <c r="K101" s="76">
        <v>4</v>
      </c>
      <c r="L101" s="76"/>
      <c r="M101" s="84" t="s">
        <v>986</v>
      </c>
      <c r="N101" s="75"/>
      <c r="O101" s="76"/>
      <c r="P101" s="87" t="s">
        <v>1229</v>
      </c>
      <c r="Q101" s="130" t="s">
        <v>752</v>
      </c>
      <c r="R101" s="200" t="s">
        <v>988</v>
      </c>
      <c r="S101" s="86" t="s">
        <v>1178</v>
      </c>
      <c r="T101" s="86" t="s">
        <v>1179</v>
      </c>
      <c r="U101" s="86" t="s">
        <v>1230</v>
      </c>
      <c r="V101" s="233" t="s">
        <v>1231</v>
      </c>
      <c r="W101" s="75"/>
      <c r="X101" s="87" t="s">
        <v>1177</v>
      </c>
      <c r="Y101" s="161" t="s">
        <v>1186</v>
      </c>
      <c r="Z101" s="84" t="s">
        <v>1232</v>
      </c>
      <c r="AA101" s="131" t="s">
        <v>1101</v>
      </c>
    </row>
    <row r="102" spans="1:27" s="33" customFormat="1" ht="216" hidden="1" customHeight="1">
      <c r="A102" s="27"/>
      <c r="B102" s="157" t="s">
        <v>1170</v>
      </c>
      <c r="C102" s="158" t="s">
        <v>1171</v>
      </c>
      <c r="D102" s="158" t="s">
        <v>1172</v>
      </c>
      <c r="E102" s="131">
        <v>2</v>
      </c>
      <c r="F102" s="159" t="s">
        <v>777</v>
      </c>
      <c r="G102" s="159" t="s">
        <v>778</v>
      </c>
      <c r="H102" s="75" t="s">
        <v>779</v>
      </c>
      <c r="I102" s="76">
        <v>15</v>
      </c>
      <c r="J102" s="75" t="s">
        <v>693</v>
      </c>
      <c r="K102" s="76">
        <v>4</v>
      </c>
      <c r="L102" s="76"/>
      <c r="M102" s="84" t="s">
        <v>780</v>
      </c>
      <c r="N102" s="75"/>
      <c r="O102" s="76"/>
      <c r="P102" s="87" t="s">
        <v>1229</v>
      </c>
      <c r="Q102" s="130" t="s">
        <v>752</v>
      </c>
      <c r="R102" s="133" t="s">
        <v>782</v>
      </c>
      <c r="S102" s="86" t="s">
        <v>1178</v>
      </c>
      <c r="T102" s="86" t="s">
        <v>1179</v>
      </c>
      <c r="U102" s="86" t="s">
        <v>1233</v>
      </c>
      <c r="V102" s="233" t="s">
        <v>1234</v>
      </c>
      <c r="W102" s="75"/>
      <c r="X102" s="87" t="s">
        <v>1177</v>
      </c>
      <c r="Y102" s="161" t="s">
        <v>1186</v>
      </c>
      <c r="Z102" s="84" t="s">
        <v>1235</v>
      </c>
      <c r="AA102" s="131" t="s">
        <v>1101</v>
      </c>
    </row>
    <row r="103" spans="1:27" s="33" customFormat="1" ht="166.5" hidden="1" customHeight="1">
      <c r="A103" s="27"/>
      <c r="B103" s="157" t="s">
        <v>1170</v>
      </c>
      <c r="C103" s="158" t="s">
        <v>1171</v>
      </c>
      <c r="D103" s="158" t="s">
        <v>1172</v>
      </c>
      <c r="E103" s="160">
        <v>2</v>
      </c>
      <c r="F103" s="84" t="s">
        <v>790</v>
      </c>
      <c r="G103" s="84" t="s">
        <v>791</v>
      </c>
      <c r="H103" s="75" t="s">
        <v>750</v>
      </c>
      <c r="I103" s="76">
        <v>16</v>
      </c>
      <c r="J103" s="75" t="s">
        <v>693</v>
      </c>
      <c r="K103" s="76">
        <v>10</v>
      </c>
      <c r="L103" s="76"/>
      <c r="M103" s="84" t="s">
        <v>792</v>
      </c>
      <c r="N103" s="75"/>
      <c r="O103" s="76"/>
      <c r="P103" s="77"/>
      <c r="Q103" s="130" t="s">
        <v>752</v>
      </c>
      <c r="R103" s="133" t="s">
        <v>793</v>
      </c>
      <c r="S103" s="86" t="s">
        <v>1178</v>
      </c>
      <c r="T103" s="86" t="s">
        <v>1179</v>
      </c>
      <c r="U103" s="86" t="s">
        <v>1236</v>
      </c>
      <c r="V103" s="233" t="s">
        <v>1237</v>
      </c>
      <c r="W103" s="75"/>
      <c r="X103" s="87" t="s">
        <v>1177</v>
      </c>
      <c r="Y103" s="161" t="s">
        <v>1186</v>
      </c>
      <c r="Z103" s="84" t="s">
        <v>1238</v>
      </c>
      <c r="AA103" s="131" t="s">
        <v>1101</v>
      </c>
    </row>
    <row r="104" spans="1:27" s="33" customFormat="1" ht="99.75" hidden="1" customHeight="1">
      <c r="A104" s="27"/>
      <c r="B104" s="157" t="s">
        <v>1170</v>
      </c>
      <c r="C104" s="158" t="s">
        <v>1171</v>
      </c>
      <c r="D104" s="158" t="s">
        <v>1172</v>
      </c>
      <c r="E104" s="160">
        <v>2</v>
      </c>
      <c r="F104" s="84" t="s">
        <v>748</v>
      </c>
      <c r="G104" s="84" t="s">
        <v>749</v>
      </c>
      <c r="H104" s="75" t="s">
        <v>750</v>
      </c>
      <c r="I104" s="76">
        <v>17</v>
      </c>
      <c r="J104" s="75" t="s">
        <v>693</v>
      </c>
      <c r="K104" s="76">
        <v>10</v>
      </c>
      <c r="L104" s="76"/>
      <c r="M104" s="84" t="s">
        <v>751</v>
      </c>
      <c r="N104" s="75"/>
      <c r="O104" s="76"/>
      <c r="P104" s="77"/>
      <c r="Q104" s="130" t="s">
        <v>752</v>
      </c>
      <c r="R104" s="133" t="s">
        <v>753</v>
      </c>
      <c r="S104" s="86" t="s">
        <v>1178</v>
      </c>
      <c r="T104" s="86" t="s">
        <v>1179</v>
      </c>
      <c r="U104" s="86" t="s">
        <v>1239</v>
      </c>
      <c r="V104" s="233" t="s">
        <v>1240</v>
      </c>
      <c r="W104" s="75"/>
      <c r="X104" s="87" t="s">
        <v>1177</v>
      </c>
      <c r="Y104" s="161" t="s">
        <v>1186</v>
      </c>
      <c r="Z104" s="84" t="s">
        <v>1241</v>
      </c>
      <c r="AA104" s="131" t="s">
        <v>1101</v>
      </c>
    </row>
    <row r="105" spans="1:27" s="33" customFormat="1" ht="99.75" hidden="1" customHeight="1">
      <c r="A105" s="27"/>
      <c r="B105" s="157" t="s">
        <v>1170</v>
      </c>
      <c r="C105" s="158" t="s">
        <v>1171</v>
      </c>
      <c r="D105" s="158" t="s">
        <v>1172</v>
      </c>
      <c r="E105" s="131">
        <v>2</v>
      </c>
      <c r="F105" s="158" t="s">
        <v>1002</v>
      </c>
      <c r="G105" s="158" t="s">
        <v>1003</v>
      </c>
      <c r="H105" s="75" t="s">
        <v>759</v>
      </c>
      <c r="I105" s="76">
        <v>18</v>
      </c>
      <c r="J105" s="75" t="s">
        <v>760</v>
      </c>
      <c r="K105" s="76">
        <v>23</v>
      </c>
      <c r="L105" s="76">
        <v>6</v>
      </c>
      <c r="M105" s="84" t="s">
        <v>1004</v>
      </c>
      <c r="N105" s="75"/>
      <c r="O105" s="76"/>
      <c r="P105" s="77"/>
      <c r="Q105" s="130" t="s">
        <v>752</v>
      </c>
      <c r="R105" s="200" t="s">
        <v>1005</v>
      </c>
      <c r="S105" s="86" t="s">
        <v>1210</v>
      </c>
      <c r="T105" s="86" t="s">
        <v>1242</v>
      </c>
      <c r="U105" s="233" t="s">
        <v>1243</v>
      </c>
      <c r="V105" s="233" t="s">
        <v>1244</v>
      </c>
      <c r="W105" s="75" t="s">
        <v>6</v>
      </c>
      <c r="X105" s="87" t="s">
        <v>1177</v>
      </c>
      <c r="Y105" s="86" t="s">
        <v>1245</v>
      </c>
      <c r="Z105" s="84" t="s">
        <v>1246</v>
      </c>
      <c r="AA105" s="131" t="s">
        <v>1247</v>
      </c>
    </row>
    <row r="106" spans="1:27" s="33" customFormat="1" ht="99.75" hidden="1" customHeight="1">
      <c r="A106" s="27"/>
      <c r="B106" s="157" t="s">
        <v>1170</v>
      </c>
      <c r="C106" s="158" t="s">
        <v>1171</v>
      </c>
      <c r="D106" s="158" t="s">
        <v>1172</v>
      </c>
      <c r="E106" s="131">
        <v>2</v>
      </c>
      <c r="F106" s="84" t="s">
        <v>757</v>
      </c>
      <c r="G106" s="84" t="s">
        <v>758</v>
      </c>
      <c r="H106" s="75" t="s">
        <v>759</v>
      </c>
      <c r="I106" s="76">
        <v>19</v>
      </c>
      <c r="J106" s="75" t="s">
        <v>760</v>
      </c>
      <c r="K106" s="76">
        <v>23</v>
      </c>
      <c r="L106" s="76">
        <v>6</v>
      </c>
      <c r="M106" s="84" t="s">
        <v>761</v>
      </c>
      <c r="N106" s="75"/>
      <c r="O106" s="76"/>
      <c r="P106" s="77"/>
      <c r="Q106" s="130" t="s">
        <v>752</v>
      </c>
      <c r="R106" s="133" t="s">
        <v>762</v>
      </c>
      <c r="S106" s="86" t="s">
        <v>1210</v>
      </c>
      <c r="T106" s="86" t="s">
        <v>1242</v>
      </c>
      <c r="U106" s="233" t="s">
        <v>1248</v>
      </c>
      <c r="V106" s="233" t="s">
        <v>1249</v>
      </c>
      <c r="W106" s="75"/>
      <c r="X106" s="87" t="s">
        <v>1177</v>
      </c>
      <c r="Y106" s="161" t="s">
        <v>1250</v>
      </c>
      <c r="Z106" s="84" t="s">
        <v>1251</v>
      </c>
      <c r="AA106" s="131" t="s">
        <v>1101</v>
      </c>
    </row>
    <row r="107" spans="1:27" s="33" customFormat="1" ht="99.75" hidden="1" customHeight="1">
      <c r="A107" s="27"/>
      <c r="B107" s="157" t="s">
        <v>1170</v>
      </c>
      <c r="C107" s="158" t="s">
        <v>1171</v>
      </c>
      <c r="D107" s="158" t="s">
        <v>1172</v>
      </c>
      <c r="E107" s="131">
        <v>2</v>
      </c>
      <c r="F107" s="158" t="s">
        <v>1016</v>
      </c>
      <c r="G107" s="158" t="s">
        <v>1017</v>
      </c>
      <c r="H107" s="75" t="s">
        <v>1018</v>
      </c>
      <c r="I107" s="76">
        <v>20</v>
      </c>
      <c r="J107" s="75" t="s">
        <v>693</v>
      </c>
      <c r="K107" s="76">
        <v>4</v>
      </c>
      <c r="L107" s="76"/>
      <c r="M107" s="84" t="s">
        <v>1019</v>
      </c>
      <c r="N107" s="75"/>
      <c r="O107" s="76"/>
      <c r="P107" s="87" t="s">
        <v>1252</v>
      </c>
      <c r="Q107" s="75" t="s">
        <v>945</v>
      </c>
      <c r="R107" s="75" t="s">
        <v>1021</v>
      </c>
      <c r="S107" s="86" t="s">
        <v>1178</v>
      </c>
      <c r="T107" s="86" t="s">
        <v>1179</v>
      </c>
      <c r="U107" s="86" t="s">
        <v>1253</v>
      </c>
      <c r="V107" s="233" t="s">
        <v>1254</v>
      </c>
      <c r="W107" s="75"/>
      <c r="X107" s="87" t="s">
        <v>1177</v>
      </c>
      <c r="Y107" s="161" t="s">
        <v>1186</v>
      </c>
      <c r="Z107" s="86" t="s">
        <v>1255</v>
      </c>
      <c r="AA107" s="131" t="s">
        <v>1101</v>
      </c>
    </row>
    <row r="108" spans="1:27" s="33" customFormat="1" ht="99.75" hidden="1" customHeight="1">
      <c r="A108" s="27"/>
      <c r="B108" s="157" t="s">
        <v>1170</v>
      </c>
      <c r="C108" s="158" t="s">
        <v>1171</v>
      </c>
      <c r="D108" s="158" t="s">
        <v>1172</v>
      </c>
      <c r="E108" s="131">
        <v>2</v>
      </c>
      <c r="F108" s="158" t="s">
        <v>1027</v>
      </c>
      <c r="G108" s="158" t="s">
        <v>1028</v>
      </c>
      <c r="H108" s="75" t="s">
        <v>1029</v>
      </c>
      <c r="I108" s="76">
        <v>21</v>
      </c>
      <c r="J108" s="75" t="s">
        <v>693</v>
      </c>
      <c r="K108" s="76"/>
      <c r="L108" s="76"/>
      <c r="M108" s="84" t="s">
        <v>1030</v>
      </c>
      <c r="N108" s="75"/>
      <c r="O108" s="76"/>
      <c r="P108" s="77"/>
      <c r="Q108" s="86" t="s">
        <v>888</v>
      </c>
      <c r="R108" s="86" t="s">
        <v>1031</v>
      </c>
      <c r="S108" s="86" t="s">
        <v>1178</v>
      </c>
      <c r="T108" s="86" t="s">
        <v>1179</v>
      </c>
      <c r="U108" s="86" t="s">
        <v>1256</v>
      </c>
      <c r="V108" s="233" t="s">
        <v>1257</v>
      </c>
      <c r="W108" s="75"/>
      <c r="X108" s="87" t="s">
        <v>1177</v>
      </c>
      <c r="Y108" s="161" t="s">
        <v>1186</v>
      </c>
      <c r="Z108" s="86" t="s">
        <v>1258</v>
      </c>
      <c r="AA108" s="131" t="s">
        <v>1101</v>
      </c>
    </row>
    <row r="109" spans="1:27" s="33" customFormat="1" ht="132" hidden="1" customHeight="1">
      <c r="A109" s="27"/>
      <c r="B109" s="157" t="s">
        <v>1170</v>
      </c>
      <c r="C109" s="158" t="s">
        <v>1171</v>
      </c>
      <c r="D109" s="158" t="s">
        <v>1172</v>
      </c>
      <c r="E109" s="131">
        <v>2</v>
      </c>
      <c r="F109" s="84" t="s">
        <v>1037</v>
      </c>
      <c r="G109" s="84" t="s">
        <v>1038</v>
      </c>
      <c r="H109" s="75" t="s">
        <v>1018</v>
      </c>
      <c r="I109" s="76">
        <v>22</v>
      </c>
      <c r="J109" s="75" t="s">
        <v>693</v>
      </c>
      <c r="K109" s="76">
        <v>10</v>
      </c>
      <c r="L109" s="76"/>
      <c r="M109" s="84" t="s">
        <v>1039</v>
      </c>
      <c r="N109" s="75"/>
      <c r="O109" s="76"/>
      <c r="P109" s="87" t="s">
        <v>1259</v>
      </c>
      <c r="Q109" s="130" t="s">
        <v>945</v>
      </c>
      <c r="R109" s="133" t="s">
        <v>1037</v>
      </c>
      <c r="S109" s="86" t="s">
        <v>1178</v>
      </c>
      <c r="T109" s="86" t="s">
        <v>1179</v>
      </c>
      <c r="U109" s="86" t="s">
        <v>1260</v>
      </c>
      <c r="V109" s="233" t="s">
        <v>1261</v>
      </c>
      <c r="W109" s="75"/>
      <c r="X109" s="87" t="s">
        <v>1177</v>
      </c>
      <c r="Y109" s="161" t="s">
        <v>1262</v>
      </c>
      <c r="Z109" s="84" t="s">
        <v>1263</v>
      </c>
      <c r="AA109" s="131" t="s">
        <v>1264</v>
      </c>
    </row>
    <row r="110" spans="1:27" s="33" customFormat="1" ht="156" hidden="1" customHeight="1">
      <c r="A110" s="27"/>
      <c r="B110" s="157" t="s">
        <v>1170</v>
      </c>
      <c r="C110" s="158" t="s">
        <v>1171</v>
      </c>
      <c r="D110" s="158" t="s">
        <v>1172</v>
      </c>
      <c r="E110" s="131">
        <v>2</v>
      </c>
      <c r="F110" s="84" t="s">
        <v>1045</v>
      </c>
      <c r="G110" s="84" t="s">
        <v>1046</v>
      </c>
      <c r="H110" s="75" t="s">
        <v>1047</v>
      </c>
      <c r="I110" s="76">
        <v>23</v>
      </c>
      <c r="J110" s="75" t="s">
        <v>693</v>
      </c>
      <c r="K110" s="76">
        <v>10</v>
      </c>
      <c r="L110" s="76"/>
      <c r="M110" s="84" t="s">
        <v>1048</v>
      </c>
      <c r="N110" s="75"/>
      <c r="O110" s="76"/>
      <c r="P110" s="87" t="s">
        <v>1265</v>
      </c>
      <c r="Q110" s="130" t="s">
        <v>945</v>
      </c>
      <c r="R110" s="133" t="s">
        <v>1045</v>
      </c>
      <c r="S110" s="86" t="s">
        <v>1178</v>
      </c>
      <c r="T110" s="86" t="s">
        <v>1179</v>
      </c>
      <c r="U110" s="86" t="s">
        <v>1260</v>
      </c>
      <c r="V110" s="233" t="s">
        <v>1266</v>
      </c>
      <c r="W110" s="75"/>
      <c r="X110" s="87" t="s">
        <v>1177</v>
      </c>
      <c r="Y110" s="161" t="s">
        <v>1262</v>
      </c>
      <c r="Z110" s="84" t="s">
        <v>1263</v>
      </c>
      <c r="AA110" s="131" t="s">
        <v>1264</v>
      </c>
    </row>
    <row r="111" spans="1:27" s="33" customFormat="1" ht="99.75" hidden="1" customHeight="1">
      <c r="A111" s="27"/>
      <c r="B111" s="157" t="s">
        <v>1170</v>
      </c>
      <c r="C111" s="158" t="s">
        <v>1171</v>
      </c>
      <c r="D111" s="158" t="s">
        <v>1172</v>
      </c>
      <c r="E111" s="160">
        <v>2</v>
      </c>
      <c r="F111" s="84" t="s">
        <v>1051</v>
      </c>
      <c r="G111" s="84" t="s">
        <v>1052</v>
      </c>
      <c r="H111" s="75" t="s">
        <v>1053</v>
      </c>
      <c r="I111" s="76">
        <v>24</v>
      </c>
      <c r="J111" s="75" t="s">
        <v>693</v>
      </c>
      <c r="K111" s="76">
        <v>20</v>
      </c>
      <c r="L111" s="76"/>
      <c r="M111" s="84" t="s">
        <v>1054</v>
      </c>
      <c r="N111" s="75"/>
      <c r="O111" s="76"/>
      <c r="P111" s="87"/>
      <c r="Q111" s="130" t="s">
        <v>945</v>
      </c>
      <c r="R111" s="133" t="s">
        <v>1051</v>
      </c>
      <c r="S111" s="86" t="s">
        <v>1178</v>
      </c>
      <c r="T111" s="86" t="s">
        <v>1267</v>
      </c>
      <c r="U111" s="86" t="s">
        <v>1268</v>
      </c>
      <c r="V111" s="266" t="s">
        <v>1269</v>
      </c>
      <c r="W111" s="75"/>
      <c r="X111" s="87" t="s">
        <v>1177</v>
      </c>
      <c r="Y111" s="84" t="s">
        <v>1270</v>
      </c>
      <c r="Z111" s="84" t="s">
        <v>1271</v>
      </c>
      <c r="AA111" s="131" t="s">
        <v>1101</v>
      </c>
    </row>
    <row r="112" spans="1:27" s="33" customFormat="1" ht="99.75" hidden="1" customHeight="1">
      <c r="A112" s="27"/>
      <c r="B112" s="157" t="s">
        <v>1170</v>
      </c>
      <c r="C112" s="158" t="s">
        <v>1171</v>
      </c>
      <c r="D112" s="158" t="s">
        <v>1172</v>
      </c>
      <c r="E112" s="160">
        <v>2</v>
      </c>
      <c r="F112" s="84" t="s">
        <v>1060</v>
      </c>
      <c r="G112" s="84" t="s">
        <v>1061</v>
      </c>
      <c r="H112" s="75" t="s">
        <v>1062</v>
      </c>
      <c r="I112" s="76">
        <v>25</v>
      </c>
      <c r="J112" s="75" t="s">
        <v>693</v>
      </c>
      <c r="K112" s="76">
        <v>10</v>
      </c>
      <c r="L112" s="76"/>
      <c r="M112" s="84" t="s">
        <v>1063</v>
      </c>
      <c r="N112" s="75"/>
      <c r="O112" s="76"/>
      <c r="P112" s="87" t="s">
        <v>1272</v>
      </c>
      <c r="Q112" s="130" t="s">
        <v>945</v>
      </c>
      <c r="R112" s="133" t="s">
        <v>1065</v>
      </c>
      <c r="S112" s="86" t="s">
        <v>1178</v>
      </c>
      <c r="T112" s="86" t="s">
        <v>1179</v>
      </c>
      <c r="U112" s="86" t="s">
        <v>1273</v>
      </c>
      <c r="V112" s="233" t="s">
        <v>1274</v>
      </c>
      <c r="W112" s="75"/>
      <c r="X112" s="87" t="s">
        <v>1177</v>
      </c>
      <c r="Y112" s="161" t="s">
        <v>1186</v>
      </c>
      <c r="Z112" s="84" t="s">
        <v>1275</v>
      </c>
      <c r="AA112" s="131" t="s">
        <v>1101</v>
      </c>
    </row>
    <row r="113" spans="1:27" s="33" customFormat="1" ht="99.75" hidden="1" customHeight="1">
      <c r="A113" s="27"/>
      <c r="B113" s="157" t="s">
        <v>1170</v>
      </c>
      <c r="C113" s="158" t="s">
        <v>1171</v>
      </c>
      <c r="D113" s="158" t="s">
        <v>1172</v>
      </c>
      <c r="E113" s="160">
        <v>2</v>
      </c>
      <c r="F113" s="77" t="s">
        <v>797</v>
      </c>
      <c r="G113" s="77" t="s">
        <v>798</v>
      </c>
      <c r="H113" s="77" t="s">
        <v>799</v>
      </c>
      <c r="I113" s="76">
        <v>26</v>
      </c>
      <c r="J113" s="77" t="s">
        <v>693</v>
      </c>
      <c r="K113" s="76">
        <v>2</v>
      </c>
      <c r="L113" s="76"/>
      <c r="M113" s="86" t="s">
        <v>800</v>
      </c>
      <c r="N113" s="86"/>
      <c r="O113" s="76"/>
      <c r="P113" s="86" t="s">
        <v>1276</v>
      </c>
      <c r="Q113" s="87"/>
      <c r="R113" s="77"/>
      <c r="S113" s="86" t="s">
        <v>1178</v>
      </c>
      <c r="T113" s="86" t="s">
        <v>1179</v>
      </c>
      <c r="U113" s="86" t="s">
        <v>703</v>
      </c>
      <c r="V113" s="233" t="s">
        <v>1277</v>
      </c>
      <c r="W113" s="76"/>
      <c r="X113" s="87" t="s">
        <v>1177</v>
      </c>
      <c r="Y113" s="87" t="s">
        <v>1101</v>
      </c>
      <c r="Z113" s="87" t="s">
        <v>1101</v>
      </c>
      <c r="AA113" s="201" t="s">
        <v>1278</v>
      </c>
    </row>
    <row r="114" spans="1:27" s="33" customFormat="1" ht="99.75" hidden="1" customHeight="1">
      <c r="A114" s="27"/>
      <c r="B114" s="157" t="s">
        <v>1170</v>
      </c>
      <c r="C114" s="158" t="s">
        <v>1171</v>
      </c>
      <c r="D114" s="158" t="s">
        <v>1172</v>
      </c>
      <c r="E114" s="160">
        <v>2</v>
      </c>
      <c r="F114" s="84" t="s">
        <v>805</v>
      </c>
      <c r="G114" s="84" t="s">
        <v>806</v>
      </c>
      <c r="H114" s="75" t="s">
        <v>807</v>
      </c>
      <c r="I114" s="76">
        <v>27</v>
      </c>
      <c r="J114" s="75" t="s">
        <v>693</v>
      </c>
      <c r="K114" s="76">
        <v>10</v>
      </c>
      <c r="L114" s="76"/>
      <c r="M114" s="84" t="s">
        <v>808</v>
      </c>
      <c r="N114" s="75"/>
      <c r="O114" s="76" t="s">
        <v>695</v>
      </c>
      <c r="P114" s="77"/>
      <c r="Q114" s="84"/>
      <c r="R114" s="84"/>
      <c r="S114" s="86" t="s">
        <v>1178</v>
      </c>
      <c r="T114" s="86" t="s">
        <v>1179</v>
      </c>
      <c r="U114" s="86" t="s">
        <v>1279</v>
      </c>
      <c r="V114" s="233" t="s">
        <v>1280</v>
      </c>
      <c r="W114" s="75"/>
      <c r="X114" s="87" t="s">
        <v>1101</v>
      </c>
      <c r="Y114" s="87" t="s">
        <v>1101</v>
      </c>
      <c r="Z114" s="87" t="s">
        <v>1101</v>
      </c>
      <c r="AA114" s="131" t="s">
        <v>1101</v>
      </c>
    </row>
    <row r="115" spans="1:27" s="33" customFormat="1" ht="99.75" hidden="1" customHeight="1">
      <c r="A115" s="27"/>
      <c r="B115" s="157" t="s">
        <v>1170</v>
      </c>
      <c r="C115" s="158" t="s">
        <v>1171</v>
      </c>
      <c r="D115" s="158" t="s">
        <v>1172</v>
      </c>
      <c r="E115" s="160">
        <v>2</v>
      </c>
      <c r="F115" s="84" t="s">
        <v>812</v>
      </c>
      <c r="G115" s="84" t="s">
        <v>813</v>
      </c>
      <c r="H115" s="75" t="s">
        <v>814</v>
      </c>
      <c r="I115" s="76">
        <v>28</v>
      </c>
      <c r="J115" s="75" t="s">
        <v>815</v>
      </c>
      <c r="K115" s="76">
        <v>23</v>
      </c>
      <c r="L115" s="76"/>
      <c r="M115" s="84" t="s">
        <v>816</v>
      </c>
      <c r="N115" s="75"/>
      <c r="O115" s="76"/>
      <c r="P115" s="77"/>
      <c r="Q115" s="84"/>
      <c r="R115" s="84"/>
      <c r="S115" s="86" t="s">
        <v>1178</v>
      </c>
      <c r="T115" s="86" t="s">
        <v>1179</v>
      </c>
      <c r="U115" s="86" t="s">
        <v>703</v>
      </c>
      <c r="V115" s="233" t="s">
        <v>1281</v>
      </c>
      <c r="W115" s="75"/>
      <c r="X115" s="87" t="s">
        <v>1101</v>
      </c>
      <c r="Y115" s="87" t="s">
        <v>1101</v>
      </c>
      <c r="Z115" s="87" t="s">
        <v>1101</v>
      </c>
      <c r="AA115" s="131" t="s">
        <v>1101</v>
      </c>
    </row>
    <row r="116" spans="1:27" s="33" customFormat="1" ht="280.5" hidden="1" customHeight="1">
      <c r="A116" s="27"/>
      <c r="B116" s="84" t="s">
        <v>1282</v>
      </c>
      <c r="C116" s="84" t="s">
        <v>1283</v>
      </c>
      <c r="D116" s="84" t="s">
        <v>1284</v>
      </c>
      <c r="E116" s="131">
        <v>2</v>
      </c>
      <c r="F116" s="84" t="s">
        <v>690</v>
      </c>
      <c r="G116" s="84" t="s">
        <v>691</v>
      </c>
      <c r="H116" s="75" t="s">
        <v>872</v>
      </c>
      <c r="I116" s="76">
        <v>1</v>
      </c>
      <c r="J116" s="75" t="s">
        <v>693</v>
      </c>
      <c r="K116" s="76">
        <v>4</v>
      </c>
      <c r="L116" s="76"/>
      <c r="M116" s="86" t="s">
        <v>694</v>
      </c>
      <c r="N116" s="75"/>
      <c r="O116" s="76" t="s">
        <v>695</v>
      </c>
      <c r="P116" s="77"/>
      <c r="Q116" s="130" t="s">
        <v>1285</v>
      </c>
      <c r="R116" s="133" t="s">
        <v>1286</v>
      </c>
      <c r="S116" s="86" t="s">
        <v>1287</v>
      </c>
      <c r="T116" s="86" t="s">
        <v>1288</v>
      </c>
      <c r="U116" s="86" t="s">
        <v>877</v>
      </c>
      <c r="V116" s="86" t="s">
        <v>1289</v>
      </c>
      <c r="W116" s="75"/>
      <c r="X116" s="84" t="s">
        <v>1290</v>
      </c>
      <c r="Y116" s="84" t="s">
        <v>1291</v>
      </c>
      <c r="Z116" s="84" t="s">
        <v>1291</v>
      </c>
      <c r="AA116" s="131" t="s">
        <v>1292</v>
      </c>
    </row>
    <row r="117" spans="1:27" s="33" customFormat="1" ht="306.75" hidden="1" customHeight="1">
      <c r="A117" s="27"/>
      <c r="B117" s="84" t="s">
        <v>1282</v>
      </c>
      <c r="C117" s="84" t="s">
        <v>1283</v>
      </c>
      <c r="D117" s="84" t="s">
        <v>1284</v>
      </c>
      <c r="E117" s="131">
        <v>2</v>
      </c>
      <c r="F117" s="84" t="s">
        <v>705</v>
      </c>
      <c r="G117" s="84" t="s">
        <v>706</v>
      </c>
      <c r="H117" s="75" t="s">
        <v>872</v>
      </c>
      <c r="I117" s="76">
        <v>2</v>
      </c>
      <c r="J117" s="77" t="s">
        <v>693</v>
      </c>
      <c r="K117" s="76">
        <v>30</v>
      </c>
      <c r="L117" s="76"/>
      <c r="M117" s="86" t="s">
        <v>707</v>
      </c>
      <c r="N117" s="75"/>
      <c r="O117" s="76" t="s">
        <v>695</v>
      </c>
      <c r="P117" s="77"/>
      <c r="Q117" s="130" t="s">
        <v>1285</v>
      </c>
      <c r="R117" s="133" t="s">
        <v>1286</v>
      </c>
      <c r="S117" s="86" t="s">
        <v>1293</v>
      </c>
      <c r="T117" s="86" t="s">
        <v>1294</v>
      </c>
      <c r="U117" s="86" t="s">
        <v>1295</v>
      </c>
      <c r="V117" s="86" t="s">
        <v>1296</v>
      </c>
      <c r="W117" s="75"/>
      <c r="X117" s="84" t="s">
        <v>1290</v>
      </c>
      <c r="Y117" s="84" t="s">
        <v>1297</v>
      </c>
      <c r="Z117" s="84" t="s">
        <v>1298</v>
      </c>
      <c r="AA117" s="131" t="s">
        <v>1299</v>
      </c>
    </row>
    <row r="118" spans="1:27" s="33" customFormat="1" ht="213" hidden="1" customHeight="1">
      <c r="A118" s="27"/>
      <c r="B118" s="84" t="s">
        <v>1282</v>
      </c>
      <c r="C118" s="84" t="s">
        <v>1283</v>
      </c>
      <c r="D118" s="84" t="s">
        <v>1284</v>
      </c>
      <c r="E118" s="131">
        <v>2</v>
      </c>
      <c r="F118" s="84" t="s">
        <v>715</v>
      </c>
      <c r="G118" s="84" t="s">
        <v>716</v>
      </c>
      <c r="H118" s="75" t="s">
        <v>893</v>
      </c>
      <c r="I118" s="76">
        <v>3</v>
      </c>
      <c r="J118" s="75" t="s">
        <v>718</v>
      </c>
      <c r="K118" s="76"/>
      <c r="L118" s="76"/>
      <c r="M118" s="84" t="s">
        <v>1300</v>
      </c>
      <c r="N118" s="75"/>
      <c r="O118" s="76" t="s">
        <v>695</v>
      </c>
      <c r="P118" s="77"/>
      <c r="Q118" s="130" t="s">
        <v>720</v>
      </c>
      <c r="R118" s="133" t="s">
        <v>721</v>
      </c>
      <c r="S118" s="86" t="s">
        <v>1293</v>
      </c>
      <c r="T118" s="86" t="s">
        <v>1294</v>
      </c>
      <c r="U118" s="86" t="s">
        <v>1301</v>
      </c>
      <c r="V118" s="86" t="s">
        <v>1302</v>
      </c>
      <c r="W118" s="75"/>
      <c r="X118" s="84" t="s">
        <v>1290</v>
      </c>
      <c r="Y118" s="84" t="s">
        <v>1303</v>
      </c>
      <c r="Z118" s="84" t="s">
        <v>1304</v>
      </c>
      <c r="AA118" s="131" t="s">
        <v>703</v>
      </c>
    </row>
    <row r="119" spans="1:27" s="33" customFormat="1" ht="240" hidden="1" customHeight="1">
      <c r="A119" s="27"/>
      <c r="B119" s="84" t="s">
        <v>1282</v>
      </c>
      <c r="C119" s="84" t="s">
        <v>1283</v>
      </c>
      <c r="D119" s="84" t="s">
        <v>1284</v>
      </c>
      <c r="E119" s="131">
        <v>2</v>
      </c>
      <c r="F119" s="84" t="s">
        <v>728</v>
      </c>
      <c r="G119" s="84" t="s">
        <v>729</v>
      </c>
      <c r="H119" s="75" t="s">
        <v>893</v>
      </c>
      <c r="I119" s="76">
        <v>4</v>
      </c>
      <c r="J119" s="75" t="s">
        <v>718</v>
      </c>
      <c r="K119" s="76"/>
      <c r="L119" s="76"/>
      <c r="M119" s="84" t="s">
        <v>1305</v>
      </c>
      <c r="N119" s="75"/>
      <c r="O119" s="76" t="s">
        <v>695</v>
      </c>
      <c r="P119" s="77"/>
      <c r="Q119" s="130" t="s">
        <v>720</v>
      </c>
      <c r="R119" s="133" t="s">
        <v>721</v>
      </c>
      <c r="S119" s="86" t="s">
        <v>1293</v>
      </c>
      <c r="T119" s="86" t="s">
        <v>1294</v>
      </c>
      <c r="U119" s="86" t="s">
        <v>1306</v>
      </c>
      <c r="V119" s="86" t="s">
        <v>1307</v>
      </c>
      <c r="W119" s="75"/>
      <c r="X119" s="84" t="s">
        <v>1290</v>
      </c>
      <c r="Y119" s="159" t="s">
        <v>733</v>
      </c>
      <c r="Z119" s="159" t="s">
        <v>734</v>
      </c>
      <c r="AA119" s="131" t="s">
        <v>735</v>
      </c>
    </row>
    <row r="120" spans="1:27" s="33" customFormat="1" ht="267" hidden="1" customHeight="1">
      <c r="A120" s="27"/>
      <c r="B120" s="84" t="s">
        <v>1282</v>
      </c>
      <c r="C120" s="84" t="s">
        <v>1283</v>
      </c>
      <c r="D120" s="84" t="s">
        <v>1284</v>
      </c>
      <c r="E120" s="131">
        <v>2</v>
      </c>
      <c r="F120" s="212" t="s">
        <v>736</v>
      </c>
      <c r="G120" s="159" t="s">
        <v>737</v>
      </c>
      <c r="H120" s="75" t="s">
        <v>779</v>
      </c>
      <c r="I120" s="76">
        <v>5</v>
      </c>
      <c r="J120" s="75" t="s">
        <v>693</v>
      </c>
      <c r="K120" s="76">
        <v>4</v>
      </c>
      <c r="L120" s="76"/>
      <c r="M120" s="159" t="s">
        <v>739</v>
      </c>
      <c r="N120" s="75"/>
      <c r="O120" s="76" t="s">
        <v>695</v>
      </c>
      <c r="P120" s="87" t="s">
        <v>1308</v>
      </c>
      <c r="Q120" s="130" t="s">
        <v>842</v>
      </c>
      <c r="R120" s="214" t="s">
        <v>843</v>
      </c>
      <c r="S120" s="86" t="s">
        <v>1309</v>
      </c>
      <c r="T120" s="86" t="s">
        <v>1310</v>
      </c>
      <c r="U120" s="86" t="s">
        <v>936</v>
      </c>
      <c r="V120" s="86" t="s">
        <v>1311</v>
      </c>
      <c r="W120" s="75"/>
      <c r="X120" s="84" t="s">
        <v>1290</v>
      </c>
      <c r="Y120" s="84" t="s">
        <v>1312</v>
      </c>
      <c r="Z120" s="84" t="s">
        <v>1313</v>
      </c>
      <c r="AA120" s="131" t="s">
        <v>747</v>
      </c>
    </row>
    <row r="121" spans="1:27" s="33" customFormat="1" ht="256.5" hidden="1" customHeight="1">
      <c r="A121" s="27"/>
      <c r="B121" s="84" t="s">
        <v>1282</v>
      </c>
      <c r="C121" s="84" t="s">
        <v>1283</v>
      </c>
      <c r="D121" s="84" t="s">
        <v>1284</v>
      </c>
      <c r="E121" s="131">
        <v>2</v>
      </c>
      <c r="F121" s="84" t="s">
        <v>748</v>
      </c>
      <c r="G121" s="84" t="s">
        <v>749</v>
      </c>
      <c r="H121" s="75" t="s">
        <v>750</v>
      </c>
      <c r="I121" s="76">
        <v>6</v>
      </c>
      <c r="J121" s="75" t="s">
        <v>693</v>
      </c>
      <c r="K121" s="76">
        <v>10</v>
      </c>
      <c r="L121" s="76"/>
      <c r="M121" s="84" t="s">
        <v>751</v>
      </c>
      <c r="N121" s="75"/>
      <c r="O121" s="76" t="s">
        <v>695</v>
      </c>
      <c r="P121" s="77"/>
      <c r="Q121" s="130" t="s">
        <v>752</v>
      </c>
      <c r="R121" s="133" t="s">
        <v>753</v>
      </c>
      <c r="S121" s="86" t="s">
        <v>1293</v>
      </c>
      <c r="T121" s="86" t="s">
        <v>1294</v>
      </c>
      <c r="U121" s="86" t="s">
        <v>1314</v>
      </c>
      <c r="V121" s="86" t="s">
        <v>1315</v>
      </c>
      <c r="W121" s="75"/>
      <c r="X121" s="84" t="s">
        <v>1290</v>
      </c>
      <c r="Y121" s="84" t="s">
        <v>1303</v>
      </c>
      <c r="Z121" s="175" t="s">
        <v>1316</v>
      </c>
      <c r="AA121" s="131" t="s">
        <v>703</v>
      </c>
    </row>
    <row r="122" spans="1:27" s="33" customFormat="1" ht="232.5" hidden="1" customHeight="1">
      <c r="A122" s="27"/>
      <c r="B122" s="84" t="s">
        <v>1282</v>
      </c>
      <c r="C122" s="84" t="s">
        <v>1283</v>
      </c>
      <c r="D122" s="84" t="s">
        <v>1284</v>
      </c>
      <c r="E122" s="131">
        <v>2</v>
      </c>
      <c r="F122" s="84" t="s">
        <v>757</v>
      </c>
      <c r="G122" s="84" t="s">
        <v>758</v>
      </c>
      <c r="H122" s="75" t="s">
        <v>759</v>
      </c>
      <c r="I122" s="76">
        <v>7</v>
      </c>
      <c r="J122" s="75" t="s">
        <v>760</v>
      </c>
      <c r="K122" s="76">
        <v>23</v>
      </c>
      <c r="L122" s="76">
        <v>6</v>
      </c>
      <c r="M122" s="84" t="s">
        <v>761</v>
      </c>
      <c r="N122" s="75"/>
      <c r="O122" s="76" t="s">
        <v>695</v>
      </c>
      <c r="P122" s="77"/>
      <c r="Q122" s="130" t="s">
        <v>752</v>
      </c>
      <c r="R122" s="133" t="s">
        <v>762</v>
      </c>
      <c r="S122" s="86" t="s">
        <v>1293</v>
      </c>
      <c r="T122" s="86" t="s">
        <v>1294</v>
      </c>
      <c r="U122" s="86" t="s">
        <v>1317</v>
      </c>
      <c r="V122" s="86" t="s">
        <v>1318</v>
      </c>
      <c r="W122" s="75"/>
      <c r="X122" s="84" t="s">
        <v>1290</v>
      </c>
      <c r="Y122" s="84" t="s">
        <v>1303</v>
      </c>
      <c r="Z122" s="196" t="s">
        <v>1319</v>
      </c>
      <c r="AA122" s="131" t="s">
        <v>703</v>
      </c>
    </row>
    <row r="123" spans="1:27" s="33" customFormat="1" ht="214.5" hidden="1" customHeight="1">
      <c r="A123" s="27"/>
      <c r="B123" s="84" t="s">
        <v>1282</v>
      </c>
      <c r="C123" s="84" t="s">
        <v>1283</v>
      </c>
      <c r="D123" s="84" t="s">
        <v>1284</v>
      </c>
      <c r="E123" s="131">
        <v>2</v>
      </c>
      <c r="F123" s="77" t="s">
        <v>1320</v>
      </c>
      <c r="G123" s="77" t="s">
        <v>1321</v>
      </c>
      <c r="H123" s="75" t="s">
        <v>872</v>
      </c>
      <c r="I123" s="76">
        <v>8</v>
      </c>
      <c r="J123" s="77" t="s">
        <v>693</v>
      </c>
      <c r="K123" s="76">
        <v>4</v>
      </c>
      <c r="L123" s="76"/>
      <c r="M123" s="86" t="s">
        <v>1322</v>
      </c>
      <c r="N123" s="86"/>
      <c r="O123" s="76"/>
      <c r="P123" s="77"/>
      <c r="Q123" s="87"/>
      <c r="R123" s="87" t="s">
        <v>1323</v>
      </c>
      <c r="S123" s="86" t="s">
        <v>1287</v>
      </c>
      <c r="T123" s="86" t="s">
        <v>1288</v>
      </c>
      <c r="U123" s="86" t="s">
        <v>877</v>
      </c>
      <c r="V123" s="86" t="s">
        <v>1324</v>
      </c>
      <c r="W123" s="76"/>
      <c r="X123" s="84" t="s">
        <v>1290</v>
      </c>
      <c r="Y123" s="84" t="s">
        <v>1325</v>
      </c>
      <c r="Z123" s="84" t="s">
        <v>703</v>
      </c>
      <c r="AA123" s="131" t="s">
        <v>1326</v>
      </c>
    </row>
    <row r="124" spans="1:27" s="62" customFormat="1" ht="226.5" hidden="1" customHeight="1">
      <c r="A124" s="61"/>
      <c r="B124" s="84" t="s">
        <v>1282</v>
      </c>
      <c r="C124" s="84" t="s">
        <v>1283</v>
      </c>
      <c r="D124" s="84" t="s">
        <v>1284</v>
      </c>
      <c r="E124" s="131">
        <v>2</v>
      </c>
      <c r="F124" s="77" t="s">
        <v>1327</v>
      </c>
      <c r="G124" s="77" t="s">
        <v>1328</v>
      </c>
      <c r="H124" s="77" t="s">
        <v>872</v>
      </c>
      <c r="I124" s="76">
        <v>9</v>
      </c>
      <c r="J124" s="77" t="s">
        <v>693</v>
      </c>
      <c r="K124" s="76">
        <v>15</v>
      </c>
      <c r="L124" s="76"/>
      <c r="M124" s="86" t="s">
        <v>1329</v>
      </c>
      <c r="N124" s="86"/>
      <c r="O124" s="76"/>
      <c r="P124" s="77"/>
      <c r="Q124" s="87"/>
      <c r="R124" s="77"/>
      <c r="S124" s="86" t="s">
        <v>1293</v>
      </c>
      <c r="T124" s="86" t="s">
        <v>1294</v>
      </c>
      <c r="U124" s="87" t="s">
        <v>1330</v>
      </c>
      <c r="V124" s="87" t="s">
        <v>1331</v>
      </c>
      <c r="W124" s="76"/>
      <c r="X124" s="84" t="s">
        <v>1290</v>
      </c>
      <c r="Y124" s="84" t="s">
        <v>1325</v>
      </c>
      <c r="Z124" s="86" t="s">
        <v>1332</v>
      </c>
      <c r="AA124" s="131" t="s">
        <v>1333</v>
      </c>
    </row>
    <row r="125" spans="1:27" s="62" customFormat="1" ht="99.75" hidden="1" customHeight="1">
      <c r="A125" s="61"/>
      <c r="B125" s="84" t="s">
        <v>1282</v>
      </c>
      <c r="C125" s="84" t="s">
        <v>1283</v>
      </c>
      <c r="D125" s="84" t="s">
        <v>1284</v>
      </c>
      <c r="E125" s="195">
        <v>2</v>
      </c>
      <c r="F125" s="194" t="s">
        <v>766</v>
      </c>
      <c r="G125" s="194" t="s">
        <v>767</v>
      </c>
      <c r="H125" s="75" t="s">
        <v>768</v>
      </c>
      <c r="I125" s="76">
        <v>10</v>
      </c>
      <c r="J125" s="75" t="s">
        <v>693</v>
      </c>
      <c r="K125" s="76">
        <v>4</v>
      </c>
      <c r="L125" s="76"/>
      <c r="M125" s="159" t="s">
        <v>769</v>
      </c>
      <c r="N125" s="75"/>
      <c r="O125" s="76"/>
      <c r="P125" s="77"/>
      <c r="Q125" s="193"/>
      <c r="R125" s="193"/>
      <c r="S125" s="86" t="s">
        <v>1309</v>
      </c>
      <c r="T125" s="86" t="s">
        <v>1334</v>
      </c>
      <c r="U125" s="242" t="s">
        <v>1335</v>
      </c>
      <c r="V125" s="242" t="s">
        <v>1336</v>
      </c>
      <c r="W125" s="75"/>
      <c r="X125" s="84" t="s">
        <v>1290</v>
      </c>
      <c r="Y125" s="84" t="s">
        <v>1337</v>
      </c>
      <c r="Z125" s="87" t="s">
        <v>1338</v>
      </c>
      <c r="AA125" s="131" t="s">
        <v>1339</v>
      </c>
    </row>
    <row r="126" spans="1:27" s="62" customFormat="1" ht="225.75" hidden="1" customHeight="1">
      <c r="A126" s="61"/>
      <c r="B126" s="84" t="s">
        <v>1282</v>
      </c>
      <c r="C126" s="84" t="s">
        <v>1283</v>
      </c>
      <c r="D126" s="84" t="s">
        <v>1284</v>
      </c>
      <c r="E126" s="131">
        <v>2</v>
      </c>
      <c r="F126" s="84" t="s">
        <v>1340</v>
      </c>
      <c r="G126" s="84" t="s">
        <v>1341</v>
      </c>
      <c r="H126" s="75" t="s">
        <v>952</v>
      </c>
      <c r="I126" s="76">
        <v>11</v>
      </c>
      <c r="J126" s="75" t="s">
        <v>693</v>
      </c>
      <c r="K126" s="76">
        <v>10</v>
      </c>
      <c r="L126" s="76"/>
      <c r="M126" s="84" t="s">
        <v>1342</v>
      </c>
      <c r="N126" s="75"/>
      <c r="O126" s="76"/>
      <c r="P126" s="77"/>
      <c r="Q126" s="130" t="s">
        <v>752</v>
      </c>
      <c r="R126" s="133" t="s">
        <v>1340</v>
      </c>
      <c r="S126" s="86" t="s">
        <v>1293</v>
      </c>
      <c r="T126" s="86" t="s">
        <v>1294</v>
      </c>
      <c r="U126" s="86" t="s">
        <v>1343</v>
      </c>
      <c r="V126" s="86" t="s">
        <v>1344</v>
      </c>
      <c r="W126" s="75"/>
      <c r="X126" s="84" t="s">
        <v>1290</v>
      </c>
      <c r="Y126" s="196" t="s">
        <v>1345</v>
      </c>
      <c r="Z126" s="84" t="s">
        <v>1346</v>
      </c>
      <c r="AA126" s="131" t="s">
        <v>1347</v>
      </c>
    </row>
    <row r="127" spans="1:27" s="62" customFormat="1" ht="199.5" hidden="1" customHeight="1">
      <c r="A127" s="61"/>
      <c r="B127" s="84" t="s">
        <v>1282</v>
      </c>
      <c r="C127" s="84" t="s">
        <v>1283</v>
      </c>
      <c r="D127" s="84" t="s">
        <v>1284</v>
      </c>
      <c r="E127" s="131">
        <v>2</v>
      </c>
      <c r="F127" s="77" t="s">
        <v>1348</v>
      </c>
      <c r="G127" s="77" t="s">
        <v>1349</v>
      </c>
      <c r="H127" s="75" t="s">
        <v>872</v>
      </c>
      <c r="I127" s="76">
        <v>12</v>
      </c>
      <c r="J127" s="77" t="s">
        <v>693</v>
      </c>
      <c r="K127" s="76">
        <v>4</v>
      </c>
      <c r="L127" s="76"/>
      <c r="M127" s="202" t="s">
        <v>1350</v>
      </c>
      <c r="N127" s="86"/>
      <c r="O127" s="76"/>
      <c r="P127" s="75"/>
      <c r="Q127" s="87"/>
      <c r="R127" s="77"/>
      <c r="S127" s="86" t="s">
        <v>1287</v>
      </c>
      <c r="T127" s="86" t="s">
        <v>1288</v>
      </c>
      <c r="U127" s="86" t="s">
        <v>877</v>
      </c>
      <c r="V127" s="86" t="s">
        <v>1351</v>
      </c>
      <c r="W127" s="76"/>
      <c r="X127" s="84" t="s">
        <v>1290</v>
      </c>
      <c r="Y127" s="84" t="s">
        <v>703</v>
      </c>
      <c r="Z127" s="84" t="s">
        <v>703</v>
      </c>
      <c r="AA127" s="131" t="s">
        <v>1352</v>
      </c>
    </row>
    <row r="128" spans="1:27" s="62" customFormat="1" ht="238.5" hidden="1" customHeight="1">
      <c r="A128" s="61"/>
      <c r="B128" s="84" t="s">
        <v>1282</v>
      </c>
      <c r="C128" s="84" t="s">
        <v>1283</v>
      </c>
      <c r="D128" s="84" t="s">
        <v>1284</v>
      </c>
      <c r="E128" s="131">
        <v>2</v>
      </c>
      <c r="F128" s="77" t="s">
        <v>1353</v>
      </c>
      <c r="G128" s="77" t="s">
        <v>1354</v>
      </c>
      <c r="H128" s="75" t="s">
        <v>872</v>
      </c>
      <c r="I128" s="76">
        <v>13</v>
      </c>
      <c r="J128" s="77" t="s">
        <v>693</v>
      </c>
      <c r="K128" s="76">
        <v>30</v>
      </c>
      <c r="L128" s="76"/>
      <c r="M128" s="202" t="s">
        <v>1355</v>
      </c>
      <c r="N128" s="86" t="s">
        <v>1356</v>
      </c>
      <c r="O128" s="76"/>
      <c r="P128" s="75"/>
      <c r="Q128" s="87" t="s">
        <v>1357</v>
      </c>
      <c r="R128" s="77" t="s">
        <v>1358</v>
      </c>
      <c r="S128" s="86" t="s">
        <v>1293</v>
      </c>
      <c r="T128" s="86" t="s">
        <v>1294</v>
      </c>
      <c r="U128" s="86" t="s">
        <v>1359</v>
      </c>
      <c r="V128" s="86" t="s">
        <v>1360</v>
      </c>
      <c r="W128" s="76"/>
      <c r="X128" s="84" t="s">
        <v>1290</v>
      </c>
      <c r="Y128" s="84" t="s">
        <v>1361</v>
      </c>
      <c r="Z128" s="209" t="s">
        <v>1362</v>
      </c>
      <c r="AA128" s="131" t="s">
        <v>1363</v>
      </c>
    </row>
    <row r="129" spans="1:27" s="33" customFormat="1" ht="274.5" hidden="1" customHeight="1">
      <c r="A129" s="27"/>
      <c r="B129" s="84" t="s">
        <v>1282</v>
      </c>
      <c r="C129" s="84" t="s">
        <v>1283</v>
      </c>
      <c r="D129" s="84" t="s">
        <v>1284</v>
      </c>
      <c r="E129" s="131">
        <v>2</v>
      </c>
      <c r="F129" s="77" t="s">
        <v>1364</v>
      </c>
      <c r="G129" s="77" t="s">
        <v>1365</v>
      </c>
      <c r="H129" s="75" t="s">
        <v>872</v>
      </c>
      <c r="I129" s="76">
        <v>14</v>
      </c>
      <c r="J129" s="77" t="s">
        <v>693</v>
      </c>
      <c r="K129" s="76">
        <v>34</v>
      </c>
      <c r="L129" s="76"/>
      <c r="M129" s="202" t="s">
        <v>1366</v>
      </c>
      <c r="N129" s="86"/>
      <c r="O129" s="76"/>
      <c r="P129" s="75"/>
      <c r="Q129" s="86"/>
      <c r="R129" s="75"/>
      <c r="S129" s="86" t="s">
        <v>1293</v>
      </c>
      <c r="T129" s="86" t="s">
        <v>1294</v>
      </c>
      <c r="U129" s="86" t="s">
        <v>1359</v>
      </c>
      <c r="V129" s="86" t="s">
        <v>1367</v>
      </c>
      <c r="W129" s="76"/>
      <c r="X129" s="84" t="s">
        <v>1290</v>
      </c>
      <c r="Y129" s="84" t="s">
        <v>1361</v>
      </c>
      <c r="Z129" s="86" t="s">
        <v>1368</v>
      </c>
      <c r="AA129" s="131" t="s">
        <v>1363</v>
      </c>
    </row>
    <row r="130" spans="1:27" s="33" customFormat="1" ht="228.75" hidden="1" customHeight="1">
      <c r="A130" s="27"/>
      <c r="B130" s="84" t="s">
        <v>1282</v>
      </c>
      <c r="C130" s="84" t="s">
        <v>1283</v>
      </c>
      <c r="D130" s="84" t="s">
        <v>1284</v>
      </c>
      <c r="E130" s="131">
        <v>2</v>
      </c>
      <c r="F130" s="84" t="s">
        <v>926</v>
      </c>
      <c r="G130" s="84" t="s">
        <v>927</v>
      </c>
      <c r="H130" s="75" t="s">
        <v>768</v>
      </c>
      <c r="I130" s="76">
        <v>15</v>
      </c>
      <c r="J130" s="75" t="s">
        <v>693</v>
      </c>
      <c r="K130" s="76">
        <v>4</v>
      </c>
      <c r="L130" s="76"/>
      <c r="M130" s="84" t="s">
        <v>928</v>
      </c>
      <c r="N130" s="75"/>
      <c r="O130" s="76"/>
      <c r="P130" s="77"/>
      <c r="Q130" s="130" t="s">
        <v>752</v>
      </c>
      <c r="R130" s="133" t="s">
        <v>929</v>
      </c>
      <c r="S130" s="86" t="s">
        <v>1293</v>
      </c>
      <c r="T130" s="86" t="s">
        <v>1294</v>
      </c>
      <c r="U130" s="86" t="s">
        <v>1369</v>
      </c>
      <c r="V130" s="86" t="s">
        <v>1370</v>
      </c>
      <c r="W130" s="75"/>
      <c r="X130" s="84" t="s">
        <v>1290</v>
      </c>
      <c r="Y130" s="84" t="s">
        <v>1325</v>
      </c>
      <c r="Z130" s="84" t="s">
        <v>1371</v>
      </c>
      <c r="AA130" s="131" t="s">
        <v>1363</v>
      </c>
    </row>
    <row r="131" spans="1:27" s="33" customFormat="1" ht="256.5" hidden="1" customHeight="1">
      <c r="A131" s="27"/>
      <c r="B131" s="84" t="s">
        <v>1282</v>
      </c>
      <c r="C131" s="84" t="s">
        <v>1283</v>
      </c>
      <c r="D131" s="84" t="s">
        <v>1284</v>
      </c>
      <c r="E131" s="131">
        <v>2</v>
      </c>
      <c r="F131" s="212" t="s">
        <v>1372</v>
      </c>
      <c r="G131" s="212" t="s">
        <v>1373</v>
      </c>
      <c r="H131" s="75" t="s">
        <v>768</v>
      </c>
      <c r="I131" s="76">
        <v>16</v>
      </c>
      <c r="J131" s="75" t="s">
        <v>693</v>
      </c>
      <c r="K131" s="76">
        <v>4</v>
      </c>
      <c r="L131" s="76"/>
      <c r="M131" s="213" t="s">
        <v>1374</v>
      </c>
      <c r="N131" s="75"/>
      <c r="O131" s="76"/>
      <c r="P131" s="77"/>
      <c r="Q131" s="130" t="s">
        <v>752</v>
      </c>
      <c r="R131" s="133" t="s">
        <v>1375</v>
      </c>
      <c r="S131" s="86" t="s">
        <v>1293</v>
      </c>
      <c r="T131" s="86" t="s">
        <v>1294</v>
      </c>
      <c r="U131" s="86" t="s">
        <v>1376</v>
      </c>
      <c r="V131" s="86" t="s">
        <v>1377</v>
      </c>
      <c r="W131" s="75"/>
      <c r="X131" s="84" t="s">
        <v>1290</v>
      </c>
      <c r="Y131" s="84" t="s">
        <v>1325</v>
      </c>
      <c r="Z131" s="209" t="s">
        <v>1378</v>
      </c>
      <c r="AA131" s="131" t="s">
        <v>1333</v>
      </c>
    </row>
    <row r="132" spans="1:27" s="33" customFormat="1" ht="231" hidden="1" customHeight="1">
      <c r="A132" s="27"/>
      <c r="B132" s="84" t="s">
        <v>1282</v>
      </c>
      <c r="C132" s="84" t="s">
        <v>1283</v>
      </c>
      <c r="D132" s="84" t="s">
        <v>1284</v>
      </c>
      <c r="E132" s="131">
        <v>2</v>
      </c>
      <c r="F132" s="84" t="s">
        <v>777</v>
      </c>
      <c r="G132" s="159" t="s">
        <v>778</v>
      </c>
      <c r="H132" s="75" t="s">
        <v>779</v>
      </c>
      <c r="I132" s="76">
        <v>17</v>
      </c>
      <c r="J132" s="75" t="s">
        <v>693</v>
      </c>
      <c r="K132" s="76">
        <v>4</v>
      </c>
      <c r="L132" s="76"/>
      <c r="M132" s="84" t="s">
        <v>780</v>
      </c>
      <c r="N132" s="75"/>
      <c r="O132" s="76"/>
      <c r="P132" s="87" t="s">
        <v>1379</v>
      </c>
      <c r="Q132" s="130" t="s">
        <v>752</v>
      </c>
      <c r="R132" s="133" t="s">
        <v>782</v>
      </c>
      <c r="S132" s="86" t="s">
        <v>1293</v>
      </c>
      <c r="T132" s="86" t="s">
        <v>1294</v>
      </c>
      <c r="U132" s="86" t="s">
        <v>1380</v>
      </c>
      <c r="V132" s="86" t="s">
        <v>1381</v>
      </c>
      <c r="W132" s="75"/>
      <c r="X132" s="84" t="s">
        <v>1290</v>
      </c>
      <c r="Y132" s="84" t="s">
        <v>1382</v>
      </c>
      <c r="Z132" s="196" t="s">
        <v>1383</v>
      </c>
      <c r="AA132" s="131" t="s">
        <v>703</v>
      </c>
    </row>
    <row r="133" spans="1:27" s="33" customFormat="1" ht="232.5" hidden="1" customHeight="1">
      <c r="A133" s="27"/>
      <c r="B133" s="84" t="s">
        <v>1282</v>
      </c>
      <c r="C133" s="84" t="s">
        <v>1283</v>
      </c>
      <c r="D133" s="84" t="s">
        <v>1284</v>
      </c>
      <c r="E133" s="131">
        <v>2</v>
      </c>
      <c r="F133" s="84" t="s">
        <v>790</v>
      </c>
      <c r="G133" s="84" t="s">
        <v>791</v>
      </c>
      <c r="H133" s="75" t="s">
        <v>750</v>
      </c>
      <c r="I133" s="76">
        <v>18</v>
      </c>
      <c r="J133" s="75" t="s">
        <v>693</v>
      </c>
      <c r="K133" s="76">
        <v>10</v>
      </c>
      <c r="L133" s="76"/>
      <c r="M133" s="84" t="s">
        <v>792</v>
      </c>
      <c r="N133" s="75"/>
      <c r="O133" s="76"/>
      <c r="P133" s="77"/>
      <c r="Q133" s="130" t="s">
        <v>752</v>
      </c>
      <c r="R133" s="133" t="s">
        <v>793</v>
      </c>
      <c r="S133" s="86" t="s">
        <v>1293</v>
      </c>
      <c r="T133" s="86" t="s">
        <v>1294</v>
      </c>
      <c r="U133" s="86" t="s">
        <v>1384</v>
      </c>
      <c r="V133" s="86" t="s">
        <v>1385</v>
      </c>
      <c r="W133" s="75"/>
      <c r="X133" s="84" t="s">
        <v>1290</v>
      </c>
      <c r="Y133" s="84" t="s">
        <v>1303</v>
      </c>
      <c r="Z133" s="84" t="s">
        <v>1386</v>
      </c>
      <c r="AA133" s="131" t="s">
        <v>703</v>
      </c>
    </row>
    <row r="134" spans="1:27" s="33" customFormat="1" ht="355.5" hidden="1" customHeight="1">
      <c r="A134" s="27"/>
      <c r="B134" s="84" t="s">
        <v>1282</v>
      </c>
      <c r="C134" s="84" t="s">
        <v>1283</v>
      </c>
      <c r="D134" s="84" t="s">
        <v>1284</v>
      </c>
      <c r="E134" s="160">
        <v>2</v>
      </c>
      <c r="F134" s="158" t="s">
        <v>1387</v>
      </c>
      <c r="G134" s="158" t="s">
        <v>1388</v>
      </c>
      <c r="H134" s="75" t="s">
        <v>1389</v>
      </c>
      <c r="I134" s="76">
        <v>19</v>
      </c>
      <c r="J134" s="75" t="s">
        <v>693</v>
      </c>
      <c r="K134" s="76">
        <v>20</v>
      </c>
      <c r="L134" s="76"/>
      <c r="M134" s="86" t="s">
        <v>1390</v>
      </c>
      <c r="N134" s="75"/>
      <c r="O134" s="76"/>
      <c r="P134" s="77"/>
      <c r="Q134" s="159" t="s">
        <v>1357</v>
      </c>
      <c r="R134" s="214" t="s">
        <v>1391</v>
      </c>
      <c r="S134" s="86" t="s">
        <v>1293</v>
      </c>
      <c r="T134" s="86" t="s">
        <v>1294</v>
      </c>
      <c r="U134" s="86" t="s">
        <v>1392</v>
      </c>
      <c r="V134" s="86" t="s">
        <v>1393</v>
      </c>
      <c r="W134" s="75"/>
      <c r="X134" s="84" t="s">
        <v>1290</v>
      </c>
      <c r="Y134" s="84" t="s">
        <v>1325</v>
      </c>
      <c r="Z134" s="84" t="s">
        <v>1394</v>
      </c>
      <c r="AA134" s="131" t="s">
        <v>1333</v>
      </c>
    </row>
    <row r="135" spans="1:27" s="33" customFormat="1" ht="290.25" hidden="1" customHeight="1">
      <c r="A135" s="27"/>
      <c r="B135" s="84" t="s">
        <v>1282</v>
      </c>
      <c r="C135" s="84" t="s">
        <v>1283</v>
      </c>
      <c r="D135" s="84" t="s">
        <v>1284</v>
      </c>
      <c r="E135" s="160">
        <v>2</v>
      </c>
      <c r="F135" s="77" t="s">
        <v>797</v>
      </c>
      <c r="G135" s="77" t="s">
        <v>798</v>
      </c>
      <c r="H135" s="77" t="s">
        <v>799</v>
      </c>
      <c r="I135" s="76">
        <v>20</v>
      </c>
      <c r="J135" s="77" t="s">
        <v>693</v>
      </c>
      <c r="K135" s="76">
        <v>2</v>
      </c>
      <c r="L135" s="76"/>
      <c r="M135" s="86" t="s">
        <v>800</v>
      </c>
      <c r="N135" s="86"/>
      <c r="O135" s="76"/>
      <c r="P135" s="86" t="s">
        <v>801</v>
      </c>
      <c r="Q135" s="87"/>
      <c r="R135" s="77"/>
      <c r="S135" s="86" t="s">
        <v>1293</v>
      </c>
      <c r="T135" s="86" t="s">
        <v>1294</v>
      </c>
      <c r="U135" s="86" t="s">
        <v>1070</v>
      </c>
      <c r="V135" s="86" t="s">
        <v>1395</v>
      </c>
      <c r="W135" s="76"/>
      <c r="X135" s="84" t="s">
        <v>1290</v>
      </c>
      <c r="Y135" s="87" t="s">
        <v>703</v>
      </c>
      <c r="Z135" s="87" t="s">
        <v>703</v>
      </c>
      <c r="AA135" s="201" t="s">
        <v>1396</v>
      </c>
    </row>
    <row r="136" spans="1:27" s="33" customFormat="1" ht="254.25" hidden="1" customHeight="1">
      <c r="A136" s="27"/>
      <c r="B136" s="84" t="s">
        <v>1282</v>
      </c>
      <c r="C136" s="84" t="s">
        <v>1283</v>
      </c>
      <c r="D136" s="84" t="s">
        <v>1284</v>
      </c>
      <c r="E136" s="131">
        <v>2</v>
      </c>
      <c r="F136" s="84" t="s">
        <v>805</v>
      </c>
      <c r="G136" s="84" t="s">
        <v>806</v>
      </c>
      <c r="H136" s="75" t="s">
        <v>807</v>
      </c>
      <c r="I136" s="76">
        <v>21</v>
      </c>
      <c r="J136" s="75" t="s">
        <v>693</v>
      </c>
      <c r="K136" s="76">
        <v>10</v>
      </c>
      <c r="L136" s="76"/>
      <c r="M136" s="86" t="s">
        <v>808</v>
      </c>
      <c r="N136" s="75"/>
      <c r="O136" s="76" t="s">
        <v>695</v>
      </c>
      <c r="P136" s="77"/>
      <c r="Q136" s="84"/>
      <c r="R136" s="84"/>
      <c r="S136" s="86" t="s">
        <v>1293</v>
      </c>
      <c r="T136" s="86" t="s">
        <v>1294</v>
      </c>
      <c r="U136" s="86" t="s">
        <v>1397</v>
      </c>
      <c r="V136" s="86" t="s">
        <v>1398</v>
      </c>
      <c r="W136" s="75"/>
      <c r="X136" s="87" t="s">
        <v>703</v>
      </c>
      <c r="Y136" s="87" t="s">
        <v>703</v>
      </c>
      <c r="Z136" s="87" t="s">
        <v>703</v>
      </c>
      <c r="AA136" s="131" t="s">
        <v>703</v>
      </c>
    </row>
    <row r="137" spans="1:27" s="33" customFormat="1" ht="235.5" hidden="1" customHeight="1">
      <c r="A137" s="27"/>
      <c r="B137" s="84" t="s">
        <v>1282</v>
      </c>
      <c r="C137" s="84" t="s">
        <v>1283</v>
      </c>
      <c r="D137" s="84" t="s">
        <v>1284</v>
      </c>
      <c r="E137" s="131">
        <v>2</v>
      </c>
      <c r="F137" s="84" t="s">
        <v>812</v>
      </c>
      <c r="G137" s="84" t="s">
        <v>813</v>
      </c>
      <c r="H137" s="75" t="s">
        <v>814</v>
      </c>
      <c r="I137" s="76">
        <v>22</v>
      </c>
      <c r="J137" s="75" t="s">
        <v>815</v>
      </c>
      <c r="K137" s="76">
        <v>23</v>
      </c>
      <c r="L137" s="76"/>
      <c r="M137" s="86" t="s">
        <v>816</v>
      </c>
      <c r="N137" s="75"/>
      <c r="O137" s="76"/>
      <c r="P137" s="77"/>
      <c r="Q137" s="84"/>
      <c r="R137" s="84"/>
      <c r="S137" s="86" t="s">
        <v>1293</v>
      </c>
      <c r="T137" s="86" t="s">
        <v>1294</v>
      </c>
      <c r="U137" s="86" t="s">
        <v>1070</v>
      </c>
      <c r="V137" s="86" t="s">
        <v>1399</v>
      </c>
      <c r="W137" s="75"/>
      <c r="X137" s="87" t="s">
        <v>703</v>
      </c>
      <c r="Y137" s="87" t="s">
        <v>703</v>
      </c>
      <c r="Z137" s="87" t="s">
        <v>703</v>
      </c>
      <c r="AA137" s="131" t="s">
        <v>703</v>
      </c>
    </row>
    <row r="138" spans="1:27" s="33" customFormat="1" ht="148.5" hidden="1" customHeight="1">
      <c r="A138" s="27"/>
      <c r="B138" s="84" t="s">
        <v>1109</v>
      </c>
      <c r="C138" s="84" t="s">
        <v>1110</v>
      </c>
      <c r="D138" s="84" t="s">
        <v>1111</v>
      </c>
      <c r="E138" s="131">
        <v>2</v>
      </c>
      <c r="F138" s="159" t="s">
        <v>736</v>
      </c>
      <c r="G138" s="159" t="s">
        <v>737</v>
      </c>
      <c r="H138" s="75" t="s">
        <v>779</v>
      </c>
      <c r="I138" s="76">
        <v>5</v>
      </c>
      <c r="J138" s="75" t="s">
        <v>693</v>
      </c>
      <c r="K138" s="76">
        <v>4</v>
      </c>
      <c r="L138" s="76"/>
      <c r="M138" s="159" t="s">
        <v>739</v>
      </c>
      <c r="N138" s="75"/>
      <c r="O138" s="76"/>
      <c r="P138" s="87" t="s">
        <v>1400</v>
      </c>
      <c r="Q138" s="130" t="s">
        <v>842</v>
      </c>
      <c r="R138" s="133" t="s">
        <v>843</v>
      </c>
      <c r="S138" s="86" t="s">
        <v>1401</v>
      </c>
      <c r="T138" s="86" t="s">
        <v>1402</v>
      </c>
      <c r="U138" s="86" t="s">
        <v>846</v>
      </c>
      <c r="V138" s="233" t="s">
        <v>1403</v>
      </c>
      <c r="W138" s="75"/>
      <c r="X138" s="84" t="s">
        <v>1087</v>
      </c>
      <c r="Y138" s="84" t="s">
        <v>1088</v>
      </c>
      <c r="Z138" s="161" t="s">
        <v>1404</v>
      </c>
      <c r="AA138" s="131" t="s">
        <v>1405</v>
      </c>
    </row>
    <row r="139" spans="1:27" s="33" customFormat="1" ht="99.75" hidden="1" customHeight="1">
      <c r="A139" s="27"/>
      <c r="B139" s="86" t="s">
        <v>1115</v>
      </c>
      <c r="C139" s="86" t="s">
        <v>1116</v>
      </c>
      <c r="D139" s="86" t="s">
        <v>1117</v>
      </c>
      <c r="E139" s="76">
        <v>2</v>
      </c>
      <c r="F139" s="75" t="s">
        <v>690</v>
      </c>
      <c r="G139" s="75" t="s">
        <v>691</v>
      </c>
      <c r="H139" s="75" t="s">
        <v>872</v>
      </c>
      <c r="I139" s="76">
        <v>1</v>
      </c>
      <c r="J139" s="77" t="s">
        <v>693</v>
      </c>
      <c r="K139" s="76">
        <v>4</v>
      </c>
      <c r="L139" s="76"/>
      <c r="M139" s="86" t="s">
        <v>694</v>
      </c>
      <c r="N139" s="75"/>
      <c r="O139" s="76" t="s">
        <v>695</v>
      </c>
      <c r="P139" s="77"/>
      <c r="Q139" s="86" t="s">
        <v>820</v>
      </c>
      <c r="R139" s="86" t="s">
        <v>821</v>
      </c>
      <c r="S139" s="86" t="s">
        <v>1112</v>
      </c>
      <c r="T139" s="86" t="s">
        <v>1113</v>
      </c>
      <c r="U139" s="86" t="s">
        <v>824</v>
      </c>
      <c r="V139" s="233" t="s">
        <v>1406</v>
      </c>
      <c r="W139" s="75"/>
      <c r="X139" s="84" t="s">
        <v>1087</v>
      </c>
      <c r="Y139" s="86" t="s">
        <v>811</v>
      </c>
      <c r="Z139" s="86" t="s">
        <v>811</v>
      </c>
      <c r="AA139" s="201" t="s">
        <v>827</v>
      </c>
    </row>
    <row r="140" spans="1:27" s="33" customFormat="1" ht="99.75" hidden="1" customHeight="1">
      <c r="A140" s="27"/>
      <c r="B140" s="75" t="s">
        <v>1076</v>
      </c>
      <c r="C140" s="75" t="s">
        <v>1077</v>
      </c>
      <c r="D140" s="75" t="s">
        <v>1078</v>
      </c>
      <c r="E140" s="76">
        <v>2</v>
      </c>
      <c r="F140" s="194" t="s">
        <v>1407</v>
      </c>
      <c r="G140" s="194" t="s">
        <v>1408</v>
      </c>
      <c r="H140" s="75" t="s">
        <v>1409</v>
      </c>
      <c r="I140" s="76">
        <v>16</v>
      </c>
      <c r="J140" s="75" t="s">
        <v>693</v>
      </c>
      <c r="K140" s="76">
        <v>10</v>
      </c>
      <c r="L140" s="76"/>
      <c r="M140" s="84" t="s">
        <v>1410</v>
      </c>
      <c r="N140" s="75"/>
      <c r="O140" s="211"/>
      <c r="P140" s="77"/>
      <c r="Q140" s="193"/>
      <c r="R140" s="193"/>
      <c r="S140" s="86" t="s">
        <v>1083</v>
      </c>
      <c r="T140" s="86" t="s">
        <v>1084</v>
      </c>
      <c r="U140" s="86" t="s">
        <v>1411</v>
      </c>
      <c r="V140" s="233" t="s">
        <v>1412</v>
      </c>
      <c r="W140" s="75"/>
      <c r="X140" s="84" t="s">
        <v>1087</v>
      </c>
      <c r="Y140" s="86" t="s">
        <v>1413</v>
      </c>
      <c r="Z140" s="194" t="s">
        <v>1414</v>
      </c>
      <c r="AA140" s="131" t="s">
        <v>1415</v>
      </c>
    </row>
    <row r="141" spans="1:27" s="33" customFormat="1" ht="99.75" hidden="1" customHeight="1">
      <c r="A141" s="27"/>
      <c r="B141" s="84" t="s">
        <v>1091</v>
      </c>
      <c r="C141" s="84" t="s">
        <v>1092</v>
      </c>
      <c r="D141" s="84" t="s">
        <v>1093</v>
      </c>
      <c r="E141" s="76">
        <v>2</v>
      </c>
      <c r="F141" s="194" t="s">
        <v>1407</v>
      </c>
      <c r="G141" s="194" t="s">
        <v>1408</v>
      </c>
      <c r="H141" s="75" t="s">
        <v>1409</v>
      </c>
      <c r="I141" s="76">
        <v>14</v>
      </c>
      <c r="J141" s="75" t="s">
        <v>693</v>
      </c>
      <c r="K141" s="76">
        <v>10</v>
      </c>
      <c r="L141" s="76"/>
      <c r="M141" s="84" t="s">
        <v>1410</v>
      </c>
      <c r="N141" s="75"/>
      <c r="O141" s="211"/>
      <c r="P141" s="77"/>
      <c r="Q141" s="193"/>
      <c r="R141" s="193"/>
      <c r="S141" s="86" t="s">
        <v>1094</v>
      </c>
      <c r="T141" s="86" t="s">
        <v>1095</v>
      </c>
      <c r="U141" s="86" t="s">
        <v>1416</v>
      </c>
      <c r="V141" s="233" t="s">
        <v>1417</v>
      </c>
      <c r="W141" s="75"/>
      <c r="X141" s="84" t="s">
        <v>1098</v>
      </c>
      <c r="Y141" s="86" t="s">
        <v>1099</v>
      </c>
      <c r="Z141" s="194" t="s">
        <v>1418</v>
      </c>
      <c r="AA141" s="131" t="s">
        <v>1101</v>
      </c>
    </row>
    <row r="142" spans="1:27" s="33" customFormat="1" ht="184.5" hidden="1" customHeight="1">
      <c r="A142" s="27"/>
      <c r="B142" s="194" t="s">
        <v>1102</v>
      </c>
      <c r="C142" s="194" t="s">
        <v>1103</v>
      </c>
      <c r="D142" s="194" t="s">
        <v>1104</v>
      </c>
      <c r="E142" s="76">
        <v>2</v>
      </c>
      <c r="F142" s="194" t="s">
        <v>1407</v>
      </c>
      <c r="G142" s="194" t="s">
        <v>1408</v>
      </c>
      <c r="H142" s="75" t="s">
        <v>1409</v>
      </c>
      <c r="I142" s="76">
        <v>14</v>
      </c>
      <c r="J142" s="75" t="s">
        <v>693</v>
      </c>
      <c r="K142" s="76">
        <v>10</v>
      </c>
      <c r="L142" s="76"/>
      <c r="M142" s="84" t="s">
        <v>1410</v>
      </c>
      <c r="N142" s="75"/>
      <c r="O142" s="211"/>
      <c r="P142" s="77"/>
      <c r="Q142" s="193"/>
      <c r="R142" s="193"/>
      <c r="S142" s="86" t="s">
        <v>1105</v>
      </c>
      <c r="T142" s="86" t="s">
        <v>1106</v>
      </c>
      <c r="U142" s="86" t="s">
        <v>1419</v>
      </c>
      <c r="V142" s="233" t="s">
        <v>1420</v>
      </c>
      <c r="W142" s="75"/>
      <c r="X142" s="84" t="s">
        <v>1098</v>
      </c>
      <c r="Y142" s="86" t="s">
        <v>1099</v>
      </c>
      <c r="Z142" s="194" t="s">
        <v>1418</v>
      </c>
      <c r="AA142" s="131" t="s">
        <v>1101</v>
      </c>
    </row>
    <row r="143" spans="1:27" s="33" customFormat="1" ht="99.75" hidden="1" customHeight="1">
      <c r="A143" s="27"/>
      <c r="B143" s="84" t="s">
        <v>1109</v>
      </c>
      <c r="C143" s="84" t="s">
        <v>1110</v>
      </c>
      <c r="D143" s="84" t="s">
        <v>1111</v>
      </c>
      <c r="E143" s="76">
        <v>2</v>
      </c>
      <c r="F143" s="194" t="s">
        <v>905</v>
      </c>
      <c r="G143" s="194" t="s">
        <v>906</v>
      </c>
      <c r="H143" s="75" t="s">
        <v>907</v>
      </c>
      <c r="I143" s="76">
        <v>6</v>
      </c>
      <c r="J143" s="75" t="s">
        <v>693</v>
      </c>
      <c r="K143" s="76">
        <v>4</v>
      </c>
      <c r="L143" s="76"/>
      <c r="M143" s="84" t="s">
        <v>908</v>
      </c>
      <c r="N143" s="75"/>
      <c r="O143" s="211"/>
      <c r="P143" s="87" t="s">
        <v>1119</v>
      </c>
      <c r="Q143" s="193"/>
      <c r="R143" s="193"/>
      <c r="S143" s="86" t="s">
        <v>1083</v>
      </c>
      <c r="T143" s="86" t="s">
        <v>1084</v>
      </c>
      <c r="U143" s="86" t="s">
        <v>1120</v>
      </c>
      <c r="V143" s="233" t="s">
        <v>1421</v>
      </c>
      <c r="W143" s="75"/>
      <c r="X143" s="84" t="s">
        <v>1087</v>
      </c>
      <c r="Y143" s="86" t="s">
        <v>1088</v>
      </c>
      <c r="Z143" s="161" t="s">
        <v>848</v>
      </c>
      <c r="AA143" s="131" t="s">
        <v>811</v>
      </c>
    </row>
    <row r="144" spans="1:27" s="33" customFormat="1" ht="99.75" hidden="1" customHeight="1">
      <c r="A144" s="27"/>
      <c r="B144" s="86" t="s">
        <v>1115</v>
      </c>
      <c r="C144" s="86" t="s">
        <v>1116</v>
      </c>
      <c r="D144" s="86" t="s">
        <v>1117</v>
      </c>
      <c r="E144" s="76">
        <v>2</v>
      </c>
      <c r="F144" s="194" t="s">
        <v>1407</v>
      </c>
      <c r="G144" s="194" t="s">
        <v>1408</v>
      </c>
      <c r="H144" s="75" t="s">
        <v>1409</v>
      </c>
      <c r="I144" s="76">
        <v>14</v>
      </c>
      <c r="J144" s="75" t="s">
        <v>693</v>
      </c>
      <c r="K144" s="76">
        <v>10</v>
      </c>
      <c r="L144" s="76"/>
      <c r="M144" s="84" t="s">
        <v>1410</v>
      </c>
      <c r="N144" s="75"/>
      <c r="O144" s="211"/>
      <c r="P144" s="77"/>
      <c r="Q144" s="193"/>
      <c r="R144" s="193"/>
      <c r="S144" s="86" t="s">
        <v>1083</v>
      </c>
      <c r="T144" s="86" t="s">
        <v>1084</v>
      </c>
      <c r="U144" s="86" t="s">
        <v>1411</v>
      </c>
      <c r="V144" s="233" t="s">
        <v>1422</v>
      </c>
      <c r="W144" s="75"/>
      <c r="X144" s="84" t="s">
        <v>1087</v>
      </c>
      <c r="Y144" s="86" t="s">
        <v>1413</v>
      </c>
      <c r="Z144" s="194" t="s">
        <v>1414</v>
      </c>
      <c r="AA144" s="131" t="s">
        <v>1415</v>
      </c>
    </row>
    <row r="145" spans="1:27" s="33" customFormat="1" ht="99.75" hidden="1" customHeight="1">
      <c r="A145" s="27"/>
      <c r="B145" s="75" t="s">
        <v>1076</v>
      </c>
      <c r="C145" s="75" t="s">
        <v>1077</v>
      </c>
      <c r="D145" s="75" t="s">
        <v>1078</v>
      </c>
      <c r="E145" s="195">
        <v>2</v>
      </c>
      <c r="F145" s="194" t="s">
        <v>1423</v>
      </c>
      <c r="G145" s="194" t="s">
        <v>1424</v>
      </c>
      <c r="H145" s="75" t="s">
        <v>1409</v>
      </c>
      <c r="I145" s="76">
        <v>19</v>
      </c>
      <c r="J145" s="75" t="s">
        <v>693</v>
      </c>
      <c r="K145" s="76"/>
      <c r="L145" s="76"/>
      <c r="M145" s="86" t="s">
        <v>1425</v>
      </c>
      <c r="N145" s="75"/>
      <c r="O145" s="76"/>
      <c r="P145" s="77"/>
      <c r="Q145" s="193"/>
      <c r="R145" s="193"/>
      <c r="S145" s="86" t="s">
        <v>1083</v>
      </c>
      <c r="T145" s="86" t="s">
        <v>1084</v>
      </c>
      <c r="U145" s="86" t="s">
        <v>1426</v>
      </c>
      <c r="V145" s="233" t="s">
        <v>1427</v>
      </c>
      <c r="W145" s="75"/>
      <c r="X145" s="84" t="s">
        <v>1087</v>
      </c>
      <c r="Y145" s="86" t="s">
        <v>1413</v>
      </c>
      <c r="Z145" s="194" t="s">
        <v>1428</v>
      </c>
      <c r="AA145" s="131" t="s">
        <v>1429</v>
      </c>
    </row>
    <row r="146" spans="1:27" s="33" customFormat="1" ht="99.75" hidden="1" customHeight="1">
      <c r="A146" s="27"/>
      <c r="B146" s="84" t="s">
        <v>1091</v>
      </c>
      <c r="C146" s="84" t="s">
        <v>1092</v>
      </c>
      <c r="D146" s="84" t="s">
        <v>1093</v>
      </c>
      <c r="E146" s="195">
        <v>2</v>
      </c>
      <c r="F146" s="194" t="s">
        <v>1423</v>
      </c>
      <c r="G146" s="194" t="s">
        <v>1424</v>
      </c>
      <c r="H146" s="75" t="s">
        <v>1409</v>
      </c>
      <c r="I146" s="76">
        <v>18</v>
      </c>
      <c r="J146" s="75" t="s">
        <v>693</v>
      </c>
      <c r="K146" s="76"/>
      <c r="L146" s="76"/>
      <c r="M146" s="86" t="s">
        <v>1425</v>
      </c>
      <c r="N146" s="75"/>
      <c r="O146" s="76"/>
      <c r="P146" s="77"/>
      <c r="Q146" s="193"/>
      <c r="R146" s="193"/>
      <c r="S146" s="86" t="s">
        <v>1094</v>
      </c>
      <c r="T146" s="86" t="s">
        <v>1095</v>
      </c>
      <c r="U146" s="86" t="s">
        <v>1430</v>
      </c>
      <c r="V146" s="233" t="s">
        <v>1431</v>
      </c>
      <c r="W146" s="75"/>
      <c r="X146" s="84" t="s">
        <v>1098</v>
      </c>
      <c r="Y146" s="86" t="s">
        <v>1099</v>
      </c>
      <c r="Z146" s="194" t="s">
        <v>1432</v>
      </c>
      <c r="AA146" s="131" t="s">
        <v>1101</v>
      </c>
    </row>
    <row r="147" spans="1:27" s="33" customFormat="1" ht="99.75" hidden="1" customHeight="1">
      <c r="A147" s="27"/>
      <c r="B147" s="194" t="s">
        <v>1102</v>
      </c>
      <c r="C147" s="194" t="s">
        <v>1103</v>
      </c>
      <c r="D147" s="194" t="s">
        <v>1104</v>
      </c>
      <c r="E147" s="195">
        <v>2</v>
      </c>
      <c r="F147" s="194" t="s">
        <v>1423</v>
      </c>
      <c r="G147" s="194" t="s">
        <v>1424</v>
      </c>
      <c r="H147" s="75" t="s">
        <v>1409</v>
      </c>
      <c r="I147" s="76">
        <v>18</v>
      </c>
      <c r="J147" s="75" t="s">
        <v>693</v>
      </c>
      <c r="K147" s="76"/>
      <c r="L147" s="76"/>
      <c r="M147" s="86" t="s">
        <v>1425</v>
      </c>
      <c r="N147" s="75"/>
      <c r="O147" s="76"/>
      <c r="P147" s="77"/>
      <c r="Q147" s="193"/>
      <c r="R147" s="193"/>
      <c r="S147" s="86" t="s">
        <v>1105</v>
      </c>
      <c r="T147" s="86" t="s">
        <v>1106</v>
      </c>
      <c r="U147" s="86" t="s">
        <v>1433</v>
      </c>
      <c r="V147" s="233" t="s">
        <v>1434</v>
      </c>
      <c r="W147" s="75"/>
      <c r="X147" s="84" t="s">
        <v>1098</v>
      </c>
      <c r="Y147" s="86" t="s">
        <v>1099</v>
      </c>
      <c r="Z147" s="194" t="s">
        <v>1432</v>
      </c>
      <c r="AA147" s="131" t="s">
        <v>1101</v>
      </c>
    </row>
    <row r="148" spans="1:27" s="33" customFormat="1" ht="99.75" hidden="1" customHeight="1">
      <c r="A148" s="27"/>
      <c r="B148" s="84" t="s">
        <v>1109</v>
      </c>
      <c r="C148" s="84" t="s">
        <v>1110</v>
      </c>
      <c r="D148" s="84" t="s">
        <v>1111</v>
      </c>
      <c r="E148" s="76">
        <v>2</v>
      </c>
      <c r="F148" s="194" t="s">
        <v>913</v>
      </c>
      <c r="G148" s="194" t="s">
        <v>914</v>
      </c>
      <c r="H148" s="75" t="s">
        <v>907</v>
      </c>
      <c r="I148" s="76">
        <v>7</v>
      </c>
      <c r="J148" s="75" t="s">
        <v>693</v>
      </c>
      <c r="K148" s="76">
        <v>4</v>
      </c>
      <c r="L148" s="76"/>
      <c r="M148" s="84" t="s">
        <v>915</v>
      </c>
      <c r="N148" s="75"/>
      <c r="O148" s="211"/>
      <c r="P148" s="77"/>
      <c r="Q148" s="193"/>
      <c r="R148" s="193"/>
      <c r="S148" s="86" t="s">
        <v>1083</v>
      </c>
      <c r="T148" s="86" t="s">
        <v>1084</v>
      </c>
      <c r="U148" s="86" t="s">
        <v>1131</v>
      </c>
      <c r="V148" s="233" t="s">
        <v>1435</v>
      </c>
      <c r="W148" s="75"/>
      <c r="X148" s="84" t="s">
        <v>1087</v>
      </c>
      <c r="Y148" s="86" t="s">
        <v>1088</v>
      </c>
      <c r="Z148" s="194" t="s">
        <v>1133</v>
      </c>
      <c r="AA148" s="131" t="s">
        <v>811</v>
      </c>
    </row>
    <row r="149" spans="1:27" s="33" customFormat="1" ht="99.75" hidden="1" customHeight="1">
      <c r="A149" s="27"/>
      <c r="B149" s="86" t="s">
        <v>1115</v>
      </c>
      <c r="C149" s="86" t="s">
        <v>1116</v>
      </c>
      <c r="D149" s="86" t="s">
        <v>1117</v>
      </c>
      <c r="E149" s="195">
        <v>2</v>
      </c>
      <c r="F149" s="194" t="s">
        <v>1423</v>
      </c>
      <c r="G149" s="194" t="s">
        <v>1424</v>
      </c>
      <c r="H149" s="75" t="s">
        <v>1409</v>
      </c>
      <c r="I149" s="76">
        <v>18</v>
      </c>
      <c r="J149" s="75" t="s">
        <v>693</v>
      </c>
      <c r="K149" s="76"/>
      <c r="L149" s="76"/>
      <c r="M149" s="86" t="s">
        <v>1425</v>
      </c>
      <c r="N149" s="75"/>
      <c r="O149" s="76"/>
      <c r="P149" s="77"/>
      <c r="Q149" s="193"/>
      <c r="R149" s="193"/>
      <c r="S149" s="86" t="s">
        <v>1094</v>
      </c>
      <c r="T149" s="86" t="s">
        <v>1095</v>
      </c>
      <c r="U149" s="86" t="s">
        <v>1430</v>
      </c>
      <c r="V149" s="233" t="s">
        <v>1436</v>
      </c>
      <c r="W149" s="75"/>
      <c r="X149" s="84" t="s">
        <v>1087</v>
      </c>
      <c r="Y149" s="86" t="s">
        <v>1413</v>
      </c>
      <c r="Z149" s="194" t="s">
        <v>1428</v>
      </c>
      <c r="AA149" s="131" t="s">
        <v>1429</v>
      </c>
    </row>
    <row r="150" spans="1:27" s="33" customFormat="1" ht="99.75" hidden="1" customHeight="1">
      <c r="A150" s="27"/>
      <c r="B150" s="75" t="s">
        <v>1076</v>
      </c>
      <c r="C150" s="75" t="s">
        <v>1077</v>
      </c>
      <c r="D150" s="75" t="s">
        <v>1078</v>
      </c>
      <c r="E150" s="76">
        <v>2</v>
      </c>
      <c r="F150" s="75" t="s">
        <v>705</v>
      </c>
      <c r="G150" s="75" t="s">
        <v>706</v>
      </c>
      <c r="H150" s="75" t="s">
        <v>872</v>
      </c>
      <c r="I150" s="76">
        <v>2</v>
      </c>
      <c r="J150" s="77" t="s">
        <v>693</v>
      </c>
      <c r="K150" s="76">
        <v>30</v>
      </c>
      <c r="L150" s="76"/>
      <c r="M150" s="86" t="s">
        <v>707</v>
      </c>
      <c r="N150" s="75"/>
      <c r="O150" s="76" t="s">
        <v>695</v>
      </c>
      <c r="P150" s="77"/>
      <c r="Q150" s="86" t="s">
        <v>1158</v>
      </c>
      <c r="R150" s="86" t="s">
        <v>1159</v>
      </c>
      <c r="S150" s="86" t="s">
        <v>1083</v>
      </c>
      <c r="T150" s="86" t="s">
        <v>1084</v>
      </c>
      <c r="U150" s="86" t="s">
        <v>1127</v>
      </c>
      <c r="V150" s="233" t="s">
        <v>1437</v>
      </c>
      <c r="W150" s="75"/>
      <c r="X150" s="84" t="s">
        <v>1087</v>
      </c>
      <c r="Y150" s="86" t="s">
        <v>1088</v>
      </c>
      <c r="Z150" s="86" t="s">
        <v>1129</v>
      </c>
      <c r="AA150" s="131" t="s">
        <v>811</v>
      </c>
    </row>
    <row r="151" spans="1:27" s="33" customFormat="1" ht="99.75" hidden="1" customHeight="1">
      <c r="A151" s="27"/>
      <c r="B151" s="84" t="s">
        <v>1091</v>
      </c>
      <c r="C151" s="84" t="s">
        <v>1092</v>
      </c>
      <c r="D151" s="84" t="s">
        <v>1093</v>
      </c>
      <c r="E151" s="76">
        <v>2</v>
      </c>
      <c r="F151" s="75" t="s">
        <v>705</v>
      </c>
      <c r="G151" s="75" t="s">
        <v>706</v>
      </c>
      <c r="H151" s="75" t="s">
        <v>872</v>
      </c>
      <c r="I151" s="76">
        <v>2</v>
      </c>
      <c r="J151" s="77" t="s">
        <v>693</v>
      </c>
      <c r="K151" s="76">
        <v>30</v>
      </c>
      <c r="L151" s="76"/>
      <c r="M151" s="86" t="s">
        <v>707</v>
      </c>
      <c r="N151" s="75"/>
      <c r="O151" s="76" t="s">
        <v>695</v>
      </c>
      <c r="P151" s="77"/>
      <c r="Q151" s="86" t="s">
        <v>820</v>
      </c>
      <c r="R151" s="86" t="s">
        <v>821</v>
      </c>
      <c r="S151" s="86" t="s">
        <v>1094</v>
      </c>
      <c r="T151" s="86" t="s">
        <v>1095</v>
      </c>
      <c r="U151" s="86" t="s">
        <v>1438</v>
      </c>
      <c r="V151" s="233" t="s">
        <v>1439</v>
      </c>
      <c r="W151" s="75"/>
      <c r="X151" s="84" t="s">
        <v>1098</v>
      </c>
      <c r="Y151" s="86" t="s">
        <v>1099</v>
      </c>
      <c r="Z151" s="86" t="s">
        <v>1440</v>
      </c>
      <c r="AA151" s="131" t="s">
        <v>1101</v>
      </c>
    </row>
    <row r="152" spans="1:27" s="33" customFormat="1" ht="99.75" hidden="1" customHeight="1">
      <c r="A152" s="27"/>
      <c r="B152" s="194" t="s">
        <v>1102</v>
      </c>
      <c r="C152" s="194" t="s">
        <v>1103</v>
      </c>
      <c r="D152" s="194" t="s">
        <v>1104</v>
      </c>
      <c r="E152" s="76">
        <v>2</v>
      </c>
      <c r="F152" s="75" t="s">
        <v>705</v>
      </c>
      <c r="G152" s="75" t="s">
        <v>706</v>
      </c>
      <c r="H152" s="75" t="s">
        <v>872</v>
      </c>
      <c r="I152" s="76">
        <v>2</v>
      </c>
      <c r="J152" s="77" t="s">
        <v>693</v>
      </c>
      <c r="K152" s="76">
        <v>30</v>
      </c>
      <c r="L152" s="76"/>
      <c r="M152" s="86" t="s">
        <v>707</v>
      </c>
      <c r="N152" s="75"/>
      <c r="O152" s="76" t="s">
        <v>695</v>
      </c>
      <c r="P152" s="77"/>
      <c r="Q152" s="86" t="s">
        <v>820</v>
      </c>
      <c r="R152" s="86" t="s">
        <v>821</v>
      </c>
      <c r="S152" s="86" t="s">
        <v>1105</v>
      </c>
      <c r="T152" s="86" t="s">
        <v>1106</v>
      </c>
      <c r="U152" s="86" t="s">
        <v>1441</v>
      </c>
      <c r="V152" s="233" t="s">
        <v>1442</v>
      </c>
      <c r="W152" s="75"/>
      <c r="X152" s="84" t="s">
        <v>1098</v>
      </c>
      <c r="Y152" s="86" t="s">
        <v>1099</v>
      </c>
      <c r="Z152" s="86" t="s">
        <v>1440</v>
      </c>
      <c r="AA152" s="131" t="s">
        <v>1101</v>
      </c>
    </row>
    <row r="153" spans="1:27" s="33" customFormat="1" ht="99.75" hidden="1" customHeight="1">
      <c r="A153" s="27"/>
      <c r="B153" s="84" t="s">
        <v>1109</v>
      </c>
      <c r="C153" s="84" t="s">
        <v>1110</v>
      </c>
      <c r="D153" s="84" t="s">
        <v>1111</v>
      </c>
      <c r="E153" s="76">
        <v>2</v>
      </c>
      <c r="F153" s="194" t="s">
        <v>1079</v>
      </c>
      <c r="G153" s="194" t="s">
        <v>1080</v>
      </c>
      <c r="H153" s="75" t="s">
        <v>907</v>
      </c>
      <c r="I153" s="76">
        <v>8</v>
      </c>
      <c r="J153" s="75" t="s">
        <v>693</v>
      </c>
      <c r="K153" s="76">
        <v>4</v>
      </c>
      <c r="L153" s="76"/>
      <c r="M153" s="84" t="s">
        <v>1081</v>
      </c>
      <c r="N153" s="75"/>
      <c r="O153" s="211"/>
      <c r="P153" s="87" t="s">
        <v>1082</v>
      </c>
      <c r="Q153" s="193"/>
      <c r="R153" s="193"/>
      <c r="S153" s="86" t="s">
        <v>1083</v>
      </c>
      <c r="T153" s="86" t="s">
        <v>1084</v>
      </c>
      <c r="U153" s="86" t="s">
        <v>1085</v>
      </c>
      <c r="V153" s="233" t="s">
        <v>1443</v>
      </c>
      <c r="W153" s="75"/>
      <c r="X153" s="84" t="s">
        <v>1087</v>
      </c>
      <c r="Y153" s="86" t="s">
        <v>1088</v>
      </c>
      <c r="Z153" s="161" t="s">
        <v>1089</v>
      </c>
      <c r="AA153" s="195" t="s">
        <v>1090</v>
      </c>
    </row>
    <row r="154" spans="1:27" s="33" customFormat="1" ht="99.75" hidden="1" customHeight="1">
      <c r="A154" s="27"/>
      <c r="B154" s="86" t="s">
        <v>1115</v>
      </c>
      <c r="C154" s="86" t="s">
        <v>1116</v>
      </c>
      <c r="D154" s="86" t="s">
        <v>1117</v>
      </c>
      <c r="E154" s="76">
        <v>2</v>
      </c>
      <c r="F154" s="75" t="s">
        <v>705</v>
      </c>
      <c r="G154" s="75" t="s">
        <v>706</v>
      </c>
      <c r="H154" s="75" t="s">
        <v>872</v>
      </c>
      <c r="I154" s="76">
        <v>2</v>
      </c>
      <c r="J154" s="77" t="s">
        <v>693</v>
      </c>
      <c r="K154" s="76">
        <v>30</v>
      </c>
      <c r="L154" s="76"/>
      <c r="M154" s="86" t="s">
        <v>707</v>
      </c>
      <c r="N154" s="75"/>
      <c r="O154" s="76" t="s">
        <v>695</v>
      </c>
      <c r="P154" s="77"/>
      <c r="Q154" s="86" t="s">
        <v>820</v>
      </c>
      <c r="R154" s="86" t="s">
        <v>821</v>
      </c>
      <c r="S154" s="86" t="s">
        <v>1083</v>
      </c>
      <c r="T154" s="86" t="s">
        <v>1084</v>
      </c>
      <c r="U154" s="86" t="s">
        <v>1127</v>
      </c>
      <c r="V154" s="233" t="s">
        <v>1444</v>
      </c>
      <c r="W154" s="75"/>
      <c r="X154" s="84" t="s">
        <v>1087</v>
      </c>
      <c r="Y154" s="86" t="s">
        <v>1088</v>
      </c>
      <c r="Z154" s="86" t="s">
        <v>1129</v>
      </c>
      <c r="AA154" s="131" t="s">
        <v>811</v>
      </c>
    </row>
    <row r="155" spans="1:27" s="33" customFormat="1" ht="99.75" hidden="1" customHeight="1">
      <c r="A155" s="27"/>
      <c r="B155" s="75" t="s">
        <v>1076</v>
      </c>
      <c r="C155" s="75" t="s">
        <v>1077</v>
      </c>
      <c r="D155" s="75" t="s">
        <v>1078</v>
      </c>
      <c r="E155" s="76">
        <v>2</v>
      </c>
      <c r="F155" s="75" t="s">
        <v>777</v>
      </c>
      <c r="G155" s="159" t="s">
        <v>778</v>
      </c>
      <c r="H155" s="75" t="s">
        <v>779</v>
      </c>
      <c r="I155" s="76">
        <v>12</v>
      </c>
      <c r="J155" s="75" t="s">
        <v>693</v>
      </c>
      <c r="K155" s="76">
        <v>4</v>
      </c>
      <c r="L155" s="76"/>
      <c r="M155" s="84" t="s">
        <v>780</v>
      </c>
      <c r="N155" s="75"/>
      <c r="O155" s="76"/>
      <c r="P155" s="87" t="s">
        <v>851</v>
      </c>
      <c r="Q155" s="86" t="s">
        <v>752</v>
      </c>
      <c r="R155" s="86" t="s">
        <v>782</v>
      </c>
      <c r="S155" s="86" t="s">
        <v>1083</v>
      </c>
      <c r="T155" s="86" t="s">
        <v>1084</v>
      </c>
      <c r="U155" s="86" t="s">
        <v>1445</v>
      </c>
      <c r="V155" s="233" t="s">
        <v>1446</v>
      </c>
      <c r="W155" s="75"/>
      <c r="X155" s="84" t="s">
        <v>1087</v>
      </c>
      <c r="Y155" s="86" t="s">
        <v>1088</v>
      </c>
      <c r="Z155" s="86" t="s">
        <v>854</v>
      </c>
      <c r="AA155" s="131" t="s">
        <v>811</v>
      </c>
    </row>
    <row r="156" spans="1:27" s="33" customFormat="1" ht="99.75" hidden="1" customHeight="1">
      <c r="A156" s="27"/>
      <c r="B156" s="84" t="s">
        <v>1091</v>
      </c>
      <c r="C156" s="84" t="s">
        <v>1092</v>
      </c>
      <c r="D156" s="84" t="s">
        <v>1093</v>
      </c>
      <c r="E156" s="76">
        <v>2</v>
      </c>
      <c r="F156" s="75" t="s">
        <v>777</v>
      </c>
      <c r="G156" s="159" t="s">
        <v>778</v>
      </c>
      <c r="H156" s="75" t="s">
        <v>779</v>
      </c>
      <c r="I156" s="76">
        <v>10</v>
      </c>
      <c r="J156" s="75" t="s">
        <v>693</v>
      </c>
      <c r="K156" s="76">
        <v>4</v>
      </c>
      <c r="L156" s="76"/>
      <c r="M156" s="84" t="s">
        <v>780</v>
      </c>
      <c r="N156" s="75"/>
      <c r="O156" s="76"/>
      <c r="P156" s="87" t="s">
        <v>1447</v>
      </c>
      <c r="Q156" s="86" t="s">
        <v>752</v>
      </c>
      <c r="R156" s="86" t="s">
        <v>782</v>
      </c>
      <c r="S156" s="86" t="s">
        <v>1094</v>
      </c>
      <c r="T156" s="86" t="s">
        <v>1095</v>
      </c>
      <c r="U156" s="86" t="s">
        <v>1448</v>
      </c>
      <c r="V156" s="233" t="s">
        <v>1449</v>
      </c>
      <c r="W156" s="75"/>
      <c r="X156" s="84" t="s">
        <v>1098</v>
      </c>
      <c r="Y156" s="86" t="s">
        <v>1099</v>
      </c>
      <c r="Z156" s="86" t="s">
        <v>331</v>
      </c>
      <c r="AA156" s="131" t="s">
        <v>1101</v>
      </c>
    </row>
    <row r="157" spans="1:27" s="33" customFormat="1" ht="99.75" hidden="1" customHeight="1">
      <c r="A157" s="27"/>
      <c r="B157" s="194" t="s">
        <v>1102</v>
      </c>
      <c r="C157" s="194" t="s">
        <v>1103</v>
      </c>
      <c r="D157" s="194" t="s">
        <v>1104</v>
      </c>
      <c r="E157" s="76">
        <v>2</v>
      </c>
      <c r="F157" s="75" t="s">
        <v>777</v>
      </c>
      <c r="G157" s="159" t="s">
        <v>778</v>
      </c>
      <c r="H157" s="75" t="s">
        <v>779</v>
      </c>
      <c r="I157" s="76">
        <v>10</v>
      </c>
      <c r="J157" s="75" t="s">
        <v>693</v>
      </c>
      <c r="K157" s="76">
        <v>4</v>
      </c>
      <c r="L157" s="76"/>
      <c r="M157" s="84" t="s">
        <v>780</v>
      </c>
      <c r="N157" s="75"/>
      <c r="O157" s="76"/>
      <c r="P157" s="87" t="s">
        <v>1447</v>
      </c>
      <c r="Q157" s="86" t="s">
        <v>752</v>
      </c>
      <c r="R157" s="86" t="s">
        <v>782</v>
      </c>
      <c r="S157" s="86" t="s">
        <v>1105</v>
      </c>
      <c r="T157" s="86" t="s">
        <v>1106</v>
      </c>
      <c r="U157" s="86" t="s">
        <v>1450</v>
      </c>
      <c r="V157" s="233" t="s">
        <v>1451</v>
      </c>
      <c r="W157" s="75"/>
      <c r="X157" s="84" t="s">
        <v>1098</v>
      </c>
      <c r="Y157" s="86" t="s">
        <v>1099</v>
      </c>
      <c r="Z157" s="86" t="s">
        <v>331</v>
      </c>
      <c r="AA157" s="131" t="s">
        <v>1101</v>
      </c>
    </row>
    <row r="158" spans="1:27" s="33" customFormat="1" ht="99.75" hidden="1" customHeight="1">
      <c r="A158" s="27"/>
      <c r="B158" s="84" t="s">
        <v>1109</v>
      </c>
      <c r="C158" s="84" t="s">
        <v>1110</v>
      </c>
      <c r="D158" s="194" t="s">
        <v>1111</v>
      </c>
      <c r="E158" s="195">
        <v>2</v>
      </c>
      <c r="F158" s="194" t="s">
        <v>766</v>
      </c>
      <c r="G158" s="194" t="s">
        <v>767</v>
      </c>
      <c r="H158" s="75"/>
      <c r="I158" s="76">
        <v>9</v>
      </c>
      <c r="J158" s="75" t="s">
        <v>693</v>
      </c>
      <c r="K158" s="76">
        <v>4</v>
      </c>
      <c r="L158" s="76"/>
      <c r="M158" s="159"/>
      <c r="N158" s="75"/>
      <c r="O158" s="76"/>
      <c r="P158" s="77"/>
      <c r="Q158" s="193"/>
      <c r="R158" s="193"/>
      <c r="S158" s="130" t="s">
        <v>1452</v>
      </c>
      <c r="T158" s="130" t="s">
        <v>1453</v>
      </c>
      <c r="U158" s="130" t="s">
        <v>1163</v>
      </c>
      <c r="V158" s="267" t="s">
        <v>1454</v>
      </c>
      <c r="W158" s="75"/>
      <c r="X158" s="84" t="s">
        <v>1087</v>
      </c>
      <c r="Y158" s="84" t="s">
        <v>1088</v>
      </c>
      <c r="Z158" s="161" t="s">
        <v>1455</v>
      </c>
      <c r="AA158" s="131" t="s">
        <v>1156</v>
      </c>
    </row>
    <row r="159" spans="1:27" s="33" customFormat="1" ht="99.75" hidden="1" customHeight="1">
      <c r="A159" s="27"/>
      <c r="B159" s="86" t="s">
        <v>1115</v>
      </c>
      <c r="C159" s="86" t="s">
        <v>1116</v>
      </c>
      <c r="D159" s="86" t="s">
        <v>1117</v>
      </c>
      <c r="E159" s="76">
        <v>2</v>
      </c>
      <c r="F159" s="75" t="s">
        <v>777</v>
      </c>
      <c r="G159" s="159" t="s">
        <v>778</v>
      </c>
      <c r="H159" s="75" t="s">
        <v>779</v>
      </c>
      <c r="I159" s="76">
        <v>10</v>
      </c>
      <c r="J159" s="75" t="s">
        <v>693</v>
      </c>
      <c r="K159" s="76">
        <v>4</v>
      </c>
      <c r="L159" s="76"/>
      <c r="M159" s="84" t="s">
        <v>780</v>
      </c>
      <c r="N159" s="75"/>
      <c r="O159" s="211"/>
      <c r="P159" s="87" t="s">
        <v>1456</v>
      </c>
      <c r="Q159" s="86" t="s">
        <v>752</v>
      </c>
      <c r="R159" s="86" t="s">
        <v>782</v>
      </c>
      <c r="S159" s="86" t="s">
        <v>1083</v>
      </c>
      <c r="T159" s="86" t="s">
        <v>1084</v>
      </c>
      <c r="U159" s="86" t="s">
        <v>1445</v>
      </c>
      <c r="V159" s="233" t="s">
        <v>1457</v>
      </c>
      <c r="W159" s="75"/>
      <c r="X159" s="84" t="s">
        <v>1087</v>
      </c>
      <c r="Y159" s="86" t="s">
        <v>1088</v>
      </c>
      <c r="Z159" s="86" t="s">
        <v>854</v>
      </c>
      <c r="AA159" s="131" t="s">
        <v>811</v>
      </c>
    </row>
    <row r="160" spans="1:27" s="33" customFormat="1" ht="99.75" hidden="1" customHeight="1">
      <c r="A160" s="27"/>
      <c r="B160" s="75" t="s">
        <v>1076</v>
      </c>
      <c r="C160" s="75" t="s">
        <v>1077</v>
      </c>
      <c r="D160" s="75" t="s">
        <v>1078</v>
      </c>
      <c r="E160" s="76">
        <v>2</v>
      </c>
      <c r="F160" s="84" t="s">
        <v>805</v>
      </c>
      <c r="G160" s="75" t="s">
        <v>806</v>
      </c>
      <c r="H160" s="75" t="s">
        <v>807</v>
      </c>
      <c r="I160" s="76">
        <v>22</v>
      </c>
      <c r="J160" s="75" t="s">
        <v>693</v>
      </c>
      <c r="K160" s="76">
        <v>10</v>
      </c>
      <c r="L160" s="76"/>
      <c r="M160" s="86" t="s">
        <v>808</v>
      </c>
      <c r="N160" s="75"/>
      <c r="O160" s="76" t="s">
        <v>695</v>
      </c>
      <c r="P160" s="77"/>
      <c r="Q160" s="75"/>
      <c r="R160" s="75"/>
      <c r="S160" s="86" t="s">
        <v>1083</v>
      </c>
      <c r="T160" s="86" t="s">
        <v>1084</v>
      </c>
      <c r="U160" s="86" t="s">
        <v>866</v>
      </c>
      <c r="V160" s="175" t="s">
        <v>1458</v>
      </c>
      <c r="W160" s="75"/>
      <c r="X160" s="86" t="s">
        <v>811</v>
      </c>
      <c r="Y160" s="86" t="s">
        <v>811</v>
      </c>
      <c r="Z160" s="86" t="s">
        <v>811</v>
      </c>
      <c r="AA160" s="131" t="s">
        <v>811</v>
      </c>
    </row>
    <row r="161" spans="1:27" s="33" customFormat="1" ht="99.75" hidden="1" customHeight="1">
      <c r="A161" s="27"/>
      <c r="B161" s="84" t="s">
        <v>1459</v>
      </c>
      <c r="C161" s="84" t="s">
        <v>1460</v>
      </c>
      <c r="D161" s="159" t="s">
        <v>1461</v>
      </c>
      <c r="E161" s="131">
        <v>2</v>
      </c>
      <c r="F161" s="84" t="s">
        <v>690</v>
      </c>
      <c r="G161" s="84" t="s">
        <v>691</v>
      </c>
      <c r="H161" s="75" t="s">
        <v>872</v>
      </c>
      <c r="I161" s="76">
        <v>1</v>
      </c>
      <c r="J161" s="77" t="s">
        <v>693</v>
      </c>
      <c r="K161" s="76">
        <v>4</v>
      </c>
      <c r="L161" s="76"/>
      <c r="M161" s="86" t="s">
        <v>694</v>
      </c>
      <c r="N161" s="75"/>
      <c r="O161" s="76" t="s">
        <v>695</v>
      </c>
      <c r="P161" s="77"/>
      <c r="Q161" s="84" t="s">
        <v>720</v>
      </c>
      <c r="R161" s="84" t="s">
        <v>1462</v>
      </c>
      <c r="S161" s="87" t="s">
        <v>1463</v>
      </c>
      <c r="T161" s="87" t="s">
        <v>1464</v>
      </c>
      <c r="U161" s="87" t="s">
        <v>1465</v>
      </c>
      <c r="V161" s="87" t="s">
        <v>1466</v>
      </c>
      <c r="W161" s="75"/>
      <c r="X161" s="84" t="s">
        <v>1467</v>
      </c>
      <c r="Y161" s="84" t="s">
        <v>1468</v>
      </c>
      <c r="Z161" s="84" t="s">
        <v>138</v>
      </c>
      <c r="AA161" s="76" t="s">
        <v>1101</v>
      </c>
    </row>
    <row r="162" spans="1:27" s="33" customFormat="1" ht="99.75" hidden="1" customHeight="1">
      <c r="A162" s="27"/>
      <c r="B162" s="84" t="s">
        <v>1459</v>
      </c>
      <c r="C162" s="84" t="s">
        <v>1460</v>
      </c>
      <c r="D162" s="159" t="s">
        <v>1461</v>
      </c>
      <c r="E162" s="131">
        <v>2</v>
      </c>
      <c r="F162" s="84" t="s">
        <v>705</v>
      </c>
      <c r="G162" s="84" t="s">
        <v>706</v>
      </c>
      <c r="H162" s="75" t="s">
        <v>872</v>
      </c>
      <c r="I162" s="76">
        <v>2</v>
      </c>
      <c r="J162" s="77" t="s">
        <v>693</v>
      </c>
      <c r="K162" s="76">
        <v>30</v>
      </c>
      <c r="L162" s="76"/>
      <c r="M162" s="86" t="s">
        <v>707</v>
      </c>
      <c r="N162" s="75"/>
      <c r="O162" s="76" t="s">
        <v>695</v>
      </c>
      <c r="P162" s="77"/>
      <c r="Q162" s="84" t="s">
        <v>720</v>
      </c>
      <c r="R162" s="84" t="s">
        <v>1462</v>
      </c>
      <c r="S162" s="87" t="s">
        <v>1463</v>
      </c>
      <c r="T162" s="87" t="s">
        <v>1464</v>
      </c>
      <c r="U162" s="86" t="s">
        <v>1469</v>
      </c>
      <c r="V162" s="86" t="s">
        <v>1470</v>
      </c>
      <c r="W162" s="75"/>
      <c r="X162" s="84" t="s">
        <v>1467</v>
      </c>
      <c r="Y162" s="84" t="s">
        <v>1471</v>
      </c>
      <c r="Z162" s="84" t="s">
        <v>1472</v>
      </c>
      <c r="AA162" s="76" t="s">
        <v>1101</v>
      </c>
    </row>
    <row r="163" spans="1:27" s="33" customFormat="1" ht="99.75" hidden="1" customHeight="1">
      <c r="A163" s="27"/>
      <c r="B163" s="84" t="s">
        <v>1459</v>
      </c>
      <c r="C163" s="84" t="s">
        <v>1460</v>
      </c>
      <c r="D163" s="159" t="s">
        <v>1461</v>
      </c>
      <c r="E163" s="131">
        <v>2</v>
      </c>
      <c r="F163" s="84" t="s">
        <v>715</v>
      </c>
      <c r="G163" s="84" t="s">
        <v>716</v>
      </c>
      <c r="H163" s="75" t="s">
        <v>893</v>
      </c>
      <c r="I163" s="76">
        <v>3</v>
      </c>
      <c r="J163" s="75" t="s">
        <v>718</v>
      </c>
      <c r="K163" s="76"/>
      <c r="L163" s="76"/>
      <c r="M163" s="84" t="s">
        <v>1473</v>
      </c>
      <c r="N163" s="75"/>
      <c r="O163" s="76" t="s">
        <v>695</v>
      </c>
      <c r="P163" s="77"/>
      <c r="Q163" s="84" t="s">
        <v>752</v>
      </c>
      <c r="R163" s="84" t="s">
        <v>1474</v>
      </c>
      <c r="S163" s="87" t="s">
        <v>1463</v>
      </c>
      <c r="T163" s="87" t="s">
        <v>1464</v>
      </c>
      <c r="U163" s="86" t="s">
        <v>1475</v>
      </c>
      <c r="V163" s="86" t="s">
        <v>1476</v>
      </c>
      <c r="W163" s="75"/>
      <c r="X163" s="84" t="s">
        <v>1467</v>
      </c>
      <c r="Y163" s="84" t="s">
        <v>1477</v>
      </c>
      <c r="Z163" s="84" t="s">
        <v>1478</v>
      </c>
      <c r="AA163" s="76" t="s">
        <v>1101</v>
      </c>
    </row>
    <row r="164" spans="1:27" s="33" customFormat="1" ht="99.75" hidden="1" customHeight="1">
      <c r="A164" s="27"/>
      <c r="B164" s="84" t="s">
        <v>1459</v>
      </c>
      <c r="C164" s="84" t="s">
        <v>1460</v>
      </c>
      <c r="D164" s="159" t="s">
        <v>1461</v>
      </c>
      <c r="E164" s="131">
        <v>2</v>
      </c>
      <c r="F164" s="84" t="s">
        <v>728</v>
      </c>
      <c r="G164" s="84" t="s">
        <v>729</v>
      </c>
      <c r="H164" s="75" t="s">
        <v>893</v>
      </c>
      <c r="I164" s="76">
        <v>4</v>
      </c>
      <c r="J164" s="75" t="s">
        <v>718</v>
      </c>
      <c r="K164" s="76"/>
      <c r="L164" s="76"/>
      <c r="M164" s="84" t="s">
        <v>730</v>
      </c>
      <c r="N164" s="75"/>
      <c r="O164" s="76" t="s">
        <v>695</v>
      </c>
      <c r="P164" s="77"/>
      <c r="Q164" s="193"/>
      <c r="R164" s="193"/>
      <c r="S164" s="87" t="s">
        <v>1463</v>
      </c>
      <c r="T164" s="87" t="s">
        <v>1464</v>
      </c>
      <c r="U164" s="86" t="s">
        <v>1479</v>
      </c>
      <c r="V164" s="86" t="s">
        <v>1480</v>
      </c>
      <c r="W164" s="75"/>
      <c r="X164" s="84" t="s">
        <v>1467</v>
      </c>
      <c r="Y164" s="84" t="s">
        <v>1477</v>
      </c>
      <c r="Z164" s="194" t="s">
        <v>1481</v>
      </c>
      <c r="AA164" s="76" t="s">
        <v>1101</v>
      </c>
    </row>
    <row r="165" spans="1:27" s="33" customFormat="1" ht="99.75" hidden="1" customHeight="1">
      <c r="A165" s="27"/>
      <c r="B165" s="84" t="s">
        <v>1459</v>
      </c>
      <c r="C165" s="84" t="s">
        <v>1460</v>
      </c>
      <c r="D165" s="159" t="s">
        <v>1461</v>
      </c>
      <c r="E165" s="131">
        <v>2</v>
      </c>
      <c r="F165" s="159" t="s">
        <v>736</v>
      </c>
      <c r="G165" s="159" t="s">
        <v>737</v>
      </c>
      <c r="H165" s="75" t="s">
        <v>779</v>
      </c>
      <c r="I165" s="76">
        <v>5</v>
      </c>
      <c r="J165" s="75" t="s">
        <v>693</v>
      </c>
      <c r="K165" s="76">
        <v>4</v>
      </c>
      <c r="L165" s="76"/>
      <c r="M165" s="159" t="s">
        <v>739</v>
      </c>
      <c r="N165" s="75"/>
      <c r="O165" s="76"/>
      <c r="P165" s="87" t="s">
        <v>1482</v>
      </c>
      <c r="Q165" s="84" t="s">
        <v>842</v>
      </c>
      <c r="R165" s="84" t="s">
        <v>843</v>
      </c>
      <c r="S165" s="86" t="s">
        <v>1483</v>
      </c>
      <c r="T165" s="86" t="s">
        <v>1484</v>
      </c>
      <c r="U165" s="86" t="s">
        <v>1168</v>
      </c>
      <c r="V165" s="87" t="s">
        <v>1485</v>
      </c>
      <c r="W165" s="75"/>
      <c r="X165" s="84" t="s">
        <v>1467</v>
      </c>
      <c r="Y165" s="84" t="s">
        <v>1477</v>
      </c>
      <c r="Z165" s="75" t="s">
        <v>1486</v>
      </c>
      <c r="AA165" s="76" t="s">
        <v>1101</v>
      </c>
    </row>
    <row r="166" spans="1:27" s="33" customFormat="1" ht="147" hidden="1" customHeight="1">
      <c r="A166" s="27"/>
      <c r="B166" s="84" t="s">
        <v>1459</v>
      </c>
      <c r="C166" s="84" t="s">
        <v>1460</v>
      </c>
      <c r="D166" s="159" t="s">
        <v>1461</v>
      </c>
      <c r="E166" s="131">
        <v>2</v>
      </c>
      <c r="F166" s="194" t="s">
        <v>766</v>
      </c>
      <c r="G166" s="194" t="s">
        <v>767</v>
      </c>
      <c r="H166" s="75" t="s">
        <v>768</v>
      </c>
      <c r="I166" s="76">
        <v>6</v>
      </c>
      <c r="J166" s="75" t="s">
        <v>693</v>
      </c>
      <c r="K166" s="76">
        <v>4</v>
      </c>
      <c r="L166" s="76"/>
      <c r="M166" s="84"/>
      <c r="N166" s="75"/>
      <c r="O166" s="76"/>
      <c r="P166" s="77"/>
      <c r="Q166" s="84" t="s">
        <v>752</v>
      </c>
      <c r="R166" s="193" t="s">
        <v>1203</v>
      </c>
      <c r="S166" s="87" t="s">
        <v>1463</v>
      </c>
      <c r="T166" s="87" t="s">
        <v>1464</v>
      </c>
      <c r="U166" s="86" t="s">
        <v>1487</v>
      </c>
      <c r="V166" s="86" t="s">
        <v>1488</v>
      </c>
      <c r="W166" s="75"/>
      <c r="X166" s="84" t="s">
        <v>1467</v>
      </c>
      <c r="Y166" s="84" t="s">
        <v>1468</v>
      </c>
      <c r="Z166" s="194" t="s">
        <v>1489</v>
      </c>
      <c r="AA166" s="76" t="s">
        <v>1101</v>
      </c>
    </row>
    <row r="167" spans="1:27" s="33" customFormat="1" ht="174.75" hidden="1" customHeight="1">
      <c r="A167" s="27"/>
      <c r="B167" s="84" t="s">
        <v>1459</v>
      </c>
      <c r="C167" s="84" t="s">
        <v>1460</v>
      </c>
      <c r="D167" s="159" t="s">
        <v>1461</v>
      </c>
      <c r="E167" s="131">
        <v>2</v>
      </c>
      <c r="F167" s="84" t="s">
        <v>959</v>
      </c>
      <c r="G167" s="84" t="s">
        <v>960</v>
      </c>
      <c r="H167" s="75" t="s">
        <v>768</v>
      </c>
      <c r="I167" s="76">
        <v>7</v>
      </c>
      <c r="J167" s="75" t="s">
        <v>693</v>
      </c>
      <c r="K167" s="76">
        <v>4</v>
      </c>
      <c r="L167" s="76"/>
      <c r="M167" s="84" t="s">
        <v>961</v>
      </c>
      <c r="N167" s="75"/>
      <c r="O167" s="76"/>
      <c r="P167" s="77"/>
      <c r="Q167" s="84" t="s">
        <v>752</v>
      </c>
      <c r="R167" s="84" t="s">
        <v>962</v>
      </c>
      <c r="S167" s="87" t="s">
        <v>1463</v>
      </c>
      <c r="T167" s="87" t="s">
        <v>1464</v>
      </c>
      <c r="U167" s="86" t="s">
        <v>1490</v>
      </c>
      <c r="V167" s="86" t="s">
        <v>1491</v>
      </c>
      <c r="W167" s="75"/>
      <c r="X167" s="84" t="s">
        <v>1467</v>
      </c>
      <c r="Y167" s="84" t="s">
        <v>1477</v>
      </c>
      <c r="Z167" s="84" t="s">
        <v>1492</v>
      </c>
      <c r="AA167" s="76" t="s">
        <v>1101</v>
      </c>
    </row>
    <row r="168" spans="1:27" s="33" customFormat="1" ht="99.75" hidden="1" customHeight="1">
      <c r="A168" s="27"/>
      <c r="B168" s="84" t="s">
        <v>1459</v>
      </c>
      <c r="C168" s="84" t="s">
        <v>1460</v>
      </c>
      <c r="D168" s="159" t="s">
        <v>1461</v>
      </c>
      <c r="E168" s="131">
        <v>2</v>
      </c>
      <c r="F168" s="84" t="s">
        <v>777</v>
      </c>
      <c r="G168" s="159" t="s">
        <v>778</v>
      </c>
      <c r="H168" s="75" t="s">
        <v>779</v>
      </c>
      <c r="I168" s="76">
        <v>8</v>
      </c>
      <c r="J168" s="75" t="s">
        <v>693</v>
      </c>
      <c r="K168" s="76">
        <v>4</v>
      </c>
      <c r="L168" s="76"/>
      <c r="M168" s="84" t="s">
        <v>780</v>
      </c>
      <c r="N168" s="75"/>
      <c r="O168" s="76"/>
      <c r="P168" s="87" t="s">
        <v>1229</v>
      </c>
      <c r="Q168" s="84" t="s">
        <v>752</v>
      </c>
      <c r="R168" s="84" t="s">
        <v>782</v>
      </c>
      <c r="S168" s="87" t="s">
        <v>1463</v>
      </c>
      <c r="T168" s="87" t="s">
        <v>1464</v>
      </c>
      <c r="U168" s="86" t="s">
        <v>1493</v>
      </c>
      <c r="V168" s="86" t="s">
        <v>1494</v>
      </c>
      <c r="W168" s="75"/>
      <c r="X168" s="84" t="s">
        <v>1467</v>
      </c>
      <c r="Y168" s="84" t="s">
        <v>1468</v>
      </c>
      <c r="Z168" s="84" t="s">
        <v>1495</v>
      </c>
      <c r="AA168" s="76" t="s">
        <v>1101</v>
      </c>
    </row>
    <row r="169" spans="1:27" s="33" customFormat="1" ht="99.75" hidden="1" customHeight="1">
      <c r="A169" s="27"/>
      <c r="B169" s="84" t="s">
        <v>1459</v>
      </c>
      <c r="C169" s="84" t="s">
        <v>1460</v>
      </c>
      <c r="D169" s="159" t="s">
        <v>1461</v>
      </c>
      <c r="E169" s="131">
        <v>2</v>
      </c>
      <c r="F169" s="84" t="s">
        <v>790</v>
      </c>
      <c r="G169" s="84" t="s">
        <v>791</v>
      </c>
      <c r="H169" s="75" t="s">
        <v>750</v>
      </c>
      <c r="I169" s="76">
        <v>9</v>
      </c>
      <c r="J169" s="75" t="s">
        <v>693</v>
      </c>
      <c r="K169" s="76">
        <v>10</v>
      </c>
      <c r="L169" s="76"/>
      <c r="M169" s="84" t="s">
        <v>792</v>
      </c>
      <c r="N169" s="75"/>
      <c r="O169" s="76"/>
      <c r="P169" s="77"/>
      <c r="Q169" s="84" t="s">
        <v>752</v>
      </c>
      <c r="R169" s="84" t="s">
        <v>793</v>
      </c>
      <c r="S169" s="87" t="s">
        <v>1463</v>
      </c>
      <c r="T169" s="87" t="s">
        <v>1464</v>
      </c>
      <c r="U169" s="86" t="s">
        <v>1496</v>
      </c>
      <c r="V169" s="86" t="s">
        <v>1497</v>
      </c>
      <c r="W169" s="75"/>
      <c r="X169" s="84" t="s">
        <v>1467</v>
      </c>
      <c r="Y169" s="84" t="s">
        <v>1498</v>
      </c>
      <c r="Z169" s="84" t="s">
        <v>1499</v>
      </c>
      <c r="AA169" s="76" t="s">
        <v>1101</v>
      </c>
    </row>
    <row r="170" spans="1:27" s="33" customFormat="1" ht="99.75" hidden="1" customHeight="1">
      <c r="A170" s="27"/>
      <c r="B170" s="84" t="s">
        <v>1459</v>
      </c>
      <c r="C170" s="84" t="s">
        <v>1460</v>
      </c>
      <c r="D170" s="159" t="s">
        <v>1461</v>
      </c>
      <c r="E170" s="131">
        <v>2</v>
      </c>
      <c r="F170" s="84" t="s">
        <v>748</v>
      </c>
      <c r="G170" s="84" t="s">
        <v>749</v>
      </c>
      <c r="H170" s="75" t="s">
        <v>750</v>
      </c>
      <c r="I170" s="76">
        <v>10</v>
      </c>
      <c r="J170" s="75" t="s">
        <v>693</v>
      </c>
      <c r="K170" s="76">
        <v>10</v>
      </c>
      <c r="L170" s="76"/>
      <c r="M170" s="84" t="s">
        <v>751</v>
      </c>
      <c r="N170" s="75"/>
      <c r="O170" s="76"/>
      <c r="P170" s="77"/>
      <c r="Q170" s="84" t="s">
        <v>752</v>
      </c>
      <c r="R170" s="84" t="s">
        <v>753</v>
      </c>
      <c r="S170" s="87" t="s">
        <v>1463</v>
      </c>
      <c r="T170" s="87" t="s">
        <v>1464</v>
      </c>
      <c r="U170" s="86" t="s">
        <v>1500</v>
      </c>
      <c r="V170" s="86" t="s">
        <v>1501</v>
      </c>
      <c r="W170" s="75"/>
      <c r="X170" s="84" t="s">
        <v>1467</v>
      </c>
      <c r="Y170" s="84" t="s">
        <v>1498</v>
      </c>
      <c r="Z170" s="84" t="s">
        <v>1502</v>
      </c>
      <c r="AA170" s="76" t="s">
        <v>1101</v>
      </c>
    </row>
    <row r="171" spans="1:27" ht="99.75" hidden="1" customHeight="1">
      <c r="B171" s="84" t="s">
        <v>1459</v>
      </c>
      <c r="C171" s="84" t="s">
        <v>1460</v>
      </c>
      <c r="D171" s="159" t="s">
        <v>1461</v>
      </c>
      <c r="E171" s="131">
        <v>2</v>
      </c>
      <c r="F171" s="84" t="s">
        <v>757</v>
      </c>
      <c r="G171" s="84" t="s">
        <v>758</v>
      </c>
      <c r="H171" s="75" t="s">
        <v>759</v>
      </c>
      <c r="I171" s="76">
        <v>11</v>
      </c>
      <c r="J171" s="75" t="s">
        <v>760</v>
      </c>
      <c r="K171" s="76">
        <v>23</v>
      </c>
      <c r="L171" s="76">
        <v>6</v>
      </c>
      <c r="M171" s="84" t="s">
        <v>761</v>
      </c>
      <c r="N171" s="75"/>
      <c r="O171" s="76"/>
      <c r="P171" s="77"/>
      <c r="Q171" s="84" t="s">
        <v>752</v>
      </c>
      <c r="R171" s="84" t="s">
        <v>762</v>
      </c>
      <c r="S171" s="87" t="s">
        <v>1463</v>
      </c>
      <c r="T171" s="87" t="s">
        <v>1464</v>
      </c>
      <c r="U171" s="86" t="s">
        <v>1503</v>
      </c>
      <c r="V171" s="86" t="s">
        <v>1504</v>
      </c>
      <c r="W171" s="75"/>
      <c r="X171" s="84" t="s">
        <v>1467</v>
      </c>
      <c r="Y171" s="84" t="s">
        <v>1498</v>
      </c>
      <c r="Z171" s="84" t="s">
        <v>1505</v>
      </c>
      <c r="AA171" s="76" t="s">
        <v>1101</v>
      </c>
    </row>
    <row r="172" spans="1:27" ht="99.75" hidden="1" customHeight="1">
      <c r="B172" s="84" t="s">
        <v>1459</v>
      </c>
      <c r="C172" s="84" t="s">
        <v>1460</v>
      </c>
      <c r="D172" s="159" t="s">
        <v>1461</v>
      </c>
      <c r="E172" s="131">
        <v>2</v>
      </c>
      <c r="F172" s="194" t="s">
        <v>1423</v>
      </c>
      <c r="G172" s="194" t="s">
        <v>1424</v>
      </c>
      <c r="H172" s="75" t="s">
        <v>759</v>
      </c>
      <c r="I172" s="76">
        <v>12</v>
      </c>
      <c r="J172" s="75" t="s">
        <v>693</v>
      </c>
      <c r="K172" s="76"/>
      <c r="L172" s="76"/>
      <c r="M172" s="84" t="s">
        <v>1506</v>
      </c>
      <c r="N172" s="75"/>
      <c r="O172" s="76"/>
      <c r="P172" s="77"/>
      <c r="Q172" s="193"/>
      <c r="R172" s="193"/>
      <c r="S172" s="87" t="s">
        <v>1463</v>
      </c>
      <c r="T172" s="87" t="s">
        <v>1464</v>
      </c>
      <c r="U172" s="86" t="s">
        <v>1507</v>
      </c>
      <c r="V172" s="86" t="s">
        <v>1508</v>
      </c>
      <c r="W172" s="75"/>
      <c r="X172" s="84" t="s">
        <v>1467</v>
      </c>
      <c r="Y172" s="84" t="s">
        <v>1498</v>
      </c>
      <c r="Z172" s="194" t="s">
        <v>1509</v>
      </c>
      <c r="AA172" s="76" t="s">
        <v>1101</v>
      </c>
    </row>
    <row r="173" spans="1:27" ht="99.75" hidden="1" customHeight="1">
      <c r="B173" s="84" t="s">
        <v>1459</v>
      </c>
      <c r="C173" s="84" t="s">
        <v>1460</v>
      </c>
      <c r="D173" s="159" t="s">
        <v>1461</v>
      </c>
      <c r="E173" s="131">
        <v>2</v>
      </c>
      <c r="F173" s="77" t="s">
        <v>797</v>
      </c>
      <c r="G173" s="77" t="s">
        <v>798</v>
      </c>
      <c r="H173" s="77" t="s">
        <v>799</v>
      </c>
      <c r="I173" s="76">
        <v>13</v>
      </c>
      <c r="J173" s="77" t="s">
        <v>693</v>
      </c>
      <c r="K173" s="76">
        <v>2</v>
      </c>
      <c r="L173" s="76"/>
      <c r="M173" s="86" t="s">
        <v>800</v>
      </c>
      <c r="N173" s="86"/>
      <c r="O173" s="76"/>
      <c r="P173" s="86" t="s">
        <v>1276</v>
      </c>
      <c r="Q173" s="87"/>
      <c r="R173" s="77"/>
      <c r="S173" s="87" t="s">
        <v>1463</v>
      </c>
      <c r="T173" s="87" t="s">
        <v>1464</v>
      </c>
      <c r="U173" s="86" t="s">
        <v>1507</v>
      </c>
      <c r="V173" s="130" t="s">
        <v>1510</v>
      </c>
      <c r="W173" s="76"/>
      <c r="X173" s="84" t="s">
        <v>1511</v>
      </c>
      <c r="Y173" s="84" t="s">
        <v>703</v>
      </c>
      <c r="Z173" s="84" t="s">
        <v>703</v>
      </c>
      <c r="AA173" s="201" t="s">
        <v>1512</v>
      </c>
    </row>
    <row r="174" spans="1:27" ht="99.75" hidden="1" customHeight="1">
      <c r="B174" s="84" t="s">
        <v>1459</v>
      </c>
      <c r="C174" s="84" t="s">
        <v>1460</v>
      </c>
      <c r="D174" s="159" t="s">
        <v>1461</v>
      </c>
      <c r="E174" s="131">
        <v>2</v>
      </c>
      <c r="F174" s="84" t="s">
        <v>805</v>
      </c>
      <c r="G174" s="84" t="s">
        <v>806</v>
      </c>
      <c r="H174" s="75" t="s">
        <v>807</v>
      </c>
      <c r="I174" s="76">
        <v>14</v>
      </c>
      <c r="J174" s="75" t="s">
        <v>693</v>
      </c>
      <c r="K174" s="76">
        <v>10</v>
      </c>
      <c r="L174" s="76"/>
      <c r="M174" s="86" t="s">
        <v>808</v>
      </c>
      <c r="N174" s="75"/>
      <c r="O174" s="76" t="s">
        <v>695</v>
      </c>
      <c r="P174" s="77"/>
      <c r="Q174" s="84"/>
      <c r="R174" s="84"/>
      <c r="S174" s="87" t="s">
        <v>1463</v>
      </c>
      <c r="T174" s="87" t="s">
        <v>1464</v>
      </c>
      <c r="U174" s="86" t="s">
        <v>1513</v>
      </c>
      <c r="V174" s="86" t="s">
        <v>1514</v>
      </c>
      <c r="W174" s="75"/>
      <c r="X174" s="84" t="s">
        <v>1101</v>
      </c>
      <c r="Y174" s="84" t="s">
        <v>1101</v>
      </c>
      <c r="Z174" s="84" t="s">
        <v>1101</v>
      </c>
      <c r="AA174" s="76" t="s">
        <v>1101</v>
      </c>
    </row>
    <row r="175" spans="1:27" ht="99.75" hidden="1" customHeight="1">
      <c r="B175" s="84" t="s">
        <v>1459</v>
      </c>
      <c r="C175" s="84" t="s">
        <v>1460</v>
      </c>
      <c r="D175" s="159" t="s">
        <v>1461</v>
      </c>
      <c r="E175" s="131">
        <v>2</v>
      </c>
      <c r="F175" s="84" t="s">
        <v>812</v>
      </c>
      <c r="G175" s="84" t="s">
        <v>813</v>
      </c>
      <c r="H175" s="75" t="s">
        <v>814</v>
      </c>
      <c r="I175" s="76">
        <v>15</v>
      </c>
      <c r="J175" s="75" t="s">
        <v>815</v>
      </c>
      <c r="K175" s="76">
        <v>23</v>
      </c>
      <c r="L175" s="76"/>
      <c r="M175" s="86" t="s">
        <v>816</v>
      </c>
      <c r="N175" s="75"/>
      <c r="O175" s="76"/>
      <c r="P175" s="77"/>
      <c r="Q175" s="84"/>
      <c r="R175" s="84"/>
      <c r="S175" s="87" t="s">
        <v>1463</v>
      </c>
      <c r="T175" s="87" t="s">
        <v>1464</v>
      </c>
      <c r="U175" s="86" t="s">
        <v>811</v>
      </c>
      <c r="V175" s="86" t="s">
        <v>1515</v>
      </c>
      <c r="W175" s="75"/>
      <c r="X175" s="84" t="s">
        <v>1101</v>
      </c>
      <c r="Y175" s="84" t="s">
        <v>1101</v>
      </c>
      <c r="Z175" s="84" t="s">
        <v>1101</v>
      </c>
      <c r="AA175" s="76" t="s">
        <v>1101</v>
      </c>
    </row>
    <row r="176" spans="1:27" ht="168.75" hidden="1" customHeight="1">
      <c r="B176" s="84" t="s">
        <v>1091</v>
      </c>
      <c r="C176" s="84" t="s">
        <v>1092</v>
      </c>
      <c r="D176" s="84" t="s">
        <v>1093</v>
      </c>
      <c r="E176" s="76">
        <v>2</v>
      </c>
      <c r="F176" s="84" t="s">
        <v>805</v>
      </c>
      <c r="G176" s="75" t="s">
        <v>806</v>
      </c>
      <c r="H176" s="75" t="s">
        <v>807</v>
      </c>
      <c r="I176" s="76">
        <v>22</v>
      </c>
      <c r="J176" s="75" t="s">
        <v>693</v>
      </c>
      <c r="K176" s="76">
        <v>10</v>
      </c>
      <c r="L176" s="76"/>
      <c r="M176" s="86" t="s">
        <v>808</v>
      </c>
      <c r="N176" s="75"/>
      <c r="O176" s="76" t="s">
        <v>695</v>
      </c>
      <c r="P176" s="77"/>
      <c r="Q176" s="75"/>
      <c r="R176" s="75"/>
      <c r="S176" s="86" t="s">
        <v>1094</v>
      </c>
      <c r="T176" s="86" t="s">
        <v>1095</v>
      </c>
      <c r="U176" s="86" t="s">
        <v>1516</v>
      </c>
      <c r="V176" s="233" t="s">
        <v>1517</v>
      </c>
      <c r="W176" s="75"/>
      <c r="X176" s="86" t="s">
        <v>1101</v>
      </c>
      <c r="Y176" s="86" t="s">
        <v>1101</v>
      </c>
      <c r="Z176" s="86" t="s">
        <v>1101</v>
      </c>
      <c r="AA176" s="131" t="s">
        <v>1101</v>
      </c>
    </row>
    <row r="177" spans="2:27" ht="99.75" hidden="1" customHeight="1">
      <c r="B177" s="194" t="s">
        <v>1102</v>
      </c>
      <c r="C177" s="194" t="s">
        <v>1103</v>
      </c>
      <c r="D177" s="194" t="s">
        <v>1104</v>
      </c>
      <c r="E177" s="76">
        <v>2</v>
      </c>
      <c r="F177" s="84" t="s">
        <v>805</v>
      </c>
      <c r="G177" s="75" t="s">
        <v>806</v>
      </c>
      <c r="H177" s="75" t="s">
        <v>807</v>
      </c>
      <c r="I177" s="76">
        <v>22</v>
      </c>
      <c r="J177" s="75" t="s">
        <v>693</v>
      </c>
      <c r="K177" s="76">
        <v>10</v>
      </c>
      <c r="L177" s="76"/>
      <c r="M177" s="86" t="s">
        <v>808</v>
      </c>
      <c r="N177" s="75"/>
      <c r="O177" s="76" t="s">
        <v>695</v>
      </c>
      <c r="P177" s="77"/>
      <c r="Q177" s="75"/>
      <c r="R177" s="75"/>
      <c r="S177" s="86" t="s">
        <v>1105</v>
      </c>
      <c r="T177" s="86" t="s">
        <v>1106</v>
      </c>
      <c r="U177" s="86" t="s">
        <v>1518</v>
      </c>
      <c r="V177" s="233" t="s">
        <v>1519</v>
      </c>
      <c r="W177" s="75"/>
      <c r="X177" s="86" t="s">
        <v>1101</v>
      </c>
      <c r="Y177" s="86" t="s">
        <v>1101</v>
      </c>
      <c r="Z177" s="86" t="s">
        <v>1101</v>
      </c>
      <c r="AA177" s="131" t="s">
        <v>1101</v>
      </c>
    </row>
    <row r="178" spans="2:27" ht="132" hidden="1" customHeight="1">
      <c r="B178" s="84" t="s">
        <v>1109</v>
      </c>
      <c r="C178" s="84" t="s">
        <v>1110</v>
      </c>
      <c r="D178" s="84" t="s">
        <v>1111</v>
      </c>
      <c r="E178" s="131">
        <v>2</v>
      </c>
      <c r="F178" s="75" t="s">
        <v>777</v>
      </c>
      <c r="G178" s="159" t="s">
        <v>778</v>
      </c>
      <c r="H178" s="75" t="s">
        <v>779</v>
      </c>
      <c r="I178" s="76">
        <v>10</v>
      </c>
      <c r="J178" s="75" t="s">
        <v>693</v>
      </c>
      <c r="K178" s="76">
        <v>4</v>
      </c>
      <c r="L178" s="76"/>
      <c r="M178" s="84" t="s">
        <v>780</v>
      </c>
      <c r="N178" s="75"/>
      <c r="O178" s="76"/>
      <c r="P178" s="87" t="s">
        <v>1520</v>
      </c>
      <c r="Q178" s="86" t="s">
        <v>752</v>
      </c>
      <c r="R178" s="86" t="s">
        <v>782</v>
      </c>
      <c r="S178" s="86" t="s">
        <v>1083</v>
      </c>
      <c r="T178" s="86" t="s">
        <v>1084</v>
      </c>
      <c r="U178" s="86" t="s">
        <v>1445</v>
      </c>
      <c r="V178" s="233" t="s">
        <v>1521</v>
      </c>
      <c r="W178" s="75"/>
      <c r="X178" s="84" t="s">
        <v>1087</v>
      </c>
      <c r="Y178" s="86" t="s">
        <v>1088</v>
      </c>
      <c r="Z178" s="86" t="s">
        <v>854</v>
      </c>
      <c r="AA178" s="131" t="s">
        <v>811</v>
      </c>
    </row>
    <row r="179" spans="2:27" ht="126.75" hidden="1" customHeight="1">
      <c r="B179" s="86" t="s">
        <v>1115</v>
      </c>
      <c r="C179" s="86" t="s">
        <v>1116</v>
      </c>
      <c r="D179" s="86" t="s">
        <v>1117</v>
      </c>
      <c r="E179" s="76">
        <v>2</v>
      </c>
      <c r="F179" s="84" t="s">
        <v>805</v>
      </c>
      <c r="G179" s="75" t="s">
        <v>806</v>
      </c>
      <c r="H179" s="75" t="s">
        <v>807</v>
      </c>
      <c r="I179" s="76">
        <v>22</v>
      </c>
      <c r="J179" s="75" t="s">
        <v>693</v>
      </c>
      <c r="K179" s="76">
        <v>10</v>
      </c>
      <c r="L179" s="76"/>
      <c r="M179" s="86" t="s">
        <v>808</v>
      </c>
      <c r="N179" s="75"/>
      <c r="O179" s="76" t="s">
        <v>695</v>
      </c>
      <c r="P179" s="77"/>
      <c r="Q179" s="75"/>
      <c r="R179" s="75"/>
      <c r="S179" s="86" t="s">
        <v>1083</v>
      </c>
      <c r="T179" s="86" t="s">
        <v>1084</v>
      </c>
      <c r="U179" s="86" t="s">
        <v>866</v>
      </c>
      <c r="V179" s="175" t="s">
        <v>1522</v>
      </c>
      <c r="W179" s="75"/>
      <c r="X179" s="86" t="s">
        <v>811</v>
      </c>
      <c r="Y179" s="86" t="s">
        <v>811</v>
      </c>
      <c r="Z179" s="86" t="s">
        <v>811</v>
      </c>
      <c r="AA179" s="131" t="s">
        <v>811</v>
      </c>
    </row>
    <row r="180" spans="2:27" ht="361.5" hidden="1" customHeight="1">
      <c r="B180" s="75" t="s">
        <v>1076</v>
      </c>
      <c r="C180" s="75" t="s">
        <v>1077</v>
      </c>
      <c r="D180" s="75" t="s">
        <v>1078</v>
      </c>
      <c r="E180" s="76">
        <v>2</v>
      </c>
      <c r="F180" s="84" t="s">
        <v>812</v>
      </c>
      <c r="G180" s="75" t="s">
        <v>813</v>
      </c>
      <c r="H180" s="75" t="s">
        <v>814</v>
      </c>
      <c r="I180" s="76">
        <v>23</v>
      </c>
      <c r="J180" s="75" t="s">
        <v>815</v>
      </c>
      <c r="K180" s="76">
        <v>23</v>
      </c>
      <c r="L180" s="76"/>
      <c r="M180" s="86" t="s">
        <v>816</v>
      </c>
      <c r="N180" s="75"/>
      <c r="O180" s="76"/>
      <c r="P180" s="77"/>
      <c r="Q180" s="75"/>
      <c r="R180" s="75"/>
      <c r="S180" s="86" t="s">
        <v>1083</v>
      </c>
      <c r="T180" s="86" t="s">
        <v>1084</v>
      </c>
      <c r="U180" s="87" t="s">
        <v>818</v>
      </c>
      <c r="V180" s="175" t="s">
        <v>1523</v>
      </c>
      <c r="W180" s="75"/>
      <c r="X180" s="86" t="s">
        <v>811</v>
      </c>
      <c r="Y180" s="86" t="s">
        <v>811</v>
      </c>
      <c r="Z180" s="86" t="s">
        <v>811</v>
      </c>
      <c r="AA180" s="131" t="s">
        <v>811</v>
      </c>
    </row>
    <row r="181" spans="2:27" ht="122.25" hidden="1" customHeight="1">
      <c r="B181" s="84" t="s">
        <v>1091</v>
      </c>
      <c r="C181" s="84" t="s">
        <v>1092</v>
      </c>
      <c r="D181" s="84" t="s">
        <v>1093</v>
      </c>
      <c r="E181" s="76">
        <v>2</v>
      </c>
      <c r="F181" s="84" t="s">
        <v>812</v>
      </c>
      <c r="G181" s="75" t="s">
        <v>813</v>
      </c>
      <c r="H181" s="75" t="s">
        <v>814</v>
      </c>
      <c r="I181" s="76">
        <v>23</v>
      </c>
      <c r="J181" s="75" t="s">
        <v>815</v>
      </c>
      <c r="K181" s="76">
        <v>23</v>
      </c>
      <c r="L181" s="76"/>
      <c r="M181" s="86" t="s">
        <v>816</v>
      </c>
      <c r="N181" s="75"/>
      <c r="O181" s="76"/>
      <c r="P181" s="77"/>
      <c r="Q181" s="75"/>
      <c r="R181" s="75"/>
      <c r="S181" s="86" t="s">
        <v>1094</v>
      </c>
      <c r="T181" s="86" t="s">
        <v>1095</v>
      </c>
      <c r="U181" s="130" t="s">
        <v>811</v>
      </c>
      <c r="V181" s="175" t="s">
        <v>1524</v>
      </c>
      <c r="W181" s="75"/>
      <c r="X181" s="86" t="s">
        <v>1101</v>
      </c>
      <c r="Y181" s="86" t="s">
        <v>1101</v>
      </c>
      <c r="Z181" s="86" t="s">
        <v>1101</v>
      </c>
      <c r="AA181" s="131" t="s">
        <v>1101</v>
      </c>
    </row>
    <row r="182" spans="2:27" ht="189" hidden="1" customHeight="1">
      <c r="B182" s="194" t="s">
        <v>1102</v>
      </c>
      <c r="C182" s="194" t="s">
        <v>1103</v>
      </c>
      <c r="D182" s="194" t="s">
        <v>1104</v>
      </c>
      <c r="E182" s="76">
        <v>2</v>
      </c>
      <c r="F182" s="84" t="s">
        <v>812</v>
      </c>
      <c r="G182" s="75" t="s">
        <v>813</v>
      </c>
      <c r="H182" s="75" t="s">
        <v>814</v>
      </c>
      <c r="I182" s="76">
        <v>23</v>
      </c>
      <c r="J182" s="75" t="s">
        <v>815</v>
      </c>
      <c r="K182" s="76">
        <v>23</v>
      </c>
      <c r="L182" s="76"/>
      <c r="M182" s="86" t="s">
        <v>816</v>
      </c>
      <c r="N182" s="75"/>
      <c r="O182" s="76"/>
      <c r="P182" s="77"/>
      <c r="Q182" s="75"/>
      <c r="R182" s="75"/>
      <c r="S182" s="86" t="s">
        <v>1105</v>
      </c>
      <c r="T182" s="86" t="s">
        <v>1106</v>
      </c>
      <c r="U182" s="130" t="s">
        <v>703</v>
      </c>
      <c r="V182" s="175" t="s">
        <v>1525</v>
      </c>
      <c r="W182" s="75"/>
      <c r="X182" s="86" t="s">
        <v>1101</v>
      </c>
      <c r="Y182" s="86" t="s">
        <v>1101</v>
      </c>
      <c r="Z182" s="86" t="s">
        <v>1101</v>
      </c>
      <c r="AA182" s="131" t="s">
        <v>1101</v>
      </c>
    </row>
    <row r="183" spans="2:27" ht="162.75" hidden="1" customHeight="1">
      <c r="B183" s="84" t="s">
        <v>1109</v>
      </c>
      <c r="C183" s="84" t="s">
        <v>1110</v>
      </c>
      <c r="D183" s="84" t="s">
        <v>1111</v>
      </c>
      <c r="E183" s="131">
        <v>2</v>
      </c>
      <c r="F183" s="84" t="s">
        <v>790</v>
      </c>
      <c r="G183" s="84" t="s">
        <v>791</v>
      </c>
      <c r="H183" s="75" t="s">
        <v>750</v>
      </c>
      <c r="I183" s="76">
        <v>11</v>
      </c>
      <c r="J183" s="75" t="s">
        <v>693</v>
      </c>
      <c r="K183" s="76">
        <v>10</v>
      </c>
      <c r="L183" s="76"/>
      <c r="M183" s="84" t="s">
        <v>792</v>
      </c>
      <c r="N183" s="75"/>
      <c r="O183" s="211"/>
      <c r="P183" s="77"/>
      <c r="Q183" s="86" t="s">
        <v>752</v>
      </c>
      <c r="R183" s="86" t="s">
        <v>793</v>
      </c>
      <c r="S183" s="86" t="s">
        <v>1083</v>
      </c>
      <c r="T183" s="86" t="s">
        <v>1084</v>
      </c>
      <c r="U183" s="86" t="s">
        <v>1526</v>
      </c>
      <c r="V183" s="233" t="s">
        <v>1527</v>
      </c>
      <c r="W183" s="75"/>
      <c r="X183" s="84" t="s">
        <v>1087</v>
      </c>
      <c r="Y183" s="86" t="s">
        <v>1088</v>
      </c>
      <c r="Z183" s="86" t="s">
        <v>857</v>
      </c>
      <c r="AA183" s="131" t="s">
        <v>811</v>
      </c>
    </row>
    <row r="184" spans="2:27" ht="135" hidden="1" customHeight="1">
      <c r="B184" s="86" t="s">
        <v>1115</v>
      </c>
      <c r="C184" s="86" t="s">
        <v>1116</v>
      </c>
      <c r="D184" s="86" t="s">
        <v>1117</v>
      </c>
      <c r="E184" s="76">
        <v>2</v>
      </c>
      <c r="F184" s="84" t="s">
        <v>812</v>
      </c>
      <c r="G184" s="75" t="s">
        <v>813</v>
      </c>
      <c r="H184" s="75" t="s">
        <v>814</v>
      </c>
      <c r="I184" s="211">
        <v>23</v>
      </c>
      <c r="J184" s="75" t="s">
        <v>815</v>
      </c>
      <c r="K184" s="76">
        <v>23</v>
      </c>
      <c r="L184" s="76"/>
      <c r="M184" s="86" t="s">
        <v>816</v>
      </c>
      <c r="N184" s="75"/>
      <c r="O184" s="76"/>
      <c r="P184" s="77"/>
      <c r="Q184" s="75"/>
      <c r="R184" s="75"/>
      <c r="S184" s="86" t="s">
        <v>1083</v>
      </c>
      <c r="T184" s="86" t="s">
        <v>1084</v>
      </c>
      <c r="U184" s="87" t="s">
        <v>818</v>
      </c>
      <c r="V184" s="175" t="s">
        <v>1528</v>
      </c>
      <c r="W184" s="75"/>
      <c r="X184" s="86" t="s">
        <v>811</v>
      </c>
      <c r="Y184" s="86" t="s">
        <v>811</v>
      </c>
      <c r="Z184" s="86" t="s">
        <v>811</v>
      </c>
      <c r="AA184" s="131" t="s">
        <v>811</v>
      </c>
    </row>
    <row r="185" spans="2:27" ht="138.75" hidden="1" customHeight="1">
      <c r="B185" s="75" t="s">
        <v>1076</v>
      </c>
      <c r="C185" s="75" t="s">
        <v>1077</v>
      </c>
      <c r="D185" s="75" t="s">
        <v>1078</v>
      </c>
      <c r="E185" s="76">
        <v>2</v>
      </c>
      <c r="F185" s="75" t="s">
        <v>1529</v>
      </c>
      <c r="G185" s="75" t="s">
        <v>1530</v>
      </c>
      <c r="H185" s="75" t="s">
        <v>1409</v>
      </c>
      <c r="I185" s="76">
        <v>17</v>
      </c>
      <c r="J185" s="75" t="s">
        <v>693</v>
      </c>
      <c r="K185" s="76">
        <v>30</v>
      </c>
      <c r="L185" s="76"/>
      <c r="M185" s="86" t="s">
        <v>1531</v>
      </c>
      <c r="N185" s="75"/>
      <c r="O185" s="76"/>
      <c r="P185" s="77"/>
      <c r="Q185" s="75"/>
      <c r="R185" s="75"/>
      <c r="S185" s="86" t="s">
        <v>1083</v>
      </c>
      <c r="T185" s="86" t="s">
        <v>1084</v>
      </c>
      <c r="U185" s="86" t="s">
        <v>1532</v>
      </c>
      <c r="V185" s="233" t="s">
        <v>1533</v>
      </c>
      <c r="W185" s="75"/>
      <c r="X185" s="84" t="s">
        <v>1087</v>
      </c>
      <c r="Y185" s="86" t="s">
        <v>1413</v>
      </c>
      <c r="Z185" s="86" t="s">
        <v>1534</v>
      </c>
      <c r="AA185" s="131" t="s">
        <v>1429</v>
      </c>
    </row>
    <row r="186" spans="2:27" ht="155.25" hidden="1" customHeight="1">
      <c r="B186" s="84" t="s">
        <v>1091</v>
      </c>
      <c r="C186" s="84" t="s">
        <v>1092</v>
      </c>
      <c r="D186" s="84" t="s">
        <v>1093</v>
      </c>
      <c r="E186" s="76">
        <v>2</v>
      </c>
      <c r="F186" s="75" t="s">
        <v>1529</v>
      </c>
      <c r="G186" s="75" t="s">
        <v>1530</v>
      </c>
      <c r="H186" s="75" t="s">
        <v>1409</v>
      </c>
      <c r="I186" s="76">
        <v>16</v>
      </c>
      <c r="J186" s="75" t="s">
        <v>693</v>
      </c>
      <c r="K186" s="76"/>
      <c r="L186" s="76"/>
      <c r="M186" s="86" t="s">
        <v>1535</v>
      </c>
      <c r="N186" s="75"/>
      <c r="O186" s="76"/>
      <c r="P186" s="77"/>
      <c r="Q186" s="75"/>
      <c r="R186" s="75"/>
      <c r="S186" s="86" t="s">
        <v>1094</v>
      </c>
      <c r="T186" s="86" t="s">
        <v>1095</v>
      </c>
      <c r="U186" s="86" t="s">
        <v>1536</v>
      </c>
      <c r="V186" s="233" t="s">
        <v>1537</v>
      </c>
      <c r="W186" s="75"/>
      <c r="X186" s="84" t="s">
        <v>1098</v>
      </c>
      <c r="Y186" s="86" t="s">
        <v>1099</v>
      </c>
      <c r="Z186" s="86" t="s">
        <v>1538</v>
      </c>
      <c r="AA186" s="131" t="s">
        <v>1101</v>
      </c>
    </row>
    <row r="187" spans="2:27" ht="126.75" hidden="1" customHeight="1">
      <c r="B187" s="194" t="s">
        <v>1102</v>
      </c>
      <c r="C187" s="194" t="s">
        <v>1103</v>
      </c>
      <c r="D187" s="194" t="s">
        <v>1104</v>
      </c>
      <c r="E187" s="76">
        <v>2</v>
      </c>
      <c r="F187" s="75" t="s">
        <v>1529</v>
      </c>
      <c r="G187" s="75" t="s">
        <v>1530</v>
      </c>
      <c r="H187" s="75" t="s">
        <v>1409</v>
      </c>
      <c r="I187" s="76">
        <v>16</v>
      </c>
      <c r="J187" s="75" t="s">
        <v>693</v>
      </c>
      <c r="K187" s="76"/>
      <c r="L187" s="76"/>
      <c r="M187" s="86" t="s">
        <v>1535</v>
      </c>
      <c r="N187" s="75"/>
      <c r="O187" s="76"/>
      <c r="P187" s="77"/>
      <c r="Q187" s="75"/>
      <c r="R187" s="75"/>
      <c r="S187" s="86" t="s">
        <v>1105</v>
      </c>
      <c r="T187" s="86" t="s">
        <v>1106</v>
      </c>
      <c r="U187" s="86" t="s">
        <v>1539</v>
      </c>
      <c r="V187" s="233" t="s">
        <v>1540</v>
      </c>
      <c r="W187" s="75"/>
      <c r="X187" s="84" t="s">
        <v>1098</v>
      </c>
      <c r="Y187" s="86" t="s">
        <v>1099</v>
      </c>
      <c r="Z187" s="86" t="s">
        <v>1538</v>
      </c>
      <c r="AA187" s="131" t="s">
        <v>1101</v>
      </c>
    </row>
    <row r="188" spans="2:27" ht="125.25" hidden="1" customHeight="1">
      <c r="B188" s="84" t="s">
        <v>1109</v>
      </c>
      <c r="C188" s="84" t="s">
        <v>1110</v>
      </c>
      <c r="D188" s="84" t="s">
        <v>1111</v>
      </c>
      <c r="E188" s="131">
        <v>2</v>
      </c>
      <c r="F188" s="84" t="s">
        <v>748</v>
      </c>
      <c r="G188" s="84" t="s">
        <v>749</v>
      </c>
      <c r="H188" s="75" t="s">
        <v>750</v>
      </c>
      <c r="I188" s="76">
        <v>12</v>
      </c>
      <c r="J188" s="75" t="s">
        <v>693</v>
      </c>
      <c r="K188" s="76">
        <v>10</v>
      </c>
      <c r="L188" s="76"/>
      <c r="M188" s="84" t="s">
        <v>751</v>
      </c>
      <c r="N188" s="75"/>
      <c r="O188" s="76"/>
      <c r="P188" s="77"/>
      <c r="Q188" s="86" t="s">
        <v>720</v>
      </c>
      <c r="R188" s="86" t="s">
        <v>1541</v>
      </c>
      <c r="S188" s="86" t="s">
        <v>1083</v>
      </c>
      <c r="T188" s="86" t="s">
        <v>1084</v>
      </c>
      <c r="U188" s="86" t="s">
        <v>1542</v>
      </c>
      <c r="V188" s="233" t="s">
        <v>1543</v>
      </c>
      <c r="W188" s="75"/>
      <c r="X188" s="84" t="s">
        <v>1087</v>
      </c>
      <c r="Y188" s="86" t="s">
        <v>1544</v>
      </c>
      <c r="Z188" s="86" t="s">
        <v>860</v>
      </c>
      <c r="AA188" s="131" t="s">
        <v>811</v>
      </c>
    </row>
    <row r="189" spans="2:27" ht="128.25" hidden="1" customHeight="1">
      <c r="B189" s="86" t="s">
        <v>1115</v>
      </c>
      <c r="C189" s="86" t="s">
        <v>1116</v>
      </c>
      <c r="D189" s="86" t="s">
        <v>1117</v>
      </c>
      <c r="E189" s="76">
        <v>2</v>
      </c>
      <c r="F189" s="75" t="s">
        <v>1529</v>
      </c>
      <c r="G189" s="75" t="s">
        <v>1530</v>
      </c>
      <c r="H189" s="75" t="s">
        <v>1409</v>
      </c>
      <c r="I189" s="76">
        <v>16</v>
      </c>
      <c r="J189" s="75" t="s">
        <v>693</v>
      </c>
      <c r="K189" s="76"/>
      <c r="L189" s="76"/>
      <c r="M189" s="86" t="s">
        <v>1535</v>
      </c>
      <c r="N189" s="75"/>
      <c r="O189" s="76"/>
      <c r="P189" s="77"/>
      <c r="Q189" s="75"/>
      <c r="R189" s="75"/>
      <c r="S189" s="86" t="s">
        <v>1094</v>
      </c>
      <c r="T189" s="86" t="s">
        <v>1095</v>
      </c>
      <c r="U189" s="86" t="s">
        <v>1536</v>
      </c>
      <c r="V189" s="233" t="s">
        <v>1545</v>
      </c>
      <c r="W189" s="75"/>
      <c r="X189" s="84" t="s">
        <v>1087</v>
      </c>
      <c r="Y189" s="86" t="s">
        <v>1413</v>
      </c>
      <c r="Z189" s="86" t="s">
        <v>1534</v>
      </c>
      <c r="AA189" s="131" t="s">
        <v>1429</v>
      </c>
    </row>
    <row r="190" spans="2:27" ht="115.5" hidden="1" customHeight="1">
      <c r="B190" s="75" t="s">
        <v>1076</v>
      </c>
      <c r="C190" s="75" t="s">
        <v>1077</v>
      </c>
      <c r="D190" s="75" t="s">
        <v>1078</v>
      </c>
      <c r="E190" s="131">
        <v>2</v>
      </c>
      <c r="F190" s="194" t="s">
        <v>766</v>
      </c>
      <c r="G190" s="194" t="s">
        <v>767</v>
      </c>
      <c r="H190" s="75" t="s">
        <v>768</v>
      </c>
      <c r="I190" s="76">
        <v>11</v>
      </c>
      <c r="J190" s="75" t="s">
        <v>693</v>
      </c>
      <c r="K190" s="76">
        <v>4</v>
      </c>
      <c r="L190" s="76"/>
      <c r="M190" s="159" t="s">
        <v>769</v>
      </c>
      <c r="N190" s="75"/>
      <c r="O190" s="76"/>
      <c r="P190" s="77"/>
      <c r="Q190" s="193"/>
      <c r="R190" s="193"/>
      <c r="S190" s="130" t="s">
        <v>1452</v>
      </c>
      <c r="T190" s="130" t="s">
        <v>1453</v>
      </c>
      <c r="U190" s="130" t="s">
        <v>1163</v>
      </c>
      <c r="V190" s="267" t="s">
        <v>1546</v>
      </c>
      <c r="W190" s="75"/>
      <c r="X190" s="84" t="s">
        <v>1087</v>
      </c>
      <c r="Y190" s="86" t="s">
        <v>1088</v>
      </c>
      <c r="Z190" s="161" t="s">
        <v>811</v>
      </c>
      <c r="AA190" s="195" t="s">
        <v>1156</v>
      </c>
    </row>
    <row r="191" spans="2:27" ht="130.5" hidden="1" customHeight="1">
      <c r="B191" s="84" t="s">
        <v>1091</v>
      </c>
      <c r="C191" s="84" t="s">
        <v>1092</v>
      </c>
      <c r="D191" s="84" t="s">
        <v>1093</v>
      </c>
      <c r="E191" s="131">
        <v>2</v>
      </c>
      <c r="F191" s="194" t="s">
        <v>766</v>
      </c>
      <c r="G191" s="194" t="s">
        <v>767</v>
      </c>
      <c r="H191" s="75" t="s">
        <v>768</v>
      </c>
      <c r="I191" s="76">
        <v>9</v>
      </c>
      <c r="J191" s="75" t="s">
        <v>693</v>
      </c>
      <c r="K191" s="76">
        <v>4</v>
      </c>
      <c r="L191" s="76"/>
      <c r="M191" s="159" t="s">
        <v>769</v>
      </c>
      <c r="N191" s="75"/>
      <c r="O191" s="76"/>
      <c r="P191" s="77"/>
      <c r="Q191" s="193"/>
      <c r="R191" s="193"/>
      <c r="S191" s="86" t="s">
        <v>1094</v>
      </c>
      <c r="T191" s="86" t="s">
        <v>1095</v>
      </c>
      <c r="U191" s="130" t="s">
        <v>811</v>
      </c>
      <c r="V191" s="267" t="s">
        <v>1547</v>
      </c>
      <c r="W191" s="75"/>
      <c r="X191" s="84" t="s">
        <v>1098</v>
      </c>
      <c r="Y191" s="194" t="s">
        <v>1101</v>
      </c>
      <c r="Z191" s="194" t="s">
        <v>1101</v>
      </c>
      <c r="AA191" s="195" t="s">
        <v>1205</v>
      </c>
    </row>
    <row r="192" spans="2:27" ht="133.5" hidden="1" customHeight="1">
      <c r="B192" s="194" t="s">
        <v>1102</v>
      </c>
      <c r="C192" s="194" t="s">
        <v>1103</v>
      </c>
      <c r="D192" s="194" t="s">
        <v>1104</v>
      </c>
      <c r="E192" s="131">
        <v>2</v>
      </c>
      <c r="F192" s="194" t="s">
        <v>766</v>
      </c>
      <c r="G192" s="194" t="s">
        <v>767</v>
      </c>
      <c r="H192" s="75" t="s">
        <v>768</v>
      </c>
      <c r="I192" s="76">
        <v>9</v>
      </c>
      <c r="J192" s="75" t="s">
        <v>693</v>
      </c>
      <c r="K192" s="76">
        <v>4</v>
      </c>
      <c r="L192" s="76"/>
      <c r="M192" s="159" t="s">
        <v>769</v>
      </c>
      <c r="N192" s="75"/>
      <c r="O192" s="76"/>
      <c r="P192" s="77"/>
      <c r="Q192" s="193"/>
      <c r="R192" s="193"/>
      <c r="S192" s="86" t="s">
        <v>1105</v>
      </c>
      <c r="T192" s="86" t="s">
        <v>1106</v>
      </c>
      <c r="U192" s="130" t="s">
        <v>703</v>
      </c>
      <c r="V192" s="267" t="s">
        <v>1548</v>
      </c>
      <c r="W192" s="75"/>
      <c r="X192" s="84" t="s">
        <v>1098</v>
      </c>
      <c r="Y192" s="194" t="s">
        <v>1101</v>
      </c>
      <c r="Z192" s="194" t="s">
        <v>1101</v>
      </c>
      <c r="AA192" s="195" t="s">
        <v>1205</v>
      </c>
    </row>
    <row r="193" spans="2:27" ht="125.25" hidden="1" customHeight="1">
      <c r="B193" s="84" t="s">
        <v>1109</v>
      </c>
      <c r="C193" s="84" t="s">
        <v>1110</v>
      </c>
      <c r="D193" s="84" t="s">
        <v>1111</v>
      </c>
      <c r="E193" s="131">
        <v>2</v>
      </c>
      <c r="F193" s="75" t="s">
        <v>757</v>
      </c>
      <c r="G193" s="84" t="s">
        <v>758</v>
      </c>
      <c r="H193" s="75" t="s">
        <v>759</v>
      </c>
      <c r="I193" s="76">
        <v>13</v>
      </c>
      <c r="J193" s="75" t="s">
        <v>760</v>
      </c>
      <c r="K193" s="76">
        <v>23</v>
      </c>
      <c r="L193" s="76">
        <v>6</v>
      </c>
      <c r="M193" s="84" t="s">
        <v>761</v>
      </c>
      <c r="N193" s="75"/>
      <c r="O193" s="76"/>
      <c r="P193" s="77"/>
      <c r="Q193" s="75" t="s">
        <v>752</v>
      </c>
      <c r="R193" s="86" t="s">
        <v>762</v>
      </c>
      <c r="S193" s="86" t="s">
        <v>1083</v>
      </c>
      <c r="T193" s="86" t="s">
        <v>1084</v>
      </c>
      <c r="U193" s="86" t="s">
        <v>1144</v>
      </c>
      <c r="V193" s="233" t="s">
        <v>1549</v>
      </c>
      <c r="W193" s="75"/>
      <c r="X193" s="84" t="s">
        <v>1087</v>
      </c>
      <c r="Y193" s="86" t="s">
        <v>1088</v>
      </c>
      <c r="Z193" s="161" t="s">
        <v>863</v>
      </c>
      <c r="AA193" s="131" t="s">
        <v>811</v>
      </c>
    </row>
    <row r="194" spans="2:27" ht="135" hidden="1" customHeight="1">
      <c r="B194" s="86" t="s">
        <v>1115</v>
      </c>
      <c r="C194" s="86" t="s">
        <v>1116</v>
      </c>
      <c r="D194" s="86" t="s">
        <v>1117</v>
      </c>
      <c r="E194" s="76">
        <v>2</v>
      </c>
      <c r="F194" s="191" t="s">
        <v>766</v>
      </c>
      <c r="G194" s="191" t="s">
        <v>767</v>
      </c>
      <c r="H194" s="212" t="s">
        <v>1550</v>
      </c>
      <c r="I194" s="76">
        <v>9</v>
      </c>
      <c r="J194" s="212" t="s">
        <v>693</v>
      </c>
      <c r="K194" s="256">
        <v>4</v>
      </c>
      <c r="L194" s="230" t="s">
        <v>1550</v>
      </c>
      <c r="M194" s="191" t="s">
        <v>1550</v>
      </c>
      <c r="N194" s="212" t="s">
        <v>1550</v>
      </c>
      <c r="O194" s="212"/>
      <c r="P194" s="212" t="s">
        <v>1550</v>
      </c>
      <c r="Q194" s="231" t="s">
        <v>1202</v>
      </c>
      <c r="R194" s="231" t="s">
        <v>1203</v>
      </c>
      <c r="S194" s="130" t="s">
        <v>1452</v>
      </c>
      <c r="T194" s="130" t="s">
        <v>1453</v>
      </c>
      <c r="U194" s="130" t="s">
        <v>1163</v>
      </c>
      <c r="V194" s="267" t="s">
        <v>1551</v>
      </c>
      <c r="W194" s="75"/>
      <c r="X194" s="84" t="s">
        <v>1087</v>
      </c>
      <c r="Y194" s="194" t="s">
        <v>1154</v>
      </c>
      <c r="Z194" s="194" t="s">
        <v>1552</v>
      </c>
      <c r="AA194" s="195" t="s">
        <v>1156</v>
      </c>
    </row>
    <row r="195" spans="2:27" ht="125.25" hidden="1" customHeight="1">
      <c r="B195" s="75" t="s">
        <v>1076</v>
      </c>
      <c r="C195" s="75" t="s">
        <v>1077</v>
      </c>
      <c r="D195" s="75" t="s">
        <v>1078</v>
      </c>
      <c r="E195" s="76">
        <v>2</v>
      </c>
      <c r="F195" s="194" t="s">
        <v>1553</v>
      </c>
      <c r="G195" s="194" t="s">
        <v>1554</v>
      </c>
      <c r="H195" s="75" t="s">
        <v>1409</v>
      </c>
      <c r="I195" s="76">
        <v>18</v>
      </c>
      <c r="J195" s="75" t="s">
        <v>693</v>
      </c>
      <c r="K195" s="76"/>
      <c r="L195" s="76"/>
      <c r="M195" s="86" t="s">
        <v>1555</v>
      </c>
      <c r="N195" s="75"/>
      <c r="O195" s="76"/>
      <c r="P195" s="77"/>
      <c r="Q195" s="193"/>
      <c r="R195" s="193"/>
      <c r="S195" s="86" t="s">
        <v>1083</v>
      </c>
      <c r="T195" s="86" t="s">
        <v>1084</v>
      </c>
      <c r="U195" s="86" t="s">
        <v>1556</v>
      </c>
      <c r="V195" s="233" t="s">
        <v>1557</v>
      </c>
      <c r="W195" s="75"/>
      <c r="X195" s="84" t="s">
        <v>1087</v>
      </c>
      <c r="Y195" s="86" t="s">
        <v>1413</v>
      </c>
      <c r="Z195" s="194" t="s">
        <v>1558</v>
      </c>
      <c r="AA195" s="131" t="s">
        <v>1429</v>
      </c>
    </row>
    <row r="196" spans="2:27" ht="139.5" hidden="1" customHeight="1">
      <c r="B196" s="84" t="s">
        <v>1091</v>
      </c>
      <c r="C196" s="84" t="s">
        <v>1092</v>
      </c>
      <c r="D196" s="84" t="s">
        <v>1093</v>
      </c>
      <c r="E196" s="76">
        <v>2</v>
      </c>
      <c r="F196" s="194" t="s">
        <v>1553</v>
      </c>
      <c r="G196" s="194" t="s">
        <v>1554</v>
      </c>
      <c r="H196" s="75" t="s">
        <v>1409</v>
      </c>
      <c r="I196" s="76">
        <v>17</v>
      </c>
      <c r="J196" s="75" t="s">
        <v>693</v>
      </c>
      <c r="K196" s="76"/>
      <c r="L196" s="76"/>
      <c r="M196" s="86" t="s">
        <v>1555</v>
      </c>
      <c r="N196" s="75"/>
      <c r="O196" s="76"/>
      <c r="P196" s="77"/>
      <c r="Q196" s="193"/>
      <c r="R196" s="193"/>
      <c r="S196" s="86" t="s">
        <v>1094</v>
      </c>
      <c r="T196" s="86" t="s">
        <v>1095</v>
      </c>
      <c r="U196" s="86" t="s">
        <v>1559</v>
      </c>
      <c r="V196" s="233" t="s">
        <v>1560</v>
      </c>
      <c r="W196" s="75"/>
      <c r="X196" s="84" t="s">
        <v>1098</v>
      </c>
      <c r="Y196" s="86" t="s">
        <v>1099</v>
      </c>
      <c r="Z196" s="194" t="s">
        <v>1561</v>
      </c>
      <c r="AA196" s="131" t="s">
        <v>1101</v>
      </c>
    </row>
    <row r="197" spans="2:27" ht="120" hidden="1" customHeight="1">
      <c r="B197" s="194" t="s">
        <v>1102</v>
      </c>
      <c r="C197" s="194" t="s">
        <v>1103</v>
      </c>
      <c r="D197" s="194" t="s">
        <v>1104</v>
      </c>
      <c r="E197" s="76">
        <v>2</v>
      </c>
      <c r="F197" s="194" t="s">
        <v>1553</v>
      </c>
      <c r="G197" s="194" t="s">
        <v>1554</v>
      </c>
      <c r="H197" s="75" t="s">
        <v>1409</v>
      </c>
      <c r="I197" s="76">
        <v>17</v>
      </c>
      <c r="J197" s="75" t="s">
        <v>693</v>
      </c>
      <c r="K197" s="76"/>
      <c r="L197" s="76"/>
      <c r="M197" s="86" t="s">
        <v>1555</v>
      </c>
      <c r="N197" s="75"/>
      <c r="O197" s="76"/>
      <c r="P197" s="77"/>
      <c r="Q197" s="193"/>
      <c r="R197" s="193"/>
      <c r="S197" s="86" t="s">
        <v>1105</v>
      </c>
      <c r="T197" s="86" t="s">
        <v>1106</v>
      </c>
      <c r="U197" s="86" t="s">
        <v>1562</v>
      </c>
      <c r="V197" s="233" t="s">
        <v>1563</v>
      </c>
      <c r="W197" s="75"/>
      <c r="X197" s="84" t="s">
        <v>1098</v>
      </c>
      <c r="Y197" s="86" t="s">
        <v>1099</v>
      </c>
      <c r="Z197" s="194" t="s">
        <v>1561</v>
      </c>
      <c r="AA197" s="131" t="s">
        <v>1101</v>
      </c>
    </row>
    <row r="198" spans="2:27" ht="118.5" hidden="1" customHeight="1">
      <c r="B198" s="84" t="s">
        <v>1109</v>
      </c>
      <c r="C198" s="84" t="s">
        <v>1110</v>
      </c>
      <c r="D198" s="84" t="s">
        <v>1111</v>
      </c>
      <c r="E198" s="76">
        <v>2</v>
      </c>
      <c r="F198" s="194" t="s">
        <v>1407</v>
      </c>
      <c r="G198" s="194" t="s">
        <v>1408</v>
      </c>
      <c r="H198" s="75" t="s">
        <v>1409</v>
      </c>
      <c r="I198" s="76">
        <v>14</v>
      </c>
      <c r="J198" s="75" t="s">
        <v>693</v>
      </c>
      <c r="K198" s="76">
        <v>10</v>
      </c>
      <c r="L198" s="76"/>
      <c r="M198" s="84" t="s">
        <v>1410</v>
      </c>
      <c r="N198" s="75"/>
      <c r="O198" s="211"/>
      <c r="P198" s="77"/>
      <c r="Q198" s="193"/>
      <c r="R198" s="193"/>
      <c r="S198" s="86" t="s">
        <v>1083</v>
      </c>
      <c r="T198" s="86" t="s">
        <v>1084</v>
      </c>
      <c r="U198" s="86" t="s">
        <v>1411</v>
      </c>
      <c r="V198" s="233" t="s">
        <v>1564</v>
      </c>
      <c r="W198" s="75"/>
      <c r="X198" s="84" t="s">
        <v>1087</v>
      </c>
      <c r="Y198" s="86" t="s">
        <v>1413</v>
      </c>
      <c r="Z198" s="194" t="s">
        <v>1414</v>
      </c>
      <c r="AA198" s="131" t="s">
        <v>1415</v>
      </c>
    </row>
    <row r="199" spans="2:27" ht="192" hidden="1" customHeight="1">
      <c r="B199" s="84" t="s">
        <v>1565</v>
      </c>
      <c r="C199" s="84" t="s">
        <v>1566</v>
      </c>
      <c r="D199" s="84" t="s">
        <v>1567</v>
      </c>
      <c r="E199" s="131">
        <v>2</v>
      </c>
      <c r="F199" s="84" t="s">
        <v>690</v>
      </c>
      <c r="G199" s="84" t="s">
        <v>691</v>
      </c>
      <c r="H199" s="75" t="s">
        <v>872</v>
      </c>
      <c r="I199" s="76">
        <v>1</v>
      </c>
      <c r="J199" s="77" t="s">
        <v>693</v>
      </c>
      <c r="K199" s="76">
        <v>4</v>
      </c>
      <c r="L199" s="76"/>
      <c r="M199" s="86" t="s">
        <v>694</v>
      </c>
      <c r="N199" s="75"/>
      <c r="O199" s="76" t="s">
        <v>695</v>
      </c>
      <c r="P199" s="77"/>
      <c r="Q199" s="130" t="s">
        <v>1568</v>
      </c>
      <c r="R199" s="133" t="s">
        <v>1569</v>
      </c>
      <c r="S199" s="84" t="s">
        <v>1570</v>
      </c>
      <c r="T199" s="84" t="s">
        <v>1571</v>
      </c>
      <c r="U199" s="84" t="s">
        <v>1572</v>
      </c>
      <c r="V199" s="130" t="s">
        <v>1573</v>
      </c>
      <c r="W199" s="84"/>
      <c r="X199" s="84" t="s">
        <v>1511</v>
      </c>
      <c r="Y199" s="84" t="s">
        <v>703</v>
      </c>
      <c r="Z199" s="84" t="s">
        <v>703</v>
      </c>
      <c r="AA199" s="131" t="s">
        <v>704</v>
      </c>
    </row>
    <row r="200" spans="2:27" ht="186" hidden="1" customHeight="1">
      <c r="B200" s="84" t="s">
        <v>1565</v>
      </c>
      <c r="C200" s="84" t="s">
        <v>1566</v>
      </c>
      <c r="D200" s="84" t="s">
        <v>1567</v>
      </c>
      <c r="E200" s="131">
        <v>2</v>
      </c>
      <c r="F200" s="84" t="s">
        <v>705</v>
      </c>
      <c r="G200" s="84" t="s">
        <v>706</v>
      </c>
      <c r="H200" s="75" t="s">
        <v>872</v>
      </c>
      <c r="I200" s="76">
        <v>2</v>
      </c>
      <c r="J200" s="75" t="s">
        <v>693</v>
      </c>
      <c r="K200" s="76">
        <v>30</v>
      </c>
      <c r="L200" s="76"/>
      <c r="M200" s="86" t="s">
        <v>707</v>
      </c>
      <c r="N200" s="75"/>
      <c r="O200" s="76" t="s">
        <v>695</v>
      </c>
      <c r="P200" s="77"/>
      <c r="Q200" s="130" t="s">
        <v>1568</v>
      </c>
      <c r="R200" s="133" t="s">
        <v>1569</v>
      </c>
      <c r="S200" s="84" t="s">
        <v>1574</v>
      </c>
      <c r="T200" s="84" t="s">
        <v>1575</v>
      </c>
      <c r="U200" s="84" t="s">
        <v>1576</v>
      </c>
      <c r="V200" s="87" t="s">
        <v>1577</v>
      </c>
      <c r="W200" s="84"/>
      <c r="X200" s="84" t="s">
        <v>1578</v>
      </c>
      <c r="Y200" s="84" t="s">
        <v>1579</v>
      </c>
      <c r="Z200" s="84" t="s">
        <v>1580</v>
      </c>
      <c r="AA200" s="131" t="s">
        <v>1581</v>
      </c>
    </row>
    <row r="201" spans="2:27" ht="149.25" hidden="1" customHeight="1">
      <c r="B201" s="84" t="s">
        <v>1565</v>
      </c>
      <c r="C201" s="84" t="s">
        <v>1566</v>
      </c>
      <c r="D201" s="84" t="s">
        <v>1567</v>
      </c>
      <c r="E201" s="131">
        <v>2</v>
      </c>
      <c r="F201" s="84" t="s">
        <v>715</v>
      </c>
      <c r="G201" s="84" t="s">
        <v>716</v>
      </c>
      <c r="H201" s="75" t="s">
        <v>893</v>
      </c>
      <c r="I201" s="76">
        <v>3</v>
      </c>
      <c r="J201" s="75" t="s">
        <v>1139</v>
      </c>
      <c r="K201" s="76"/>
      <c r="L201" s="76"/>
      <c r="M201" s="84" t="s">
        <v>1473</v>
      </c>
      <c r="N201" s="75"/>
      <c r="O201" s="76" t="s">
        <v>695</v>
      </c>
      <c r="P201" s="77"/>
      <c r="Q201" s="130" t="s">
        <v>1285</v>
      </c>
      <c r="R201" s="133"/>
      <c r="S201" s="84" t="s">
        <v>1582</v>
      </c>
      <c r="T201" s="84" t="s">
        <v>1583</v>
      </c>
      <c r="U201" s="84" t="s">
        <v>1584</v>
      </c>
      <c r="V201" s="130" t="s">
        <v>1585</v>
      </c>
      <c r="W201" s="84"/>
      <c r="X201" s="84" t="s">
        <v>1511</v>
      </c>
      <c r="Y201" s="84" t="s">
        <v>1586</v>
      </c>
      <c r="Z201" s="84" t="s">
        <v>1587</v>
      </c>
      <c r="AA201" s="131" t="s">
        <v>703</v>
      </c>
    </row>
    <row r="202" spans="2:27" ht="168" hidden="1" customHeight="1">
      <c r="B202" s="84" t="s">
        <v>1565</v>
      </c>
      <c r="C202" s="84" t="s">
        <v>1566</v>
      </c>
      <c r="D202" s="84" t="s">
        <v>1567</v>
      </c>
      <c r="E202" s="131">
        <v>2</v>
      </c>
      <c r="F202" s="84" t="s">
        <v>728</v>
      </c>
      <c r="G202" s="84" t="s">
        <v>729</v>
      </c>
      <c r="H202" s="75" t="s">
        <v>893</v>
      </c>
      <c r="I202" s="76">
        <v>4</v>
      </c>
      <c r="J202" s="75" t="s">
        <v>718</v>
      </c>
      <c r="K202" s="76"/>
      <c r="L202" s="76"/>
      <c r="M202" s="84" t="s">
        <v>730</v>
      </c>
      <c r="N202" s="75"/>
      <c r="O202" s="76" t="s">
        <v>695</v>
      </c>
      <c r="P202" s="77"/>
      <c r="Q202" s="130" t="s">
        <v>1285</v>
      </c>
      <c r="R202" s="133" t="s">
        <v>1588</v>
      </c>
      <c r="S202" s="84" t="s">
        <v>1589</v>
      </c>
      <c r="T202" s="84" t="s">
        <v>1583</v>
      </c>
      <c r="U202" s="84" t="s">
        <v>1590</v>
      </c>
      <c r="V202" s="87" t="s">
        <v>1591</v>
      </c>
      <c r="W202" s="75"/>
      <c r="X202" s="84" t="s">
        <v>1511</v>
      </c>
      <c r="Y202" s="159" t="s">
        <v>1592</v>
      </c>
      <c r="Z202" s="159" t="s">
        <v>1593</v>
      </c>
      <c r="AA202" s="131" t="s">
        <v>776</v>
      </c>
    </row>
    <row r="203" spans="2:27" ht="281.25" hidden="1" customHeight="1">
      <c r="B203" s="84" t="s">
        <v>1565</v>
      </c>
      <c r="C203" s="84" t="s">
        <v>1566</v>
      </c>
      <c r="D203" s="84" t="s">
        <v>1567</v>
      </c>
      <c r="E203" s="131">
        <v>2</v>
      </c>
      <c r="F203" s="194" t="s">
        <v>1594</v>
      </c>
      <c r="G203" s="194" t="s">
        <v>1595</v>
      </c>
      <c r="H203" s="75" t="s">
        <v>750</v>
      </c>
      <c r="I203" s="76">
        <v>5</v>
      </c>
      <c r="J203" s="75" t="s">
        <v>693</v>
      </c>
      <c r="K203" s="76">
        <v>10</v>
      </c>
      <c r="L203" s="76"/>
      <c r="M203" s="84" t="s">
        <v>1596</v>
      </c>
      <c r="N203" s="75"/>
      <c r="O203" s="76" t="s">
        <v>695</v>
      </c>
      <c r="P203" s="77"/>
      <c r="Q203" s="193"/>
      <c r="R203" s="193"/>
      <c r="S203" s="84" t="s">
        <v>1589</v>
      </c>
      <c r="T203" s="84" t="s">
        <v>1597</v>
      </c>
      <c r="U203" s="84" t="s">
        <v>1598</v>
      </c>
      <c r="V203" s="84" t="s">
        <v>1599</v>
      </c>
      <c r="W203" s="158"/>
      <c r="X203" s="84" t="s">
        <v>1511</v>
      </c>
      <c r="Y203" s="84" t="s">
        <v>1600</v>
      </c>
      <c r="Z203" s="194" t="s">
        <v>1601</v>
      </c>
      <c r="AA203" s="195" t="s">
        <v>1602</v>
      </c>
    </row>
    <row r="204" spans="2:27" ht="157.5" hidden="1" customHeight="1">
      <c r="B204" s="84" t="s">
        <v>1565</v>
      </c>
      <c r="C204" s="84" t="s">
        <v>1566</v>
      </c>
      <c r="D204" s="84" t="s">
        <v>1567</v>
      </c>
      <c r="E204" s="195">
        <v>2</v>
      </c>
      <c r="F204" s="194" t="s">
        <v>1603</v>
      </c>
      <c r="G204" s="194" t="s">
        <v>1080</v>
      </c>
      <c r="H204" s="75" t="s">
        <v>779</v>
      </c>
      <c r="I204" s="76">
        <v>6</v>
      </c>
      <c r="J204" s="75" t="s">
        <v>693</v>
      </c>
      <c r="K204" s="76">
        <v>6</v>
      </c>
      <c r="L204" s="76"/>
      <c r="M204" s="159"/>
      <c r="N204" s="75"/>
      <c r="O204" s="76" t="s">
        <v>695</v>
      </c>
      <c r="P204" s="77"/>
      <c r="Q204" s="193"/>
      <c r="R204" s="193"/>
      <c r="S204" s="75"/>
      <c r="T204" s="75"/>
      <c r="U204" s="75"/>
      <c r="V204" s="75"/>
      <c r="W204" s="158"/>
      <c r="X204" s="84" t="s">
        <v>1511</v>
      </c>
      <c r="Y204" s="84" t="s">
        <v>1586</v>
      </c>
      <c r="Z204" s="194" t="s">
        <v>1604</v>
      </c>
      <c r="AA204" s="195" t="s">
        <v>1605</v>
      </c>
    </row>
    <row r="205" spans="2:27" ht="174" hidden="1" customHeight="1">
      <c r="B205" s="84" t="s">
        <v>1565</v>
      </c>
      <c r="C205" s="84" t="s">
        <v>1566</v>
      </c>
      <c r="D205" s="84" t="s">
        <v>1567</v>
      </c>
      <c r="E205" s="195">
        <v>2</v>
      </c>
      <c r="F205" s="194" t="s">
        <v>1606</v>
      </c>
      <c r="G205" s="194" t="s">
        <v>1607</v>
      </c>
      <c r="H205" s="75" t="s">
        <v>779</v>
      </c>
      <c r="I205" s="76">
        <v>7</v>
      </c>
      <c r="J205" s="75" t="s">
        <v>693</v>
      </c>
      <c r="K205" s="76">
        <v>4</v>
      </c>
      <c r="L205" s="76"/>
      <c r="M205" s="159"/>
      <c r="N205" s="75"/>
      <c r="O205" s="76" t="s">
        <v>695</v>
      </c>
      <c r="P205" s="77"/>
      <c r="Q205" s="193"/>
      <c r="R205" s="193"/>
      <c r="S205" s="75"/>
      <c r="T205" s="75"/>
      <c r="U205" s="75"/>
      <c r="V205" s="75"/>
      <c r="W205" s="158"/>
      <c r="X205" s="84" t="s">
        <v>1511</v>
      </c>
      <c r="Y205" s="84" t="s">
        <v>1600</v>
      </c>
      <c r="Z205" s="194" t="s">
        <v>1608</v>
      </c>
      <c r="AA205" s="195" t="s">
        <v>1605</v>
      </c>
    </row>
    <row r="206" spans="2:27" ht="160.5" hidden="1" customHeight="1">
      <c r="B206" s="84" t="s">
        <v>1565</v>
      </c>
      <c r="C206" s="84" t="s">
        <v>1566</v>
      </c>
      <c r="D206" s="84" t="s">
        <v>1567</v>
      </c>
      <c r="E206" s="195">
        <v>2</v>
      </c>
      <c r="F206" s="194" t="s">
        <v>1609</v>
      </c>
      <c r="G206" s="194" t="s">
        <v>1610</v>
      </c>
      <c r="H206" s="75" t="s">
        <v>779</v>
      </c>
      <c r="I206" s="76">
        <v>8</v>
      </c>
      <c r="J206" s="75" t="s">
        <v>693</v>
      </c>
      <c r="K206" s="76">
        <v>4</v>
      </c>
      <c r="L206" s="76"/>
      <c r="M206" s="159"/>
      <c r="N206" s="75"/>
      <c r="O206" s="76" t="s">
        <v>695</v>
      </c>
      <c r="P206" s="77"/>
      <c r="Q206" s="193"/>
      <c r="R206" s="193"/>
      <c r="S206" s="75"/>
      <c r="T206" s="75"/>
      <c r="U206" s="75"/>
      <c r="V206" s="75"/>
      <c r="W206" s="158"/>
      <c r="X206" s="84" t="s">
        <v>1511</v>
      </c>
      <c r="Y206" s="84" t="s">
        <v>1600</v>
      </c>
      <c r="Z206" s="194" t="s">
        <v>1611</v>
      </c>
      <c r="AA206" s="195" t="s">
        <v>1605</v>
      </c>
    </row>
    <row r="207" spans="2:27" ht="163.5" hidden="1" customHeight="1">
      <c r="B207" s="84" t="s">
        <v>1565</v>
      </c>
      <c r="C207" s="84" t="s">
        <v>1566</v>
      </c>
      <c r="D207" s="84" t="s">
        <v>1567</v>
      </c>
      <c r="E207" s="76">
        <v>2</v>
      </c>
      <c r="F207" s="194" t="s">
        <v>905</v>
      </c>
      <c r="G207" s="194" t="s">
        <v>906</v>
      </c>
      <c r="H207" s="75" t="s">
        <v>907</v>
      </c>
      <c r="I207" s="76">
        <v>9</v>
      </c>
      <c r="J207" s="75" t="s">
        <v>693</v>
      </c>
      <c r="K207" s="76">
        <v>4</v>
      </c>
      <c r="L207" s="76"/>
      <c r="M207" s="84" t="s">
        <v>908</v>
      </c>
      <c r="N207" s="75"/>
      <c r="O207" s="76"/>
      <c r="P207" s="77"/>
      <c r="Q207" s="193"/>
      <c r="R207" s="193"/>
      <c r="S207" s="86"/>
      <c r="T207" s="86"/>
      <c r="U207" s="86"/>
      <c r="V207" s="86"/>
      <c r="W207" s="75"/>
      <c r="X207" s="84" t="s">
        <v>1511</v>
      </c>
      <c r="Y207" s="84" t="s">
        <v>1586</v>
      </c>
      <c r="Z207" s="161" t="s">
        <v>1612</v>
      </c>
      <c r="AA207" s="131" t="s">
        <v>1613</v>
      </c>
    </row>
    <row r="208" spans="2:27" ht="180" hidden="1" customHeight="1">
      <c r="B208" s="84" t="s">
        <v>1565</v>
      </c>
      <c r="C208" s="84" t="s">
        <v>1566</v>
      </c>
      <c r="D208" s="84" t="s">
        <v>1567</v>
      </c>
      <c r="E208" s="131">
        <v>2</v>
      </c>
      <c r="F208" s="159" t="s">
        <v>736</v>
      </c>
      <c r="G208" s="159" t="s">
        <v>737</v>
      </c>
      <c r="H208" s="75" t="s">
        <v>779</v>
      </c>
      <c r="I208" s="76">
        <v>10</v>
      </c>
      <c r="J208" s="75" t="s">
        <v>693</v>
      </c>
      <c r="K208" s="76">
        <v>4</v>
      </c>
      <c r="L208" s="76"/>
      <c r="M208" s="159" t="s">
        <v>739</v>
      </c>
      <c r="N208" s="75"/>
      <c r="O208" s="76"/>
      <c r="P208" s="87" t="s">
        <v>1614</v>
      </c>
      <c r="Q208" s="130" t="s">
        <v>842</v>
      </c>
      <c r="R208" s="133" t="s">
        <v>843</v>
      </c>
      <c r="S208" s="86" t="s">
        <v>1615</v>
      </c>
      <c r="T208" s="86" t="s">
        <v>1616</v>
      </c>
      <c r="U208" s="86" t="s">
        <v>1617</v>
      </c>
      <c r="V208" s="87" t="s">
        <v>1618</v>
      </c>
      <c r="W208" s="84"/>
      <c r="X208" s="84" t="s">
        <v>1511</v>
      </c>
      <c r="Y208" s="84" t="s">
        <v>1600</v>
      </c>
      <c r="Z208" s="84" t="s">
        <v>1619</v>
      </c>
      <c r="AA208" s="131" t="s">
        <v>703</v>
      </c>
    </row>
    <row r="209" spans="2:27" ht="181.5" hidden="1" customHeight="1">
      <c r="B209" s="84" t="s">
        <v>1565</v>
      </c>
      <c r="C209" s="84" t="s">
        <v>1566</v>
      </c>
      <c r="D209" s="84" t="s">
        <v>1567</v>
      </c>
      <c r="E209" s="131">
        <v>2</v>
      </c>
      <c r="F209" s="194" t="s">
        <v>766</v>
      </c>
      <c r="G209" s="194" t="s">
        <v>767</v>
      </c>
      <c r="H209" s="75" t="s">
        <v>768</v>
      </c>
      <c r="I209" s="76">
        <v>11</v>
      </c>
      <c r="J209" s="75" t="s">
        <v>693</v>
      </c>
      <c r="K209" s="76">
        <v>4</v>
      </c>
      <c r="L209" s="76"/>
      <c r="M209" s="159"/>
      <c r="N209" s="75"/>
      <c r="O209" s="76"/>
      <c r="P209" s="77"/>
      <c r="Q209" s="130" t="s">
        <v>1202</v>
      </c>
      <c r="R209" s="133" t="s">
        <v>1203</v>
      </c>
      <c r="S209" s="86" t="s">
        <v>1620</v>
      </c>
      <c r="T209" s="86" t="s">
        <v>1621</v>
      </c>
      <c r="U209" s="86" t="s">
        <v>1622</v>
      </c>
      <c r="V209" s="87" t="s">
        <v>1623</v>
      </c>
      <c r="W209" s="158"/>
      <c r="X209" s="84" t="s">
        <v>1511</v>
      </c>
      <c r="Y209" s="84" t="s">
        <v>1586</v>
      </c>
      <c r="Z209" s="84" t="s">
        <v>1624</v>
      </c>
      <c r="AA209" s="131" t="s">
        <v>703</v>
      </c>
    </row>
    <row r="210" spans="2:27" ht="145.5" hidden="1" customHeight="1">
      <c r="B210" s="84" t="s">
        <v>1565</v>
      </c>
      <c r="C210" s="84" t="s">
        <v>1566</v>
      </c>
      <c r="D210" s="84" t="s">
        <v>1567</v>
      </c>
      <c r="E210" s="131">
        <v>2</v>
      </c>
      <c r="F210" s="84" t="s">
        <v>926</v>
      </c>
      <c r="G210" s="84" t="s">
        <v>927</v>
      </c>
      <c r="H210" s="75" t="s">
        <v>768</v>
      </c>
      <c r="I210" s="76">
        <v>12</v>
      </c>
      <c r="J210" s="75" t="s">
        <v>693</v>
      </c>
      <c r="K210" s="76">
        <v>4</v>
      </c>
      <c r="L210" s="76"/>
      <c r="M210" s="84" t="s">
        <v>928</v>
      </c>
      <c r="N210" s="75"/>
      <c r="O210" s="76"/>
      <c r="P210" s="77"/>
      <c r="Q210" s="130" t="s">
        <v>752</v>
      </c>
      <c r="R210" s="133" t="s">
        <v>929</v>
      </c>
      <c r="S210" s="84" t="s">
        <v>1589</v>
      </c>
      <c r="T210" s="84" t="s">
        <v>1625</v>
      </c>
      <c r="U210" s="84" t="s">
        <v>1626</v>
      </c>
      <c r="V210" s="209" t="s">
        <v>1627</v>
      </c>
      <c r="W210" s="84"/>
      <c r="X210" s="84" t="s">
        <v>1511</v>
      </c>
      <c r="Y210" s="84" t="s">
        <v>1628</v>
      </c>
      <c r="Z210" s="84" t="s">
        <v>1629</v>
      </c>
      <c r="AA210" s="131" t="s">
        <v>1630</v>
      </c>
    </row>
    <row r="211" spans="2:27" ht="203.25" hidden="1" customHeight="1">
      <c r="B211" s="84" t="s">
        <v>1565</v>
      </c>
      <c r="C211" s="84" t="s">
        <v>1566</v>
      </c>
      <c r="D211" s="84" t="s">
        <v>1567</v>
      </c>
      <c r="E211" s="131">
        <v>2</v>
      </c>
      <c r="F211" s="84" t="s">
        <v>1631</v>
      </c>
      <c r="G211" s="84" t="s">
        <v>1632</v>
      </c>
      <c r="H211" s="75" t="s">
        <v>1633</v>
      </c>
      <c r="I211" s="76">
        <v>13</v>
      </c>
      <c r="J211" s="75" t="s">
        <v>693</v>
      </c>
      <c r="K211" s="76">
        <v>10</v>
      </c>
      <c r="L211" s="76"/>
      <c r="M211" s="86" t="s">
        <v>1634</v>
      </c>
      <c r="N211" s="75"/>
      <c r="O211" s="76"/>
      <c r="P211" s="77"/>
      <c r="Q211" s="130" t="s">
        <v>752</v>
      </c>
      <c r="R211" s="133" t="s">
        <v>1635</v>
      </c>
      <c r="S211" s="84" t="s">
        <v>1589</v>
      </c>
      <c r="T211" s="84" t="s">
        <v>1625</v>
      </c>
      <c r="U211" s="84" t="s">
        <v>1636</v>
      </c>
      <c r="V211" s="84" t="s">
        <v>1637</v>
      </c>
      <c r="W211" s="84"/>
      <c r="X211" s="84" t="s">
        <v>1511</v>
      </c>
      <c r="Y211" s="84" t="s">
        <v>1628</v>
      </c>
      <c r="Z211" s="84" t="s">
        <v>1638</v>
      </c>
      <c r="AA211" s="131" t="s">
        <v>1630</v>
      </c>
    </row>
    <row r="212" spans="2:27" ht="219.75" hidden="1" customHeight="1">
      <c r="B212" s="84" t="s">
        <v>1565</v>
      </c>
      <c r="C212" s="84" t="s">
        <v>1566</v>
      </c>
      <c r="D212" s="84" t="s">
        <v>1567</v>
      </c>
      <c r="E212" s="131">
        <v>2</v>
      </c>
      <c r="F212" s="77" t="s">
        <v>1639</v>
      </c>
      <c r="G212" s="77" t="s">
        <v>1640</v>
      </c>
      <c r="H212" s="75" t="s">
        <v>779</v>
      </c>
      <c r="I212" s="76">
        <v>14</v>
      </c>
      <c r="J212" s="77" t="s">
        <v>693</v>
      </c>
      <c r="K212" s="76"/>
      <c r="L212" s="76"/>
      <c r="M212" s="86" t="s">
        <v>1641</v>
      </c>
      <c r="N212" s="86"/>
      <c r="O212" s="76"/>
      <c r="P212" s="75"/>
      <c r="Q212" s="196"/>
      <c r="R212" s="75"/>
      <c r="S212" s="84" t="s">
        <v>1642</v>
      </c>
      <c r="T212" s="84" t="s">
        <v>1643</v>
      </c>
      <c r="U212" s="84" t="s">
        <v>1644</v>
      </c>
      <c r="V212" s="84" t="s">
        <v>1645</v>
      </c>
      <c r="W212" s="215"/>
      <c r="X212" s="84" t="s">
        <v>1511</v>
      </c>
      <c r="Y212" s="86" t="s">
        <v>1646</v>
      </c>
      <c r="Z212" s="86" t="s">
        <v>1647</v>
      </c>
      <c r="AA212" s="131" t="s">
        <v>1602</v>
      </c>
    </row>
    <row r="213" spans="2:27" ht="168.75" hidden="1" customHeight="1">
      <c r="B213" s="84" t="s">
        <v>1565</v>
      </c>
      <c r="C213" s="84" t="s">
        <v>1566</v>
      </c>
      <c r="D213" s="84" t="s">
        <v>1567</v>
      </c>
      <c r="E213" s="131">
        <v>2</v>
      </c>
      <c r="F213" s="84" t="s">
        <v>777</v>
      </c>
      <c r="G213" s="159" t="s">
        <v>778</v>
      </c>
      <c r="H213" s="75" t="s">
        <v>779</v>
      </c>
      <c r="I213" s="76">
        <v>15</v>
      </c>
      <c r="J213" s="75" t="s">
        <v>693</v>
      </c>
      <c r="K213" s="76">
        <v>4</v>
      </c>
      <c r="L213" s="76"/>
      <c r="M213" s="84" t="s">
        <v>780</v>
      </c>
      <c r="N213" s="75"/>
      <c r="O213" s="76"/>
      <c r="P213" s="87" t="s">
        <v>1648</v>
      </c>
      <c r="Q213" s="130" t="s">
        <v>752</v>
      </c>
      <c r="R213" s="133" t="s">
        <v>782</v>
      </c>
      <c r="S213" s="84" t="s">
        <v>1649</v>
      </c>
      <c r="T213" s="84" t="s">
        <v>1650</v>
      </c>
      <c r="U213" s="84" t="s">
        <v>1651</v>
      </c>
      <c r="V213" s="84" t="s">
        <v>1652</v>
      </c>
      <c r="W213" s="84"/>
      <c r="X213" s="84" t="s">
        <v>1578</v>
      </c>
      <c r="Y213" s="84" t="s">
        <v>1653</v>
      </c>
      <c r="Z213" s="84" t="s">
        <v>1654</v>
      </c>
      <c r="AA213" s="131" t="s">
        <v>1581</v>
      </c>
    </row>
    <row r="214" spans="2:27" ht="152.25" hidden="1" customHeight="1">
      <c r="B214" s="84" t="s">
        <v>1565</v>
      </c>
      <c r="C214" s="84" t="s">
        <v>1566</v>
      </c>
      <c r="D214" s="84" t="s">
        <v>1567</v>
      </c>
      <c r="E214" s="131">
        <v>2</v>
      </c>
      <c r="F214" s="84" t="s">
        <v>790</v>
      </c>
      <c r="G214" s="84" t="s">
        <v>791</v>
      </c>
      <c r="H214" s="75" t="s">
        <v>750</v>
      </c>
      <c r="I214" s="76">
        <v>16</v>
      </c>
      <c r="J214" s="75" t="s">
        <v>693</v>
      </c>
      <c r="K214" s="76">
        <v>10</v>
      </c>
      <c r="L214" s="76"/>
      <c r="M214" s="84" t="s">
        <v>1641</v>
      </c>
      <c r="N214" s="75"/>
      <c r="O214" s="76"/>
      <c r="P214" s="77"/>
      <c r="Q214" s="84" t="s">
        <v>752</v>
      </c>
      <c r="R214" s="84" t="s">
        <v>793</v>
      </c>
      <c r="S214" s="84" t="s">
        <v>1589</v>
      </c>
      <c r="T214" s="84" t="s">
        <v>1625</v>
      </c>
      <c r="U214" s="84" t="s">
        <v>1655</v>
      </c>
      <c r="V214" s="84" t="s">
        <v>1656</v>
      </c>
      <c r="W214" s="84"/>
      <c r="X214" s="84" t="s">
        <v>1511</v>
      </c>
      <c r="Y214" s="84" t="s">
        <v>1586</v>
      </c>
      <c r="Z214" s="84" t="s">
        <v>1657</v>
      </c>
      <c r="AA214" s="131" t="s">
        <v>703</v>
      </c>
    </row>
    <row r="215" spans="2:27" ht="152.25" hidden="1" customHeight="1">
      <c r="B215" s="84" t="s">
        <v>1565</v>
      </c>
      <c r="C215" s="84" t="s">
        <v>1566</v>
      </c>
      <c r="D215" s="84" t="s">
        <v>1567</v>
      </c>
      <c r="E215" s="131">
        <v>2</v>
      </c>
      <c r="F215" s="84" t="s">
        <v>748</v>
      </c>
      <c r="G215" s="84" t="s">
        <v>749</v>
      </c>
      <c r="H215" s="75" t="s">
        <v>750</v>
      </c>
      <c r="I215" s="76">
        <v>17</v>
      </c>
      <c r="J215" s="75" t="s">
        <v>693</v>
      </c>
      <c r="K215" s="76">
        <v>10</v>
      </c>
      <c r="L215" s="76"/>
      <c r="M215" s="84" t="s">
        <v>751</v>
      </c>
      <c r="N215" s="75"/>
      <c r="O215" s="76"/>
      <c r="P215" s="77"/>
      <c r="Q215" s="130" t="s">
        <v>752</v>
      </c>
      <c r="R215" s="133" t="s">
        <v>753</v>
      </c>
      <c r="S215" s="84" t="s">
        <v>1589</v>
      </c>
      <c r="T215" s="84" t="s">
        <v>1625</v>
      </c>
      <c r="U215" s="84" t="s">
        <v>1658</v>
      </c>
      <c r="V215" s="130" t="s">
        <v>1659</v>
      </c>
      <c r="W215" s="84"/>
      <c r="X215" s="84" t="s">
        <v>1511</v>
      </c>
      <c r="Y215" s="84" t="s">
        <v>1586</v>
      </c>
      <c r="Z215" s="84" t="s">
        <v>1660</v>
      </c>
      <c r="AA215" s="131" t="s">
        <v>703</v>
      </c>
    </row>
    <row r="216" spans="2:27" ht="178.5" hidden="1" customHeight="1">
      <c r="B216" s="84" t="s">
        <v>1565</v>
      </c>
      <c r="C216" s="84" t="s">
        <v>1566</v>
      </c>
      <c r="D216" s="84" t="s">
        <v>1567</v>
      </c>
      <c r="E216" s="131">
        <v>2</v>
      </c>
      <c r="F216" s="84" t="s">
        <v>757</v>
      </c>
      <c r="G216" s="84" t="s">
        <v>758</v>
      </c>
      <c r="H216" s="75" t="s">
        <v>759</v>
      </c>
      <c r="I216" s="76">
        <v>18</v>
      </c>
      <c r="J216" s="75" t="s">
        <v>760</v>
      </c>
      <c r="K216" s="76">
        <v>23</v>
      </c>
      <c r="L216" s="76">
        <v>6</v>
      </c>
      <c r="M216" s="84" t="s">
        <v>1661</v>
      </c>
      <c r="N216" s="75"/>
      <c r="O216" s="76"/>
      <c r="P216" s="77"/>
      <c r="Q216" s="130" t="s">
        <v>752</v>
      </c>
      <c r="R216" s="216" t="s">
        <v>762</v>
      </c>
      <c r="S216" s="84" t="s">
        <v>1589</v>
      </c>
      <c r="T216" s="84" t="s">
        <v>1597</v>
      </c>
      <c r="U216" s="84" t="s">
        <v>1662</v>
      </c>
      <c r="V216" s="130" t="s">
        <v>1663</v>
      </c>
      <c r="W216" s="84"/>
      <c r="X216" s="84" t="s">
        <v>1511</v>
      </c>
      <c r="Y216" s="84" t="s">
        <v>1600</v>
      </c>
      <c r="Z216" s="84" t="s">
        <v>1664</v>
      </c>
      <c r="AA216" s="131" t="s">
        <v>703</v>
      </c>
    </row>
    <row r="217" spans="2:27" ht="173.25" hidden="1" customHeight="1">
      <c r="B217" s="84" t="s">
        <v>1565</v>
      </c>
      <c r="C217" s="84" t="s">
        <v>1566</v>
      </c>
      <c r="D217" s="84" t="s">
        <v>1567</v>
      </c>
      <c r="E217" s="131">
        <v>2</v>
      </c>
      <c r="F217" s="77" t="s">
        <v>797</v>
      </c>
      <c r="G217" s="77" t="s">
        <v>798</v>
      </c>
      <c r="H217" s="77" t="s">
        <v>799</v>
      </c>
      <c r="I217" s="76">
        <v>19</v>
      </c>
      <c r="J217" s="77" t="s">
        <v>693</v>
      </c>
      <c r="K217" s="76">
        <v>2</v>
      </c>
      <c r="L217" s="76"/>
      <c r="M217" s="86" t="s">
        <v>800</v>
      </c>
      <c r="N217" s="86"/>
      <c r="O217" s="76"/>
      <c r="P217" s="86" t="s">
        <v>1665</v>
      </c>
      <c r="Q217" s="87"/>
      <c r="R217" s="77"/>
      <c r="S217" s="84" t="s">
        <v>1589</v>
      </c>
      <c r="T217" s="84" t="s">
        <v>1625</v>
      </c>
      <c r="U217" s="87" t="s">
        <v>1666</v>
      </c>
      <c r="V217" s="130" t="s">
        <v>1667</v>
      </c>
      <c r="W217" s="76"/>
      <c r="X217" s="84" t="s">
        <v>1511</v>
      </c>
      <c r="Y217" s="84" t="s">
        <v>703</v>
      </c>
      <c r="Z217" s="84" t="s">
        <v>703</v>
      </c>
      <c r="AA217" s="201" t="s">
        <v>1512</v>
      </c>
    </row>
    <row r="218" spans="2:27" ht="150" hidden="1" customHeight="1">
      <c r="B218" s="84" t="s">
        <v>1565</v>
      </c>
      <c r="C218" s="84" t="s">
        <v>1566</v>
      </c>
      <c r="D218" s="84" t="s">
        <v>1567</v>
      </c>
      <c r="E218" s="131">
        <v>2</v>
      </c>
      <c r="F218" s="84" t="s">
        <v>805</v>
      </c>
      <c r="G218" s="84" t="s">
        <v>806</v>
      </c>
      <c r="H218" s="75" t="s">
        <v>807</v>
      </c>
      <c r="I218" s="76">
        <v>20</v>
      </c>
      <c r="J218" s="75" t="s">
        <v>693</v>
      </c>
      <c r="K218" s="76">
        <v>10</v>
      </c>
      <c r="L218" s="76"/>
      <c r="M218" s="86" t="s">
        <v>808</v>
      </c>
      <c r="N218" s="75"/>
      <c r="O218" s="76" t="s">
        <v>695</v>
      </c>
      <c r="P218" s="77"/>
      <c r="Q218" s="84"/>
      <c r="R218" s="84"/>
      <c r="S218" s="84" t="s">
        <v>1589</v>
      </c>
      <c r="T218" s="84" t="s">
        <v>1625</v>
      </c>
      <c r="U218" s="87" t="s">
        <v>1668</v>
      </c>
      <c r="V218" s="130" t="s">
        <v>1669</v>
      </c>
      <c r="W218" s="84"/>
      <c r="X218" s="84" t="s">
        <v>703</v>
      </c>
      <c r="Y218" s="84" t="s">
        <v>703</v>
      </c>
      <c r="Z218" s="84" t="s">
        <v>703</v>
      </c>
      <c r="AA218" s="131" t="s">
        <v>703</v>
      </c>
    </row>
    <row r="219" spans="2:27" ht="183.75" hidden="1" customHeight="1">
      <c r="B219" s="84" t="s">
        <v>1565</v>
      </c>
      <c r="C219" s="84" t="s">
        <v>1566</v>
      </c>
      <c r="D219" s="84" t="s">
        <v>1567</v>
      </c>
      <c r="E219" s="131">
        <v>2</v>
      </c>
      <c r="F219" s="84" t="s">
        <v>812</v>
      </c>
      <c r="G219" s="84" t="s">
        <v>813</v>
      </c>
      <c r="H219" s="75" t="s">
        <v>814</v>
      </c>
      <c r="I219" s="76">
        <v>21</v>
      </c>
      <c r="J219" s="75" t="s">
        <v>815</v>
      </c>
      <c r="K219" s="76">
        <v>23</v>
      </c>
      <c r="L219" s="76"/>
      <c r="M219" s="86" t="s">
        <v>816</v>
      </c>
      <c r="N219" s="75"/>
      <c r="O219" s="76"/>
      <c r="P219" s="77"/>
      <c r="Q219" s="84"/>
      <c r="R219" s="84"/>
      <c r="S219" s="84" t="s">
        <v>1589</v>
      </c>
      <c r="T219" s="84" t="s">
        <v>1625</v>
      </c>
      <c r="U219" s="87" t="s">
        <v>1666</v>
      </c>
      <c r="V219" s="130" t="s">
        <v>1670</v>
      </c>
      <c r="W219" s="84"/>
      <c r="X219" s="84" t="s">
        <v>703</v>
      </c>
      <c r="Y219" s="84" t="s">
        <v>703</v>
      </c>
      <c r="Z219" s="84" t="s">
        <v>703</v>
      </c>
      <c r="AA219" s="131" t="s">
        <v>703</v>
      </c>
    </row>
    <row r="220" spans="2:27" ht="183.75" hidden="1" customHeight="1">
      <c r="B220" s="86" t="s">
        <v>1115</v>
      </c>
      <c r="C220" s="86" t="s">
        <v>1116</v>
      </c>
      <c r="D220" s="86" t="s">
        <v>1117</v>
      </c>
      <c r="E220" s="76">
        <v>2</v>
      </c>
      <c r="F220" s="194" t="s">
        <v>1553</v>
      </c>
      <c r="G220" s="194" t="s">
        <v>1554</v>
      </c>
      <c r="H220" s="75" t="s">
        <v>1409</v>
      </c>
      <c r="I220" s="76">
        <v>17</v>
      </c>
      <c r="J220" s="75" t="s">
        <v>693</v>
      </c>
      <c r="K220" s="76"/>
      <c r="L220" s="76"/>
      <c r="M220" s="86" t="s">
        <v>1555</v>
      </c>
      <c r="N220" s="75"/>
      <c r="O220" s="76"/>
      <c r="P220" s="77"/>
      <c r="Q220" s="193"/>
      <c r="R220" s="193"/>
      <c r="S220" s="86" t="s">
        <v>1083</v>
      </c>
      <c r="T220" s="86" t="s">
        <v>1084</v>
      </c>
      <c r="U220" s="86" t="s">
        <v>1556</v>
      </c>
      <c r="V220" s="233" t="s">
        <v>1671</v>
      </c>
      <c r="W220" s="75"/>
      <c r="X220" s="84" t="s">
        <v>1087</v>
      </c>
      <c r="Y220" s="86" t="s">
        <v>1413</v>
      </c>
      <c r="Z220" s="194" t="s">
        <v>1558</v>
      </c>
      <c r="AA220" s="131" t="s">
        <v>1429</v>
      </c>
    </row>
    <row r="221" spans="2:27" ht="120" hidden="1" customHeight="1">
      <c r="B221" s="75" t="s">
        <v>1076</v>
      </c>
      <c r="C221" s="75" t="s">
        <v>1077</v>
      </c>
      <c r="D221" s="75" t="s">
        <v>1078</v>
      </c>
      <c r="E221" s="131">
        <v>2</v>
      </c>
      <c r="F221" s="84" t="s">
        <v>715</v>
      </c>
      <c r="G221" s="84" t="s">
        <v>716</v>
      </c>
      <c r="H221" s="75" t="s">
        <v>893</v>
      </c>
      <c r="I221" s="76">
        <v>3</v>
      </c>
      <c r="J221" s="75" t="s">
        <v>718</v>
      </c>
      <c r="K221" s="76"/>
      <c r="L221" s="76"/>
      <c r="M221" s="84" t="s">
        <v>1140</v>
      </c>
      <c r="N221" s="75"/>
      <c r="O221" s="76" t="s">
        <v>695</v>
      </c>
      <c r="P221" s="77"/>
      <c r="Q221" s="130" t="s">
        <v>1672</v>
      </c>
      <c r="R221" s="133" t="s">
        <v>1673</v>
      </c>
      <c r="S221" s="86" t="s">
        <v>1083</v>
      </c>
      <c r="T221" s="86" t="s">
        <v>1084</v>
      </c>
      <c r="U221" s="86" t="s">
        <v>1141</v>
      </c>
      <c r="V221" s="233" t="s">
        <v>1674</v>
      </c>
      <c r="W221" s="75"/>
      <c r="X221" s="84" t="s">
        <v>1087</v>
      </c>
      <c r="Y221" s="86" t="s">
        <v>1088</v>
      </c>
      <c r="Z221" s="84" t="s">
        <v>837</v>
      </c>
      <c r="AA221" s="131" t="s">
        <v>811</v>
      </c>
    </row>
    <row r="222" spans="2:27" ht="132" hidden="1" customHeight="1">
      <c r="B222" s="84" t="s">
        <v>1091</v>
      </c>
      <c r="C222" s="84" t="s">
        <v>1092</v>
      </c>
      <c r="D222" s="84" t="s">
        <v>1093</v>
      </c>
      <c r="E222" s="131">
        <v>2</v>
      </c>
      <c r="F222" s="84" t="s">
        <v>715</v>
      </c>
      <c r="G222" s="84" t="s">
        <v>716</v>
      </c>
      <c r="H222" s="75" t="s">
        <v>893</v>
      </c>
      <c r="I222" s="76">
        <v>3</v>
      </c>
      <c r="J222" s="75" t="s">
        <v>718</v>
      </c>
      <c r="K222" s="76"/>
      <c r="L222" s="76"/>
      <c r="M222" s="84" t="s">
        <v>1140</v>
      </c>
      <c r="N222" s="75"/>
      <c r="O222" s="76" t="s">
        <v>695</v>
      </c>
      <c r="P222" s="77"/>
      <c r="Q222" s="130" t="s">
        <v>720</v>
      </c>
      <c r="R222" s="133" t="s">
        <v>721</v>
      </c>
      <c r="S222" s="86" t="s">
        <v>1094</v>
      </c>
      <c r="T222" s="86" t="s">
        <v>1095</v>
      </c>
      <c r="U222" s="86" t="s">
        <v>1675</v>
      </c>
      <c r="V222" s="233" t="s">
        <v>1676</v>
      </c>
      <c r="W222" s="75"/>
      <c r="X222" s="84" t="s">
        <v>1098</v>
      </c>
      <c r="Y222" s="84" t="s">
        <v>1099</v>
      </c>
      <c r="Z222" s="84" t="s">
        <v>1677</v>
      </c>
      <c r="AA222" s="131" t="s">
        <v>1101</v>
      </c>
    </row>
    <row r="223" spans="2:27" ht="125.25" hidden="1" customHeight="1">
      <c r="B223" s="194" t="s">
        <v>1102</v>
      </c>
      <c r="C223" s="194" t="s">
        <v>1103</v>
      </c>
      <c r="D223" s="194" t="s">
        <v>1104</v>
      </c>
      <c r="E223" s="131">
        <v>2</v>
      </c>
      <c r="F223" s="84" t="s">
        <v>715</v>
      </c>
      <c r="G223" s="84" t="s">
        <v>716</v>
      </c>
      <c r="H223" s="75" t="s">
        <v>893</v>
      </c>
      <c r="I223" s="76">
        <v>3</v>
      </c>
      <c r="J223" s="75" t="s">
        <v>718</v>
      </c>
      <c r="K223" s="76"/>
      <c r="L223" s="76"/>
      <c r="M223" s="84" t="s">
        <v>1140</v>
      </c>
      <c r="N223" s="75"/>
      <c r="O223" s="76" t="s">
        <v>695</v>
      </c>
      <c r="P223" s="77"/>
      <c r="Q223" s="130" t="s">
        <v>720</v>
      </c>
      <c r="R223" s="133" t="s">
        <v>721</v>
      </c>
      <c r="S223" s="86" t="s">
        <v>1105</v>
      </c>
      <c r="T223" s="86" t="s">
        <v>1106</v>
      </c>
      <c r="U223" s="86" t="s">
        <v>1678</v>
      </c>
      <c r="V223" s="233" t="s">
        <v>1679</v>
      </c>
      <c r="W223" s="75"/>
      <c r="X223" s="84" t="s">
        <v>1098</v>
      </c>
      <c r="Y223" s="84" t="s">
        <v>1099</v>
      </c>
      <c r="Z223" s="84" t="s">
        <v>1677</v>
      </c>
      <c r="AA223" s="131" t="s">
        <v>1101</v>
      </c>
    </row>
    <row r="224" spans="2:27" ht="342.75" hidden="1" customHeight="1">
      <c r="B224" s="84" t="s">
        <v>1109</v>
      </c>
      <c r="C224" s="84" t="s">
        <v>1110</v>
      </c>
      <c r="D224" s="84" t="s">
        <v>1111</v>
      </c>
      <c r="E224" s="195">
        <v>2</v>
      </c>
      <c r="F224" s="194" t="s">
        <v>1680</v>
      </c>
      <c r="G224" s="194" t="s">
        <v>1681</v>
      </c>
      <c r="H224" s="75" t="s">
        <v>1409</v>
      </c>
      <c r="I224" s="76">
        <v>15</v>
      </c>
      <c r="J224" s="75" t="s">
        <v>693</v>
      </c>
      <c r="K224" s="76"/>
      <c r="L224" s="76"/>
      <c r="M224" s="84" t="s">
        <v>1682</v>
      </c>
      <c r="N224" s="75"/>
      <c r="O224" s="211"/>
      <c r="P224" s="77"/>
      <c r="Q224" s="193"/>
      <c r="R224" s="193"/>
      <c r="S224" s="86" t="s">
        <v>1094</v>
      </c>
      <c r="T224" s="86" t="s">
        <v>1095</v>
      </c>
      <c r="U224" s="86" t="s">
        <v>1683</v>
      </c>
      <c r="V224" s="233" t="s">
        <v>1684</v>
      </c>
      <c r="W224" s="75"/>
      <c r="X224" s="84" t="s">
        <v>1087</v>
      </c>
      <c r="Y224" s="86" t="s">
        <v>1413</v>
      </c>
      <c r="Z224" s="194" t="s">
        <v>1685</v>
      </c>
      <c r="AA224" s="131" t="s">
        <v>1415</v>
      </c>
    </row>
    <row r="225" spans="2:27" ht="115.5" hidden="1" customHeight="1">
      <c r="B225" s="86" t="s">
        <v>1115</v>
      </c>
      <c r="C225" s="86" t="s">
        <v>1116</v>
      </c>
      <c r="D225" s="86" t="s">
        <v>1117</v>
      </c>
      <c r="E225" s="131">
        <v>2</v>
      </c>
      <c r="F225" s="84" t="s">
        <v>715</v>
      </c>
      <c r="G225" s="84" t="s">
        <v>716</v>
      </c>
      <c r="H225" s="75" t="s">
        <v>893</v>
      </c>
      <c r="I225" s="76">
        <v>3</v>
      </c>
      <c r="J225" s="75" t="s">
        <v>718</v>
      </c>
      <c r="K225" s="76"/>
      <c r="L225" s="76"/>
      <c r="M225" s="84" t="s">
        <v>1140</v>
      </c>
      <c r="N225" s="75"/>
      <c r="O225" s="76" t="s">
        <v>695</v>
      </c>
      <c r="P225" s="77"/>
      <c r="Q225" s="130" t="s">
        <v>720</v>
      </c>
      <c r="R225" s="133" t="s">
        <v>721</v>
      </c>
      <c r="S225" s="86" t="s">
        <v>1083</v>
      </c>
      <c r="T225" s="86" t="s">
        <v>1084</v>
      </c>
      <c r="U225" s="86" t="s">
        <v>1141</v>
      </c>
      <c r="V225" s="233" t="s">
        <v>1686</v>
      </c>
      <c r="W225" s="75"/>
      <c r="X225" s="84" t="s">
        <v>1087</v>
      </c>
      <c r="Y225" s="84" t="s">
        <v>1088</v>
      </c>
      <c r="Z225" s="84" t="s">
        <v>837</v>
      </c>
      <c r="AA225" s="131" t="s">
        <v>811</v>
      </c>
    </row>
    <row r="226" spans="2:27" ht="186" hidden="1" customHeight="1">
      <c r="B226" s="75" t="s">
        <v>1076</v>
      </c>
      <c r="C226" s="75" t="s">
        <v>1077</v>
      </c>
      <c r="D226" s="75" t="s">
        <v>1078</v>
      </c>
      <c r="E226" s="131">
        <v>2</v>
      </c>
      <c r="F226" s="84" t="s">
        <v>728</v>
      </c>
      <c r="G226" s="84" t="s">
        <v>729</v>
      </c>
      <c r="H226" s="75" t="s">
        <v>893</v>
      </c>
      <c r="I226" s="76">
        <v>4</v>
      </c>
      <c r="J226" s="75" t="s">
        <v>718</v>
      </c>
      <c r="K226" s="76"/>
      <c r="L226" s="76"/>
      <c r="M226" s="84" t="s">
        <v>730</v>
      </c>
      <c r="N226" s="75"/>
      <c r="O226" s="76" t="s">
        <v>695</v>
      </c>
      <c r="P226" s="77"/>
      <c r="Q226" s="193"/>
      <c r="R226" s="193"/>
      <c r="S226" s="86" t="s">
        <v>1083</v>
      </c>
      <c r="T226" s="86" t="s">
        <v>1084</v>
      </c>
      <c r="U226" s="86" t="s">
        <v>1152</v>
      </c>
      <c r="V226" s="233" t="s">
        <v>1687</v>
      </c>
      <c r="W226" s="75"/>
      <c r="X226" s="84" t="s">
        <v>1087</v>
      </c>
      <c r="Y226" s="86" t="s">
        <v>1088</v>
      </c>
      <c r="Z226" s="194" t="s">
        <v>1155</v>
      </c>
      <c r="AA226" s="195" t="s">
        <v>1156</v>
      </c>
    </row>
    <row r="227" spans="2:27" ht="150" hidden="1" customHeight="1">
      <c r="B227" s="84" t="s">
        <v>1091</v>
      </c>
      <c r="C227" s="84" t="s">
        <v>1092</v>
      </c>
      <c r="D227" s="84" t="s">
        <v>1093</v>
      </c>
      <c r="E227" s="76">
        <v>2</v>
      </c>
      <c r="F227" s="84" t="s">
        <v>728</v>
      </c>
      <c r="G227" s="84" t="s">
        <v>729</v>
      </c>
      <c r="H227" s="75" t="s">
        <v>893</v>
      </c>
      <c r="I227" s="76">
        <v>4</v>
      </c>
      <c r="J227" s="75" t="s">
        <v>718</v>
      </c>
      <c r="K227" s="76"/>
      <c r="L227" s="76"/>
      <c r="M227" s="84" t="s">
        <v>730</v>
      </c>
      <c r="N227" s="75"/>
      <c r="O227" s="76" t="s">
        <v>695</v>
      </c>
      <c r="P227" s="77"/>
      <c r="Q227" s="193"/>
      <c r="R227" s="193"/>
      <c r="S227" s="86" t="s">
        <v>1094</v>
      </c>
      <c r="T227" s="86" t="s">
        <v>1095</v>
      </c>
      <c r="U227" s="86" t="s">
        <v>811</v>
      </c>
      <c r="V227" s="233" t="s">
        <v>1688</v>
      </c>
      <c r="W227" s="75"/>
      <c r="X227" s="84" t="s">
        <v>1098</v>
      </c>
      <c r="Y227" s="84" t="s">
        <v>1099</v>
      </c>
      <c r="Z227" s="194" t="s">
        <v>1101</v>
      </c>
      <c r="AA227" s="195" t="s">
        <v>1205</v>
      </c>
    </row>
    <row r="228" spans="2:27" ht="123.75" hidden="1" customHeight="1">
      <c r="B228" s="194" t="s">
        <v>1102</v>
      </c>
      <c r="C228" s="194" t="s">
        <v>1103</v>
      </c>
      <c r="D228" s="194" t="s">
        <v>1104</v>
      </c>
      <c r="E228" s="76">
        <v>2</v>
      </c>
      <c r="F228" s="84" t="s">
        <v>728</v>
      </c>
      <c r="G228" s="84" t="s">
        <v>729</v>
      </c>
      <c r="H228" s="75" t="s">
        <v>893</v>
      </c>
      <c r="I228" s="76">
        <v>4</v>
      </c>
      <c r="J228" s="75" t="s">
        <v>718</v>
      </c>
      <c r="K228" s="76"/>
      <c r="L228" s="76"/>
      <c r="M228" s="84" t="s">
        <v>730</v>
      </c>
      <c r="N228" s="75"/>
      <c r="O228" s="76" t="s">
        <v>695</v>
      </c>
      <c r="P228" s="77"/>
      <c r="Q228" s="193"/>
      <c r="R228" s="193"/>
      <c r="S228" s="86" t="s">
        <v>1105</v>
      </c>
      <c r="T228" s="86" t="s">
        <v>1106</v>
      </c>
      <c r="U228" s="86" t="s">
        <v>703</v>
      </c>
      <c r="V228" s="233" t="s">
        <v>1689</v>
      </c>
      <c r="W228" s="75"/>
      <c r="X228" s="84" t="s">
        <v>1098</v>
      </c>
      <c r="Y228" s="84" t="s">
        <v>1099</v>
      </c>
      <c r="Z228" s="194" t="s">
        <v>1101</v>
      </c>
      <c r="AA228" s="195" t="s">
        <v>1205</v>
      </c>
    </row>
    <row r="229" spans="2:27" ht="132.75" hidden="1" customHeight="1">
      <c r="B229" s="84" t="s">
        <v>1109</v>
      </c>
      <c r="C229" s="84" t="s">
        <v>1110</v>
      </c>
      <c r="D229" s="84" t="s">
        <v>1111</v>
      </c>
      <c r="E229" s="76">
        <v>2</v>
      </c>
      <c r="F229" s="75" t="s">
        <v>1529</v>
      </c>
      <c r="G229" s="75" t="s">
        <v>1530</v>
      </c>
      <c r="H229" s="75" t="s">
        <v>1409</v>
      </c>
      <c r="I229" s="76">
        <v>16</v>
      </c>
      <c r="J229" s="75" t="s">
        <v>693</v>
      </c>
      <c r="K229" s="76"/>
      <c r="L229" s="76"/>
      <c r="M229" s="86" t="s">
        <v>1535</v>
      </c>
      <c r="N229" s="75"/>
      <c r="O229" s="76"/>
      <c r="P229" s="77"/>
      <c r="Q229" s="75"/>
      <c r="R229" s="75"/>
      <c r="S229" s="86" t="s">
        <v>1094</v>
      </c>
      <c r="T229" s="86" t="s">
        <v>1095</v>
      </c>
      <c r="U229" s="86" t="s">
        <v>1536</v>
      </c>
      <c r="V229" s="233" t="s">
        <v>1690</v>
      </c>
      <c r="W229" s="75"/>
      <c r="X229" s="84" t="s">
        <v>1087</v>
      </c>
      <c r="Y229" s="86" t="s">
        <v>1413</v>
      </c>
      <c r="Z229" s="86" t="s">
        <v>1534</v>
      </c>
      <c r="AA229" s="131" t="s">
        <v>1429</v>
      </c>
    </row>
    <row r="230" spans="2:27" ht="136.5" hidden="1" customHeight="1">
      <c r="B230" s="86" t="s">
        <v>1115</v>
      </c>
      <c r="C230" s="86" t="s">
        <v>1116</v>
      </c>
      <c r="D230" s="86" t="s">
        <v>1117</v>
      </c>
      <c r="E230" s="76">
        <v>2</v>
      </c>
      <c r="F230" s="84" t="s">
        <v>728</v>
      </c>
      <c r="G230" s="84" t="s">
        <v>729</v>
      </c>
      <c r="H230" s="75" t="s">
        <v>893</v>
      </c>
      <c r="I230" s="76">
        <v>4</v>
      </c>
      <c r="J230" s="75" t="s">
        <v>718</v>
      </c>
      <c r="K230" s="76"/>
      <c r="L230" s="76"/>
      <c r="M230" s="84" t="s">
        <v>1151</v>
      </c>
      <c r="N230" s="75"/>
      <c r="O230" s="76" t="s">
        <v>695</v>
      </c>
      <c r="P230" s="77"/>
      <c r="Q230" s="130" t="s">
        <v>720</v>
      </c>
      <c r="R230" s="86" t="s">
        <v>721</v>
      </c>
      <c r="S230" s="86" t="s">
        <v>1083</v>
      </c>
      <c r="T230" s="86" t="s">
        <v>1084</v>
      </c>
      <c r="U230" s="86" t="s">
        <v>1152</v>
      </c>
      <c r="V230" s="233" t="s">
        <v>1691</v>
      </c>
      <c r="W230" s="75"/>
      <c r="X230" s="84" t="s">
        <v>1087</v>
      </c>
      <c r="Y230" s="84" t="s">
        <v>1154</v>
      </c>
      <c r="Z230" s="86" t="s">
        <v>1155</v>
      </c>
      <c r="AA230" s="131" t="s">
        <v>1156</v>
      </c>
    </row>
    <row r="231" spans="2:27" ht="126" hidden="1" customHeight="1">
      <c r="B231" s="75" t="s">
        <v>1076</v>
      </c>
      <c r="C231" s="75" t="s">
        <v>1077</v>
      </c>
      <c r="D231" s="75" t="s">
        <v>1078</v>
      </c>
      <c r="E231" s="195">
        <v>2</v>
      </c>
      <c r="F231" s="194" t="s">
        <v>1692</v>
      </c>
      <c r="G231" s="194" t="s">
        <v>1693</v>
      </c>
      <c r="H231" s="75" t="s">
        <v>1409</v>
      </c>
      <c r="I231" s="76">
        <v>5</v>
      </c>
      <c r="J231" s="75" t="s">
        <v>693</v>
      </c>
      <c r="K231" s="76"/>
      <c r="L231" s="76"/>
      <c r="M231" s="86" t="s">
        <v>1694</v>
      </c>
      <c r="N231" s="75"/>
      <c r="O231" s="76" t="s">
        <v>695</v>
      </c>
      <c r="P231" s="77"/>
      <c r="Q231" s="193"/>
      <c r="R231" s="193"/>
      <c r="S231" s="86" t="s">
        <v>1083</v>
      </c>
      <c r="T231" s="86" t="s">
        <v>1084</v>
      </c>
      <c r="U231" s="86" t="s">
        <v>1695</v>
      </c>
      <c r="V231" s="233" t="s">
        <v>1696</v>
      </c>
      <c r="W231" s="75"/>
      <c r="X231" s="84" t="s">
        <v>1087</v>
      </c>
      <c r="Y231" s="86" t="s">
        <v>1413</v>
      </c>
      <c r="Z231" s="194" t="s">
        <v>1697</v>
      </c>
      <c r="AA231" s="131" t="s">
        <v>1090</v>
      </c>
    </row>
    <row r="232" spans="2:27" ht="125.25" hidden="1" customHeight="1">
      <c r="B232" s="84" t="s">
        <v>1091</v>
      </c>
      <c r="C232" s="84" t="s">
        <v>1092</v>
      </c>
      <c r="D232" s="84" t="s">
        <v>1093</v>
      </c>
      <c r="E232" s="195">
        <v>2</v>
      </c>
      <c r="F232" s="194" t="s">
        <v>1692</v>
      </c>
      <c r="G232" s="194" t="s">
        <v>1693</v>
      </c>
      <c r="H232" s="75" t="s">
        <v>1409</v>
      </c>
      <c r="I232" s="76">
        <v>20</v>
      </c>
      <c r="J232" s="75" t="s">
        <v>693</v>
      </c>
      <c r="K232" s="76"/>
      <c r="L232" s="76"/>
      <c r="M232" s="86" t="s">
        <v>1694</v>
      </c>
      <c r="N232" s="75"/>
      <c r="O232" s="76"/>
      <c r="P232" s="77"/>
      <c r="Q232" s="193"/>
      <c r="R232" s="193"/>
      <c r="S232" s="86" t="s">
        <v>1094</v>
      </c>
      <c r="T232" s="86" t="s">
        <v>1095</v>
      </c>
      <c r="U232" s="86" t="s">
        <v>1698</v>
      </c>
      <c r="V232" s="233" t="s">
        <v>1699</v>
      </c>
      <c r="W232" s="75"/>
      <c r="X232" s="84" t="s">
        <v>1098</v>
      </c>
      <c r="Y232" s="86" t="s">
        <v>1099</v>
      </c>
      <c r="Z232" s="194" t="s">
        <v>1700</v>
      </c>
      <c r="AA232" s="131" t="s">
        <v>1101</v>
      </c>
    </row>
    <row r="233" spans="2:27" ht="150.75" hidden="1" customHeight="1">
      <c r="B233" s="194" t="s">
        <v>1102</v>
      </c>
      <c r="C233" s="194" t="s">
        <v>1103</v>
      </c>
      <c r="D233" s="194" t="s">
        <v>1104</v>
      </c>
      <c r="E233" s="195">
        <v>2</v>
      </c>
      <c r="F233" s="194" t="s">
        <v>1692</v>
      </c>
      <c r="G233" s="194" t="s">
        <v>1693</v>
      </c>
      <c r="H233" s="75" t="s">
        <v>1409</v>
      </c>
      <c r="I233" s="76">
        <v>20</v>
      </c>
      <c r="J233" s="75" t="s">
        <v>693</v>
      </c>
      <c r="K233" s="76"/>
      <c r="L233" s="76"/>
      <c r="M233" s="86" t="s">
        <v>1694</v>
      </c>
      <c r="N233" s="75"/>
      <c r="O233" s="76"/>
      <c r="P233" s="77"/>
      <c r="Q233" s="193"/>
      <c r="R233" s="193"/>
      <c r="S233" s="86" t="s">
        <v>1105</v>
      </c>
      <c r="T233" s="86" t="s">
        <v>1106</v>
      </c>
      <c r="U233" s="86" t="s">
        <v>1701</v>
      </c>
      <c r="V233" s="233" t="s">
        <v>1702</v>
      </c>
      <c r="W233" s="75"/>
      <c r="X233" s="84" t="s">
        <v>1098</v>
      </c>
      <c r="Y233" s="86" t="s">
        <v>1099</v>
      </c>
      <c r="Z233" s="194" t="s">
        <v>1700</v>
      </c>
      <c r="AA233" s="131" t="s">
        <v>1101</v>
      </c>
    </row>
    <row r="234" spans="2:27" ht="150" hidden="1" customHeight="1">
      <c r="B234" s="84" t="s">
        <v>1109</v>
      </c>
      <c r="C234" s="84" t="s">
        <v>1110</v>
      </c>
      <c r="D234" s="84" t="s">
        <v>1111</v>
      </c>
      <c r="E234" s="76">
        <v>2</v>
      </c>
      <c r="F234" s="194" t="s">
        <v>1553</v>
      </c>
      <c r="G234" s="194" t="s">
        <v>1554</v>
      </c>
      <c r="H234" s="75" t="s">
        <v>1409</v>
      </c>
      <c r="I234" s="76">
        <v>17</v>
      </c>
      <c r="J234" s="75" t="s">
        <v>693</v>
      </c>
      <c r="K234" s="76"/>
      <c r="L234" s="76"/>
      <c r="M234" s="86" t="s">
        <v>1555</v>
      </c>
      <c r="N234" s="75"/>
      <c r="O234" s="76"/>
      <c r="P234" s="77"/>
      <c r="Q234" s="193"/>
      <c r="R234" s="193"/>
      <c r="S234" s="86" t="s">
        <v>1083</v>
      </c>
      <c r="T234" s="86" t="s">
        <v>1084</v>
      </c>
      <c r="U234" s="86" t="s">
        <v>1556</v>
      </c>
      <c r="V234" s="233" t="s">
        <v>1703</v>
      </c>
      <c r="W234" s="75"/>
      <c r="X234" s="84" t="s">
        <v>1087</v>
      </c>
      <c r="Y234" s="86" t="s">
        <v>1413</v>
      </c>
      <c r="Z234" s="194" t="s">
        <v>1558</v>
      </c>
      <c r="AA234" s="131" t="s">
        <v>1429</v>
      </c>
    </row>
    <row r="235" spans="2:27" ht="168.75" hidden="1" customHeight="1">
      <c r="B235" s="86" t="s">
        <v>1115</v>
      </c>
      <c r="C235" s="86" t="s">
        <v>1116</v>
      </c>
      <c r="D235" s="86" t="s">
        <v>1117</v>
      </c>
      <c r="E235" s="195">
        <v>2</v>
      </c>
      <c r="F235" s="194" t="s">
        <v>1692</v>
      </c>
      <c r="G235" s="194" t="s">
        <v>1693</v>
      </c>
      <c r="H235" s="75" t="s">
        <v>1409</v>
      </c>
      <c r="I235" s="76">
        <v>20</v>
      </c>
      <c r="J235" s="75" t="s">
        <v>693</v>
      </c>
      <c r="K235" s="76"/>
      <c r="L235" s="76"/>
      <c r="M235" s="86" t="s">
        <v>1694</v>
      </c>
      <c r="N235" s="75"/>
      <c r="O235" s="76"/>
      <c r="P235" s="77"/>
      <c r="Q235" s="193"/>
      <c r="R235" s="193"/>
      <c r="S235" s="86" t="s">
        <v>1083</v>
      </c>
      <c r="T235" s="86" t="s">
        <v>1084</v>
      </c>
      <c r="U235" s="86" t="s">
        <v>1695</v>
      </c>
      <c r="V235" s="233" t="s">
        <v>1704</v>
      </c>
      <c r="W235" s="75"/>
      <c r="X235" s="84" t="s">
        <v>1087</v>
      </c>
      <c r="Y235" s="86" t="s">
        <v>1413</v>
      </c>
      <c r="Z235" s="194" t="s">
        <v>1697</v>
      </c>
      <c r="AA235" s="131" t="s">
        <v>1090</v>
      </c>
    </row>
    <row r="236" spans="2:27" ht="123" hidden="1" customHeight="1">
      <c r="B236" s="75" t="s">
        <v>1076</v>
      </c>
      <c r="C236" s="75" t="s">
        <v>1077</v>
      </c>
      <c r="D236" s="75" t="s">
        <v>1078</v>
      </c>
      <c r="E236" s="195">
        <v>2</v>
      </c>
      <c r="F236" s="194" t="s">
        <v>1705</v>
      </c>
      <c r="G236" s="194" t="s">
        <v>1706</v>
      </c>
      <c r="H236" s="75" t="s">
        <v>1409</v>
      </c>
      <c r="I236" s="76">
        <v>20</v>
      </c>
      <c r="J236" s="75" t="s">
        <v>693</v>
      </c>
      <c r="K236" s="76">
        <v>4</v>
      </c>
      <c r="L236" s="76"/>
      <c r="M236" s="86" t="s">
        <v>1707</v>
      </c>
      <c r="N236" s="75"/>
      <c r="O236" s="76"/>
      <c r="P236" s="77"/>
      <c r="Q236" s="193"/>
      <c r="R236" s="193"/>
      <c r="S236" s="86" t="s">
        <v>1083</v>
      </c>
      <c r="T236" s="86" t="s">
        <v>1084</v>
      </c>
      <c r="U236" s="86" t="s">
        <v>1708</v>
      </c>
      <c r="V236" s="233" t="s">
        <v>1709</v>
      </c>
      <c r="W236" s="75"/>
      <c r="X236" s="84" t="s">
        <v>1087</v>
      </c>
      <c r="Y236" s="86" t="s">
        <v>1088</v>
      </c>
      <c r="Z236" s="194" t="s">
        <v>1710</v>
      </c>
      <c r="AA236" s="131" t="s">
        <v>811</v>
      </c>
    </row>
    <row r="237" spans="2:27" ht="136.5" hidden="1" customHeight="1">
      <c r="B237" s="84" t="s">
        <v>1091</v>
      </c>
      <c r="C237" s="84" t="s">
        <v>1092</v>
      </c>
      <c r="D237" s="84" t="s">
        <v>1093</v>
      </c>
      <c r="E237" s="195">
        <v>2</v>
      </c>
      <c r="F237" s="194" t="s">
        <v>1705</v>
      </c>
      <c r="G237" s="194" t="s">
        <v>1706</v>
      </c>
      <c r="H237" s="75" t="s">
        <v>1409</v>
      </c>
      <c r="I237" s="76">
        <v>19</v>
      </c>
      <c r="J237" s="75" t="s">
        <v>693</v>
      </c>
      <c r="K237" s="76">
        <v>4</v>
      </c>
      <c r="L237" s="76"/>
      <c r="M237" s="86" t="s">
        <v>1707</v>
      </c>
      <c r="N237" s="75"/>
      <c r="O237" s="76"/>
      <c r="P237" s="77"/>
      <c r="Q237" s="193"/>
      <c r="R237" s="193"/>
      <c r="S237" s="86" t="s">
        <v>1094</v>
      </c>
      <c r="T237" s="86" t="s">
        <v>1095</v>
      </c>
      <c r="U237" s="86" t="s">
        <v>1711</v>
      </c>
      <c r="V237" s="233" t="s">
        <v>1712</v>
      </c>
      <c r="W237" s="75"/>
      <c r="X237" s="84" t="s">
        <v>1098</v>
      </c>
      <c r="Y237" s="86" t="s">
        <v>1099</v>
      </c>
      <c r="Z237" s="194" t="s">
        <v>518</v>
      </c>
      <c r="AA237" s="131" t="s">
        <v>1101</v>
      </c>
    </row>
    <row r="238" spans="2:27" ht="147" hidden="1" customHeight="1">
      <c r="B238" s="194" t="s">
        <v>1102</v>
      </c>
      <c r="C238" s="194" t="s">
        <v>1103</v>
      </c>
      <c r="D238" s="194" t="s">
        <v>1104</v>
      </c>
      <c r="E238" s="195">
        <v>2</v>
      </c>
      <c r="F238" s="194" t="s">
        <v>1705</v>
      </c>
      <c r="G238" s="194" t="s">
        <v>1706</v>
      </c>
      <c r="H238" s="75" t="s">
        <v>1409</v>
      </c>
      <c r="I238" s="76">
        <v>19</v>
      </c>
      <c r="J238" s="75" t="s">
        <v>693</v>
      </c>
      <c r="K238" s="76">
        <v>4</v>
      </c>
      <c r="L238" s="76"/>
      <c r="M238" s="86" t="s">
        <v>1707</v>
      </c>
      <c r="N238" s="75"/>
      <c r="O238" s="76"/>
      <c r="P238" s="77"/>
      <c r="Q238" s="193"/>
      <c r="R238" s="193"/>
      <c r="S238" s="86" t="s">
        <v>1105</v>
      </c>
      <c r="T238" s="86" t="s">
        <v>1106</v>
      </c>
      <c r="U238" s="86" t="s">
        <v>1713</v>
      </c>
      <c r="V238" s="233" t="s">
        <v>1714</v>
      </c>
      <c r="W238" s="75"/>
      <c r="X238" s="84" t="s">
        <v>1098</v>
      </c>
      <c r="Y238" s="86" t="s">
        <v>1099</v>
      </c>
      <c r="Z238" s="194" t="s">
        <v>518</v>
      </c>
      <c r="AA238" s="131" t="s">
        <v>1101</v>
      </c>
    </row>
    <row r="239" spans="2:27" ht="132.75" hidden="1" customHeight="1">
      <c r="B239" s="84" t="s">
        <v>1109</v>
      </c>
      <c r="C239" s="84" t="s">
        <v>1110</v>
      </c>
      <c r="D239" s="84" t="s">
        <v>1111</v>
      </c>
      <c r="E239" s="195">
        <v>2</v>
      </c>
      <c r="F239" s="194" t="s">
        <v>1423</v>
      </c>
      <c r="G239" s="194" t="s">
        <v>1424</v>
      </c>
      <c r="H239" s="75" t="s">
        <v>1409</v>
      </c>
      <c r="I239" s="76">
        <v>18</v>
      </c>
      <c r="J239" s="75" t="s">
        <v>693</v>
      </c>
      <c r="K239" s="76"/>
      <c r="L239" s="76"/>
      <c r="M239" s="86" t="s">
        <v>1425</v>
      </c>
      <c r="N239" s="75"/>
      <c r="O239" s="76"/>
      <c r="P239" s="77"/>
      <c r="Q239" s="193"/>
      <c r="R239" s="193"/>
      <c r="S239" s="86" t="s">
        <v>1094</v>
      </c>
      <c r="T239" s="86" t="s">
        <v>1095</v>
      </c>
      <c r="U239" s="86" t="s">
        <v>1430</v>
      </c>
      <c r="V239" s="233" t="s">
        <v>1715</v>
      </c>
      <c r="W239" s="75"/>
      <c r="X239" s="84" t="s">
        <v>1087</v>
      </c>
      <c r="Y239" s="86" t="s">
        <v>1413</v>
      </c>
      <c r="Z239" s="194" t="s">
        <v>1428</v>
      </c>
      <c r="AA239" s="131" t="s">
        <v>1429</v>
      </c>
    </row>
    <row r="240" spans="2:27" ht="132" hidden="1" customHeight="1">
      <c r="B240" s="86" t="s">
        <v>1115</v>
      </c>
      <c r="C240" s="86" t="s">
        <v>1116</v>
      </c>
      <c r="D240" s="86" t="s">
        <v>1117</v>
      </c>
      <c r="E240" s="195">
        <v>2</v>
      </c>
      <c r="F240" s="194" t="s">
        <v>1705</v>
      </c>
      <c r="G240" s="194" t="s">
        <v>1706</v>
      </c>
      <c r="H240" s="75" t="s">
        <v>1409</v>
      </c>
      <c r="I240" s="76">
        <v>19</v>
      </c>
      <c r="J240" s="75" t="s">
        <v>693</v>
      </c>
      <c r="K240" s="76">
        <v>4</v>
      </c>
      <c r="L240" s="76"/>
      <c r="M240" s="86" t="s">
        <v>1707</v>
      </c>
      <c r="N240" s="75"/>
      <c r="O240" s="76"/>
      <c r="P240" s="77"/>
      <c r="Q240" s="193"/>
      <c r="R240" s="193"/>
      <c r="S240" s="86" t="s">
        <v>1083</v>
      </c>
      <c r="T240" s="86" t="s">
        <v>1084</v>
      </c>
      <c r="U240" s="86" t="s">
        <v>1708</v>
      </c>
      <c r="V240" s="233" t="s">
        <v>1716</v>
      </c>
      <c r="W240" s="75"/>
      <c r="X240" s="84" t="s">
        <v>1087</v>
      </c>
      <c r="Y240" s="86" t="s">
        <v>1088</v>
      </c>
      <c r="Z240" s="194" t="s">
        <v>1710</v>
      </c>
      <c r="AA240" s="131" t="s">
        <v>811</v>
      </c>
    </row>
    <row r="241" spans="2:27" ht="113.25" hidden="1" customHeight="1">
      <c r="B241" s="75" t="s">
        <v>1076</v>
      </c>
      <c r="C241" s="75" t="s">
        <v>1077</v>
      </c>
      <c r="D241" s="75" t="s">
        <v>1078</v>
      </c>
      <c r="E241" s="76">
        <v>2</v>
      </c>
      <c r="F241" s="77" t="s">
        <v>797</v>
      </c>
      <c r="G241" s="77" t="s">
        <v>798</v>
      </c>
      <c r="H241" s="77" t="s">
        <v>799</v>
      </c>
      <c r="I241" s="76">
        <v>21</v>
      </c>
      <c r="J241" s="77" t="s">
        <v>693</v>
      </c>
      <c r="K241" s="76">
        <v>2</v>
      </c>
      <c r="L241" s="76"/>
      <c r="M241" s="86" t="s">
        <v>800</v>
      </c>
      <c r="N241" s="86"/>
      <c r="O241" s="76"/>
      <c r="P241" s="86" t="s">
        <v>801</v>
      </c>
      <c r="Q241" s="87"/>
      <c r="R241" s="77"/>
      <c r="S241" s="86" t="s">
        <v>1083</v>
      </c>
      <c r="T241" s="86" t="s">
        <v>1084</v>
      </c>
      <c r="U241" s="87" t="s">
        <v>818</v>
      </c>
      <c r="V241" s="175" t="s">
        <v>1717</v>
      </c>
      <c r="W241" s="76"/>
      <c r="X241" s="84" t="s">
        <v>1087</v>
      </c>
      <c r="Y241" s="86" t="s">
        <v>811</v>
      </c>
      <c r="Z241" s="86" t="s">
        <v>811</v>
      </c>
      <c r="AA241" s="201" t="s">
        <v>1718</v>
      </c>
    </row>
    <row r="242" spans="2:27" ht="132.75" hidden="1" customHeight="1">
      <c r="B242" s="84" t="s">
        <v>1091</v>
      </c>
      <c r="C242" s="84" t="s">
        <v>1092</v>
      </c>
      <c r="D242" s="84" t="s">
        <v>1093</v>
      </c>
      <c r="E242" s="76">
        <v>2</v>
      </c>
      <c r="F242" s="77" t="s">
        <v>797</v>
      </c>
      <c r="G242" s="77" t="s">
        <v>798</v>
      </c>
      <c r="H242" s="77" t="s">
        <v>799</v>
      </c>
      <c r="I242" s="76">
        <v>21</v>
      </c>
      <c r="J242" s="77" t="s">
        <v>693</v>
      </c>
      <c r="K242" s="76">
        <v>2</v>
      </c>
      <c r="L242" s="76"/>
      <c r="M242" s="86" t="s">
        <v>800</v>
      </c>
      <c r="N242" s="86"/>
      <c r="O242" s="76"/>
      <c r="P242" s="86" t="s">
        <v>1276</v>
      </c>
      <c r="Q242" s="87"/>
      <c r="R242" s="77"/>
      <c r="S242" s="86" t="s">
        <v>1094</v>
      </c>
      <c r="T242" s="86" t="s">
        <v>1095</v>
      </c>
      <c r="U242" s="130" t="s">
        <v>811</v>
      </c>
      <c r="V242" s="175" t="s">
        <v>1719</v>
      </c>
      <c r="W242" s="76"/>
      <c r="X242" s="84" t="s">
        <v>1098</v>
      </c>
      <c r="Y242" s="86" t="s">
        <v>1101</v>
      </c>
      <c r="Z242" s="86" t="s">
        <v>1101</v>
      </c>
      <c r="AA242" s="201" t="s">
        <v>1720</v>
      </c>
    </row>
    <row r="243" spans="2:27" ht="407.25" hidden="1" customHeight="1">
      <c r="B243" s="84" t="s">
        <v>1721</v>
      </c>
      <c r="C243" s="84" t="s">
        <v>1722</v>
      </c>
      <c r="D243" s="84" t="s">
        <v>1723</v>
      </c>
      <c r="E243" s="131">
        <v>2</v>
      </c>
      <c r="F243" s="84" t="s">
        <v>690</v>
      </c>
      <c r="G243" s="84" t="s">
        <v>691</v>
      </c>
      <c r="H243" s="75" t="s">
        <v>872</v>
      </c>
      <c r="I243" s="76">
        <v>1</v>
      </c>
      <c r="J243" s="77" t="s">
        <v>693</v>
      </c>
      <c r="K243" s="76">
        <v>4</v>
      </c>
      <c r="L243" s="76"/>
      <c r="M243" s="84" t="s">
        <v>694</v>
      </c>
      <c r="N243" s="75"/>
      <c r="O243" s="76" t="s">
        <v>695</v>
      </c>
      <c r="P243" s="77"/>
      <c r="Q243" s="130" t="s">
        <v>873</v>
      </c>
      <c r="R243" s="133" t="s">
        <v>874</v>
      </c>
      <c r="S243" s="86" t="s">
        <v>1173</v>
      </c>
      <c r="T243" s="86" t="s">
        <v>1174</v>
      </c>
      <c r="U243" s="86" t="s">
        <v>1175</v>
      </c>
      <c r="V243" s="233" t="s">
        <v>1724</v>
      </c>
      <c r="W243" s="75"/>
      <c r="X243" s="87" t="s">
        <v>1177</v>
      </c>
      <c r="Y243" s="84" t="s">
        <v>1101</v>
      </c>
      <c r="Z243" s="84" t="s">
        <v>1101</v>
      </c>
      <c r="AA243" s="131" t="s">
        <v>1165</v>
      </c>
    </row>
    <row r="244" spans="2:27" ht="215.25" hidden="1" customHeight="1">
      <c r="B244" s="84" t="s">
        <v>1721</v>
      </c>
      <c r="C244" s="84" t="s">
        <v>1722</v>
      </c>
      <c r="D244" s="84" t="s">
        <v>1723</v>
      </c>
      <c r="E244" s="131">
        <v>2</v>
      </c>
      <c r="F244" s="84" t="s">
        <v>705</v>
      </c>
      <c r="G244" s="84" t="s">
        <v>706</v>
      </c>
      <c r="H244" s="75" t="s">
        <v>872</v>
      </c>
      <c r="I244" s="76">
        <v>2</v>
      </c>
      <c r="J244" s="77" t="s">
        <v>693</v>
      </c>
      <c r="K244" s="76">
        <v>15</v>
      </c>
      <c r="L244" s="76"/>
      <c r="M244" s="84" t="s">
        <v>707</v>
      </c>
      <c r="N244" s="75"/>
      <c r="O244" s="76" t="s">
        <v>695</v>
      </c>
      <c r="P244" s="77"/>
      <c r="Q244" s="130" t="s">
        <v>873</v>
      </c>
      <c r="R244" s="133" t="s">
        <v>874</v>
      </c>
      <c r="S244" s="86" t="s">
        <v>1178</v>
      </c>
      <c r="T244" s="86" t="s">
        <v>1179</v>
      </c>
      <c r="U244" s="86" t="s">
        <v>1180</v>
      </c>
      <c r="V244" s="233" t="s">
        <v>1725</v>
      </c>
      <c r="W244" s="75"/>
      <c r="X244" s="87" t="s">
        <v>1177</v>
      </c>
      <c r="Y244" s="84" t="s">
        <v>1182</v>
      </c>
      <c r="Z244" s="84" t="s">
        <v>1183</v>
      </c>
      <c r="AA244" s="131" t="s">
        <v>1101</v>
      </c>
    </row>
    <row r="245" spans="2:27" ht="99.75" hidden="1" customHeight="1">
      <c r="B245" s="84" t="s">
        <v>1721</v>
      </c>
      <c r="C245" s="84" t="s">
        <v>1722</v>
      </c>
      <c r="D245" s="84" t="s">
        <v>1723</v>
      </c>
      <c r="E245" s="160">
        <v>2</v>
      </c>
      <c r="F245" s="84" t="s">
        <v>715</v>
      </c>
      <c r="G245" s="84" t="s">
        <v>716</v>
      </c>
      <c r="H245" s="75" t="s">
        <v>759</v>
      </c>
      <c r="I245" s="76">
        <v>3</v>
      </c>
      <c r="J245" s="75" t="s">
        <v>1139</v>
      </c>
      <c r="K245" s="76"/>
      <c r="L245" s="76"/>
      <c r="M245" s="84" t="s">
        <v>887</v>
      </c>
      <c r="N245" s="75"/>
      <c r="O245" s="76" t="s">
        <v>695</v>
      </c>
      <c r="P245" s="77"/>
      <c r="Q245" s="130" t="s">
        <v>888</v>
      </c>
      <c r="R245" s="133" t="s">
        <v>721</v>
      </c>
      <c r="S245" s="86" t="s">
        <v>1178</v>
      </c>
      <c r="T245" s="86" t="s">
        <v>1179</v>
      </c>
      <c r="U245" s="86" t="s">
        <v>1184</v>
      </c>
      <c r="V245" s="233" t="s">
        <v>1726</v>
      </c>
      <c r="W245" s="75"/>
      <c r="X245" s="87" t="s">
        <v>1177</v>
      </c>
      <c r="Y245" s="161" t="s">
        <v>1186</v>
      </c>
      <c r="Z245" s="84" t="s">
        <v>1187</v>
      </c>
      <c r="AA245" s="131" t="s">
        <v>1101</v>
      </c>
    </row>
    <row r="246" spans="2:27" ht="191.25" hidden="1" customHeight="1">
      <c r="B246" s="84" t="s">
        <v>1721</v>
      </c>
      <c r="C246" s="84" t="s">
        <v>1722</v>
      </c>
      <c r="D246" s="84" t="s">
        <v>1723</v>
      </c>
      <c r="E246" s="160">
        <v>2</v>
      </c>
      <c r="F246" s="84" t="s">
        <v>728</v>
      </c>
      <c r="G246" s="84" t="s">
        <v>729</v>
      </c>
      <c r="H246" s="75" t="s">
        <v>893</v>
      </c>
      <c r="I246" s="76">
        <v>4</v>
      </c>
      <c r="J246" s="75" t="s">
        <v>718</v>
      </c>
      <c r="K246" s="76"/>
      <c r="L246" s="76"/>
      <c r="M246" s="84" t="s">
        <v>894</v>
      </c>
      <c r="N246" s="75"/>
      <c r="O246" s="76" t="s">
        <v>695</v>
      </c>
      <c r="P246" s="77"/>
      <c r="Q246" s="130" t="s">
        <v>888</v>
      </c>
      <c r="R246" s="133" t="s">
        <v>721</v>
      </c>
      <c r="S246" s="86" t="s">
        <v>1178</v>
      </c>
      <c r="T246" s="86" t="s">
        <v>1179</v>
      </c>
      <c r="U246" s="86" t="s">
        <v>1188</v>
      </c>
      <c r="V246" s="233" t="s">
        <v>1727</v>
      </c>
      <c r="W246" s="75"/>
      <c r="X246" s="87" t="s">
        <v>1177</v>
      </c>
      <c r="Y246" s="161" t="s">
        <v>1186</v>
      </c>
      <c r="Z246" s="84" t="s">
        <v>1190</v>
      </c>
      <c r="AA246" s="131" t="s">
        <v>1101</v>
      </c>
    </row>
    <row r="247" spans="2:27" ht="267.75" hidden="1" customHeight="1">
      <c r="B247" s="84" t="s">
        <v>1721</v>
      </c>
      <c r="C247" s="84" t="s">
        <v>1722</v>
      </c>
      <c r="D247" s="84" t="s">
        <v>1723</v>
      </c>
      <c r="E247" s="160">
        <v>2</v>
      </c>
      <c r="F247" s="212" t="s">
        <v>736</v>
      </c>
      <c r="G247" s="159" t="s">
        <v>737</v>
      </c>
      <c r="H247" s="75" t="s">
        <v>779</v>
      </c>
      <c r="I247" s="76">
        <v>5</v>
      </c>
      <c r="J247" s="75" t="s">
        <v>693</v>
      </c>
      <c r="K247" s="76">
        <v>4</v>
      </c>
      <c r="L247" s="76"/>
      <c r="M247" s="159" t="s">
        <v>739</v>
      </c>
      <c r="N247" s="75"/>
      <c r="O247" s="76"/>
      <c r="P247" s="87" t="s">
        <v>1191</v>
      </c>
      <c r="Q247" s="130" t="s">
        <v>842</v>
      </c>
      <c r="R247" s="133" t="s">
        <v>843</v>
      </c>
      <c r="S247" s="86" t="s">
        <v>1192</v>
      </c>
      <c r="T247" s="86" t="s">
        <v>1193</v>
      </c>
      <c r="U247" s="86" t="s">
        <v>824</v>
      </c>
      <c r="V247" s="233" t="s">
        <v>1728</v>
      </c>
      <c r="W247" s="75"/>
      <c r="X247" s="87" t="s">
        <v>1177</v>
      </c>
      <c r="Y247" s="161" t="s">
        <v>1186</v>
      </c>
      <c r="Z247" s="84" t="s">
        <v>1195</v>
      </c>
      <c r="AA247" s="131" t="s">
        <v>1101</v>
      </c>
    </row>
    <row r="248" spans="2:27" ht="99.75" hidden="1" customHeight="1">
      <c r="B248" s="84" t="s">
        <v>1721</v>
      </c>
      <c r="C248" s="84" t="s">
        <v>1722</v>
      </c>
      <c r="D248" s="84" t="s">
        <v>1723</v>
      </c>
      <c r="E248" s="76">
        <v>2</v>
      </c>
      <c r="F248" s="194" t="s">
        <v>919</v>
      </c>
      <c r="G248" s="194" t="s">
        <v>920</v>
      </c>
      <c r="H248" s="75" t="s">
        <v>907</v>
      </c>
      <c r="I248" s="76">
        <v>6</v>
      </c>
      <c r="J248" s="75" t="s">
        <v>693</v>
      </c>
      <c r="K248" s="76">
        <v>4</v>
      </c>
      <c r="L248" s="76"/>
      <c r="M248" s="84" t="s">
        <v>921</v>
      </c>
      <c r="N248" s="75"/>
      <c r="O248" s="76"/>
      <c r="P248" s="77"/>
      <c r="Q248" s="193"/>
      <c r="R248" s="193"/>
      <c r="S248" s="86" t="s">
        <v>1178</v>
      </c>
      <c r="T248" s="86" t="s">
        <v>1179</v>
      </c>
      <c r="U248" s="86" t="s">
        <v>1196</v>
      </c>
      <c r="V248" s="233" t="s">
        <v>1729</v>
      </c>
      <c r="W248" s="75"/>
      <c r="X248" s="87" t="s">
        <v>1177</v>
      </c>
      <c r="Y248" s="161" t="s">
        <v>1186</v>
      </c>
      <c r="Z248" s="194" t="s">
        <v>1198</v>
      </c>
      <c r="AA248" s="131" t="s">
        <v>1101</v>
      </c>
    </row>
    <row r="249" spans="2:27" ht="190.5" hidden="1" customHeight="1">
      <c r="B249" s="84" t="s">
        <v>1721</v>
      </c>
      <c r="C249" s="84" t="s">
        <v>1722</v>
      </c>
      <c r="D249" s="84" t="s">
        <v>1723</v>
      </c>
      <c r="E249" s="131">
        <v>2</v>
      </c>
      <c r="F249" s="84" t="s">
        <v>926</v>
      </c>
      <c r="G249" s="84" t="s">
        <v>927</v>
      </c>
      <c r="H249" s="75" t="s">
        <v>768</v>
      </c>
      <c r="I249" s="76">
        <v>7</v>
      </c>
      <c r="J249" s="75" t="s">
        <v>693</v>
      </c>
      <c r="K249" s="76">
        <v>4</v>
      </c>
      <c r="L249" s="76"/>
      <c r="M249" s="84" t="s">
        <v>928</v>
      </c>
      <c r="N249" s="75"/>
      <c r="O249" s="76"/>
      <c r="P249" s="77"/>
      <c r="Q249" s="130" t="s">
        <v>752</v>
      </c>
      <c r="R249" s="133" t="s">
        <v>929</v>
      </c>
      <c r="S249" s="86" t="s">
        <v>1178</v>
      </c>
      <c r="T249" s="86" t="s">
        <v>1179</v>
      </c>
      <c r="U249" s="86" t="s">
        <v>1199</v>
      </c>
      <c r="V249" s="233" t="s">
        <v>1730</v>
      </c>
      <c r="W249" s="75"/>
      <c r="X249" s="87" t="s">
        <v>1177</v>
      </c>
      <c r="Y249" s="161" t="s">
        <v>1186</v>
      </c>
      <c r="Z249" s="84" t="s">
        <v>1201</v>
      </c>
      <c r="AA249" s="131" t="s">
        <v>1101</v>
      </c>
    </row>
    <row r="250" spans="2:27" ht="241.5" hidden="1" customHeight="1">
      <c r="B250" s="84" t="s">
        <v>1721</v>
      </c>
      <c r="C250" s="84" t="s">
        <v>1722</v>
      </c>
      <c r="D250" s="84" t="s">
        <v>1723</v>
      </c>
      <c r="E250" s="131">
        <v>2</v>
      </c>
      <c r="F250" s="194" t="s">
        <v>766</v>
      </c>
      <c r="G250" s="194" t="s">
        <v>767</v>
      </c>
      <c r="H250" s="75" t="s">
        <v>768</v>
      </c>
      <c r="I250" s="76">
        <v>8</v>
      </c>
      <c r="J250" s="75" t="s">
        <v>693</v>
      </c>
      <c r="K250" s="76">
        <v>4</v>
      </c>
      <c r="L250" s="76"/>
      <c r="M250" s="159" t="s">
        <v>769</v>
      </c>
      <c r="N250" s="75"/>
      <c r="O250" s="76"/>
      <c r="P250" s="77"/>
      <c r="Q250" s="193"/>
      <c r="R250" s="193"/>
      <c r="S250" s="86" t="s">
        <v>1178</v>
      </c>
      <c r="T250" s="86" t="s">
        <v>1179</v>
      </c>
      <c r="U250" s="86" t="s">
        <v>1184</v>
      </c>
      <c r="V250" s="267" t="s">
        <v>1731</v>
      </c>
      <c r="W250" s="75"/>
      <c r="X250" s="87" t="s">
        <v>1177</v>
      </c>
      <c r="Y250" s="86" t="s">
        <v>1101</v>
      </c>
      <c r="Z250" s="194" t="s">
        <v>1101</v>
      </c>
      <c r="AA250" s="195" t="s">
        <v>1205</v>
      </c>
    </row>
    <row r="251" spans="2:27" ht="159.75" hidden="1" customHeight="1">
      <c r="B251" s="84" t="s">
        <v>1721</v>
      </c>
      <c r="C251" s="84" t="s">
        <v>1722</v>
      </c>
      <c r="D251" s="84" t="s">
        <v>1723</v>
      </c>
      <c r="E251" s="131">
        <v>2</v>
      </c>
      <c r="F251" s="84" t="s">
        <v>941</v>
      </c>
      <c r="G251" s="84" t="s">
        <v>942</v>
      </c>
      <c r="H251" s="75" t="s">
        <v>943</v>
      </c>
      <c r="I251" s="76">
        <v>9</v>
      </c>
      <c r="J251" s="75" t="s">
        <v>693</v>
      </c>
      <c r="K251" s="76">
        <v>16</v>
      </c>
      <c r="L251" s="76"/>
      <c r="M251" s="84" t="s">
        <v>944</v>
      </c>
      <c r="N251" s="75"/>
      <c r="O251" s="76"/>
      <c r="P251" s="77"/>
      <c r="Q251" s="130" t="s">
        <v>945</v>
      </c>
      <c r="R251" s="133" t="s">
        <v>941</v>
      </c>
      <c r="S251" s="86" t="s">
        <v>1178</v>
      </c>
      <c r="T251" s="86" t="s">
        <v>1179</v>
      </c>
      <c r="U251" s="86" t="s">
        <v>1206</v>
      </c>
      <c r="V251" s="233" t="s">
        <v>1732</v>
      </c>
      <c r="W251" s="75"/>
      <c r="X251" s="87" t="s">
        <v>1177</v>
      </c>
      <c r="Y251" s="161" t="s">
        <v>1186</v>
      </c>
      <c r="Z251" s="84" t="s">
        <v>1208</v>
      </c>
      <c r="AA251" s="131" t="s">
        <v>1101</v>
      </c>
    </row>
    <row r="252" spans="2:27" ht="248.25" hidden="1" customHeight="1">
      <c r="B252" s="84" t="s">
        <v>1721</v>
      </c>
      <c r="C252" s="84" t="s">
        <v>1722</v>
      </c>
      <c r="D252" s="84" t="s">
        <v>1723</v>
      </c>
      <c r="E252" s="131">
        <v>2</v>
      </c>
      <c r="F252" s="84" t="s">
        <v>950</v>
      </c>
      <c r="G252" s="84" t="s">
        <v>951</v>
      </c>
      <c r="H252" s="75" t="s">
        <v>952</v>
      </c>
      <c r="I252" s="76">
        <v>10</v>
      </c>
      <c r="J252" s="75" t="s">
        <v>1209</v>
      </c>
      <c r="K252" s="76">
        <v>5</v>
      </c>
      <c r="L252" s="76"/>
      <c r="M252" s="86" t="s">
        <v>953</v>
      </c>
      <c r="N252" s="75"/>
      <c r="O252" s="76"/>
      <c r="P252" s="77"/>
      <c r="Q252" s="130"/>
      <c r="R252" s="133"/>
      <c r="S252" s="86" t="s">
        <v>1210</v>
      </c>
      <c r="T252" s="86" t="s">
        <v>1211</v>
      </c>
      <c r="U252" s="86" t="s">
        <v>1212</v>
      </c>
      <c r="V252" s="233" t="s">
        <v>1733</v>
      </c>
      <c r="W252" s="75"/>
      <c r="X252" s="87" t="s">
        <v>1177</v>
      </c>
      <c r="Y252" s="86" t="s">
        <v>1214</v>
      </c>
      <c r="Z252" s="86" t="s">
        <v>1215</v>
      </c>
      <c r="AA252" s="131" t="s">
        <v>1101</v>
      </c>
    </row>
    <row r="253" spans="2:27" ht="236.25" hidden="1" customHeight="1">
      <c r="B253" s="84" t="s">
        <v>1721</v>
      </c>
      <c r="C253" s="84" t="s">
        <v>1722</v>
      </c>
      <c r="D253" s="84" t="s">
        <v>1723</v>
      </c>
      <c r="E253" s="131">
        <v>2</v>
      </c>
      <c r="F253" s="84" t="s">
        <v>959</v>
      </c>
      <c r="G253" s="84" t="s">
        <v>960</v>
      </c>
      <c r="H253" s="75" t="s">
        <v>768</v>
      </c>
      <c r="I253" s="76">
        <v>11</v>
      </c>
      <c r="J253" s="75" t="s">
        <v>693</v>
      </c>
      <c r="K253" s="76">
        <v>4</v>
      </c>
      <c r="L253" s="76"/>
      <c r="M253" s="84" t="s">
        <v>961</v>
      </c>
      <c r="N253" s="75"/>
      <c r="O253" s="76"/>
      <c r="P253" s="77"/>
      <c r="Q253" s="84" t="s">
        <v>752</v>
      </c>
      <c r="R253" s="84" t="s">
        <v>962</v>
      </c>
      <c r="S253" s="86" t="s">
        <v>1178</v>
      </c>
      <c r="T253" s="86" t="s">
        <v>1179</v>
      </c>
      <c r="U253" s="86" t="s">
        <v>1216</v>
      </c>
      <c r="V253" s="233" t="s">
        <v>1734</v>
      </c>
      <c r="W253" s="75"/>
      <c r="X253" s="87" t="s">
        <v>1177</v>
      </c>
      <c r="Y253" s="86" t="s">
        <v>1218</v>
      </c>
      <c r="Z253" s="84" t="s">
        <v>1219</v>
      </c>
      <c r="AA253" s="131" t="s">
        <v>1101</v>
      </c>
    </row>
    <row r="254" spans="2:27" ht="99.75" hidden="1" customHeight="1">
      <c r="B254" s="84" t="s">
        <v>1721</v>
      </c>
      <c r="C254" s="84" t="s">
        <v>1722</v>
      </c>
      <c r="D254" s="84" t="s">
        <v>1723</v>
      </c>
      <c r="E254" s="131">
        <v>2</v>
      </c>
      <c r="F254" s="84" t="s">
        <v>967</v>
      </c>
      <c r="G254" s="84" t="s">
        <v>968</v>
      </c>
      <c r="H254" s="75" t="s">
        <v>969</v>
      </c>
      <c r="I254" s="76">
        <v>12</v>
      </c>
      <c r="J254" s="75" t="s">
        <v>693</v>
      </c>
      <c r="K254" s="76">
        <v>4</v>
      </c>
      <c r="L254" s="76"/>
      <c r="M254" s="84" t="s">
        <v>970</v>
      </c>
      <c r="N254" s="75"/>
      <c r="O254" s="76"/>
      <c r="P254" s="77"/>
      <c r="Q254" s="130" t="s">
        <v>945</v>
      </c>
      <c r="R254" s="133" t="s">
        <v>971</v>
      </c>
      <c r="S254" s="86" t="s">
        <v>1210</v>
      </c>
      <c r="T254" s="86" t="s">
        <v>1221</v>
      </c>
      <c r="U254" s="86" t="s">
        <v>1222</v>
      </c>
      <c r="V254" s="233" t="s">
        <v>1735</v>
      </c>
      <c r="W254" s="75"/>
      <c r="X254" s="87" t="s">
        <v>1177</v>
      </c>
      <c r="Y254" s="86" t="s">
        <v>1224</v>
      </c>
      <c r="Z254" s="84" t="s">
        <v>1225</v>
      </c>
      <c r="AA254" s="131" t="s">
        <v>1101</v>
      </c>
    </row>
    <row r="255" spans="2:27" ht="190.5" hidden="1" customHeight="1">
      <c r="B255" s="84" t="s">
        <v>1721</v>
      </c>
      <c r="C255" s="84" t="s">
        <v>1722</v>
      </c>
      <c r="D255" s="84" t="s">
        <v>1723</v>
      </c>
      <c r="E255" s="131">
        <v>2</v>
      </c>
      <c r="F255" s="84" t="s">
        <v>977</v>
      </c>
      <c r="G255" s="84" t="s">
        <v>978</v>
      </c>
      <c r="H255" s="75" t="s">
        <v>979</v>
      </c>
      <c r="I255" s="76">
        <v>13</v>
      </c>
      <c r="J255" s="75" t="s">
        <v>693</v>
      </c>
      <c r="K255" s="76">
        <v>4</v>
      </c>
      <c r="L255" s="76"/>
      <c r="M255" s="84" t="s">
        <v>980</v>
      </c>
      <c r="N255" s="75"/>
      <c r="O255" s="76"/>
      <c r="P255" s="87" t="s">
        <v>1220</v>
      </c>
      <c r="Q255" s="130" t="s">
        <v>945</v>
      </c>
      <c r="R255" s="133" t="s">
        <v>982</v>
      </c>
      <c r="S255" s="86" t="s">
        <v>1210</v>
      </c>
      <c r="T255" s="86" t="s">
        <v>1221</v>
      </c>
      <c r="U255" s="86" t="s">
        <v>1222</v>
      </c>
      <c r="V255" s="233" t="s">
        <v>1736</v>
      </c>
      <c r="W255" s="75"/>
      <c r="X255" s="87" t="s">
        <v>1177</v>
      </c>
      <c r="Y255" s="86" t="s">
        <v>1224</v>
      </c>
      <c r="Z255" s="84" t="s">
        <v>1228</v>
      </c>
      <c r="AA255" s="131" t="s">
        <v>1101</v>
      </c>
    </row>
    <row r="256" spans="2:27" ht="207.75" hidden="1" customHeight="1">
      <c r="B256" s="84" t="s">
        <v>1721</v>
      </c>
      <c r="C256" s="84" t="s">
        <v>1722</v>
      </c>
      <c r="D256" s="84" t="s">
        <v>1723</v>
      </c>
      <c r="E256" s="131">
        <v>2</v>
      </c>
      <c r="F256" s="158" t="s">
        <v>984</v>
      </c>
      <c r="G256" s="158" t="s">
        <v>985</v>
      </c>
      <c r="H256" s="75" t="s">
        <v>779</v>
      </c>
      <c r="I256" s="76">
        <v>14</v>
      </c>
      <c r="J256" s="75" t="s">
        <v>693</v>
      </c>
      <c r="K256" s="76">
        <v>4</v>
      </c>
      <c r="L256" s="76"/>
      <c r="M256" s="84" t="s">
        <v>986</v>
      </c>
      <c r="N256" s="75"/>
      <c r="O256" s="76"/>
      <c r="P256" s="87" t="s">
        <v>1229</v>
      </c>
      <c r="Q256" s="130" t="s">
        <v>752</v>
      </c>
      <c r="R256" s="200" t="s">
        <v>988</v>
      </c>
      <c r="S256" s="86" t="s">
        <v>1178</v>
      </c>
      <c r="T256" s="86" t="s">
        <v>1179</v>
      </c>
      <c r="U256" s="86" t="s">
        <v>1230</v>
      </c>
      <c r="V256" s="233" t="s">
        <v>1737</v>
      </c>
      <c r="W256" s="75"/>
      <c r="X256" s="87" t="s">
        <v>1177</v>
      </c>
      <c r="Y256" s="161" t="s">
        <v>1186</v>
      </c>
      <c r="Z256" s="84" t="s">
        <v>1232</v>
      </c>
      <c r="AA256" s="131" t="s">
        <v>1101</v>
      </c>
    </row>
    <row r="257" spans="2:27" ht="173.25" hidden="1" customHeight="1">
      <c r="B257" s="84" t="s">
        <v>1721</v>
      </c>
      <c r="C257" s="84" t="s">
        <v>1722</v>
      </c>
      <c r="D257" s="84" t="s">
        <v>1723</v>
      </c>
      <c r="E257" s="131">
        <v>2</v>
      </c>
      <c r="F257" s="159" t="s">
        <v>777</v>
      </c>
      <c r="G257" s="159" t="s">
        <v>778</v>
      </c>
      <c r="H257" s="75" t="s">
        <v>779</v>
      </c>
      <c r="I257" s="76">
        <v>15</v>
      </c>
      <c r="J257" s="75" t="s">
        <v>693</v>
      </c>
      <c r="K257" s="76">
        <v>4</v>
      </c>
      <c r="L257" s="76"/>
      <c r="M257" s="84" t="s">
        <v>780</v>
      </c>
      <c r="N257" s="75"/>
      <c r="O257" s="76"/>
      <c r="P257" s="87" t="s">
        <v>1229</v>
      </c>
      <c r="Q257" s="130" t="s">
        <v>752</v>
      </c>
      <c r="R257" s="133" t="s">
        <v>782</v>
      </c>
      <c r="S257" s="86" t="s">
        <v>1178</v>
      </c>
      <c r="T257" s="86" t="s">
        <v>1179</v>
      </c>
      <c r="U257" s="86" t="s">
        <v>1233</v>
      </c>
      <c r="V257" s="233" t="s">
        <v>1738</v>
      </c>
      <c r="W257" s="75"/>
      <c r="X257" s="87" t="s">
        <v>1177</v>
      </c>
      <c r="Y257" s="161" t="s">
        <v>1186</v>
      </c>
      <c r="Z257" s="84" t="s">
        <v>1235</v>
      </c>
      <c r="AA257" s="131" t="s">
        <v>1101</v>
      </c>
    </row>
    <row r="258" spans="2:27" ht="231" hidden="1" customHeight="1">
      <c r="B258" s="84" t="s">
        <v>1721</v>
      </c>
      <c r="C258" s="84" t="s">
        <v>1722</v>
      </c>
      <c r="D258" s="84" t="s">
        <v>1723</v>
      </c>
      <c r="E258" s="131">
        <v>2</v>
      </c>
      <c r="F258" s="84" t="s">
        <v>790</v>
      </c>
      <c r="G258" s="84" t="s">
        <v>791</v>
      </c>
      <c r="H258" s="75" t="s">
        <v>750</v>
      </c>
      <c r="I258" s="76">
        <v>16</v>
      </c>
      <c r="J258" s="75" t="s">
        <v>693</v>
      </c>
      <c r="K258" s="76">
        <v>10</v>
      </c>
      <c r="L258" s="76"/>
      <c r="M258" s="84" t="s">
        <v>792</v>
      </c>
      <c r="N258" s="75"/>
      <c r="O258" s="76"/>
      <c r="P258" s="77"/>
      <c r="Q258" s="130" t="s">
        <v>752</v>
      </c>
      <c r="R258" s="133" t="s">
        <v>793</v>
      </c>
      <c r="S258" s="86" t="s">
        <v>1178</v>
      </c>
      <c r="T258" s="86" t="s">
        <v>1179</v>
      </c>
      <c r="U258" s="86" t="s">
        <v>1236</v>
      </c>
      <c r="V258" s="233" t="s">
        <v>1739</v>
      </c>
      <c r="W258" s="75"/>
      <c r="X258" s="87" t="s">
        <v>1177</v>
      </c>
      <c r="Y258" s="161" t="s">
        <v>1186</v>
      </c>
      <c r="Z258" s="84" t="s">
        <v>1238</v>
      </c>
      <c r="AA258" s="131" t="s">
        <v>1101</v>
      </c>
    </row>
    <row r="259" spans="2:27" ht="262.5" hidden="1" customHeight="1">
      <c r="B259" s="84" t="s">
        <v>1721</v>
      </c>
      <c r="C259" s="84" t="s">
        <v>1722</v>
      </c>
      <c r="D259" s="84" t="s">
        <v>1723</v>
      </c>
      <c r="E259" s="160">
        <v>2</v>
      </c>
      <c r="F259" s="84" t="s">
        <v>748</v>
      </c>
      <c r="G259" s="84" t="s">
        <v>749</v>
      </c>
      <c r="H259" s="75" t="s">
        <v>750</v>
      </c>
      <c r="I259" s="76">
        <v>17</v>
      </c>
      <c r="J259" s="75" t="s">
        <v>693</v>
      </c>
      <c r="K259" s="76">
        <v>10</v>
      </c>
      <c r="L259" s="76"/>
      <c r="M259" s="84" t="s">
        <v>751</v>
      </c>
      <c r="N259" s="75"/>
      <c r="O259" s="76"/>
      <c r="P259" s="77"/>
      <c r="Q259" s="75" t="s">
        <v>752</v>
      </c>
      <c r="R259" s="75" t="s">
        <v>753</v>
      </c>
      <c r="S259" s="86" t="s">
        <v>1178</v>
      </c>
      <c r="T259" s="86" t="s">
        <v>1179</v>
      </c>
      <c r="U259" s="86" t="s">
        <v>1239</v>
      </c>
      <c r="V259" s="233" t="s">
        <v>1740</v>
      </c>
      <c r="W259" s="75"/>
      <c r="X259" s="87" t="s">
        <v>1177</v>
      </c>
      <c r="Y259" s="161" t="s">
        <v>1186</v>
      </c>
      <c r="Z259" s="191" t="s">
        <v>1241</v>
      </c>
      <c r="AA259" s="131" t="s">
        <v>1101</v>
      </c>
    </row>
    <row r="260" spans="2:27" ht="99.75" hidden="1" customHeight="1">
      <c r="B260" s="84" t="s">
        <v>1721</v>
      </c>
      <c r="C260" s="84" t="s">
        <v>1722</v>
      </c>
      <c r="D260" s="84" t="s">
        <v>1723</v>
      </c>
      <c r="E260" s="131">
        <v>2</v>
      </c>
      <c r="F260" s="158" t="s">
        <v>1002</v>
      </c>
      <c r="G260" s="158" t="s">
        <v>1003</v>
      </c>
      <c r="H260" s="75" t="s">
        <v>759</v>
      </c>
      <c r="I260" s="76">
        <v>18</v>
      </c>
      <c r="J260" s="75" t="s">
        <v>760</v>
      </c>
      <c r="K260" s="76">
        <v>23</v>
      </c>
      <c r="L260" s="76">
        <v>6</v>
      </c>
      <c r="M260" s="84" t="s">
        <v>1004</v>
      </c>
      <c r="N260" s="75"/>
      <c r="O260" s="76"/>
      <c r="P260" s="77"/>
      <c r="Q260" s="130" t="s">
        <v>752</v>
      </c>
      <c r="R260" s="200" t="s">
        <v>1005</v>
      </c>
      <c r="S260" s="86" t="s">
        <v>1210</v>
      </c>
      <c r="T260" s="86" t="s">
        <v>1242</v>
      </c>
      <c r="U260" s="233" t="s">
        <v>1243</v>
      </c>
      <c r="V260" s="233" t="s">
        <v>1741</v>
      </c>
      <c r="W260" s="75"/>
      <c r="X260" s="87" t="s">
        <v>1177</v>
      </c>
      <c r="Y260" s="86" t="s">
        <v>1245</v>
      </c>
      <c r="Z260" s="84" t="s">
        <v>1742</v>
      </c>
      <c r="AA260" s="131" t="s">
        <v>1247</v>
      </c>
    </row>
    <row r="261" spans="2:27" ht="99.75" hidden="1" customHeight="1">
      <c r="B261" s="84" t="s">
        <v>1721</v>
      </c>
      <c r="C261" s="84" t="s">
        <v>1722</v>
      </c>
      <c r="D261" s="84" t="s">
        <v>1723</v>
      </c>
      <c r="E261" s="131">
        <v>2</v>
      </c>
      <c r="F261" s="84" t="s">
        <v>757</v>
      </c>
      <c r="G261" s="84" t="s">
        <v>758</v>
      </c>
      <c r="H261" s="75" t="s">
        <v>759</v>
      </c>
      <c r="I261" s="76">
        <v>19</v>
      </c>
      <c r="J261" s="75" t="s">
        <v>760</v>
      </c>
      <c r="K261" s="76">
        <v>23</v>
      </c>
      <c r="L261" s="76">
        <v>6</v>
      </c>
      <c r="M261" s="84" t="s">
        <v>761</v>
      </c>
      <c r="N261" s="75"/>
      <c r="O261" s="76"/>
      <c r="P261" s="77"/>
      <c r="Q261" s="130" t="s">
        <v>752</v>
      </c>
      <c r="R261" s="133" t="s">
        <v>762</v>
      </c>
      <c r="S261" s="86" t="s">
        <v>1210</v>
      </c>
      <c r="T261" s="86" t="s">
        <v>1242</v>
      </c>
      <c r="U261" s="233" t="s">
        <v>1248</v>
      </c>
      <c r="V261" s="233" t="s">
        <v>1743</v>
      </c>
      <c r="W261" s="75"/>
      <c r="X261" s="87" t="s">
        <v>1177</v>
      </c>
      <c r="Y261" s="161" t="s">
        <v>1250</v>
      </c>
      <c r="Z261" s="84" t="s">
        <v>1251</v>
      </c>
      <c r="AA261" s="131" t="s">
        <v>1101</v>
      </c>
    </row>
    <row r="262" spans="2:27" ht="193.5" hidden="1" customHeight="1">
      <c r="B262" s="84" t="s">
        <v>1721</v>
      </c>
      <c r="C262" s="84" t="s">
        <v>1722</v>
      </c>
      <c r="D262" s="84" t="s">
        <v>1723</v>
      </c>
      <c r="E262" s="131">
        <v>2</v>
      </c>
      <c r="F262" s="158" t="s">
        <v>1016</v>
      </c>
      <c r="G262" s="158" t="s">
        <v>1017</v>
      </c>
      <c r="H262" s="75" t="s">
        <v>1018</v>
      </c>
      <c r="I262" s="76">
        <v>20</v>
      </c>
      <c r="J262" s="75" t="s">
        <v>693</v>
      </c>
      <c r="K262" s="76">
        <v>4</v>
      </c>
      <c r="L262" s="76"/>
      <c r="M262" s="84" t="s">
        <v>1019</v>
      </c>
      <c r="N262" s="75"/>
      <c r="O262" s="76"/>
      <c r="P262" s="87" t="s">
        <v>1252</v>
      </c>
      <c r="Q262" s="75" t="s">
        <v>945</v>
      </c>
      <c r="R262" s="75" t="s">
        <v>1021</v>
      </c>
      <c r="S262" s="86" t="s">
        <v>1178</v>
      </c>
      <c r="T262" s="86" t="s">
        <v>1179</v>
      </c>
      <c r="U262" s="86" t="s">
        <v>1253</v>
      </c>
      <c r="V262" s="233" t="s">
        <v>1744</v>
      </c>
      <c r="W262" s="75"/>
      <c r="X262" s="87" t="s">
        <v>1177</v>
      </c>
      <c r="Y262" s="161" t="s">
        <v>1262</v>
      </c>
      <c r="Z262" s="86" t="s">
        <v>1745</v>
      </c>
      <c r="AA262" s="131" t="s">
        <v>1264</v>
      </c>
    </row>
    <row r="263" spans="2:27" ht="213" hidden="1" customHeight="1">
      <c r="B263" s="84" t="s">
        <v>1721</v>
      </c>
      <c r="C263" s="84" t="s">
        <v>1722</v>
      </c>
      <c r="D263" s="84" t="s">
        <v>1723</v>
      </c>
      <c r="E263" s="131">
        <v>2</v>
      </c>
      <c r="F263" s="158" t="s">
        <v>1027</v>
      </c>
      <c r="G263" s="158" t="s">
        <v>1028</v>
      </c>
      <c r="H263" s="75" t="s">
        <v>1029</v>
      </c>
      <c r="I263" s="76">
        <v>21</v>
      </c>
      <c r="J263" s="75" t="s">
        <v>693</v>
      </c>
      <c r="K263" s="76"/>
      <c r="L263" s="76"/>
      <c r="M263" s="84" t="s">
        <v>1030</v>
      </c>
      <c r="N263" s="75"/>
      <c r="O263" s="76"/>
      <c r="P263" s="77"/>
      <c r="Q263" s="86" t="s">
        <v>888</v>
      </c>
      <c r="R263" s="86" t="s">
        <v>1031</v>
      </c>
      <c r="S263" s="86" t="s">
        <v>1178</v>
      </c>
      <c r="T263" s="86" t="s">
        <v>1179</v>
      </c>
      <c r="U263" s="86" t="s">
        <v>1256</v>
      </c>
      <c r="V263" s="233" t="s">
        <v>1746</v>
      </c>
      <c r="W263" s="75"/>
      <c r="X263" s="87" t="s">
        <v>1177</v>
      </c>
      <c r="Y263" s="161" t="s">
        <v>1186</v>
      </c>
      <c r="Z263" s="86" t="s">
        <v>1258</v>
      </c>
      <c r="AA263" s="131" t="s">
        <v>1101</v>
      </c>
    </row>
    <row r="264" spans="2:27" ht="120.75" hidden="1" customHeight="1">
      <c r="B264" s="84" t="s">
        <v>1721</v>
      </c>
      <c r="C264" s="84" t="s">
        <v>1722</v>
      </c>
      <c r="D264" s="84" t="s">
        <v>1723</v>
      </c>
      <c r="E264" s="131">
        <v>2</v>
      </c>
      <c r="F264" s="84" t="s">
        <v>1037</v>
      </c>
      <c r="G264" s="84" t="s">
        <v>1038</v>
      </c>
      <c r="H264" s="75" t="s">
        <v>1018</v>
      </c>
      <c r="I264" s="76">
        <v>22</v>
      </c>
      <c r="J264" s="75" t="s">
        <v>693</v>
      </c>
      <c r="K264" s="76">
        <v>10</v>
      </c>
      <c r="L264" s="76"/>
      <c r="M264" s="84" t="s">
        <v>1039</v>
      </c>
      <c r="N264" s="75"/>
      <c r="O264" s="76"/>
      <c r="P264" s="87" t="s">
        <v>1259</v>
      </c>
      <c r="Q264" s="130" t="s">
        <v>945</v>
      </c>
      <c r="R264" s="133" t="s">
        <v>1037</v>
      </c>
      <c r="S264" s="86" t="s">
        <v>1178</v>
      </c>
      <c r="T264" s="86" t="s">
        <v>1179</v>
      </c>
      <c r="U264" s="86" t="s">
        <v>1260</v>
      </c>
      <c r="V264" s="233" t="s">
        <v>1747</v>
      </c>
      <c r="W264" s="75"/>
      <c r="X264" s="87" t="s">
        <v>1177</v>
      </c>
      <c r="Y264" s="161" t="s">
        <v>1262</v>
      </c>
      <c r="Z264" s="84" t="s">
        <v>1263</v>
      </c>
      <c r="AA264" s="131" t="s">
        <v>1264</v>
      </c>
    </row>
    <row r="265" spans="2:27" ht="234.75" hidden="1" customHeight="1">
      <c r="B265" s="84" t="s">
        <v>1721</v>
      </c>
      <c r="C265" s="84" t="s">
        <v>1722</v>
      </c>
      <c r="D265" s="84" t="s">
        <v>1723</v>
      </c>
      <c r="E265" s="131">
        <v>2</v>
      </c>
      <c r="F265" s="84" t="s">
        <v>1045</v>
      </c>
      <c r="G265" s="84" t="s">
        <v>1046</v>
      </c>
      <c r="H265" s="75" t="s">
        <v>1047</v>
      </c>
      <c r="I265" s="76">
        <v>23</v>
      </c>
      <c r="J265" s="75" t="s">
        <v>693</v>
      </c>
      <c r="K265" s="76">
        <v>10</v>
      </c>
      <c r="L265" s="76"/>
      <c r="M265" s="84" t="s">
        <v>1048</v>
      </c>
      <c r="N265" s="75"/>
      <c r="O265" s="76"/>
      <c r="P265" s="87" t="s">
        <v>1265</v>
      </c>
      <c r="Q265" s="130" t="s">
        <v>945</v>
      </c>
      <c r="R265" s="133" t="s">
        <v>1045</v>
      </c>
      <c r="S265" s="86" t="s">
        <v>1178</v>
      </c>
      <c r="T265" s="86" t="s">
        <v>1179</v>
      </c>
      <c r="U265" s="86" t="s">
        <v>1260</v>
      </c>
      <c r="V265" s="233" t="s">
        <v>1748</v>
      </c>
      <c r="W265" s="75"/>
      <c r="X265" s="87" t="s">
        <v>1177</v>
      </c>
      <c r="Y265" s="161" t="s">
        <v>1262</v>
      </c>
      <c r="Z265" s="84" t="s">
        <v>1263</v>
      </c>
      <c r="AA265" s="131" t="s">
        <v>1264</v>
      </c>
    </row>
    <row r="266" spans="2:27" ht="180" hidden="1" customHeight="1">
      <c r="B266" s="84" t="s">
        <v>1721</v>
      </c>
      <c r="C266" s="84" t="s">
        <v>1722</v>
      </c>
      <c r="D266" s="84" t="s">
        <v>1723</v>
      </c>
      <c r="E266" s="131">
        <v>2</v>
      </c>
      <c r="F266" s="84" t="s">
        <v>1051</v>
      </c>
      <c r="G266" s="84" t="s">
        <v>1052</v>
      </c>
      <c r="H266" s="75" t="s">
        <v>1053</v>
      </c>
      <c r="I266" s="76">
        <v>24</v>
      </c>
      <c r="J266" s="75" t="s">
        <v>693</v>
      </c>
      <c r="K266" s="76">
        <v>20</v>
      </c>
      <c r="L266" s="76"/>
      <c r="M266" s="84" t="s">
        <v>1054</v>
      </c>
      <c r="N266" s="75"/>
      <c r="O266" s="76"/>
      <c r="P266" s="87"/>
      <c r="Q266" s="130" t="s">
        <v>945</v>
      </c>
      <c r="R266" s="133" t="s">
        <v>1051</v>
      </c>
      <c r="S266" s="86" t="s">
        <v>1178</v>
      </c>
      <c r="T266" s="86" t="s">
        <v>1267</v>
      </c>
      <c r="U266" s="86" t="s">
        <v>1268</v>
      </c>
      <c r="V266" s="233" t="s">
        <v>1749</v>
      </c>
      <c r="W266" s="75"/>
      <c r="X266" s="87" t="s">
        <v>1177</v>
      </c>
      <c r="Y266" s="84" t="s">
        <v>1270</v>
      </c>
      <c r="Z266" s="84" t="s">
        <v>1271</v>
      </c>
      <c r="AA266" s="131" t="s">
        <v>1101</v>
      </c>
    </row>
    <row r="267" spans="2:27" ht="66" hidden="1" customHeight="1">
      <c r="B267" s="84" t="s">
        <v>1721</v>
      </c>
      <c r="C267" s="84" t="s">
        <v>1722</v>
      </c>
      <c r="D267" s="84" t="s">
        <v>1723</v>
      </c>
      <c r="E267" s="131">
        <v>2</v>
      </c>
      <c r="F267" s="84" t="s">
        <v>1060</v>
      </c>
      <c r="G267" s="84" t="s">
        <v>1061</v>
      </c>
      <c r="H267" s="75" t="s">
        <v>1062</v>
      </c>
      <c r="I267" s="76">
        <v>25</v>
      </c>
      <c r="J267" s="75" t="s">
        <v>693</v>
      </c>
      <c r="K267" s="76">
        <v>20</v>
      </c>
      <c r="L267" s="76"/>
      <c r="M267" s="84" t="s">
        <v>1063</v>
      </c>
      <c r="N267" s="75"/>
      <c r="O267" s="76"/>
      <c r="P267" s="87" t="s">
        <v>1272</v>
      </c>
      <c r="Q267" s="130" t="s">
        <v>945</v>
      </c>
      <c r="R267" s="133" t="s">
        <v>1065</v>
      </c>
      <c r="S267" s="86" t="s">
        <v>1178</v>
      </c>
      <c r="T267" s="86" t="s">
        <v>1179</v>
      </c>
      <c r="U267" s="86" t="s">
        <v>1273</v>
      </c>
      <c r="V267" s="233" t="s">
        <v>1750</v>
      </c>
      <c r="W267" s="75"/>
      <c r="X267" s="87" t="s">
        <v>1177</v>
      </c>
      <c r="Y267" s="161" t="s">
        <v>1186</v>
      </c>
      <c r="Z267" s="84" t="s">
        <v>1275</v>
      </c>
      <c r="AA267" s="131" t="s">
        <v>1101</v>
      </c>
    </row>
    <row r="268" spans="2:27" ht="230.25" hidden="1" customHeight="1">
      <c r="B268" s="84" t="s">
        <v>1721</v>
      </c>
      <c r="C268" s="84" t="s">
        <v>1722</v>
      </c>
      <c r="D268" s="84" t="s">
        <v>1723</v>
      </c>
      <c r="E268" s="131">
        <v>2</v>
      </c>
      <c r="F268" s="77" t="s">
        <v>797</v>
      </c>
      <c r="G268" s="77" t="s">
        <v>798</v>
      </c>
      <c r="H268" s="77" t="s">
        <v>799</v>
      </c>
      <c r="I268" s="76">
        <v>26</v>
      </c>
      <c r="J268" s="77" t="s">
        <v>693</v>
      </c>
      <c r="K268" s="76">
        <v>20</v>
      </c>
      <c r="L268" s="76"/>
      <c r="M268" s="86" t="s">
        <v>800</v>
      </c>
      <c r="N268" s="86"/>
      <c r="O268" s="76"/>
      <c r="P268" s="86" t="s">
        <v>1276</v>
      </c>
      <c r="Q268" s="87"/>
      <c r="R268" s="77"/>
      <c r="S268" s="86" t="s">
        <v>1178</v>
      </c>
      <c r="T268" s="86" t="s">
        <v>1179</v>
      </c>
      <c r="U268" s="86" t="s">
        <v>703</v>
      </c>
      <c r="V268" s="233" t="s">
        <v>1751</v>
      </c>
      <c r="W268" s="76"/>
      <c r="X268" s="87" t="s">
        <v>1177</v>
      </c>
      <c r="Y268" s="87" t="s">
        <v>1101</v>
      </c>
      <c r="Z268" s="87" t="s">
        <v>1101</v>
      </c>
      <c r="AA268" s="201" t="s">
        <v>1278</v>
      </c>
    </row>
    <row r="269" spans="2:27" ht="195" hidden="1" customHeight="1">
      <c r="B269" s="84" t="s">
        <v>1721</v>
      </c>
      <c r="C269" s="84" t="s">
        <v>1722</v>
      </c>
      <c r="D269" s="84" t="s">
        <v>1723</v>
      </c>
      <c r="E269" s="131">
        <v>2</v>
      </c>
      <c r="F269" s="84" t="s">
        <v>805</v>
      </c>
      <c r="G269" s="84" t="s">
        <v>806</v>
      </c>
      <c r="H269" s="75" t="s">
        <v>807</v>
      </c>
      <c r="I269" s="76">
        <v>27</v>
      </c>
      <c r="J269" s="75" t="s">
        <v>693</v>
      </c>
      <c r="K269" s="76">
        <v>10</v>
      </c>
      <c r="L269" s="76"/>
      <c r="M269" s="84" t="s">
        <v>808</v>
      </c>
      <c r="N269" s="75"/>
      <c r="O269" s="76" t="s">
        <v>695</v>
      </c>
      <c r="P269" s="77"/>
      <c r="Q269" s="84"/>
      <c r="R269" s="84"/>
      <c r="S269" s="86" t="s">
        <v>1178</v>
      </c>
      <c r="T269" s="86" t="s">
        <v>1179</v>
      </c>
      <c r="U269" s="86" t="s">
        <v>1279</v>
      </c>
      <c r="V269" s="233" t="s">
        <v>1752</v>
      </c>
      <c r="W269" s="75"/>
      <c r="X269" s="87" t="s">
        <v>1101</v>
      </c>
      <c r="Y269" s="87" t="s">
        <v>1101</v>
      </c>
      <c r="Z269" s="87" t="s">
        <v>1753</v>
      </c>
      <c r="AA269" s="131" t="s">
        <v>1101</v>
      </c>
    </row>
    <row r="270" spans="2:27" ht="99.75" hidden="1" customHeight="1">
      <c r="B270" s="84" t="s">
        <v>1721</v>
      </c>
      <c r="C270" s="84" t="s">
        <v>1722</v>
      </c>
      <c r="D270" s="84" t="s">
        <v>1723</v>
      </c>
      <c r="E270" s="131">
        <v>2</v>
      </c>
      <c r="F270" s="84" t="s">
        <v>812</v>
      </c>
      <c r="G270" s="84" t="s">
        <v>813</v>
      </c>
      <c r="H270" s="75" t="s">
        <v>814</v>
      </c>
      <c r="I270" s="76">
        <v>28</v>
      </c>
      <c r="J270" s="75" t="s">
        <v>815</v>
      </c>
      <c r="K270" s="76">
        <v>23</v>
      </c>
      <c r="L270" s="76"/>
      <c r="M270" s="84" t="s">
        <v>816</v>
      </c>
      <c r="N270" s="75"/>
      <c r="O270" s="76"/>
      <c r="P270" s="77"/>
      <c r="Q270" s="84"/>
      <c r="R270" s="84"/>
      <c r="S270" s="86" t="s">
        <v>1178</v>
      </c>
      <c r="T270" s="86" t="s">
        <v>1179</v>
      </c>
      <c r="U270" s="86" t="s">
        <v>703</v>
      </c>
      <c r="V270" s="233" t="s">
        <v>1754</v>
      </c>
      <c r="W270" s="75"/>
      <c r="X270" s="87" t="s">
        <v>1101</v>
      </c>
      <c r="Y270" s="87" t="s">
        <v>1101</v>
      </c>
      <c r="Z270" s="87" t="s">
        <v>1101</v>
      </c>
      <c r="AA270" s="131" t="s">
        <v>1101</v>
      </c>
    </row>
    <row r="271" spans="2:27" ht="99.75" hidden="1" customHeight="1">
      <c r="B271" s="77" t="s">
        <v>1755</v>
      </c>
      <c r="C271" s="84" t="s">
        <v>1756</v>
      </c>
      <c r="D271" s="84" t="s">
        <v>1757</v>
      </c>
      <c r="E271" s="76">
        <v>2</v>
      </c>
      <c r="F271" s="75" t="s">
        <v>690</v>
      </c>
      <c r="G271" s="75" t="s">
        <v>691</v>
      </c>
      <c r="H271" s="75" t="s">
        <v>872</v>
      </c>
      <c r="I271" s="76">
        <v>1</v>
      </c>
      <c r="J271" s="75" t="s">
        <v>693</v>
      </c>
      <c r="K271" s="76">
        <v>4</v>
      </c>
      <c r="L271" s="76"/>
      <c r="M271" s="86" t="s">
        <v>694</v>
      </c>
      <c r="N271" s="75"/>
      <c r="O271" s="76" t="s">
        <v>695</v>
      </c>
      <c r="P271" s="77"/>
      <c r="Q271" s="86" t="s">
        <v>1758</v>
      </c>
      <c r="R271" s="86" t="s">
        <v>1759</v>
      </c>
      <c r="S271" s="86" t="s">
        <v>1760</v>
      </c>
      <c r="T271" s="86" t="s">
        <v>1761</v>
      </c>
      <c r="U271" s="86" t="s">
        <v>1163</v>
      </c>
      <c r="V271" s="233" t="s">
        <v>1762</v>
      </c>
      <c r="W271" s="75"/>
      <c r="X271" s="86" t="s">
        <v>1763</v>
      </c>
      <c r="Y271" s="86" t="s">
        <v>1101</v>
      </c>
      <c r="Z271" s="86" t="s">
        <v>1101</v>
      </c>
      <c r="AA271" s="131" t="s">
        <v>1165</v>
      </c>
    </row>
    <row r="272" spans="2:27" ht="99.75" hidden="1" customHeight="1">
      <c r="B272" s="77" t="s">
        <v>1755</v>
      </c>
      <c r="C272" s="84" t="s">
        <v>1756</v>
      </c>
      <c r="D272" s="84" t="s">
        <v>1757</v>
      </c>
      <c r="E272" s="76">
        <v>2</v>
      </c>
      <c r="F272" s="75" t="s">
        <v>705</v>
      </c>
      <c r="G272" s="75" t="s">
        <v>706</v>
      </c>
      <c r="H272" s="75" t="s">
        <v>872</v>
      </c>
      <c r="I272" s="76">
        <v>2</v>
      </c>
      <c r="J272" s="77" t="s">
        <v>693</v>
      </c>
      <c r="K272" s="76">
        <v>30</v>
      </c>
      <c r="L272" s="76"/>
      <c r="M272" s="86" t="s">
        <v>707</v>
      </c>
      <c r="N272" s="75"/>
      <c r="O272" s="76" t="s">
        <v>695</v>
      </c>
      <c r="P272" s="77"/>
      <c r="Q272" s="86" t="s">
        <v>1758</v>
      </c>
      <c r="R272" s="86" t="s">
        <v>1759</v>
      </c>
      <c r="S272" s="86" t="s">
        <v>1764</v>
      </c>
      <c r="T272" s="86" t="s">
        <v>1765</v>
      </c>
      <c r="U272" s="86" t="s">
        <v>1469</v>
      </c>
      <c r="V272" s="233" t="s">
        <v>1766</v>
      </c>
      <c r="W272" s="75" t="s">
        <v>6</v>
      </c>
      <c r="X272" s="86" t="s">
        <v>1763</v>
      </c>
      <c r="Y272" s="86" t="s">
        <v>1767</v>
      </c>
      <c r="Z272" s="86" t="s">
        <v>1768</v>
      </c>
      <c r="AA272" s="131" t="s">
        <v>1101</v>
      </c>
    </row>
    <row r="273" spans="2:27" ht="99.75" hidden="1" customHeight="1">
      <c r="B273" s="77" t="s">
        <v>1755</v>
      </c>
      <c r="C273" s="84" t="s">
        <v>1756</v>
      </c>
      <c r="D273" s="84" t="s">
        <v>1757</v>
      </c>
      <c r="E273" s="131">
        <v>2</v>
      </c>
      <c r="F273" s="84" t="s">
        <v>715</v>
      </c>
      <c r="G273" s="84" t="s">
        <v>716</v>
      </c>
      <c r="H273" s="75" t="s">
        <v>893</v>
      </c>
      <c r="I273" s="76">
        <v>3</v>
      </c>
      <c r="J273" s="75" t="s">
        <v>1139</v>
      </c>
      <c r="K273" s="76"/>
      <c r="L273" s="76"/>
      <c r="M273" s="84" t="s">
        <v>1140</v>
      </c>
      <c r="N273" s="75"/>
      <c r="O273" s="76" t="s">
        <v>695</v>
      </c>
      <c r="P273" s="77"/>
      <c r="Q273" s="130" t="s">
        <v>752</v>
      </c>
      <c r="R273" s="133" t="s">
        <v>1474</v>
      </c>
      <c r="S273" s="86" t="s">
        <v>1764</v>
      </c>
      <c r="T273" s="86" t="s">
        <v>1765</v>
      </c>
      <c r="U273" s="86" t="s">
        <v>1769</v>
      </c>
      <c r="V273" s="233" t="s">
        <v>1770</v>
      </c>
      <c r="W273" s="75"/>
      <c r="X273" s="86" t="s">
        <v>1763</v>
      </c>
      <c r="Y273" s="86" t="s">
        <v>1767</v>
      </c>
      <c r="Z273" s="84" t="s">
        <v>1771</v>
      </c>
      <c r="AA273" s="131" t="s">
        <v>1101</v>
      </c>
    </row>
    <row r="274" spans="2:27" ht="198.75" hidden="1" customHeight="1">
      <c r="B274" s="77" t="s">
        <v>1755</v>
      </c>
      <c r="C274" s="84" t="s">
        <v>1756</v>
      </c>
      <c r="D274" s="84" t="s">
        <v>1757</v>
      </c>
      <c r="E274" s="131">
        <v>2</v>
      </c>
      <c r="F274" s="84" t="s">
        <v>728</v>
      </c>
      <c r="G274" s="84" t="s">
        <v>729</v>
      </c>
      <c r="H274" s="75" t="s">
        <v>717</v>
      </c>
      <c r="I274" s="76">
        <v>4</v>
      </c>
      <c r="J274" s="75" t="s">
        <v>718</v>
      </c>
      <c r="K274" s="76"/>
      <c r="L274" s="76"/>
      <c r="M274" s="84" t="s">
        <v>730</v>
      </c>
      <c r="N274" s="75"/>
      <c r="O274" s="76" t="s">
        <v>695</v>
      </c>
      <c r="P274" s="77"/>
      <c r="Q274" s="130" t="s">
        <v>720</v>
      </c>
      <c r="R274" s="133" t="s">
        <v>721</v>
      </c>
      <c r="S274" s="86" t="s">
        <v>1764</v>
      </c>
      <c r="T274" s="86" t="s">
        <v>1765</v>
      </c>
      <c r="U274" s="86" t="s">
        <v>811</v>
      </c>
      <c r="V274" s="233" t="s">
        <v>1772</v>
      </c>
      <c r="W274" s="75"/>
      <c r="X274" s="86" t="s">
        <v>1763</v>
      </c>
      <c r="Y274" s="86" t="s">
        <v>1767</v>
      </c>
      <c r="Z274" s="159" t="s">
        <v>1101</v>
      </c>
      <c r="AA274" s="131" t="s">
        <v>1205</v>
      </c>
    </row>
    <row r="275" spans="2:27" ht="99.75" hidden="1" customHeight="1">
      <c r="B275" s="77" t="s">
        <v>1755</v>
      </c>
      <c r="C275" s="84" t="s">
        <v>1756</v>
      </c>
      <c r="D275" s="84" t="s">
        <v>1757</v>
      </c>
      <c r="E275" s="195">
        <v>2</v>
      </c>
      <c r="F275" s="194" t="s">
        <v>1609</v>
      </c>
      <c r="G275" s="194" t="s">
        <v>1610</v>
      </c>
      <c r="H275" s="75" t="s">
        <v>779</v>
      </c>
      <c r="I275" s="76">
        <v>5</v>
      </c>
      <c r="J275" s="75" t="s">
        <v>693</v>
      </c>
      <c r="K275" s="76">
        <v>4</v>
      </c>
      <c r="L275" s="76"/>
      <c r="M275" s="159"/>
      <c r="N275" s="75"/>
      <c r="O275" s="76" t="s">
        <v>695</v>
      </c>
      <c r="P275" s="77"/>
      <c r="Q275" s="193"/>
      <c r="R275" s="193"/>
      <c r="S275" s="86" t="s">
        <v>1764</v>
      </c>
      <c r="T275" s="86" t="s">
        <v>1765</v>
      </c>
      <c r="U275" s="86" t="s">
        <v>1773</v>
      </c>
      <c r="V275" s="233" t="s">
        <v>1774</v>
      </c>
      <c r="W275" s="158"/>
      <c r="X275" s="86" t="s">
        <v>1763</v>
      </c>
      <c r="Y275" s="86" t="s">
        <v>1767</v>
      </c>
      <c r="Z275" s="194" t="s">
        <v>1775</v>
      </c>
      <c r="AA275" s="195" t="s">
        <v>1101</v>
      </c>
    </row>
    <row r="276" spans="2:27" ht="99.75" hidden="1" customHeight="1">
      <c r="B276" s="77" t="s">
        <v>1755</v>
      </c>
      <c r="C276" s="84" t="s">
        <v>1756</v>
      </c>
      <c r="D276" s="84" t="s">
        <v>1757</v>
      </c>
      <c r="E276" s="76">
        <v>2</v>
      </c>
      <c r="F276" s="240" t="s">
        <v>736</v>
      </c>
      <c r="G276" s="159" t="s">
        <v>737</v>
      </c>
      <c r="H276" s="75" t="s">
        <v>779</v>
      </c>
      <c r="I276" s="76">
        <v>6</v>
      </c>
      <c r="J276" s="75" t="s">
        <v>693</v>
      </c>
      <c r="K276" s="76">
        <v>4</v>
      </c>
      <c r="L276" s="76"/>
      <c r="M276" s="159" t="s">
        <v>739</v>
      </c>
      <c r="N276" s="75"/>
      <c r="O276" s="76"/>
      <c r="P276" s="87" t="s">
        <v>1082</v>
      </c>
      <c r="Q276" s="130" t="s">
        <v>842</v>
      </c>
      <c r="R276" s="86" t="s">
        <v>843</v>
      </c>
      <c r="S276" s="86" t="s">
        <v>1776</v>
      </c>
      <c r="T276" s="86" t="s">
        <v>1777</v>
      </c>
      <c r="U276" s="86" t="s">
        <v>824</v>
      </c>
      <c r="V276" s="233" t="s">
        <v>1778</v>
      </c>
      <c r="W276" s="75"/>
      <c r="X276" s="86" t="s">
        <v>1763</v>
      </c>
      <c r="Y276" s="86" t="s">
        <v>1767</v>
      </c>
      <c r="Z276" s="194" t="s">
        <v>1100</v>
      </c>
      <c r="AA276" s="131" t="s">
        <v>1101</v>
      </c>
    </row>
    <row r="277" spans="2:27" ht="99.75" hidden="1" customHeight="1">
      <c r="B277" s="77" t="s">
        <v>1755</v>
      </c>
      <c r="C277" s="84" t="s">
        <v>1756</v>
      </c>
      <c r="D277" s="84" t="s">
        <v>1757</v>
      </c>
      <c r="E277" s="195">
        <v>2</v>
      </c>
      <c r="F277" s="194" t="s">
        <v>1603</v>
      </c>
      <c r="G277" s="194" t="s">
        <v>1080</v>
      </c>
      <c r="H277" s="75" t="s">
        <v>779</v>
      </c>
      <c r="I277" s="76">
        <v>7</v>
      </c>
      <c r="J277" s="75" t="s">
        <v>693</v>
      </c>
      <c r="K277" s="76">
        <v>6</v>
      </c>
      <c r="L277" s="76"/>
      <c r="M277" s="159"/>
      <c r="N277" s="75"/>
      <c r="O277" s="76"/>
      <c r="P277" s="87" t="s">
        <v>1082</v>
      </c>
      <c r="Q277" s="193"/>
      <c r="R277" s="193"/>
      <c r="S277" s="86" t="s">
        <v>1764</v>
      </c>
      <c r="T277" s="86" t="s">
        <v>1765</v>
      </c>
      <c r="U277" s="86" t="s">
        <v>1779</v>
      </c>
      <c r="V277" s="233" t="s">
        <v>1780</v>
      </c>
      <c r="W277" s="158"/>
      <c r="X277" s="86" t="s">
        <v>1763</v>
      </c>
      <c r="Y277" s="86" t="s">
        <v>1767</v>
      </c>
      <c r="Z277" s="194" t="s">
        <v>1781</v>
      </c>
      <c r="AA277" s="195" t="s">
        <v>1101</v>
      </c>
    </row>
    <row r="278" spans="2:27" ht="99.75" hidden="1" customHeight="1">
      <c r="B278" s="77" t="s">
        <v>1755</v>
      </c>
      <c r="C278" s="84" t="s">
        <v>1756</v>
      </c>
      <c r="D278" s="84" t="s">
        <v>1757</v>
      </c>
      <c r="E278" s="76">
        <v>2</v>
      </c>
      <c r="F278" s="194" t="s">
        <v>766</v>
      </c>
      <c r="G278" s="194" t="s">
        <v>767</v>
      </c>
      <c r="H278" s="75"/>
      <c r="I278" s="76">
        <v>8</v>
      </c>
      <c r="J278" s="75" t="s">
        <v>693</v>
      </c>
      <c r="K278" s="76">
        <v>4</v>
      </c>
      <c r="L278" s="76"/>
      <c r="M278" s="159"/>
      <c r="N278" s="75"/>
      <c r="O278" s="76"/>
      <c r="P278" s="77"/>
      <c r="Q278" s="193" t="s">
        <v>1202</v>
      </c>
      <c r="R278" s="193" t="s">
        <v>1203</v>
      </c>
      <c r="S278" s="86" t="s">
        <v>1782</v>
      </c>
      <c r="T278" s="86" t="s">
        <v>1783</v>
      </c>
      <c r="U278" s="86" t="s">
        <v>1175</v>
      </c>
      <c r="V278" s="233" t="s">
        <v>1784</v>
      </c>
      <c r="W278" s="75"/>
      <c r="X278" s="86" t="s">
        <v>1763</v>
      </c>
      <c r="Y278" s="86" t="s">
        <v>1767</v>
      </c>
      <c r="Z278" s="194" t="s">
        <v>1100</v>
      </c>
      <c r="AA278" s="131" t="s">
        <v>1101</v>
      </c>
    </row>
    <row r="279" spans="2:27" ht="99.75" hidden="1" customHeight="1">
      <c r="B279" s="77" t="s">
        <v>1755</v>
      </c>
      <c r="C279" s="84" t="s">
        <v>1756</v>
      </c>
      <c r="D279" s="84" t="s">
        <v>1757</v>
      </c>
      <c r="E279" s="76">
        <v>2</v>
      </c>
      <c r="F279" s="75" t="s">
        <v>777</v>
      </c>
      <c r="G279" s="159" t="s">
        <v>778</v>
      </c>
      <c r="H279" s="75" t="s">
        <v>779</v>
      </c>
      <c r="I279" s="223">
        <v>9</v>
      </c>
      <c r="J279" s="75" t="s">
        <v>693</v>
      </c>
      <c r="K279" s="76">
        <v>4</v>
      </c>
      <c r="L279" s="76"/>
      <c r="M279" s="84" t="s">
        <v>780</v>
      </c>
      <c r="N279" s="75"/>
      <c r="O279" s="76"/>
      <c r="P279" s="86" t="s">
        <v>1785</v>
      </c>
      <c r="Q279" s="75" t="s">
        <v>752</v>
      </c>
      <c r="R279" s="75" t="s">
        <v>782</v>
      </c>
      <c r="S279" s="86" t="s">
        <v>1764</v>
      </c>
      <c r="T279" s="86" t="s">
        <v>1765</v>
      </c>
      <c r="U279" s="86" t="s">
        <v>1786</v>
      </c>
      <c r="V279" s="233" t="s">
        <v>1787</v>
      </c>
      <c r="W279" s="75"/>
      <c r="X279" s="86" t="s">
        <v>1763</v>
      </c>
      <c r="Y279" s="86" t="s">
        <v>1767</v>
      </c>
      <c r="Z279" s="86" t="s">
        <v>1788</v>
      </c>
      <c r="AA279" s="131" t="s">
        <v>1101</v>
      </c>
    </row>
    <row r="280" spans="2:27" ht="99.75" hidden="1" customHeight="1">
      <c r="B280" s="77" t="s">
        <v>1755</v>
      </c>
      <c r="C280" s="84" t="s">
        <v>1756</v>
      </c>
      <c r="D280" s="84" t="s">
        <v>1757</v>
      </c>
      <c r="E280" s="76">
        <v>2</v>
      </c>
      <c r="F280" s="84" t="s">
        <v>790</v>
      </c>
      <c r="G280" s="84" t="s">
        <v>791</v>
      </c>
      <c r="H280" s="75" t="s">
        <v>750</v>
      </c>
      <c r="I280" s="76">
        <v>10</v>
      </c>
      <c r="J280" s="75" t="s">
        <v>693</v>
      </c>
      <c r="K280" s="76">
        <v>10</v>
      </c>
      <c r="L280" s="76"/>
      <c r="M280" s="84" t="s">
        <v>792</v>
      </c>
      <c r="N280" s="75"/>
      <c r="O280" s="76"/>
      <c r="P280" s="87"/>
      <c r="Q280" s="75" t="s">
        <v>752</v>
      </c>
      <c r="R280" s="75" t="s">
        <v>793</v>
      </c>
      <c r="S280" s="86" t="s">
        <v>1764</v>
      </c>
      <c r="T280" s="86" t="s">
        <v>1765</v>
      </c>
      <c r="U280" s="86" t="s">
        <v>1789</v>
      </c>
      <c r="V280" s="233" t="s">
        <v>1790</v>
      </c>
      <c r="W280" s="75"/>
      <c r="X280" s="86" t="s">
        <v>1763</v>
      </c>
      <c r="Y280" s="86" t="s">
        <v>1767</v>
      </c>
      <c r="Z280" s="86" t="s">
        <v>1791</v>
      </c>
      <c r="AA280" s="131" t="s">
        <v>1101</v>
      </c>
    </row>
    <row r="281" spans="2:27" ht="69.75" hidden="1" customHeight="1">
      <c r="B281" s="77" t="s">
        <v>1755</v>
      </c>
      <c r="C281" s="84" t="s">
        <v>1756</v>
      </c>
      <c r="D281" s="84" t="s">
        <v>1757</v>
      </c>
      <c r="E281" s="76">
        <v>2</v>
      </c>
      <c r="F281" s="84" t="s">
        <v>748</v>
      </c>
      <c r="G281" s="84" t="s">
        <v>749</v>
      </c>
      <c r="H281" s="75" t="s">
        <v>750</v>
      </c>
      <c r="I281" s="223">
        <v>11</v>
      </c>
      <c r="J281" s="75" t="s">
        <v>693</v>
      </c>
      <c r="K281" s="76">
        <v>10</v>
      </c>
      <c r="L281" s="76"/>
      <c r="M281" s="84" t="s">
        <v>751</v>
      </c>
      <c r="N281" s="75"/>
      <c r="O281" s="76"/>
      <c r="P281" s="77"/>
      <c r="Q281" s="75" t="s">
        <v>752</v>
      </c>
      <c r="R281" s="75" t="s">
        <v>753</v>
      </c>
      <c r="S281" s="86" t="s">
        <v>1764</v>
      </c>
      <c r="T281" s="86" t="s">
        <v>1765</v>
      </c>
      <c r="U281" s="86" t="s">
        <v>1792</v>
      </c>
      <c r="V281" s="233" t="s">
        <v>1793</v>
      </c>
      <c r="W281" s="75"/>
      <c r="X281" s="86" t="s">
        <v>1763</v>
      </c>
      <c r="Y281" s="86" t="s">
        <v>1767</v>
      </c>
      <c r="Z281" s="86" t="s">
        <v>1794</v>
      </c>
      <c r="AA281" s="131" t="s">
        <v>1101</v>
      </c>
    </row>
    <row r="282" spans="2:27" ht="69.75" hidden="1" customHeight="1">
      <c r="B282" s="77" t="s">
        <v>1755</v>
      </c>
      <c r="C282" s="84" t="s">
        <v>1756</v>
      </c>
      <c r="D282" s="84" t="s">
        <v>1757</v>
      </c>
      <c r="E282" s="76">
        <v>2</v>
      </c>
      <c r="F282" s="75" t="s">
        <v>757</v>
      </c>
      <c r="G282" s="84" t="s">
        <v>758</v>
      </c>
      <c r="H282" s="75" t="s">
        <v>759</v>
      </c>
      <c r="I282" s="223">
        <v>12</v>
      </c>
      <c r="J282" s="75" t="s">
        <v>760</v>
      </c>
      <c r="K282" s="76">
        <v>23</v>
      </c>
      <c r="L282" s="76">
        <v>6</v>
      </c>
      <c r="M282" s="84" t="s">
        <v>761</v>
      </c>
      <c r="N282" s="75"/>
      <c r="O282" s="76" t="s">
        <v>695</v>
      </c>
      <c r="P282" s="77"/>
      <c r="Q282" s="75" t="s">
        <v>752</v>
      </c>
      <c r="R282" s="75" t="s">
        <v>762</v>
      </c>
      <c r="S282" s="86" t="s">
        <v>1764</v>
      </c>
      <c r="T282" s="86" t="s">
        <v>1765</v>
      </c>
      <c r="U282" s="86" t="s">
        <v>1795</v>
      </c>
      <c r="V282" s="233" t="s">
        <v>1796</v>
      </c>
      <c r="W282" s="75"/>
      <c r="X282" s="86" t="s">
        <v>1763</v>
      </c>
      <c r="Y282" s="86" t="s">
        <v>1767</v>
      </c>
      <c r="Z282" s="86" t="s">
        <v>1148</v>
      </c>
      <c r="AA282" s="131" t="s">
        <v>1101</v>
      </c>
    </row>
    <row r="283" spans="2:27" ht="69.75" hidden="1" customHeight="1">
      <c r="B283" s="77" t="s">
        <v>1755</v>
      </c>
      <c r="C283" s="84" t="s">
        <v>1756</v>
      </c>
      <c r="D283" s="84" t="s">
        <v>1757</v>
      </c>
      <c r="E283" s="76">
        <v>2</v>
      </c>
      <c r="F283" s="77" t="s">
        <v>797</v>
      </c>
      <c r="G283" s="77" t="s">
        <v>798</v>
      </c>
      <c r="H283" s="77" t="s">
        <v>799</v>
      </c>
      <c r="I283" s="223">
        <v>13</v>
      </c>
      <c r="J283" s="77" t="s">
        <v>693</v>
      </c>
      <c r="K283" s="76">
        <v>2</v>
      </c>
      <c r="L283" s="76"/>
      <c r="M283" s="86" t="s">
        <v>800</v>
      </c>
      <c r="N283" s="86"/>
      <c r="O283" s="76"/>
      <c r="P283" s="86" t="s">
        <v>1276</v>
      </c>
      <c r="Q283" s="87"/>
      <c r="R283" s="77"/>
      <c r="S283" s="86" t="s">
        <v>1764</v>
      </c>
      <c r="T283" s="86" t="s">
        <v>1765</v>
      </c>
      <c r="U283" s="86" t="s">
        <v>811</v>
      </c>
      <c r="V283" s="233" t="s">
        <v>1797</v>
      </c>
      <c r="W283" s="76"/>
      <c r="X283" s="86" t="s">
        <v>1763</v>
      </c>
      <c r="Y283" s="86" t="s">
        <v>1101</v>
      </c>
      <c r="Z283" s="86" t="s">
        <v>1101</v>
      </c>
      <c r="AA283" s="201" t="s">
        <v>1798</v>
      </c>
    </row>
    <row r="284" spans="2:27" ht="69.75" hidden="1" customHeight="1">
      <c r="B284" s="77" t="s">
        <v>1755</v>
      </c>
      <c r="C284" s="84" t="s">
        <v>1756</v>
      </c>
      <c r="D284" s="84" t="s">
        <v>1757</v>
      </c>
      <c r="E284" s="76">
        <v>2</v>
      </c>
      <c r="F284" s="84" t="s">
        <v>805</v>
      </c>
      <c r="G284" s="75" t="s">
        <v>806</v>
      </c>
      <c r="H284" s="75" t="s">
        <v>807</v>
      </c>
      <c r="I284" s="223">
        <v>14</v>
      </c>
      <c r="J284" s="75" t="s">
        <v>693</v>
      </c>
      <c r="K284" s="76">
        <v>10</v>
      </c>
      <c r="L284" s="76"/>
      <c r="M284" s="86" t="s">
        <v>808</v>
      </c>
      <c r="N284" s="75"/>
      <c r="O284" s="76" t="s">
        <v>695</v>
      </c>
      <c r="P284" s="77"/>
      <c r="Q284" s="75"/>
      <c r="R284" s="75"/>
      <c r="S284" s="86" t="s">
        <v>1764</v>
      </c>
      <c r="T284" s="86" t="s">
        <v>1765</v>
      </c>
      <c r="U284" s="86" t="s">
        <v>1513</v>
      </c>
      <c r="V284" s="233" t="s">
        <v>1799</v>
      </c>
      <c r="W284" s="75"/>
      <c r="X284" s="86" t="s">
        <v>1101</v>
      </c>
      <c r="Y284" s="86" t="s">
        <v>1101</v>
      </c>
      <c r="Z284" s="86" t="s">
        <v>1101</v>
      </c>
      <c r="AA284" s="131" t="s">
        <v>1101</v>
      </c>
    </row>
    <row r="285" spans="2:27" ht="69.75" hidden="1" customHeight="1">
      <c r="B285" s="77" t="s">
        <v>1755</v>
      </c>
      <c r="C285" s="84" t="s">
        <v>1756</v>
      </c>
      <c r="D285" s="84" t="s">
        <v>1757</v>
      </c>
      <c r="E285" s="76">
        <v>2</v>
      </c>
      <c r="F285" s="84" t="s">
        <v>812</v>
      </c>
      <c r="G285" s="75" t="s">
        <v>813</v>
      </c>
      <c r="H285" s="75" t="s">
        <v>814</v>
      </c>
      <c r="I285" s="223">
        <v>15</v>
      </c>
      <c r="J285" s="75" t="s">
        <v>815</v>
      </c>
      <c r="K285" s="76">
        <v>23</v>
      </c>
      <c r="L285" s="76"/>
      <c r="M285" s="86" t="s">
        <v>816</v>
      </c>
      <c r="N285" s="75"/>
      <c r="O285" s="76"/>
      <c r="P285" s="77"/>
      <c r="Q285" s="75"/>
      <c r="R285" s="75"/>
      <c r="S285" s="86" t="s">
        <v>1764</v>
      </c>
      <c r="T285" s="86" t="s">
        <v>1765</v>
      </c>
      <c r="U285" s="86" t="s">
        <v>811</v>
      </c>
      <c r="V285" s="233" t="s">
        <v>1800</v>
      </c>
      <c r="W285" s="75"/>
      <c r="X285" s="86" t="s">
        <v>1101</v>
      </c>
      <c r="Y285" s="86" t="s">
        <v>1101</v>
      </c>
      <c r="Z285" s="86" t="s">
        <v>1101</v>
      </c>
      <c r="AA285" s="131" t="s">
        <v>1101</v>
      </c>
    </row>
    <row r="286" spans="2:27" ht="409.5" hidden="1" customHeight="1">
      <c r="B286" s="84" t="s">
        <v>1801</v>
      </c>
      <c r="C286" s="84" t="s">
        <v>1802</v>
      </c>
      <c r="D286" s="84" t="s">
        <v>1803</v>
      </c>
      <c r="E286" s="131">
        <v>2</v>
      </c>
      <c r="F286" s="84" t="s">
        <v>690</v>
      </c>
      <c r="G286" s="84" t="s">
        <v>691</v>
      </c>
      <c r="H286" s="75" t="s">
        <v>872</v>
      </c>
      <c r="I286" s="76">
        <v>1</v>
      </c>
      <c r="J286" s="75" t="s">
        <v>693</v>
      </c>
      <c r="K286" s="76">
        <v>4</v>
      </c>
      <c r="L286" s="76"/>
      <c r="M286" s="86" t="s">
        <v>694</v>
      </c>
      <c r="N286" s="75"/>
      <c r="O286" s="76" t="s">
        <v>695</v>
      </c>
      <c r="P286" s="77"/>
      <c r="Q286" s="130" t="s">
        <v>820</v>
      </c>
      <c r="R286" s="133" t="s">
        <v>821</v>
      </c>
      <c r="S286" s="86" t="s">
        <v>1804</v>
      </c>
      <c r="T286" s="86" t="s">
        <v>1805</v>
      </c>
      <c r="U286" s="86" t="s">
        <v>1806</v>
      </c>
      <c r="V286" s="86" t="s">
        <v>1807</v>
      </c>
      <c r="W286" s="75"/>
      <c r="X286" s="196" t="s">
        <v>1808</v>
      </c>
      <c r="Y286" s="86" t="s">
        <v>1666</v>
      </c>
      <c r="Z286" s="86" t="s">
        <v>1666</v>
      </c>
      <c r="AA286" s="131" t="s">
        <v>1809</v>
      </c>
    </row>
    <row r="287" spans="2:27" ht="363.75" hidden="1" customHeight="1">
      <c r="B287" s="84" t="s">
        <v>1801</v>
      </c>
      <c r="C287" s="84" t="s">
        <v>1802</v>
      </c>
      <c r="D287" s="84" t="s">
        <v>1803</v>
      </c>
      <c r="E287" s="131">
        <v>2</v>
      </c>
      <c r="F287" s="84" t="s">
        <v>705</v>
      </c>
      <c r="G287" s="84" t="s">
        <v>706</v>
      </c>
      <c r="H287" s="75" t="s">
        <v>872</v>
      </c>
      <c r="I287" s="76">
        <v>2</v>
      </c>
      <c r="J287" s="75" t="s">
        <v>693</v>
      </c>
      <c r="K287" s="76">
        <v>30</v>
      </c>
      <c r="L287" s="76"/>
      <c r="M287" s="86" t="s">
        <v>707</v>
      </c>
      <c r="N287" s="75"/>
      <c r="O287" s="76" t="s">
        <v>695</v>
      </c>
      <c r="P287" s="77"/>
      <c r="Q287" s="130" t="s">
        <v>820</v>
      </c>
      <c r="R287" s="133" t="s">
        <v>821</v>
      </c>
      <c r="S287" s="86" t="s">
        <v>1810</v>
      </c>
      <c r="T287" s="86" t="s">
        <v>1811</v>
      </c>
      <c r="U287" s="86" t="s">
        <v>1812</v>
      </c>
      <c r="V287" s="86" t="s">
        <v>1813</v>
      </c>
      <c r="W287" s="75"/>
      <c r="X287" s="196" t="s">
        <v>1808</v>
      </c>
      <c r="Y287" s="84" t="s">
        <v>1814</v>
      </c>
      <c r="Z287" s="84" t="s">
        <v>1815</v>
      </c>
      <c r="AA287" s="131" t="s">
        <v>1666</v>
      </c>
    </row>
    <row r="288" spans="2:27" ht="363" hidden="1" customHeight="1">
      <c r="B288" s="84" t="s">
        <v>1801</v>
      </c>
      <c r="C288" s="84" t="s">
        <v>1802</v>
      </c>
      <c r="D288" s="84" t="s">
        <v>1803</v>
      </c>
      <c r="E288" s="131">
        <v>2</v>
      </c>
      <c r="F288" s="84" t="s">
        <v>715</v>
      </c>
      <c r="G288" s="84" t="s">
        <v>716</v>
      </c>
      <c r="H288" s="75" t="s">
        <v>893</v>
      </c>
      <c r="I288" s="76">
        <v>3</v>
      </c>
      <c r="J288" s="75" t="s">
        <v>718</v>
      </c>
      <c r="K288" s="76"/>
      <c r="L288" s="76"/>
      <c r="M288" s="84" t="s">
        <v>1816</v>
      </c>
      <c r="N288" s="75"/>
      <c r="O288" s="76" t="s">
        <v>695</v>
      </c>
      <c r="P288" s="77"/>
      <c r="Q288" s="133" t="s">
        <v>720</v>
      </c>
      <c r="R288" s="133" t="s">
        <v>721</v>
      </c>
      <c r="S288" s="86" t="s">
        <v>1810</v>
      </c>
      <c r="T288" s="86" t="s">
        <v>1811</v>
      </c>
      <c r="U288" s="86" t="s">
        <v>1817</v>
      </c>
      <c r="V288" s="86" t="s">
        <v>1818</v>
      </c>
      <c r="W288" s="75"/>
      <c r="X288" s="196" t="s">
        <v>1808</v>
      </c>
      <c r="Y288" s="84" t="s">
        <v>1814</v>
      </c>
      <c r="Z288" s="84" t="s">
        <v>1819</v>
      </c>
      <c r="AA288" s="131" t="s">
        <v>1666</v>
      </c>
    </row>
    <row r="289" spans="2:27" ht="303.75" hidden="1" customHeight="1">
      <c r="B289" s="84" t="s">
        <v>1801</v>
      </c>
      <c r="C289" s="84" t="s">
        <v>1802</v>
      </c>
      <c r="D289" s="84" t="s">
        <v>1803</v>
      </c>
      <c r="E289" s="131">
        <v>2</v>
      </c>
      <c r="F289" s="84" t="s">
        <v>728</v>
      </c>
      <c r="G289" s="84" t="s">
        <v>729</v>
      </c>
      <c r="H289" s="75" t="s">
        <v>893</v>
      </c>
      <c r="I289" s="76">
        <v>4</v>
      </c>
      <c r="J289" s="75" t="s">
        <v>718</v>
      </c>
      <c r="K289" s="76"/>
      <c r="L289" s="76"/>
      <c r="M289" s="84" t="s">
        <v>1820</v>
      </c>
      <c r="N289" s="75"/>
      <c r="O289" s="76" t="s">
        <v>695</v>
      </c>
      <c r="P289" s="77"/>
      <c r="Q289" s="133" t="s">
        <v>720</v>
      </c>
      <c r="R289" s="133" t="s">
        <v>721</v>
      </c>
      <c r="S289" s="86" t="s">
        <v>1810</v>
      </c>
      <c r="T289" s="86" t="s">
        <v>1811</v>
      </c>
      <c r="U289" s="86" t="s">
        <v>1821</v>
      </c>
      <c r="V289" s="86" t="s">
        <v>1822</v>
      </c>
      <c r="W289" s="75"/>
      <c r="X289" s="196" t="s">
        <v>1808</v>
      </c>
      <c r="Y289" s="84" t="s">
        <v>1814</v>
      </c>
      <c r="Z289" s="84" t="s">
        <v>1823</v>
      </c>
      <c r="AA289" s="131" t="s">
        <v>1824</v>
      </c>
    </row>
    <row r="290" spans="2:27" ht="408.75" hidden="1" customHeight="1">
      <c r="B290" s="84" t="s">
        <v>1801</v>
      </c>
      <c r="C290" s="84" t="s">
        <v>1802</v>
      </c>
      <c r="D290" s="84" t="s">
        <v>1803</v>
      </c>
      <c r="E290" s="131">
        <v>2</v>
      </c>
      <c r="F290" s="159" t="s">
        <v>736</v>
      </c>
      <c r="G290" s="159" t="s">
        <v>737</v>
      </c>
      <c r="H290" s="75" t="s">
        <v>779</v>
      </c>
      <c r="I290" s="76">
        <v>5</v>
      </c>
      <c r="J290" s="75" t="s">
        <v>693</v>
      </c>
      <c r="K290" s="76">
        <v>20</v>
      </c>
      <c r="L290" s="76"/>
      <c r="M290" s="159" t="s">
        <v>739</v>
      </c>
      <c r="N290" s="75"/>
      <c r="O290" s="76"/>
      <c r="P290" s="87" t="s">
        <v>1825</v>
      </c>
      <c r="Q290" s="130" t="s">
        <v>842</v>
      </c>
      <c r="R290" s="133" t="s">
        <v>843</v>
      </c>
      <c r="S290" s="86" t="s">
        <v>1826</v>
      </c>
      <c r="T290" s="86" t="s">
        <v>1827</v>
      </c>
      <c r="U290" s="130" t="s">
        <v>1828</v>
      </c>
      <c r="V290" s="87" t="s">
        <v>1829</v>
      </c>
      <c r="W290" s="75"/>
      <c r="X290" s="196" t="s">
        <v>1808</v>
      </c>
      <c r="Y290" s="84" t="s">
        <v>1814</v>
      </c>
      <c r="Z290" s="196" t="s">
        <v>1830</v>
      </c>
      <c r="AA290" s="131" t="s">
        <v>1666</v>
      </c>
    </row>
    <row r="291" spans="2:27" ht="277.5" hidden="1" customHeight="1">
      <c r="B291" s="84" t="s">
        <v>1801</v>
      </c>
      <c r="C291" s="84" t="s">
        <v>1802</v>
      </c>
      <c r="D291" s="84" t="s">
        <v>1803</v>
      </c>
      <c r="E291" s="131">
        <v>2</v>
      </c>
      <c r="F291" s="84" t="s">
        <v>748</v>
      </c>
      <c r="G291" s="84" t="s">
        <v>749</v>
      </c>
      <c r="H291" s="75" t="s">
        <v>750</v>
      </c>
      <c r="I291" s="76">
        <v>6</v>
      </c>
      <c r="J291" s="75" t="s">
        <v>693</v>
      </c>
      <c r="K291" s="76">
        <v>10</v>
      </c>
      <c r="L291" s="76"/>
      <c r="M291" s="84" t="s">
        <v>751</v>
      </c>
      <c r="N291" s="75"/>
      <c r="O291" s="76"/>
      <c r="P291" s="77"/>
      <c r="Q291" s="75" t="s">
        <v>752</v>
      </c>
      <c r="R291" s="75" t="s">
        <v>753</v>
      </c>
      <c r="S291" s="86" t="s">
        <v>1810</v>
      </c>
      <c r="T291" s="86" t="s">
        <v>1811</v>
      </c>
      <c r="U291" s="263" t="s">
        <v>1831</v>
      </c>
      <c r="V291" s="263" t="s">
        <v>1832</v>
      </c>
      <c r="W291" s="75"/>
      <c r="X291" s="196" t="s">
        <v>1808</v>
      </c>
      <c r="Y291" s="196" t="s">
        <v>1833</v>
      </c>
      <c r="Z291" s="84" t="s">
        <v>1834</v>
      </c>
      <c r="AA291" s="131" t="s">
        <v>1666</v>
      </c>
    </row>
    <row r="292" spans="2:27" ht="249" hidden="1" customHeight="1">
      <c r="B292" s="84" t="s">
        <v>1801</v>
      </c>
      <c r="C292" s="84" t="s">
        <v>1802</v>
      </c>
      <c r="D292" s="84" t="s">
        <v>1803</v>
      </c>
      <c r="E292" s="131">
        <v>2</v>
      </c>
      <c r="F292" s="84" t="s">
        <v>757</v>
      </c>
      <c r="G292" s="84" t="s">
        <v>758</v>
      </c>
      <c r="H292" s="75" t="s">
        <v>759</v>
      </c>
      <c r="I292" s="76">
        <v>7</v>
      </c>
      <c r="J292" s="75" t="s">
        <v>760</v>
      </c>
      <c r="K292" s="76">
        <v>23</v>
      </c>
      <c r="L292" s="76">
        <v>6</v>
      </c>
      <c r="M292" s="84" t="s">
        <v>761</v>
      </c>
      <c r="N292" s="75"/>
      <c r="O292" s="76"/>
      <c r="P292" s="77"/>
      <c r="Q292" s="133" t="s">
        <v>752</v>
      </c>
      <c r="R292" s="133" t="s">
        <v>762</v>
      </c>
      <c r="S292" s="86" t="s">
        <v>1810</v>
      </c>
      <c r="T292" s="86" t="s">
        <v>1811</v>
      </c>
      <c r="U292" s="86" t="s">
        <v>1835</v>
      </c>
      <c r="V292" s="86" t="s">
        <v>1836</v>
      </c>
      <c r="W292" s="75"/>
      <c r="X292" s="196" t="s">
        <v>1808</v>
      </c>
      <c r="Y292" s="196" t="s">
        <v>1833</v>
      </c>
      <c r="Z292" s="196" t="s">
        <v>1837</v>
      </c>
      <c r="AA292" s="131" t="s">
        <v>1666</v>
      </c>
    </row>
    <row r="293" spans="2:27" ht="338.25" hidden="1" customHeight="1">
      <c r="B293" s="84" t="s">
        <v>1801</v>
      </c>
      <c r="C293" s="84" t="s">
        <v>1802</v>
      </c>
      <c r="D293" s="84" t="s">
        <v>1803</v>
      </c>
      <c r="E293" s="131">
        <v>2</v>
      </c>
      <c r="F293" s="194" t="s">
        <v>766</v>
      </c>
      <c r="G293" s="194" t="s">
        <v>767</v>
      </c>
      <c r="H293" s="75" t="s">
        <v>768</v>
      </c>
      <c r="I293" s="76">
        <v>8</v>
      </c>
      <c r="J293" s="75" t="s">
        <v>693</v>
      </c>
      <c r="K293" s="76">
        <v>4</v>
      </c>
      <c r="L293" s="76"/>
      <c r="M293" s="159" t="s">
        <v>769</v>
      </c>
      <c r="N293" s="75"/>
      <c r="O293" s="76"/>
      <c r="P293" s="77"/>
      <c r="Q293" s="193"/>
      <c r="R293" s="193"/>
      <c r="S293" s="86" t="s">
        <v>1804</v>
      </c>
      <c r="T293" s="86" t="s">
        <v>1838</v>
      </c>
      <c r="U293" s="130" t="s">
        <v>1806</v>
      </c>
      <c r="V293" s="130" t="s">
        <v>1839</v>
      </c>
      <c r="W293" s="75"/>
      <c r="X293" s="196" t="s">
        <v>1808</v>
      </c>
      <c r="Y293" s="84" t="s">
        <v>1814</v>
      </c>
      <c r="Z293" s="196" t="s">
        <v>1830</v>
      </c>
      <c r="AA293" s="131" t="s">
        <v>1666</v>
      </c>
    </row>
    <row r="294" spans="2:27" ht="378" hidden="1" customHeight="1">
      <c r="B294" s="84" t="s">
        <v>1801</v>
      </c>
      <c r="C294" s="84" t="s">
        <v>1802</v>
      </c>
      <c r="D294" s="84" t="s">
        <v>1803</v>
      </c>
      <c r="E294" s="131">
        <v>2</v>
      </c>
      <c r="F294" s="84" t="s">
        <v>777</v>
      </c>
      <c r="G294" s="159" t="s">
        <v>778</v>
      </c>
      <c r="H294" s="75" t="s">
        <v>779</v>
      </c>
      <c r="I294" s="76">
        <v>9</v>
      </c>
      <c r="J294" s="75" t="s">
        <v>693</v>
      </c>
      <c r="K294" s="76">
        <v>3</v>
      </c>
      <c r="L294" s="76"/>
      <c r="M294" s="84" t="s">
        <v>780</v>
      </c>
      <c r="N294" s="75"/>
      <c r="O294" s="76"/>
      <c r="P294" s="87" t="s">
        <v>1840</v>
      </c>
      <c r="Q294" s="130" t="s">
        <v>752</v>
      </c>
      <c r="R294" s="133" t="s">
        <v>782</v>
      </c>
      <c r="S294" s="86" t="s">
        <v>1810</v>
      </c>
      <c r="T294" s="86" t="s">
        <v>1811</v>
      </c>
      <c r="U294" s="86" t="s">
        <v>1841</v>
      </c>
      <c r="V294" s="86" t="s">
        <v>1842</v>
      </c>
      <c r="W294" s="75"/>
      <c r="X294" s="196" t="s">
        <v>1808</v>
      </c>
      <c r="Y294" s="196" t="s">
        <v>1833</v>
      </c>
      <c r="Z294" s="196" t="s">
        <v>1843</v>
      </c>
      <c r="AA294" s="131" t="s">
        <v>1666</v>
      </c>
    </row>
    <row r="295" spans="2:27" ht="316.5" hidden="1" customHeight="1">
      <c r="B295" s="84" t="s">
        <v>1801</v>
      </c>
      <c r="C295" s="84" t="s">
        <v>1802</v>
      </c>
      <c r="D295" s="84" t="s">
        <v>1803</v>
      </c>
      <c r="E295" s="131">
        <v>2</v>
      </c>
      <c r="F295" s="84" t="s">
        <v>1844</v>
      </c>
      <c r="G295" s="84" t="s">
        <v>1845</v>
      </c>
      <c r="H295" s="75" t="s">
        <v>750</v>
      </c>
      <c r="I295" s="76">
        <v>10</v>
      </c>
      <c r="J295" s="75" t="s">
        <v>693</v>
      </c>
      <c r="K295" s="76">
        <v>10</v>
      </c>
      <c r="L295" s="76"/>
      <c r="M295" s="84" t="s">
        <v>1846</v>
      </c>
      <c r="N295" s="75"/>
      <c r="O295" s="76"/>
      <c r="P295" s="77"/>
      <c r="Q295" s="75" t="s">
        <v>752</v>
      </c>
      <c r="R295" s="75" t="s">
        <v>793</v>
      </c>
      <c r="S295" s="86" t="s">
        <v>1810</v>
      </c>
      <c r="T295" s="86" t="s">
        <v>1811</v>
      </c>
      <c r="U295" s="86" t="s">
        <v>1847</v>
      </c>
      <c r="V295" s="173" t="s">
        <v>1848</v>
      </c>
      <c r="W295" s="75"/>
      <c r="X295" s="196" t="s">
        <v>1808</v>
      </c>
      <c r="Y295" s="196" t="s">
        <v>1833</v>
      </c>
      <c r="Z295" s="161" t="s">
        <v>1849</v>
      </c>
      <c r="AA295" s="131" t="s">
        <v>1666</v>
      </c>
    </row>
    <row r="296" spans="2:27" ht="268.5" hidden="1" customHeight="1">
      <c r="B296" s="84" t="s">
        <v>1801</v>
      </c>
      <c r="C296" s="84" t="s">
        <v>1802</v>
      </c>
      <c r="D296" s="84" t="s">
        <v>1803</v>
      </c>
      <c r="E296" s="131">
        <v>2</v>
      </c>
      <c r="F296" s="84" t="s">
        <v>1850</v>
      </c>
      <c r="G296" s="84" t="s">
        <v>1851</v>
      </c>
      <c r="H296" s="75" t="s">
        <v>750</v>
      </c>
      <c r="I296" s="76">
        <v>11</v>
      </c>
      <c r="J296" s="75" t="s">
        <v>693</v>
      </c>
      <c r="K296" s="76">
        <v>10</v>
      </c>
      <c r="L296" s="76"/>
      <c r="M296" s="84" t="s">
        <v>1852</v>
      </c>
      <c r="N296" s="75"/>
      <c r="O296" s="76"/>
      <c r="P296" s="77"/>
      <c r="Q296" s="75"/>
      <c r="R296" s="75"/>
      <c r="S296" s="86" t="s">
        <v>1810</v>
      </c>
      <c r="T296" s="86" t="s">
        <v>1811</v>
      </c>
      <c r="U296" s="86" t="s">
        <v>1853</v>
      </c>
      <c r="V296" s="86" t="s">
        <v>1854</v>
      </c>
      <c r="W296" s="75"/>
      <c r="X296" s="196" t="s">
        <v>1808</v>
      </c>
      <c r="Y296" s="196" t="s">
        <v>1833</v>
      </c>
      <c r="Z296" s="161" t="s">
        <v>1855</v>
      </c>
      <c r="AA296" s="131" t="s">
        <v>1856</v>
      </c>
    </row>
    <row r="297" spans="2:27" ht="274.5" hidden="1" customHeight="1">
      <c r="B297" s="84" t="s">
        <v>1801</v>
      </c>
      <c r="C297" s="84" t="s">
        <v>1802</v>
      </c>
      <c r="D297" s="84" t="s">
        <v>1803</v>
      </c>
      <c r="E297" s="131">
        <v>2</v>
      </c>
      <c r="F297" s="77" t="s">
        <v>797</v>
      </c>
      <c r="G297" s="77" t="s">
        <v>798</v>
      </c>
      <c r="H297" s="75" t="s">
        <v>799</v>
      </c>
      <c r="I297" s="76">
        <v>12</v>
      </c>
      <c r="J297" s="75" t="s">
        <v>693</v>
      </c>
      <c r="K297" s="76">
        <v>20</v>
      </c>
      <c r="L297" s="76"/>
      <c r="M297" s="86" t="s">
        <v>800</v>
      </c>
      <c r="N297" s="75"/>
      <c r="O297" s="76"/>
      <c r="P297" s="87" t="s">
        <v>1857</v>
      </c>
      <c r="Q297" s="133"/>
      <c r="R297" s="133"/>
      <c r="S297" s="86" t="s">
        <v>1810</v>
      </c>
      <c r="T297" s="86" t="s">
        <v>1811</v>
      </c>
      <c r="U297" s="86" t="s">
        <v>1821</v>
      </c>
      <c r="V297" s="86" t="s">
        <v>1858</v>
      </c>
      <c r="W297" s="75"/>
      <c r="X297" s="196" t="s">
        <v>1808</v>
      </c>
      <c r="Y297" s="196" t="s">
        <v>1833</v>
      </c>
      <c r="Z297" s="84" t="s">
        <v>1666</v>
      </c>
      <c r="AA297" s="131" t="s">
        <v>1859</v>
      </c>
    </row>
    <row r="298" spans="2:27" ht="273" hidden="1" customHeight="1">
      <c r="B298" s="84" t="s">
        <v>1801</v>
      </c>
      <c r="C298" s="84" t="s">
        <v>1802</v>
      </c>
      <c r="D298" s="84" t="s">
        <v>1803</v>
      </c>
      <c r="E298" s="131">
        <v>2</v>
      </c>
      <c r="F298" s="84" t="s">
        <v>805</v>
      </c>
      <c r="G298" s="84" t="s">
        <v>806</v>
      </c>
      <c r="H298" s="75" t="s">
        <v>807</v>
      </c>
      <c r="I298" s="76">
        <v>13</v>
      </c>
      <c r="J298" s="75" t="s">
        <v>693</v>
      </c>
      <c r="K298" s="76">
        <v>10</v>
      </c>
      <c r="L298" s="76"/>
      <c r="M298" s="86" t="s">
        <v>808</v>
      </c>
      <c r="N298" s="75"/>
      <c r="O298" s="76" t="s">
        <v>695</v>
      </c>
      <c r="P298" s="77"/>
      <c r="Q298" s="133"/>
      <c r="R298" s="133"/>
      <c r="S298" s="86" t="s">
        <v>1810</v>
      </c>
      <c r="T298" s="86" t="s">
        <v>1811</v>
      </c>
      <c r="U298" s="86" t="s">
        <v>1860</v>
      </c>
      <c r="V298" s="86" t="s">
        <v>1861</v>
      </c>
      <c r="W298" s="75"/>
      <c r="X298" s="196" t="s">
        <v>1666</v>
      </c>
      <c r="Y298" s="196" t="s">
        <v>1666</v>
      </c>
      <c r="Z298" s="196" t="s">
        <v>1666</v>
      </c>
      <c r="AA298" s="131" t="s">
        <v>1666</v>
      </c>
    </row>
    <row r="299" spans="2:27" ht="215.25" hidden="1" customHeight="1">
      <c r="B299" s="84" t="s">
        <v>1801</v>
      </c>
      <c r="C299" s="84" t="s">
        <v>1802</v>
      </c>
      <c r="D299" s="84" t="s">
        <v>1803</v>
      </c>
      <c r="E299" s="131">
        <v>2</v>
      </c>
      <c r="F299" s="84" t="s">
        <v>812</v>
      </c>
      <c r="G299" s="84" t="s">
        <v>813</v>
      </c>
      <c r="H299" s="75" t="s">
        <v>814</v>
      </c>
      <c r="I299" s="76">
        <v>14</v>
      </c>
      <c r="J299" s="75" t="s">
        <v>815</v>
      </c>
      <c r="K299" s="76">
        <v>23</v>
      </c>
      <c r="L299" s="76"/>
      <c r="M299" s="86" t="s">
        <v>816</v>
      </c>
      <c r="N299" s="75"/>
      <c r="O299" s="76"/>
      <c r="P299" s="77"/>
      <c r="Q299" s="133"/>
      <c r="R299" s="133"/>
      <c r="S299" s="86" t="s">
        <v>1810</v>
      </c>
      <c r="T299" s="86" t="s">
        <v>1811</v>
      </c>
      <c r="U299" s="86" t="s">
        <v>1821</v>
      </c>
      <c r="V299" s="86" t="s">
        <v>1862</v>
      </c>
      <c r="W299" s="75"/>
      <c r="X299" s="196" t="s">
        <v>1666</v>
      </c>
      <c r="Y299" s="196" t="s">
        <v>1666</v>
      </c>
      <c r="Z299" s="196" t="s">
        <v>1666</v>
      </c>
      <c r="AA299" s="131" t="s">
        <v>1666</v>
      </c>
    </row>
    <row r="300" spans="2:27" ht="69.75" hidden="1" customHeight="1">
      <c r="B300" s="243" t="s">
        <v>1863</v>
      </c>
      <c r="C300" s="243" t="s">
        <v>1864</v>
      </c>
      <c r="D300" s="243" t="s">
        <v>1865</v>
      </c>
      <c r="E300" s="244">
        <v>0</v>
      </c>
      <c r="F300" s="243" t="s">
        <v>690</v>
      </c>
      <c r="G300" s="243" t="s">
        <v>691</v>
      </c>
      <c r="H300" s="246" t="s">
        <v>872</v>
      </c>
      <c r="I300" s="247">
        <v>1</v>
      </c>
      <c r="J300" s="246" t="s">
        <v>693</v>
      </c>
      <c r="K300" s="247">
        <v>4</v>
      </c>
      <c r="L300" s="247"/>
      <c r="M300" s="251" t="s">
        <v>694</v>
      </c>
      <c r="N300" s="246"/>
      <c r="O300" s="247" t="s">
        <v>695</v>
      </c>
      <c r="P300" s="248"/>
      <c r="Q300" s="249"/>
      <c r="R300" s="249"/>
      <c r="S300" s="246"/>
      <c r="T300" s="246"/>
      <c r="U300" s="246"/>
      <c r="V300" s="246"/>
      <c r="W300" s="246"/>
      <c r="X300" s="250" t="s">
        <v>1101</v>
      </c>
      <c r="Y300" s="243" t="s">
        <v>1101</v>
      </c>
      <c r="Z300" s="243" t="s">
        <v>1101</v>
      </c>
      <c r="AA300" s="244" t="s">
        <v>1101</v>
      </c>
    </row>
    <row r="301" spans="2:27" ht="69.75" hidden="1" customHeight="1">
      <c r="B301" s="243" t="s">
        <v>1863</v>
      </c>
      <c r="C301" s="243" t="s">
        <v>1864</v>
      </c>
      <c r="D301" s="243" t="s">
        <v>1865</v>
      </c>
      <c r="E301" s="244">
        <v>0</v>
      </c>
      <c r="F301" s="243" t="s">
        <v>705</v>
      </c>
      <c r="G301" s="243" t="s">
        <v>706</v>
      </c>
      <c r="H301" s="246" t="s">
        <v>872</v>
      </c>
      <c r="I301" s="247">
        <v>2</v>
      </c>
      <c r="J301" s="246" t="s">
        <v>693</v>
      </c>
      <c r="K301" s="247">
        <v>30</v>
      </c>
      <c r="L301" s="247"/>
      <c r="M301" s="251" t="s">
        <v>707</v>
      </c>
      <c r="N301" s="246"/>
      <c r="O301" s="247" t="s">
        <v>695</v>
      </c>
      <c r="P301" s="248"/>
      <c r="Q301" s="249"/>
      <c r="R301" s="249"/>
      <c r="S301" s="246"/>
      <c r="T301" s="246"/>
      <c r="U301" s="246"/>
      <c r="V301" s="246"/>
      <c r="W301" s="246"/>
      <c r="X301" s="250" t="s">
        <v>1101</v>
      </c>
      <c r="Y301" s="243" t="s">
        <v>1101</v>
      </c>
      <c r="Z301" s="243" t="s">
        <v>1101</v>
      </c>
      <c r="AA301" s="244" t="s">
        <v>1101</v>
      </c>
    </row>
    <row r="302" spans="2:27" ht="69.75" hidden="1" customHeight="1">
      <c r="B302" s="243" t="s">
        <v>1863</v>
      </c>
      <c r="C302" s="243" t="s">
        <v>1864</v>
      </c>
      <c r="D302" s="243" t="s">
        <v>1865</v>
      </c>
      <c r="E302" s="244">
        <v>0</v>
      </c>
      <c r="F302" s="243" t="s">
        <v>736</v>
      </c>
      <c r="G302" s="245" t="s">
        <v>737</v>
      </c>
      <c r="H302" s="246" t="s">
        <v>779</v>
      </c>
      <c r="I302" s="247">
        <v>3</v>
      </c>
      <c r="J302" s="246" t="s">
        <v>693</v>
      </c>
      <c r="K302" s="247">
        <v>20</v>
      </c>
      <c r="L302" s="247"/>
      <c r="M302" s="245" t="s">
        <v>739</v>
      </c>
      <c r="N302" s="246"/>
      <c r="O302" s="247" t="s">
        <v>695</v>
      </c>
      <c r="P302" s="248"/>
      <c r="Q302" s="249"/>
      <c r="R302" s="249"/>
      <c r="S302" s="246"/>
      <c r="T302" s="246"/>
      <c r="U302" s="246"/>
      <c r="V302" s="246"/>
      <c r="W302" s="246"/>
      <c r="X302" s="250" t="s">
        <v>1101</v>
      </c>
      <c r="Y302" s="243" t="s">
        <v>1101</v>
      </c>
      <c r="Z302" s="243" t="s">
        <v>1101</v>
      </c>
      <c r="AA302" s="244" t="s">
        <v>1101</v>
      </c>
    </row>
    <row r="303" spans="2:27" ht="69.75" hidden="1" customHeight="1">
      <c r="B303" s="243" t="s">
        <v>1863</v>
      </c>
      <c r="C303" s="243" t="s">
        <v>1864</v>
      </c>
      <c r="D303" s="243" t="s">
        <v>1865</v>
      </c>
      <c r="E303" s="244">
        <v>0</v>
      </c>
      <c r="F303" s="243" t="s">
        <v>715</v>
      </c>
      <c r="G303" s="243" t="s">
        <v>716</v>
      </c>
      <c r="H303" s="246" t="s">
        <v>893</v>
      </c>
      <c r="I303" s="247">
        <v>4</v>
      </c>
      <c r="J303" s="246" t="s">
        <v>1139</v>
      </c>
      <c r="K303" s="247"/>
      <c r="L303" s="247"/>
      <c r="M303" s="251" t="s">
        <v>1866</v>
      </c>
      <c r="N303" s="246"/>
      <c r="O303" s="247" t="s">
        <v>695</v>
      </c>
      <c r="P303" s="248"/>
      <c r="Q303" s="249"/>
      <c r="R303" s="249"/>
      <c r="S303" s="246"/>
      <c r="T303" s="246"/>
      <c r="U303" s="246"/>
      <c r="V303" s="246"/>
      <c r="W303" s="246"/>
      <c r="X303" s="250" t="s">
        <v>1101</v>
      </c>
      <c r="Y303" s="243" t="s">
        <v>1101</v>
      </c>
      <c r="Z303" s="243" t="s">
        <v>1101</v>
      </c>
      <c r="AA303" s="244" t="s">
        <v>1101</v>
      </c>
    </row>
    <row r="304" spans="2:27" ht="69.75" hidden="1" customHeight="1">
      <c r="B304" s="243" t="s">
        <v>1863</v>
      </c>
      <c r="C304" s="243" t="s">
        <v>1864</v>
      </c>
      <c r="D304" s="243" t="s">
        <v>1865</v>
      </c>
      <c r="E304" s="244">
        <v>0</v>
      </c>
      <c r="F304" s="243" t="s">
        <v>728</v>
      </c>
      <c r="G304" s="243" t="s">
        <v>729</v>
      </c>
      <c r="H304" s="246" t="s">
        <v>893</v>
      </c>
      <c r="I304" s="247">
        <v>5</v>
      </c>
      <c r="J304" s="246" t="s">
        <v>718</v>
      </c>
      <c r="K304" s="247"/>
      <c r="L304" s="247"/>
      <c r="M304" s="251" t="s">
        <v>1867</v>
      </c>
      <c r="N304" s="246"/>
      <c r="O304" s="247" t="s">
        <v>695</v>
      </c>
      <c r="P304" s="248"/>
      <c r="Q304" s="249"/>
      <c r="R304" s="249"/>
      <c r="S304" s="246"/>
      <c r="T304" s="246"/>
      <c r="U304" s="246"/>
      <c r="V304" s="246"/>
      <c r="W304" s="246"/>
      <c r="X304" s="250" t="s">
        <v>1101</v>
      </c>
      <c r="Y304" s="243" t="s">
        <v>1101</v>
      </c>
      <c r="Z304" s="243" t="s">
        <v>1101</v>
      </c>
      <c r="AA304" s="244" t="s">
        <v>1101</v>
      </c>
    </row>
    <row r="305" spans="2:27" ht="69.75" hidden="1" customHeight="1">
      <c r="B305" s="243" t="s">
        <v>1863</v>
      </c>
      <c r="C305" s="243" t="s">
        <v>1864</v>
      </c>
      <c r="D305" s="243" t="s">
        <v>1865</v>
      </c>
      <c r="E305" s="244">
        <v>0</v>
      </c>
      <c r="F305" s="243" t="s">
        <v>1868</v>
      </c>
      <c r="G305" s="243" t="s">
        <v>1869</v>
      </c>
      <c r="H305" s="246" t="s">
        <v>1870</v>
      </c>
      <c r="I305" s="247">
        <v>6</v>
      </c>
      <c r="J305" s="246" t="s">
        <v>693</v>
      </c>
      <c r="K305" s="247">
        <v>4</v>
      </c>
      <c r="L305" s="247"/>
      <c r="M305" s="251" t="s">
        <v>1871</v>
      </c>
      <c r="N305" s="246" t="s">
        <v>1872</v>
      </c>
      <c r="O305" s="247"/>
      <c r="P305" s="248"/>
      <c r="Q305" s="249"/>
      <c r="R305" s="249"/>
      <c r="S305" s="246"/>
      <c r="T305" s="246"/>
      <c r="U305" s="246"/>
      <c r="V305" s="246"/>
      <c r="W305" s="246"/>
      <c r="X305" s="250" t="s">
        <v>1101</v>
      </c>
      <c r="Y305" s="243" t="s">
        <v>1101</v>
      </c>
      <c r="Z305" s="243" t="s">
        <v>1101</v>
      </c>
      <c r="AA305" s="244" t="s">
        <v>1101</v>
      </c>
    </row>
    <row r="306" spans="2:27" ht="69.75" hidden="1" customHeight="1">
      <c r="B306" s="243" t="s">
        <v>1863</v>
      </c>
      <c r="C306" s="243" t="s">
        <v>1864</v>
      </c>
      <c r="D306" s="243" t="s">
        <v>1865</v>
      </c>
      <c r="E306" s="244">
        <v>0</v>
      </c>
      <c r="F306" s="243" t="s">
        <v>1873</v>
      </c>
      <c r="G306" s="243" t="s">
        <v>1874</v>
      </c>
      <c r="H306" s="246" t="s">
        <v>1870</v>
      </c>
      <c r="I306" s="247">
        <v>7</v>
      </c>
      <c r="J306" s="246" t="s">
        <v>693</v>
      </c>
      <c r="K306" s="247">
        <v>11</v>
      </c>
      <c r="L306" s="247"/>
      <c r="M306" s="251" t="s">
        <v>1875</v>
      </c>
      <c r="N306" s="246" t="s">
        <v>1876</v>
      </c>
      <c r="O306" s="247"/>
      <c r="P306" s="248"/>
      <c r="Q306" s="249"/>
      <c r="R306" s="249"/>
      <c r="S306" s="246"/>
      <c r="T306" s="246"/>
      <c r="U306" s="246"/>
      <c r="V306" s="246"/>
      <c r="W306" s="246"/>
      <c r="X306" s="250" t="s">
        <v>1101</v>
      </c>
      <c r="Y306" s="243" t="s">
        <v>1101</v>
      </c>
      <c r="Z306" s="243" t="s">
        <v>1101</v>
      </c>
      <c r="AA306" s="244" t="s">
        <v>1101</v>
      </c>
    </row>
    <row r="307" spans="2:27" ht="69.75" hidden="1" customHeight="1">
      <c r="B307" s="243" t="s">
        <v>1863</v>
      </c>
      <c r="C307" s="243" t="s">
        <v>1864</v>
      </c>
      <c r="D307" s="243" t="s">
        <v>1865</v>
      </c>
      <c r="E307" s="244">
        <v>0</v>
      </c>
      <c r="F307" s="243" t="s">
        <v>1877</v>
      </c>
      <c r="G307" s="243" t="s">
        <v>1878</v>
      </c>
      <c r="H307" s="246" t="s">
        <v>1870</v>
      </c>
      <c r="I307" s="247">
        <v>8</v>
      </c>
      <c r="J307" s="246" t="s">
        <v>693</v>
      </c>
      <c r="K307" s="247">
        <v>15</v>
      </c>
      <c r="L307" s="247"/>
      <c r="M307" s="251" t="s">
        <v>1879</v>
      </c>
      <c r="N307" s="246" t="s">
        <v>1880</v>
      </c>
      <c r="O307" s="247"/>
      <c r="P307" s="248"/>
      <c r="Q307" s="249"/>
      <c r="R307" s="249"/>
      <c r="S307" s="246"/>
      <c r="T307" s="246"/>
      <c r="U307" s="246"/>
      <c r="V307" s="246"/>
      <c r="W307" s="246"/>
      <c r="X307" s="250" t="s">
        <v>1101</v>
      </c>
      <c r="Y307" s="243" t="s">
        <v>1101</v>
      </c>
      <c r="Z307" s="243" t="s">
        <v>1101</v>
      </c>
      <c r="AA307" s="244" t="s">
        <v>1101</v>
      </c>
    </row>
    <row r="308" spans="2:27" ht="69.75" hidden="1" customHeight="1">
      <c r="B308" s="243" t="s">
        <v>1863</v>
      </c>
      <c r="C308" s="243" t="s">
        <v>1864</v>
      </c>
      <c r="D308" s="243" t="s">
        <v>1865</v>
      </c>
      <c r="E308" s="252">
        <v>0</v>
      </c>
      <c r="F308" s="253" t="s">
        <v>1881</v>
      </c>
      <c r="G308" s="253" t="s">
        <v>1882</v>
      </c>
      <c r="H308" s="246" t="s">
        <v>799</v>
      </c>
      <c r="I308" s="247">
        <v>9</v>
      </c>
      <c r="J308" s="246" t="s">
        <v>693</v>
      </c>
      <c r="K308" s="247">
        <v>3</v>
      </c>
      <c r="L308" s="247"/>
      <c r="M308" s="251" t="s">
        <v>1883</v>
      </c>
      <c r="N308" s="246"/>
      <c r="O308" s="247"/>
      <c r="P308" s="254" t="s">
        <v>1884</v>
      </c>
      <c r="Q308" s="255"/>
      <c r="R308" s="255"/>
      <c r="S308" s="246"/>
      <c r="T308" s="246"/>
      <c r="U308" s="246"/>
      <c r="V308" s="246"/>
      <c r="W308" s="246"/>
      <c r="X308" s="250" t="s">
        <v>1885</v>
      </c>
      <c r="Y308" s="243" t="s">
        <v>1886</v>
      </c>
      <c r="Z308" s="243" t="s">
        <v>1887</v>
      </c>
      <c r="AA308" s="244" t="s">
        <v>1888</v>
      </c>
    </row>
    <row r="309" spans="2:27" ht="69.75" hidden="1" customHeight="1">
      <c r="B309" s="243" t="s">
        <v>1863</v>
      </c>
      <c r="C309" s="243" t="s">
        <v>1864</v>
      </c>
      <c r="D309" s="243" t="s">
        <v>1865</v>
      </c>
      <c r="E309" s="252">
        <v>0</v>
      </c>
      <c r="F309" s="253" t="s">
        <v>1889</v>
      </c>
      <c r="G309" s="253" t="s">
        <v>1890</v>
      </c>
      <c r="H309" s="246" t="s">
        <v>799</v>
      </c>
      <c r="I309" s="247">
        <v>10</v>
      </c>
      <c r="J309" s="246" t="s">
        <v>693</v>
      </c>
      <c r="K309" s="247">
        <v>3</v>
      </c>
      <c r="L309" s="247"/>
      <c r="M309" s="251" t="s">
        <v>1883</v>
      </c>
      <c r="N309" s="246"/>
      <c r="O309" s="247"/>
      <c r="P309" s="254" t="s">
        <v>1891</v>
      </c>
      <c r="Q309" s="255"/>
      <c r="R309" s="255"/>
      <c r="S309" s="246"/>
      <c r="T309" s="246"/>
      <c r="U309" s="246"/>
      <c r="V309" s="246"/>
      <c r="W309" s="246"/>
      <c r="X309" s="250" t="s">
        <v>1885</v>
      </c>
      <c r="Y309" s="243" t="s">
        <v>1892</v>
      </c>
      <c r="Z309" s="243" t="s">
        <v>1893</v>
      </c>
      <c r="AA309" s="244" t="s">
        <v>1888</v>
      </c>
    </row>
    <row r="310" spans="2:27" ht="69.75" hidden="1" customHeight="1">
      <c r="B310" s="243" t="s">
        <v>1863</v>
      </c>
      <c r="C310" s="243" t="s">
        <v>1864</v>
      </c>
      <c r="D310" s="243" t="s">
        <v>1865</v>
      </c>
      <c r="E310" s="252">
        <v>0</v>
      </c>
      <c r="F310" s="253" t="s">
        <v>1894</v>
      </c>
      <c r="G310" s="253" t="s">
        <v>1895</v>
      </c>
      <c r="H310" s="246" t="s">
        <v>1870</v>
      </c>
      <c r="I310" s="247">
        <v>11</v>
      </c>
      <c r="J310" s="246" t="s">
        <v>1209</v>
      </c>
      <c r="K310" s="247"/>
      <c r="L310" s="247"/>
      <c r="M310" s="251" t="s">
        <v>1896</v>
      </c>
      <c r="N310" s="246"/>
      <c r="O310" s="247"/>
      <c r="P310" s="248"/>
      <c r="Q310" s="255"/>
      <c r="R310" s="255"/>
      <c r="S310" s="246"/>
      <c r="T310" s="246"/>
      <c r="U310" s="246"/>
      <c r="V310" s="246"/>
      <c r="W310" s="246"/>
      <c r="X310" s="250" t="s">
        <v>1885</v>
      </c>
      <c r="Y310" s="243" t="s">
        <v>1886</v>
      </c>
      <c r="Z310" s="243" t="s">
        <v>1897</v>
      </c>
      <c r="AA310" s="244" t="s">
        <v>1888</v>
      </c>
    </row>
    <row r="311" spans="2:27" ht="69.75" hidden="1" customHeight="1">
      <c r="B311" s="253" t="s">
        <v>1863</v>
      </c>
      <c r="C311" s="253" t="s">
        <v>1864</v>
      </c>
      <c r="D311" s="243" t="s">
        <v>1865</v>
      </c>
      <c r="E311" s="252">
        <v>0</v>
      </c>
      <c r="F311" s="253" t="s">
        <v>1898</v>
      </c>
      <c r="G311" s="253" t="s">
        <v>1899</v>
      </c>
      <c r="H311" s="246" t="s">
        <v>1870</v>
      </c>
      <c r="I311" s="247">
        <v>12</v>
      </c>
      <c r="J311" s="246" t="s">
        <v>693</v>
      </c>
      <c r="K311" s="247">
        <v>20</v>
      </c>
      <c r="L311" s="247"/>
      <c r="M311" s="251" t="s">
        <v>1900</v>
      </c>
      <c r="N311" s="246" t="s">
        <v>1901</v>
      </c>
      <c r="O311" s="247"/>
      <c r="P311" s="248"/>
      <c r="Q311" s="255"/>
      <c r="R311" s="255"/>
      <c r="S311" s="246"/>
      <c r="T311" s="246"/>
      <c r="U311" s="246"/>
      <c r="V311" s="246"/>
      <c r="W311" s="246"/>
      <c r="X311" s="250" t="s">
        <v>1101</v>
      </c>
      <c r="Y311" s="253" t="s">
        <v>1101</v>
      </c>
      <c r="Z311" s="253" t="s">
        <v>1101</v>
      </c>
      <c r="AA311" s="252" t="s">
        <v>1101</v>
      </c>
    </row>
    <row r="312" spans="2:27" ht="45" hidden="1" customHeight="1">
      <c r="B312" s="253" t="s">
        <v>1863</v>
      </c>
      <c r="C312" s="253" t="s">
        <v>1864</v>
      </c>
      <c r="D312" s="243" t="s">
        <v>1865</v>
      </c>
      <c r="E312" s="252">
        <v>0</v>
      </c>
      <c r="F312" s="243" t="s">
        <v>805</v>
      </c>
      <c r="G312" s="253" t="s">
        <v>806</v>
      </c>
      <c r="H312" s="246" t="s">
        <v>807</v>
      </c>
      <c r="I312" s="247">
        <v>13</v>
      </c>
      <c r="J312" s="246" t="s">
        <v>693</v>
      </c>
      <c r="K312" s="247">
        <v>10</v>
      </c>
      <c r="L312" s="247"/>
      <c r="M312" s="251" t="s">
        <v>808</v>
      </c>
      <c r="N312" s="246" t="s">
        <v>1902</v>
      </c>
      <c r="O312" s="247" t="s">
        <v>695</v>
      </c>
      <c r="P312" s="248"/>
      <c r="Q312" s="255"/>
      <c r="R312" s="255"/>
      <c r="S312" s="246"/>
      <c r="T312" s="246"/>
      <c r="U312" s="246"/>
      <c r="V312" s="246"/>
      <c r="W312" s="246"/>
      <c r="X312" s="250" t="s">
        <v>1101</v>
      </c>
      <c r="Y312" s="253" t="s">
        <v>1101</v>
      </c>
      <c r="Z312" s="253" t="s">
        <v>1101</v>
      </c>
      <c r="AA312" s="252" t="s">
        <v>1101</v>
      </c>
    </row>
    <row r="313" spans="2:27" ht="69.75" hidden="1" customHeight="1">
      <c r="B313" s="253" t="s">
        <v>1863</v>
      </c>
      <c r="C313" s="253" t="s">
        <v>1864</v>
      </c>
      <c r="D313" s="243" t="s">
        <v>1865</v>
      </c>
      <c r="E313" s="252">
        <v>0</v>
      </c>
      <c r="F313" s="243" t="s">
        <v>812</v>
      </c>
      <c r="G313" s="253" t="s">
        <v>813</v>
      </c>
      <c r="H313" s="246" t="s">
        <v>814</v>
      </c>
      <c r="I313" s="247">
        <v>14</v>
      </c>
      <c r="J313" s="246" t="s">
        <v>815</v>
      </c>
      <c r="K313" s="247">
        <v>23</v>
      </c>
      <c r="L313" s="247"/>
      <c r="M313" s="251" t="s">
        <v>816</v>
      </c>
      <c r="N313" s="246" t="s">
        <v>1903</v>
      </c>
      <c r="O313" s="247"/>
      <c r="P313" s="248"/>
      <c r="Q313" s="255"/>
      <c r="R313" s="255"/>
      <c r="S313" s="246"/>
      <c r="T313" s="246"/>
      <c r="U313" s="246"/>
      <c r="V313" s="246"/>
      <c r="W313" s="246"/>
      <c r="X313" s="250" t="s">
        <v>1101</v>
      </c>
      <c r="Y313" s="253" t="s">
        <v>1101</v>
      </c>
      <c r="Z313" s="253" t="s">
        <v>1101</v>
      </c>
      <c r="AA313" s="252" t="s">
        <v>1101</v>
      </c>
    </row>
    <row r="314" spans="2:27" ht="146.25" hidden="1" customHeight="1">
      <c r="B314" s="194" t="s">
        <v>1102</v>
      </c>
      <c r="C314" s="194" t="s">
        <v>1103</v>
      </c>
      <c r="D314" s="194" t="s">
        <v>1104</v>
      </c>
      <c r="E314" s="76">
        <v>2</v>
      </c>
      <c r="F314" s="77" t="s">
        <v>797</v>
      </c>
      <c r="G314" s="77" t="s">
        <v>798</v>
      </c>
      <c r="H314" s="77" t="s">
        <v>799</v>
      </c>
      <c r="I314" s="76">
        <v>21</v>
      </c>
      <c r="J314" s="77" t="s">
        <v>693</v>
      </c>
      <c r="K314" s="76">
        <v>2</v>
      </c>
      <c r="L314" s="76"/>
      <c r="M314" s="86" t="s">
        <v>800</v>
      </c>
      <c r="N314" s="86"/>
      <c r="O314" s="76"/>
      <c r="P314" s="86" t="s">
        <v>1276</v>
      </c>
      <c r="Q314" s="87"/>
      <c r="R314" s="77"/>
      <c r="S314" s="86" t="s">
        <v>1105</v>
      </c>
      <c r="T314" s="86" t="s">
        <v>1106</v>
      </c>
      <c r="U314" s="130" t="s">
        <v>703</v>
      </c>
      <c r="V314" s="175" t="s">
        <v>1904</v>
      </c>
      <c r="W314" s="76"/>
      <c r="X314" s="84" t="s">
        <v>1098</v>
      </c>
      <c r="Y314" s="86" t="s">
        <v>1101</v>
      </c>
      <c r="Z314" s="86" t="s">
        <v>1101</v>
      </c>
      <c r="AA314" s="201" t="s">
        <v>1720</v>
      </c>
    </row>
    <row r="315" spans="2:27" ht="60" hidden="1" customHeight="1">
      <c r="B315" s="84" t="s">
        <v>1109</v>
      </c>
      <c r="C315" s="84" t="s">
        <v>1110</v>
      </c>
      <c r="D315" s="84" t="s">
        <v>1111</v>
      </c>
      <c r="E315" s="195">
        <v>2</v>
      </c>
      <c r="F315" s="194" t="s">
        <v>1705</v>
      </c>
      <c r="G315" s="194" t="s">
        <v>1706</v>
      </c>
      <c r="H315" s="75" t="s">
        <v>1409</v>
      </c>
      <c r="I315" s="76">
        <v>19</v>
      </c>
      <c r="J315" s="75" t="s">
        <v>693</v>
      </c>
      <c r="K315" s="76">
        <v>4</v>
      </c>
      <c r="L315" s="76"/>
      <c r="M315" s="86" t="s">
        <v>1707</v>
      </c>
      <c r="N315" s="75"/>
      <c r="O315" s="76"/>
      <c r="P315" s="77"/>
      <c r="Q315" s="193"/>
      <c r="R315" s="193"/>
      <c r="S315" s="86" t="s">
        <v>1083</v>
      </c>
      <c r="T315" s="86" t="s">
        <v>1084</v>
      </c>
      <c r="U315" s="86" t="s">
        <v>1708</v>
      </c>
      <c r="V315" s="233" t="s">
        <v>1905</v>
      </c>
      <c r="W315" s="75"/>
      <c r="X315" s="84" t="s">
        <v>1087</v>
      </c>
      <c r="Y315" s="86" t="s">
        <v>1088</v>
      </c>
      <c r="Z315" s="194" t="s">
        <v>1710</v>
      </c>
      <c r="AA315" s="131" t="s">
        <v>811</v>
      </c>
    </row>
    <row r="316" spans="2:27" ht="60" hidden="1" customHeight="1">
      <c r="B316" s="86" t="s">
        <v>1115</v>
      </c>
      <c r="C316" s="86" t="s">
        <v>1116</v>
      </c>
      <c r="D316" s="86" t="s">
        <v>1117</v>
      </c>
      <c r="E316" s="76">
        <v>2</v>
      </c>
      <c r="F316" s="77" t="s">
        <v>797</v>
      </c>
      <c r="G316" s="77" t="s">
        <v>798</v>
      </c>
      <c r="H316" s="77" t="s">
        <v>799</v>
      </c>
      <c r="I316" s="76">
        <v>21</v>
      </c>
      <c r="J316" s="77" t="s">
        <v>693</v>
      </c>
      <c r="K316" s="76">
        <v>2</v>
      </c>
      <c r="L316" s="76"/>
      <c r="M316" s="86" t="s">
        <v>800</v>
      </c>
      <c r="N316" s="86"/>
      <c r="O316" s="76"/>
      <c r="P316" s="86" t="s">
        <v>801</v>
      </c>
      <c r="Q316" s="87"/>
      <c r="R316" s="77"/>
      <c r="S316" s="86" t="s">
        <v>1083</v>
      </c>
      <c r="T316" s="86" t="s">
        <v>1084</v>
      </c>
      <c r="U316" s="87" t="s">
        <v>818</v>
      </c>
      <c r="V316" s="175" t="s">
        <v>1906</v>
      </c>
      <c r="W316" s="76"/>
      <c r="X316" s="84" t="s">
        <v>1087</v>
      </c>
      <c r="Y316" s="86" t="s">
        <v>811</v>
      </c>
      <c r="Z316" s="86" t="s">
        <v>811</v>
      </c>
      <c r="AA316" s="201" t="s">
        <v>1718</v>
      </c>
    </row>
    <row r="317" spans="2:27" ht="60" hidden="1" customHeight="1">
      <c r="B317" s="75" t="s">
        <v>1076</v>
      </c>
      <c r="C317" s="75" t="s">
        <v>1077</v>
      </c>
      <c r="D317" s="75" t="s">
        <v>1078</v>
      </c>
      <c r="E317" s="76">
        <v>2</v>
      </c>
      <c r="F317" s="84" t="s">
        <v>790</v>
      </c>
      <c r="G317" s="84" t="s">
        <v>791</v>
      </c>
      <c r="H317" s="75" t="s">
        <v>750</v>
      </c>
      <c r="I317" s="76">
        <v>13</v>
      </c>
      <c r="J317" s="75" t="s">
        <v>693</v>
      </c>
      <c r="K317" s="76">
        <v>10</v>
      </c>
      <c r="L317" s="76"/>
      <c r="M317" s="84" t="s">
        <v>792</v>
      </c>
      <c r="N317" s="75"/>
      <c r="O317" s="211"/>
      <c r="P317" s="77"/>
      <c r="Q317" s="86" t="s">
        <v>752</v>
      </c>
      <c r="R317" s="86" t="s">
        <v>793</v>
      </c>
      <c r="S317" s="86" t="s">
        <v>1083</v>
      </c>
      <c r="T317" s="86" t="s">
        <v>1084</v>
      </c>
      <c r="U317" s="86" t="s">
        <v>1526</v>
      </c>
      <c r="V317" s="233" t="s">
        <v>1907</v>
      </c>
      <c r="W317" s="75"/>
      <c r="X317" s="84" t="s">
        <v>1087</v>
      </c>
      <c r="Y317" s="86" t="s">
        <v>1088</v>
      </c>
      <c r="Z317" s="86" t="s">
        <v>857</v>
      </c>
      <c r="AA317" s="131" t="s">
        <v>811</v>
      </c>
    </row>
    <row r="318" spans="2:27" ht="201.75" hidden="1" customHeight="1">
      <c r="B318" s="84" t="s">
        <v>1091</v>
      </c>
      <c r="C318" s="84" t="s">
        <v>1092</v>
      </c>
      <c r="D318" s="84" t="s">
        <v>1093</v>
      </c>
      <c r="E318" s="76">
        <v>2</v>
      </c>
      <c r="F318" s="84" t="s">
        <v>790</v>
      </c>
      <c r="G318" s="84" t="s">
        <v>791</v>
      </c>
      <c r="H318" s="75" t="s">
        <v>750</v>
      </c>
      <c r="I318" s="76">
        <v>11</v>
      </c>
      <c r="J318" s="75" t="s">
        <v>693</v>
      </c>
      <c r="K318" s="76">
        <v>10</v>
      </c>
      <c r="L318" s="76"/>
      <c r="M318" s="84" t="s">
        <v>792</v>
      </c>
      <c r="N318" s="75"/>
      <c r="O318" s="211"/>
      <c r="P318" s="77"/>
      <c r="Q318" s="86" t="s">
        <v>752</v>
      </c>
      <c r="R318" s="86" t="s">
        <v>753</v>
      </c>
      <c r="S318" s="86" t="s">
        <v>1094</v>
      </c>
      <c r="T318" s="86" t="s">
        <v>1095</v>
      </c>
      <c r="U318" s="86" t="s">
        <v>1908</v>
      </c>
      <c r="V318" s="233" t="s">
        <v>1909</v>
      </c>
      <c r="W318" s="75"/>
      <c r="X318" s="84" t="s">
        <v>1098</v>
      </c>
      <c r="Y318" s="86" t="s">
        <v>1099</v>
      </c>
      <c r="Z318" s="86" t="s">
        <v>1910</v>
      </c>
      <c r="AA318" s="131" t="s">
        <v>1101</v>
      </c>
    </row>
    <row r="319" spans="2:27" ht="89.25" hidden="1" customHeight="1">
      <c r="B319" s="194" t="s">
        <v>1102</v>
      </c>
      <c r="C319" s="194" t="s">
        <v>1103</v>
      </c>
      <c r="D319" s="194" t="s">
        <v>1104</v>
      </c>
      <c r="E319" s="76">
        <v>2</v>
      </c>
      <c r="F319" s="84" t="s">
        <v>790</v>
      </c>
      <c r="G319" s="84" t="s">
        <v>791</v>
      </c>
      <c r="H319" s="75" t="s">
        <v>750</v>
      </c>
      <c r="I319" s="76">
        <v>11</v>
      </c>
      <c r="J319" s="75" t="s">
        <v>693</v>
      </c>
      <c r="K319" s="76">
        <v>10</v>
      </c>
      <c r="L319" s="76"/>
      <c r="M319" s="84" t="s">
        <v>792</v>
      </c>
      <c r="N319" s="75"/>
      <c r="O319" s="211"/>
      <c r="P319" s="77"/>
      <c r="Q319" s="86" t="s">
        <v>752</v>
      </c>
      <c r="R319" s="86" t="s">
        <v>753</v>
      </c>
      <c r="S319" s="86" t="s">
        <v>1105</v>
      </c>
      <c r="T319" s="86" t="s">
        <v>1106</v>
      </c>
      <c r="U319" s="86" t="s">
        <v>1911</v>
      </c>
      <c r="V319" s="233" t="s">
        <v>1912</v>
      </c>
      <c r="W319" s="75"/>
      <c r="X319" s="84" t="s">
        <v>1098</v>
      </c>
      <c r="Y319" s="86" t="s">
        <v>1099</v>
      </c>
      <c r="Z319" s="86" t="s">
        <v>1910</v>
      </c>
      <c r="AA319" s="131" t="s">
        <v>1101</v>
      </c>
    </row>
    <row r="320" spans="2:27" ht="131.25" hidden="1" customHeight="1">
      <c r="B320" s="84" t="s">
        <v>1109</v>
      </c>
      <c r="C320" s="84" t="s">
        <v>1110</v>
      </c>
      <c r="D320" s="84" t="s">
        <v>1111</v>
      </c>
      <c r="E320" s="195">
        <v>2</v>
      </c>
      <c r="F320" s="194" t="s">
        <v>1692</v>
      </c>
      <c r="G320" s="194" t="s">
        <v>1693</v>
      </c>
      <c r="H320" s="75" t="s">
        <v>1409</v>
      </c>
      <c r="I320" s="76">
        <v>20</v>
      </c>
      <c r="J320" s="75" t="s">
        <v>693</v>
      </c>
      <c r="K320" s="76"/>
      <c r="L320" s="76"/>
      <c r="M320" s="86" t="s">
        <v>1694</v>
      </c>
      <c r="N320" s="75"/>
      <c r="O320" s="76"/>
      <c r="P320" s="77"/>
      <c r="Q320" s="193"/>
      <c r="R320" s="193"/>
      <c r="S320" s="86" t="s">
        <v>1083</v>
      </c>
      <c r="T320" s="86" t="s">
        <v>1084</v>
      </c>
      <c r="U320" s="86" t="s">
        <v>1695</v>
      </c>
      <c r="V320" s="233" t="s">
        <v>1913</v>
      </c>
      <c r="W320" s="75"/>
      <c r="X320" s="84" t="s">
        <v>1087</v>
      </c>
      <c r="Y320" s="86" t="s">
        <v>1413</v>
      </c>
      <c r="Z320" s="194" t="s">
        <v>1697</v>
      </c>
      <c r="AA320" s="131" t="s">
        <v>1090</v>
      </c>
    </row>
    <row r="321" spans="2:27" ht="60" hidden="1" customHeight="1">
      <c r="B321" s="86" t="s">
        <v>1115</v>
      </c>
      <c r="C321" s="86" t="s">
        <v>1116</v>
      </c>
      <c r="D321" s="86" t="s">
        <v>1117</v>
      </c>
      <c r="E321" s="76">
        <v>2</v>
      </c>
      <c r="F321" s="84" t="s">
        <v>790</v>
      </c>
      <c r="G321" s="84" t="s">
        <v>791</v>
      </c>
      <c r="H321" s="75" t="s">
        <v>750</v>
      </c>
      <c r="I321" s="76">
        <v>11</v>
      </c>
      <c r="J321" s="75" t="s">
        <v>693</v>
      </c>
      <c r="K321" s="76">
        <v>10</v>
      </c>
      <c r="L321" s="76"/>
      <c r="M321" s="84" t="s">
        <v>792</v>
      </c>
      <c r="N321" s="75"/>
      <c r="O321" s="211"/>
      <c r="P321" s="77"/>
      <c r="Q321" s="86" t="s">
        <v>752</v>
      </c>
      <c r="R321" s="86" t="s">
        <v>793</v>
      </c>
      <c r="S321" s="86" t="s">
        <v>1083</v>
      </c>
      <c r="T321" s="86" t="s">
        <v>1084</v>
      </c>
      <c r="U321" s="86" t="s">
        <v>1526</v>
      </c>
      <c r="V321" s="233" t="s">
        <v>1914</v>
      </c>
      <c r="W321" s="75"/>
      <c r="X321" s="84" t="s">
        <v>1087</v>
      </c>
      <c r="Y321" s="86" t="s">
        <v>1088</v>
      </c>
      <c r="Z321" s="86" t="s">
        <v>857</v>
      </c>
      <c r="AA321" s="131" t="s">
        <v>811</v>
      </c>
    </row>
    <row r="322" spans="2:27" ht="60" hidden="1" customHeight="1">
      <c r="B322" s="75" t="s">
        <v>1076</v>
      </c>
      <c r="C322" s="75" t="s">
        <v>1077</v>
      </c>
      <c r="D322" s="75" t="s">
        <v>1078</v>
      </c>
      <c r="E322" s="76">
        <v>2</v>
      </c>
      <c r="F322" s="84" t="s">
        <v>748</v>
      </c>
      <c r="G322" s="84" t="s">
        <v>749</v>
      </c>
      <c r="H322" s="75" t="s">
        <v>750</v>
      </c>
      <c r="I322" s="76">
        <v>14</v>
      </c>
      <c r="J322" s="75" t="s">
        <v>693</v>
      </c>
      <c r="K322" s="76">
        <v>10</v>
      </c>
      <c r="L322" s="76"/>
      <c r="M322" s="84" t="s">
        <v>751</v>
      </c>
      <c r="N322" s="75"/>
      <c r="O322" s="76"/>
      <c r="P322" s="77"/>
      <c r="Q322" s="210" t="s">
        <v>1672</v>
      </c>
      <c r="R322" s="210" t="s">
        <v>1915</v>
      </c>
      <c r="S322" s="86" t="s">
        <v>1083</v>
      </c>
      <c r="T322" s="86" t="s">
        <v>1084</v>
      </c>
      <c r="U322" s="86" t="s">
        <v>1542</v>
      </c>
      <c r="V322" s="233" t="s">
        <v>1916</v>
      </c>
      <c r="W322" s="75"/>
      <c r="X322" s="84" t="s">
        <v>1087</v>
      </c>
      <c r="Y322" s="86" t="s">
        <v>1088</v>
      </c>
      <c r="Z322" s="86" t="s">
        <v>860</v>
      </c>
      <c r="AA322" s="131" t="s">
        <v>811</v>
      </c>
    </row>
    <row r="323" spans="2:27" ht="60" hidden="1" customHeight="1">
      <c r="B323" s="84" t="s">
        <v>1091</v>
      </c>
      <c r="C323" s="84" t="s">
        <v>1092</v>
      </c>
      <c r="D323" s="84" t="s">
        <v>1093</v>
      </c>
      <c r="E323" s="76">
        <v>2</v>
      </c>
      <c r="F323" s="84" t="s">
        <v>748</v>
      </c>
      <c r="G323" s="84" t="s">
        <v>749</v>
      </c>
      <c r="H323" s="75" t="s">
        <v>750</v>
      </c>
      <c r="I323" s="76">
        <v>12</v>
      </c>
      <c r="J323" s="75" t="s">
        <v>693</v>
      </c>
      <c r="K323" s="76">
        <v>10</v>
      </c>
      <c r="L323" s="76"/>
      <c r="M323" s="84" t="s">
        <v>751</v>
      </c>
      <c r="N323" s="75"/>
      <c r="O323" s="76"/>
      <c r="P323" s="77"/>
      <c r="Q323" s="86" t="s">
        <v>752</v>
      </c>
      <c r="R323" s="86" t="s">
        <v>793</v>
      </c>
      <c r="S323" s="86" t="s">
        <v>1094</v>
      </c>
      <c r="T323" s="86" t="s">
        <v>1095</v>
      </c>
      <c r="U323" s="86" t="s">
        <v>1917</v>
      </c>
      <c r="V323" s="233" t="s">
        <v>1918</v>
      </c>
      <c r="W323" s="75"/>
      <c r="X323" s="84" t="s">
        <v>1098</v>
      </c>
      <c r="Y323" s="86" t="s">
        <v>1099</v>
      </c>
      <c r="Z323" s="86" t="s">
        <v>1794</v>
      </c>
      <c r="AA323" s="131" t="s">
        <v>1101</v>
      </c>
    </row>
    <row r="324" spans="2:27" ht="60" hidden="1" customHeight="1">
      <c r="B324" s="194" t="s">
        <v>1102</v>
      </c>
      <c r="C324" s="194" t="s">
        <v>1103</v>
      </c>
      <c r="D324" s="194" t="s">
        <v>1104</v>
      </c>
      <c r="E324" s="76">
        <v>2</v>
      </c>
      <c r="F324" s="84" t="s">
        <v>748</v>
      </c>
      <c r="G324" s="84" t="s">
        <v>749</v>
      </c>
      <c r="H324" s="75" t="s">
        <v>750</v>
      </c>
      <c r="I324" s="76">
        <v>12</v>
      </c>
      <c r="J324" s="75" t="s">
        <v>693</v>
      </c>
      <c r="K324" s="76">
        <v>10</v>
      </c>
      <c r="L324" s="76"/>
      <c r="M324" s="84" t="s">
        <v>751</v>
      </c>
      <c r="N324" s="75"/>
      <c r="O324" s="76"/>
      <c r="P324" s="77"/>
      <c r="Q324" s="86" t="s">
        <v>752</v>
      </c>
      <c r="R324" s="86" t="s">
        <v>793</v>
      </c>
      <c r="S324" s="86" t="s">
        <v>1105</v>
      </c>
      <c r="T324" s="86" t="s">
        <v>1106</v>
      </c>
      <c r="U324" s="86" t="s">
        <v>1919</v>
      </c>
      <c r="V324" s="233" t="s">
        <v>1920</v>
      </c>
      <c r="W324" s="75"/>
      <c r="X324" s="84" t="s">
        <v>1098</v>
      </c>
      <c r="Y324" s="86" t="s">
        <v>1099</v>
      </c>
      <c r="Z324" s="86" t="s">
        <v>1794</v>
      </c>
      <c r="AA324" s="131" t="s">
        <v>1101</v>
      </c>
    </row>
    <row r="325" spans="2:27" ht="60" hidden="1" customHeight="1">
      <c r="B325" s="84" t="s">
        <v>1109</v>
      </c>
      <c r="C325" s="84" t="s">
        <v>1110</v>
      </c>
      <c r="D325" s="84" t="s">
        <v>1111</v>
      </c>
      <c r="E325" s="131">
        <v>2</v>
      </c>
      <c r="F325" s="77" t="s">
        <v>797</v>
      </c>
      <c r="G325" s="77" t="s">
        <v>798</v>
      </c>
      <c r="H325" s="77" t="s">
        <v>799</v>
      </c>
      <c r="I325" s="76">
        <v>21</v>
      </c>
      <c r="J325" s="77" t="s">
        <v>693</v>
      </c>
      <c r="K325" s="76">
        <v>2</v>
      </c>
      <c r="L325" s="76"/>
      <c r="M325" s="86" t="s">
        <v>800</v>
      </c>
      <c r="N325" s="86"/>
      <c r="O325" s="76"/>
      <c r="P325" s="86" t="s">
        <v>801</v>
      </c>
      <c r="Q325" s="87"/>
      <c r="R325" s="77"/>
      <c r="S325" s="86" t="s">
        <v>1083</v>
      </c>
      <c r="T325" s="86" t="s">
        <v>1084</v>
      </c>
      <c r="U325" s="87" t="s">
        <v>818</v>
      </c>
      <c r="V325" s="175" t="s">
        <v>1921</v>
      </c>
      <c r="W325" s="76"/>
      <c r="X325" s="84" t="s">
        <v>1087</v>
      </c>
      <c r="Y325" s="86" t="s">
        <v>811</v>
      </c>
      <c r="Z325" s="86" t="s">
        <v>811</v>
      </c>
      <c r="AA325" s="201" t="s">
        <v>1718</v>
      </c>
    </row>
    <row r="326" spans="2:27" ht="98.25" hidden="1" customHeight="1">
      <c r="B326" s="86" t="s">
        <v>1115</v>
      </c>
      <c r="C326" s="86" t="s">
        <v>1116</v>
      </c>
      <c r="D326" s="86" t="s">
        <v>1117</v>
      </c>
      <c r="E326" s="76">
        <v>2</v>
      </c>
      <c r="F326" s="84" t="s">
        <v>748</v>
      </c>
      <c r="G326" s="84" t="s">
        <v>749</v>
      </c>
      <c r="H326" s="75" t="s">
        <v>750</v>
      </c>
      <c r="I326" s="76">
        <v>12</v>
      </c>
      <c r="J326" s="75" t="s">
        <v>693</v>
      </c>
      <c r="K326" s="76">
        <v>10</v>
      </c>
      <c r="L326" s="76"/>
      <c r="M326" s="84" t="s">
        <v>751</v>
      </c>
      <c r="N326" s="75"/>
      <c r="O326" s="76"/>
      <c r="P326" s="77"/>
      <c r="Q326" s="86" t="s">
        <v>720</v>
      </c>
      <c r="R326" s="86" t="s">
        <v>1541</v>
      </c>
      <c r="S326" s="86" t="s">
        <v>1083</v>
      </c>
      <c r="T326" s="86" t="s">
        <v>1084</v>
      </c>
      <c r="U326" s="86" t="s">
        <v>1542</v>
      </c>
      <c r="V326" s="233" t="s">
        <v>1922</v>
      </c>
      <c r="W326" s="75"/>
      <c r="X326" s="84" t="s">
        <v>1087</v>
      </c>
      <c r="Y326" s="86" t="s">
        <v>1088</v>
      </c>
      <c r="Z326" s="86" t="s">
        <v>860</v>
      </c>
      <c r="AA326" s="131" t="s">
        <v>811</v>
      </c>
    </row>
    <row r="327" spans="2:27" ht="60" hidden="1" customHeight="1">
      <c r="B327" s="77" t="s">
        <v>1076</v>
      </c>
      <c r="C327" s="75" t="s">
        <v>1077</v>
      </c>
      <c r="D327" s="75" t="s">
        <v>1078</v>
      </c>
      <c r="E327" s="76">
        <v>2</v>
      </c>
      <c r="F327" s="159" t="s">
        <v>736</v>
      </c>
      <c r="G327" s="159" t="s">
        <v>737</v>
      </c>
      <c r="H327" s="75" t="s">
        <v>779</v>
      </c>
      <c r="I327" s="76">
        <v>7</v>
      </c>
      <c r="J327" s="75" t="s">
        <v>693</v>
      </c>
      <c r="K327" s="76">
        <v>4</v>
      </c>
      <c r="L327" s="76"/>
      <c r="M327" s="159" t="s">
        <v>739</v>
      </c>
      <c r="N327" s="75"/>
      <c r="O327" s="76"/>
      <c r="P327" s="87" t="s">
        <v>1923</v>
      </c>
      <c r="Q327" s="130" t="s">
        <v>842</v>
      </c>
      <c r="R327" s="133" t="s">
        <v>843</v>
      </c>
      <c r="S327" s="86" t="s">
        <v>1401</v>
      </c>
      <c r="T327" s="86" t="s">
        <v>1402</v>
      </c>
      <c r="U327" s="86" t="s">
        <v>846</v>
      </c>
      <c r="V327" s="233" t="s">
        <v>1924</v>
      </c>
      <c r="W327" s="75"/>
      <c r="X327" s="84" t="s">
        <v>1087</v>
      </c>
      <c r="Y327" s="84" t="s">
        <v>1925</v>
      </c>
      <c r="Z327" s="161" t="s">
        <v>1926</v>
      </c>
      <c r="AA327" s="131" t="s">
        <v>1405</v>
      </c>
    </row>
    <row r="328" spans="2:27" ht="163.5" hidden="1" customHeight="1">
      <c r="B328" s="84" t="s">
        <v>1091</v>
      </c>
      <c r="C328" s="84" t="s">
        <v>1092</v>
      </c>
      <c r="D328" s="84" t="s">
        <v>1093</v>
      </c>
      <c r="E328" s="76">
        <v>2</v>
      </c>
      <c r="F328" s="159" t="s">
        <v>736</v>
      </c>
      <c r="G328" s="159" t="s">
        <v>737</v>
      </c>
      <c r="H328" s="75" t="s">
        <v>779</v>
      </c>
      <c r="I328" s="76">
        <v>5</v>
      </c>
      <c r="J328" s="75" t="s">
        <v>693</v>
      </c>
      <c r="K328" s="76">
        <v>4</v>
      </c>
      <c r="L328" s="76"/>
      <c r="M328" s="159" t="s">
        <v>739</v>
      </c>
      <c r="N328" s="75"/>
      <c r="O328" s="76"/>
      <c r="P328" s="87" t="s">
        <v>1927</v>
      </c>
      <c r="Q328" s="130" t="s">
        <v>842</v>
      </c>
      <c r="R328" s="133" t="s">
        <v>843</v>
      </c>
      <c r="S328" s="86" t="s">
        <v>1928</v>
      </c>
      <c r="T328" s="86" t="s">
        <v>1929</v>
      </c>
      <c r="U328" s="86" t="s">
        <v>1175</v>
      </c>
      <c r="V328" s="233" t="s">
        <v>1930</v>
      </c>
      <c r="W328" s="75"/>
      <c r="X328" s="84" t="s">
        <v>1098</v>
      </c>
      <c r="Y328" s="84" t="s">
        <v>1931</v>
      </c>
      <c r="Z328" s="161" t="s">
        <v>1932</v>
      </c>
      <c r="AA328" s="131" t="s">
        <v>1247</v>
      </c>
    </row>
    <row r="329" spans="2:27" ht="60" hidden="1" customHeight="1">
      <c r="B329" s="194" t="s">
        <v>1102</v>
      </c>
      <c r="C329" s="194" t="s">
        <v>1103</v>
      </c>
      <c r="D329" s="194" t="s">
        <v>1104</v>
      </c>
      <c r="E329" s="76">
        <v>2</v>
      </c>
      <c r="F329" s="159" t="s">
        <v>736</v>
      </c>
      <c r="G329" s="159" t="s">
        <v>737</v>
      </c>
      <c r="H329" s="75" t="s">
        <v>779</v>
      </c>
      <c r="I329" s="76">
        <v>5</v>
      </c>
      <c r="J329" s="75" t="s">
        <v>693</v>
      </c>
      <c r="K329" s="76">
        <v>4</v>
      </c>
      <c r="L329" s="76"/>
      <c r="M329" s="159" t="s">
        <v>739</v>
      </c>
      <c r="N329" s="75"/>
      <c r="O329" s="76"/>
      <c r="P329" s="87" t="s">
        <v>1927</v>
      </c>
      <c r="Q329" s="130" t="s">
        <v>842</v>
      </c>
      <c r="R329" s="133" t="s">
        <v>843</v>
      </c>
      <c r="S329" s="86" t="s">
        <v>1933</v>
      </c>
      <c r="T329" s="86" t="s">
        <v>1934</v>
      </c>
      <c r="U329" s="86" t="s">
        <v>1935</v>
      </c>
      <c r="V329" s="233" t="s">
        <v>1936</v>
      </c>
      <c r="W329" s="75"/>
      <c r="X329" s="84" t="s">
        <v>1098</v>
      </c>
      <c r="Y329" s="84" t="s">
        <v>1931</v>
      </c>
      <c r="Z329" s="161" t="s">
        <v>1932</v>
      </c>
      <c r="AA329" s="131" t="s">
        <v>1247</v>
      </c>
    </row>
    <row r="330" spans="2:27" ht="36" hidden="1" customHeight="1">
      <c r="B330" s="84" t="s">
        <v>1109</v>
      </c>
      <c r="C330" s="84" t="s">
        <v>1110</v>
      </c>
      <c r="D330" s="84" t="s">
        <v>1111</v>
      </c>
      <c r="E330" s="131">
        <v>2</v>
      </c>
      <c r="F330" s="84" t="s">
        <v>805</v>
      </c>
      <c r="G330" s="75" t="s">
        <v>806</v>
      </c>
      <c r="H330" s="75" t="s">
        <v>807</v>
      </c>
      <c r="I330" s="76">
        <v>22</v>
      </c>
      <c r="J330" s="75" t="s">
        <v>693</v>
      </c>
      <c r="K330" s="76">
        <v>10</v>
      </c>
      <c r="L330" s="76"/>
      <c r="M330" s="86" t="s">
        <v>808</v>
      </c>
      <c r="N330" s="75"/>
      <c r="O330" s="76" t="s">
        <v>695</v>
      </c>
      <c r="P330" s="77"/>
      <c r="Q330" s="75"/>
      <c r="R330" s="75"/>
      <c r="S330" s="86" t="s">
        <v>1083</v>
      </c>
      <c r="T330" s="86" t="s">
        <v>1084</v>
      </c>
      <c r="U330" s="86" t="s">
        <v>866</v>
      </c>
      <c r="V330" s="175" t="s">
        <v>1937</v>
      </c>
      <c r="W330" s="75"/>
      <c r="X330" s="86" t="s">
        <v>811</v>
      </c>
      <c r="Y330" s="86" t="s">
        <v>811</v>
      </c>
      <c r="Z330" s="86" t="s">
        <v>811</v>
      </c>
      <c r="AA330" s="131" t="s">
        <v>811</v>
      </c>
    </row>
    <row r="331" spans="2:27" ht="66" hidden="1" customHeight="1">
      <c r="B331" s="86" t="s">
        <v>1115</v>
      </c>
      <c r="C331" s="86" t="s">
        <v>1116</v>
      </c>
      <c r="D331" s="86" t="s">
        <v>1117</v>
      </c>
      <c r="E331" s="76">
        <v>2</v>
      </c>
      <c r="F331" s="159" t="s">
        <v>736</v>
      </c>
      <c r="G331" s="159" t="s">
        <v>737</v>
      </c>
      <c r="H331" s="75" t="s">
        <v>779</v>
      </c>
      <c r="I331" s="76">
        <v>5</v>
      </c>
      <c r="J331" s="75" t="s">
        <v>693</v>
      </c>
      <c r="K331" s="76">
        <v>4</v>
      </c>
      <c r="L331" s="76"/>
      <c r="M331" s="159" t="s">
        <v>739</v>
      </c>
      <c r="N331" s="75"/>
      <c r="O331" s="76"/>
      <c r="P331" s="87" t="s">
        <v>1938</v>
      </c>
      <c r="Q331" s="130" t="s">
        <v>842</v>
      </c>
      <c r="R331" s="133" t="s">
        <v>843</v>
      </c>
      <c r="S331" s="86" t="s">
        <v>1401</v>
      </c>
      <c r="T331" s="86" t="s">
        <v>1402</v>
      </c>
      <c r="U331" s="86" t="s">
        <v>846</v>
      </c>
      <c r="V331" s="233" t="s">
        <v>1939</v>
      </c>
      <c r="W331" s="75"/>
      <c r="X331" s="84" t="s">
        <v>1087</v>
      </c>
      <c r="Y331" s="84" t="s">
        <v>1925</v>
      </c>
      <c r="Z331" s="161" t="s">
        <v>1926</v>
      </c>
      <c r="AA331" s="131" t="s">
        <v>1405</v>
      </c>
    </row>
    <row r="332" spans="2:27" ht="27.75" hidden="1" customHeight="1">
      <c r="B332" s="75" t="s">
        <v>1076</v>
      </c>
      <c r="C332" s="75" t="s">
        <v>1077</v>
      </c>
      <c r="D332" s="75" t="s">
        <v>1078</v>
      </c>
      <c r="E332" s="195">
        <v>2</v>
      </c>
      <c r="F332" s="194" t="s">
        <v>1680</v>
      </c>
      <c r="G332" s="194" t="s">
        <v>1681</v>
      </c>
      <c r="H332" s="75" t="s">
        <v>1409</v>
      </c>
      <c r="I332" s="76">
        <v>6</v>
      </c>
      <c r="J332" s="75" t="s">
        <v>693</v>
      </c>
      <c r="K332" s="76"/>
      <c r="L332" s="76"/>
      <c r="M332" s="84" t="s">
        <v>1682</v>
      </c>
      <c r="N332" s="75"/>
      <c r="O332" s="211" t="s">
        <v>695</v>
      </c>
      <c r="P332" s="77"/>
      <c r="Q332" s="193"/>
      <c r="R332" s="193"/>
      <c r="S332" s="86" t="s">
        <v>1083</v>
      </c>
      <c r="T332" s="86" t="s">
        <v>1084</v>
      </c>
      <c r="U332" s="86" t="s">
        <v>1940</v>
      </c>
      <c r="V332" s="233" t="s">
        <v>1941</v>
      </c>
      <c r="W332" s="75"/>
      <c r="X332" s="84" t="s">
        <v>1087</v>
      </c>
      <c r="Y332" s="86" t="s">
        <v>1088</v>
      </c>
      <c r="Z332" s="194" t="s">
        <v>1942</v>
      </c>
      <c r="AA332" s="131" t="s">
        <v>811</v>
      </c>
    </row>
    <row r="333" spans="2:27" ht="60" hidden="1" customHeight="1">
      <c r="B333" s="84" t="s">
        <v>1091</v>
      </c>
      <c r="C333" s="84" t="s">
        <v>1092</v>
      </c>
      <c r="D333" s="84" t="s">
        <v>1093</v>
      </c>
      <c r="E333" s="195">
        <v>2</v>
      </c>
      <c r="F333" s="194" t="s">
        <v>1680</v>
      </c>
      <c r="G333" s="194" t="s">
        <v>1681</v>
      </c>
      <c r="H333" s="75" t="s">
        <v>1409</v>
      </c>
      <c r="I333" s="76">
        <v>15</v>
      </c>
      <c r="J333" s="75" t="s">
        <v>693</v>
      </c>
      <c r="K333" s="76"/>
      <c r="L333" s="76"/>
      <c r="M333" s="84" t="s">
        <v>1682</v>
      </c>
      <c r="N333" s="75"/>
      <c r="O333" s="211"/>
      <c r="P333" s="77"/>
      <c r="Q333" s="193"/>
      <c r="R333" s="193"/>
      <c r="S333" s="86" t="s">
        <v>1094</v>
      </c>
      <c r="T333" s="86" t="s">
        <v>1095</v>
      </c>
      <c r="U333" s="86" t="s">
        <v>1683</v>
      </c>
      <c r="V333" s="233" t="s">
        <v>1943</v>
      </c>
      <c r="W333" s="75"/>
      <c r="X333" s="84" t="s">
        <v>1098</v>
      </c>
      <c r="Y333" s="86" t="s">
        <v>1099</v>
      </c>
      <c r="Z333" s="194" t="s">
        <v>1944</v>
      </c>
      <c r="AA333" s="131" t="s">
        <v>1101</v>
      </c>
    </row>
    <row r="334" spans="2:27" ht="60" hidden="1" customHeight="1">
      <c r="B334" s="194" t="s">
        <v>1102</v>
      </c>
      <c r="C334" s="194" t="s">
        <v>1103</v>
      </c>
      <c r="D334" s="194" t="s">
        <v>1104</v>
      </c>
      <c r="E334" s="195">
        <v>2</v>
      </c>
      <c r="F334" s="194" t="s">
        <v>1680</v>
      </c>
      <c r="G334" s="194" t="s">
        <v>1681</v>
      </c>
      <c r="H334" s="75" t="s">
        <v>1409</v>
      </c>
      <c r="I334" s="76">
        <v>15</v>
      </c>
      <c r="J334" s="75" t="s">
        <v>693</v>
      </c>
      <c r="K334" s="76"/>
      <c r="L334" s="76"/>
      <c r="M334" s="84" t="s">
        <v>1682</v>
      </c>
      <c r="N334" s="75"/>
      <c r="O334" s="211"/>
      <c r="P334" s="77"/>
      <c r="Q334" s="193"/>
      <c r="R334" s="193"/>
      <c r="S334" s="86" t="s">
        <v>1105</v>
      </c>
      <c r="T334" s="86" t="s">
        <v>1106</v>
      </c>
      <c r="U334" s="86" t="s">
        <v>1945</v>
      </c>
      <c r="V334" s="233" t="s">
        <v>1946</v>
      </c>
      <c r="W334" s="75"/>
      <c r="X334" s="84" t="s">
        <v>1098</v>
      </c>
      <c r="Y334" s="86" t="s">
        <v>1099</v>
      </c>
      <c r="Z334" s="194" t="s">
        <v>1944</v>
      </c>
      <c r="AA334" s="131" t="s">
        <v>1101</v>
      </c>
    </row>
    <row r="335" spans="2:27" ht="60" hidden="1" customHeight="1">
      <c r="B335" s="84" t="s">
        <v>1109</v>
      </c>
      <c r="C335" s="84" t="s">
        <v>1110</v>
      </c>
      <c r="D335" s="84" t="s">
        <v>1111</v>
      </c>
      <c r="E335" s="131">
        <v>2</v>
      </c>
      <c r="F335" s="84" t="s">
        <v>812</v>
      </c>
      <c r="G335" s="75" t="s">
        <v>813</v>
      </c>
      <c r="H335" s="75" t="s">
        <v>814</v>
      </c>
      <c r="I335" s="76">
        <v>23</v>
      </c>
      <c r="J335" s="75" t="s">
        <v>815</v>
      </c>
      <c r="K335" s="76">
        <v>23</v>
      </c>
      <c r="L335" s="76"/>
      <c r="M335" s="86" t="s">
        <v>816</v>
      </c>
      <c r="N335" s="75"/>
      <c r="O335" s="76"/>
      <c r="P335" s="77"/>
      <c r="Q335" s="75"/>
      <c r="R335" s="75"/>
      <c r="S335" s="86" t="s">
        <v>1083</v>
      </c>
      <c r="T335" s="86" t="s">
        <v>1084</v>
      </c>
      <c r="U335" s="87" t="s">
        <v>818</v>
      </c>
      <c r="V335" s="175" t="s">
        <v>1947</v>
      </c>
      <c r="W335" s="75"/>
      <c r="X335" s="86" t="s">
        <v>811</v>
      </c>
      <c r="Y335" s="86" t="s">
        <v>811</v>
      </c>
      <c r="Z335" s="86" t="s">
        <v>811</v>
      </c>
      <c r="AA335" s="131" t="s">
        <v>811</v>
      </c>
    </row>
    <row r="336" spans="2:27" ht="94.5" hidden="1" customHeight="1">
      <c r="B336" s="86" t="s">
        <v>1115</v>
      </c>
      <c r="C336" s="86" t="s">
        <v>1116</v>
      </c>
      <c r="D336" s="86" t="s">
        <v>1117</v>
      </c>
      <c r="E336" s="195">
        <v>2</v>
      </c>
      <c r="F336" s="194" t="s">
        <v>1680</v>
      </c>
      <c r="G336" s="194" t="s">
        <v>1681</v>
      </c>
      <c r="H336" s="75" t="s">
        <v>1409</v>
      </c>
      <c r="I336" s="76">
        <v>15</v>
      </c>
      <c r="J336" s="75" t="s">
        <v>693</v>
      </c>
      <c r="K336" s="76"/>
      <c r="L336" s="76"/>
      <c r="M336" s="84" t="s">
        <v>1682</v>
      </c>
      <c r="N336" s="75"/>
      <c r="O336" s="211"/>
      <c r="P336" s="77"/>
      <c r="Q336" s="193"/>
      <c r="R336" s="193"/>
      <c r="S336" s="86" t="s">
        <v>1094</v>
      </c>
      <c r="T336" s="86" t="s">
        <v>1095</v>
      </c>
      <c r="U336" s="86" t="s">
        <v>1683</v>
      </c>
      <c r="V336" s="233" t="s">
        <v>1948</v>
      </c>
      <c r="W336" s="75"/>
      <c r="X336" s="84" t="s">
        <v>1087</v>
      </c>
      <c r="Y336" s="86" t="s">
        <v>1413</v>
      </c>
      <c r="Z336" s="194" t="s">
        <v>1685</v>
      </c>
      <c r="AA336" s="131" t="s">
        <v>1415</v>
      </c>
    </row>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9"/>
    <row r="390"/>
    <row r="391"/>
    <row r="392"/>
    <row r="393"/>
    <row r="394"/>
    <row r="395"/>
    <row r="396"/>
    <row r="397"/>
    <row r="398"/>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607"/>
    <row r="608"/>
    <row r="609"/>
    <row r="610"/>
    <row r="611"/>
    <row r="612"/>
    <row r="613"/>
    <row r="614"/>
    <row r="615"/>
    <row r="616"/>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84"/>
    <row r="685"/>
    <row r="686"/>
    <row r="687"/>
    <row r="688"/>
    <row r="689"/>
    <row r="690"/>
    <row r="691"/>
    <row r="713"/>
    <row r="714"/>
    <row r="715"/>
    <row r="716"/>
    <row r="717"/>
    <row r="718"/>
    <row r="719"/>
    <row r="720"/>
    <row r="721"/>
    <row r="722"/>
    <row r="723"/>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sheetData>
  <sortState xmlns:xlrd2="http://schemas.microsoft.com/office/spreadsheetml/2017/richdata2" ref="B9:AA143">
    <sortCondition ref="C9:C143"/>
    <sortCondition ref="G9:G143"/>
  </sortState>
  <mergeCells count="8">
    <mergeCell ref="X6:AA6"/>
    <mergeCell ref="X7:AA7"/>
    <mergeCell ref="B6:P6"/>
    <mergeCell ref="B7:P7"/>
    <mergeCell ref="Q6:R6"/>
    <mergeCell ref="Q7:R7"/>
    <mergeCell ref="S7:V7"/>
    <mergeCell ref="S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4"/>
  <sheetViews>
    <sheetView showGridLines="0" topLeftCell="D1" workbookViewId="0">
      <selection activeCell="H47" sqref="H47"/>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1949</v>
      </c>
      <c r="C2" s="89" t="s">
        <v>665</v>
      </c>
      <c r="D2" s="89" t="s">
        <v>1950</v>
      </c>
      <c r="E2" s="89" t="s">
        <v>1951</v>
      </c>
      <c r="F2" s="89" t="s">
        <v>1952</v>
      </c>
      <c r="G2" s="89" t="s">
        <v>1953</v>
      </c>
      <c r="H2" s="90" t="s">
        <v>1954</v>
      </c>
      <c r="I2" s="236" t="s">
        <v>1955</v>
      </c>
    </row>
    <row r="3" spans="2:9" ht="39.75" hidden="1" customHeight="1">
      <c r="B3" s="77" t="s">
        <v>648</v>
      </c>
      <c r="C3" s="77" t="s">
        <v>649</v>
      </c>
      <c r="D3" s="77" t="s">
        <v>1956</v>
      </c>
      <c r="E3" s="77" t="s">
        <v>1957</v>
      </c>
      <c r="F3" s="77" t="s">
        <v>1958</v>
      </c>
      <c r="G3" s="77" t="s">
        <v>1959</v>
      </c>
      <c r="H3" s="87" t="s">
        <v>1960</v>
      </c>
      <c r="I3" s="87" t="s">
        <v>1961</v>
      </c>
    </row>
    <row r="4" spans="2:9" ht="39.75" hidden="1" customHeight="1">
      <c r="B4" s="77" t="s">
        <v>648</v>
      </c>
      <c r="C4" s="77" t="s">
        <v>649</v>
      </c>
      <c r="D4" s="77" t="s">
        <v>1956</v>
      </c>
      <c r="E4" s="77" t="s">
        <v>1957</v>
      </c>
      <c r="F4" s="77" t="s">
        <v>1962</v>
      </c>
      <c r="G4" s="77" t="s">
        <v>1963</v>
      </c>
      <c r="H4" s="87" t="s">
        <v>1964</v>
      </c>
      <c r="I4" s="87" t="s">
        <v>1965</v>
      </c>
    </row>
    <row r="5" spans="2:9" ht="39.75" hidden="1" customHeight="1">
      <c r="B5" s="77" t="s">
        <v>648</v>
      </c>
      <c r="C5" s="77" t="s">
        <v>649</v>
      </c>
      <c r="D5" s="77" t="s">
        <v>1956</v>
      </c>
      <c r="E5" s="77" t="s">
        <v>1957</v>
      </c>
      <c r="F5" s="77" t="s">
        <v>1962</v>
      </c>
      <c r="G5" s="77" t="s">
        <v>1966</v>
      </c>
      <c r="H5" s="87" t="s">
        <v>1967</v>
      </c>
      <c r="I5" s="87" t="s">
        <v>1965</v>
      </c>
    </row>
    <row r="6" spans="2:9" ht="39.75" hidden="1" customHeight="1">
      <c r="B6" s="77" t="s">
        <v>648</v>
      </c>
      <c r="C6" s="77" t="s">
        <v>649</v>
      </c>
      <c r="D6" s="77" t="s">
        <v>1968</v>
      </c>
      <c r="E6" s="77" t="s">
        <v>1969</v>
      </c>
      <c r="F6" s="132" t="s">
        <v>1968</v>
      </c>
      <c r="G6" s="77" t="s">
        <v>1970</v>
      </c>
      <c r="H6" s="87" t="s">
        <v>1971</v>
      </c>
      <c r="I6" s="87" t="s">
        <v>1961</v>
      </c>
    </row>
    <row r="7" spans="2:9" ht="39.75" hidden="1" customHeight="1">
      <c r="B7" s="83" t="s">
        <v>648</v>
      </c>
      <c r="C7" s="77" t="s">
        <v>649</v>
      </c>
      <c r="D7" s="83" t="s">
        <v>1972</v>
      </c>
      <c r="E7" s="83" t="s">
        <v>1973</v>
      </c>
      <c r="F7" s="83" t="s">
        <v>1972</v>
      </c>
      <c r="G7" s="83" t="s">
        <v>1974</v>
      </c>
      <c r="H7" s="91" t="s">
        <v>1975</v>
      </c>
      <c r="I7" s="87" t="s">
        <v>1961</v>
      </c>
    </row>
    <row r="8" spans="2:9" ht="39.75" hidden="1" customHeight="1">
      <c r="B8" s="83" t="s">
        <v>651</v>
      </c>
      <c r="C8" s="83" t="s">
        <v>652</v>
      </c>
      <c r="D8" s="83" t="s">
        <v>1972</v>
      </c>
      <c r="E8" s="83" t="s">
        <v>1973</v>
      </c>
      <c r="F8" s="83" t="s">
        <v>1972</v>
      </c>
      <c r="G8" s="83" t="s">
        <v>1976</v>
      </c>
      <c r="H8" s="91" t="s">
        <v>1977</v>
      </c>
      <c r="I8" s="87" t="s">
        <v>1961</v>
      </c>
    </row>
    <row r="9" spans="2:9" ht="39.75" hidden="1" customHeight="1">
      <c r="B9" s="83" t="s">
        <v>651</v>
      </c>
      <c r="C9" s="83" t="s">
        <v>652</v>
      </c>
      <c r="D9" s="83" t="s">
        <v>1972</v>
      </c>
      <c r="E9" s="83" t="s">
        <v>1974</v>
      </c>
      <c r="F9" s="83" t="s">
        <v>1978</v>
      </c>
      <c r="G9" s="83" t="s">
        <v>1979</v>
      </c>
      <c r="H9" s="91" t="s">
        <v>1980</v>
      </c>
      <c r="I9" s="87" t="s">
        <v>1961</v>
      </c>
    </row>
    <row r="10" spans="2:9" ht="39.75" hidden="1" customHeight="1">
      <c r="B10" s="83" t="s">
        <v>651</v>
      </c>
      <c r="C10" s="83" t="s">
        <v>652</v>
      </c>
      <c r="D10" s="83" t="s">
        <v>1978</v>
      </c>
      <c r="E10" s="77" t="s">
        <v>1981</v>
      </c>
      <c r="F10" s="77" t="s">
        <v>1978</v>
      </c>
      <c r="G10" s="77" t="s">
        <v>1979</v>
      </c>
      <c r="H10" s="87" t="s">
        <v>1982</v>
      </c>
      <c r="I10" s="87" t="s">
        <v>1961</v>
      </c>
    </row>
    <row r="11" spans="2:9" ht="39.75" hidden="1" customHeight="1">
      <c r="B11" s="83" t="s">
        <v>1076</v>
      </c>
      <c r="C11" s="83" t="s">
        <v>1078</v>
      </c>
      <c r="D11" s="83" t="s">
        <v>1968</v>
      </c>
      <c r="E11" s="77" t="s">
        <v>1969</v>
      </c>
      <c r="F11" s="132" t="s">
        <v>1968</v>
      </c>
      <c r="G11" s="77" t="s">
        <v>1970</v>
      </c>
      <c r="H11" s="87" t="s">
        <v>1971</v>
      </c>
      <c r="I11" s="87" t="s">
        <v>1961</v>
      </c>
    </row>
    <row r="12" spans="2:9" ht="39.75" hidden="1" customHeight="1">
      <c r="B12" s="83" t="s">
        <v>1076</v>
      </c>
      <c r="C12" s="83" t="s">
        <v>1078</v>
      </c>
      <c r="D12" s="83" t="s">
        <v>1972</v>
      </c>
      <c r="E12" s="83" t="s">
        <v>1973</v>
      </c>
      <c r="F12" s="83" t="s">
        <v>1972</v>
      </c>
      <c r="G12" s="83" t="s">
        <v>1974</v>
      </c>
      <c r="H12" s="91" t="s">
        <v>1983</v>
      </c>
      <c r="I12" s="87" t="s">
        <v>1961</v>
      </c>
    </row>
    <row r="13" spans="2:9" ht="39.75" hidden="1" customHeight="1">
      <c r="B13" s="83" t="s">
        <v>1076</v>
      </c>
      <c r="C13" s="83" t="s">
        <v>1078</v>
      </c>
      <c r="D13" s="83" t="s">
        <v>1972</v>
      </c>
      <c r="E13" s="83" t="s">
        <v>1974</v>
      </c>
      <c r="F13" s="132" t="s">
        <v>1968</v>
      </c>
      <c r="G13" s="77" t="s">
        <v>1970</v>
      </c>
      <c r="H13" s="91" t="s">
        <v>1984</v>
      </c>
      <c r="I13" s="87" t="s">
        <v>1961</v>
      </c>
    </row>
    <row r="14" spans="2:9" ht="39.75" hidden="1" customHeight="1">
      <c r="B14" s="83" t="s">
        <v>1282</v>
      </c>
      <c r="C14" s="234" t="s">
        <v>1284</v>
      </c>
      <c r="D14" s="83" t="s">
        <v>1985</v>
      </c>
      <c r="E14" s="83" t="s">
        <v>1986</v>
      </c>
      <c r="F14" s="83" t="s">
        <v>1985</v>
      </c>
      <c r="G14" s="83" t="s">
        <v>1987</v>
      </c>
      <c r="H14" s="91" t="s">
        <v>1988</v>
      </c>
      <c r="I14" s="87" t="s">
        <v>1965</v>
      </c>
    </row>
    <row r="15" spans="2:9" ht="39.75" hidden="1" customHeight="1">
      <c r="B15" s="83" t="s">
        <v>1282</v>
      </c>
      <c r="C15" s="79" t="s">
        <v>1284</v>
      </c>
      <c r="D15" s="83" t="s">
        <v>1985</v>
      </c>
      <c r="E15" s="83" t="s">
        <v>1986</v>
      </c>
      <c r="F15" s="83" t="s">
        <v>1985</v>
      </c>
      <c r="G15" s="83" t="s">
        <v>1989</v>
      </c>
      <c r="H15" s="91" t="s">
        <v>1990</v>
      </c>
      <c r="I15" s="87" t="s">
        <v>1965</v>
      </c>
    </row>
    <row r="16" spans="2:9" ht="39.75" hidden="1" customHeight="1">
      <c r="B16" s="83" t="s">
        <v>1282</v>
      </c>
      <c r="C16" s="79" t="s">
        <v>1284</v>
      </c>
      <c r="D16" s="83" t="s">
        <v>1985</v>
      </c>
      <c r="E16" s="83" t="s">
        <v>1986</v>
      </c>
      <c r="F16" s="83" t="s">
        <v>1985</v>
      </c>
      <c r="G16" s="83" t="s">
        <v>1991</v>
      </c>
      <c r="H16" s="91" t="s">
        <v>1992</v>
      </c>
      <c r="I16" s="91" t="s">
        <v>1965</v>
      </c>
    </row>
    <row r="17" spans="2:9" ht="39.75" hidden="1" customHeight="1">
      <c r="B17" s="83" t="s">
        <v>1282</v>
      </c>
      <c r="C17" s="79" t="s">
        <v>1284</v>
      </c>
      <c r="D17" s="83" t="s">
        <v>1985</v>
      </c>
      <c r="E17" s="83" t="s">
        <v>1991</v>
      </c>
      <c r="F17" s="83" t="s">
        <v>1985</v>
      </c>
      <c r="G17" s="83" t="s">
        <v>1993</v>
      </c>
      <c r="H17" s="81" t="s">
        <v>1994</v>
      </c>
      <c r="I17" s="87" t="s">
        <v>1965</v>
      </c>
    </row>
    <row r="18" spans="2:9" ht="39.75" hidden="1" customHeight="1">
      <c r="B18" s="83" t="s">
        <v>1282</v>
      </c>
      <c r="C18" s="79" t="s">
        <v>1284</v>
      </c>
      <c r="D18" s="83" t="s">
        <v>1968</v>
      </c>
      <c r="E18" s="83" t="s">
        <v>1969</v>
      </c>
      <c r="F18" s="83" t="s">
        <v>1968</v>
      </c>
      <c r="G18" s="83" t="s">
        <v>1995</v>
      </c>
      <c r="H18" s="81" t="s">
        <v>1996</v>
      </c>
      <c r="I18" s="77" t="s">
        <v>1961</v>
      </c>
    </row>
    <row r="19" spans="2:9" ht="39.75" hidden="1" customHeight="1">
      <c r="B19" s="83" t="s">
        <v>1282</v>
      </c>
      <c r="C19" s="79" t="s">
        <v>1284</v>
      </c>
      <c r="D19" s="83" t="s">
        <v>1972</v>
      </c>
      <c r="E19" s="83" t="s">
        <v>1973</v>
      </c>
      <c r="F19" s="83" t="s">
        <v>1972</v>
      </c>
      <c r="G19" s="83" t="s">
        <v>1976</v>
      </c>
      <c r="H19" s="81" t="s">
        <v>1975</v>
      </c>
      <c r="I19" s="77" t="s">
        <v>1961</v>
      </c>
    </row>
    <row r="20" spans="2:9" ht="39.75" hidden="1" customHeight="1">
      <c r="B20" s="83" t="s">
        <v>1282</v>
      </c>
      <c r="C20" s="85" t="s">
        <v>1284</v>
      </c>
      <c r="D20" s="83" t="s">
        <v>1985</v>
      </c>
      <c r="E20" s="83" t="s">
        <v>1991</v>
      </c>
      <c r="F20" s="83" t="s">
        <v>1962</v>
      </c>
      <c r="G20" s="83" t="s">
        <v>1997</v>
      </c>
      <c r="H20" s="81" t="s">
        <v>1998</v>
      </c>
      <c r="I20" s="77" t="s">
        <v>1965</v>
      </c>
    </row>
    <row r="21" spans="2:9" ht="39.75" hidden="1" customHeight="1">
      <c r="B21" s="83" t="s">
        <v>1091</v>
      </c>
      <c r="C21" s="82" t="s">
        <v>1093</v>
      </c>
      <c r="D21" s="83" t="s">
        <v>1968</v>
      </c>
      <c r="E21" s="83" t="s">
        <v>1969</v>
      </c>
      <c r="F21" s="235" t="s">
        <v>1968</v>
      </c>
      <c r="G21" s="83" t="s">
        <v>1970</v>
      </c>
      <c r="H21" s="81" t="s">
        <v>1971</v>
      </c>
      <c r="I21" s="87" t="s">
        <v>1961</v>
      </c>
    </row>
    <row r="22" spans="2:9" ht="39.75" hidden="1" customHeight="1">
      <c r="B22" s="77" t="s">
        <v>1170</v>
      </c>
      <c r="C22" s="158" t="s">
        <v>1172</v>
      </c>
      <c r="D22" s="77" t="s">
        <v>1999</v>
      </c>
      <c r="E22" s="77" t="s">
        <v>2000</v>
      </c>
      <c r="F22" s="77" t="s">
        <v>1999</v>
      </c>
      <c r="G22" s="77" t="s">
        <v>2001</v>
      </c>
      <c r="H22" s="199" t="s">
        <v>2002</v>
      </c>
      <c r="I22" s="87" t="s">
        <v>1961</v>
      </c>
    </row>
    <row r="23" spans="2:9" ht="39.75" hidden="1" customHeight="1">
      <c r="B23" s="77" t="s">
        <v>1170</v>
      </c>
      <c r="C23" s="158" t="s">
        <v>1172</v>
      </c>
      <c r="D23" s="77" t="s">
        <v>1999</v>
      </c>
      <c r="E23" s="77" t="s">
        <v>2003</v>
      </c>
      <c r="F23" s="77" t="s">
        <v>1962</v>
      </c>
      <c r="G23" s="77" t="s">
        <v>2004</v>
      </c>
      <c r="H23" s="87" t="s">
        <v>2005</v>
      </c>
      <c r="I23" s="77" t="s">
        <v>1961</v>
      </c>
    </row>
    <row r="24" spans="2:9" ht="39.75" hidden="1" customHeight="1">
      <c r="B24" s="77" t="s">
        <v>1170</v>
      </c>
      <c r="C24" s="158" t="s">
        <v>1172</v>
      </c>
      <c r="D24" s="77" t="s">
        <v>1999</v>
      </c>
      <c r="E24" s="77" t="s">
        <v>2000</v>
      </c>
      <c r="F24" s="77" t="s">
        <v>1999</v>
      </c>
      <c r="G24" s="77" t="s">
        <v>2006</v>
      </c>
      <c r="H24" s="87" t="s">
        <v>2007</v>
      </c>
      <c r="I24" s="87" t="s">
        <v>1965</v>
      </c>
    </row>
    <row r="25" spans="2:9" ht="39.75" hidden="1" customHeight="1">
      <c r="B25" s="77" t="s">
        <v>1170</v>
      </c>
      <c r="C25" s="158" t="s">
        <v>1172</v>
      </c>
      <c r="D25" s="77" t="s">
        <v>1999</v>
      </c>
      <c r="E25" s="77" t="s">
        <v>2000</v>
      </c>
      <c r="F25" s="77" t="s">
        <v>1999</v>
      </c>
      <c r="G25" s="77" t="s">
        <v>2008</v>
      </c>
      <c r="H25" s="87" t="s">
        <v>2009</v>
      </c>
      <c r="I25" s="87" t="s">
        <v>1965</v>
      </c>
    </row>
    <row r="26" spans="2:9" ht="39.75" hidden="1" customHeight="1">
      <c r="B26" s="77" t="s">
        <v>1170</v>
      </c>
      <c r="C26" s="158" t="s">
        <v>1172</v>
      </c>
      <c r="D26" s="77" t="s">
        <v>1999</v>
      </c>
      <c r="E26" s="77" t="s">
        <v>2000</v>
      </c>
      <c r="F26" s="77" t="s">
        <v>1999</v>
      </c>
      <c r="G26" s="77" t="s">
        <v>2010</v>
      </c>
      <c r="H26" s="87" t="s">
        <v>2011</v>
      </c>
      <c r="I26" s="87" t="s">
        <v>1965</v>
      </c>
    </row>
    <row r="27" spans="2:9" ht="39.75" hidden="1" customHeight="1">
      <c r="B27" s="77" t="s">
        <v>1170</v>
      </c>
      <c r="C27" s="158" t="s">
        <v>1172</v>
      </c>
      <c r="D27" s="77" t="s">
        <v>1999</v>
      </c>
      <c r="E27" s="77" t="s">
        <v>2000</v>
      </c>
      <c r="F27" s="87" t="s">
        <v>2012</v>
      </c>
      <c r="G27" s="77" t="s">
        <v>2013</v>
      </c>
      <c r="H27" s="87" t="s">
        <v>2014</v>
      </c>
      <c r="I27" s="87" t="s">
        <v>1965</v>
      </c>
    </row>
    <row r="28" spans="2:9" ht="39.75" hidden="1" customHeight="1">
      <c r="B28" s="83" t="s">
        <v>1170</v>
      </c>
      <c r="C28" s="237" t="s">
        <v>1172</v>
      </c>
      <c r="D28" s="83" t="s">
        <v>1999</v>
      </c>
      <c r="E28" s="83" t="s">
        <v>2000</v>
      </c>
      <c r="F28" s="83" t="s">
        <v>1999</v>
      </c>
      <c r="G28" s="83" t="s">
        <v>2015</v>
      </c>
      <c r="H28" s="91" t="s">
        <v>2016</v>
      </c>
      <c r="I28" s="91" t="s">
        <v>1965</v>
      </c>
    </row>
    <row r="29" spans="2:9" ht="39.75" hidden="1" customHeight="1">
      <c r="B29" s="83" t="s">
        <v>1721</v>
      </c>
      <c r="C29" s="84" t="s">
        <v>1723</v>
      </c>
      <c r="D29" s="77" t="s">
        <v>1999</v>
      </c>
      <c r="E29" s="77" t="s">
        <v>2000</v>
      </c>
      <c r="F29" s="77" t="s">
        <v>1999</v>
      </c>
      <c r="G29" s="77" t="s">
        <v>2001</v>
      </c>
      <c r="H29" s="199" t="s">
        <v>2002</v>
      </c>
      <c r="I29" s="87" t="s">
        <v>1961</v>
      </c>
    </row>
    <row r="30" spans="2:9" ht="39.75" hidden="1" customHeight="1">
      <c r="B30" s="83" t="s">
        <v>1721</v>
      </c>
      <c r="C30" s="84" t="s">
        <v>1723</v>
      </c>
      <c r="D30" s="77" t="s">
        <v>1999</v>
      </c>
      <c r="E30" s="77" t="s">
        <v>2003</v>
      </c>
      <c r="F30" s="77" t="s">
        <v>1962</v>
      </c>
      <c r="G30" s="77" t="s">
        <v>2004</v>
      </c>
      <c r="H30" s="87" t="s">
        <v>2005</v>
      </c>
      <c r="I30" s="77" t="s">
        <v>1961</v>
      </c>
    </row>
    <row r="31" spans="2:9" ht="39.75" hidden="1" customHeight="1">
      <c r="B31" s="83" t="s">
        <v>1721</v>
      </c>
      <c r="C31" s="84" t="s">
        <v>1723</v>
      </c>
      <c r="D31" s="77" t="s">
        <v>1999</v>
      </c>
      <c r="E31" s="77" t="s">
        <v>2000</v>
      </c>
      <c r="F31" s="77" t="s">
        <v>1999</v>
      </c>
      <c r="G31" s="77" t="s">
        <v>2006</v>
      </c>
      <c r="H31" s="87" t="s">
        <v>2007</v>
      </c>
      <c r="I31" s="87" t="s">
        <v>1965</v>
      </c>
    </row>
    <row r="32" spans="2:9" ht="39.75" hidden="1" customHeight="1">
      <c r="B32" s="83" t="s">
        <v>1721</v>
      </c>
      <c r="C32" s="84" t="s">
        <v>1723</v>
      </c>
      <c r="D32" s="77" t="s">
        <v>1999</v>
      </c>
      <c r="E32" s="77" t="s">
        <v>2000</v>
      </c>
      <c r="F32" s="77" t="s">
        <v>1999</v>
      </c>
      <c r="G32" s="77" t="s">
        <v>2008</v>
      </c>
      <c r="H32" s="87" t="s">
        <v>2009</v>
      </c>
      <c r="I32" s="87" t="s">
        <v>1965</v>
      </c>
    </row>
    <row r="33" spans="2:9" ht="39.75" hidden="1" customHeight="1">
      <c r="B33" s="83" t="s">
        <v>1721</v>
      </c>
      <c r="C33" s="84" t="s">
        <v>1723</v>
      </c>
      <c r="D33" s="77" t="s">
        <v>1999</v>
      </c>
      <c r="E33" s="77" t="s">
        <v>2000</v>
      </c>
      <c r="F33" s="77" t="s">
        <v>1999</v>
      </c>
      <c r="G33" s="77" t="s">
        <v>2010</v>
      </c>
      <c r="H33" s="87" t="s">
        <v>2011</v>
      </c>
      <c r="I33" s="87" t="s">
        <v>1965</v>
      </c>
    </row>
    <row r="34" spans="2:9" ht="39.75" hidden="1" customHeight="1">
      <c r="B34" s="83" t="s">
        <v>1721</v>
      </c>
      <c r="C34" s="84" t="s">
        <v>1723</v>
      </c>
      <c r="D34" s="77" t="s">
        <v>1999</v>
      </c>
      <c r="E34" s="77" t="s">
        <v>2000</v>
      </c>
      <c r="F34" s="87" t="s">
        <v>2012</v>
      </c>
      <c r="G34" s="77" t="s">
        <v>2013</v>
      </c>
      <c r="H34" s="87" t="s">
        <v>2014</v>
      </c>
      <c r="I34" s="87" t="s">
        <v>1965</v>
      </c>
    </row>
    <row r="35" spans="2:9" ht="39.75" hidden="1" customHeight="1">
      <c r="B35" s="83" t="s">
        <v>1721</v>
      </c>
      <c r="C35" s="84" t="s">
        <v>1723</v>
      </c>
      <c r="D35" s="83" t="s">
        <v>1999</v>
      </c>
      <c r="E35" s="83" t="s">
        <v>2000</v>
      </c>
      <c r="F35" s="83" t="s">
        <v>1999</v>
      </c>
      <c r="G35" s="83" t="s">
        <v>2015</v>
      </c>
      <c r="H35" s="91" t="s">
        <v>2016</v>
      </c>
      <c r="I35" s="91" t="s">
        <v>1965</v>
      </c>
    </row>
    <row r="36" spans="2:9" ht="39.75" customHeight="1">
      <c r="B36" s="83" t="s">
        <v>869</v>
      </c>
      <c r="C36" s="84" t="s">
        <v>2017</v>
      </c>
      <c r="D36" s="83" t="s">
        <v>1999</v>
      </c>
      <c r="E36" s="83" t="s">
        <v>2018</v>
      </c>
      <c r="F36" s="83" t="s">
        <v>1999</v>
      </c>
      <c r="G36" s="83" t="s">
        <v>2003</v>
      </c>
      <c r="H36" s="91" t="s">
        <v>2019</v>
      </c>
      <c r="I36" s="87" t="s">
        <v>1961</v>
      </c>
    </row>
    <row r="37" spans="2:9" ht="39.75" customHeight="1">
      <c r="B37" s="83" t="s">
        <v>869</v>
      </c>
      <c r="C37" s="84" t="s">
        <v>2017</v>
      </c>
      <c r="D37" s="83" t="s">
        <v>1999</v>
      </c>
      <c r="E37" s="83" t="s">
        <v>2003</v>
      </c>
      <c r="F37" s="83" t="s">
        <v>1962</v>
      </c>
      <c r="G37" s="83" t="s">
        <v>2004</v>
      </c>
      <c r="H37" s="91" t="s">
        <v>2020</v>
      </c>
      <c r="I37" s="87" t="s">
        <v>1961</v>
      </c>
    </row>
    <row r="38" spans="2:9" ht="39.75" customHeight="1">
      <c r="B38" s="83" t="s">
        <v>869</v>
      </c>
      <c r="C38" s="237" t="s">
        <v>2017</v>
      </c>
      <c r="D38" s="83" t="s">
        <v>1999</v>
      </c>
      <c r="E38" s="83" t="s">
        <v>2018</v>
      </c>
      <c r="F38" s="83" t="s">
        <v>1999</v>
      </c>
      <c r="G38" s="83" t="s">
        <v>2015</v>
      </c>
      <c r="H38" s="91" t="s">
        <v>2021</v>
      </c>
      <c r="I38" s="91" t="s">
        <v>1965</v>
      </c>
    </row>
    <row r="39" spans="2:9" ht="39.75" customHeight="1">
      <c r="B39" s="83" t="s">
        <v>869</v>
      </c>
      <c r="C39" s="237" t="s">
        <v>2017</v>
      </c>
      <c r="D39" s="83" t="s">
        <v>1999</v>
      </c>
      <c r="E39" s="83" t="s">
        <v>2018</v>
      </c>
      <c r="F39" s="83" t="s">
        <v>1999</v>
      </c>
      <c r="G39" s="83" t="s">
        <v>2006</v>
      </c>
      <c r="H39" s="91" t="s">
        <v>2022</v>
      </c>
      <c r="I39" s="91" t="s">
        <v>1965</v>
      </c>
    </row>
    <row r="40" spans="2:9" ht="39.75" customHeight="1">
      <c r="B40" s="83" t="s">
        <v>869</v>
      </c>
      <c r="C40" s="237" t="s">
        <v>2017</v>
      </c>
      <c r="D40" s="83" t="s">
        <v>1999</v>
      </c>
      <c r="E40" s="83" t="s">
        <v>2018</v>
      </c>
      <c r="F40" s="83" t="s">
        <v>1999</v>
      </c>
      <c r="G40" s="83" t="s">
        <v>2008</v>
      </c>
      <c r="H40" s="91" t="s">
        <v>2023</v>
      </c>
      <c r="I40" s="91" t="s">
        <v>1965</v>
      </c>
    </row>
    <row r="41" spans="2:9" ht="39.75" customHeight="1">
      <c r="B41" s="83" t="s">
        <v>869</v>
      </c>
      <c r="C41" s="237" t="s">
        <v>2017</v>
      </c>
      <c r="D41" s="83" t="s">
        <v>1999</v>
      </c>
      <c r="E41" s="83" t="s">
        <v>2018</v>
      </c>
      <c r="F41" s="83" t="s">
        <v>1999</v>
      </c>
      <c r="G41" s="83" t="s">
        <v>2010</v>
      </c>
      <c r="H41" s="91" t="s">
        <v>2024</v>
      </c>
      <c r="I41" s="91" t="s">
        <v>1965</v>
      </c>
    </row>
    <row r="42" spans="2:9" ht="39.75" customHeight="1">
      <c r="B42" s="83" t="s">
        <v>869</v>
      </c>
      <c r="C42" s="237" t="s">
        <v>2017</v>
      </c>
      <c r="D42" s="83" t="s">
        <v>1999</v>
      </c>
      <c r="E42" s="83" t="s">
        <v>2000</v>
      </c>
      <c r="F42" s="83" t="s">
        <v>1999</v>
      </c>
      <c r="G42" s="83" t="s">
        <v>2003</v>
      </c>
      <c r="H42" s="91" t="s">
        <v>2002</v>
      </c>
      <c r="I42" s="87" t="s">
        <v>1961</v>
      </c>
    </row>
    <row r="43" spans="2:9" ht="39.75" customHeight="1">
      <c r="B43" s="83" t="s">
        <v>869</v>
      </c>
      <c r="C43" s="237" t="s">
        <v>2017</v>
      </c>
      <c r="D43" s="83" t="s">
        <v>1999</v>
      </c>
      <c r="E43" s="83" t="s">
        <v>2000</v>
      </c>
      <c r="F43" s="83" t="s">
        <v>1999</v>
      </c>
      <c r="G43" s="83" t="s">
        <v>2015</v>
      </c>
      <c r="H43" s="91" t="s">
        <v>2025</v>
      </c>
      <c r="I43" s="91" t="s">
        <v>1965</v>
      </c>
    </row>
    <row r="44" spans="2:9" ht="39.75" customHeight="1">
      <c r="B44" s="83" t="s">
        <v>869</v>
      </c>
      <c r="C44" s="237" t="s">
        <v>2017</v>
      </c>
      <c r="D44" s="83" t="s">
        <v>1999</v>
      </c>
      <c r="E44" s="83" t="s">
        <v>2000</v>
      </c>
      <c r="F44" s="83" t="s">
        <v>1999</v>
      </c>
      <c r="G44" s="83" t="s">
        <v>2006</v>
      </c>
      <c r="H44" s="91" t="s">
        <v>2007</v>
      </c>
      <c r="I44" s="91" t="s">
        <v>1965</v>
      </c>
    </row>
    <row r="45" spans="2:9" ht="39.75" customHeight="1">
      <c r="B45" s="83" t="s">
        <v>869</v>
      </c>
      <c r="C45" s="237" t="s">
        <v>2017</v>
      </c>
      <c r="D45" s="83" t="s">
        <v>1999</v>
      </c>
      <c r="E45" s="83" t="s">
        <v>2000</v>
      </c>
      <c r="F45" s="83" t="s">
        <v>1999</v>
      </c>
      <c r="G45" s="83" t="s">
        <v>2008</v>
      </c>
      <c r="H45" s="91" t="s">
        <v>2026</v>
      </c>
      <c r="I45" s="91" t="s">
        <v>1965</v>
      </c>
    </row>
    <row r="46" spans="2:9" ht="39.75" customHeight="1">
      <c r="B46" s="83" t="s">
        <v>869</v>
      </c>
      <c r="C46" s="237" t="s">
        <v>2017</v>
      </c>
      <c r="D46" s="83" t="s">
        <v>1999</v>
      </c>
      <c r="E46" s="83" t="s">
        <v>2000</v>
      </c>
      <c r="F46" s="83" t="s">
        <v>1999</v>
      </c>
      <c r="G46" s="83" t="s">
        <v>2010</v>
      </c>
      <c r="H46" s="91" t="s">
        <v>2011</v>
      </c>
      <c r="I46" s="91" t="s">
        <v>1965</v>
      </c>
    </row>
    <row r="47" spans="2:9" ht="39.75" customHeight="1">
      <c r="B47" s="83" t="s">
        <v>869</v>
      </c>
      <c r="C47" s="237" t="s">
        <v>2017</v>
      </c>
      <c r="D47" s="83" t="s">
        <v>1968</v>
      </c>
      <c r="E47" s="83" t="s">
        <v>1969</v>
      </c>
      <c r="F47" s="83" t="s">
        <v>1968</v>
      </c>
      <c r="G47" s="83" t="s">
        <v>1995</v>
      </c>
      <c r="H47" s="91" t="s">
        <v>2027</v>
      </c>
      <c r="I47" s="87" t="s">
        <v>1961</v>
      </c>
    </row>
    <row r="48" spans="2:9" ht="39.75" customHeight="1">
      <c r="B48" s="83" t="s">
        <v>869</v>
      </c>
      <c r="C48" s="237" t="s">
        <v>2017</v>
      </c>
      <c r="D48" s="83" t="s">
        <v>1972</v>
      </c>
      <c r="E48" s="83" t="s">
        <v>1973</v>
      </c>
      <c r="F48" s="83" t="s">
        <v>1972</v>
      </c>
      <c r="G48" s="83" t="s">
        <v>1976</v>
      </c>
      <c r="H48" s="91" t="s">
        <v>2028</v>
      </c>
      <c r="I48" s="91" t="s">
        <v>1965</v>
      </c>
    </row>
    <row r="49" spans="2:9" ht="39.75" customHeight="1">
      <c r="B49" s="83" t="s">
        <v>869</v>
      </c>
      <c r="C49" s="237" t="s">
        <v>2017</v>
      </c>
      <c r="D49" s="83" t="s">
        <v>1972</v>
      </c>
      <c r="E49" s="83" t="s">
        <v>1973</v>
      </c>
      <c r="F49" s="83" t="s">
        <v>1999</v>
      </c>
      <c r="G49" s="83" t="s">
        <v>2003</v>
      </c>
      <c r="H49" s="91" t="s">
        <v>2029</v>
      </c>
      <c r="I49" s="91" t="s">
        <v>1965</v>
      </c>
    </row>
    <row r="50" spans="2:9" ht="39.75" hidden="1" customHeight="1">
      <c r="B50" s="83" t="s">
        <v>1755</v>
      </c>
      <c r="C50" s="84" t="s">
        <v>1757</v>
      </c>
      <c r="D50" s="83" t="s">
        <v>2030</v>
      </c>
      <c r="E50" s="83" t="s">
        <v>2031</v>
      </c>
      <c r="F50" s="83" t="s">
        <v>2030</v>
      </c>
      <c r="G50" s="83" t="s">
        <v>2032</v>
      </c>
      <c r="H50" s="91" t="s">
        <v>2033</v>
      </c>
      <c r="I50" s="87" t="s">
        <v>1961</v>
      </c>
    </row>
    <row r="51" spans="2:9" ht="39.75" hidden="1" customHeight="1">
      <c r="B51" s="83" t="s">
        <v>1565</v>
      </c>
      <c r="C51" s="84" t="s">
        <v>1567</v>
      </c>
      <c r="D51" s="83" t="s">
        <v>2034</v>
      </c>
      <c r="E51" s="83" t="s">
        <v>2035</v>
      </c>
      <c r="F51" s="83" t="s">
        <v>2034</v>
      </c>
      <c r="G51" s="83" t="s">
        <v>2036</v>
      </c>
      <c r="H51" s="91" t="s">
        <v>2037</v>
      </c>
      <c r="I51" s="91" t="s">
        <v>1961</v>
      </c>
    </row>
    <row r="52" spans="2:9" ht="39.75" hidden="1" customHeight="1">
      <c r="B52" s="83" t="s">
        <v>1565</v>
      </c>
      <c r="C52" s="237" t="s">
        <v>1567</v>
      </c>
      <c r="D52" s="83" t="s">
        <v>2034</v>
      </c>
      <c r="E52" s="83" t="s">
        <v>2038</v>
      </c>
      <c r="F52" s="83" t="s">
        <v>2034</v>
      </c>
      <c r="G52" s="83" t="s">
        <v>2039</v>
      </c>
      <c r="H52" s="91" t="s">
        <v>2040</v>
      </c>
      <c r="I52" s="91" t="s">
        <v>1961</v>
      </c>
    </row>
    <row r="53" spans="2:9" ht="39.75" hidden="1" customHeight="1">
      <c r="B53" s="83" t="s">
        <v>1565</v>
      </c>
      <c r="C53" s="237" t="s">
        <v>1567</v>
      </c>
      <c r="D53" s="83" t="s">
        <v>2034</v>
      </c>
      <c r="E53" s="83" t="s">
        <v>2038</v>
      </c>
      <c r="F53" s="83" t="s">
        <v>1962</v>
      </c>
      <c r="G53" s="83" t="s">
        <v>1997</v>
      </c>
      <c r="H53" s="91" t="s">
        <v>2041</v>
      </c>
      <c r="I53" s="91" t="s">
        <v>1965</v>
      </c>
    </row>
    <row r="54" spans="2:9" ht="39.75" hidden="1" customHeight="1">
      <c r="B54" s="83" t="s">
        <v>1565</v>
      </c>
      <c r="C54" s="237" t="s">
        <v>1567</v>
      </c>
      <c r="D54" s="83" t="s">
        <v>2034</v>
      </c>
      <c r="E54" s="83" t="s">
        <v>2038</v>
      </c>
      <c r="F54" s="83" t="s">
        <v>2034</v>
      </c>
      <c r="G54" s="83" t="s">
        <v>2042</v>
      </c>
      <c r="H54" s="91" t="s">
        <v>2043</v>
      </c>
      <c r="I54" s="91" t="s">
        <v>1965</v>
      </c>
    </row>
    <row r="55" spans="2:9" ht="39.75" hidden="1" customHeight="1">
      <c r="B55" s="83" t="s">
        <v>1565</v>
      </c>
      <c r="C55" s="237" t="s">
        <v>1567</v>
      </c>
      <c r="D55" s="83" t="s">
        <v>1962</v>
      </c>
      <c r="E55" s="83" t="s">
        <v>1966</v>
      </c>
      <c r="F55" s="83" t="s">
        <v>2034</v>
      </c>
      <c r="G55" s="83" t="s">
        <v>2044</v>
      </c>
      <c r="H55" s="91" t="s">
        <v>2045</v>
      </c>
      <c r="I55" s="91" t="s">
        <v>1965</v>
      </c>
    </row>
    <row r="56" spans="2:9" ht="39.75" hidden="1" customHeight="1">
      <c r="B56" s="83" t="s">
        <v>1565</v>
      </c>
      <c r="C56" s="237" t="s">
        <v>1567</v>
      </c>
      <c r="D56" s="83" t="s">
        <v>1972</v>
      </c>
      <c r="E56" s="83" t="s">
        <v>1973</v>
      </c>
      <c r="F56" s="83" t="s">
        <v>1972</v>
      </c>
      <c r="G56" s="83" t="s">
        <v>1976</v>
      </c>
      <c r="H56" s="91" t="s">
        <v>2028</v>
      </c>
      <c r="I56" s="87" t="s">
        <v>1961</v>
      </c>
    </row>
    <row r="57" spans="2:9" ht="39.75" hidden="1" customHeight="1">
      <c r="B57" s="83" t="s">
        <v>1565</v>
      </c>
      <c r="C57" s="237" t="s">
        <v>1567</v>
      </c>
      <c r="D57" s="83" t="s">
        <v>1972</v>
      </c>
      <c r="E57" s="83" t="s">
        <v>1973</v>
      </c>
      <c r="F57" s="83" t="s">
        <v>2034</v>
      </c>
      <c r="G57" s="83" t="s">
        <v>2036</v>
      </c>
      <c r="H57" s="91" t="s">
        <v>2046</v>
      </c>
      <c r="I57" s="91" t="s">
        <v>1961</v>
      </c>
    </row>
    <row r="58" spans="2:9" ht="39.75" hidden="1" customHeight="1">
      <c r="B58" s="83" t="s">
        <v>1565</v>
      </c>
      <c r="C58" s="237" t="s">
        <v>1567</v>
      </c>
      <c r="D58" s="83" t="s">
        <v>1972</v>
      </c>
      <c r="E58" s="83" t="s">
        <v>1973</v>
      </c>
      <c r="F58" s="83" t="s">
        <v>1962</v>
      </c>
      <c r="G58" s="83" t="s">
        <v>1966</v>
      </c>
      <c r="H58" s="91" t="s">
        <v>2047</v>
      </c>
      <c r="I58" s="91" t="s">
        <v>1961</v>
      </c>
    </row>
    <row r="59" spans="2:9" ht="39.75" hidden="1" customHeight="1">
      <c r="B59" s="83" t="s">
        <v>1109</v>
      </c>
      <c r="C59" s="84" t="s">
        <v>1111</v>
      </c>
      <c r="D59" s="83" t="s">
        <v>1968</v>
      </c>
      <c r="E59" s="77" t="s">
        <v>1969</v>
      </c>
      <c r="F59" s="132" t="s">
        <v>1968</v>
      </c>
      <c r="G59" s="77" t="s">
        <v>1970</v>
      </c>
      <c r="H59" s="87" t="s">
        <v>1971</v>
      </c>
      <c r="I59" s="87" t="s">
        <v>1961</v>
      </c>
    </row>
    <row r="60" spans="2:9" ht="39.75" hidden="1" customHeight="1">
      <c r="B60" s="83" t="s">
        <v>1109</v>
      </c>
      <c r="C60" s="84" t="s">
        <v>1111</v>
      </c>
      <c r="D60" s="83" t="s">
        <v>1972</v>
      </c>
      <c r="E60" s="83" t="s">
        <v>1973</v>
      </c>
      <c r="F60" s="83" t="s">
        <v>1972</v>
      </c>
      <c r="G60" s="83" t="s">
        <v>1974</v>
      </c>
      <c r="H60" s="91" t="s">
        <v>1983</v>
      </c>
      <c r="I60" s="87" t="s">
        <v>1961</v>
      </c>
    </row>
    <row r="61" spans="2:9" ht="39.75" hidden="1" customHeight="1">
      <c r="B61" s="83" t="s">
        <v>1109</v>
      </c>
      <c r="C61" s="84" t="s">
        <v>1111</v>
      </c>
      <c r="D61" s="83" t="s">
        <v>1972</v>
      </c>
      <c r="E61" s="83" t="s">
        <v>1974</v>
      </c>
      <c r="F61" s="235" t="s">
        <v>1968</v>
      </c>
      <c r="G61" s="83" t="s">
        <v>1970</v>
      </c>
      <c r="H61" s="91" t="s">
        <v>1984</v>
      </c>
      <c r="I61" s="91" t="s">
        <v>1961</v>
      </c>
    </row>
    <row r="62" spans="2:9" ht="39.75" hidden="1" customHeight="1">
      <c r="B62" s="83" t="s">
        <v>1102</v>
      </c>
      <c r="C62" s="82" t="s">
        <v>1104</v>
      </c>
      <c r="D62" s="83" t="s">
        <v>1968</v>
      </c>
      <c r="E62" s="83" t="s">
        <v>1969</v>
      </c>
      <c r="F62" s="235" t="s">
        <v>1968</v>
      </c>
      <c r="G62" s="83" t="s">
        <v>1970</v>
      </c>
      <c r="H62" s="81" t="s">
        <v>1971</v>
      </c>
      <c r="I62" s="87" t="s">
        <v>1961</v>
      </c>
    </row>
    <row r="63" spans="2:9" ht="39.75" hidden="1" customHeight="1">
      <c r="B63" s="83" t="s">
        <v>1115</v>
      </c>
      <c r="C63" s="86" t="s">
        <v>1117</v>
      </c>
      <c r="D63" s="83" t="s">
        <v>1968</v>
      </c>
      <c r="E63" s="77" t="s">
        <v>1969</v>
      </c>
      <c r="F63" s="132" t="s">
        <v>1968</v>
      </c>
      <c r="G63" s="77" t="s">
        <v>1970</v>
      </c>
      <c r="H63" s="87" t="s">
        <v>1971</v>
      </c>
      <c r="I63" s="87" t="s">
        <v>1961</v>
      </c>
    </row>
    <row r="64" spans="2:9" ht="39.75" hidden="1" customHeight="1">
      <c r="B64" s="83" t="s">
        <v>1115</v>
      </c>
      <c r="C64" s="237" t="s">
        <v>1117</v>
      </c>
      <c r="D64" s="83" t="s">
        <v>1972</v>
      </c>
      <c r="E64" s="83" t="s">
        <v>1973</v>
      </c>
      <c r="F64" s="83" t="s">
        <v>1972</v>
      </c>
      <c r="G64" s="83" t="s">
        <v>1974</v>
      </c>
      <c r="H64" s="91" t="s">
        <v>1983</v>
      </c>
      <c r="I64" s="87" t="s">
        <v>1961</v>
      </c>
    </row>
    <row r="65" spans="2:9" ht="39.75" hidden="1" customHeight="1">
      <c r="B65" s="83" t="s">
        <v>1115</v>
      </c>
      <c r="C65" s="237" t="s">
        <v>1117</v>
      </c>
      <c r="D65" s="83" t="s">
        <v>1972</v>
      </c>
      <c r="E65" s="83" t="s">
        <v>1974</v>
      </c>
      <c r="F65" s="132" t="s">
        <v>1968</v>
      </c>
      <c r="G65" s="77" t="s">
        <v>1970</v>
      </c>
      <c r="H65" s="91" t="s">
        <v>1984</v>
      </c>
      <c r="I65" s="87" t="s">
        <v>1961</v>
      </c>
    </row>
    <row r="66" spans="2:9" ht="39.75" hidden="1" customHeight="1">
      <c r="B66" s="83" t="s">
        <v>1459</v>
      </c>
      <c r="C66" s="159" t="s">
        <v>1461</v>
      </c>
      <c r="D66" s="83" t="s">
        <v>2048</v>
      </c>
      <c r="E66" s="83" t="s">
        <v>2049</v>
      </c>
      <c r="F66" s="83" t="s">
        <v>2048</v>
      </c>
      <c r="G66" s="83" t="s">
        <v>2050</v>
      </c>
      <c r="H66" s="91" t="s">
        <v>2051</v>
      </c>
      <c r="I66" s="87" t="s">
        <v>1961</v>
      </c>
    </row>
    <row r="67" spans="2:9" ht="39.75" hidden="1" customHeight="1">
      <c r="B67" s="83" t="s">
        <v>1801</v>
      </c>
      <c r="C67" s="84" t="s">
        <v>1803</v>
      </c>
      <c r="D67" s="83" t="s">
        <v>2052</v>
      </c>
      <c r="E67" s="83" t="s">
        <v>2053</v>
      </c>
      <c r="F67" s="83" t="s">
        <v>2052</v>
      </c>
      <c r="G67" s="83" t="s">
        <v>2054</v>
      </c>
      <c r="H67" s="91" t="s">
        <v>2055</v>
      </c>
      <c r="I67" s="87" t="s">
        <v>1961</v>
      </c>
    </row>
    <row r="68" spans="2:9" ht="39.75" hidden="1" customHeight="1">
      <c r="B68" s="83" t="s">
        <v>1801</v>
      </c>
      <c r="C68" s="237" t="s">
        <v>1803</v>
      </c>
      <c r="D68" s="83" t="s">
        <v>2052</v>
      </c>
      <c r="E68" s="83" t="s">
        <v>2056</v>
      </c>
      <c r="F68" s="83" t="s">
        <v>2052</v>
      </c>
      <c r="G68" s="83" t="s">
        <v>2057</v>
      </c>
      <c r="H68" s="91" t="s">
        <v>2058</v>
      </c>
      <c r="I68" s="87" t="s">
        <v>1961</v>
      </c>
    </row>
    <row r="69" spans="2:9" ht="39.75" hidden="1" customHeight="1">
      <c r="B69" s="83" t="s">
        <v>1801</v>
      </c>
      <c r="C69" s="237" t="s">
        <v>1803</v>
      </c>
      <c r="D69" s="83" t="s">
        <v>2052</v>
      </c>
      <c r="E69" s="83" t="s">
        <v>2059</v>
      </c>
      <c r="F69" s="83" t="s">
        <v>2052</v>
      </c>
      <c r="G69" s="83" t="s">
        <v>2060</v>
      </c>
      <c r="H69" s="91" t="s">
        <v>2061</v>
      </c>
      <c r="I69" s="87" t="s">
        <v>1961</v>
      </c>
    </row>
    <row r="70" spans="2:9" ht="39.75" hidden="1" customHeight="1">
      <c r="B70" s="83" t="s">
        <v>1801</v>
      </c>
      <c r="C70" s="237" t="s">
        <v>1803</v>
      </c>
      <c r="D70" s="83" t="s">
        <v>2052</v>
      </c>
      <c r="E70" s="83" t="s">
        <v>2062</v>
      </c>
      <c r="F70" s="83" t="s">
        <v>2052</v>
      </c>
      <c r="G70" s="83" t="s">
        <v>2063</v>
      </c>
      <c r="H70" s="91" t="s">
        <v>2064</v>
      </c>
      <c r="I70" s="87" t="s">
        <v>1961</v>
      </c>
    </row>
    <row r="71" spans="2:9" ht="39.75" hidden="1" customHeight="1">
      <c r="B71" s="83" t="s">
        <v>1801</v>
      </c>
      <c r="C71" s="237" t="s">
        <v>1803</v>
      </c>
      <c r="D71" s="83" t="s">
        <v>1968</v>
      </c>
      <c r="E71" s="83" t="s">
        <v>1969</v>
      </c>
      <c r="F71" s="83" t="s">
        <v>1968</v>
      </c>
      <c r="G71" s="83" t="s">
        <v>1995</v>
      </c>
      <c r="H71" s="91" t="s">
        <v>2027</v>
      </c>
      <c r="I71" s="87" t="s">
        <v>1961</v>
      </c>
    </row>
    <row r="72" spans="2:9" ht="39.75" hidden="1" customHeight="1">
      <c r="B72" s="83" t="s">
        <v>1801</v>
      </c>
      <c r="C72" s="237" t="s">
        <v>1803</v>
      </c>
      <c r="D72" s="83" t="s">
        <v>1972</v>
      </c>
      <c r="E72" s="83" t="s">
        <v>1973</v>
      </c>
      <c r="F72" s="83" t="s">
        <v>1972</v>
      </c>
      <c r="G72" s="83" t="s">
        <v>1976</v>
      </c>
      <c r="H72" s="91" t="s">
        <v>2065</v>
      </c>
      <c r="I72" s="87" t="s">
        <v>1961</v>
      </c>
    </row>
    <row r="73" spans="2:9">
      <c r="B73"/>
      <c r="C73"/>
      <c r="D73"/>
      <c r="E73"/>
      <c r="F73"/>
    </row>
    <row r="74" spans="2:9">
      <c r="B74"/>
      <c r="C74"/>
      <c r="D74"/>
      <c r="E74"/>
      <c r="F74"/>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workbookViewId="0">
      <selection activeCell="H27" sqref="H27"/>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2066</v>
      </c>
      <c r="E2" s="103" t="s">
        <v>2067</v>
      </c>
      <c r="F2" s="103" t="s">
        <v>2068</v>
      </c>
      <c r="G2" s="103" t="s">
        <v>2069</v>
      </c>
      <c r="H2" s="103" t="s">
        <v>2070</v>
      </c>
    </row>
    <row r="3" spans="2:8" ht="39.75" hidden="1" customHeight="1">
      <c r="B3" s="77" t="s">
        <v>648</v>
      </c>
      <c r="C3" s="77" t="s">
        <v>649</v>
      </c>
      <c r="D3" s="77" t="s">
        <v>1956</v>
      </c>
      <c r="E3" s="77" t="s">
        <v>1957</v>
      </c>
      <c r="F3" s="87" t="s">
        <v>2071</v>
      </c>
      <c r="G3" s="77" t="s">
        <v>2072</v>
      </c>
      <c r="H3" s="142" t="s">
        <v>2073</v>
      </c>
    </row>
    <row r="4" spans="2:8" ht="39.75" hidden="1" customHeight="1">
      <c r="B4" s="83" t="s">
        <v>648</v>
      </c>
      <c r="C4" s="77" t="s">
        <v>649</v>
      </c>
      <c r="D4" s="83" t="s">
        <v>1968</v>
      </c>
      <c r="E4" s="83" t="s">
        <v>1969</v>
      </c>
      <c r="F4" s="91" t="s">
        <v>2074</v>
      </c>
      <c r="G4" s="87" t="s">
        <v>2075</v>
      </c>
      <c r="H4" s="87" t="s">
        <v>2076</v>
      </c>
    </row>
    <row r="5" spans="2:8" ht="39.75" hidden="1" customHeight="1">
      <c r="B5" s="83" t="s">
        <v>648</v>
      </c>
      <c r="C5" s="77" t="s">
        <v>649</v>
      </c>
      <c r="D5" s="83" t="s">
        <v>1972</v>
      </c>
      <c r="E5" s="83" t="s">
        <v>1973</v>
      </c>
      <c r="F5" s="91" t="s">
        <v>2077</v>
      </c>
      <c r="G5" s="77" t="s">
        <v>2078</v>
      </c>
      <c r="H5" s="87" t="s">
        <v>2079</v>
      </c>
    </row>
    <row r="6" spans="2:8" ht="39.75" hidden="1" customHeight="1">
      <c r="B6" s="83" t="s">
        <v>651</v>
      </c>
      <c r="C6" s="83" t="s">
        <v>652</v>
      </c>
      <c r="D6" s="83" t="s">
        <v>1978</v>
      </c>
      <c r="E6" s="83" t="s">
        <v>1981</v>
      </c>
      <c r="F6" s="91" t="s">
        <v>2080</v>
      </c>
      <c r="G6" s="87" t="s">
        <v>2081</v>
      </c>
      <c r="H6" s="87" t="s">
        <v>2082</v>
      </c>
    </row>
    <row r="7" spans="2:8" ht="39.75" hidden="1" customHeight="1">
      <c r="B7" s="83" t="s">
        <v>651</v>
      </c>
      <c r="C7" s="83" t="s">
        <v>652</v>
      </c>
      <c r="D7" s="83" t="s">
        <v>1972</v>
      </c>
      <c r="E7" s="83" t="s">
        <v>1973</v>
      </c>
      <c r="F7" s="91" t="s">
        <v>2083</v>
      </c>
      <c r="G7" s="87" t="s">
        <v>2084</v>
      </c>
      <c r="H7" s="87" t="s">
        <v>2085</v>
      </c>
    </row>
    <row r="8" spans="2:8" ht="39.75" customHeight="1">
      <c r="B8" s="83" t="s">
        <v>1076</v>
      </c>
      <c r="C8" s="83" t="s">
        <v>1078</v>
      </c>
      <c r="D8" s="83" t="s">
        <v>1968</v>
      </c>
      <c r="E8" s="77" t="s">
        <v>1969</v>
      </c>
      <c r="F8" s="91" t="s">
        <v>2086</v>
      </c>
      <c r="G8" s="141" t="s">
        <v>2087</v>
      </c>
      <c r="H8" s="91" t="s">
        <v>2088</v>
      </c>
    </row>
    <row r="9" spans="2:8" ht="39.75" customHeight="1">
      <c r="B9" s="83" t="s">
        <v>1076</v>
      </c>
      <c r="C9" s="83" t="s">
        <v>1078</v>
      </c>
      <c r="D9" s="83" t="s">
        <v>1972</v>
      </c>
      <c r="E9" s="77" t="s">
        <v>1973</v>
      </c>
      <c r="F9" s="91" t="s">
        <v>2089</v>
      </c>
      <c r="G9" s="141" t="s">
        <v>2090</v>
      </c>
      <c r="H9" s="91" t="s">
        <v>2091</v>
      </c>
    </row>
    <row r="10" spans="2:8" ht="39.75" hidden="1" customHeight="1">
      <c r="B10" s="83" t="s">
        <v>1170</v>
      </c>
      <c r="C10" s="237" t="s">
        <v>1172</v>
      </c>
      <c r="D10" s="83" t="s">
        <v>1999</v>
      </c>
      <c r="E10" s="83" t="s">
        <v>2000</v>
      </c>
      <c r="F10" s="91" t="s">
        <v>2092</v>
      </c>
      <c r="G10" s="91" t="s">
        <v>2093</v>
      </c>
      <c r="H10" s="83" t="s">
        <v>1101</v>
      </c>
    </row>
    <row r="11" spans="2:8" ht="39.75" hidden="1" customHeight="1">
      <c r="B11" s="83" t="s">
        <v>1721</v>
      </c>
      <c r="C11" s="84" t="s">
        <v>1723</v>
      </c>
      <c r="D11" s="83" t="s">
        <v>1999</v>
      </c>
      <c r="E11" s="83" t="s">
        <v>2000</v>
      </c>
      <c r="F11" s="91" t="s">
        <v>2094</v>
      </c>
      <c r="G11" s="91" t="s">
        <v>2093</v>
      </c>
      <c r="H11" s="83" t="s">
        <v>1101</v>
      </c>
    </row>
    <row r="12" spans="2:8" ht="39.75" hidden="1" customHeight="1">
      <c r="B12" s="83" t="s">
        <v>1282</v>
      </c>
      <c r="C12" s="155" t="s">
        <v>1284</v>
      </c>
      <c r="D12" s="83" t="s">
        <v>1985</v>
      </c>
      <c r="E12" s="83" t="s">
        <v>1986</v>
      </c>
      <c r="F12" s="91" t="s">
        <v>2095</v>
      </c>
      <c r="G12" s="77" t="s">
        <v>2096</v>
      </c>
      <c r="H12" s="87" t="s">
        <v>2097</v>
      </c>
    </row>
    <row r="13" spans="2:8" ht="39.75" hidden="1" customHeight="1">
      <c r="B13" s="83" t="s">
        <v>1282</v>
      </c>
      <c r="C13" s="203" t="s">
        <v>1284</v>
      </c>
      <c r="D13" s="83" t="s">
        <v>1968</v>
      </c>
      <c r="E13" s="83" t="s">
        <v>1969</v>
      </c>
      <c r="F13" s="91" t="s">
        <v>2098</v>
      </c>
      <c r="G13" s="87" t="s">
        <v>2075</v>
      </c>
      <c r="H13" s="87" t="s">
        <v>2076</v>
      </c>
    </row>
    <row r="14" spans="2:8" ht="39.75" hidden="1" customHeight="1">
      <c r="B14" s="83" t="s">
        <v>1282</v>
      </c>
      <c r="C14" s="203" t="s">
        <v>1284</v>
      </c>
      <c r="D14" s="77" t="s">
        <v>1972</v>
      </c>
      <c r="E14" s="77" t="s">
        <v>1973</v>
      </c>
      <c r="F14" s="87" t="s">
        <v>2099</v>
      </c>
      <c r="G14" s="91" t="s">
        <v>2084</v>
      </c>
      <c r="H14" s="91" t="s">
        <v>2085</v>
      </c>
    </row>
    <row r="15" spans="2:8" ht="39.75" customHeight="1">
      <c r="B15" s="83" t="s">
        <v>1091</v>
      </c>
      <c r="C15" s="83" t="s">
        <v>1093</v>
      </c>
      <c r="D15" s="83" t="s">
        <v>1968</v>
      </c>
      <c r="E15" s="83" t="s">
        <v>1969</v>
      </c>
      <c r="F15" s="91" t="s">
        <v>2100</v>
      </c>
      <c r="G15" s="87" t="s">
        <v>2101</v>
      </c>
      <c r="H15" s="87" t="s">
        <v>2102</v>
      </c>
    </row>
    <row r="16" spans="2:8" ht="39.75" hidden="1" customHeight="1">
      <c r="B16" s="83" t="s">
        <v>869</v>
      </c>
      <c r="C16" s="155" t="s">
        <v>2017</v>
      </c>
      <c r="D16" s="77" t="s">
        <v>1999</v>
      </c>
      <c r="E16" s="83" t="s">
        <v>2018</v>
      </c>
      <c r="F16" s="91" t="s">
        <v>2103</v>
      </c>
      <c r="G16" s="87" t="s">
        <v>2093</v>
      </c>
      <c r="H16" s="77" t="s">
        <v>1101</v>
      </c>
    </row>
    <row r="17" spans="2:8" ht="39.75" hidden="1" customHeight="1">
      <c r="B17" s="83" t="s">
        <v>869</v>
      </c>
      <c r="C17" s="155" t="s">
        <v>2017</v>
      </c>
      <c r="D17" s="83" t="s">
        <v>1999</v>
      </c>
      <c r="E17" s="83" t="s">
        <v>2000</v>
      </c>
      <c r="F17" s="91" t="s">
        <v>2104</v>
      </c>
      <c r="G17" s="87" t="s">
        <v>2093</v>
      </c>
      <c r="H17" s="77" t="s">
        <v>1101</v>
      </c>
    </row>
    <row r="18" spans="2:8" ht="39.75" hidden="1" customHeight="1">
      <c r="B18" s="83" t="s">
        <v>869</v>
      </c>
      <c r="C18" s="155" t="s">
        <v>2017</v>
      </c>
      <c r="D18" s="83" t="s">
        <v>1968</v>
      </c>
      <c r="E18" s="77" t="s">
        <v>1969</v>
      </c>
      <c r="F18" s="91" t="s">
        <v>2105</v>
      </c>
      <c r="G18" s="87" t="s">
        <v>2106</v>
      </c>
      <c r="H18" s="87" t="s">
        <v>2107</v>
      </c>
    </row>
    <row r="19" spans="2:8" ht="39.75" hidden="1" customHeight="1">
      <c r="B19" s="83" t="s">
        <v>869</v>
      </c>
      <c r="C19" s="155" t="s">
        <v>2017</v>
      </c>
      <c r="D19" s="83" t="s">
        <v>1972</v>
      </c>
      <c r="E19" s="77" t="s">
        <v>1973</v>
      </c>
      <c r="F19" s="91" t="s">
        <v>2108</v>
      </c>
      <c r="G19" s="77" t="s">
        <v>2078</v>
      </c>
      <c r="H19" s="87" t="s">
        <v>2079</v>
      </c>
    </row>
    <row r="20" spans="2:8" ht="39.75" hidden="1" customHeight="1">
      <c r="B20" s="83" t="s">
        <v>869</v>
      </c>
      <c r="C20" s="155" t="s">
        <v>2017</v>
      </c>
      <c r="D20" s="83" t="s">
        <v>1972</v>
      </c>
      <c r="E20" s="83" t="s">
        <v>1973</v>
      </c>
      <c r="F20" s="91" t="s">
        <v>2109</v>
      </c>
      <c r="G20" s="77" t="s">
        <v>2078</v>
      </c>
      <c r="H20" s="87" t="s">
        <v>2079</v>
      </c>
    </row>
    <row r="21" spans="2:8" ht="39.75" hidden="1" customHeight="1">
      <c r="B21" s="83" t="s">
        <v>1755</v>
      </c>
      <c r="C21" s="155" t="s">
        <v>1757</v>
      </c>
      <c r="D21" s="83" t="s">
        <v>2030</v>
      </c>
      <c r="E21" s="83" t="s">
        <v>2031</v>
      </c>
      <c r="F21" s="91" t="s">
        <v>2110</v>
      </c>
      <c r="G21" s="77" t="s">
        <v>2072</v>
      </c>
      <c r="H21" s="87" t="s">
        <v>2111</v>
      </c>
    </row>
    <row r="22" spans="2:8" ht="39.75" hidden="1" customHeight="1">
      <c r="B22" s="83" t="s">
        <v>1565</v>
      </c>
      <c r="C22" s="155" t="s">
        <v>1567</v>
      </c>
      <c r="D22" s="83" t="s">
        <v>2034</v>
      </c>
      <c r="E22" s="83" t="s">
        <v>2035</v>
      </c>
      <c r="F22" s="91" t="s">
        <v>2112</v>
      </c>
      <c r="G22" s="141" t="s">
        <v>2113</v>
      </c>
      <c r="H22" s="91" t="s">
        <v>2114</v>
      </c>
    </row>
    <row r="23" spans="2:8" ht="39.75" hidden="1" customHeight="1">
      <c r="B23" s="83" t="s">
        <v>1565</v>
      </c>
      <c r="C23" s="155" t="s">
        <v>1567</v>
      </c>
      <c r="D23" s="83" t="s">
        <v>2034</v>
      </c>
      <c r="E23" s="83" t="s">
        <v>2038</v>
      </c>
      <c r="F23" s="91" t="s">
        <v>2115</v>
      </c>
      <c r="G23" s="77" t="s">
        <v>2116</v>
      </c>
      <c r="H23" s="87" t="s">
        <v>2117</v>
      </c>
    </row>
    <row r="24" spans="2:8" ht="39.75" hidden="1" customHeight="1">
      <c r="B24" s="83" t="s">
        <v>1565</v>
      </c>
      <c r="C24" s="155" t="s">
        <v>1567</v>
      </c>
      <c r="D24" s="83" t="s">
        <v>1972</v>
      </c>
      <c r="E24" s="77" t="s">
        <v>1973</v>
      </c>
      <c r="F24" s="91" t="s">
        <v>2089</v>
      </c>
      <c r="G24" s="141" t="s">
        <v>2090</v>
      </c>
      <c r="H24" s="91" t="s">
        <v>2091</v>
      </c>
    </row>
    <row r="25" spans="2:8" ht="39.75" customHeight="1">
      <c r="B25" s="83" t="s">
        <v>1109</v>
      </c>
      <c r="C25" s="155" t="s">
        <v>1111</v>
      </c>
      <c r="D25" s="83" t="s">
        <v>1968</v>
      </c>
      <c r="E25" s="83" t="s">
        <v>1969</v>
      </c>
      <c r="F25" s="91" t="s">
        <v>2118</v>
      </c>
      <c r="G25" s="141" t="s">
        <v>2119</v>
      </c>
      <c r="H25" s="91" t="s">
        <v>2120</v>
      </c>
    </row>
    <row r="26" spans="2:8" ht="39.75" customHeight="1">
      <c r="B26" s="83" t="s">
        <v>1109</v>
      </c>
      <c r="C26" s="155" t="s">
        <v>1111</v>
      </c>
      <c r="D26" s="83" t="s">
        <v>1972</v>
      </c>
      <c r="E26" s="83" t="s">
        <v>1973</v>
      </c>
      <c r="F26" s="91" t="s">
        <v>2121</v>
      </c>
      <c r="G26" s="141" t="s">
        <v>2122</v>
      </c>
      <c r="H26" s="91" t="s">
        <v>2123</v>
      </c>
    </row>
    <row r="27" spans="2:8" ht="39.75" customHeight="1">
      <c r="B27" s="83" t="s">
        <v>1102</v>
      </c>
      <c r="C27" s="83" t="s">
        <v>1104</v>
      </c>
      <c r="D27" s="83" t="s">
        <v>1968</v>
      </c>
      <c r="E27" s="83" t="s">
        <v>1969</v>
      </c>
      <c r="F27" s="91" t="s">
        <v>2124</v>
      </c>
      <c r="G27" s="87" t="s">
        <v>2125</v>
      </c>
      <c r="H27" s="87" t="s">
        <v>2126</v>
      </c>
    </row>
    <row r="28" spans="2:8" ht="39.75" customHeight="1">
      <c r="B28" s="83" t="s">
        <v>1115</v>
      </c>
      <c r="C28" s="155" t="s">
        <v>1117</v>
      </c>
      <c r="D28" s="83" t="s">
        <v>1968</v>
      </c>
      <c r="E28" s="83" t="s">
        <v>1969</v>
      </c>
      <c r="F28" s="91" t="s">
        <v>2127</v>
      </c>
      <c r="G28" s="141" t="s">
        <v>2128</v>
      </c>
      <c r="H28" s="91" t="s">
        <v>2129</v>
      </c>
    </row>
    <row r="29" spans="2:8" ht="39.75" customHeight="1">
      <c r="B29" s="83" t="s">
        <v>1115</v>
      </c>
      <c r="C29" s="155" t="s">
        <v>1117</v>
      </c>
      <c r="D29" s="83" t="s">
        <v>1972</v>
      </c>
      <c r="E29" s="83" t="s">
        <v>1973</v>
      </c>
      <c r="F29" s="91" t="s">
        <v>2130</v>
      </c>
      <c r="G29" s="141" t="s">
        <v>2131</v>
      </c>
      <c r="H29" s="91" t="s">
        <v>2132</v>
      </c>
    </row>
    <row r="30" spans="2:8" ht="39.75" hidden="1" customHeight="1">
      <c r="B30" s="83" t="s">
        <v>1459</v>
      </c>
      <c r="C30" s="259" t="s">
        <v>1461</v>
      </c>
      <c r="D30" s="83" t="s">
        <v>2048</v>
      </c>
      <c r="E30" s="83" t="s">
        <v>2049</v>
      </c>
      <c r="F30" s="91" t="s">
        <v>2133</v>
      </c>
      <c r="G30" s="87" t="s">
        <v>2134</v>
      </c>
      <c r="H30" s="87" t="s">
        <v>2135</v>
      </c>
    </row>
    <row r="31" spans="2:8" ht="39.75" hidden="1" customHeight="1">
      <c r="B31" s="83" t="s">
        <v>1801</v>
      </c>
      <c r="C31" s="155" t="s">
        <v>1803</v>
      </c>
      <c r="D31" s="83" t="s">
        <v>2052</v>
      </c>
      <c r="E31" s="83" t="s">
        <v>2053</v>
      </c>
      <c r="F31" s="91" t="s">
        <v>2136</v>
      </c>
      <c r="G31" s="83" t="s">
        <v>1101</v>
      </c>
      <c r="H31" s="83" t="s">
        <v>1101</v>
      </c>
    </row>
    <row r="32" spans="2:8" ht="39.75" hidden="1" customHeight="1">
      <c r="B32" s="83" t="s">
        <v>1801</v>
      </c>
      <c r="C32" s="155" t="s">
        <v>1803</v>
      </c>
      <c r="D32" s="83" t="s">
        <v>2052</v>
      </c>
      <c r="E32" s="83" t="s">
        <v>2056</v>
      </c>
      <c r="F32" s="91" t="s">
        <v>2137</v>
      </c>
      <c r="G32" s="83" t="s">
        <v>1101</v>
      </c>
      <c r="H32" s="83" t="s">
        <v>1101</v>
      </c>
    </row>
    <row r="33" spans="2:8" ht="39.75" hidden="1" customHeight="1">
      <c r="B33" s="83" t="s">
        <v>1801</v>
      </c>
      <c r="C33" s="155" t="s">
        <v>1803</v>
      </c>
      <c r="D33" s="83" t="s">
        <v>2052</v>
      </c>
      <c r="E33" s="83" t="s">
        <v>2059</v>
      </c>
      <c r="F33" s="91" t="s">
        <v>2138</v>
      </c>
      <c r="G33" s="83" t="s">
        <v>1101</v>
      </c>
      <c r="H33" s="83" t="s">
        <v>1101</v>
      </c>
    </row>
    <row r="34" spans="2:8" ht="39.75" hidden="1" customHeight="1">
      <c r="B34" s="83" t="s">
        <v>1801</v>
      </c>
      <c r="C34" s="155" t="s">
        <v>1803</v>
      </c>
      <c r="D34" s="83" t="s">
        <v>2052</v>
      </c>
      <c r="E34" s="83" t="s">
        <v>2062</v>
      </c>
      <c r="F34" s="91" t="s">
        <v>2139</v>
      </c>
      <c r="G34" s="83" t="s">
        <v>1101</v>
      </c>
      <c r="H34" s="83" t="s">
        <v>1101</v>
      </c>
    </row>
    <row r="35" spans="2:8" ht="39.75" hidden="1" customHeight="1">
      <c r="B35" s="83" t="s">
        <v>1801</v>
      </c>
      <c r="C35" s="155" t="s">
        <v>1803</v>
      </c>
      <c r="D35" s="77" t="s">
        <v>1968</v>
      </c>
      <c r="E35" s="77" t="s">
        <v>1969</v>
      </c>
      <c r="F35" s="87" t="s">
        <v>2074</v>
      </c>
      <c r="G35" s="77" t="s">
        <v>2075</v>
      </c>
      <c r="H35" s="77" t="s">
        <v>2076</v>
      </c>
    </row>
    <row r="36" spans="2:8" ht="39.75" hidden="1" customHeight="1">
      <c r="B36" s="83" t="s">
        <v>1801</v>
      </c>
      <c r="C36" s="155" t="s">
        <v>1803</v>
      </c>
      <c r="D36" s="83" t="s">
        <v>1972</v>
      </c>
      <c r="E36" s="83" t="s">
        <v>1973</v>
      </c>
      <c r="F36" s="91" t="s">
        <v>2077</v>
      </c>
      <c r="G36" s="83" t="s">
        <v>2078</v>
      </c>
      <c r="H36" s="83" t="s">
        <v>2079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H28" sqref="H28"/>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2140</v>
      </c>
      <c r="C2" s="95" t="s">
        <v>2141</v>
      </c>
      <c r="D2" s="95" t="s">
        <v>1529</v>
      </c>
      <c r="E2" s="96" t="s">
        <v>2142</v>
      </c>
    </row>
    <row r="3" spans="2:5" ht="39.75" customHeight="1">
      <c r="B3" s="162">
        <v>1</v>
      </c>
      <c r="C3" s="97" t="s">
        <v>2143</v>
      </c>
      <c r="D3" s="98" t="s">
        <v>2144</v>
      </c>
      <c r="E3" s="97"/>
    </row>
    <row r="4" spans="2:5" ht="39.75" customHeight="1">
      <c r="B4" s="162">
        <v>2</v>
      </c>
      <c r="C4" s="97" t="s">
        <v>2145</v>
      </c>
      <c r="D4" s="98" t="s">
        <v>2146</v>
      </c>
      <c r="E4" s="97"/>
    </row>
    <row r="5" spans="2:5" ht="39.75" customHeight="1">
      <c r="B5" s="162">
        <v>3</v>
      </c>
      <c r="C5" s="97" t="s">
        <v>2147</v>
      </c>
      <c r="D5" s="98" t="s">
        <v>2148</v>
      </c>
      <c r="E5" s="97"/>
    </row>
    <row r="6" spans="2:5" ht="39.75" customHeight="1">
      <c r="B6" s="162">
        <v>4</v>
      </c>
      <c r="C6" s="98" t="s">
        <v>2149</v>
      </c>
      <c r="D6" s="98" t="s">
        <v>2150</v>
      </c>
      <c r="E6" s="97"/>
    </row>
    <row r="7" spans="2:5" ht="39.75" customHeight="1">
      <c r="B7" s="163">
        <v>5</v>
      </c>
      <c r="C7" s="98" t="s">
        <v>2151</v>
      </c>
      <c r="D7" s="98" t="s">
        <v>2150</v>
      </c>
      <c r="E7" s="97"/>
    </row>
    <row r="8" spans="2:5" ht="39.75" customHeight="1">
      <c r="B8" s="163">
        <v>6</v>
      </c>
      <c r="C8" s="98" t="s">
        <v>2152</v>
      </c>
      <c r="D8" s="98" t="s">
        <v>2153</v>
      </c>
      <c r="E8" s="170" t="s">
        <v>2154</v>
      </c>
    </row>
    <row r="9" spans="2:5" ht="39.75" customHeight="1">
      <c r="B9" s="163">
        <v>7</v>
      </c>
      <c r="C9" s="97" t="s">
        <v>2155</v>
      </c>
      <c r="D9" s="98" t="s">
        <v>2156</v>
      </c>
      <c r="E9" s="97" t="s">
        <v>2157</v>
      </c>
    </row>
    <row r="10" spans="2:5" ht="39.75" customHeight="1">
      <c r="B10" s="162">
        <v>8</v>
      </c>
      <c r="C10" s="97" t="s">
        <v>2158</v>
      </c>
      <c r="D10" s="98" t="s">
        <v>2159</v>
      </c>
      <c r="E10" s="97"/>
    </row>
    <row r="11" spans="2:5" ht="39.75" customHeight="1">
      <c r="B11" s="163">
        <v>9</v>
      </c>
      <c r="C11" s="97" t="s">
        <v>2160</v>
      </c>
      <c r="D11" s="98" t="s">
        <v>2161</v>
      </c>
      <c r="E11" s="97"/>
    </row>
    <row r="12" spans="2:5" ht="39.75" customHeight="1">
      <c r="B12" s="162">
        <v>10</v>
      </c>
      <c r="C12" s="98" t="s">
        <v>2162</v>
      </c>
      <c r="D12" s="98" t="s">
        <v>2163</v>
      </c>
      <c r="E12" s="97"/>
    </row>
    <row r="13" spans="2:5" ht="39.75" customHeight="1">
      <c r="B13" s="163">
        <v>11</v>
      </c>
      <c r="C13" s="97" t="s">
        <v>2164</v>
      </c>
      <c r="D13" s="98" t="s">
        <v>2165</v>
      </c>
      <c r="E13" s="97"/>
    </row>
    <row r="14" spans="2:5" ht="39.75" customHeight="1">
      <c r="B14" s="163">
        <v>12</v>
      </c>
      <c r="C14" s="97" t="s">
        <v>2166</v>
      </c>
      <c r="D14" s="98" t="s">
        <v>2167</v>
      </c>
      <c r="E14" s="97"/>
    </row>
    <row r="15" spans="2:5" ht="39.75" customHeight="1">
      <c r="B15" s="163">
        <v>13</v>
      </c>
      <c r="C15" s="97" t="s">
        <v>2168</v>
      </c>
      <c r="D15" s="98" t="s">
        <v>2169</v>
      </c>
      <c r="E15" s="97"/>
    </row>
    <row r="16" spans="2:5" ht="39.75" customHeight="1">
      <c r="B16" s="164">
        <v>14</v>
      </c>
      <c r="C16" s="99" t="s">
        <v>2170</v>
      </c>
      <c r="D16" s="98" t="s">
        <v>2171</v>
      </c>
      <c r="E16" s="97"/>
    </row>
    <row r="17" spans="2:5" ht="39.75" customHeight="1">
      <c r="B17" s="163">
        <v>15</v>
      </c>
      <c r="C17" s="97" t="s">
        <v>2172</v>
      </c>
      <c r="D17" s="98" t="s">
        <v>2173</v>
      </c>
      <c r="E17" s="97"/>
    </row>
    <row r="18" spans="2:5" ht="39.75" customHeight="1">
      <c r="B18" s="163">
        <v>16</v>
      </c>
      <c r="C18" s="97" t="s">
        <v>2174</v>
      </c>
      <c r="D18" s="98" t="s">
        <v>2175</v>
      </c>
      <c r="E18" s="97"/>
    </row>
    <row r="19" spans="2:5" ht="39.75" customHeight="1">
      <c r="B19" s="163">
        <v>17</v>
      </c>
      <c r="C19" s="97" t="s">
        <v>2176</v>
      </c>
      <c r="D19" s="98" t="s">
        <v>2177</v>
      </c>
      <c r="E19" s="97"/>
    </row>
    <row r="20" spans="2:5" ht="39.75" customHeight="1">
      <c r="B20" s="164">
        <v>18</v>
      </c>
      <c r="C20" s="99" t="s">
        <v>2178</v>
      </c>
      <c r="D20" s="100" t="s">
        <v>2179</v>
      </c>
      <c r="E20" s="99"/>
    </row>
    <row r="21" spans="2:5" ht="39.75" customHeight="1">
      <c r="B21" s="164">
        <v>19</v>
      </c>
      <c r="C21" s="99" t="s">
        <v>2180</v>
      </c>
      <c r="D21" s="100" t="s">
        <v>2181</v>
      </c>
      <c r="E21" s="99" t="s">
        <v>2182</v>
      </c>
    </row>
    <row r="22" spans="2:5" ht="39.75" customHeight="1">
      <c r="B22" s="163">
        <v>20</v>
      </c>
      <c r="C22" s="97" t="s">
        <v>2183</v>
      </c>
      <c r="D22" s="98" t="s">
        <v>2184</v>
      </c>
      <c r="E22" s="97" t="s">
        <v>2185</v>
      </c>
    </row>
    <row r="23" spans="2:5" ht="39.75" customHeight="1">
      <c r="B23" s="163">
        <v>21</v>
      </c>
      <c r="C23" s="97" t="s">
        <v>2186</v>
      </c>
      <c r="D23" s="98" t="s">
        <v>2187</v>
      </c>
      <c r="E23" s="97" t="s">
        <v>2188</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2189</v>
      </c>
      <c r="C2" s="101" t="s">
        <v>2190</v>
      </c>
      <c r="D2" s="101" t="s">
        <v>2191</v>
      </c>
      <c r="E2" s="101" t="s">
        <v>2192</v>
      </c>
      <c r="F2" s="101" t="s">
        <v>2193</v>
      </c>
      <c r="G2" s="101" t="s">
        <v>2194</v>
      </c>
      <c r="H2" s="101" t="s">
        <v>2195</v>
      </c>
      <c r="I2" s="151" t="s">
        <v>691</v>
      </c>
      <c r="J2" s="151" t="s">
        <v>706</v>
      </c>
      <c r="K2" s="151" t="s">
        <v>716</v>
      </c>
      <c r="L2" s="151" t="s">
        <v>729</v>
      </c>
      <c r="M2" s="183" t="s">
        <v>737</v>
      </c>
      <c r="N2" s="183" t="s">
        <v>791</v>
      </c>
      <c r="O2" s="183" t="s">
        <v>758</v>
      </c>
      <c r="P2" s="151" t="s">
        <v>1321</v>
      </c>
      <c r="Q2" s="151" t="s">
        <v>1328</v>
      </c>
      <c r="R2" s="151" t="s">
        <v>767</v>
      </c>
      <c r="S2" s="151" t="s">
        <v>1341</v>
      </c>
      <c r="T2" s="151" t="s">
        <v>1349</v>
      </c>
      <c r="U2" s="151" t="s">
        <v>1354</v>
      </c>
      <c r="V2" s="151" t="s">
        <v>1365</v>
      </c>
      <c r="W2" s="151" t="s">
        <v>927</v>
      </c>
      <c r="X2" s="151" t="s">
        <v>1373</v>
      </c>
      <c r="Y2" s="151" t="s">
        <v>778</v>
      </c>
      <c r="Z2" s="183" t="s">
        <v>749</v>
      </c>
      <c r="AA2" s="151" t="s">
        <v>1388</v>
      </c>
      <c r="AB2" s="151" t="s">
        <v>798</v>
      </c>
      <c r="AC2" s="151" t="s">
        <v>806</v>
      </c>
      <c r="AD2" s="151" t="s">
        <v>813</v>
      </c>
    </row>
    <row r="3" spans="2:30">
      <c r="B3" s="145" t="s">
        <v>2143</v>
      </c>
      <c r="C3" s="102">
        <v>1</v>
      </c>
      <c r="D3" s="102" t="s">
        <v>2196</v>
      </c>
      <c r="E3" s="120">
        <v>45513</v>
      </c>
      <c r="F3" s="102">
        <v>1</v>
      </c>
      <c r="G3" s="121">
        <v>1</v>
      </c>
      <c r="H3" s="121">
        <v>1538</v>
      </c>
      <c r="I3" s="150" t="s">
        <v>2197</v>
      </c>
      <c r="J3" s="150" t="s">
        <v>2197</v>
      </c>
      <c r="K3" s="150" t="s">
        <v>2197</v>
      </c>
      <c r="L3" s="150" t="s">
        <v>2197</v>
      </c>
      <c r="M3" s="184" t="s">
        <v>2197</v>
      </c>
      <c r="N3" s="184" t="s">
        <v>2197</v>
      </c>
      <c r="O3" s="184" t="s">
        <v>2197</v>
      </c>
      <c r="P3" s="150" t="s">
        <v>2197</v>
      </c>
      <c r="Q3" s="150" t="s">
        <v>2197</v>
      </c>
      <c r="R3" s="150" t="s">
        <v>2197</v>
      </c>
      <c r="S3" s="150" t="s">
        <v>2197</v>
      </c>
      <c r="T3" s="150" t="s">
        <v>2197</v>
      </c>
      <c r="U3" s="150" t="s">
        <v>2197</v>
      </c>
      <c r="V3" s="150" t="s">
        <v>2197</v>
      </c>
      <c r="W3" s="150" t="s">
        <v>2197</v>
      </c>
      <c r="X3" s="150" t="s">
        <v>2197</v>
      </c>
      <c r="Y3" s="150" t="s">
        <v>2197</v>
      </c>
      <c r="Z3" s="184" t="s">
        <v>2197</v>
      </c>
      <c r="AA3" s="150" t="s">
        <v>2197</v>
      </c>
      <c r="AB3" s="150" t="s">
        <v>2197</v>
      </c>
      <c r="AC3" s="150" t="s">
        <v>2197</v>
      </c>
      <c r="AD3" s="150" t="s">
        <v>2197</v>
      </c>
    </row>
    <row r="4" spans="2:30">
      <c r="B4" s="145" t="s">
        <v>2145</v>
      </c>
      <c r="C4" s="102">
        <v>2</v>
      </c>
      <c r="D4" s="102" t="s">
        <v>2198</v>
      </c>
      <c r="E4" s="120">
        <v>45513</v>
      </c>
      <c r="F4" s="102">
        <v>1</v>
      </c>
      <c r="G4" s="121">
        <v>1</v>
      </c>
      <c r="H4" s="102">
        <v>0</v>
      </c>
      <c r="I4" s="150" t="s">
        <v>2197</v>
      </c>
      <c r="J4" s="150" t="s">
        <v>2197</v>
      </c>
      <c r="K4" s="150" t="s">
        <v>2197</v>
      </c>
      <c r="L4" s="150" t="s">
        <v>2197</v>
      </c>
      <c r="M4" s="184" t="s">
        <v>2197</v>
      </c>
      <c r="N4" s="184" t="s">
        <v>2197</v>
      </c>
      <c r="O4" s="184" t="s">
        <v>2197</v>
      </c>
      <c r="P4" s="150" t="s">
        <v>2197</v>
      </c>
      <c r="Q4" s="150" t="s">
        <v>2197</v>
      </c>
      <c r="R4" s="150" t="s">
        <v>2197</v>
      </c>
      <c r="S4" s="150" t="s">
        <v>2197</v>
      </c>
      <c r="T4" s="150" t="s">
        <v>2197</v>
      </c>
      <c r="U4" s="150" t="s">
        <v>2197</v>
      </c>
      <c r="V4" s="150" t="s">
        <v>2197</v>
      </c>
      <c r="W4" s="150" t="s">
        <v>2197</v>
      </c>
      <c r="X4" s="150" t="s">
        <v>2197</v>
      </c>
      <c r="Y4" s="150" t="s">
        <v>2197</v>
      </c>
      <c r="Z4" s="184" t="s">
        <v>2197</v>
      </c>
      <c r="AA4" s="150" t="s">
        <v>2197</v>
      </c>
      <c r="AB4" s="150" t="s">
        <v>2197</v>
      </c>
      <c r="AC4" s="150" t="s">
        <v>2197</v>
      </c>
      <c r="AD4" s="150" t="s">
        <v>2197</v>
      </c>
    </row>
    <row r="5" spans="2:30">
      <c r="B5" s="145" t="s">
        <v>2147</v>
      </c>
      <c r="C5" s="102">
        <v>3</v>
      </c>
      <c r="D5" s="102" t="s">
        <v>2199</v>
      </c>
      <c r="E5" s="120">
        <v>45513</v>
      </c>
      <c r="F5" s="102">
        <v>1</v>
      </c>
      <c r="G5" s="102">
        <v>0.77777799999999997</v>
      </c>
      <c r="H5" s="121">
        <v>1</v>
      </c>
      <c r="I5" s="150" t="s">
        <v>2200</v>
      </c>
      <c r="J5" s="150" t="s">
        <v>2200</v>
      </c>
      <c r="K5" s="150" t="s">
        <v>2201</v>
      </c>
      <c r="L5" s="150" t="s">
        <v>2201</v>
      </c>
      <c r="M5" s="184" t="s">
        <v>2197</v>
      </c>
      <c r="N5" s="184" t="s">
        <v>2201</v>
      </c>
      <c r="O5" s="184" t="s">
        <v>2201</v>
      </c>
      <c r="P5" s="150" t="s">
        <v>2201</v>
      </c>
      <c r="Q5" s="150" t="s">
        <v>2201</v>
      </c>
      <c r="R5" s="150" t="s">
        <v>2197</v>
      </c>
      <c r="S5" s="150" t="s">
        <v>2197</v>
      </c>
      <c r="T5" s="150" t="s">
        <v>2197</v>
      </c>
      <c r="U5" s="150" t="s">
        <v>2197</v>
      </c>
      <c r="V5" s="150" t="s">
        <v>2197</v>
      </c>
      <c r="W5" s="150" t="s">
        <v>2197</v>
      </c>
      <c r="X5" s="150" t="s">
        <v>2197</v>
      </c>
      <c r="Y5" s="150" t="s">
        <v>2197</v>
      </c>
      <c r="Z5" s="184" t="s">
        <v>2197</v>
      </c>
      <c r="AA5" s="150" t="s">
        <v>2197</v>
      </c>
      <c r="AB5" s="150" t="s">
        <v>2197</v>
      </c>
      <c r="AC5" s="150" t="s">
        <v>2201</v>
      </c>
      <c r="AD5" s="150" t="s">
        <v>2197</v>
      </c>
    </row>
    <row r="6" spans="2:30">
      <c r="B6" s="92" t="s">
        <v>2149</v>
      </c>
      <c r="C6" s="102">
        <v>4</v>
      </c>
      <c r="D6" s="102" t="s">
        <v>2202</v>
      </c>
      <c r="E6" s="120" t="s">
        <v>2197</v>
      </c>
      <c r="F6" s="102">
        <v>1</v>
      </c>
      <c r="G6" s="102" t="s">
        <v>2197</v>
      </c>
      <c r="H6" s="102"/>
      <c r="I6" s="150" t="s">
        <v>2197</v>
      </c>
      <c r="J6" s="150" t="s">
        <v>2197</v>
      </c>
      <c r="K6" s="150" t="s">
        <v>2197</v>
      </c>
      <c r="L6" s="150" t="s">
        <v>2197</v>
      </c>
      <c r="M6" s="184" t="s">
        <v>2197</v>
      </c>
      <c r="N6" s="184" t="s">
        <v>2197</v>
      </c>
      <c r="O6" s="184" t="s">
        <v>2197</v>
      </c>
      <c r="P6" s="150" t="s">
        <v>2197</v>
      </c>
      <c r="Q6" s="150" t="s">
        <v>2197</v>
      </c>
      <c r="R6" s="150" t="s">
        <v>2197</v>
      </c>
      <c r="S6" s="150" t="s">
        <v>2197</v>
      </c>
      <c r="T6" s="150" t="s">
        <v>2197</v>
      </c>
      <c r="U6" s="150" t="s">
        <v>2197</v>
      </c>
      <c r="V6" s="150" t="s">
        <v>2197</v>
      </c>
      <c r="W6" s="150" t="s">
        <v>2197</v>
      </c>
      <c r="X6" s="150" t="s">
        <v>2197</v>
      </c>
      <c r="Y6" s="150" t="s">
        <v>2197</v>
      </c>
      <c r="Z6" s="184" t="s">
        <v>2197</v>
      </c>
      <c r="AA6" s="150" t="s">
        <v>2197</v>
      </c>
      <c r="AB6" s="150" t="s">
        <v>2197</v>
      </c>
      <c r="AC6" s="150" t="s">
        <v>2197</v>
      </c>
      <c r="AD6" s="150" t="s">
        <v>2197</v>
      </c>
    </row>
    <row r="7" spans="2:30">
      <c r="B7" s="92" t="s">
        <v>2151</v>
      </c>
      <c r="C7" s="102">
        <v>5</v>
      </c>
      <c r="D7" s="102" t="s">
        <v>2202</v>
      </c>
      <c r="E7" s="120" t="s">
        <v>2197</v>
      </c>
      <c r="F7" s="102">
        <v>1</v>
      </c>
      <c r="G7" s="102" t="s">
        <v>2197</v>
      </c>
      <c r="H7" s="102"/>
      <c r="I7" s="150" t="s">
        <v>2197</v>
      </c>
      <c r="J7" s="150" t="s">
        <v>2197</v>
      </c>
      <c r="K7" s="150" t="s">
        <v>2197</v>
      </c>
      <c r="L7" s="150" t="s">
        <v>2197</v>
      </c>
      <c r="M7" s="184" t="s">
        <v>2197</v>
      </c>
      <c r="N7" s="184" t="s">
        <v>2197</v>
      </c>
      <c r="O7" s="184" t="s">
        <v>2197</v>
      </c>
      <c r="P7" s="150" t="s">
        <v>2197</v>
      </c>
      <c r="Q7" s="150" t="s">
        <v>2197</v>
      </c>
      <c r="R7" s="150" t="s">
        <v>2197</v>
      </c>
      <c r="S7" s="150" t="s">
        <v>2197</v>
      </c>
      <c r="T7" s="150" t="s">
        <v>2197</v>
      </c>
      <c r="U7" s="150" t="s">
        <v>2197</v>
      </c>
      <c r="V7" s="150" t="s">
        <v>2197</v>
      </c>
      <c r="W7" s="150" t="s">
        <v>2197</v>
      </c>
      <c r="X7" s="150" t="s">
        <v>2197</v>
      </c>
      <c r="Y7" s="150" t="s">
        <v>2197</v>
      </c>
      <c r="Z7" s="184" t="s">
        <v>2197</v>
      </c>
      <c r="AA7" s="150" t="s">
        <v>2197</v>
      </c>
      <c r="AB7" s="150" t="s">
        <v>2197</v>
      </c>
      <c r="AC7" s="150" t="s">
        <v>2197</v>
      </c>
      <c r="AD7" s="150" t="s">
        <v>2197</v>
      </c>
    </row>
    <row r="8" spans="2:30">
      <c r="B8" s="176" t="s">
        <v>2152</v>
      </c>
      <c r="C8" s="102">
        <v>6</v>
      </c>
      <c r="D8" s="102" t="s">
        <v>2203</v>
      </c>
      <c r="E8" s="120">
        <v>45513</v>
      </c>
      <c r="F8" s="102">
        <v>1</v>
      </c>
      <c r="G8" s="102" cm="1">
        <f t="array" ref="G8">SUMPRODUCT(--(I8:AD8&gt;0))/COUNTA(I8:AD8)</f>
        <v>1</v>
      </c>
      <c r="H8" s="102">
        <v>0</v>
      </c>
      <c r="I8" s="102">
        <v>2</v>
      </c>
      <c r="J8" s="102">
        <v>30</v>
      </c>
      <c r="K8" s="102">
        <v>13</v>
      </c>
      <c r="L8" s="102">
        <v>1</v>
      </c>
      <c r="M8" s="146" t="s">
        <v>2204</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2155</v>
      </c>
      <c r="C9" s="102">
        <v>7</v>
      </c>
      <c r="D9" s="102" t="s">
        <v>2205</v>
      </c>
      <c r="E9" s="120">
        <v>45513</v>
      </c>
      <c r="F9" s="102">
        <v>1</v>
      </c>
      <c r="G9" s="165" cm="1">
        <f t="array" aca="1" ref="G9" ca="1">SUMPRODUCT(--(I9:AD9&lt;=I26:AD26))/COUNTA(I9:AD9)</f>
        <v>0.95454545454545459</v>
      </c>
      <c r="H9" s="102">
        <v>0</v>
      </c>
      <c r="I9" s="102">
        <v>2</v>
      </c>
      <c r="J9" s="102">
        <v>30</v>
      </c>
      <c r="K9" s="102">
        <v>13</v>
      </c>
      <c r="L9" s="102">
        <v>1</v>
      </c>
      <c r="M9" s="146" t="s">
        <v>2204</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2158</v>
      </c>
      <c r="C10" s="102">
        <v>8</v>
      </c>
      <c r="D10" s="102" t="s">
        <v>2206</v>
      </c>
      <c r="E10" s="120">
        <v>45513</v>
      </c>
      <c r="F10" s="102">
        <v>1</v>
      </c>
      <c r="G10" s="150" t="s">
        <v>2197</v>
      </c>
      <c r="H10" s="102">
        <v>0</v>
      </c>
      <c r="I10" s="150" t="s">
        <v>2207</v>
      </c>
      <c r="J10" s="150" t="s">
        <v>2208</v>
      </c>
      <c r="K10" s="150" t="s">
        <v>2209</v>
      </c>
      <c r="L10" s="150" t="s">
        <v>2200</v>
      </c>
      <c r="M10" s="184" t="s">
        <v>2204</v>
      </c>
      <c r="N10" s="187">
        <v>45504</v>
      </c>
      <c r="O10" s="184" t="s">
        <v>2210</v>
      </c>
      <c r="P10" s="150" t="s">
        <v>2207</v>
      </c>
      <c r="Q10" s="150" t="s">
        <v>2211</v>
      </c>
      <c r="R10" s="150" t="s">
        <v>2201</v>
      </c>
      <c r="S10" s="150" t="s">
        <v>2212</v>
      </c>
      <c r="T10" s="150" t="s">
        <v>2213</v>
      </c>
      <c r="U10" s="150" t="s">
        <v>2214</v>
      </c>
      <c r="V10" s="150" t="s">
        <v>2215</v>
      </c>
      <c r="W10" s="102">
        <v>0</v>
      </c>
      <c r="X10" s="150" t="s">
        <v>2201</v>
      </c>
      <c r="Y10" s="150" t="s">
        <v>2216</v>
      </c>
      <c r="Z10" s="184" t="s">
        <v>2217</v>
      </c>
      <c r="AA10" s="150" t="s">
        <v>2201</v>
      </c>
      <c r="AB10" s="150" t="s">
        <v>2218</v>
      </c>
      <c r="AC10" s="150" t="s">
        <v>2219</v>
      </c>
      <c r="AD10" s="150" t="s">
        <v>2220</v>
      </c>
    </row>
    <row r="11" spans="2:30">
      <c r="B11" s="145" t="s">
        <v>2160</v>
      </c>
      <c r="C11" s="102">
        <v>9</v>
      </c>
      <c r="D11" s="102" t="s">
        <v>2221</v>
      </c>
      <c r="E11" s="120">
        <v>45513</v>
      </c>
      <c r="F11" s="102">
        <v>1</v>
      </c>
      <c r="G11" s="102" t="s">
        <v>2197</v>
      </c>
      <c r="H11" s="102">
        <v>0</v>
      </c>
      <c r="I11" s="150" t="s">
        <v>2207</v>
      </c>
      <c r="J11" s="150" t="s">
        <v>2208</v>
      </c>
      <c r="K11" s="150" t="s">
        <v>2209</v>
      </c>
      <c r="L11" s="150" t="s">
        <v>2200</v>
      </c>
      <c r="M11" s="184" t="s">
        <v>2204</v>
      </c>
      <c r="N11" s="187">
        <v>45504</v>
      </c>
      <c r="O11" s="184" t="s">
        <v>2222</v>
      </c>
      <c r="P11" s="150" t="s">
        <v>2213</v>
      </c>
      <c r="Q11" s="150" t="s">
        <v>2211</v>
      </c>
      <c r="R11" s="150" t="s">
        <v>2201</v>
      </c>
      <c r="S11" s="150" t="s">
        <v>2212</v>
      </c>
      <c r="T11" s="150"/>
      <c r="U11" s="150" t="s">
        <v>2223</v>
      </c>
      <c r="V11" s="150" t="s">
        <v>2224</v>
      </c>
      <c r="W11" s="102">
        <v>0</v>
      </c>
      <c r="X11" s="150" t="s">
        <v>2201</v>
      </c>
      <c r="Y11" s="150" t="s">
        <v>2216</v>
      </c>
      <c r="Z11" s="184" t="s">
        <v>2217</v>
      </c>
      <c r="AA11" s="150" t="s">
        <v>2201</v>
      </c>
      <c r="AB11" s="150" t="s">
        <v>2218</v>
      </c>
      <c r="AC11" s="150" t="s">
        <v>2219</v>
      </c>
      <c r="AD11" s="150" t="s">
        <v>2225</v>
      </c>
    </row>
    <row r="12" spans="2:30">
      <c r="B12" s="168" t="s">
        <v>2162</v>
      </c>
      <c r="C12" s="102">
        <v>10</v>
      </c>
      <c r="D12" s="102" t="s">
        <v>2226</v>
      </c>
      <c r="E12" s="120">
        <v>45513</v>
      </c>
      <c r="F12" s="102">
        <v>1</v>
      </c>
      <c r="G12" s="102" t="s">
        <v>2197</v>
      </c>
      <c r="H12" s="102">
        <v>0</v>
      </c>
      <c r="I12" s="150" t="s">
        <v>2207</v>
      </c>
      <c r="J12" s="150" t="s">
        <v>2227</v>
      </c>
      <c r="K12" s="150" t="s">
        <v>2228</v>
      </c>
      <c r="L12" s="150" t="s">
        <v>2200</v>
      </c>
      <c r="M12" s="184" t="s">
        <v>2204</v>
      </c>
      <c r="N12" s="187">
        <v>45513</v>
      </c>
      <c r="O12" s="184" t="s">
        <v>2229</v>
      </c>
      <c r="P12" s="150" t="s">
        <v>2207</v>
      </c>
      <c r="Q12" s="150" t="s">
        <v>2230</v>
      </c>
      <c r="R12" s="150" t="s">
        <v>2200</v>
      </c>
      <c r="S12" s="150" t="s">
        <v>2231</v>
      </c>
      <c r="T12" s="150" t="s">
        <v>2213</v>
      </c>
      <c r="U12" s="150" t="s">
        <v>2232</v>
      </c>
      <c r="V12" s="150" t="s">
        <v>2233</v>
      </c>
      <c r="W12" s="102">
        <v>1</v>
      </c>
      <c r="X12" s="150" t="s">
        <v>2200</v>
      </c>
      <c r="Y12" s="150" t="s">
        <v>2234</v>
      </c>
      <c r="Z12" s="184" t="s">
        <v>2235</v>
      </c>
      <c r="AA12" s="150" t="s">
        <v>2236</v>
      </c>
      <c r="AB12" s="150" t="s">
        <v>2218</v>
      </c>
      <c r="AC12" s="150" t="s">
        <v>2219</v>
      </c>
      <c r="AD12" s="150" t="s">
        <v>2220</v>
      </c>
    </row>
    <row r="13" spans="2:30">
      <c r="B13" s="145" t="s">
        <v>2164</v>
      </c>
      <c r="C13" s="102">
        <v>11</v>
      </c>
      <c r="D13" s="102" t="s">
        <v>2237</v>
      </c>
      <c r="E13" s="120">
        <v>45513</v>
      </c>
      <c r="F13" s="102">
        <v>1</v>
      </c>
      <c r="G13" s="102" t="s">
        <v>2197</v>
      </c>
      <c r="H13" s="102">
        <v>0</v>
      </c>
      <c r="I13" s="150" t="s">
        <v>2207</v>
      </c>
      <c r="J13" s="150" t="s">
        <v>2227</v>
      </c>
      <c r="K13" s="150" t="s">
        <v>2228</v>
      </c>
      <c r="L13" s="150" t="s">
        <v>2200</v>
      </c>
      <c r="M13" s="184" t="s">
        <v>2204</v>
      </c>
      <c r="N13" s="187">
        <v>45513</v>
      </c>
      <c r="O13" s="184" t="s">
        <v>2238</v>
      </c>
      <c r="P13" s="150" t="s">
        <v>2213</v>
      </c>
      <c r="Q13" s="150" t="s">
        <v>2230</v>
      </c>
      <c r="R13" s="150" t="s">
        <v>2200</v>
      </c>
      <c r="S13" s="150" t="s">
        <v>2231</v>
      </c>
      <c r="T13" s="150"/>
      <c r="U13" s="150" t="s">
        <v>2232</v>
      </c>
      <c r="V13" s="150" t="s">
        <v>2233</v>
      </c>
      <c r="W13" s="102">
        <v>1</v>
      </c>
      <c r="X13" s="150" t="s">
        <v>2200</v>
      </c>
      <c r="Y13" s="150" t="s">
        <v>2234</v>
      </c>
      <c r="Z13" s="184" t="s">
        <v>2235</v>
      </c>
      <c r="AA13" s="150" t="s">
        <v>2236</v>
      </c>
      <c r="AB13" s="150" t="s">
        <v>2218</v>
      </c>
      <c r="AC13" s="150" t="s">
        <v>2219</v>
      </c>
      <c r="AD13" s="150" t="s">
        <v>2239</v>
      </c>
    </row>
    <row r="14" spans="2:30">
      <c r="B14" s="145" t="s">
        <v>2166</v>
      </c>
      <c r="C14" s="102">
        <v>12</v>
      </c>
      <c r="D14" s="102" t="s">
        <v>2240</v>
      </c>
      <c r="E14" s="120">
        <v>45513</v>
      </c>
      <c r="F14" s="102">
        <v>1</v>
      </c>
      <c r="G14" s="102">
        <v>0.77272700000000005</v>
      </c>
      <c r="H14" s="102">
        <v>0</v>
      </c>
      <c r="I14" s="150" t="s">
        <v>2200</v>
      </c>
      <c r="J14" s="150" t="s">
        <v>2200</v>
      </c>
      <c r="K14" s="150" t="s">
        <v>2201</v>
      </c>
      <c r="L14" s="150" t="s">
        <v>2201</v>
      </c>
      <c r="M14" s="184" t="s">
        <v>2241</v>
      </c>
      <c r="N14" s="184" t="s">
        <v>2201</v>
      </c>
      <c r="O14" s="184" t="s">
        <v>2201</v>
      </c>
      <c r="P14" s="150" t="s">
        <v>2201</v>
      </c>
      <c r="Q14" s="150" t="s">
        <v>2201</v>
      </c>
      <c r="R14" s="150" t="s">
        <v>2201</v>
      </c>
      <c r="S14" s="150" t="s">
        <v>2201</v>
      </c>
      <c r="T14" s="150" t="s">
        <v>2201</v>
      </c>
      <c r="U14" s="150" t="s">
        <v>2242</v>
      </c>
      <c r="V14" s="150" t="s">
        <v>2242</v>
      </c>
      <c r="W14" s="102">
        <v>0</v>
      </c>
      <c r="X14" s="150" t="s">
        <v>2201</v>
      </c>
      <c r="Y14" s="150" t="s">
        <v>2201</v>
      </c>
      <c r="Z14" s="184" t="s">
        <v>2201</v>
      </c>
      <c r="AA14" s="150" t="s">
        <v>2201</v>
      </c>
      <c r="AB14" s="150" t="s">
        <v>2201</v>
      </c>
      <c r="AC14" s="150" t="s">
        <v>2201</v>
      </c>
      <c r="AD14" s="150" t="s">
        <v>2201</v>
      </c>
    </row>
    <row r="15" spans="2:30">
      <c r="B15" s="145" t="s">
        <v>2168</v>
      </c>
      <c r="C15" s="102">
        <v>13</v>
      </c>
      <c r="D15" s="102" t="s">
        <v>2243</v>
      </c>
      <c r="E15" s="120">
        <v>45513</v>
      </c>
      <c r="F15" s="102">
        <v>1</v>
      </c>
      <c r="G15" s="121">
        <v>1</v>
      </c>
      <c r="H15" s="102">
        <v>0</v>
      </c>
      <c r="I15" s="150" t="s">
        <v>2197</v>
      </c>
      <c r="J15" s="152" t="s">
        <v>2197</v>
      </c>
      <c r="K15" s="150" t="s">
        <v>2197</v>
      </c>
      <c r="L15" s="150" t="s">
        <v>2197</v>
      </c>
      <c r="M15" s="185" t="s">
        <v>2197</v>
      </c>
      <c r="N15" s="185" t="s">
        <v>2201</v>
      </c>
      <c r="O15" s="184" t="s">
        <v>2197</v>
      </c>
      <c r="P15" s="152" t="s">
        <v>2197</v>
      </c>
      <c r="Q15" s="150" t="s">
        <v>2197</v>
      </c>
      <c r="R15" s="152" t="s">
        <v>2197</v>
      </c>
      <c r="S15" s="152" t="s">
        <v>2197</v>
      </c>
      <c r="T15" s="150" t="s">
        <v>2197</v>
      </c>
      <c r="U15" s="150" t="s">
        <v>2197</v>
      </c>
      <c r="V15" s="150" t="s">
        <v>2197</v>
      </c>
      <c r="W15" s="150" t="s">
        <v>2197</v>
      </c>
      <c r="X15" s="150" t="s">
        <v>2197</v>
      </c>
      <c r="Y15" s="150" t="s">
        <v>2197</v>
      </c>
      <c r="Z15" s="185" t="s">
        <v>2201</v>
      </c>
      <c r="AA15" s="150" t="s">
        <v>2197</v>
      </c>
      <c r="AB15" s="150" t="s">
        <v>2197</v>
      </c>
      <c r="AC15" s="150" t="s">
        <v>2197</v>
      </c>
      <c r="AD15" s="150" t="s">
        <v>2197</v>
      </c>
    </row>
    <row r="16" spans="2:30">
      <c r="B16" s="145" t="s">
        <v>2170</v>
      </c>
      <c r="C16" s="102">
        <v>14</v>
      </c>
      <c r="D16" s="102" t="s">
        <v>2244</v>
      </c>
      <c r="E16" s="120">
        <v>45513</v>
      </c>
      <c r="F16" s="102">
        <v>1</v>
      </c>
      <c r="G16" s="121">
        <v>1</v>
      </c>
      <c r="H16" s="102">
        <v>0</v>
      </c>
      <c r="I16" s="150" t="s">
        <v>2201</v>
      </c>
      <c r="J16" s="150" t="s">
        <v>2201</v>
      </c>
      <c r="K16" s="150" t="s">
        <v>2197</v>
      </c>
      <c r="L16" s="150" t="s">
        <v>2197</v>
      </c>
      <c r="M16" s="184" t="s">
        <v>2201</v>
      </c>
      <c r="N16" s="185" t="s">
        <v>2197</v>
      </c>
      <c r="O16" s="184" t="s">
        <v>2197</v>
      </c>
      <c r="P16" s="152" t="s">
        <v>2201</v>
      </c>
      <c r="Q16" s="150" t="s">
        <v>2201</v>
      </c>
      <c r="R16" s="150" t="s">
        <v>2197</v>
      </c>
      <c r="S16" s="152" t="s">
        <v>2201</v>
      </c>
      <c r="T16" s="150" t="s">
        <v>2201</v>
      </c>
      <c r="U16" s="150" t="s">
        <v>2201</v>
      </c>
      <c r="V16" s="150" t="s">
        <v>2201</v>
      </c>
      <c r="W16" s="150" t="s">
        <v>2197</v>
      </c>
      <c r="X16" s="150" t="s">
        <v>2197</v>
      </c>
      <c r="Y16" s="150" t="s">
        <v>2201</v>
      </c>
      <c r="Z16" s="185" t="s">
        <v>2197</v>
      </c>
      <c r="AA16" s="150" t="s">
        <v>2201</v>
      </c>
      <c r="AB16" s="150" t="s">
        <v>2201</v>
      </c>
      <c r="AC16" s="150" t="s">
        <v>2197</v>
      </c>
      <c r="AD16" s="150" t="s">
        <v>2197</v>
      </c>
    </row>
    <row r="17" spans="2:30">
      <c r="B17" s="178" t="s">
        <v>2172</v>
      </c>
      <c r="C17" s="102">
        <v>15</v>
      </c>
      <c r="D17" s="102" t="s">
        <v>2245</v>
      </c>
      <c r="E17" s="120">
        <v>45513</v>
      </c>
      <c r="F17" s="102">
        <v>1</v>
      </c>
      <c r="G17" s="102">
        <v>1</v>
      </c>
      <c r="H17" s="121">
        <v>1538</v>
      </c>
      <c r="I17" s="150" t="s">
        <v>2197</v>
      </c>
      <c r="J17" s="150" t="s">
        <v>2197</v>
      </c>
      <c r="K17" s="150" t="s">
        <v>2197</v>
      </c>
      <c r="L17" s="150" t="s">
        <v>2197</v>
      </c>
      <c r="M17" s="184" t="s">
        <v>2197</v>
      </c>
      <c r="N17" s="184" t="s">
        <v>2197</v>
      </c>
      <c r="O17" s="184" t="s">
        <v>2197</v>
      </c>
      <c r="P17" s="150" t="s">
        <v>2197</v>
      </c>
      <c r="Q17" s="150" t="s">
        <v>2197</v>
      </c>
      <c r="R17" s="150" t="s">
        <v>2197</v>
      </c>
      <c r="S17" s="150" t="s">
        <v>2197</v>
      </c>
      <c r="T17" s="150" t="s">
        <v>2197</v>
      </c>
      <c r="U17" s="150" t="s">
        <v>2197</v>
      </c>
      <c r="V17" s="150" t="s">
        <v>2197</v>
      </c>
      <c r="W17" s="152" t="s">
        <v>2197</v>
      </c>
      <c r="X17" s="152" t="s">
        <v>2197</v>
      </c>
      <c r="Y17" s="150" t="s">
        <v>2197</v>
      </c>
      <c r="Z17" s="184" t="s">
        <v>2197</v>
      </c>
      <c r="AA17" s="150" t="s">
        <v>2197</v>
      </c>
      <c r="AB17" s="150" t="s">
        <v>2197</v>
      </c>
      <c r="AC17" s="150" t="s">
        <v>2197</v>
      </c>
      <c r="AD17" s="150" t="s">
        <v>2197</v>
      </c>
    </row>
    <row r="18" spans="2:30">
      <c r="B18" s="178" t="s">
        <v>2174</v>
      </c>
      <c r="C18" s="102">
        <v>16</v>
      </c>
      <c r="D18" s="102" t="s">
        <v>2245</v>
      </c>
      <c r="E18" s="120">
        <v>45513</v>
      </c>
      <c r="F18" s="102">
        <v>1</v>
      </c>
      <c r="G18" s="102">
        <v>1</v>
      </c>
      <c r="H18" s="121">
        <v>1538</v>
      </c>
      <c r="I18" s="150" t="s">
        <v>2197</v>
      </c>
      <c r="J18" s="150" t="s">
        <v>2197</v>
      </c>
      <c r="K18" s="150" t="s">
        <v>2197</v>
      </c>
      <c r="L18" s="150" t="s">
        <v>2197</v>
      </c>
      <c r="M18" s="184" t="s">
        <v>2197</v>
      </c>
      <c r="N18" s="184" t="s">
        <v>2197</v>
      </c>
      <c r="O18" s="184" t="s">
        <v>2197</v>
      </c>
      <c r="P18" s="150" t="s">
        <v>2197</v>
      </c>
      <c r="Q18" s="150" t="s">
        <v>2197</v>
      </c>
      <c r="R18" s="150" t="s">
        <v>2197</v>
      </c>
      <c r="S18" s="150" t="s">
        <v>2197</v>
      </c>
      <c r="T18" s="150" t="s">
        <v>2197</v>
      </c>
      <c r="U18" s="150" t="s">
        <v>2197</v>
      </c>
      <c r="V18" s="150" t="s">
        <v>2197</v>
      </c>
      <c r="W18" s="152" t="s">
        <v>2197</v>
      </c>
      <c r="X18" s="152" t="s">
        <v>2197</v>
      </c>
      <c r="Y18" s="150" t="s">
        <v>2197</v>
      </c>
      <c r="Z18" s="184" t="s">
        <v>2197</v>
      </c>
      <c r="AA18" s="150" t="s">
        <v>2197</v>
      </c>
      <c r="AB18" s="150" t="s">
        <v>2197</v>
      </c>
      <c r="AC18" s="150" t="s">
        <v>2197</v>
      </c>
      <c r="AD18" s="150" t="s">
        <v>2197</v>
      </c>
    </row>
    <row r="19" spans="2:30">
      <c r="B19" s="145" t="s">
        <v>2180</v>
      </c>
      <c r="C19" s="102">
        <v>19</v>
      </c>
      <c r="D19" s="102" t="s">
        <v>2246</v>
      </c>
      <c r="E19" s="120">
        <v>45513</v>
      </c>
      <c r="F19" s="102">
        <v>1</v>
      </c>
      <c r="G19" s="150" cm="1">
        <f t="array" aca="1" ref="G19" ca="1">SUMPRODUCT(--(ISNUMBER((SEARCH(I25:AD25,I19:AD19)))))/COUNTA(I19:AD19)</f>
        <v>1</v>
      </c>
      <c r="H19" s="102">
        <v>0</v>
      </c>
      <c r="I19" s="150" t="s">
        <v>2247</v>
      </c>
      <c r="J19" s="150" t="s">
        <v>2247</v>
      </c>
      <c r="K19" s="150" t="s">
        <v>2248</v>
      </c>
      <c r="L19" s="150" t="s">
        <v>2248</v>
      </c>
      <c r="M19" s="184" t="s">
        <v>2247</v>
      </c>
      <c r="N19" s="184" t="s">
        <v>2247</v>
      </c>
      <c r="O19" s="184" t="s">
        <v>2249</v>
      </c>
      <c r="P19" s="150" t="s">
        <v>2247</v>
      </c>
      <c r="Q19" s="150" t="s">
        <v>2247</v>
      </c>
      <c r="R19" s="150" t="s">
        <v>2247</v>
      </c>
      <c r="S19" s="150" t="s">
        <v>2247</v>
      </c>
      <c r="T19" s="150" t="s">
        <v>2247</v>
      </c>
      <c r="U19" s="150" t="s">
        <v>2247</v>
      </c>
      <c r="V19" s="150" t="s">
        <v>2247</v>
      </c>
      <c r="W19" s="150" t="s">
        <v>2247</v>
      </c>
      <c r="X19" s="150" t="s">
        <v>2247</v>
      </c>
      <c r="Y19" s="150" t="s">
        <v>2247</v>
      </c>
      <c r="Z19" s="184" t="s">
        <v>2247</v>
      </c>
      <c r="AA19" s="150" t="s">
        <v>2247</v>
      </c>
      <c r="AB19" s="150" t="s">
        <v>2247</v>
      </c>
      <c r="AC19" s="150" t="s">
        <v>2247</v>
      </c>
      <c r="AD19" s="150" t="s">
        <v>2250</v>
      </c>
    </row>
    <row r="20" spans="2:30">
      <c r="B20" s="145" t="s">
        <v>2183</v>
      </c>
      <c r="C20" s="102">
        <v>20</v>
      </c>
      <c r="D20" s="102" t="s">
        <v>2246</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2186</v>
      </c>
      <c r="C21" s="102">
        <v>21</v>
      </c>
      <c r="D21" s="102" t="s">
        <v>2246</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2251</v>
      </c>
    </row>
    <row r="24" spans="2:30">
      <c r="B24" s="111" t="s">
        <v>2252</v>
      </c>
      <c r="C24" s="112" t="s">
        <v>2190</v>
      </c>
      <c r="D24" s="112" t="s">
        <v>2191</v>
      </c>
      <c r="E24" s="112" t="s">
        <v>2192</v>
      </c>
      <c r="F24" s="112" t="s">
        <v>2193</v>
      </c>
      <c r="G24" s="112" t="s">
        <v>2194</v>
      </c>
      <c r="H24" s="112" t="s">
        <v>2195</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2253</v>
      </c>
      <c r="C25" s="117">
        <v>21</v>
      </c>
      <c r="D25" s="106" t="s">
        <v>2254</v>
      </c>
      <c r="E25" s="105" t="s">
        <v>2255</v>
      </c>
      <c r="F25" s="105" t="s">
        <v>1101</v>
      </c>
      <c r="G25" s="105" t="s">
        <v>1101</v>
      </c>
      <c r="H25" s="105" t="s">
        <v>1101</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2256</v>
      </c>
      <c r="C26" s="117">
        <v>7</v>
      </c>
      <c r="D26" s="106" t="s">
        <v>2254</v>
      </c>
      <c r="E26" s="105" t="s">
        <v>2255</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2257</v>
      </c>
    </row>
    <row r="30" spans="2:30">
      <c r="B30" s="136" t="s">
        <v>2258</v>
      </c>
      <c r="C30" s="136" t="s">
        <v>2259</v>
      </c>
      <c r="D30" s="137" t="s">
        <v>2260</v>
      </c>
      <c r="E30" s="136" t="s">
        <v>2261</v>
      </c>
      <c r="F30" s="136" t="s">
        <v>2262</v>
      </c>
    </row>
    <row r="31" spans="2:30" ht="60.75">
      <c r="B31" s="134" t="s">
        <v>2263</v>
      </c>
      <c r="C31" s="87" t="s">
        <v>737</v>
      </c>
      <c r="D31" s="87" t="s">
        <v>2264</v>
      </c>
      <c r="E31" s="87" t="s">
        <v>2265</v>
      </c>
      <c r="F31" s="135" t="s">
        <v>2266</v>
      </c>
    </row>
    <row r="32" spans="2:30" ht="69.75" customHeight="1">
      <c r="B32" s="238" t="s">
        <v>2267</v>
      </c>
      <c r="C32" s="166" t="s">
        <v>691</v>
      </c>
      <c r="D32" s="175" t="s">
        <v>2268</v>
      </c>
      <c r="E32" s="166" t="s">
        <v>2269</v>
      </c>
      <c r="F32" s="167" t="s">
        <v>2266</v>
      </c>
    </row>
    <row r="33" spans="2:9" ht="69.75" customHeight="1">
      <c r="B33" s="238" t="s">
        <v>2267</v>
      </c>
      <c r="C33" s="166" t="s">
        <v>706</v>
      </c>
      <c r="D33" s="175" t="s">
        <v>2270</v>
      </c>
      <c r="E33" s="166" t="s">
        <v>2269</v>
      </c>
      <c r="F33" s="167" t="s">
        <v>2266</v>
      </c>
      <c r="H33" s="154"/>
    </row>
    <row r="34" spans="2:9" ht="69.75" customHeight="1">
      <c r="B34" s="138" t="s">
        <v>2271</v>
      </c>
      <c r="C34" s="197" t="s">
        <v>691</v>
      </c>
      <c r="D34" s="175" t="s">
        <v>2268</v>
      </c>
      <c r="E34" s="166" t="s">
        <v>2269</v>
      </c>
      <c r="F34" s="198" t="s">
        <v>2266</v>
      </c>
    </row>
    <row r="35" spans="2:9" ht="76.5">
      <c r="B35" s="138" t="s">
        <v>2271</v>
      </c>
      <c r="C35" s="197" t="s">
        <v>706</v>
      </c>
      <c r="D35" s="175" t="s">
        <v>2270</v>
      </c>
      <c r="E35" s="166" t="s">
        <v>2269</v>
      </c>
      <c r="F35" s="198" t="s">
        <v>2266</v>
      </c>
      <c r="H35" s="154"/>
      <c r="I35" s="154"/>
    </row>
    <row r="36" spans="2:9" ht="60.75">
      <c r="B36" s="138" t="s">
        <v>2271</v>
      </c>
      <c r="C36" s="87" t="s">
        <v>737</v>
      </c>
      <c r="D36" s="87" t="s">
        <v>2264</v>
      </c>
      <c r="E36" s="87" t="s">
        <v>2272</v>
      </c>
      <c r="F36" s="135" t="s">
        <v>2266</v>
      </c>
      <c r="H36" s="154"/>
      <c r="I36" s="154"/>
    </row>
    <row r="37" spans="2:9" ht="30.75">
      <c r="B37" s="138" t="s">
        <v>2271</v>
      </c>
      <c r="C37" s="91" t="s">
        <v>1354</v>
      </c>
      <c r="D37" s="141" t="s">
        <v>2273</v>
      </c>
      <c r="E37" s="91" t="s">
        <v>2274</v>
      </c>
      <c r="F37" s="81" t="s">
        <v>2275</v>
      </c>
      <c r="H37" s="154"/>
      <c r="I37" s="154"/>
    </row>
    <row r="38" spans="2:9" ht="30.75">
      <c r="B38" s="138" t="s">
        <v>2271</v>
      </c>
      <c r="C38" s="91" t="s">
        <v>1365</v>
      </c>
      <c r="D38" s="141" t="s">
        <v>2273</v>
      </c>
      <c r="E38" s="91" t="s">
        <v>2274</v>
      </c>
      <c r="F38" s="81" t="s">
        <v>2266</v>
      </c>
      <c r="H38" s="154"/>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2189</v>
      </c>
      <c r="C2" s="101" t="s">
        <v>2190</v>
      </c>
      <c r="D2" s="101" t="s">
        <v>2191</v>
      </c>
      <c r="E2" s="101" t="s">
        <v>2192</v>
      </c>
      <c r="F2" s="101" t="s">
        <v>2193</v>
      </c>
      <c r="G2" s="101" t="s">
        <v>2194</v>
      </c>
      <c r="H2" s="101" t="s">
        <v>2195</v>
      </c>
      <c r="I2" s="101" t="s">
        <v>691</v>
      </c>
      <c r="J2" s="101" t="s">
        <v>706</v>
      </c>
      <c r="K2" s="101" t="s">
        <v>716</v>
      </c>
      <c r="L2" s="101" t="s">
        <v>729</v>
      </c>
      <c r="M2" s="101" t="s">
        <v>791</v>
      </c>
      <c r="N2" s="113" t="s">
        <v>758</v>
      </c>
      <c r="O2" s="101" t="s">
        <v>737</v>
      </c>
      <c r="P2" s="101" t="s">
        <v>767</v>
      </c>
      <c r="Q2" s="101" t="s">
        <v>778</v>
      </c>
      <c r="R2" s="101" t="s">
        <v>749</v>
      </c>
      <c r="S2" s="101" t="s">
        <v>798</v>
      </c>
      <c r="T2" s="101" t="s">
        <v>806</v>
      </c>
      <c r="U2" s="101" t="s">
        <v>813</v>
      </c>
    </row>
    <row r="3" spans="2:21">
      <c r="B3" s="145" t="s">
        <v>2143</v>
      </c>
      <c r="C3" s="102">
        <v>1</v>
      </c>
      <c r="D3" s="102" t="s">
        <v>2276</v>
      </c>
      <c r="E3" s="120">
        <v>45438</v>
      </c>
      <c r="F3" s="102">
        <v>4</v>
      </c>
      <c r="G3" s="149">
        <v>1</v>
      </c>
      <c r="H3" s="174">
        <v>298</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row>
    <row r="4" spans="2:21">
      <c r="B4" s="145" t="s">
        <v>2145</v>
      </c>
      <c r="C4" s="102">
        <v>2</v>
      </c>
      <c r="D4" s="102" t="s">
        <v>2277</v>
      </c>
      <c r="E4" s="120">
        <v>45438</v>
      </c>
      <c r="F4" s="102">
        <v>4</v>
      </c>
      <c r="G4" s="149">
        <v>1</v>
      </c>
      <c r="H4" s="121">
        <v>0</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row>
    <row r="5" spans="2:21">
      <c r="B5" s="145" t="s">
        <v>2147</v>
      </c>
      <c r="C5" s="102">
        <v>3</v>
      </c>
      <c r="D5" s="102" t="s">
        <v>2278</v>
      </c>
      <c r="E5" s="120">
        <v>45438</v>
      </c>
      <c r="F5" s="102">
        <v>4</v>
      </c>
      <c r="G5" s="149">
        <v>0.875</v>
      </c>
      <c r="H5" s="174">
        <v>298</v>
      </c>
      <c r="I5" s="102">
        <v>0</v>
      </c>
      <c r="J5" s="102">
        <v>0</v>
      </c>
      <c r="K5" s="102">
        <v>0</v>
      </c>
      <c r="L5" s="102">
        <v>0</v>
      </c>
      <c r="M5" s="102">
        <v>0</v>
      </c>
      <c r="N5" s="102">
        <v>0</v>
      </c>
      <c r="O5" s="102">
        <v>298</v>
      </c>
      <c r="P5" s="102" t="s">
        <v>2197</v>
      </c>
      <c r="Q5" s="102" t="s">
        <v>2197</v>
      </c>
      <c r="R5" s="102" t="s">
        <v>2197</v>
      </c>
      <c r="S5" s="102" t="s">
        <v>2197</v>
      </c>
      <c r="T5" s="102">
        <v>0</v>
      </c>
      <c r="U5" s="102" t="s">
        <v>2197</v>
      </c>
    </row>
    <row r="6" spans="2:21">
      <c r="B6" s="145" t="s">
        <v>2149</v>
      </c>
      <c r="C6" s="146">
        <v>4</v>
      </c>
      <c r="D6" s="102" t="s">
        <v>2202</v>
      </c>
      <c r="E6" s="120" t="s">
        <v>2197</v>
      </c>
      <c r="F6" s="102">
        <v>4</v>
      </c>
      <c r="G6" s="149" t="s">
        <v>2197</v>
      </c>
      <c r="H6" s="102"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row>
    <row r="7" spans="2:21">
      <c r="B7" s="145" t="s">
        <v>2151</v>
      </c>
      <c r="C7" s="146">
        <v>5</v>
      </c>
      <c r="D7" s="102" t="s">
        <v>2202</v>
      </c>
      <c r="E7" s="120" t="s">
        <v>2197</v>
      </c>
      <c r="F7" s="102">
        <v>4</v>
      </c>
      <c r="G7" s="149" t="s">
        <v>2197</v>
      </c>
      <c r="H7" s="102"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row>
    <row r="8" spans="2:21">
      <c r="B8" s="168" t="s">
        <v>2152</v>
      </c>
      <c r="C8" s="102">
        <v>6</v>
      </c>
      <c r="D8" s="102" t="s">
        <v>2279</v>
      </c>
      <c r="E8" s="120">
        <v>45438</v>
      </c>
      <c r="F8" s="102">
        <v>4</v>
      </c>
      <c r="G8" s="149" cm="1">
        <f t="array" ref="G8">SUMPRODUCT(--(I8:U8&gt;0))/COUNTA(I8:U8)</f>
        <v>1</v>
      </c>
      <c r="H8" s="121">
        <v>0</v>
      </c>
      <c r="I8" s="102">
        <v>2</v>
      </c>
      <c r="J8" s="102">
        <v>15</v>
      </c>
      <c r="K8" s="102">
        <v>1</v>
      </c>
      <c r="L8" s="102">
        <v>1</v>
      </c>
      <c r="M8" s="102">
        <v>10</v>
      </c>
      <c r="N8" s="102">
        <v>8</v>
      </c>
      <c r="O8" s="102" t="s">
        <v>2204</v>
      </c>
      <c r="P8" s="102">
        <v>1</v>
      </c>
      <c r="Q8" s="102">
        <v>3</v>
      </c>
      <c r="R8" s="102">
        <v>10</v>
      </c>
      <c r="S8" s="102">
        <v>2</v>
      </c>
      <c r="T8" s="102">
        <v>10</v>
      </c>
      <c r="U8" s="102">
        <v>23</v>
      </c>
    </row>
    <row r="9" spans="2:21">
      <c r="B9" s="145" t="s">
        <v>2155</v>
      </c>
      <c r="C9" s="102">
        <v>7</v>
      </c>
      <c r="D9" s="102" t="s">
        <v>2280</v>
      </c>
      <c r="E9" s="120">
        <v>45438</v>
      </c>
      <c r="F9" s="102">
        <v>4</v>
      </c>
      <c r="G9" s="149" cm="1">
        <f t="array" aca="1" ref="G9" ca="1">SUMPRODUCT(--(I9:U9 &lt;= I26:U26))/COUNTA(I26:U26)</f>
        <v>0.76923076923076927</v>
      </c>
      <c r="H9" s="121">
        <v>0</v>
      </c>
      <c r="I9" s="102">
        <v>2</v>
      </c>
      <c r="J9" s="102">
        <v>30</v>
      </c>
      <c r="K9" s="102">
        <v>5</v>
      </c>
      <c r="L9" s="102">
        <v>1</v>
      </c>
      <c r="M9" s="102">
        <v>10</v>
      </c>
      <c r="N9" s="102">
        <v>15</v>
      </c>
      <c r="O9" s="102" t="s">
        <v>2204</v>
      </c>
      <c r="P9" s="102">
        <v>1</v>
      </c>
      <c r="Q9" s="102">
        <v>3</v>
      </c>
      <c r="R9" s="102">
        <v>10</v>
      </c>
      <c r="S9" s="102">
        <v>2</v>
      </c>
      <c r="T9" s="102">
        <v>10</v>
      </c>
      <c r="U9" s="102">
        <v>23</v>
      </c>
    </row>
    <row r="10" spans="2:21">
      <c r="B10" s="145" t="s">
        <v>2158</v>
      </c>
      <c r="C10" s="102">
        <v>8</v>
      </c>
      <c r="D10" s="102" t="s">
        <v>2281</v>
      </c>
      <c r="E10" s="120">
        <v>45438</v>
      </c>
      <c r="F10" s="102">
        <v>4</v>
      </c>
      <c r="G10" s="149" t="s">
        <v>2197</v>
      </c>
      <c r="H10" s="121">
        <v>0</v>
      </c>
      <c r="I10" s="102">
        <v>31</v>
      </c>
      <c r="J10" s="102">
        <v>3.1111200102900002E+26</v>
      </c>
      <c r="K10" s="102">
        <v>1</v>
      </c>
      <c r="L10" s="102">
        <v>1</v>
      </c>
      <c r="M10" s="120">
        <v>45483</v>
      </c>
      <c r="N10" s="120" t="s">
        <v>2282</v>
      </c>
      <c r="O10" s="121" t="s">
        <v>2204</v>
      </c>
      <c r="P10" s="120">
        <v>0</v>
      </c>
      <c r="Q10" s="120">
        <v>978</v>
      </c>
      <c r="R10" s="149">
        <v>45483</v>
      </c>
      <c r="S10" s="121" t="s">
        <v>12</v>
      </c>
      <c r="T10" s="120">
        <v>45484</v>
      </c>
      <c r="U10" s="120" t="s">
        <v>2283</v>
      </c>
    </row>
    <row r="11" spans="2:21">
      <c r="B11" s="145" t="s">
        <v>2160</v>
      </c>
      <c r="C11" s="102">
        <v>9</v>
      </c>
      <c r="D11" s="102" t="s">
        <v>2284</v>
      </c>
      <c r="E11" s="120">
        <v>45438</v>
      </c>
      <c r="F11" s="102">
        <v>4</v>
      </c>
      <c r="G11" s="149" t="s">
        <v>2197</v>
      </c>
      <c r="H11" s="121">
        <v>0</v>
      </c>
      <c r="I11" s="102">
        <v>31</v>
      </c>
      <c r="J11" s="102">
        <v>3.1111200102900002E+26</v>
      </c>
      <c r="K11" s="102">
        <v>1</v>
      </c>
      <c r="L11" s="102">
        <v>1</v>
      </c>
      <c r="M11" s="120">
        <v>45483</v>
      </c>
      <c r="N11" s="120" t="s">
        <v>2282</v>
      </c>
      <c r="O11" s="102" t="s">
        <v>2204</v>
      </c>
      <c r="P11" s="120">
        <v>0</v>
      </c>
      <c r="Q11" s="120">
        <v>978</v>
      </c>
      <c r="R11" s="120">
        <v>45483</v>
      </c>
      <c r="S11" s="121" t="s">
        <v>12</v>
      </c>
      <c r="T11" s="120">
        <v>45484</v>
      </c>
      <c r="U11" s="120" t="s">
        <v>2285</v>
      </c>
    </row>
    <row r="12" spans="2:21">
      <c r="B12" s="168" t="s">
        <v>2162</v>
      </c>
      <c r="C12" s="102">
        <v>10</v>
      </c>
      <c r="D12" s="102" t="s">
        <v>2286</v>
      </c>
      <c r="E12" s="120">
        <v>45438</v>
      </c>
      <c r="F12" s="102">
        <v>4</v>
      </c>
      <c r="G12" s="149" t="s">
        <v>2197</v>
      </c>
      <c r="H12" s="121">
        <v>0</v>
      </c>
      <c r="I12" s="102">
        <v>31</v>
      </c>
      <c r="J12" s="102">
        <v>962304890433650</v>
      </c>
      <c r="K12" s="102">
        <v>99999</v>
      </c>
      <c r="L12" s="102">
        <v>1</v>
      </c>
      <c r="M12" s="120">
        <v>45485</v>
      </c>
      <c r="N12" s="120">
        <v>11779599000000</v>
      </c>
      <c r="O12" s="192" t="s">
        <v>2204</v>
      </c>
      <c r="P12" s="120">
        <v>1</v>
      </c>
      <c r="Q12" s="121">
        <v>978</v>
      </c>
      <c r="R12" s="121">
        <v>45485</v>
      </c>
      <c r="S12" s="120" t="s">
        <v>2287</v>
      </c>
      <c r="T12" s="120">
        <v>45484</v>
      </c>
      <c r="U12" s="120" t="s">
        <v>2283</v>
      </c>
    </row>
    <row r="13" spans="2:21">
      <c r="B13" s="145" t="s">
        <v>2164</v>
      </c>
      <c r="C13" s="102">
        <v>11</v>
      </c>
      <c r="D13" s="102" t="s">
        <v>2288</v>
      </c>
      <c r="E13" s="120">
        <v>45438</v>
      </c>
      <c r="F13" s="102">
        <v>4</v>
      </c>
      <c r="G13" s="149" t="s">
        <v>2197</v>
      </c>
      <c r="H13" s="121">
        <v>0</v>
      </c>
      <c r="I13" s="102">
        <v>31</v>
      </c>
      <c r="J13" s="102">
        <v>962304890433650</v>
      </c>
      <c r="K13" s="102">
        <v>99999</v>
      </c>
      <c r="L13" s="102">
        <v>1</v>
      </c>
      <c r="M13" s="120">
        <v>45485</v>
      </c>
      <c r="N13" s="120">
        <v>11779599000000</v>
      </c>
      <c r="O13" s="120" t="s">
        <v>2204</v>
      </c>
      <c r="P13" s="120">
        <v>1</v>
      </c>
      <c r="Q13" s="120">
        <v>978</v>
      </c>
      <c r="R13" s="120">
        <v>45485</v>
      </c>
      <c r="S13" s="120" t="s">
        <v>2287</v>
      </c>
      <c r="T13" s="120">
        <v>45484</v>
      </c>
      <c r="U13" s="120" t="s">
        <v>2289</v>
      </c>
    </row>
    <row r="14" spans="2:21">
      <c r="B14" s="145" t="s">
        <v>2166</v>
      </c>
      <c r="C14" s="102">
        <v>12</v>
      </c>
      <c r="D14" s="102" t="s">
        <v>2290</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2168</v>
      </c>
      <c r="C15" s="102">
        <v>13</v>
      </c>
      <c r="D15" s="102" t="s">
        <v>2291</v>
      </c>
      <c r="E15" s="120">
        <v>45438</v>
      </c>
      <c r="F15" s="102">
        <v>4</v>
      </c>
      <c r="G15" s="149">
        <v>1</v>
      </c>
      <c r="H15" s="121">
        <v>0</v>
      </c>
      <c r="I15" s="102" t="s">
        <v>2197</v>
      </c>
      <c r="J15" s="102" t="s">
        <v>2197</v>
      </c>
      <c r="K15" s="102" t="s">
        <v>2197</v>
      </c>
      <c r="L15" s="102" t="s">
        <v>2197</v>
      </c>
      <c r="M15" s="102">
        <v>0</v>
      </c>
      <c r="N15" s="102" t="s">
        <v>2197</v>
      </c>
      <c r="O15" s="120" t="s">
        <v>2197</v>
      </c>
      <c r="P15" s="120" t="s">
        <v>2197</v>
      </c>
      <c r="Q15" s="120" t="s">
        <v>2197</v>
      </c>
      <c r="R15" s="102">
        <v>0</v>
      </c>
      <c r="S15" s="120" t="s">
        <v>2197</v>
      </c>
      <c r="T15" s="120" t="s">
        <v>2197</v>
      </c>
      <c r="U15" s="102" t="s">
        <v>2197</v>
      </c>
    </row>
    <row r="16" spans="2:21" s="4" customFormat="1">
      <c r="B16" s="178" t="s">
        <v>2170</v>
      </c>
      <c r="C16" s="165">
        <v>14</v>
      </c>
      <c r="D16" s="165" t="s">
        <v>2292</v>
      </c>
      <c r="E16" s="120">
        <v>45438</v>
      </c>
      <c r="F16" s="165">
        <v>4</v>
      </c>
      <c r="G16" s="179">
        <v>1</v>
      </c>
      <c r="H16" s="121">
        <v>0</v>
      </c>
      <c r="I16" s="165">
        <v>0</v>
      </c>
      <c r="J16" s="165">
        <v>0</v>
      </c>
      <c r="K16" s="165" t="s">
        <v>2197</v>
      </c>
      <c r="L16" s="165" t="s">
        <v>2197</v>
      </c>
      <c r="M16" s="165" t="s">
        <v>2197</v>
      </c>
      <c r="N16" s="165" t="s">
        <v>2197</v>
      </c>
      <c r="O16" s="165">
        <v>0</v>
      </c>
      <c r="P16" s="165" t="s">
        <v>2197</v>
      </c>
      <c r="Q16" s="165">
        <v>0</v>
      </c>
      <c r="R16" s="165" t="s">
        <v>2197</v>
      </c>
      <c r="S16" s="165">
        <v>0</v>
      </c>
      <c r="T16" s="165" t="s">
        <v>2197</v>
      </c>
      <c r="U16" s="165" t="s">
        <v>2197</v>
      </c>
    </row>
    <row r="17" spans="2:21">
      <c r="B17" s="178" t="s">
        <v>2172</v>
      </c>
      <c r="C17" s="102">
        <v>15</v>
      </c>
      <c r="D17" s="165" t="s">
        <v>2293</v>
      </c>
      <c r="E17" s="120">
        <v>45438</v>
      </c>
      <c r="F17" s="102">
        <v>4</v>
      </c>
      <c r="G17" s="149">
        <v>0</v>
      </c>
      <c r="H17" s="174">
        <v>298</v>
      </c>
      <c r="I17" s="102" t="s">
        <v>2197</v>
      </c>
      <c r="J17" s="102" t="s">
        <v>2197</v>
      </c>
      <c r="K17" s="102" t="s">
        <v>2197</v>
      </c>
      <c r="L17" s="102" t="s">
        <v>2197</v>
      </c>
      <c r="M17" s="102" t="s">
        <v>2197</v>
      </c>
      <c r="N17" s="102" t="s">
        <v>2197</v>
      </c>
      <c r="O17" s="92" t="s">
        <v>2197</v>
      </c>
      <c r="P17" s="92" t="s">
        <v>2197</v>
      </c>
      <c r="Q17" s="92" t="s">
        <v>2197</v>
      </c>
      <c r="R17" s="102" t="s">
        <v>2197</v>
      </c>
      <c r="S17" s="102" t="s">
        <v>2197</v>
      </c>
      <c r="T17" s="102" t="s">
        <v>2197</v>
      </c>
      <c r="U17" s="102" t="s">
        <v>2197</v>
      </c>
    </row>
    <row r="18" spans="2:21">
      <c r="B18" s="178" t="s">
        <v>2174</v>
      </c>
      <c r="C18" s="102">
        <v>16</v>
      </c>
      <c r="D18" s="165" t="s">
        <v>2293</v>
      </c>
      <c r="E18" s="120">
        <v>45438</v>
      </c>
      <c r="F18" s="102">
        <v>4</v>
      </c>
      <c r="G18" s="149">
        <v>0</v>
      </c>
      <c r="H18" s="174">
        <v>298</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row>
    <row r="19" spans="2:21">
      <c r="B19" s="145" t="s">
        <v>2180</v>
      </c>
      <c r="C19" s="102">
        <v>19</v>
      </c>
      <c r="D19" s="102" t="s">
        <v>2294</v>
      </c>
      <c r="E19" s="120">
        <v>45438</v>
      </c>
      <c r="F19" s="102">
        <v>4</v>
      </c>
      <c r="G19" s="149" cm="1">
        <f t="array" aca="1" ref="G19" ca="1">SUMPRODUCT(--(ISNUMBER((SEARCH(I25:U25,I19:U19)))))/COUNTA(I19:U19)</f>
        <v>0.84615384615384615</v>
      </c>
      <c r="H19" s="121">
        <v>0</v>
      </c>
      <c r="I19" s="102" t="s">
        <v>2247</v>
      </c>
      <c r="J19" s="102" t="s">
        <v>2247</v>
      </c>
      <c r="K19" s="102" t="s">
        <v>2248</v>
      </c>
      <c r="L19" s="102" t="s">
        <v>2248</v>
      </c>
      <c r="M19" s="102" t="s">
        <v>2247</v>
      </c>
      <c r="N19" s="102" t="s">
        <v>2249</v>
      </c>
      <c r="O19" s="102" t="s">
        <v>2247</v>
      </c>
      <c r="P19" s="102" t="s">
        <v>2247</v>
      </c>
      <c r="Q19" s="102" t="s">
        <v>2247</v>
      </c>
      <c r="R19" s="102" t="s">
        <v>2247</v>
      </c>
      <c r="S19" s="102" t="s">
        <v>2247</v>
      </c>
      <c r="T19" s="102" t="s">
        <v>2247</v>
      </c>
      <c r="U19" s="102" t="s">
        <v>2250</v>
      </c>
    </row>
    <row r="20" spans="2:21">
      <c r="B20" s="145" t="s">
        <v>2183</v>
      </c>
      <c r="C20" s="146">
        <v>20</v>
      </c>
      <c r="D20" s="102" t="s">
        <v>2294</v>
      </c>
      <c r="E20" s="120">
        <v>45438</v>
      </c>
      <c r="F20" s="102">
        <v>4</v>
      </c>
      <c r="G20" s="149" cm="1">
        <f t="array" ref="G20">SUM(IF(I2:U2 = I24:U24, 1, 0))/ COUNTA(I2:U2)</f>
        <v>0.69230769230769229</v>
      </c>
      <c r="H20" s="102" t="s">
        <v>2197</v>
      </c>
      <c r="I20" s="102" t="s">
        <v>2197</v>
      </c>
      <c r="J20" s="102" t="s">
        <v>2197</v>
      </c>
      <c r="K20" s="102" t="s">
        <v>2197</v>
      </c>
      <c r="L20" s="102" t="s">
        <v>2197</v>
      </c>
      <c r="M20" s="102" t="s">
        <v>2197</v>
      </c>
      <c r="N20" s="102" t="s">
        <v>2197</v>
      </c>
      <c r="O20" s="102" t="s">
        <v>2197</v>
      </c>
      <c r="P20" s="102" t="s">
        <v>2197</v>
      </c>
      <c r="Q20" s="102" t="s">
        <v>2197</v>
      </c>
      <c r="R20" s="102" t="s">
        <v>2197</v>
      </c>
      <c r="S20" s="102" t="s">
        <v>2197</v>
      </c>
      <c r="T20" s="102" t="s">
        <v>2197</v>
      </c>
      <c r="U20" s="102" t="s">
        <v>2197</v>
      </c>
    </row>
    <row r="21" spans="2:21">
      <c r="B21" s="169" t="s">
        <v>2186</v>
      </c>
      <c r="C21" s="147">
        <v>21</v>
      </c>
      <c r="D21" s="102" t="s">
        <v>2294</v>
      </c>
      <c r="E21" s="120">
        <v>45438</v>
      </c>
      <c r="F21" s="102">
        <v>4</v>
      </c>
      <c r="G21" s="149" cm="1">
        <f t="array" aca="1" ref="G21" ca="1">SUM(IF(IF(G3:G20="null",1,G3:G20)=1,1,0))/COUNT(IF(G3:G20="null",1,1))</f>
        <v>0.61111111111111116</v>
      </c>
      <c r="H21" s="102" t="s">
        <v>2197</v>
      </c>
      <c r="I21" s="102" t="s">
        <v>2197</v>
      </c>
      <c r="J21" s="102" t="s">
        <v>2197</v>
      </c>
      <c r="K21" s="102" t="s">
        <v>2197</v>
      </c>
      <c r="L21" s="102" t="s">
        <v>2197</v>
      </c>
      <c r="M21" s="102" t="s">
        <v>2197</v>
      </c>
      <c r="N21" s="102" t="s">
        <v>2197</v>
      </c>
      <c r="O21" s="102" t="s">
        <v>2197</v>
      </c>
      <c r="P21" s="102" t="s">
        <v>2197</v>
      </c>
      <c r="Q21" s="102" t="s">
        <v>2197</v>
      </c>
      <c r="R21" s="102" t="s">
        <v>2197</v>
      </c>
      <c r="S21" s="102" t="s">
        <v>2197</v>
      </c>
      <c r="T21" s="102" t="s">
        <v>2197</v>
      </c>
      <c r="U21" s="102" t="s">
        <v>2197</v>
      </c>
    </row>
    <row r="23" spans="2:21">
      <c r="B23" s="119" t="s">
        <v>2251</v>
      </c>
    </row>
    <row r="24" spans="2:21">
      <c r="B24" s="111" t="s">
        <v>2252</v>
      </c>
      <c r="C24" s="112" t="s">
        <v>2190</v>
      </c>
      <c r="D24" s="112" t="s">
        <v>2191</v>
      </c>
      <c r="E24" s="112" t="s">
        <v>2192</v>
      </c>
      <c r="F24" s="112" t="s">
        <v>2193</v>
      </c>
      <c r="G24" s="112" t="s">
        <v>2194</v>
      </c>
      <c r="H24" s="112" t="s">
        <v>2195</v>
      </c>
      <c r="I24" s="113" t="str" cm="1">
        <f t="array" ref="I24:U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source_code</v>
      </c>
      <c r="T24" s="113" t="str">
        <v>data_date_part</v>
      </c>
      <c r="U24" s="114" t="str">
        <v>data_timestamp_part</v>
      </c>
    </row>
    <row r="25" spans="2:21">
      <c r="B25" s="104" t="s">
        <v>2253</v>
      </c>
      <c r="C25" s="117">
        <v>21</v>
      </c>
      <c r="D25" s="106" t="s">
        <v>2254</v>
      </c>
      <c r="E25" s="105" t="s">
        <v>2255</v>
      </c>
      <c r="F25" s="105" t="s">
        <v>1101</v>
      </c>
      <c r="G25" s="105" t="s">
        <v>1101</v>
      </c>
      <c r="H25" s="105" t="s">
        <v>1101</v>
      </c>
      <c r="I25" s="105"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16" t="str">
        <f ca="1"/>
        <v>TIMESTAMP</v>
      </c>
    </row>
    <row r="26" spans="2:21">
      <c r="B26" s="104" t="s">
        <v>2256</v>
      </c>
      <c r="C26" s="117">
        <v>7</v>
      </c>
      <c r="D26" s="106" t="s">
        <v>2254</v>
      </c>
      <c r="E26" s="105" t="s">
        <v>2255</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4</v>
      </c>
      <c r="R26" s="117">
        <f ca="1"/>
        <v>10</v>
      </c>
      <c r="S26" s="117">
        <f ca="1"/>
        <v>2</v>
      </c>
      <c r="T26" s="117">
        <f ca="1"/>
        <v>10</v>
      </c>
      <c r="U26" s="118">
        <f ca="1"/>
        <v>23</v>
      </c>
    </row>
    <row r="28" spans="2:21">
      <c r="B28" s="127" t="s">
        <v>2257</v>
      </c>
    </row>
    <row r="29" spans="2:21">
      <c r="B29" s="136" t="s">
        <v>2258</v>
      </c>
      <c r="C29" s="136" t="s">
        <v>2259</v>
      </c>
      <c r="D29" s="137" t="s">
        <v>2260</v>
      </c>
      <c r="E29" s="136" t="s">
        <v>2261</v>
      </c>
      <c r="F29" s="136" t="s">
        <v>2262</v>
      </c>
    </row>
    <row r="30" spans="2:21" ht="60.75">
      <c r="B30" s="134" t="s">
        <v>2267</v>
      </c>
      <c r="C30" s="87" t="s">
        <v>737</v>
      </c>
      <c r="D30" s="87" t="s">
        <v>2295</v>
      </c>
      <c r="E30" s="87" t="s">
        <v>2296</v>
      </c>
      <c r="F30" s="135" t="s">
        <v>2266</v>
      </c>
    </row>
    <row r="31" spans="2:21" ht="60.75">
      <c r="B31" s="134" t="s">
        <v>2271</v>
      </c>
      <c r="C31" s="87" t="s">
        <v>737</v>
      </c>
      <c r="D31" s="87" t="s">
        <v>2295</v>
      </c>
      <c r="E31" s="87" t="s">
        <v>2296</v>
      </c>
      <c r="F31" s="135" t="s">
        <v>2266</v>
      </c>
    </row>
    <row r="32" spans="2:21" ht="60.75">
      <c r="B32" s="134" t="s">
        <v>2297</v>
      </c>
      <c r="C32" s="87" t="s">
        <v>737</v>
      </c>
      <c r="D32" s="87" t="s">
        <v>2295</v>
      </c>
      <c r="E32" s="87" t="s">
        <v>2296</v>
      </c>
      <c r="F32" s="135" t="s">
        <v>2266</v>
      </c>
    </row>
    <row r="33" spans="2:20" ht="60.75">
      <c r="B33" s="134" t="s">
        <v>2298</v>
      </c>
      <c r="C33" s="87" t="s">
        <v>737</v>
      </c>
      <c r="D33" s="87" t="s">
        <v>2295</v>
      </c>
      <c r="E33" s="87" t="s">
        <v>2296</v>
      </c>
      <c r="F33" s="135" t="s">
        <v>2266</v>
      </c>
    </row>
    <row r="34" spans="2:20" ht="30.75">
      <c r="B34" s="138" t="s">
        <v>2263</v>
      </c>
      <c r="C34" s="91" t="s">
        <v>737</v>
      </c>
      <c r="D34" s="87" t="s">
        <v>2299</v>
      </c>
      <c r="E34" s="87" t="s">
        <v>2296</v>
      </c>
      <c r="F34" s="82" t="s">
        <v>2266</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2252</v>
      </c>
      <c r="C2" s="93" t="s">
        <v>2190</v>
      </c>
      <c r="D2" s="93" t="s">
        <v>2191</v>
      </c>
      <c r="E2" s="93" t="s">
        <v>2192</v>
      </c>
      <c r="F2" s="93" t="s">
        <v>2193</v>
      </c>
      <c r="G2" s="93" t="s">
        <v>2194</v>
      </c>
      <c r="H2" s="93" t="s">
        <v>2195</v>
      </c>
      <c r="I2" s="93" t="s">
        <v>691</v>
      </c>
      <c r="J2" s="93" t="s">
        <v>706</v>
      </c>
      <c r="K2" s="93" t="s">
        <v>716</v>
      </c>
      <c r="L2" s="93" t="s">
        <v>729</v>
      </c>
      <c r="M2" s="93" t="s">
        <v>737</v>
      </c>
      <c r="N2" s="93" t="s">
        <v>767</v>
      </c>
      <c r="O2" s="93" t="s">
        <v>778</v>
      </c>
      <c r="P2" s="93" t="s">
        <v>791</v>
      </c>
      <c r="Q2" s="93" t="s">
        <v>749</v>
      </c>
      <c r="R2" s="93" t="s">
        <v>758</v>
      </c>
      <c r="S2" s="93" t="s">
        <v>798</v>
      </c>
      <c r="T2" s="93" t="s">
        <v>806</v>
      </c>
      <c r="U2" s="93" t="s">
        <v>813</v>
      </c>
    </row>
    <row r="3" spans="2:21">
      <c r="B3" s="145" t="s">
        <v>2143</v>
      </c>
      <c r="C3" s="102">
        <v>1</v>
      </c>
      <c r="D3" s="102" t="s">
        <v>2300</v>
      </c>
      <c r="E3" s="120">
        <v>45517</v>
      </c>
      <c r="F3" s="102">
        <v>5</v>
      </c>
      <c r="G3" s="149">
        <v>1</v>
      </c>
      <c r="H3" s="171">
        <v>132</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row>
    <row r="4" spans="2:21">
      <c r="B4" s="145" t="s">
        <v>2145</v>
      </c>
      <c r="C4" s="102">
        <v>2</v>
      </c>
      <c r="D4" s="102" t="s">
        <v>2301</v>
      </c>
      <c r="E4" s="120">
        <v>45517</v>
      </c>
      <c r="F4" s="102">
        <v>5</v>
      </c>
      <c r="G4" s="149">
        <v>1</v>
      </c>
      <c r="H4" s="102">
        <v>0</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row>
    <row r="5" spans="2:21">
      <c r="B5" s="145" t="s">
        <v>2147</v>
      </c>
      <c r="C5" s="102">
        <v>3</v>
      </c>
      <c r="D5" s="102" t="s">
        <v>2302</v>
      </c>
      <c r="E5" s="120">
        <v>45517</v>
      </c>
      <c r="F5" s="102">
        <v>5</v>
      </c>
      <c r="G5" s="149">
        <v>0.8</v>
      </c>
      <c r="H5" s="102">
        <v>132</v>
      </c>
      <c r="I5" s="102">
        <v>0</v>
      </c>
      <c r="J5" s="102">
        <v>0</v>
      </c>
      <c r="K5" s="102">
        <v>0</v>
      </c>
      <c r="L5" s="102">
        <v>0</v>
      </c>
      <c r="M5" s="102">
        <v>132</v>
      </c>
      <c r="N5" s="102" t="s">
        <v>2197</v>
      </c>
      <c r="O5" s="102" t="s">
        <v>2197</v>
      </c>
      <c r="P5" s="102" t="s">
        <v>2197</v>
      </c>
      <c r="Q5" s="102" t="s">
        <v>2197</v>
      </c>
      <c r="R5" s="102" t="s">
        <v>2197</v>
      </c>
      <c r="S5" s="102" t="s">
        <v>2197</v>
      </c>
      <c r="T5" s="102" t="s">
        <v>2197</v>
      </c>
      <c r="U5" s="102" t="s">
        <v>2197</v>
      </c>
    </row>
    <row r="6" spans="2:21">
      <c r="B6" s="92" t="s">
        <v>2149</v>
      </c>
      <c r="C6" s="102">
        <v>4</v>
      </c>
      <c r="D6" s="102" t="s">
        <v>2202</v>
      </c>
      <c r="E6" s="120" t="s">
        <v>2197</v>
      </c>
      <c r="F6" s="102">
        <v>5</v>
      </c>
      <c r="G6" s="177" t="s">
        <v>2197</v>
      </c>
      <c r="H6" s="177"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row>
    <row r="7" spans="2:21">
      <c r="B7" s="92" t="s">
        <v>2151</v>
      </c>
      <c r="C7" s="102">
        <v>5</v>
      </c>
      <c r="D7" s="102" t="s">
        <v>2202</v>
      </c>
      <c r="E7" s="120" t="s">
        <v>2197</v>
      </c>
      <c r="F7" s="102">
        <v>5</v>
      </c>
      <c r="G7" s="177" t="s">
        <v>2197</v>
      </c>
      <c r="H7" s="177"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row>
    <row r="8" spans="2:21">
      <c r="B8" s="176" t="s">
        <v>2152</v>
      </c>
      <c r="C8" s="102">
        <v>6</v>
      </c>
      <c r="D8" s="102" t="s">
        <v>2303</v>
      </c>
      <c r="E8" s="120">
        <v>45517</v>
      </c>
      <c r="F8" s="102">
        <v>5</v>
      </c>
      <c r="G8" s="149" cm="1">
        <f t="array" ref="G8">SUMPRODUCT(--(I8:U8&gt;0))/COUNTA(I8:U8)</f>
        <v>1</v>
      </c>
      <c r="H8" s="102">
        <v>0</v>
      </c>
      <c r="I8" s="102">
        <v>2</v>
      </c>
      <c r="J8" s="102">
        <v>30</v>
      </c>
      <c r="K8" s="102">
        <v>1</v>
      </c>
      <c r="L8" s="102">
        <v>1</v>
      </c>
      <c r="M8" s="102" t="s">
        <v>2204</v>
      </c>
      <c r="N8" s="102">
        <v>1</v>
      </c>
      <c r="O8" s="102">
        <v>3</v>
      </c>
      <c r="P8" s="102">
        <v>10</v>
      </c>
      <c r="Q8" s="102">
        <v>10</v>
      </c>
      <c r="R8" s="102">
        <v>8</v>
      </c>
      <c r="S8" s="102">
        <v>2</v>
      </c>
      <c r="T8" s="102">
        <v>10</v>
      </c>
      <c r="U8" s="102">
        <v>23</v>
      </c>
    </row>
    <row r="9" spans="2:21">
      <c r="B9" s="145" t="s">
        <v>2155</v>
      </c>
      <c r="C9" s="102">
        <v>7</v>
      </c>
      <c r="D9" s="102" t="s">
        <v>2304</v>
      </c>
      <c r="E9" s="120">
        <v>45517</v>
      </c>
      <c r="F9" s="102">
        <v>5</v>
      </c>
      <c r="G9" s="149" cm="1">
        <f t="array" aca="1" ref="G9" ca="1">SUMPRODUCT(--(I9:U9 &lt;= I26:U26))/COUNTA(I26:U26)</f>
        <v>0.92307692307692313</v>
      </c>
      <c r="H9" s="102">
        <v>0</v>
      </c>
      <c r="I9" s="102">
        <v>2</v>
      </c>
      <c r="J9" s="102">
        <v>30</v>
      </c>
      <c r="K9" s="102">
        <v>5</v>
      </c>
      <c r="L9" s="102">
        <v>1</v>
      </c>
      <c r="M9" s="102" t="s">
        <v>2204</v>
      </c>
      <c r="N9" s="102">
        <v>1</v>
      </c>
      <c r="O9" s="102">
        <v>3</v>
      </c>
      <c r="P9" s="102">
        <v>10</v>
      </c>
      <c r="Q9" s="102">
        <v>10</v>
      </c>
      <c r="R9" s="102">
        <v>12</v>
      </c>
      <c r="S9" s="102">
        <v>2</v>
      </c>
      <c r="T9" s="102">
        <v>10</v>
      </c>
      <c r="U9" s="102">
        <v>23</v>
      </c>
    </row>
    <row r="10" spans="2:21">
      <c r="B10" s="145" t="s">
        <v>2158</v>
      </c>
      <c r="C10" s="102">
        <v>8</v>
      </c>
      <c r="D10" s="102" t="s">
        <v>2305</v>
      </c>
      <c r="E10" s="120">
        <v>45517</v>
      </c>
      <c r="F10" s="102">
        <v>5</v>
      </c>
      <c r="G10" s="177" t="s">
        <v>2197</v>
      </c>
      <c r="H10" s="102">
        <v>0</v>
      </c>
      <c r="I10" s="102">
        <v>31</v>
      </c>
      <c r="J10" s="102">
        <v>3.1016768609106898E+26</v>
      </c>
      <c r="K10" s="102">
        <v>3</v>
      </c>
      <c r="L10" s="102">
        <v>1</v>
      </c>
      <c r="M10" s="102" t="s">
        <v>2204</v>
      </c>
      <c r="N10" s="102">
        <v>0</v>
      </c>
      <c r="O10" s="102">
        <v>978</v>
      </c>
      <c r="P10" s="120">
        <v>45510</v>
      </c>
      <c r="Q10" s="120">
        <v>45517</v>
      </c>
      <c r="R10" s="102" t="s">
        <v>2306</v>
      </c>
      <c r="S10" s="102" t="s">
        <v>2307</v>
      </c>
      <c r="T10" s="120">
        <v>45517</v>
      </c>
      <c r="U10" s="102" t="s">
        <v>2308</v>
      </c>
    </row>
    <row r="11" spans="2:21">
      <c r="B11" s="145" t="s">
        <v>2160</v>
      </c>
      <c r="C11" s="102">
        <v>9</v>
      </c>
      <c r="D11" s="102" t="s">
        <v>2309</v>
      </c>
      <c r="E11" s="120">
        <v>45517</v>
      </c>
      <c r="F11" s="102">
        <v>5</v>
      </c>
      <c r="G11" s="177" t="s">
        <v>2197</v>
      </c>
      <c r="H11" s="102">
        <v>0</v>
      </c>
      <c r="I11" s="102"/>
      <c r="J11" s="102">
        <v>3.1016768609106898E+26</v>
      </c>
      <c r="K11" s="102">
        <v>3</v>
      </c>
      <c r="L11" s="102">
        <v>1</v>
      </c>
      <c r="M11" s="102" t="s">
        <v>2204</v>
      </c>
      <c r="N11" s="102">
        <v>0</v>
      </c>
      <c r="O11" s="102">
        <v>978</v>
      </c>
      <c r="P11" s="120">
        <v>45510</v>
      </c>
      <c r="Q11" s="120">
        <v>45517</v>
      </c>
      <c r="R11" s="102" t="s">
        <v>2306</v>
      </c>
      <c r="S11" s="102" t="s">
        <v>2307</v>
      </c>
      <c r="T11" s="120">
        <v>45517</v>
      </c>
      <c r="U11" s="102" t="s">
        <v>2310</v>
      </c>
    </row>
    <row r="12" spans="2:21">
      <c r="B12" s="168" t="s">
        <v>2162</v>
      </c>
      <c r="C12" s="102">
        <v>10</v>
      </c>
      <c r="D12" s="102" t="s">
        <v>2311</v>
      </c>
      <c r="E12" s="120">
        <v>45517</v>
      </c>
      <c r="F12" s="102">
        <v>5</v>
      </c>
      <c r="G12" s="177" t="s">
        <v>2197</v>
      </c>
      <c r="H12" s="102">
        <v>0</v>
      </c>
      <c r="I12" s="102">
        <v>31</v>
      </c>
      <c r="J12" s="102">
        <v>5.2950000010009103E+29</v>
      </c>
      <c r="K12" s="102">
        <v>14280</v>
      </c>
      <c r="L12" s="102">
        <v>7</v>
      </c>
      <c r="M12" s="102" t="s">
        <v>2204</v>
      </c>
      <c r="N12" s="102">
        <v>1</v>
      </c>
      <c r="O12" s="120">
        <v>978</v>
      </c>
      <c r="P12" s="120">
        <v>45517</v>
      </c>
      <c r="Q12" s="120">
        <v>45517</v>
      </c>
      <c r="R12" s="121">
        <v>79969680000</v>
      </c>
      <c r="S12" s="120" t="s">
        <v>2307</v>
      </c>
      <c r="T12" s="120">
        <v>45517</v>
      </c>
      <c r="U12" s="102" t="s">
        <v>2308</v>
      </c>
    </row>
    <row r="13" spans="2:21">
      <c r="B13" s="145" t="s">
        <v>2164</v>
      </c>
      <c r="C13" s="102">
        <v>11</v>
      </c>
      <c r="D13" s="102" t="s">
        <v>2312</v>
      </c>
      <c r="E13" s="120">
        <v>45517</v>
      </c>
      <c r="F13" s="102">
        <v>5</v>
      </c>
      <c r="G13" s="177" t="s">
        <v>2197</v>
      </c>
      <c r="H13" s="102">
        <v>0</v>
      </c>
      <c r="I13" s="102"/>
      <c r="J13" s="102">
        <v>5.2950000010009103E+29</v>
      </c>
      <c r="K13" s="102">
        <v>14280</v>
      </c>
      <c r="L13" s="102">
        <v>7</v>
      </c>
      <c r="M13" s="102" t="s">
        <v>2204</v>
      </c>
      <c r="N13" s="102">
        <v>1</v>
      </c>
      <c r="O13" s="120">
        <v>978</v>
      </c>
      <c r="P13" s="120">
        <v>45517</v>
      </c>
      <c r="Q13" s="120">
        <v>45517</v>
      </c>
      <c r="R13" s="121">
        <v>79969680000</v>
      </c>
      <c r="S13" s="120" t="s">
        <v>2307</v>
      </c>
      <c r="T13" s="120">
        <v>45517</v>
      </c>
      <c r="U13" s="102" t="s">
        <v>2313</v>
      </c>
    </row>
    <row r="14" spans="2:21">
      <c r="B14" s="145" t="s">
        <v>2166</v>
      </c>
      <c r="C14" s="102">
        <v>12</v>
      </c>
      <c r="D14" s="102" t="s">
        <v>2314</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2168</v>
      </c>
      <c r="C15" s="102">
        <v>13</v>
      </c>
      <c r="D15" s="102" t="s">
        <v>2315</v>
      </c>
      <c r="E15" s="120">
        <v>45517</v>
      </c>
      <c r="F15" s="102">
        <v>5</v>
      </c>
      <c r="G15" s="149">
        <v>1</v>
      </c>
      <c r="H15" s="102">
        <v>0</v>
      </c>
      <c r="I15" s="102" t="s">
        <v>2197</v>
      </c>
      <c r="J15" s="102" t="s">
        <v>2197</v>
      </c>
      <c r="K15" s="102" t="s">
        <v>2197</v>
      </c>
      <c r="L15" s="102" t="s">
        <v>2197</v>
      </c>
      <c r="M15" s="102" t="s">
        <v>2197</v>
      </c>
      <c r="N15" s="102" t="s">
        <v>2197</v>
      </c>
      <c r="O15" s="120" t="s">
        <v>2197</v>
      </c>
      <c r="P15" s="102">
        <v>0</v>
      </c>
      <c r="Q15" s="102">
        <v>0</v>
      </c>
      <c r="R15" s="102" t="s">
        <v>2197</v>
      </c>
      <c r="S15" s="120" t="s">
        <v>2197</v>
      </c>
      <c r="T15" s="120" t="s">
        <v>2197</v>
      </c>
      <c r="U15" s="102" t="s">
        <v>2197</v>
      </c>
    </row>
    <row r="16" spans="2:21">
      <c r="B16" s="145" t="s">
        <v>2170</v>
      </c>
      <c r="C16" s="102">
        <v>14</v>
      </c>
      <c r="D16" s="102" t="s">
        <v>2316</v>
      </c>
      <c r="E16" s="120">
        <v>45517</v>
      </c>
      <c r="F16" s="102">
        <v>5</v>
      </c>
      <c r="G16" s="149">
        <v>1</v>
      </c>
      <c r="H16" s="102">
        <v>0</v>
      </c>
      <c r="I16" s="102">
        <v>0</v>
      </c>
      <c r="J16" s="102">
        <v>0</v>
      </c>
      <c r="K16" s="102" t="s">
        <v>2197</v>
      </c>
      <c r="L16" s="102" t="s">
        <v>2197</v>
      </c>
      <c r="M16" s="102">
        <v>0</v>
      </c>
      <c r="N16" s="102" t="s">
        <v>2197</v>
      </c>
      <c r="O16" s="102">
        <v>0</v>
      </c>
      <c r="P16" s="102" t="s">
        <v>2197</v>
      </c>
      <c r="Q16" s="102" t="s">
        <v>2197</v>
      </c>
      <c r="R16" s="102" t="s">
        <v>2197</v>
      </c>
      <c r="S16" s="102">
        <v>0</v>
      </c>
      <c r="T16" s="102" t="s">
        <v>2197</v>
      </c>
      <c r="U16" s="102" t="s">
        <v>2197</v>
      </c>
    </row>
    <row r="17" spans="2:21">
      <c r="B17" s="178" t="s">
        <v>2172</v>
      </c>
      <c r="C17" s="102">
        <v>15</v>
      </c>
      <c r="D17" s="102" t="s">
        <v>2317</v>
      </c>
      <c r="E17" s="120">
        <v>45517</v>
      </c>
      <c r="F17" s="102">
        <v>5</v>
      </c>
      <c r="G17" s="149">
        <v>0</v>
      </c>
      <c r="H17" s="102">
        <v>132</v>
      </c>
      <c r="I17" s="102" t="s">
        <v>2197</v>
      </c>
      <c r="J17" s="102" t="s">
        <v>2197</v>
      </c>
      <c r="K17" s="102" t="s">
        <v>2197</v>
      </c>
      <c r="L17" s="102" t="s">
        <v>2197</v>
      </c>
      <c r="M17" s="102" t="s">
        <v>2197</v>
      </c>
      <c r="N17" s="102" t="s">
        <v>2197</v>
      </c>
      <c r="O17" s="92" t="s">
        <v>2197</v>
      </c>
      <c r="P17" s="92" t="s">
        <v>2197</v>
      </c>
      <c r="Q17" s="92" t="s">
        <v>2197</v>
      </c>
      <c r="R17" s="102" t="s">
        <v>2197</v>
      </c>
      <c r="S17" s="102" t="s">
        <v>2197</v>
      </c>
      <c r="T17" s="102" t="s">
        <v>2197</v>
      </c>
      <c r="U17" s="102" t="s">
        <v>2197</v>
      </c>
    </row>
    <row r="18" spans="2:21">
      <c r="B18" s="178" t="s">
        <v>2174</v>
      </c>
      <c r="C18" s="102">
        <v>16</v>
      </c>
      <c r="D18" s="102" t="s">
        <v>2317</v>
      </c>
      <c r="E18" s="120">
        <v>45517</v>
      </c>
      <c r="F18" s="102">
        <v>5</v>
      </c>
      <c r="G18" s="149">
        <v>0</v>
      </c>
      <c r="H18" s="102">
        <v>132</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row>
    <row r="19" spans="2:21">
      <c r="B19" s="145" t="s">
        <v>2180</v>
      </c>
      <c r="C19" s="102">
        <v>19</v>
      </c>
      <c r="D19" s="102" t="s">
        <v>2318</v>
      </c>
      <c r="E19" s="120">
        <v>45517</v>
      </c>
      <c r="F19" s="102">
        <v>5</v>
      </c>
      <c r="G19" s="149" cm="1">
        <f t="array" aca="1" ref="G19" ca="1">SUMPRODUCT(--(ISNUMBER((SEARCH(I25:U25,I19:U19)))))/COUNTA(I19:U19)</f>
        <v>1</v>
      </c>
      <c r="H19" s="102">
        <v>0</v>
      </c>
      <c r="I19" s="102" t="s">
        <v>2247</v>
      </c>
      <c r="J19" s="102" t="s">
        <v>2247</v>
      </c>
      <c r="K19" s="102" t="s">
        <v>2248</v>
      </c>
      <c r="L19" s="102" t="s">
        <v>2248</v>
      </c>
      <c r="M19" s="102" t="s">
        <v>2247</v>
      </c>
      <c r="N19" s="102" t="s">
        <v>2247</v>
      </c>
      <c r="O19" s="102" t="s">
        <v>2247</v>
      </c>
      <c r="P19" s="102" t="s">
        <v>2247</v>
      </c>
      <c r="Q19" s="102" t="s">
        <v>2247</v>
      </c>
      <c r="R19" s="102" t="s">
        <v>2249</v>
      </c>
      <c r="S19" s="102" t="s">
        <v>2247</v>
      </c>
      <c r="T19" s="102" t="s">
        <v>2247</v>
      </c>
      <c r="U19" s="102" t="s">
        <v>2250</v>
      </c>
    </row>
    <row r="20" spans="2:21">
      <c r="B20" s="145" t="s">
        <v>2183</v>
      </c>
      <c r="C20" s="146">
        <v>20</v>
      </c>
      <c r="D20" s="102" t="s">
        <v>2319</v>
      </c>
      <c r="E20" s="120">
        <v>45433</v>
      </c>
      <c r="F20" s="102">
        <v>1</v>
      </c>
      <c r="G20" s="149" cm="1">
        <f t="array" ref="G20">SUM(IF(I2:U2 = I24:U24, 1, 0))/ COUNTA(I2:U2)</f>
        <v>1</v>
      </c>
      <c r="H20" s="102" t="s">
        <v>2197</v>
      </c>
      <c r="I20" s="102" t="s">
        <v>2197</v>
      </c>
      <c r="J20" s="102" t="s">
        <v>2197</v>
      </c>
      <c r="K20" s="102" t="s">
        <v>2197</v>
      </c>
      <c r="L20" s="102" t="s">
        <v>2197</v>
      </c>
      <c r="M20" s="102" t="s">
        <v>2197</v>
      </c>
      <c r="N20" s="102" t="s">
        <v>2197</v>
      </c>
      <c r="O20" s="102" t="s">
        <v>2197</v>
      </c>
      <c r="P20" s="102" t="s">
        <v>2197</v>
      </c>
      <c r="Q20" s="102" t="s">
        <v>2197</v>
      </c>
      <c r="R20" s="102" t="s">
        <v>2197</v>
      </c>
      <c r="S20" s="102" t="s">
        <v>2197</v>
      </c>
      <c r="T20" s="102" t="s">
        <v>2197</v>
      </c>
      <c r="U20" s="102" t="s">
        <v>2197</v>
      </c>
    </row>
    <row r="21" spans="2:21">
      <c r="B21" s="169" t="s">
        <v>2186</v>
      </c>
      <c r="C21" s="147">
        <v>21</v>
      </c>
      <c r="D21" s="102" t="s">
        <v>2319</v>
      </c>
      <c r="E21" s="120">
        <v>45433</v>
      </c>
      <c r="F21" s="102">
        <v>1</v>
      </c>
      <c r="G21" s="149" cm="1">
        <f t="array" aca="1" ref="G21" ca="1">SUM(IF(IF(G3:G20="null",1,G3:G20)=1,1,0))/COUNT(IF(G3:G20="null",1,1))</f>
        <v>0.72222222222222221</v>
      </c>
      <c r="H21" s="102" t="s">
        <v>2197</v>
      </c>
      <c r="I21" s="102" t="s">
        <v>2197</v>
      </c>
      <c r="J21" s="102" t="s">
        <v>2197</v>
      </c>
      <c r="K21" s="102" t="s">
        <v>2197</v>
      </c>
      <c r="L21" s="102" t="s">
        <v>2197</v>
      </c>
      <c r="M21" s="102" t="s">
        <v>2197</v>
      </c>
      <c r="N21" s="102" t="s">
        <v>2197</v>
      </c>
      <c r="O21" s="102" t="s">
        <v>2197</v>
      </c>
      <c r="P21" s="102" t="s">
        <v>2197</v>
      </c>
      <c r="Q21" s="102" t="s">
        <v>2197</v>
      </c>
      <c r="R21" s="102" t="s">
        <v>2197</v>
      </c>
      <c r="S21" s="102" t="s">
        <v>2197</v>
      </c>
      <c r="T21" s="102" t="s">
        <v>2197</v>
      </c>
      <c r="U21" s="102" t="s">
        <v>2197</v>
      </c>
    </row>
    <row r="23" spans="2:21">
      <c r="B23" s="119" t="s">
        <v>2251</v>
      </c>
    </row>
    <row r="24" spans="2:21">
      <c r="B24" s="107" t="s">
        <v>2252</v>
      </c>
      <c r="C24" s="108" t="s">
        <v>2190</v>
      </c>
      <c r="D24" s="108" t="s">
        <v>2191</v>
      </c>
      <c r="E24" s="108" t="s">
        <v>2192</v>
      </c>
      <c r="F24" s="115" t="s">
        <v>2193</v>
      </c>
      <c r="G24" s="115" t="s">
        <v>2194</v>
      </c>
      <c r="H24" s="115" t="s">
        <v>2195</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2253</v>
      </c>
      <c r="C25" s="117">
        <v>21</v>
      </c>
      <c r="D25" s="123" t="s">
        <v>2254</v>
      </c>
      <c r="E25" s="117" t="s">
        <v>2255</v>
      </c>
      <c r="F25" s="117" t="s">
        <v>1101</v>
      </c>
      <c r="G25" s="117" t="s">
        <v>1101</v>
      </c>
      <c r="H25" s="117" t="s">
        <v>1101</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2256</v>
      </c>
      <c r="C26" s="125">
        <v>7</v>
      </c>
      <c r="D26" s="126" t="s">
        <v>2254</v>
      </c>
      <c r="E26" s="125" t="s">
        <v>2255</v>
      </c>
      <c r="F26" s="125" t="s">
        <v>1101</v>
      </c>
      <c r="G26" s="125" t="s">
        <v>1101</v>
      </c>
      <c r="H26" s="125" t="s">
        <v>1101</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2257</v>
      </c>
    </row>
    <row r="29" spans="2:21">
      <c r="B29" s="128" t="s">
        <v>2258</v>
      </c>
      <c r="C29" s="128" t="s">
        <v>2259</v>
      </c>
      <c r="D29" s="129" t="s">
        <v>2260</v>
      </c>
      <c r="E29" s="128" t="s">
        <v>2261</v>
      </c>
      <c r="F29" s="128" t="s">
        <v>2262</v>
      </c>
    </row>
    <row r="30" spans="2:21" ht="213">
      <c r="B30" s="172" t="s">
        <v>2271</v>
      </c>
      <c r="C30" s="172" t="s">
        <v>767</v>
      </c>
      <c r="D30" s="91" t="s">
        <v>2320</v>
      </c>
      <c r="E30" s="173" t="s">
        <v>2321</v>
      </c>
      <c r="F30" s="172" t="s">
        <v>2322</v>
      </c>
      <c r="H30" s="24" t="s">
        <v>2323</v>
      </c>
    </row>
    <row r="31" spans="2:21" ht="76.5">
      <c r="B31" s="78" t="s">
        <v>2271</v>
      </c>
      <c r="C31" s="78" t="s">
        <v>737</v>
      </c>
      <c r="D31" s="87" t="s">
        <v>2264</v>
      </c>
      <c r="E31" s="173" t="s">
        <v>2324</v>
      </c>
      <c r="F31" s="78" t="s">
        <v>2266</v>
      </c>
    </row>
    <row r="32" spans="2:21" ht="76.5">
      <c r="B32" s="188" t="s">
        <v>2267</v>
      </c>
      <c r="C32" s="188" t="s">
        <v>737</v>
      </c>
      <c r="D32" s="87" t="s">
        <v>2264</v>
      </c>
      <c r="E32" s="173" t="s">
        <v>2324</v>
      </c>
      <c r="F32" s="188" t="s">
        <v>2266</v>
      </c>
    </row>
    <row r="33" spans="2:6" ht="76.5">
      <c r="B33" s="188" t="s">
        <v>2263</v>
      </c>
      <c r="C33" s="188" t="s">
        <v>737</v>
      </c>
      <c r="D33" s="87" t="s">
        <v>2264</v>
      </c>
      <c r="E33" s="173" t="s">
        <v>2324</v>
      </c>
      <c r="F33" s="188" t="s">
        <v>2266</v>
      </c>
    </row>
    <row r="34" spans="2:6" ht="106.5">
      <c r="B34" s="188" t="s">
        <v>2297</v>
      </c>
      <c r="C34" s="188" t="s">
        <v>2325</v>
      </c>
      <c r="D34" s="87" t="s">
        <v>2326</v>
      </c>
      <c r="E34" s="173" t="s">
        <v>2324</v>
      </c>
      <c r="F34" s="188" t="s">
        <v>2266</v>
      </c>
    </row>
    <row r="35" spans="2:6" ht="106.5">
      <c r="B35" s="188" t="s">
        <v>2298</v>
      </c>
      <c r="C35" s="188" t="s">
        <v>2325</v>
      </c>
      <c r="D35" s="87" t="s">
        <v>2326</v>
      </c>
      <c r="E35" s="173" t="s">
        <v>2324</v>
      </c>
      <c r="F35" s="188" t="s">
        <v>2266</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01" t="s">
        <v>749</v>
      </c>
      <c r="O2" s="101" t="s">
        <v>758</v>
      </c>
      <c r="P2" s="101" t="s">
        <v>767</v>
      </c>
      <c r="Q2" s="101" t="s">
        <v>778</v>
      </c>
      <c r="R2" s="101" t="s">
        <v>791</v>
      </c>
      <c r="S2" s="101" t="s">
        <v>906</v>
      </c>
      <c r="T2" s="101" t="s">
        <v>914</v>
      </c>
      <c r="U2" s="101" t="s">
        <v>1080</v>
      </c>
      <c r="V2" s="101" t="s">
        <v>1408</v>
      </c>
      <c r="W2" s="101" t="s">
        <v>1681</v>
      </c>
      <c r="X2" s="101" t="s">
        <v>1530</v>
      </c>
      <c r="Y2" s="101" t="s">
        <v>1554</v>
      </c>
      <c r="Z2" s="101" t="s">
        <v>1424</v>
      </c>
      <c r="AA2" s="101" t="s">
        <v>1706</v>
      </c>
      <c r="AB2" s="101" t="s">
        <v>1693</v>
      </c>
      <c r="AC2" s="101" t="s">
        <v>798</v>
      </c>
      <c r="AD2" s="101" t="s">
        <v>806</v>
      </c>
      <c r="AE2" s="101" t="s">
        <v>813</v>
      </c>
    </row>
    <row r="3" spans="2:31">
      <c r="B3" s="145" t="s">
        <v>2143</v>
      </c>
      <c r="C3" s="102">
        <v>1</v>
      </c>
      <c r="D3" s="102" t="s">
        <v>2327</v>
      </c>
      <c r="E3" s="120">
        <v>45484</v>
      </c>
      <c r="F3" s="102">
        <v>1</v>
      </c>
      <c r="G3" s="121">
        <v>1</v>
      </c>
      <c r="H3" s="174">
        <v>1904077</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c r="W3" s="102" t="s">
        <v>2197</v>
      </c>
      <c r="X3" s="102" t="s">
        <v>2197</v>
      </c>
      <c r="Y3" s="102" t="s">
        <v>2197</v>
      </c>
      <c r="Z3" s="102" t="s">
        <v>2197</v>
      </c>
      <c r="AA3" s="102" t="s">
        <v>2197</v>
      </c>
      <c r="AB3" s="102" t="s">
        <v>2197</v>
      </c>
      <c r="AC3" s="102" t="s">
        <v>2197</v>
      </c>
      <c r="AD3" s="102" t="s">
        <v>2197</v>
      </c>
      <c r="AE3" s="102" t="s">
        <v>2197</v>
      </c>
    </row>
    <row r="4" spans="2:31">
      <c r="B4" s="145" t="s">
        <v>2145</v>
      </c>
      <c r="C4" s="102">
        <v>2</v>
      </c>
      <c r="D4" s="102" t="s">
        <v>2328</v>
      </c>
      <c r="E4" s="120">
        <v>45484</v>
      </c>
      <c r="F4" s="102">
        <v>1</v>
      </c>
      <c r="G4" s="121">
        <v>1</v>
      </c>
      <c r="H4" s="102" t="s">
        <v>2282</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c r="W4" s="102" t="s">
        <v>2197</v>
      </c>
      <c r="X4" s="102" t="s">
        <v>2197</v>
      </c>
      <c r="Y4" s="102" t="s">
        <v>2197</v>
      </c>
      <c r="Z4" s="102" t="s">
        <v>2197</v>
      </c>
      <c r="AA4" s="102" t="s">
        <v>2197</v>
      </c>
      <c r="AB4" s="102" t="s">
        <v>2197</v>
      </c>
      <c r="AC4" s="102" t="s">
        <v>2197</v>
      </c>
      <c r="AD4" s="102" t="s">
        <v>2197</v>
      </c>
      <c r="AE4" s="102" t="s">
        <v>2197</v>
      </c>
    </row>
    <row r="5" spans="2:31">
      <c r="B5" s="145" t="s">
        <v>2147</v>
      </c>
      <c r="C5" s="102">
        <v>3</v>
      </c>
      <c r="D5" s="102" t="s">
        <v>2329</v>
      </c>
      <c r="E5" s="120">
        <v>45484</v>
      </c>
      <c r="F5" s="102">
        <v>1</v>
      </c>
      <c r="G5" s="102">
        <v>0.875</v>
      </c>
      <c r="H5" s="121">
        <v>1904077</v>
      </c>
      <c r="I5" s="102">
        <v>0</v>
      </c>
      <c r="J5" s="102">
        <v>0</v>
      </c>
      <c r="K5" s="102">
        <v>0</v>
      </c>
      <c r="L5" s="102">
        <v>0</v>
      </c>
      <c r="M5" s="102">
        <v>1904077</v>
      </c>
      <c r="N5" s="102">
        <v>0</v>
      </c>
      <c r="O5" s="102">
        <v>0</v>
      </c>
      <c r="P5" s="102" t="s">
        <v>2197</v>
      </c>
      <c r="Q5" s="102" t="s">
        <v>2197</v>
      </c>
      <c r="R5" s="102" t="s">
        <v>2197</v>
      </c>
      <c r="S5" s="102" t="s">
        <v>2197</v>
      </c>
      <c r="T5" s="102" t="s">
        <v>2197</v>
      </c>
      <c r="U5" s="102" t="s">
        <v>2197</v>
      </c>
      <c r="V5" s="102" t="s">
        <v>2197</v>
      </c>
      <c r="W5" s="102" t="s">
        <v>2197</v>
      </c>
      <c r="X5" s="102" t="s">
        <v>2197</v>
      </c>
      <c r="Y5" s="102" t="s">
        <v>2197</v>
      </c>
      <c r="Z5" s="102" t="s">
        <v>2197</v>
      </c>
      <c r="AA5" s="102" t="s">
        <v>2197</v>
      </c>
      <c r="AB5" s="102" t="s">
        <v>2197</v>
      </c>
      <c r="AC5" s="102" t="s">
        <v>2197</v>
      </c>
      <c r="AD5" s="102">
        <v>0</v>
      </c>
      <c r="AE5" s="102" t="s">
        <v>2197</v>
      </c>
    </row>
    <row r="6" spans="2:31">
      <c r="B6" s="92" t="s">
        <v>2149</v>
      </c>
      <c r="C6" s="102">
        <v>4</v>
      </c>
      <c r="D6" s="102" t="s">
        <v>2202</v>
      </c>
      <c r="E6" s="120" t="s">
        <v>2197</v>
      </c>
      <c r="F6" s="102">
        <v>1</v>
      </c>
      <c r="G6" s="120" t="s">
        <v>2197</v>
      </c>
      <c r="H6" s="102"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c r="W6" s="102" t="s">
        <v>2197</v>
      </c>
      <c r="X6" s="102" t="s">
        <v>2197</v>
      </c>
      <c r="Y6" s="102" t="s">
        <v>2197</v>
      </c>
      <c r="Z6" s="102" t="s">
        <v>2197</v>
      </c>
      <c r="AA6" s="102" t="s">
        <v>2197</v>
      </c>
      <c r="AB6" s="102" t="s">
        <v>2197</v>
      </c>
      <c r="AC6" s="102" t="s">
        <v>2197</v>
      </c>
      <c r="AD6" s="102" t="s">
        <v>2197</v>
      </c>
      <c r="AE6" s="102" t="s">
        <v>2197</v>
      </c>
    </row>
    <row r="7" spans="2:31">
      <c r="B7" s="92" t="s">
        <v>2151</v>
      </c>
      <c r="C7" s="102">
        <v>5</v>
      </c>
      <c r="D7" s="102" t="s">
        <v>2202</v>
      </c>
      <c r="E7" s="120" t="s">
        <v>2197</v>
      </c>
      <c r="F7" s="102">
        <v>1</v>
      </c>
      <c r="G7" s="120" t="s">
        <v>2197</v>
      </c>
      <c r="H7" s="102"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c r="W7" s="102" t="s">
        <v>2197</v>
      </c>
      <c r="X7" s="102" t="s">
        <v>2197</v>
      </c>
      <c r="Y7" s="102" t="s">
        <v>2197</v>
      </c>
      <c r="Z7" s="102" t="s">
        <v>2197</v>
      </c>
      <c r="AA7" s="102" t="s">
        <v>2197</v>
      </c>
      <c r="AB7" s="102" t="s">
        <v>2197</v>
      </c>
      <c r="AC7" s="102" t="s">
        <v>2197</v>
      </c>
      <c r="AD7" s="102" t="s">
        <v>2197</v>
      </c>
      <c r="AE7" s="102" t="s">
        <v>2197</v>
      </c>
    </row>
    <row r="8" spans="2:31">
      <c r="B8" s="176" t="s">
        <v>2152</v>
      </c>
      <c r="C8" s="102">
        <v>6</v>
      </c>
      <c r="D8" s="102" t="s">
        <v>2330</v>
      </c>
      <c r="E8" s="120">
        <v>45484</v>
      </c>
      <c r="F8" s="102">
        <v>1</v>
      </c>
      <c r="G8" s="149" t="s">
        <v>2197</v>
      </c>
      <c r="H8" s="102" t="s">
        <v>2282</v>
      </c>
      <c r="I8" s="102">
        <v>2</v>
      </c>
      <c r="J8" s="102">
        <v>30</v>
      </c>
      <c r="K8" s="102">
        <v>1</v>
      </c>
      <c r="L8" s="102">
        <v>1</v>
      </c>
      <c r="M8" s="102" t="s">
        <v>2204</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2155</v>
      </c>
      <c r="C9" s="102">
        <v>7</v>
      </c>
      <c r="D9" s="102" t="s">
        <v>2331</v>
      </c>
      <c r="E9" s="120">
        <v>45484</v>
      </c>
      <c r="F9" s="102">
        <v>1</v>
      </c>
      <c r="G9" s="149" t="s">
        <v>2197</v>
      </c>
      <c r="H9" s="102" t="s">
        <v>2282</v>
      </c>
      <c r="I9" s="102">
        <v>2</v>
      </c>
      <c r="J9" s="102">
        <v>30</v>
      </c>
      <c r="K9" s="102">
        <v>11</v>
      </c>
      <c r="L9" s="102">
        <v>1</v>
      </c>
      <c r="M9" s="102" t="s">
        <v>2204</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2158</v>
      </c>
      <c r="C10" s="102">
        <v>8</v>
      </c>
      <c r="D10" s="102" t="s">
        <v>2332</v>
      </c>
      <c r="E10" s="120">
        <v>45484</v>
      </c>
      <c r="F10" s="102">
        <v>1</v>
      </c>
      <c r="G10" s="120" t="s">
        <v>2197</v>
      </c>
      <c r="H10" s="102" t="s">
        <v>2282</v>
      </c>
      <c r="I10" s="102">
        <v>31</v>
      </c>
      <c r="J10" s="102">
        <v>8.9040020000000002E+21</v>
      </c>
      <c r="K10" s="102">
        <v>1</v>
      </c>
      <c r="L10" s="102">
        <v>1</v>
      </c>
      <c r="M10" s="120" t="s">
        <v>2204</v>
      </c>
      <c r="N10" s="120">
        <v>45484</v>
      </c>
      <c r="O10" s="120">
        <v>-35807535920000</v>
      </c>
      <c r="P10" s="102">
        <v>0</v>
      </c>
      <c r="Q10" s="102">
        <v>124</v>
      </c>
      <c r="R10" s="120">
        <v>45236</v>
      </c>
      <c r="S10" s="120">
        <v>0</v>
      </c>
      <c r="T10" s="149">
        <v>0</v>
      </c>
      <c r="U10" s="102" t="e">
        <v>#N/A</v>
      </c>
      <c r="V10" s="120">
        <v>0</v>
      </c>
      <c r="W10" s="102"/>
      <c r="X10" s="102"/>
      <c r="Y10" s="102"/>
      <c r="Z10" s="102"/>
      <c r="AA10" s="102" t="s">
        <v>2333</v>
      </c>
      <c r="AB10" s="102" t="e">
        <v>#N/A</v>
      </c>
      <c r="AC10" s="102" t="s">
        <v>2287</v>
      </c>
      <c r="AD10" s="120">
        <v>45484</v>
      </c>
      <c r="AE10" s="102" t="s">
        <v>2334</v>
      </c>
    </row>
    <row r="11" spans="2:31">
      <c r="B11" s="145" t="s">
        <v>2160</v>
      </c>
      <c r="C11" s="102">
        <v>9</v>
      </c>
      <c r="D11" s="102" t="s">
        <v>2335</v>
      </c>
      <c r="E11" s="120">
        <v>45484</v>
      </c>
      <c r="F11" s="102">
        <v>1</v>
      </c>
      <c r="G11" s="120" t="s">
        <v>2197</v>
      </c>
      <c r="H11" s="102" t="s">
        <v>2282</v>
      </c>
      <c r="I11" s="102"/>
      <c r="J11" s="102">
        <v>8.9040020000000002E+21</v>
      </c>
      <c r="K11" s="102">
        <v>1</v>
      </c>
      <c r="L11" s="102">
        <v>1</v>
      </c>
      <c r="M11" s="120" t="s">
        <v>2204</v>
      </c>
      <c r="N11" s="120">
        <v>45484</v>
      </c>
      <c r="O11" s="120">
        <v>-35807535920000</v>
      </c>
      <c r="P11" s="102">
        <v>0</v>
      </c>
      <c r="Q11" s="102">
        <v>124</v>
      </c>
      <c r="R11" s="120">
        <v>45236</v>
      </c>
      <c r="S11" s="120">
        <v>0</v>
      </c>
      <c r="T11" s="120">
        <v>0</v>
      </c>
      <c r="U11" s="102" t="e">
        <v>#N/A</v>
      </c>
      <c r="V11" s="120">
        <v>0</v>
      </c>
      <c r="W11" s="102"/>
      <c r="X11" s="102"/>
      <c r="Y11" s="102"/>
      <c r="Z11" s="102"/>
      <c r="AA11" s="102" t="s">
        <v>2333</v>
      </c>
      <c r="AB11" s="102" t="e">
        <v>#N/A</v>
      </c>
      <c r="AC11" s="102" t="s">
        <v>2287</v>
      </c>
      <c r="AD11" s="120">
        <v>45484</v>
      </c>
      <c r="AE11" s="102" t="s">
        <v>2336</v>
      </c>
    </row>
    <row r="12" spans="2:31">
      <c r="B12" s="168" t="s">
        <v>2162</v>
      </c>
      <c r="C12" s="102">
        <v>10</v>
      </c>
      <c r="D12" s="102" t="s">
        <v>2337</v>
      </c>
      <c r="E12" s="120">
        <v>45484</v>
      </c>
      <c r="F12" s="102">
        <v>1</v>
      </c>
      <c r="G12" s="120" t="s">
        <v>2197</v>
      </c>
      <c r="H12" s="102" t="s">
        <v>2282</v>
      </c>
      <c r="I12" s="102">
        <v>31</v>
      </c>
      <c r="J12" s="102">
        <v>2.3970100776801999E+29</v>
      </c>
      <c r="K12" s="102">
        <v>20240151007</v>
      </c>
      <c r="L12" s="102">
        <v>4</v>
      </c>
      <c r="M12" s="120" t="s">
        <v>2204</v>
      </c>
      <c r="N12" s="120">
        <v>45484</v>
      </c>
      <c r="O12" s="121">
        <v>125000000000000</v>
      </c>
      <c r="P12" s="102">
        <v>1</v>
      </c>
      <c r="Q12" s="102">
        <v>985</v>
      </c>
      <c r="R12" s="120">
        <v>45496</v>
      </c>
      <c r="S12" s="120" t="s">
        <v>2338</v>
      </c>
      <c r="T12" s="149" t="s">
        <v>2339</v>
      </c>
      <c r="U12" s="102">
        <v>18231</v>
      </c>
      <c r="V12" s="120">
        <v>7489</v>
      </c>
      <c r="W12" s="102" t="s">
        <v>2340</v>
      </c>
      <c r="X12" s="102" t="s">
        <v>2341</v>
      </c>
      <c r="Y12" s="102" t="s">
        <v>2342</v>
      </c>
      <c r="Z12" s="102" t="s">
        <v>2343</v>
      </c>
      <c r="AA12" s="102" t="s">
        <v>2344</v>
      </c>
      <c r="AB12" s="102">
        <v>7</v>
      </c>
      <c r="AC12" s="102" t="s">
        <v>2345</v>
      </c>
      <c r="AD12" s="120">
        <v>45484</v>
      </c>
      <c r="AE12" s="102" t="s">
        <v>2334</v>
      </c>
    </row>
    <row r="13" spans="2:31">
      <c r="B13" s="145" t="s">
        <v>2164</v>
      </c>
      <c r="C13" s="102">
        <v>11</v>
      </c>
      <c r="D13" s="102" t="s">
        <v>2346</v>
      </c>
      <c r="E13" s="120">
        <v>45484</v>
      </c>
      <c r="F13" s="102">
        <v>1</v>
      </c>
      <c r="G13" s="120" t="s">
        <v>2197</v>
      </c>
      <c r="H13" s="102" t="s">
        <v>2282</v>
      </c>
      <c r="I13" s="102"/>
      <c r="J13" s="102">
        <v>2.3970100776801999E+29</v>
      </c>
      <c r="K13" s="102">
        <v>20240151007</v>
      </c>
      <c r="L13" s="102">
        <v>4</v>
      </c>
      <c r="M13" s="120" t="s">
        <v>2204</v>
      </c>
      <c r="N13" s="120">
        <v>45484</v>
      </c>
      <c r="O13" s="120">
        <v>125000000000000</v>
      </c>
      <c r="P13" s="102">
        <v>1</v>
      </c>
      <c r="Q13" s="102">
        <v>985</v>
      </c>
      <c r="R13" s="120">
        <v>45496</v>
      </c>
      <c r="S13" s="120" t="s">
        <v>2338</v>
      </c>
      <c r="T13" s="120" t="s">
        <v>2339</v>
      </c>
      <c r="U13" s="102">
        <v>18231</v>
      </c>
      <c r="V13" s="120">
        <v>7489</v>
      </c>
      <c r="W13" s="102" t="s">
        <v>2340</v>
      </c>
      <c r="X13" s="102" t="s">
        <v>2341</v>
      </c>
      <c r="Y13" s="102" t="s">
        <v>2342</v>
      </c>
      <c r="Z13" s="102" t="s">
        <v>2343</v>
      </c>
      <c r="AA13" s="102" t="s">
        <v>2344</v>
      </c>
      <c r="AB13" s="102">
        <v>7</v>
      </c>
      <c r="AC13" s="102" t="s">
        <v>2345</v>
      </c>
      <c r="AD13" s="120">
        <v>45484</v>
      </c>
      <c r="AE13" s="102" t="s">
        <v>2347</v>
      </c>
    </row>
    <row r="14" spans="2:31">
      <c r="B14" s="145" t="s">
        <v>2166</v>
      </c>
      <c r="C14" s="102">
        <v>12</v>
      </c>
      <c r="D14" s="102" t="s">
        <v>2348</v>
      </c>
      <c r="E14" s="120">
        <v>45484</v>
      </c>
      <c r="F14" s="102">
        <v>1</v>
      </c>
      <c r="G14" s="102">
        <v>0.782609</v>
      </c>
      <c r="H14" s="102" t="s">
        <v>2282</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2168</v>
      </c>
      <c r="C15" s="102">
        <v>13</v>
      </c>
      <c r="D15" s="102" t="s">
        <v>2349</v>
      </c>
      <c r="E15" s="120">
        <v>45484</v>
      </c>
      <c r="F15" s="102">
        <v>1</v>
      </c>
      <c r="G15" s="121">
        <v>1</v>
      </c>
      <c r="H15" s="102" t="s">
        <v>2282</v>
      </c>
      <c r="I15" s="102" t="s">
        <v>2197</v>
      </c>
      <c r="J15" s="102" t="s">
        <v>2197</v>
      </c>
      <c r="K15" s="102" t="s">
        <v>2197</v>
      </c>
      <c r="L15" s="92" t="s">
        <v>2197</v>
      </c>
      <c r="M15" s="92" t="s">
        <v>2197</v>
      </c>
      <c r="N15" s="102">
        <v>0</v>
      </c>
      <c r="O15" s="92" t="s">
        <v>2197</v>
      </c>
      <c r="P15" s="92" t="s">
        <v>2197</v>
      </c>
      <c r="Q15" s="92" t="s">
        <v>2197</v>
      </c>
      <c r="R15" s="102">
        <v>0</v>
      </c>
      <c r="S15" s="102" t="s">
        <v>2197</v>
      </c>
      <c r="T15" s="102" t="s">
        <v>2197</v>
      </c>
      <c r="U15" s="102" t="s">
        <v>2197</v>
      </c>
      <c r="V15" s="102" t="s">
        <v>2197</v>
      </c>
      <c r="W15" s="102" t="s">
        <v>2197</v>
      </c>
      <c r="X15" s="102" t="s">
        <v>2197</v>
      </c>
      <c r="Y15" s="102" t="s">
        <v>2197</v>
      </c>
      <c r="Z15" s="102" t="s">
        <v>2197</v>
      </c>
      <c r="AA15" s="102" t="s">
        <v>2197</v>
      </c>
      <c r="AB15" s="102" t="s">
        <v>2197</v>
      </c>
      <c r="AC15" s="102" t="s">
        <v>2197</v>
      </c>
      <c r="AD15" s="102" t="s">
        <v>2197</v>
      </c>
      <c r="AE15" s="102" t="s">
        <v>2197</v>
      </c>
    </row>
    <row r="16" spans="2:31">
      <c r="B16" s="145" t="s">
        <v>2170</v>
      </c>
      <c r="C16" s="102">
        <v>14</v>
      </c>
      <c r="D16" s="102" t="s">
        <v>2350</v>
      </c>
      <c r="E16" s="120">
        <v>45484</v>
      </c>
      <c r="F16" s="102">
        <v>1</v>
      </c>
      <c r="G16" s="121">
        <v>1</v>
      </c>
      <c r="H16" s="102" t="s">
        <v>2282</v>
      </c>
      <c r="I16" s="102">
        <v>0</v>
      </c>
      <c r="J16" s="102">
        <v>0</v>
      </c>
      <c r="K16" s="102" t="s">
        <v>2197</v>
      </c>
      <c r="L16" s="102" t="s">
        <v>2197</v>
      </c>
      <c r="M16" s="92">
        <v>0</v>
      </c>
      <c r="N16" s="102" t="s">
        <v>2197</v>
      </c>
      <c r="O16" s="102" t="s">
        <v>2197</v>
      </c>
      <c r="P16" s="102" t="s">
        <v>2197</v>
      </c>
      <c r="Q16" s="92">
        <v>0</v>
      </c>
      <c r="R16" s="102" t="s">
        <v>2197</v>
      </c>
      <c r="S16" s="102">
        <v>0</v>
      </c>
      <c r="T16" s="102">
        <v>0</v>
      </c>
      <c r="U16" s="102">
        <v>0</v>
      </c>
      <c r="V16" s="102" t="s">
        <v>2197</v>
      </c>
      <c r="W16" s="102" t="s">
        <v>2197</v>
      </c>
      <c r="X16" s="102" t="s">
        <v>2197</v>
      </c>
      <c r="Y16" s="102" t="s">
        <v>2197</v>
      </c>
      <c r="Z16" s="102" t="s">
        <v>2197</v>
      </c>
      <c r="AA16" s="102">
        <v>0</v>
      </c>
      <c r="AB16" s="102" t="s">
        <v>2197</v>
      </c>
      <c r="AC16" s="102">
        <v>0</v>
      </c>
      <c r="AD16" s="102" t="s">
        <v>2197</v>
      </c>
      <c r="AE16" s="102" t="s">
        <v>2197</v>
      </c>
    </row>
    <row r="17" spans="2:31">
      <c r="B17" s="178" t="s">
        <v>2172</v>
      </c>
      <c r="C17" s="102">
        <v>15</v>
      </c>
      <c r="D17" s="102" t="s">
        <v>2351</v>
      </c>
      <c r="E17" s="120">
        <v>45484</v>
      </c>
      <c r="F17" s="102">
        <v>1</v>
      </c>
      <c r="G17" s="121" t="s">
        <v>2282</v>
      </c>
      <c r="H17" s="121">
        <v>1904077000000</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c r="W17" s="102" t="s">
        <v>2197</v>
      </c>
      <c r="X17" s="102" t="s">
        <v>2197</v>
      </c>
      <c r="Y17" s="102" t="s">
        <v>2197</v>
      </c>
      <c r="Z17" s="102" t="s">
        <v>2197</v>
      </c>
      <c r="AA17" s="102" t="s">
        <v>2197</v>
      </c>
      <c r="AB17" s="102" t="s">
        <v>2197</v>
      </c>
      <c r="AC17" s="102" t="s">
        <v>2197</v>
      </c>
      <c r="AD17" s="102" t="s">
        <v>2197</v>
      </c>
      <c r="AE17" s="102" t="s">
        <v>2197</v>
      </c>
    </row>
    <row r="18" spans="2:31">
      <c r="B18" s="178" t="s">
        <v>2174</v>
      </c>
      <c r="C18" s="102">
        <v>16</v>
      </c>
      <c r="D18" s="102" t="s">
        <v>2351</v>
      </c>
      <c r="E18" s="120">
        <v>45484</v>
      </c>
      <c r="F18" s="102">
        <v>1</v>
      </c>
      <c r="G18" s="121" t="s">
        <v>2282</v>
      </c>
      <c r="H18" s="121">
        <v>1904077000000</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c r="W18" s="102" t="s">
        <v>2197</v>
      </c>
      <c r="X18" s="102" t="s">
        <v>2197</v>
      </c>
      <c r="Y18" s="102" t="s">
        <v>2197</v>
      </c>
      <c r="Z18" s="102" t="s">
        <v>2197</v>
      </c>
      <c r="AA18" s="102" t="s">
        <v>2197</v>
      </c>
      <c r="AB18" s="102" t="s">
        <v>2197</v>
      </c>
      <c r="AC18" s="102" t="s">
        <v>2197</v>
      </c>
      <c r="AD18" s="102" t="s">
        <v>2197</v>
      </c>
      <c r="AE18" s="102" t="s">
        <v>2197</v>
      </c>
    </row>
    <row r="19" spans="2:31">
      <c r="B19" s="145" t="s">
        <v>2180</v>
      </c>
      <c r="C19" s="102">
        <v>19</v>
      </c>
      <c r="D19" s="102" t="s">
        <v>2352</v>
      </c>
      <c r="E19" s="120">
        <v>45484</v>
      </c>
      <c r="F19" s="102">
        <v>1</v>
      </c>
      <c r="G19" s="149" cm="1">
        <f t="array" aca="1" ref="G19" ca="1">SUMPRODUCT(--(ISNUMBER((SEARCH(I25:AE25,I19:AE19)))))/COUNTA(I19:AE19)</f>
        <v>0.91304347826086951</v>
      </c>
      <c r="H19" s="102" t="s">
        <v>2282</v>
      </c>
      <c r="I19" s="102" t="s">
        <v>2247</v>
      </c>
      <c r="J19" s="102" t="s">
        <v>2247</v>
      </c>
      <c r="K19" s="102" t="s">
        <v>2248</v>
      </c>
      <c r="L19" s="102" t="s">
        <v>2248</v>
      </c>
      <c r="M19" s="102" t="s">
        <v>2247</v>
      </c>
      <c r="N19" s="102" t="s">
        <v>2247</v>
      </c>
      <c r="O19" s="102" t="s">
        <v>2249</v>
      </c>
      <c r="P19" s="102" t="s">
        <v>2247</v>
      </c>
      <c r="Q19" s="102" t="s">
        <v>2247</v>
      </c>
      <c r="R19" s="102" t="s">
        <v>2247</v>
      </c>
      <c r="S19" s="102" t="s">
        <v>2247</v>
      </c>
      <c r="T19" s="102" t="s">
        <v>2247</v>
      </c>
      <c r="U19" s="102" t="s">
        <v>2247</v>
      </c>
      <c r="V19" s="102" t="s">
        <v>2247</v>
      </c>
      <c r="W19" s="102" t="s">
        <v>2247</v>
      </c>
      <c r="X19" s="102" t="s">
        <v>2247</v>
      </c>
      <c r="Y19" s="102" t="s">
        <v>2247</v>
      </c>
      <c r="Z19" s="102" t="s">
        <v>2247</v>
      </c>
      <c r="AA19" s="102" t="s">
        <v>2247</v>
      </c>
      <c r="AB19" s="102" t="s">
        <v>2247</v>
      </c>
      <c r="AC19" s="102" t="s">
        <v>2247</v>
      </c>
      <c r="AD19" s="102" t="s">
        <v>2247</v>
      </c>
      <c r="AE19" s="102" t="s">
        <v>2250</v>
      </c>
    </row>
    <row r="20" spans="2:31">
      <c r="B20" s="145" t="s">
        <v>2183</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2186</v>
      </c>
      <c r="C21" s="102">
        <v>21</v>
      </c>
      <c r="D21" s="102"/>
      <c r="E21" s="120"/>
      <c r="F21" s="102"/>
      <c r="G21" s="102"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2251</v>
      </c>
    </row>
    <row r="24" spans="2:31">
      <c r="B24" s="111" t="s">
        <v>2252</v>
      </c>
      <c r="C24" s="112" t="s">
        <v>2190</v>
      </c>
      <c r="D24" s="112" t="s">
        <v>2191</v>
      </c>
      <c r="E24" s="112" t="s">
        <v>2192</v>
      </c>
      <c r="F24" s="112" t="s">
        <v>2193</v>
      </c>
      <c r="G24" s="112" t="s">
        <v>2194</v>
      </c>
      <c r="H24" s="112" t="s">
        <v>2195</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c r="B25" s="104" t="s">
        <v>2253</v>
      </c>
      <c r="C25" s="117">
        <v>21</v>
      </c>
      <c r="D25" s="106" t="s">
        <v>2254</v>
      </c>
      <c r="E25" s="105" t="s">
        <v>2255</v>
      </c>
      <c r="F25" s="105" t="s">
        <v>1101</v>
      </c>
      <c r="G25" s="105" t="s">
        <v>1101</v>
      </c>
      <c r="H25" s="105" t="s">
        <v>1101</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16"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2256</v>
      </c>
      <c r="C26" s="117">
        <v>7</v>
      </c>
      <c r="D26" s="106" t="s">
        <v>2254</v>
      </c>
      <c r="E26" s="105" t="s">
        <v>2255</v>
      </c>
      <c r="F26" s="105" t="s">
        <v>1101</v>
      </c>
      <c r="G26" s="105" t="s">
        <v>1101</v>
      </c>
      <c r="H26" s="105" t="s">
        <v>1101</v>
      </c>
      <c r="I26" s="117">
        <f ca="1"/>
        <v>4</v>
      </c>
      <c r="J26" s="117">
        <f ca="1"/>
        <v>30</v>
      </c>
      <c r="K26" s="117">
        <f ca="1"/>
        <v>9999999</v>
      </c>
      <c r="L26" s="117">
        <f ca="1"/>
        <v>9999999</v>
      </c>
      <c r="M26" s="117">
        <f ca="1"/>
        <v>9999999</v>
      </c>
      <c r="N26" s="117">
        <f ca="1"/>
        <v>9999999</v>
      </c>
      <c r="O26" s="117">
        <f ca="1"/>
        <v>4</v>
      </c>
      <c r="P26" s="117">
        <f ca="1"/>
        <v>4</v>
      </c>
      <c r="Q26" s="117">
        <f ca="1"/>
        <v>4</v>
      </c>
      <c r="R26" s="117">
        <f ca="1"/>
        <v>4</v>
      </c>
      <c r="S26" s="117">
        <f ca="1"/>
        <v>4</v>
      </c>
      <c r="T26" s="117">
        <f ca="1"/>
        <v>4</v>
      </c>
      <c r="U26" s="105">
        <f ca="1"/>
        <v>10</v>
      </c>
      <c r="V26" s="105">
        <f ca="1"/>
        <v>10</v>
      </c>
      <c r="W26" s="116">
        <f ca="1"/>
        <v>23</v>
      </c>
      <c r="X26">
        <f ca="1"/>
        <v>10</v>
      </c>
      <c r="Y26">
        <f ca="1"/>
        <v>30</v>
      </c>
      <c r="Z26">
        <f ca="1"/>
        <v>9999999</v>
      </c>
      <c r="AA26">
        <f ca="1"/>
        <v>9999999</v>
      </c>
      <c r="AB26">
        <f ca="1"/>
        <v>4</v>
      </c>
      <c r="AC26">
        <f ca="1"/>
        <v>2</v>
      </c>
      <c r="AD26">
        <f ca="1"/>
        <v>10</v>
      </c>
      <c r="AE26">
        <f ca="1"/>
        <v>23</v>
      </c>
    </row>
    <row r="29" spans="2:31">
      <c r="B29" s="127" t="s">
        <v>2257</v>
      </c>
    </row>
    <row r="30" spans="2:31">
      <c r="B30" s="136" t="s">
        <v>2258</v>
      </c>
      <c r="C30" s="136" t="s">
        <v>2259</v>
      </c>
      <c r="D30" s="137" t="s">
        <v>2260</v>
      </c>
      <c r="E30" s="136" t="s">
        <v>2261</v>
      </c>
      <c r="F30" s="136" t="s">
        <v>2262</v>
      </c>
      <c r="I30" s="190"/>
    </row>
    <row r="31" spans="2:31" ht="75" customHeight="1">
      <c r="B31" s="134" t="s">
        <v>2271</v>
      </c>
      <c r="C31" s="87" t="s">
        <v>737</v>
      </c>
      <c r="D31" s="87" t="s">
        <v>2353</v>
      </c>
      <c r="E31" s="87" t="s">
        <v>2354</v>
      </c>
      <c r="F31" s="135" t="s">
        <v>2355</v>
      </c>
      <c r="I31" s="189"/>
    </row>
    <row r="32" spans="2:31" ht="79.5" customHeight="1">
      <c r="B32" s="138" t="s">
        <v>2271</v>
      </c>
      <c r="C32" s="91" t="s">
        <v>767</v>
      </c>
      <c r="D32" s="87" t="s">
        <v>2356</v>
      </c>
      <c r="E32" s="87" t="s">
        <v>2354</v>
      </c>
      <c r="F32" s="135" t="s">
        <v>2266</v>
      </c>
      <c r="I32" s="189"/>
    </row>
    <row r="33" spans="1:6" ht="30.75">
      <c r="B33" s="138" t="s">
        <v>2357</v>
      </c>
      <c r="C33" s="91" t="s">
        <v>1530</v>
      </c>
      <c r="D33" s="91" t="s">
        <v>2358</v>
      </c>
      <c r="E33" s="87" t="s">
        <v>2359</v>
      </c>
      <c r="F33" s="82" t="s">
        <v>2266</v>
      </c>
    </row>
    <row r="34" spans="1:6" ht="30.75">
      <c r="A34" t="s">
        <v>6</v>
      </c>
      <c r="B34" s="138" t="s">
        <v>2357</v>
      </c>
      <c r="C34" s="91" t="s">
        <v>1424</v>
      </c>
      <c r="D34" s="91" t="s">
        <v>2360</v>
      </c>
      <c r="E34" s="87" t="s">
        <v>2361</v>
      </c>
      <c r="F34" s="82" t="s">
        <v>2266</v>
      </c>
    </row>
    <row r="35" spans="1:6" ht="76.5">
      <c r="B35" s="138" t="s">
        <v>2263</v>
      </c>
      <c r="C35" s="87" t="s">
        <v>737</v>
      </c>
      <c r="D35" s="87" t="s">
        <v>2353</v>
      </c>
      <c r="E35" s="87" t="s">
        <v>2354</v>
      </c>
      <c r="F35" s="82" t="s">
        <v>2266</v>
      </c>
    </row>
    <row r="36" spans="1:6" ht="76.5">
      <c r="B36" s="138" t="s">
        <v>2263</v>
      </c>
      <c r="C36" s="91" t="s">
        <v>767</v>
      </c>
      <c r="D36" s="87" t="s">
        <v>2356</v>
      </c>
      <c r="E36" s="87" t="s">
        <v>2354</v>
      </c>
      <c r="F36" s="135" t="s">
        <v>2266</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2189</v>
      </c>
      <c r="C2" s="101" t="s">
        <v>2190</v>
      </c>
      <c r="D2" s="101" t="s">
        <v>2191</v>
      </c>
      <c r="E2" s="101" t="s">
        <v>2192</v>
      </c>
      <c r="F2" s="101" t="s">
        <v>2193</v>
      </c>
      <c r="G2" s="101" t="s">
        <v>2194</v>
      </c>
      <c r="H2" s="101" t="s">
        <v>2195</v>
      </c>
      <c r="I2" s="101" t="s">
        <v>691</v>
      </c>
      <c r="J2" s="101" t="s">
        <v>706</v>
      </c>
      <c r="K2" s="101" t="s">
        <v>716</v>
      </c>
      <c r="L2" s="101" t="s">
        <v>729</v>
      </c>
      <c r="M2" s="101" t="s">
        <v>749</v>
      </c>
      <c r="N2" s="101" t="s">
        <v>758</v>
      </c>
      <c r="O2" s="101" t="s">
        <v>737</v>
      </c>
      <c r="P2" s="101" t="s">
        <v>767</v>
      </c>
      <c r="Q2" s="101" t="s">
        <v>778</v>
      </c>
      <c r="R2" s="101" t="s">
        <v>791</v>
      </c>
      <c r="S2" s="101" t="s">
        <v>1530</v>
      </c>
      <c r="T2" s="101" t="s">
        <v>798</v>
      </c>
      <c r="U2" s="101" t="s">
        <v>806</v>
      </c>
      <c r="V2" s="101" t="s">
        <v>813</v>
      </c>
    </row>
    <row r="3" spans="2:22">
      <c r="B3" s="145" t="s">
        <v>2143</v>
      </c>
      <c r="C3" s="102">
        <v>1</v>
      </c>
      <c r="D3" s="102" t="s">
        <v>2362</v>
      </c>
      <c r="E3" s="120">
        <v>45460</v>
      </c>
      <c r="F3" s="102">
        <v>1</v>
      </c>
      <c r="G3" s="121">
        <v>1</v>
      </c>
      <c r="H3" s="174" t="s">
        <v>2363</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row>
    <row r="4" spans="2:22">
      <c r="B4" s="145" t="s">
        <v>2145</v>
      </c>
      <c r="C4" s="102">
        <v>2</v>
      </c>
      <c r="D4" s="102" t="s">
        <v>2364</v>
      </c>
      <c r="E4" s="120">
        <v>45460</v>
      </c>
      <c r="F4" s="102">
        <v>1</v>
      </c>
      <c r="G4" s="121">
        <v>1</v>
      </c>
      <c r="H4" s="102" t="s">
        <v>2365</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row>
    <row r="5" spans="2:22">
      <c r="B5" s="145" t="s">
        <v>2147</v>
      </c>
      <c r="C5" s="102">
        <v>3</v>
      </c>
      <c r="D5" s="102" t="s">
        <v>2366</v>
      </c>
      <c r="E5" s="120">
        <v>45460</v>
      </c>
      <c r="F5" s="102">
        <v>1</v>
      </c>
      <c r="G5" s="121">
        <v>1</v>
      </c>
      <c r="H5" s="102" t="s">
        <v>2365</v>
      </c>
      <c r="I5" s="102">
        <v>0</v>
      </c>
      <c r="J5" s="102">
        <v>0</v>
      </c>
      <c r="K5" s="102">
        <v>0</v>
      </c>
      <c r="L5" s="102">
        <v>0</v>
      </c>
      <c r="M5" s="102">
        <v>0</v>
      </c>
      <c r="N5" s="102" t="s">
        <v>2197</v>
      </c>
      <c r="O5" s="102" t="s">
        <v>2197</v>
      </c>
      <c r="P5" s="102" t="s">
        <v>2197</v>
      </c>
      <c r="Q5" s="102" t="s">
        <v>2197</v>
      </c>
      <c r="R5" s="102" t="s">
        <v>2197</v>
      </c>
      <c r="S5" s="102" t="s">
        <v>2197</v>
      </c>
      <c r="T5" s="102" t="s">
        <v>2197</v>
      </c>
      <c r="U5" s="102">
        <v>0</v>
      </c>
      <c r="V5" s="102" t="s">
        <v>2197</v>
      </c>
    </row>
    <row r="6" spans="2:22">
      <c r="B6" s="92" t="s">
        <v>2149</v>
      </c>
      <c r="C6" s="102">
        <v>4</v>
      </c>
      <c r="D6" s="102" t="s">
        <v>2202</v>
      </c>
      <c r="E6" s="120">
        <v>45460</v>
      </c>
      <c r="F6" s="102">
        <v>1</v>
      </c>
      <c r="G6" s="102" t="s">
        <v>2197</v>
      </c>
      <c r="H6" s="102"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row>
    <row r="7" spans="2:22">
      <c r="B7" s="92" t="s">
        <v>2151</v>
      </c>
      <c r="C7" s="102">
        <v>5</v>
      </c>
      <c r="D7" s="102" t="s">
        <v>2202</v>
      </c>
      <c r="E7" s="120">
        <v>45460</v>
      </c>
      <c r="F7" s="102">
        <v>1</v>
      </c>
      <c r="G7" s="102" t="s">
        <v>2197</v>
      </c>
      <c r="H7" s="102"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row>
    <row r="8" spans="2:22">
      <c r="B8" s="145" t="s">
        <v>2152</v>
      </c>
      <c r="C8" s="102">
        <v>6</v>
      </c>
      <c r="D8" s="102" t="s">
        <v>2367</v>
      </c>
      <c r="E8" s="120">
        <v>45460</v>
      </c>
      <c r="F8" s="102">
        <v>1</v>
      </c>
      <c r="G8" s="149" cm="1">
        <f t="array" ref="G8">SUMPRODUCT(--(I8:V8&gt;0))/COUNTA(I8:V8)</f>
        <v>1</v>
      </c>
      <c r="H8" s="102" t="s">
        <v>2365</v>
      </c>
      <c r="I8" s="102">
        <v>2</v>
      </c>
      <c r="J8" s="102">
        <v>30</v>
      </c>
      <c r="K8" s="102">
        <v>1</v>
      </c>
      <c r="L8" s="102">
        <v>1</v>
      </c>
      <c r="M8" s="102">
        <v>10</v>
      </c>
      <c r="N8" s="102">
        <v>8</v>
      </c>
      <c r="O8" s="102" t="s">
        <v>2204</v>
      </c>
      <c r="P8" s="102">
        <v>1</v>
      </c>
      <c r="Q8" s="102">
        <v>3</v>
      </c>
      <c r="R8" s="102">
        <v>10</v>
      </c>
      <c r="S8" s="102">
        <v>6</v>
      </c>
      <c r="T8" s="102">
        <v>2</v>
      </c>
      <c r="U8" s="102">
        <v>10</v>
      </c>
      <c r="V8" s="102">
        <v>23</v>
      </c>
    </row>
    <row r="9" spans="2:22">
      <c r="B9" s="145" t="s">
        <v>2155</v>
      </c>
      <c r="C9" s="102">
        <v>7</v>
      </c>
      <c r="D9" s="102" t="s">
        <v>2368</v>
      </c>
      <c r="E9" s="120">
        <v>45460</v>
      </c>
      <c r="F9" s="102">
        <v>1</v>
      </c>
      <c r="G9" s="149" cm="1">
        <f t="array" aca="1" ref="G9" ca="1">SUMPRODUCT(--(I9:V9&lt;=I26:V26))/COUNTA(I9:V9)</f>
        <v>0.5714285714285714</v>
      </c>
      <c r="H9" s="102" t="s">
        <v>2365</v>
      </c>
      <c r="I9" s="102">
        <v>2</v>
      </c>
      <c r="J9" s="102">
        <v>30</v>
      </c>
      <c r="K9" s="102">
        <v>5</v>
      </c>
      <c r="L9" s="102">
        <v>1</v>
      </c>
      <c r="M9" s="102">
        <v>10</v>
      </c>
      <c r="N9" s="102">
        <v>13</v>
      </c>
      <c r="O9" s="102" t="s">
        <v>2204</v>
      </c>
      <c r="P9" s="102">
        <v>1</v>
      </c>
      <c r="Q9" s="102">
        <v>3</v>
      </c>
      <c r="R9" s="102">
        <v>10</v>
      </c>
      <c r="S9" s="102">
        <v>50</v>
      </c>
      <c r="T9" s="102">
        <v>2</v>
      </c>
      <c r="U9" s="102">
        <v>10</v>
      </c>
      <c r="V9" s="102">
        <v>23</v>
      </c>
    </row>
    <row r="10" spans="2:22">
      <c r="B10" s="145" t="s">
        <v>2158</v>
      </c>
      <c r="C10" s="102">
        <v>8</v>
      </c>
      <c r="D10" s="102" t="s">
        <v>2369</v>
      </c>
      <c r="E10" s="120">
        <v>45460</v>
      </c>
      <c r="F10" s="102">
        <v>1</v>
      </c>
      <c r="G10" s="102" t="s">
        <v>2197</v>
      </c>
      <c r="H10" s="102" t="s">
        <v>2365</v>
      </c>
      <c r="I10" s="102">
        <v>31</v>
      </c>
      <c r="J10" s="102">
        <v>3.0247299999999998E+22</v>
      </c>
      <c r="K10" s="102">
        <v>1</v>
      </c>
      <c r="L10" s="102">
        <v>1</v>
      </c>
      <c r="M10" s="120">
        <v>45460</v>
      </c>
      <c r="N10" s="121" t="s">
        <v>2210</v>
      </c>
      <c r="O10" s="102" t="s">
        <v>2204</v>
      </c>
      <c r="P10" s="102">
        <v>1</v>
      </c>
      <c r="Q10" s="120">
        <v>124</v>
      </c>
      <c r="R10" s="120">
        <v>45457</v>
      </c>
      <c r="S10" s="120" t="s">
        <v>2370</v>
      </c>
      <c r="T10" s="102" t="s">
        <v>2287</v>
      </c>
      <c r="U10" s="120">
        <v>45460</v>
      </c>
      <c r="V10" s="102" t="s">
        <v>2371</v>
      </c>
    </row>
    <row r="11" spans="2:22">
      <c r="B11" s="145" t="s">
        <v>2160</v>
      </c>
      <c r="C11" s="102">
        <v>9</v>
      </c>
      <c r="D11" s="102" t="s">
        <v>2372</v>
      </c>
      <c r="E11" s="120">
        <v>45460</v>
      </c>
      <c r="F11" s="102">
        <v>1</v>
      </c>
      <c r="G11" s="102" t="s">
        <v>2197</v>
      </c>
      <c r="H11" s="102" t="s">
        <v>2365</v>
      </c>
      <c r="I11" s="102"/>
      <c r="J11" s="102">
        <v>3.0247299999999998E+22</v>
      </c>
      <c r="K11" s="102">
        <v>1</v>
      </c>
      <c r="L11" s="102">
        <v>1</v>
      </c>
      <c r="M11" s="120">
        <v>45460</v>
      </c>
      <c r="N11" s="102" t="s">
        <v>2222</v>
      </c>
      <c r="O11" s="102" t="s">
        <v>2204</v>
      </c>
      <c r="P11" s="102">
        <v>1</v>
      </c>
      <c r="Q11" s="120">
        <v>124</v>
      </c>
      <c r="R11" s="120">
        <v>45457</v>
      </c>
      <c r="S11" s="120" t="s">
        <v>2370</v>
      </c>
      <c r="T11" s="102" t="s">
        <v>2287</v>
      </c>
      <c r="U11" s="120">
        <v>45460</v>
      </c>
      <c r="V11" s="102" t="s">
        <v>2373</v>
      </c>
    </row>
    <row r="12" spans="2:22">
      <c r="B12" s="145" t="s">
        <v>2162</v>
      </c>
      <c r="C12" s="102">
        <v>10</v>
      </c>
      <c r="D12" s="102" t="s">
        <v>2374</v>
      </c>
      <c r="E12" s="120">
        <v>45460</v>
      </c>
      <c r="F12" s="102">
        <v>1</v>
      </c>
      <c r="G12" s="102" t="s">
        <v>2197</v>
      </c>
      <c r="H12" s="102" t="s">
        <v>2365</v>
      </c>
      <c r="I12" s="102">
        <v>31</v>
      </c>
      <c r="J12" s="102">
        <v>2.1070404296302001E+29</v>
      </c>
      <c r="K12" s="102">
        <v>99999</v>
      </c>
      <c r="L12" s="102">
        <v>1</v>
      </c>
      <c r="M12" s="120">
        <v>45460</v>
      </c>
      <c r="N12" s="121">
        <v>492500000000</v>
      </c>
      <c r="O12" s="102" t="s">
        <v>2204</v>
      </c>
      <c r="P12" s="120">
        <v>1</v>
      </c>
      <c r="Q12" s="120">
        <v>978</v>
      </c>
      <c r="R12" s="121">
        <v>45462</v>
      </c>
      <c r="S12" s="121" t="s">
        <v>2375</v>
      </c>
      <c r="T12" s="120" t="s">
        <v>2287</v>
      </c>
      <c r="U12" s="120">
        <v>45460</v>
      </c>
      <c r="V12" s="102" t="s">
        <v>2371</v>
      </c>
    </row>
    <row r="13" spans="2:22">
      <c r="B13" s="145" t="s">
        <v>2164</v>
      </c>
      <c r="C13" s="102">
        <v>11</v>
      </c>
      <c r="D13" s="102" t="s">
        <v>2376</v>
      </c>
      <c r="E13" s="120">
        <v>45460</v>
      </c>
      <c r="F13" s="102">
        <v>1</v>
      </c>
      <c r="G13" s="102" t="s">
        <v>2197</v>
      </c>
      <c r="H13" s="102" t="s">
        <v>2365</v>
      </c>
      <c r="I13" s="102"/>
      <c r="J13" s="102">
        <v>2.1070404296302001E+29</v>
      </c>
      <c r="K13" s="102">
        <v>99999</v>
      </c>
      <c r="L13" s="102">
        <v>1</v>
      </c>
      <c r="M13" s="120">
        <v>45460</v>
      </c>
      <c r="N13" s="120" t="s">
        <v>2377</v>
      </c>
      <c r="O13" s="102" t="s">
        <v>2204</v>
      </c>
      <c r="P13" s="120">
        <v>1</v>
      </c>
      <c r="Q13" s="120">
        <v>978</v>
      </c>
      <c r="R13" s="120">
        <v>45462</v>
      </c>
      <c r="S13" s="120" t="s">
        <v>2375</v>
      </c>
      <c r="T13" s="120" t="s">
        <v>2287</v>
      </c>
      <c r="U13" s="120">
        <v>45460</v>
      </c>
      <c r="V13" s="102" t="s">
        <v>2378</v>
      </c>
    </row>
    <row r="14" spans="2:22">
      <c r="B14" s="145" t="s">
        <v>2166</v>
      </c>
      <c r="C14" s="102">
        <v>12</v>
      </c>
      <c r="D14" s="102" t="s">
        <v>2379</v>
      </c>
      <c r="E14" s="120">
        <v>45460</v>
      </c>
      <c r="F14" s="102">
        <v>1</v>
      </c>
      <c r="G14" s="121">
        <v>0.93</v>
      </c>
      <c r="H14" s="102" t="s">
        <v>2365</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2168</v>
      </c>
      <c r="C15" s="102">
        <v>13</v>
      </c>
      <c r="D15" s="102" t="s">
        <v>2380</v>
      </c>
      <c r="E15" s="120">
        <v>45460</v>
      </c>
      <c r="F15" s="102">
        <v>1</v>
      </c>
      <c r="G15" s="121">
        <v>1</v>
      </c>
      <c r="H15" s="102" t="s">
        <v>2365</v>
      </c>
      <c r="I15" s="102" t="s">
        <v>2197</v>
      </c>
      <c r="J15" s="102" t="s">
        <v>2197</v>
      </c>
      <c r="K15" s="102" t="s">
        <v>2197</v>
      </c>
      <c r="L15" s="120" t="s">
        <v>2197</v>
      </c>
      <c r="M15" s="102">
        <v>0</v>
      </c>
      <c r="N15" s="120" t="s">
        <v>2197</v>
      </c>
      <c r="O15" s="102" t="s">
        <v>2197</v>
      </c>
      <c r="P15" s="120" t="s">
        <v>2197</v>
      </c>
      <c r="Q15" s="120" t="s">
        <v>2197</v>
      </c>
      <c r="R15" s="102">
        <v>0</v>
      </c>
      <c r="S15" s="102" t="s">
        <v>2197</v>
      </c>
      <c r="T15" s="120" t="s">
        <v>2197</v>
      </c>
      <c r="U15" s="120" t="s">
        <v>2197</v>
      </c>
      <c r="V15" s="102" t="s">
        <v>2197</v>
      </c>
    </row>
    <row r="16" spans="2:22">
      <c r="B16" s="145" t="s">
        <v>2170</v>
      </c>
      <c r="C16" s="102">
        <v>14</v>
      </c>
      <c r="D16" s="102" t="s">
        <v>2381</v>
      </c>
      <c r="E16" s="120">
        <v>45460</v>
      </c>
      <c r="F16" s="102">
        <v>1</v>
      </c>
      <c r="G16" s="121">
        <v>1</v>
      </c>
      <c r="H16" s="102" t="s">
        <v>2365</v>
      </c>
      <c r="I16" s="102">
        <v>0</v>
      </c>
      <c r="J16" s="102">
        <v>0</v>
      </c>
      <c r="K16" s="102" t="s">
        <v>2197</v>
      </c>
      <c r="L16" s="102" t="s">
        <v>2197</v>
      </c>
      <c r="M16" s="102" t="s">
        <v>2197</v>
      </c>
      <c r="N16" s="102" t="s">
        <v>2197</v>
      </c>
      <c r="O16" s="102">
        <v>0</v>
      </c>
      <c r="P16" s="102" t="s">
        <v>2197</v>
      </c>
      <c r="Q16" s="102">
        <v>0</v>
      </c>
      <c r="R16" s="102" t="s">
        <v>2197</v>
      </c>
      <c r="S16" s="102" t="s">
        <v>2197</v>
      </c>
      <c r="T16" s="102" t="s">
        <v>2197</v>
      </c>
      <c r="U16" s="102" t="s">
        <v>2197</v>
      </c>
      <c r="V16" s="102" t="s">
        <v>2197</v>
      </c>
    </row>
    <row r="17" spans="2:31">
      <c r="B17" s="178" t="s">
        <v>2172</v>
      </c>
      <c r="C17" s="102">
        <v>15</v>
      </c>
      <c r="D17" s="102" t="s">
        <v>2382</v>
      </c>
      <c r="E17" s="120">
        <v>45460</v>
      </c>
      <c r="F17" s="102">
        <v>1</v>
      </c>
      <c r="G17" s="121">
        <v>1</v>
      </c>
      <c r="H17" s="102" t="s">
        <v>2365</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row>
    <row r="18" spans="2:31">
      <c r="B18" s="178" t="s">
        <v>2174</v>
      </c>
      <c r="C18" s="102">
        <v>16</v>
      </c>
      <c r="D18" s="102" t="s">
        <v>2382</v>
      </c>
      <c r="E18" s="120">
        <v>45460</v>
      </c>
      <c r="F18" s="102">
        <v>1</v>
      </c>
      <c r="G18" s="121">
        <v>1</v>
      </c>
      <c r="H18" s="102" t="s">
        <v>2365</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row>
    <row r="19" spans="2:31">
      <c r="B19" s="145" t="s">
        <v>2180</v>
      </c>
      <c r="C19" s="102">
        <v>19</v>
      </c>
      <c r="D19" s="102" t="s">
        <v>2383</v>
      </c>
      <c r="E19" s="120">
        <v>45460</v>
      </c>
      <c r="F19" s="102">
        <v>1</v>
      </c>
      <c r="G19" s="220" cm="1">
        <f t="array" aca="1" ref="G19" ca="1">SUMPRODUCT(--(ISNUMBER((SEARCH(I25:V25,I19:V19)))))/COUNTA(I19:V19)</f>
        <v>0.7857142857142857</v>
      </c>
      <c r="H19" s="102" t="s">
        <v>2365</v>
      </c>
      <c r="I19" s="102" t="s">
        <v>2247</v>
      </c>
      <c r="J19" s="102" t="s">
        <v>2247</v>
      </c>
      <c r="K19" s="102" t="s">
        <v>2248</v>
      </c>
      <c r="L19" s="102" t="s">
        <v>2248</v>
      </c>
      <c r="M19" s="102" t="s">
        <v>2247</v>
      </c>
      <c r="N19" s="102" t="s">
        <v>2249</v>
      </c>
      <c r="O19" s="102" t="s">
        <v>2247</v>
      </c>
      <c r="P19" s="102" t="s">
        <v>2247</v>
      </c>
      <c r="Q19" s="102" t="s">
        <v>2247</v>
      </c>
      <c r="R19" s="102" t="s">
        <v>2247</v>
      </c>
      <c r="S19" s="102" t="s">
        <v>2247</v>
      </c>
      <c r="T19" s="102" t="s">
        <v>2247</v>
      </c>
      <c r="U19" s="102" t="s">
        <v>2247</v>
      </c>
      <c r="V19" s="102" t="s">
        <v>2250</v>
      </c>
    </row>
    <row r="20" spans="2:31">
      <c r="B20" s="145" t="s">
        <v>2183</v>
      </c>
      <c r="C20" s="102">
        <v>20</v>
      </c>
      <c r="D20" s="102" t="s">
        <v>2382</v>
      </c>
      <c r="E20" s="120">
        <v>45460</v>
      </c>
      <c r="F20" s="102">
        <v>1</v>
      </c>
      <c r="G20" s="121" cm="1">
        <f t="array" ref="G20">SUM(IF(I2:V2 = I24:V24, 1, 0))/ COUNTA(I2:V2)</f>
        <v>0.2857142857142857</v>
      </c>
      <c r="H20" s="102" t="s">
        <v>2365</v>
      </c>
      <c r="I20" s="102" t="s">
        <v>2197</v>
      </c>
      <c r="J20" s="102" t="s">
        <v>2197</v>
      </c>
      <c r="K20" s="102" t="s">
        <v>2197</v>
      </c>
      <c r="L20" s="102" t="s">
        <v>2197</v>
      </c>
      <c r="M20" s="102" t="s">
        <v>2197</v>
      </c>
      <c r="N20" s="102" t="s">
        <v>2197</v>
      </c>
      <c r="O20" s="102" t="s">
        <v>2197</v>
      </c>
      <c r="P20" s="102" t="s">
        <v>2197</v>
      </c>
      <c r="Q20" s="102" t="s">
        <v>2197</v>
      </c>
      <c r="R20" s="102" t="s">
        <v>2197</v>
      </c>
      <c r="S20" s="102" t="s">
        <v>2197</v>
      </c>
      <c r="T20" s="102" t="s">
        <v>2197</v>
      </c>
      <c r="U20" s="102" t="s">
        <v>2197</v>
      </c>
      <c r="V20" s="102" t="s">
        <v>2197</v>
      </c>
    </row>
    <row r="21" spans="2:31">
      <c r="B21" s="169" t="s">
        <v>2186</v>
      </c>
      <c r="C21" s="102">
        <v>21</v>
      </c>
      <c r="D21" s="102" t="s">
        <v>2383</v>
      </c>
      <c r="E21" s="120">
        <v>45460</v>
      </c>
      <c r="F21" s="102">
        <v>1</v>
      </c>
      <c r="G21" s="220" cm="1">
        <f t="array" aca="1" ref="G21" ca="1">SUM(IF(IF(G3:G20="null",1,G3:G20)=1,1,0))/COUNT(IF(G3:G20="null",1,1))</f>
        <v>0.77777777777777779</v>
      </c>
      <c r="H21" s="102"/>
      <c r="I21" s="102" t="s">
        <v>2197</v>
      </c>
      <c r="J21" s="102" t="s">
        <v>2197</v>
      </c>
      <c r="K21" s="102" t="s">
        <v>2197</v>
      </c>
      <c r="L21" s="102" t="s">
        <v>2197</v>
      </c>
      <c r="M21" s="102">
        <v>0</v>
      </c>
      <c r="N21" s="102" t="s">
        <v>2197</v>
      </c>
      <c r="O21" s="102" t="s">
        <v>2197</v>
      </c>
      <c r="P21" s="102" t="s">
        <v>2197</v>
      </c>
      <c r="Q21" s="102" t="s">
        <v>2197</v>
      </c>
      <c r="R21" s="102">
        <v>0</v>
      </c>
      <c r="S21" s="102" t="s">
        <v>2197</v>
      </c>
      <c r="T21" s="102" t="s">
        <v>2197</v>
      </c>
      <c r="U21" s="102" t="s">
        <v>2197</v>
      </c>
      <c r="V21" s="102" t="s">
        <v>2197</v>
      </c>
    </row>
    <row r="23" spans="2:31">
      <c r="B23" s="110" t="s">
        <v>2251</v>
      </c>
    </row>
    <row r="24" spans="2:31">
      <c r="B24" s="111" t="s">
        <v>2252</v>
      </c>
      <c r="C24" s="112" t="s">
        <v>2190</v>
      </c>
      <c r="D24" s="112" t="s">
        <v>2191</v>
      </c>
      <c r="E24" s="112" t="s">
        <v>2192</v>
      </c>
      <c r="F24" s="112" t="s">
        <v>2193</v>
      </c>
      <c r="G24" s="112" t="s">
        <v>2194</v>
      </c>
      <c r="H24" s="112" t="s">
        <v>2195</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2253</v>
      </c>
      <c r="C25" s="117">
        <v>21</v>
      </c>
      <c r="D25" s="106" t="s">
        <v>2254</v>
      </c>
      <c r="E25" s="105" t="s">
        <v>2255</v>
      </c>
      <c r="F25" s="105" t="s">
        <v>1101</v>
      </c>
      <c r="G25" s="105" t="s">
        <v>1101</v>
      </c>
      <c r="H25" s="105" t="s">
        <v>1101</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2256</v>
      </c>
      <c r="C26" s="117">
        <v>7</v>
      </c>
      <c r="D26" s="106" t="s">
        <v>2254</v>
      </c>
      <c r="E26" s="105" t="s">
        <v>2255</v>
      </c>
      <c r="F26" s="105" t="s">
        <v>1101</v>
      </c>
      <c r="G26" s="105" t="s">
        <v>1101</v>
      </c>
      <c r="H26" s="105"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8">
        <f ca="1"/>
        <v>10</v>
      </c>
      <c r="W26">
        <f ca="1"/>
        <v>9999999</v>
      </c>
      <c r="X26">
        <f ca="1"/>
        <v>9999999</v>
      </c>
      <c r="Y26">
        <f ca="1"/>
        <v>9999999</v>
      </c>
      <c r="Z26">
        <f ca="1"/>
        <v>9999999</v>
      </c>
      <c r="AA26">
        <f ca="1"/>
        <v>4</v>
      </c>
      <c r="AB26">
        <f ca="1"/>
        <v>9999999</v>
      </c>
      <c r="AC26">
        <f ca="1"/>
        <v>2</v>
      </c>
      <c r="AD26">
        <f ca="1"/>
        <v>10</v>
      </c>
      <c r="AE26">
        <f ca="1"/>
        <v>23</v>
      </c>
    </row>
    <row r="29" spans="2:31">
      <c r="B29" s="127" t="s">
        <v>2257</v>
      </c>
    </row>
    <row r="30" spans="2:31">
      <c r="B30" s="136" t="s">
        <v>2258</v>
      </c>
      <c r="C30" s="136" t="s">
        <v>2259</v>
      </c>
      <c r="D30" s="137" t="s">
        <v>2260</v>
      </c>
      <c r="E30" s="136" t="s">
        <v>2261</v>
      </c>
      <c r="F30" s="136" t="s">
        <v>2262</v>
      </c>
    </row>
    <row r="31" spans="2:31" ht="60.75">
      <c r="B31" s="180" t="s">
        <v>2384</v>
      </c>
      <c r="C31" s="91" t="s">
        <v>737</v>
      </c>
      <c r="D31" s="87" t="s">
        <v>2264</v>
      </c>
      <c r="E31" s="181" t="s">
        <v>2385</v>
      </c>
      <c r="F31" s="82" t="s">
        <v>2266</v>
      </c>
      <c r="G31" s="144"/>
    </row>
    <row r="32" spans="2:31" ht="60.75">
      <c r="B32" s="80" t="s">
        <v>2271</v>
      </c>
      <c r="C32" s="91" t="s">
        <v>737</v>
      </c>
      <c r="D32" s="87" t="s">
        <v>2264</v>
      </c>
      <c r="E32" s="181" t="s">
        <v>2385</v>
      </c>
      <c r="F32" s="82" t="s">
        <v>2266</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01" t="s">
        <v>767</v>
      </c>
      <c r="O2" s="101" t="s">
        <v>942</v>
      </c>
      <c r="P2" s="101" t="s">
        <v>951</v>
      </c>
      <c r="Q2" s="101" t="s">
        <v>960</v>
      </c>
      <c r="R2" s="101" t="s">
        <v>927</v>
      </c>
      <c r="S2" s="101" t="s">
        <v>968</v>
      </c>
      <c r="T2" s="101" t="s">
        <v>978</v>
      </c>
      <c r="U2" s="101" t="s">
        <v>985</v>
      </c>
      <c r="V2" s="101" t="s">
        <v>778</v>
      </c>
      <c r="W2" s="101" t="s">
        <v>791</v>
      </c>
      <c r="X2" s="101" t="s">
        <v>749</v>
      </c>
      <c r="Y2" s="101" t="s">
        <v>1003</v>
      </c>
      <c r="Z2" s="101" t="s">
        <v>758</v>
      </c>
      <c r="AA2" s="101" t="s">
        <v>1017</v>
      </c>
      <c r="AB2" s="101" t="s">
        <v>1028</v>
      </c>
      <c r="AC2" s="101" t="s">
        <v>1038</v>
      </c>
      <c r="AD2" s="101" t="s">
        <v>1046</v>
      </c>
      <c r="AE2" s="101" t="s">
        <v>1052</v>
      </c>
      <c r="AF2" s="101" t="s">
        <v>1061</v>
      </c>
      <c r="AG2" s="101" t="s">
        <v>798</v>
      </c>
      <c r="AH2" s="101" t="s">
        <v>806</v>
      </c>
      <c r="AI2" s="101" t="s">
        <v>813</v>
      </c>
    </row>
    <row r="3" spans="2:35">
      <c r="B3" s="145" t="s">
        <v>2143</v>
      </c>
      <c r="C3" s="102">
        <v>1</v>
      </c>
      <c r="D3" s="102" t="s">
        <v>2386</v>
      </c>
      <c r="E3" s="120">
        <v>45490</v>
      </c>
      <c r="F3" s="102">
        <v>2</v>
      </c>
      <c r="G3" s="149">
        <v>1</v>
      </c>
      <c r="H3" s="206">
        <v>1099875</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c r="W3" s="102" t="s">
        <v>2197</v>
      </c>
      <c r="X3" s="102" t="s">
        <v>2197</v>
      </c>
      <c r="Y3" s="102" t="s">
        <v>2197</v>
      </c>
      <c r="Z3" s="102" t="s">
        <v>2197</v>
      </c>
      <c r="AA3" s="102" t="s">
        <v>2197</v>
      </c>
      <c r="AB3" s="102" t="s">
        <v>2197</v>
      </c>
      <c r="AC3" s="102" t="s">
        <v>2197</v>
      </c>
      <c r="AD3" s="102" t="s">
        <v>2197</v>
      </c>
      <c r="AE3" s="102" t="s">
        <v>2197</v>
      </c>
      <c r="AF3" s="102" t="s">
        <v>2197</v>
      </c>
      <c r="AG3" s="102" t="s">
        <v>2197</v>
      </c>
      <c r="AH3" s="102" t="s">
        <v>2197</v>
      </c>
      <c r="AI3" s="102" t="s">
        <v>2197</v>
      </c>
    </row>
    <row r="4" spans="2:35">
      <c r="B4" s="145" t="s">
        <v>2145</v>
      </c>
      <c r="C4" s="102">
        <v>2</v>
      </c>
      <c r="D4" s="102" t="s">
        <v>2387</v>
      </c>
      <c r="E4" s="120">
        <v>45490</v>
      </c>
      <c r="F4" s="102">
        <v>2</v>
      </c>
      <c r="G4" s="149">
        <v>1</v>
      </c>
      <c r="H4" s="206">
        <v>0</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c r="W4" s="102" t="s">
        <v>2197</v>
      </c>
      <c r="X4" s="102" t="s">
        <v>2197</v>
      </c>
      <c r="Y4" s="102" t="s">
        <v>2197</v>
      </c>
      <c r="Z4" s="102" t="s">
        <v>2197</v>
      </c>
      <c r="AA4" s="102" t="s">
        <v>2197</v>
      </c>
      <c r="AB4" s="102" t="s">
        <v>2197</v>
      </c>
      <c r="AC4" s="102" t="s">
        <v>2197</v>
      </c>
      <c r="AD4" s="102" t="s">
        <v>2197</v>
      </c>
      <c r="AE4" s="102" t="s">
        <v>2197</v>
      </c>
      <c r="AF4" s="102" t="s">
        <v>2197</v>
      </c>
      <c r="AG4" s="102" t="s">
        <v>2197</v>
      </c>
      <c r="AH4" s="102" t="s">
        <v>2197</v>
      </c>
      <c r="AI4" s="102" t="s">
        <v>2197</v>
      </c>
    </row>
    <row r="5" spans="2:35">
      <c r="B5" s="145" t="s">
        <v>2147</v>
      </c>
      <c r="C5" s="102">
        <v>3</v>
      </c>
      <c r="D5" s="102" t="s">
        <v>2388</v>
      </c>
      <c r="E5" s="120">
        <v>45490</v>
      </c>
      <c r="F5" s="102">
        <v>2</v>
      </c>
      <c r="G5" s="149">
        <v>1</v>
      </c>
      <c r="H5" s="206">
        <v>0</v>
      </c>
      <c r="I5" s="102">
        <v>0</v>
      </c>
      <c r="J5" s="102">
        <v>0</v>
      </c>
      <c r="K5" s="102">
        <v>0</v>
      </c>
      <c r="L5" s="102">
        <v>0</v>
      </c>
      <c r="M5" s="102" t="s">
        <v>2197</v>
      </c>
      <c r="N5" s="102" t="s">
        <v>2197</v>
      </c>
      <c r="O5" s="102" t="s">
        <v>2197</v>
      </c>
      <c r="P5" s="102" t="s">
        <v>2197</v>
      </c>
      <c r="Q5" s="102" t="s">
        <v>2197</v>
      </c>
      <c r="R5" s="102" t="s">
        <v>2197</v>
      </c>
      <c r="S5" s="102" t="s">
        <v>2197</v>
      </c>
      <c r="T5" s="102" t="s">
        <v>2197</v>
      </c>
      <c r="U5" s="102" t="s">
        <v>2197</v>
      </c>
      <c r="V5" s="102" t="s">
        <v>2197</v>
      </c>
      <c r="W5" s="102" t="s">
        <v>2197</v>
      </c>
      <c r="X5" s="102" t="s">
        <v>2197</v>
      </c>
      <c r="Y5" s="102" t="s">
        <v>2197</v>
      </c>
      <c r="Z5" s="102" t="s">
        <v>2197</v>
      </c>
      <c r="AA5" s="102" t="s">
        <v>2197</v>
      </c>
      <c r="AB5" s="102" t="s">
        <v>2197</v>
      </c>
      <c r="AC5" s="102" t="s">
        <v>2197</v>
      </c>
      <c r="AD5" s="102" t="s">
        <v>2197</v>
      </c>
      <c r="AE5" s="102" t="s">
        <v>2197</v>
      </c>
      <c r="AF5" s="102" t="s">
        <v>2197</v>
      </c>
      <c r="AG5" s="102" t="s">
        <v>2197</v>
      </c>
      <c r="AH5" s="102">
        <v>0</v>
      </c>
      <c r="AI5" s="102" t="s">
        <v>2197</v>
      </c>
    </row>
    <row r="6" spans="2:35">
      <c r="B6" s="92" t="s">
        <v>2149</v>
      </c>
      <c r="C6" s="102">
        <v>4</v>
      </c>
      <c r="D6" s="102" t="s">
        <v>2202</v>
      </c>
      <c r="E6" s="120" t="s">
        <v>2197</v>
      </c>
      <c r="F6" s="102">
        <v>2</v>
      </c>
      <c r="G6" s="102" t="s">
        <v>2197</v>
      </c>
      <c r="H6" s="102"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c r="W6" s="102" t="s">
        <v>2197</v>
      </c>
      <c r="X6" s="102" t="s">
        <v>2197</v>
      </c>
      <c r="Y6" s="102" t="s">
        <v>2197</v>
      </c>
      <c r="Z6" s="102" t="s">
        <v>2197</v>
      </c>
      <c r="AA6" s="102" t="s">
        <v>2197</v>
      </c>
      <c r="AB6" s="102" t="s">
        <v>2197</v>
      </c>
      <c r="AC6" s="102" t="s">
        <v>2197</v>
      </c>
      <c r="AD6" s="102" t="s">
        <v>2197</v>
      </c>
      <c r="AE6" s="102" t="s">
        <v>2197</v>
      </c>
      <c r="AF6" s="102" t="s">
        <v>2197</v>
      </c>
      <c r="AG6" s="102" t="s">
        <v>2197</v>
      </c>
      <c r="AH6" s="102" t="s">
        <v>2197</v>
      </c>
      <c r="AI6" s="102" t="s">
        <v>2197</v>
      </c>
    </row>
    <row r="7" spans="2:35">
      <c r="B7" s="92" t="s">
        <v>2151</v>
      </c>
      <c r="C7" s="102">
        <v>5</v>
      </c>
      <c r="D7" s="102" t="s">
        <v>2202</v>
      </c>
      <c r="E7" s="120" t="s">
        <v>2197</v>
      </c>
      <c r="F7" s="102">
        <v>2</v>
      </c>
      <c r="G7" s="102" t="s">
        <v>2197</v>
      </c>
      <c r="H7" s="102"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c r="W7" s="102" t="s">
        <v>2197</v>
      </c>
      <c r="X7" s="102" t="s">
        <v>2197</v>
      </c>
      <c r="Y7" s="102" t="s">
        <v>2197</v>
      </c>
      <c r="Z7" s="102" t="s">
        <v>2197</v>
      </c>
      <c r="AA7" s="102" t="s">
        <v>2197</v>
      </c>
      <c r="AB7" s="102" t="s">
        <v>2197</v>
      </c>
      <c r="AC7" s="102" t="s">
        <v>2197</v>
      </c>
      <c r="AD7" s="102" t="s">
        <v>2197</v>
      </c>
      <c r="AE7" s="102" t="s">
        <v>2197</v>
      </c>
      <c r="AF7" s="102" t="s">
        <v>2197</v>
      </c>
      <c r="AG7" s="102" t="s">
        <v>2197</v>
      </c>
      <c r="AH7" s="102" t="s">
        <v>2197</v>
      </c>
      <c r="AI7" s="102" t="s">
        <v>2197</v>
      </c>
    </row>
    <row r="8" spans="2:35">
      <c r="B8" s="176" t="s">
        <v>2152</v>
      </c>
      <c r="C8" s="102">
        <v>6</v>
      </c>
      <c r="D8" s="102" t="s">
        <v>2389</v>
      </c>
      <c r="E8" s="120">
        <v>45490</v>
      </c>
      <c r="F8" s="102">
        <v>2</v>
      </c>
      <c r="G8" s="149" cm="1">
        <f t="array" ref="G8">SUMPRODUCT(--(I8:AH8&gt;0))/COUNTA(I8:AH8)</f>
        <v>1</v>
      </c>
      <c r="H8" s="206">
        <v>0</v>
      </c>
      <c r="I8" s="102">
        <v>2</v>
      </c>
      <c r="J8" s="102">
        <v>15</v>
      </c>
      <c r="K8" s="102">
        <v>2</v>
      </c>
      <c r="L8" s="102">
        <v>9</v>
      </c>
      <c r="M8" s="102" t="s">
        <v>2204</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2155</v>
      </c>
      <c r="C9" s="102">
        <v>7</v>
      </c>
      <c r="D9" s="102" t="s">
        <v>2390</v>
      </c>
      <c r="E9" s="120">
        <v>45490</v>
      </c>
      <c r="F9" s="102">
        <v>2</v>
      </c>
      <c r="G9" s="149" cm="1">
        <f t="array" aca="1" ref="G9" ca="1">SUMPRODUCT(--(I9:AH9&lt;=I26:AH26))/COUNTA(I9:AH9)</f>
        <v>0.80769230769230771</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2158</v>
      </c>
      <c r="C10" s="102">
        <v>8</v>
      </c>
      <c r="D10" s="102" t="s">
        <v>2391</v>
      </c>
      <c r="E10" s="120">
        <v>45490</v>
      </c>
      <c r="F10" s="102">
        <v>2</v>
      </c>
      <c r="G10" s="102" t="s">
        <v>2197</v>
      </c>
      <c r="H10" s="206">
        <v>0</v>
      </c>
      <c r="I10" s="102">
        <v>31</v>
      </c>
      <c r="J10" s="102">
        <v>1100751730010</v>
      </c>
      <c r="K10" s="102">
        <v>24</v>
      </c>
      <c r="L10" s="102">
        <v>699490255</v>
      </c>
      <c r="M10" s="120" t="s">
        <v>2204</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2392</v>
      </c>
      <c r="AC10" s="102" t="e">
        <v>#N/A</v>
      </c>
      <c r="AD10" s="102" t="e">
        <v>#N/A</v>
      </c>
      <c r="AE10" s="102">
        <v>12</v>
      </c>
      <c r="AF10" s="102">
        <v>0</v>
      </c>
      <c r="AG10" s="120" t="s">
        <v>2393</v>
      </c>
      <c r="AH10" s="120">
        <v>45490</v>
      </c>
      <c r="AI10" s="102" t="s">
        <v>2394</v>
      </c>
    </row>
    <row r="11" spans="2:35">
      <c r="B11" s="145" t="s">
        <v>2160</v>
      </c>
      <c r="C11" s="102">
        <v>9</v>
      </c>
      <c r="D11" s="102" t="s">
        <v>2395</v>
      </c>
      <c r="E11" s="120">
        <v>45490</v>
      </c>
      <c r="F11" s="102">
        <v>2</v>
      </c>
      <c r="G11" s="102" t="s">
        <v>2197</v>
      </c>
      <c r="H11" s="206">
        <v>0</v>
      </c>
      <c r="I11" s="102">
        <v>31</v>
      </c>
      <c r="J11" s="102">
        <v>1100751730010</v>
      </c>
      <c r="K11" s="102">
        <v>24</v>
      </c>
      <c r="L11" s="102">
        <v>699490255</v>
      </c>
      <c r="M11" s="120" t="s">
        <v>2204</v>
      </c>
      <c r="N11" s="206">
        <v>1</v>
      </c>
      <c r="O11" s="120">
        <v>4008110051813620</v>
      </c>
      <c r="P11" s="102" t="s">
        <v>2396</v>
      </c>
      <c r="Q11" s="102">
        <v>0</v>
      </c>
      <c r="R11" s="102">
        <v>0</v>
      </c>
      <c r="S11" s="102">
        <v>0</v>
      </c>
      <c r="T11" s="102"/>
      <c r="U11" s="102">
        <v>8</v>
      </c>
      <c r="V11" s="120">
        <v>978</v>
      </c>
      <c r="W11" s="102" t="s">
        <v>2397</v>
      </c>
      <c r="X11" s="102" t="s">
        <v>2397</v>
      </c>
      <c r="Y11" s="102" t="s">
        <v>2398</v>
      </c>
      <c r="Z11" s="102" t="s">
        <v>2398</v>
      </c>
      <c r="AA11" s="102">
        <v>0</v>
      </c>
      <c r="AB11" s="102" t="s">
        <v>2392</v>
      </c>
      <c r="AC11" s="102" t="e">
        <v>#N/A</v>
      </c>
      <c r="AD11" s="102" t="e">
        <v>#N/A</v>
      </c>
      <c r="AE11" s="102">
        <v>12</v>
      </c>
      <c r="AF11" s="102">
        <v>0</v>
      </c>
      <c r="AG11" s="120" t="s">
        <v>2393</v>
      </c>
      <c r="AH11" s="120">
        <v>45490</v>
      </c>
      <c r="AI11" s="102" t="s">
        <v>2399</v>
      </c>
    </row>
    <row r="12" spans="2:35">
      <c r="B12" s="168" t="s">
        <v>2162</v>
      </c>
      <c r="C12" s="102">
        <v>10</v>
      </c>
      <c r="D12" s="102" t="s">
        <v>2400</v>
      </c>
      <c r="E12" s="120">
        <v>45490</v>
      </c>
      <c r="F12" s="102">
        <v>2</v>
      </c>
      <c r="G12" s="102" t="s">
        <v>2197</v>
      </c>
      <c r="H12" s="206">
        <v>0</v>
      </c>
      <c r="I12" s="102">
        <v>31</v>
      </c>
      <c r="J12" s="102">
        <v>5131650650010</v>
      </c>
      <c r="K12" s="102">
        <v>24</v>
      </c>
      <c r="L12" s="102">
        <v>700670832</v>
      </c>
      <c r="M12" s="120" t="s">
        <v>2204</v>
      </c>
      <c r="N12" s="206">
        <v>1</v>
      </c>
      <c r="O12" s="121">
        <v>5890770069588380</v>
      </c>
      <c r="P12" s="102">
        <v>320</v>
      </c>
      <c r="Q12" s="102">
        <v>1</v>
      </c>
      <c r="R12" s="102">
        <v>1</v>
      </c>
      <c r="S12" s="102">
        <v>1</v>
      </c>
      <c r="T12" s="149" t="s">
        <v>2401</v>
      </c>
      <c r="U12" s="102">
        <v>986</v>
      </c>
      <c r="V12" s="120">
        <v>978</v>
      </c>
      <c r="W12" s="120">
        <v>45491</v>
      </c>
      <c r="X12" s="149">
        <v>45491</v>
      </c>
      <c r="Y12" s="121">
        <v>15416610000000</v>
      </c>
      <c r="Z12" s="121">
        <v>108509000000</v>
      </c>
      <c r="AA12" s="102">
        <v>98</v>
      </c>
      <c r="AB12" s="102" t="s">
        <v>2402</v>
      </c>
      <c r="AC12" s="102">
        <v>999903</v>
      </c>
      <c r="AD12" s="102">
        <v>1527947</v>
      </c>
      <c r="AE12" s="102">
        <v>552429</v>
      </c>
      <c r="AF12" s="102">
        <v>9406</v>
      </c>
      <c r="AG12" s="120" t="s">
        <v>2393</v>
      </c>
      <c r="AH12" s="120">
        <v>45490</v>
      </c>
      <c r="AI12" s="102" t="s">
        <v>2394</v>
      </c>
    </row>
    <row r="13" spans="2:35">
      <c r="B13" s="145" t="s">
        <v>2164</v>
      </c>
      <c r="C13" s="102">
        <v>11</v>
      </c>
      <c r="D13" s="102" t="s">
        <v>2403</v>
      </c>
      <c r="E13" s="120">
        <v>45490</v>
      </c>
      <c r="F13" s="102">
        <v>2</v>
      </c>
      <c r="G13" s="102" t="s">
        <v>2197</v>
      </c>
      <c r="H13" s="206">
        <v>0</v>
      </c>
      <c r="I13" s="102">
        <v>31</v>
      </c>
      <c r="J13" s="102">
        <v>5131650650010</v>
      </c>
      <c r="K13" s="102">
        <v>24</v>
      </c>
      <c r="L13" s="102">
        <v>700670832</v>
      </c>
      <c r="M13" s="120" t="s">
        <v>2204</v>
      </c>
      <c r="N13" s="206">
        <v>1</v>
      </c>
      <c r="O13" s="120">
        <v>5890770069588380</v>
      </c>
      <c r="P13" s="102" t="s">
        <v>2404</v>
      </c>
      <c r="Q13" s="102">
        <v>1</v>
      </c>
      <c r="R13" s="102">
        <v>1</v>
      </c>
      <c r="S13" s="102">
        <v>1</v>
      </c>
      <c r="T13" s="102" t="s">
        <v>2401</v>
      </c>
      <c r="U13" s="102">
        <v>986</v>
      </c>
      <c r="V13" s="120">
        <v>978</v>
      </c>
      <c r="W13" s="120">
        <v>45491</v>
      </c>
      <c r="X13" s="120">
        <v>45491</v>
      </c>
      <c r="Y13" s="102" t="s">
        <v>2405</v>
      </c>
      <c r="Z13" s="102" t="s">
        <v>2405</v>
      </c>
      <c r="AA13" s="102">
        <v>781</v>
      </c>
      <c r="AB13" s="102" t="s">
        <v>2402</v>
      </c>
      <c r="AC13" s="102">
        <v>999903</v>
      </c>
      <c r="AD13" s="102">
        <v>1527947</v>
      </c>
      <c r="AE13" s="102">
        <v>552429</v>
      </c>
      <c r="AF13" s="102">
        <v>9405</v>
      </c>
      <c r="AG13" s="120" t="s">
        <v>2393</v>
      </c>
      <c r="AH13" s="120">
        <v>45490</v>
      </c>
      <c r="AI13" s="102" t="s">
        <v>2406</v>
      </c>
    </row>
    <row r="14" spans="2:35">
      <c r="B14" s="145" t="s">
        <v>2166</v>
      </c>
      <c r="C14" s="102">
        <v>12</v>
      </c>
      <c r="D14" s="102" t="s">
        <v>2407</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2168</v>
      </c>
      <c r="C15" s="102">
        <v>13</v>
      </c>
      <c r="D15" s="102" t="s">
        <v>2408</v>
      </c>
      <c r="E15" s="120">
        <v>45490</v>
      </c>
      <c r="F15" s="102">
        <v>2</v>
      </c>
      <c r="G15" s="149">
        <v>1</v>
      </c>
      <c r="H15" s="206">
        <v>0</v>
      </c>
      <c r="I15" s="102" t="s">
        <v>2197</v>
      </c>
      <c r="J15" s="102" t="s">
        <v>2197</v>
      </c>
      <c r="K15" s="102" t="s">
        <v>2197</v>
      </c>
      <c r="L15" s="92" t="s">
        <v>2197</v>
      </c>
      <c r="M15" s="92" t="s">
        <v>2197</v>
      </c>
      <c r="N15" s="102" t="s">
        <v>2197</v>
      </c>
      <c r="O15" s="92" t="s">
        <v>2197</v>
      </c>
      <c r="P15" s="92" t="s">
        <v>2197</v>
      </c>
      <c r="Q15" s="92" t="s">
        <v>2197</v>
      </c>
      <c r="R15" s="102" t="s">
        <v>2197</v>
      </c>
      <c r="S15" s="102" t="s">
        <v>2197</v>
      </c>
      <c r="T15" s="102" t="s">
        <v>2197</v>
      </c>
      <c r="U15" s="102" t="s">
        <v>2197</v>
      </c>
      <c r="V15" s="102" t="s">
        <v>2197</v>
      </c>
      <c r="W15" s="102">
        <v>0</v>
      </c>
      <c r="X15" s="102">
        <v>0</v>
      </c>
      <c r="Y15" s="102" t="s">
        <v>2197</v>
      </c>
      <c r="Z15" s="102" t="s">
        <v>2197</v>
      </c>
      <c r="AA15" s="102" t="s">
        <v>2197</v>
      </c>
      <c r="AB15" s="102" t="s">
        <v>2197</v>
      </c>
      <c r="AC15" s="102" t="s">
        <v>2197</v>
      </c>
      <c r="AD15" s="102" t="s">
        <v>2197</v>
      </c>
      <c r="AE15" s="102" t="s">
        <v>2197</v>
      </c>
      <c r="AF15" s="102" t="s">
        <v>2197</v>
      </c>
      <c r="AG15" s="102" t="s">
        <v>2197</v>
      </c>
      <c r="AH15" s="102" t="s">
        <v>2197</v>
      </c>
      <c r="AI15" s="102" t="s">
        <v>2197</v>
      </c>
    </row>
    <row r="16" spans="2:35">
      <c r="B16" s="145" t="s">
        <v>2170</v>
      </c>
      <c r="C16" s="102">
        <v>14</v>
      </c>
      <c r="D16" s="102" t="s">
        <v>2409</v>
      </c>
      <c r="E16" s="120">
        <v>45490</v>
      </c>
      <c r="F16" s="102">
        <v>2</v>
      </c>
      <c r="G16" s="149">
        <v>1</v>
      </c>
      <c r="H16" s="206">
        <v>0</v>
      </c>
      <c r="I16" s="102">
        <v>0</v>
      </c>
      <c r="J16" s="102">
        <v>0</v>
      </c>
      <c r="K16" s="102" t="s">
        <v>2197</v>
      </c>
      <c r="L16" s="102" t="s">
        <v>2197</v>
      </c>
      <c r="M16" s="92">
        <v>0</v>
      </c>
      <c r="N16" s="102" t="s">
        <v>2197</v>
      </c>
      <c r="O16" s="102" t="s">
        <v>2197</v>
      </c>
      <c r="P16" s="102" t="s">
        <v>2197</v>
      </c>
      <c r="Q16" s="92" t="s">
        <v>2197</v>
      </c>
      <c r="R16" s="102" t="s">
        <v>2197</v>
      </c>
      <c r="S16" s="102" t="s">
        <v>2197</v>
      </c>
      <c r="T16" s="102">
        <v>0</v>
      </c>
      <c r="U16" s="102">
        <v>0</v>
      </c>
      <c r="V16" s="102">
        <v>0</v>
      </c>
      <c r="W16" s="102" t="s">
        <v>2197</v>
      </c>
      <c r="X16" s="102" t="s">
        <v>2197</v>
      </c>
      <c r="Y16" s="102" t="s">
        <v>2197</v>
      </c>
      <c r="Z16" s="102" t="s">
        <v>2197</v>
      </c>
      <c r="AA16" s="102">
        <v>0</v>
      </c>
      <c r="AB16" s="102" t="s">
        <v>2197</v>
      </c>
      <c r="AC16" s="102">
        <v>0</v>
      </c>
      <c r="AD16" s="102">
        <v>0</v>
      </c>
      <c r="AE16" s="102">
        <v>0</v>
      </c>
      <c r="AF16" s="102">
        <v>0</v>
      </c>
      <c r="AG16" s="102">
        <v>0</v>
      </c>
      <c r="AH16" s="102" t="s">
        <v>2197</v>
      </c>
      <c r="AI16" s="102" t="s">
        <v>2197</v>
      </c>
    </row>
    <row r="17" spans="2:36">
      <c r="B17" s="178" t="s">
        <v>2172</v>
      </c>
      <c r="C17" s="102">
        <v>15</v>
      </c>
      <c r="D17" s="102" t="s">
        <v>2410</v>
      </c>
      <c r="E17" s="120">
        <v>45490</v>
      </c>
      <c r="F17" s="102">
        <v>2</v>
      </c>
      <c r="G17" s="149">
        <v>1</v>
      </c>
      <c r="H17" s="206">
        <v>0</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c r="W17" s="102" t="s">
        <v>2197</v>
      </c>
      <c r="X17" s="102" t="s">
        <v>2197</v>
      </c>
      <c r="Y17" s="102" t="s">
        <v>2197</v>
      </c>
      <c r="Z17" s="102" t="s">
        <v>2197</v>
      </c>
      <c r="AA17" s="102" t="s">
        <v>2197</v>
      </c>
      <c r="AB17" s="102" t="s">
        <v>2197</v>
      </c>
      <c r="AC17" s="102" t="s">
        <v>2197</v>
      </c>
      <c r="AD17" s="102" t="s">
        <v>2197</v>
      </c>
      <c r="AE17" s="102" t="s">
        <v>2197</v>
      </c>
      <c r="AF17" s="102" t="s">
        <v>2197</v>
      </c>
      <c r="AG17" s="102" t="s">
        <v>2197</v>
      </c>
      <c r="AH17" s="102" t="s">
        <v>2197</v>
      </c>
      <c r="AI17" s="102" t="s">
        <v>2197</v>
      </c>
    </row>
    <row r="18" spans="2:36">
      <c r="B18" s="178" t="s">
        <v>2174</v>
      </c>
      <c r="C18" s="102">
        <v>16</v>
      </c>
      <c r="D18" s="102" t="s">
        <v>2410</v>
      </c>
      <c r="E18" s="120">
        <v>45490</v>
      </c>
      <c r="F18" s="102">
        <v>2</v>
      </c>
      <c r="G18" s="149">
        <v>1</v>
      </c>
      <c r="H18" s="206">
        <v>0</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c r="W18" s="102" t="s">
        <v>2197</v>
      </c>
      <c r="X18" s="102" t="s">
        <v>2197</v>
      </c>
      <c r="Y18" s="102" t="s">
        <v>2197</v>
      </c>
      <c r="Z18" s="102" t="s">
        <v>2197</v>
      </c>
      <c r="AA18" s="102" t="s">
        <v>2197</v>
      </c>
      <c r="AB18" s="102" t="s">
        <v>2197</v>
      </c>
      <c r="AC18" s="102" t="s">
        <v>2197</v>
      </c>
      <c r="AD18" s="102" t="s">
        <v>2197</v>
      </c>
      <c r="AE18" s="102" t="s">
        <v>2197</v>
      </c>
      <c r="AF18" s="102" t="s">
        <v>2197</v>
      </c>
      <c r="AG18" s="102" t="s">
        <v>2197</v>
      </c>
      <c r="AH18" s="102" t="s">
        <v>2197</v>
      </c>
      <c r="AI18" s="102" t="s">
        <v>2197</v>
      </c>
    </row>
    <row r="19" spans="2:36">
      <c r="B19" s="145" t="s">
        <v>2180</v>
      </c>
      <c r="C19" s="102">
        <v>19</v>
      </c>
      <c r="D19" s="102" t="s">
        <v>2411</v>
      </c>
      <c r="E19" s="120">
        <v>45490</v>
      </c>
      <c r="F19" s="102">
        <v>2</v>
      </c>
      <c r="G19" s="149" cm="1">
        <f t="array" aca="1" ref="G19" ca="1">SUMPRODUCT(--(ISNUMBER((SEARCH(I25:AI25,I19:AI19)))))/COUNTA(I19:AI19)</f>
        <v>0.81481481481481477</v>
      </c>
      <c r="H19" s="206">
        <v>0</v>
      </c>
      <c r="I19" s="102" t="s">
        <v>2247</v>
      </c>
      <c r="J19" s="102" t="s">
        <v>2247</v>
      </c>
      <c r="K19" s="102" t="s">
        <v>2412</v>
      </c>
      <c r="L19" s="102" t="s">
        <v>2248</v>
      </c>
      <c r="M19" s="102" t="s">
        <v>2247</v>
      </c>
      <c r="N19" s="102" t="s">
        <v>2247</v>
      </c>
      <c r="O19" s="102" t="s">
        <v>2247</v>
      </c>
      <c r="P19" s="102" t="s">
        <v>2413</v>
      </c>
      <c r="Q19" s="102" t="s">
        <v>2247</v>
      </c>
      <c r="R19" s="102" t="s">
        <v>2247</v>
      </c>
      <c r="S19" s="102" t="s">
        <v>2247</v>
      </c>
      <c r="T19" s="102" t="s">
        <v>2247</v>
      </c>
      <c r="U19" s="102" t="s">
        <v>2247</v>
      </c>
      <c r="V19" s="102" t="s">
        <v>2247</v>
      </c>
      <c r="W19" s="102" t="s">
        <v>2247</v>
      </c>
      <c r="X19" s="102" t="s">
        <v>2247</v>
      </c>
      <c r="Y19" s="102" t="s">
        <v>2249</v>
      </c>
      <c r="Z19" s="102" t="s">
        <v>2249</v>
      </c>
      <c r="AA19" s="102" t="s">
        <v>2247</v>
      </c>
      <c r="AB19" s="102" t="s">
        <v>2247</v>
      </c>
      <c r="AC19" s="102" t="s">
        <v>2247</v>
      </c>
      <c r="AD19" s="102" t="s">
        <v>2247</v>
      </c>
      <c r="AE19" s="102" t="s">
        <v>2247</v>
      </c>
      <c r="AF19" s="102" t="s">
        <v>2247</v>
      </c>
      <c r="AG19" s="102" t="s">
        <v>2247</v>
      </c>
      <c r="AH19" s="102" t="s">
        <v>2247</v>
      </c>
      <c r="AI19" s="102" t="s">
        <v>2250</v>
      </c>
    </row>
    <row r="20" spans="2:36">
      <c r="B20" s="145" t="s">
        <v>2183</v>
      </c>
      <c r="C20" s="102">
        <v>20</v>
      </c>
      <c r="D20" s="102" t="s">
        <v>2414</v>
      </c>
      <c r="E20" s="120">
        <v>45490</v>
      </c>
      <c r="F20" s="102">
        <v>1</v>
      </c>
      <c r="G20" s="149" cm="1">
        <f t="array" ref="G20">SUM(IF(I2:AH2 = I24:AH24, 1, 0))/ COUNTA(I2:AH2)</f>
        <v>0.19230769230769232</v>
      </c>
      <c r="H20" s="206" t="s">
        <v>2197</v>
      </c>
      <c r="I20" s="206" t="s">
        <v>2197</v>
      </c>
      <c r="J20" s="206" t="s">
        <v>2197</v>
      </c>
      <c r="K20" s="206" t="s">
        <v>2197</v>
      </c>
      <c r="L20" s="206" t="s">
        <v>2197</v>
      </c>
      <c r="M20" s="206" t="s">
        <v>2197</v>
      </c>
      <c r="N20" s="206" t="s">
        <v>2197</v>
      </c>
      <c r="O20" s="206" t="s">
        <v>2197</v>
      </c>
      <c r="P20" s="206" t="s">
        <v>2197</v>
      </c>
      <c r="Q20" s="206" t="s">
        <v>2197</v>
      </c>
      <c r="R20" s="206" t="s">
        <v>2197</v>
      </c>
      <c r="S20" s="206" t="s">
        <v>2197</v>
      </c>
      <c r="T20" s="206" t="s">
        <v>2197</v>
      </c>
      <c r="U20" s="206" t="s">
        <v>2197</v>
      </c>
      <c r="V20" s="206" t="s">
        <v>2197</v>
      </c>
      <c r="W20" s="206" t="s">
        <v>2197</v>
      </c>
      <c r="X20" s="206" t="s">
        <v>2197</v>
      </c>
      <c r="Y20" s="206" t="s">
        <v>2197</v>
      </c>
      <c r="Z20" s="206" t="s">
        <v>2197</v>
      </c>
      <c r="AA20" s="206" t="s">
        <v>2197</v>
      </c>
      <c r="AB20" s="206" t="s">
        <v>2197</v>
      </c>
      <c r="AC20" s="206" t="s">
        <v>2197</v>
      </c>
      <c r="AD20" s="206" t="s">
        <v>2197</v>
      </c>
      <c r="AE20" s="206" t="s">
        <v>2197</v>
      </c>
      <c r="AF20" s="206" t="s">
        <v>2197</v>
      </c>
      <c r="AG20" s="206" t="s">
        <v>2197</v>
      </c>
      <c r="AH20" s="206" t="s">
        <v>2197</v>
      </c>
      <c r="AI20" s="206" t="s">
        <v>2197</v>
      </c>
    </row>
    <row r="21" spans="2:36">
      <c r="B21" s="169" t="s">
        <v>2186</v>
      </c>
      <c r="C21" s="102">
        <v>21</v>
      </c>
      <c r="D21" s="102" t="s">
        <v>2414</v>
      </c>
      <c r="E21" s="120">
        <v>45490</v>
      </c>
      <c r="F21" s="102"/>
      <c r="G21" s="149" cm="1">
        <f t="array" aca="1" ref="G21" ca="1">SUM(IF(IF(G3:G20="null",1,G3:G20)=1,1,0))/COUNT(IF(G3:G20="null",1,1))</f>
        <v>0.77777777777777779</v>
      </c>
      <c r="H21" s="206" t="s">
        <v>2197</v>
      </c>
      <c r="I21" s="206" t="s">
        <v>2197</v>
      </c>
      <c r="J21" s="206" t="s">
        <v>2197</v>
      </c>
      <c r="K21" s="206" t="s">
        <v>2197</v>
      </c>
      <c r="L21" s="206" t="s">
        <v>2197</v>
      </c>
      <c r="M21" s="206" t="s">
        <v>2197</v>
      </c>
      <c r="N21" s="206" t="s">
        <v>2197</v>
      </c>
      <c r="O21" s="206" t="s">
        <v>2197</v>
      </c>
      <c r="P21" s="206" t="s">
        <v>2197</v>
      </c>
      <c r="Q21" s="206" t="s">
        <v>2197</v>
      </c>
      <c r="R21" s="206" t="s">
        <v>2197</v>
      </c>
      <c r="S21" s="206" t="s">
        <v>2197</v>
      </c>
      <c r="T21" s="206" t="s">
        <v>2197</v>
      </c>
      <c r="U21" s="206" t="s">
        <v>2197</v>
      </c>
      <c r="V21" s="206" t="s">
        <v>2197</v>
      </c>
      <c r="W21" s="206" t="s">
        <v>2197</v>
      </c>
      <c r="X21" s="206" t="s">
        <v>2197</v>
      </c>
      <c r="Y21" s="206" t="s">
        <v>2197</v>
      </c>
      <c r="Z21" s="206" t="s">
        <v>2197</v>
      </c>
      <c r="AA21" s="206" t="s">
        <v>2197</v>
      </c>
      <c r="AB21" s="206" t="s">
        <v>2197</v>
      </c>
      <c r="AC21" s="206" t="s">
        <v>2197</v>
      </c>
      <c r="AD21" s="206" t="s">
        <v>2197</v>
      </c>
      <c r="AE21" s="206" t="s">
        <v>2197</v>
      </c>
      <c r="AF21" s="206" t="s">
        <v>2197</v>
      </c>
      <c r="AG21" s="206" t="s">
        <v>2197</v>
      </c>
      <c r="AH21" s="206" t="s">
        <v>2197</v>
      </c>
      <c r="AI21" s="206" t="s">
        <v>2197</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2251</v>
      </c>
    </row>
    <row r="24" spans="2:36">
      <c r="B24" s="111" t="s">
        <v>2252</v>
      </c>
      <c r="C24" s="112" t="s">
        <v>2190</v>
      </c>
      <c r="D24" s="112" t="s">
        <v>2191</v>
      </c>
      <c r="E24" s="112" t="s">
        <v>2192</v>
      </c>
      <c r="F24" s="112" t="s">
        <v>2193</v>
      </c>
      <c r="G24" s="112" t="s">
        <v>2194</v>
      </c>
      <c r="H24" s="112" t="s">
        <v>2195</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beneficiary_order_number</v>
      </c>
      <c r="S24" s="113" t="str">
        <v>recurring_transaction_indicator</v>
      </c>
      <c r="T24" s="182" t="str">
        <v>card_presence_indicator</v>
      </c>
      <c r="U24" s="182" t="str">
        <v>authentication_type_code</v>
      </c>
      <c r="V24" s="182" t="str">
        <v>original_currency_code</v>
      </c>
      <c r="W24" s="182" t="str">
        <v>currency_code</v>
      </c>
      <c r="X24" s="204" t="str">
        <v>transaction_date</v>
      </c>
      <c r="Y24" s="204" t="str">
        <v>transaction_execution_date</v>
      </c>
      <c r="Z24" s="204" t="str">
        <v>original_amount</v>
      </c>
      <c r="AA24" s="204" t="str">
        <v>amount</v>
      </c>
      <c r="AB24" s="204" t="str">
        <v>terminal_organization_id</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2253</v>
      </c>
      <c r="C25" s="117">
        <v>21</v>
      </c>
      <c r="D25" s="106" t="s">
        <v>2254</v>
      </c>
      <c r="E25" s="105" t="s">
        <v>2255</v>
      </c>
      <c r="F25" s="105" t="s">
        <v>1101</v>
      </c>
      <c r="G25" s="105" t="s">
        <v>1101</v>
      </c>
      <c r="H25" s="105" t="s">
        <v>1101</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 INT</v>
      </c>
      <c r="L25" s="105" t="str">
        <f ca="1"/>
        <v>BIGINT</v>
      </c>
      <c r="M25" s="105" t="str">
        <f ca="1"/>
        <v>STRING</v>
      </c>
      <c r="N25" s="105" t="str">
        <f ca="1"/>
        <v>STRING</v>
      </c>
      <c r="O25" s="105" t="str">
        <f ca="1"/>
        <v>STRING</v>
      </c>
      <c r="P25" s="105" t="str">
        <f ca="1"/>
        <v>STRING</v>
      </c>
      <c r="Q25" s="105" t="str">
        <f ca="1"/>
        <v>STRING</v>
      </c>
      <c r="R25" s="105" t="str">
        <f ca="1"/>
        <v>INT</v>
      </c>
      <c r="S25" s="105" t="str">
        <f ca="1"/>
        <v>STRING</v>
      </c>
      <c r="T25" s="105" t="str">
        <f ca="1"/>
        <v>STRING</v>
      </c>
      <c r="U25" s="105" t="str">
        <f ca="1"/>
        <v>STRING</v>
      </c>
      <c r="V25" s="105" t="str">
        <f ca="1"/>
        <v>STRING</v>
      </c>
      <c r="W25" s="105" t="str">
        <f ca="1"/>
        <v>STRING</v>
      </c>
      <c r="X25" s="105" t="str">
        <f ca="1"/>
        <v>STRING</v>
      </c>
      <c r="Y25" s="105" t="str">
        <f ca="1"/>
        <v>STRING</v>
      </c>
      <c r="Z25" s="105" t="str">
        <f ca="1"/>
        <v>DECIMAL</v>
      </c>
      <c r="AA25" s="105" t="str">
        <f ca="1"/>
        <v>DECIMAL</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2256</v>
      </c>
      <c r="C26" s="117">
        <v>7</v>
      </c>
      <c r="D26" s="106" t="s">
        <v>2254</v>
      </c>
      <c r="E26" s="105" t="s">
        <v>2255</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9999999</v>
      </c>
      <c r="S26" s="117">
        <f ca="1"/>
        <v>4</v>
      </c>
      <c r="T26" s="117">
        <f ca="1"/>
        <v>4</v>
      </c>
      <c r="U26" s="117">
        <f ca="1"/>
        <v>4</v>
      </c>
      <c r="V26" s="117">
        <f ca="1"/>
        <v>4</v>
      </c>
      <c r="W26" s="117">
        <f ca="1"/>
        <v>4</v>
      </c>
      <c r="X26" s="117">
        <f ca="1"/>
        <v>10</v>
      </c>
      <c r="Y26" s="117">
        <f ca="1"/>
        <v>10</v>
      </c>
      <c r="Z26" s="117">
        <f ca="1"/>
        <v>23</v>
      </c>
      <c r="AA26" s="117">
        <f ca="1"/>
        <v>23</v>
      </c>
      <c r="AB26" s="117">
        <f ca="1"/>
        <v>4</v>
      </c>
      <c r="AC26" s="117">
        <f ca="1"/>
        <v>9999999</v>
      </c>
      <c r="AD26" s="117">
        <f ca="1"/>
        <v>10</v>
      </c>
      <c r="AE26" s="117">
        <f ca="1"/>
        <v>10</v>
      </c>
      <c r="AF26" s="117">
        <f ca="1"/>
        <v>20</v>
      </c>
      <c r="AG26" s="117">
        <f ca="1"/>
        <v>10</v>
      </c>
      <c r="AH26" s="118">
        <f ca="1"/>
        <v>2</v>
      </c>
      <c r="AI26" s="118">
        <f ca="1"/>
        <v>10</v>
      </c>
      <c r="AJ26">
        <f ca="1"/>
        <v>23</v>
      </c>
    </row>
    <row r="29" spans="2:36">
      <c r="B29" s="127" t="s">
        <v>2257</v>
      </c>
    </row>
    <row r="30" spans="2:36">
      <c r="B30" s="136" t="s">
        <v>2258</v>
      </c>
      <c r="C30" s="136" t="s">
        <v>2259</v>
      </c>
      <c r="D30" s="137" t="s">
        <v>2260</v>
      </c>
      <c r="E30" s="136" t="s">
        <v>2261</v>
      </c>
      <c r="F30" s="136" t="s">
        <v>2262</v>
      </c>
      <c r="I30" s="190"/>
    </row>
    <row r="31" spans="2:36" ht="75" customHeight="1">
      <c r="B31" s="134" t="s">
        <v>2263</v>
      </c>
      <c r="C31" s="87" t="s">
        <v>737</v>
      </c>
      <c r="D31" s="87" t="s">
        <v>2415</v>
      </c>
      <c r="E31" s="87" t="s">
        <v>2416</v>
      </c>
      <c r="F31" s="135" t="s">
        <v>2266</v>
      </c>
      <c r="I31" s="189"/>
    </row>
    <row r="32" spans="2:36" ht="45.75">
      <c r="B32" s="138" t="s">
        <v>2271</v>
      </c>
      <c r="C32" s="87" t="s">
        <v>737</v>
      </c>
      <c r="D32" s="87" t="s">
        <v>2415</v>
      </c>
      <c r="E32" s="87" t="s">
        <v>2416</v>
      </c>
      <c r="F32" s="82" t="s">
        <v>2266</v>
      </c>
    </row>
    <row r="33" spans="2:6" ht="76.5">
      <c r="B33" s="138" t="s">
        <v>2271</v>
      </c>
      <c r="C33" s="91" t="s">
        <v>978</v>
      </c>
      <c r="D33" s="91" t="s">
        <v>2417</v>
      </c>
      <c r="E33" s="91" t="s">
        <v>2418</v>
      </c>
      <c r="F33" s="81" t="s">
        <v>2275</v>
      </c>
    </row>
    <row r="34" spans="2:6" ht="76.5">
      <c r="B34" s="138" t="s">
        <v>2271</v>
      </c>
      <c r="C34" s="91" t="s">
        <v>968</v>
      </c>
      <c r="D34" s="91" t="s">
        <v>2417</v>
      </c>
      <c r="E34" s="91" t="s">
        <v>2418</v>
      </c>
      <c r="F34" s="81" t="s">
        <v>2275</v>
      </c>
    </row>
    <row r="35" spans="2:6" ht="30.75">
      <c r="B35" s="218" t="s">
        <v>2271</v>
      </c>
      <c r="C35" s="217" t="s">
        <v>1046</v>
      </c>
      <c r="D35" s="217" t="s">
        <v>2419</v>
      </c>
      <c r="E35" s="217" t="s">
        <v>2420</v>
      </c>
      <c r="F35" s="219" t="s">
        <v>2266</v>
      </c>
    </row>
    <row r="36" spans="2:6" ht="45.75">
      <c r="B36" s="218" t="s">
        <v>2271</v>
      </c>
      <c r="C36" s="91" t="s">
        <v>1061</v>
      </c>
      <c r="D36" s="217" t="s">
        <v>2421</v>
      </c>
      <c r="E36" s="91" t="s">
        <v>2422</v>
      </c>
      <c r="F36" s="81" t="s">
        <v>2266</v>
      </c>
    </row>
    <row r="37" spans="2:6" ht="106.5">
      <c r="B37" s="218" t="s">
        <v>2271</v>
      </c>
      <c r="C37" s="91" t="s">
        <v>1052</v>
      </c>
      <c r="D37" s="217" t="s">
        <v>2423</v>
      </c>
      <c r="E37" s="91" t="s">
        <v>2424</v>
      </c>
      <c r="F37" s="81" t="s">
        <v>2425</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01" t="s">
        <v>767</v>
      </c>
      <c r="O2" s="101" t="s">
        <v>942</v>
      </c>
      <c r="P2" s="101" t="s">
        <v>951</v>
      </c>
      <c r="Q2" s="101" t="s">
        <v>960</v>
      </c>
      <c r="R2" s="101" t="s">
        <v>927</v>
      </c>
      <c r="S2" s="101" t="s">
        <v>968</v>
      </c>
      <c r="T2" s="101" t="s">
        <v>978</v>
      </c>
      <c r="U2" s="101" t="s">
        <v>985</v>
      </c>
      <c r="V2" s="101" t="s">
        <v>778</v>
      </c>
      <c r="W2" s="101" t="s">
        <v>791</v>
      </c>
      <c r="X2" s="101" t="s">
        <v>749</v>
      </c>
      <c r="Y2" s="101" t="s">
        <v>1003</v>
      </c>
      <c r="Z2" s="101" t="s">
        <v>758</v>
      </c>
      <c r="AA2" s="101" t="s">
        <v>1017</v>
      </c>
      <c r="AB2" s="101" t="s">
        <v>1028</v>
      </c>
      <c r="AC2" s="101" t="s">
        <v>1038</v>
      </c>
      <c r="AD2" s="101" t="s">
        <v>1046</v>
      </c>
      <c r="AE2" s="101" t="s">
        <v>1052</v>
      </c>
      <c r="AF2" s="101" t="s">
        <v>1061</v>
      </c>
      <c r="AG2" s="101" t="s">
        <v>798</v>
      </c>
      <c r="AH2" s="101" t="s">
        <v>806</v>
      </c>
      <c r="AI2" s="101" t="s">
        <v>813</v>
      </c>
    </row>
    <row r="3" spans="2:35">
      <c r="B3" s="145" t="s">
        <v>2143</v>
      </c>
      <c r="C3" s="102">
        <v>1</v>
      </c>
      <c r="D3" s="102" t="s">
        <v>2426</v>
      </c>
      <c r="E3" s="120">
        <v>45490</v>
      </c>
      <c r="F3" s="102">
        <v>2</v>
      </c>
      <c r="G3" s="149">
        <v>1</v>
      </c>
      <c r="H3" s="208">
        <v>48533</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c r="W3" s="102" t="s">
        <v>2197</v>
      </c>
      <c r="X3" s="102" t="s">
        <v>2197</v>
      </c>
      <c r="Y3" s="102" t="s">
        <v>2197</v>
      </c>
      <c r="Z3" s="102" t="s">
        <v>2197</v>
      </c>
      <c r="AA3" s="102" t="s">
        <v>2197</v>
      </c>
      <c r="AB3" s="102" t="s">
        <v>2197</v>
      </c>
      <c r="AC3" s="102" t="s">
        <v>2197</v>
      </c>
      <c r="AD3" s="102" t="s">
        <v>2197</v>
      </c>
      <c r="AE3" s="102" t="s">
        <v>2197</v>
      </c>
      <c r="AF3" s="102" t="s">
        <v>2197</v>
      </c>
      <c r="AG3" s="102" t="s">
        <v>2197</v>
      </c>
      <c r="AH3" s="102" t="s">
        <v>2197</v>
      </c>
      <c r="AI3" s="102" t="s">
        <v>2197</v>
      </c>
    </row>
    <row r="4" spans="2:35">
      <c r="B4" s="145" t="s">
        <v>2145</v>
      </c>
      <c r="C4" s="102">
        <v>2</v>
      </c>
      <c r="D4" s="102" t="s">
        <v>2427</v>
      </c>
      <c r="E4" s="120">
        <v>45490</v>
      </c>
      <c r="F4" s="102">
        <v>2</v>
      </c>
      <c r="G4" s="149">
        <v>1</v>
      </c>
      <c r="H4" s="206">
        <v>0</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c r="W4" s="102" t="s">
        <v>2197</v>
      </c>
      <c r="X4" s="102" t="s">
        <v>2197</v>
      </c>
      <c r="Y4" s="102" t="s">
        <v>2197</v>
      </c>
      <c r="Z4" s="102" t="s">
        <v>2197</v>
      </c>
      <c r="AA4" s="102" t="s">
        <v>2197</v>
      </c>
      <c r="AB4" s="102" t="s">
        <v>2197</v>
      </c>
      <c r="AC4" s="102" t="s">
        <v>2197</v>
      </c>
      <c r="AD4" s="102" t="s">
        <v>2197</v>
      </c>
      <c r="AE4" s="102" t="s">
        <v>2197</v>
      </c>
      <c r="AF4" s="102" t="s">
        <v>2197</v>
      </c>
      <c r="AG4" s="102" t="s">
        <v>2197</v>
      </c>
      <c r="AH4" s="102" t="s">
        <v>2197</v>
      </c>
      <c r="AI4" s="102" t="s">
        <v>2197</v>
      </c>
    </row>
    <row r="5" spans="2:35">
      <c r="B5" s="145" t="s">
        <v>2147</v>
      </c>
      <c r="C5" s="102">
        <v>3</v>
      </c>
      <c r="D5" s="102" t="s">
        <v>2428</v>
      </c>
      <c r="E5" s="120">
        <v>45490</v>
      </c>
      <c r="F5" s="102">
        <v>2</v>
      </c>
      <c r="G5" s="149">
        <v>1</v>
      </c>
      <c r="H5" s="206">
        <v>0</v>
      </c>
      <c r="I5" s="102">
        <v>0</v>
      </c>
      <c r="J5" s="102">
        <v>0</v>
      </c>
      <c r="K5" s="102">
        <v>0</v>
      </c>
      <c r="L5" s="102">
        <v>0</v>
      </c>
      <c r="M5" s="102" t="s">
        <v>2197</v>
      </c>
      <c r="N5" s="102" t="s">
        <v>2197</v>
      </c>
      <c r="O5" s="102" t="s">
        <v>2197</v>
      </c>
      <c r="P5" s="102" t="s">
        <v>2197</v>
      </c>
      <c r="Q5" s="102" t="s">
        <v>2197</v>
      </c>
      <c r="R5" s="102" t="s">
        <v>2197</v>
      </c>
      <c r="S5" s="102" t="s">
        <v>2197</v>
      </c>
      <c r="T5" s="102" t="s">
        <v>2197</v>
      </c>
      <c r="U5" s="102" t="s">
        <v>2197</v>
      </c>
      <c r="V5" s="102" t="s">
        <v>2197</v>
      </c>
      <c r="W5" s="102" t="s">
        <v>2197</v>
      </c>
      <c r="X5" s="102" t="s">
        <v>2197</v>
      </c>
      <c r="Y5" s="102" t="s">
        <v>2197</v>
      </c>
      <c r="Z5" s="102" t="s">
        <v>2197</v>
      </c>
      <c r="AA5" s="102" t="s">
        <v>2197</v>
      </c>
      <c r="AB5" s="102" t="s">
        <v>2197</v>
      </c>
      <c r="AC5" s="102" t="s">
        <v>2197</v>
      </c>
      <c r="AD5" s="102" t="s">
        <v>2197</v>
      </c>
      <c r="AE5" s="102" t="s">
        <v>2197</v>
      </c>
      <c r="AF5" s="102" t="s">
        <v>2197</v>
      </c>
      <c r="AG5" s="102" t="s">
        <v>2197</v>
      </c>
      <c r="AH5" s="102">
        <v>0</v>
      </c>
      <c r="AI5" s="102" t="s">
        <v>2197</v>
      </c>
    </row>
    <row r="6" spans="2:35">
      <c r="B6" s="92" t="s">
        <v>2149</v>
      </c>
      <c r="C6" s="102">
        <v>4</v>
      </c>
      <c r="D6" s="102" t="s">
        <v>2202</v>
      </c>
      <c r="E6" s="120" t="s">
        <v>2197</v>
      </c>
      <c r="F6" s="102">
        <v>2</v>
      </c>
      <c r="G6" s="102" t="s">
        <v>2197</v>
      </c>
      <c r="H6" s="102"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c r="W6" s="102" t="s">
        <v>2197</v>
      </c>
      <c r="X6" s="102" t="s">
        <v>2197</v>
      </c>
      <c r="Y6" s="102" t="s">
        <v>2197</v>
      </c>
      <c r="Z6" s="102" t="s">
        <v>2197</v>
      </c>
      <c r="AA6" s="102" t="s">
        <v>2197</v>
      </c>
      <c r="AB6" s="102" t="s">
        <v>2197</v>
      </c>
      <c r="AC6" s="102" t="s">
        <v>2197</v>
      </c>
      <c r="AD6" s="102" t="s">
        <v>2197</v>
      </c>
      <c r="AE6" s="102" t="s">
        <v>2197</v>
      </c>
      <c r="AF6" s="102" t="s">
        <v>2197</v>
      </c>
      <c r="AG6" s="102" t="s">
        <v>2197</v>
      </c>
      <c r="AH6" s="102" t="s">
        <v>2197</v>
      </c>
      <c r="AI6" s="102" t="s">
        <v>2197</v>
      </c>
    </row>
    <row r="7" spans="2:35">
      <c r="B7" s="92" t="s">
        <v>2151</v>
      </c>
      <c r="C7" s="102">
        <v>5</v>
      </c>
      <c r="D7" s="102" t="s">
        <v>2202</v>
      </c>
      <c r="E7" s="120" t="s">
        <v>2197</v>
      </c>
      <c r="F7" s="102">
        <v>2</v>
      </c>
      <c r="G7" s="102" t="s">
        <v>2197</v>
      </c>
      <c r="H7" s="102"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c r="W7" s="102" t="s">
        <v>2197</v>
      </c>
      <c r="X7" s="102" t="s">
        <v>2197</v>
      </c>
      <c r="Y7" s="102" t="s">
        <v>2197</v>
      </c>
      <c r="Z7" s="102" t="s">
        <v>2197</v>
      </c>
      <c r="AA7" s="102" t="s">
        <v>2197</v>
      </c>
      <c r="AB7" s="102" t="s">
        <v>2197</v>
      </c>
      <c r="AC7" s="102" t="s">
        <v>2197</v>
      </c>
      <c r="AD7" s="102" t="s">
        <v>2197</v>
      </c>
      <c r="AE7" s="102" t="s">
        <v>2197</v>
      </c>
      <c r="AF7" s="102" t="s">
        <v>2197</v>
      </c>
      <c r="AG7" s="102" t="s">
        <v>2197</v>
      </c>
      <c r="AH7" s="102" t="s">
        <v>2197</v>
      </c>
      <c r="AI7" s="102" t="s">
        <v>2197</v>
      </c>
    </row>
    <row r="8" spans="2:35">
      <c r="B8" s="176" t="s">
        <v>2152</v>
      </c>
      <c r="C8" s="102">
        <v>6</v>
      </c>
      <c r="D8" s="102" t="s">
        <v>2429</v>
      </c>
      <c r="E8" s="120">
        <v>45490</v>
      </c>
      <c r="F8" s="102">
        <v>2</v>
      </c>
      <c r="G8" s="149" cm="1">
        <f t="array" ref="G8">SUMPRODUCT(--(I8:AH8&gt;0))/COUNTA(I8:AH8)</f>
        <v>1</v>
      </c>
      <c r="H8" s="206">
        <v>0</v>
      </c>
      <c r="I8" s="102">
        <v>2</v>
      </c>
      <c r="J8" s="102">
        <v>15</v>
      </c>
      <c r="K8" s="102">
        <v>2</v>
      </c>
      <c r="L8" s="102">
        <v>9</v>
      </c>
      <c r="M8" s="102" t="s">
        <v>2204</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2155</v>
      </c>
      <c r="C9" s="102">
        <v>7</v>
      </c>
      <c r="D9" s="102" t="s">
        <v>2430</v>
      </c>
      <c r="E9" s="120">
        <v>45490</v>
      </c>
      <c r="F9" s="102">
        <v>2</v>
      </c>
      <c r="G9" s="149" cm="1">
        <f t="array" aca="1" ref="G9" ca="1">SUMPRODUCT(--(I9:AH9&lt;=I26:AH26))/COUNTA(I9:AH9)</f>
        <v>0.84615384615384615</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2158</v>
      </c>
      <c r="C10" s="102">
        <v>8</v>
      </c>
      <c r="D10" s="102" t="s">
        <v>2431</v>
      </c>
      <c r="E10" s="120">
        <v>45490</v>
      </c>
      <c r="F10" s="102">
        <v>2</v>
      </c>
      <c r="G10" s="102" t="s">
        <v>2197</v>
      </c>
      <c r="H10" s="206">
        <v>0</v>
      </c>
      <c r="I10" s="102">
        <v>31</v>
      </c>
      <c r="J10" s="102">
        <v>3163579860010</v>
      </c>
      <c r="K10" s="102">
        <v>24</v>
      </c>
      <c r="L10" s="102">
        <v>699719160</v>
      </c>
      <c r="M10" s="120" t="s">
        <v>2204</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2393</v>
      </c>
      <c r="AH10" s="120">
        <v>45490</v>
      </c>
      <c r="AI10" s="102" t="s">
        <v>2432</v>
      </c>
    </row>
    <row r="11" spans="2:35">
      <c r="B11" s="145" t="s">
        <v>2160</v>
      </c>
      <c r="C11" s="102">
        <v>9</v>
      </c>
      <c r="D11" s="102" t="s">
        <v>2433</v>
      </c>
      <c r="E11" s="120">
        <v>45490</v>
      </c>
      <c r="F11" s="102">
        <v>2</v>
      </c>
      <c r="G11" s="102" t="s">
        <v>2197</v>
      </c>
      <c r="H11" s="206">
        <v>0</v>
      </c>
      <c r="I11" s="102">
        <v>31</v>
      </c>
      <c r="J11" s="102">
        <v>3163579860010</v>
      </c>
      <c r="K11" s="102">
        <v>24</v>
      </c>
      <c r="L11" s="102">
        <v>699719160</v>
      </c>
      <c r="M11" s="120" t="s">
        <v>2204</v>
      </c>
      <c r="N11" s="206">
        <v>1</v>
      </c>
      <c r="O11" s="120">
        <v>4293430451900100</v>
      </c>
      <c r="P11" s="102" t="s">
        <v>2396</v>
      </c>
      <c r="Q11" s="102">
        <v>0</v>
      </c>
      <c r="R11" s="102">
        <v>0</v>
      </c>
      <c r="S11" s="102">
        <v>0</v>
      </c>
      <c r="T11" s="102">
        <v>0</v>
      </c>
      <c r="U11" s="102">
        <v>32</v>
      </c>
      <c r="V11" s="120">
        <v>978</v>
      </c>
      <c r="W11" s="120">
        <v>45244</v>
      </c>
      <c r="X11" s="120">
        <v>45244</v>
      </c>
      <c r="Y11" s="102" t="s">
        <v>2434</v>
      </c>
      <c r="Z11" s="102" t="s">
        <v>2434</v>
      </c>
      <c r="AA11" s="102">
        <v>0</v>
      </c>
      <c r="AB11" s="102">
        <v>0</v>
      </c>
      <c r="AC11" s="102" t="e">
        <v>#N/A</v>
      </c>
      <c r="AD11" s="102" t="e">
        <v>#N/A</v>
      </c>
      <c r="AE11" s="102">
        <v>12</v>
      </c>
      <c r="AF11" s="102">
        <v>0</v>
      </c>
      <c r="AG11" s="120" t="s">
        <v>2393</v>
      </c>
      <c r="AH11" s="120">
        <v>45490</v>
      </c>
      <c r="AI11" s="102" t="s">
        <v>2435</v>
      </c>
    </row>
    <row r="12" spans="2:35">
      <c r="B12" s="168" t="s">
        <v>2162</v>
      </c>
      <c r="C12" s="102">
        <v>10</v>
      </c>
      <c r="D12" s="102" t="s">
        <v>2436</v>
      </c>
      <c r="E12" s="120">
        <v>45490</v>
      </c>
      <c r="F12" s="102">
        <v>2</v>
      </c>
      <c r="G12" s="102" t="s">
        <v>2197</v>
      </c>
      <c r="H12" s="206">
        <v>0</v>
      </c>
      <c r="I12" s="102">
        <v>31</v>
      </c>
      <c r="J12" s="102">
        <v>5131650050010</v>
      </c>
      <c r="K12" s="102">
        <v>24</v>
      </c>
      <c r="L12" s="102">
        <v>700670715</v>
      </c>
      <c r="M12" s="120" t="s">
        <v>2204</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2437</v>
      </c>
      <c r="AC12" s="102">
        <v>940806</v>
      </c>
      <c r="AD12" s="102">
        <v>1526454</v>
      </c>
      <c r="AE12" s="102">
        <v>552409</v>
      </c>
      <c r="AF12" s="102">
        <v>9402</v>
      </c>
      <c r="AG12" s="120" t="s">
        <v>2393</v>
      </c>
      <c r="AH12" s="120">
        <v>45490</v>
      </c>
      <c r="AI12" s="102" t="s">
        <v>2432</v>
      </c>
    </row>
    <row r="13" spans="2:35">
      <c r="B13" s="145" t="s">
        <v>2164</v>
      </c>
      <c r="C13" s="102">
        <v>11</v>
      </c>
      <c r="D13" s="102" t="s">
        <v>2438</v>
      </c>
      <c r="E13" s="120">
        <v>45490</v>
      </c>
      <c r="F13" s="102">
        <v>2</v>
      </c>
      <c r="G13" s="102" t="s">
        <v>2197</v>
      </c>
      <c r="H13" s="206">
        <v>0</v>
      </c>
      <c r="I13" s="102">
        <v>31</v>
      </c>
      <c r="J13" s="102">
        <v>5131650050010</v>
      </c>
      <c r="K13" s="102">
        <v>24</v>
      </c>
      <c r="L13" s="102">
        <v>700670715</v>
      </c>
      <c r="M13" s="120" t="s">
        <v>2204</v>
      </c>
      <c r="N13" s="206">
        <v>1</v>
      </c>
      <c r="O13" s="120">
        <v>5166320258618250</v>
      </c>
      <c r="P13" s="102" t="s">
        <v>2439</v>
      </c>
      <c r="Q13" s="102">
        <v>0</v>
      </c>
      <c r="R13" s="102">
        <v>1</v>
      </c>
      <c r="S13" s="102">
        <v>1</v>
      </c>
      <c r="T13" s="102">
        <v>87</v>
      </c>
      <c r="U13" s="102">
        <v>986</v>
      </c>
      <c r="V13" s="120">
        <v>978</v>
      </c>
      <c r="W13" s="120">
        <v>45491</v>
      </c>
      <c r="X13" s="120">
        <v>45491</v>
      </c>
      <c r="Y13" s="102" t="s">
        <v>2440</v>
      </c>
      <c r="Z13" s="102" t="s">
        <v>2440</v>
      </c>
      <c r="AA13" s="102">
        <v>703</v>
      </c>
      <c r="AB13" s="102" t="s">
        <v>2437</v>
      </c>
      <c r="AC13" s="102">
        <v>940806</v>
      </c>
      <c r="AD13" s="102">
        <v>1526454</v>
      </c>
      <c r="AE13" s="102">
        <v>552409</v>
      </c>
      <c r="AF13" s="102">
        <v>9402</v>
      </c>
      <c r="AG13" s="120" t="s">
        <v>2393</v>
      </c>
      <c r="AH13" s="120">
        <v>45490</v>
      </c>
      <c r="AI13" s="102" t="s">
        <v>2441</v>
      </c>
    </row>
    <row r="14" spans="2:35">
      <c r="B14" s="145" t="s">
        <v>2166</v>
      </c>
      <c r="C14" s="102">
        <v>12</v>
      </c>
      <c r="D14" s="102" t="s">
        <v>2442</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2168</v>
      </c>
      <c r="C15" s="102">
        <v>13</v>
      </c>
      <c r="D15" s="102" t="s">
        <v>2443</v>
      </c>
      <c r="E15" s="120">
        <v>45490</v>
      </c>
      <c r="F15" s="102">
        <v>2</v>
      </c>
      <c r="G15" s="149">
        <v>1</v>
      </c>
      <c r="H15" s="206">
        <v>0</v>
      </c>
      <c r="I15" s="102" t="s">
        <v>2197</v>
      </c>
      <c r="J15" s="102" t="s">
        <v>2197</v>
      </c>
      <c r="K15" s="102" t="s">
        <v>2197</v>
      </c>
      <c r="L15" s="92" t="s">
        <v>2197</v>
      </c>
      <c r="M15" s="92" t="s">
        <v>2197</v>
      </c>
      <c r="N15" s="102" t="s">
        <v>2197</v>
      </c>
      <c r="O15" s="92" t="s">
        <v>2197</v>
      </c>
      <c r="P15" s="92" t="s">
        <v>2197</v>
      </c>
      <c r="Q15" s="92" t="s">
        <v>2197</v>
      </c>
      <c r="R15" s="102" t="s">
        <v>2197</v>
      </c>
      <c r="S15" s="102" t="s">
        <v>2197</v>
      </c>
      <c r="T15" s="102" t="s">
        <v>2197</v>
      </c>
      <c r="U15" s="102" t="s">
        <v>2197</v>
      </c>
      <c r="V15" s="102" t="s">
        <v>2197</v>
      </c>
      <c r="W15" s="102">
        <v>0</v>
      </c>
      <c r="X15" s="102">
        <v>0</v>
      </c>
      <c r="Y15" s="102" t="s">
        <v>2197</v>
      </c>
      <c r="Z15" s="102" t="s">
        <v>2197</v>
      </c>
      <c r="AA15" s="102" t="s">
        <v>2197</v>
      </c>
      <c r="AB15" s="102" t="s">
        <v>2197</v>
      </c>
      <c r="AC15" s="102" t="s">
        <v>2197</v>
      </c>
      <c r="AD15" s="102" t="s">
        <v>2197</v>
      </c>
      <c r="AE15" s="102" t="s">
        <v>2197</v>
      </c>
      <c r="AF15" s="102" t="s">
        <v>2197</v>
      </c>
      <c r="AG15" s="102" t="s">
        <v>2197</v>
      </c>
      <c r="AH15" s="102" t="s">
        <v>2197</v>
      </c>
      <c r="AI15" s="102" t="s">
        <v>2197</v>
      </c>
    </row>
    <row r="16" spans="2:35">
      <c r="B16" s="145" t="s">
        <v>2170</v>
      </c>
      <c r="C16" s="102">
        <v>14</v>
      </c>
      <c r="D16" s="102" t="s">
        <v>2444</v>
      </c>
      <c r="E16" s="120">
        <v>45490</v>
      </c>
      <c r="F16" s="102">
        <v>2</v>
      </c>
      <c r="G16" s="149">
        <v>1</v>
      </c>
      <c r="H16" s="206">
        <v>0</v>
      </c>
      <c r="I16" s="102">
        <v>0</v>
      </c>
      <c r="J16" s="102">
        <v>0</v>
      </c>
      <c r="K16" s="102" t="s">
        <v>2197</v>
      </c>
      <c r="L16" s="102" t="s">
        <v>2197</v>
      </c>
      <c r="M16" s="92">
        <v>0</v>
      </c>
      <c r="N16" s="102" t="s">
        <v>2197</v>
      </c>
      <c r="O16" s="102" t="s">
        <v>2197</v>
      </c>
      <c r="P16" s="102" t="s">
        <v>2197</v>
      </c>
      <c r="Q16" s="92" t="s">
        <v>2197</v>
      </c>
      <c r="R16" s="102" t="s">
        <v>2197</v>
      </c>
      <c r="S16" s="102" t="s">
        <v>2197</v>
      </c>
      <c r="T16" s="102">
        <v>0</v>
      </c>
      <c r="U16" s="102">
        <v>0</v>
      </c>
      <c r="V16" s="102">
        <v>0</v>
      </c>
      <c r="W16" s="102" t="s">
        <v>2197</v>
      </c>
      <c r="X16" s="102" t="s">
        <v>2197</v>
      </c>
      <c r="Y16" s="102" t="s">
        <v>2197</v>
      </c>
      <c r="Z16" s="102" t="s">
        <v>2197</v>
      </c>
      <c r="AA16" s="102">
        <v>0</v>
      </c>
      <c r="AB16" s="102" t="s">
        <v>2197</v>
      </c>
      <c r="AC16" s="102">
        <v>0</v>
      </c>
      <c r="AD16" s="102">
        <v>0</v>
      </c>
      <c r="AE16" s="102">
        <v>0</v>
      </c>
      <c r="AF16" s="102">
        <v>0</v>
      </c>
      <c r="AG16" s="102">
        <v>0</v>
      </c>
      <c r="AH16" s="102" t="s">
        <v>2197</v>
      </c>
      <c r="AI16" s="102" t="s">
        <v>2197</v>
      </c>
    </row>
    <row r="17" spans="2:36">
      <c r="B17" s="178" t="s">
        <v>2172</v>
      </c>
      <c r="C17" s="102">
        <v>15</v>
      </c>
      <c r="D17" s="102" t="s">
        <v>2445</v>
      </c>
      <c r="E17" s="120">
        <v>45490</v>
      </c>
      <c r="F17" s="102">
        <v>2</v>
      </c>
      <c r="G17" s="149">
        <v>1</v>
      </c>
      <c r="H17" s="206">
        <v>0</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c r="W17" s="102" t="s">
        <v>2197</v>
      </c>
      <c r="X17" s="102" t="s">
        <v>2197</v>
      </c>
      <c r="Y17" s="102" t="s">
        <v>2197</v>
      </c>
      <c r="Z17" s="102" t="s">
        <v>2197</v>
      </c>
      <c r="AA17" s="102" t="s">
        <v>2197</v>
      </c>
      <c r="AB17" s="102" t="s">
        <v>2197</v>
      </c>
      <c r="AC17" s="102" t="s">
        <v>2197</v>
      </c>
      <c r="AD17" s="102" t="s">
        <v>2197</v>
      </c>
      <c r="AE17" s="102" t="s">
        <v>2197</v>
      </c>
      <c r="AF17" s="102" t="s">
        <v>2197</v>
      </c>
      <c r="AG17" s="102" t="s">
        <v>2197</v>
      </c>
      <c r="AH17" s="102" t="s">
        <v>2197</v>
      </c>
      <c r="AI17" s="102" t="s">
        <v>2197</v>
      </c>
    </row>
    <row r="18" spans="2:36">
      <c r="B18" s="178" t="s">
        <v>2174</v>
      </c>
      <c r="C18" s="102">
        <v>16</v>
      </c>
      <c r="D18" s="102" t="s">
        <v>2445</v>
      </c>
      <c r="E18" s="120">
        <v>45490</v>
      </c>
      <c r="F18" s="102">
        <v>2</v>
      </c>
      <c r="G18" s="149">
        <v>1</v>
      </c>
      <c r="H18" s="206">
        <v>0</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c r="W18" s="102" t="s">
        <v>2197</v>
      </c>
      <c r="X18" s="102" t="s">
        <v>2197</v>
      </c>
      <c r="Y18" s="102" t="s">
        <v>2197</v>
      </c>
      <c r="Z18" s="102" t="s">
        <v>2197</v>
      </c>
      <c r="AA18" s="102" t="s">
        <v>2197</v>
      </c>
      <c r="AB18" s="102" t="s">
        <v>2197</v>
      </c>
      <c r="AC18" s="102" t="s">
        <v>2197</v>
      </c>
      <c r="AD18" s="102" t="s">
        <v>2197</v>
      </c>
      <c r="AE18" s="102" t="s">
        <v>2197</v>
      </c>
      <c r="AF18" s="102" t="s">
        <v>2197</v>
      </c>
      <c r="AG18" s="102" t="s">
        <v>2197</v>
      </c>
      <c r="AH18" s="102" t="s">
        <v>2197</v>
      </c>
      <c r="AI18" s="102" t="s">
        <v>2197</v>
      </c>
    </row>
    <row r="19" spans="2:36">
      <c r="B19" s="145" t="s">
        <v>2180</v>
      </c>
      <c r="C19" s="102">
        <v>19</v>
      </c>
      <c r="D19" s="102" t="s">
        <v>2446</v>
      </c>
      <c r="E19" s="120">
        <v>45490</v>
      </c>
      <c r="F19" s="102">
        <v>2</v>
      </c>
      <c r="G19" s="149" cm="1">
        <f t="array" aca="1" ref="G19" ca="1">SUMPRODUCT(--(ISNUMBER((SEARCH(I25:AI25,I19:AI19)))))/COUNTA(I19:AI19)</f>
        <v>0.81481481481481477</v>
      </c>
      <c r="H19" s="206">
        <v>0</v>
      </c>
      <c r="I19" s="102" t="s">
        <v>2247</v>
      </c>
      <c r="J19" s="102" t="s">
        <v>2247</v>
      </c>
      <c r="K19" s="102" t="s">
        <v>2412</v>
      </c>
      <c r="L19" s="102" t="s">
        <v>2248</v>
      </c>
      <c r="M19" s="102" t="s">
        <v>2247</v>
      </c>
      <c r="N19" s="102" t="s">
        <v>2247</v>
      </c>
      <c r="O19" s="102" t="s">
        <v>2247</v>
      </c>
      <c r="P19" s="102" t="s">
        <v>2413</v>
      </c>
      <c r="Q19" s="102" t="s">
        <v>2247</v>
      </c>
      <c r="R19" s="102" t="s">
        <v>2247</v>
      </c>
      <c r="S19" s="102" t="s">
        <v>2247</v>
      </c>
      <c r="T19" s="102" t="s">
        <v>2247</v>
      </c>
      <c r="U19" s="102" t="s">
        <v>2247</v>
      </c>
      <c r="V19" s="102" t="s">
        <v>2247</v>
      </c>
      <c r="W19" s="102" t="s">
        <v>2247</v>
      </c>
      <c r="X19" s="102" t="s">
        <v>2247</v>
      </c>
      <c r="Y19" s="102" t="s">
        <v>2249</v>
      </c>
      <c r="Z19" s="102" t="s">
        <v>2249</v>
      </c>
      <c r="AA19" s="102" t="s">
        <v>2247</v>
      </c>
      <c r="AB19" s="102" t="s">
        <v>2247</v>
      </c>
      <c r="AC19" s="102" t="s">
        <v>2247</v>
      </c>
      <c r="AD19" s="102" t="s">
        <v>2247</v>
      </c>
      <c r="AE19" s="102" t="s">
        <v>2247</v>
      </c>
      <c r="AF19" s="102" t="s">
        <v>2247</v>
      </c>
      <c r="AG19" s="102" t="s">
        <v>2247</v>
      </c>
      <c r="AH19" s="102" t="s">
        <v>2247</v>
      </c>
      <c r="AI19" s="102" t="s">
        <v>2250</v>
      </c>
    </row>
    <row r="20" spans="2:36">
      <c r="B20" s="145" t="s">
        <v>2183</v>
      </c>
      <c r="C20" s="102">
        <v>20</v>
      </c>
      <c r="D20" s="102" t="s">
        <v>2447</v>
      </c>
      <c r="E20" s="120">
        <v>45490</v>
      </c>
      <c r="F20" s="102">
        <v>1</v>
      </c>
      <c r="G20" s="149" cm="1">
        <f t="array" ref="G20">SUM(IF(I2:AH2 = I24:AH24, 1, 0))/ COUNTA(I2:AH2)</f>
        <v>0.19230769230769232</v>
      </c>
      <c r="H20" s="206" t="s">
        <v>2197</v>
      </c>
      <c r="I20" s="206" t="s">
        <v>2197</v>
      </c>
      <c r="J20" s="206" t="s">
        <v>2197</v>
      </c>
      <c r="K20" s="206" t="s">
        <v>2197</v>
      </c>
      <c r="L20" s="206" t="s">
        <v>2197</v>
      </c>
      <c r="M20" s="206" t="s">
        <v>2197</v>
      </c>
      <c r="N20" s="206" t="s">
        <v>2197</v>
      </c>
      <c r="O20" s="206" t="s">
        <v>2197</v>
      </c>
      <c r="P20" s="206" t="s">
        <v>2197</v>
      </c>
      <c r="Q20" s="206" t="s">
        <v>2197</v>
      </c>
      <c r="R20" s="206" t="s">
        <v>2197</v>
      </c>
      <c r="S20" s="206" t="s">
        <v>2197</v>
      </c>
      <c r="T20" s="206" t="s">
        <v>2197</v>
      </c>
      <c r="U20" s="206" t="s">
        <v>2197</v>
      </c>
      <c r="V20" s="206" t="s">
        <v>2197</v>
      </c>
      <c r="W20" s="206" t="s">
        <v>2197</v>
      </c>
      <c r="X20" s="206" t="s">
        <v>2197</v>
      </c>
      <c r="Y20" s="206" t="s">
        <v>2197</v>
      </c>
      <c r="Z20" s="206" t="s">
        <v>2197</v>
      </c>
      <c r="AA20" s="206" t="s">
        <v>2197</v>
      </c>
      <c r="AB20" s="206" t="s">
        <v>2197</v>
      </c>
      <c r="AC20" s="206" t="s">
        <v>2197</v>
      </c>
      <c r="AD20" s="206" t="s">
        <v>2197</v>
      </c>
      <c r="AE20" s="206" t="s">
        <v>2197</v>
      </c>
      <c r="AF20" s="206" t="s">
        <v>2197</v>
      </c>
      <c r="AG20" s="206" t="s">
        <v>2197</v>
      </c>
      <c r="AH20" s="206" t="s">
        <v>2197</v>
      </c>
      <c r="AI20" s="206" t="s">
        <v>2197</v>
      </c>
    </row>
    <row r="21" spans="2:36">
      <c r="B21" s="169" t="s">
        <v>2186</v>
      </c>
      <c r="C21" s="102">
        <v>21</v>
      </c>
      <c r="D21" s="102" t="s">
        <v>2448</v>
      </c>
      <c r="E21" s="120">
        <v>45490</v>
      </c>
      <c r="F21" s="102">
        <v>1</v>
      </c>
      <c r="G21" s="149" cm="1">
        <f t="array" aca="1" ref="G21" ca="1">SUM(IF(IF(G3:G20="null",1,G3:G20)=1,1,0))/COUNT(IF(G3:G20="null",1,1))</f>
        <v>0.77777777777777779</v>
      </c>
      <c r="H21" s="206" t="s">
        <v>2197</v>
      </c>
      <c r="I21" s="206" t="s">
        <v>2197</v>
      </c>
      <c r="J21" s="206" t="s">
        <v>2197</v>
      </c>
      <c r="K21" s="206" t="s">
        <v>2197</v>
      </c>
      <c r="L21" s="206" t="s">
        <v>2197</v>
      </c>
      <c r="M21" s="206" t="s">
        <v>2197</v>
      </c>
      <c r="N21" s="206" t="s">
        <v>2197</v>
      </c>
      <c r="O21" s="206" t="s">
        <v>2197</v>
      </c>
      <c r="P21" s="206" t="s">
        <v>2197</v>
      </c>
      <c r="Q21" s="206" t="s">
        <v>2197</v>
      </c>
      <c r="R21" s="206" t="s">
        <v>2197</v>
      </c>
      <c r="S21" s="206" t="s">
        <v>2197</v>
      </c>
      <c r="T21" s="206" t="s">
        <v>2197</v>
      </c>
      <c r="U21" s="206" t="s">
        <v>2197</v>
      </c>
      <c r="V21" s="206" t="s">
        <v>2197</v>
      </c>
      <c r="W21" s="206" t="s">
        <v>2197</v>
      </c>
      <c r="X21" s="206" t="s">
        <v>2197</v>
      </c>
      <c r="Y21" s="206" t="s">
        <v>2197</v>
      </c>
      <c r="Z21" s="206" t="s">
        <v>2197</v>
      </c>
      <c r="AA21" s="206" t="s">
        <v>2197</v>
      </c>
      <c r="AB21" s="206" t="s">
        <v>2197</v>
      </c>
      <c r="AC21" s="206" t="s">
        <v>2197</v>
      </c>
      <c r="AD21" s="206" t="s">
        <v>2197</v>
      </c>
      <c r="AE21" s="206" t="s">
        <v>2197</v>
      </c>
      <c r="AF21" s="206" t="s">
        <v>2197</v>
      </c>
      <c r="AG21" s="206" t="s">
        <v>2197</v>
      </c>
      <c r="AH21" s="206" t="s">
        <v>2197</v>
      </c>
      <c r="AI21" s="206" t="s">
        <v>2197</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2251</v>
      </c>
    </row>
    <row r="24" spans="2:36">
      <c r="B24" s="111" t="s">
        <v>2252</v>
      </c>
      <c r="C24" s="112" t="s">
        <v>2190</v>
      </c>
      <c r="D24" s="112" t="s">
        <v>2191</v>
      </c>
      <c r="E24" s="112" t="s">
        <v>2192</v>
      </c>
      <c r="F24" s="112" t="s">
        <v>2193</v>
      </c>
      <c r="G24" s="112" t="s">
        <v>2194</v>
      </c>
      <c r="H24" s="112" t="s">
        <v>2195</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beneficiary_order_number</v>
      </c>
      <c r="S24" s="113" t="str">
        <v>recurring_transaction_indicator</v>
      </c>
      <c r="T24" s="182" t="str">
        <v>card_presence_indicator</v>
      </c>
      <c r="U24" s="182" t="str">
        <v>authentication_type_code</v>
      </c>
      <c r="V24" s="182" t="str">
        <v>original_currency_code</v>
      </c>
      <c r="W24" s="182" t="str">
        <v>currency_code</v>
      </c>
      <c r="X24" s="204" t="str">
        <v>transaction_date</v>
      </c>
      <c r="Y24" s="204" t="str">
        <v>transaction_execution_date</v>
      </c>
      <c r="Z24" s="204" t="str">
        <v>original_amount</v>
      </c>
      <c r="AA24" s="204" t="str">
        <v>amount</v>
      </c>
      <c r="AB24" s="204" t="str">
        <v>terminal_organization_id</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2253</v>
      </c>
      <c r="C25" s="117">
        <v>21</v>
      </c>
      <c r="D25" s="106" t="s">
        <v>2254</v>
      </c>
      <c r="E25" s="105" t="s">
        <v>2255</v>
      </c>
      <c r="F25" s="105" t="s">
        <v>1101</v>
      </c>
      <c r="G25" s="105" t="s">
        <v>1101</v>
      </c>
      <c r="H25" s="105" t="s">
        <v>1101</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 INT</v>
      </c>
      <c r="L25" s="105" t="str">
        <f ca="1"/>
        <v>BIGINT</v>
      </c>
      <c r="M25" s="105" t="str">
        <f ca="1"/>
        <v>STRING</v>
      </c>
      <c r="N25" s="105" t="str">
        <f ca="1"/>
        <v>STRING</v>
      </c>
      <c r="O25" s="105" t="str">
        <f ca="1"/>
        <v>STRING</v>
      </c>
      <c r="P25" s="105" t="str">
        <f ca="1"/>
        <v>STRING</v>
      </c>
      <c r="Q25" s="105" t="str">
        <f ca="1"/>
        <v>STRING</v>
      </c>
      <c r="R25" s="105" t="str">
        <f ca="1"/>
        <v>INT</v>
      </c>
      <c r="S25" s="105" t="str">
        <f ca="1"/>
        <v>STRING</v>
      </c>
      <c r="T25" s="105" t="str">
        <f ca="1"/>
        <v>STRING</v>
      </c>
      <c r="U25" s="105" t="str">
        <f ca="1"/>
        <v>STRING</v>
      </c>
      <c r="V25" s="105" t="str">
        <f ca="1"/>
        <v>STRING</v>
      </c>
      <c r="W25" s="105" t="str">
        <f ca="1"/>
        <v>STRING</v>
      </c>
      <c r="X25" s="105" t="str">
        <f ca="1"/>
        <v>STRING</v>
      </c>
      <c r="Y25" s="105" t="str">
        <f ca="1"/>
        <v>STRING</v>
      </c>
      <c r="Z25" s="105" t="str">
        <f ca="1"/>
        <v>DECIMAL</v>
      </c>
      <c r="AA25" s="105" t="str">
        <f ca="1"/>
        <v>DECIMAL</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2256</v>
      </c>
      <c r="C26" s="117">
        <v>7</v>
      </c>
      <c r="D26" s="106" t="s">
        <v>2254</v>
      </c>
      <c r="E26" s="105" t="s">
        <v>2255</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5</v>
      </c>
      <c r="S26" s="117">
        <f ca="1"/>
        <v>4</v>
      </c>
      <c r="T26" s="117">
        <f ca="1"/>
        <v>4</v>
      </c>
      <c r="U26" s="117">
        <f ca="1"/>
        <v>4</v>
      </c>
      <c r="V26" s="117">
        <f ca="1"/>
        <v>4</v>
      </c>
      <c r="W26" s="117">
        <f ca="1"/>
        <v>4</v>
      </c>
      <c r="X26" s="117">
        <f ca="1"/>
        <v>10</v>
      </c>
      <c r="Y26" s="117">
        <f ca="1"/>
        <v>10</v>
      </c>
      <c r="Z26" s="117">
        <f ca="1"/>
        <v>23</v>
      </c>
      <c r="AA26" s="117">
        <f ca="1"/>
        <v>23</v>
      </c>
      <c r="AB26" s="117">
        <f ca="1"/>
        <v>4</v>
      </c>
      <c r="AC26" s="117">
        <f ca="1"/>
        <v>9999999</v>
      </c>
      <c r="AD26" s="117">
        <f ca="1"/>
        <v>10</v>
      </c>
      <c r="AE26" s="117">
        <f ca="1"/>
        <v>10</v>
      </c>
      <c r="AF26" s="117">
        <f ca="1"/>
        <v>20</v>
      </c>
      <c r="AG26" s="117">
        <f ca="1"/>
        <v>20</v>
      </c>
      <c r="AH26" s="118">
        <f ca="1"/>
        <v>20</v>
      </c>
      <c r="AI26" s="118">
        <f ca="1"/>
        <v>10</v>
      </c>
      <c r="AJ26">
        <f ca="1"/>
        <v>23</v>
      </c>
    </row>
    <row r="29" spans="2:36">
      <c r="B29" s="127" t="s">
        <v>2257</v>
      </c>
    </row>
    <row r="30" spans="2:36">
      <c r="B30" s="136" t="s">
        <v>2258</v>
      </c>
      <c r="C30" s="136" t="s">
        <v>2259</v>
      </c>
      <c r="D30" s="137" t="s">
        <v>2260</v>
      </c>
      <c r="E30" s="136" t="s">
        <v>2261</v>
      </c>
      <c r="F30" s="136" t="s">
        <v>2262</v>
      </c>
      <c r="I30" s="190"/>
    </row>
    <row r="31" spans="2:36" ht="75" customHeight="1">
      <c r="B31" s="134" t="s">
        <v>2263</v>
      </c>
      <c r="C31" s="87" t="s">
        <v>737</v>
      </c>
      <c r="D31" s="87" t="s">
        <v>2415</v>
      </c>
      <c r="E31" s="87" t="s">
        <v>2449</v>
      </c>
      <c r="F31" s="135" t="s">
        <v>2355</v>
      </c>
      <c r="I31" s="189"/>
    </row>
    <row r="32" spans="2:36" ht="45.75">
      <c r="B32" s="138" t="s">
        <v>2271</v>
      </c>
      <c r="C32" s="87" t="s">
        <v>737</v>
      </c>
      <c r="D32" s="87" t="s">
        <v>2415</v>
      </c>
      <c r="E32" s="87" t="s">
        <v>2449</v>
      </c>
      <c r="F32" s="82" t="s">
        <v>2266</v>
      </c>
    </row>
    <row r="33" spans="2:8" ht="60.75">
      <c r="B33" s="138" t="s">
        <v>2271</v>
      </c>
      <c r="C33" s="207" t="s">
        <v>968</v>
      </c>
      <c r="D33" s="91" t="s">
        <v>2450</v>
      </c>
      <c r="E33" s="91" t="s">
        <v>2451</v>
      </c>
      <c r="F33" s="81" t="s">
        <v>2275</v>
      </c>
    </row>
    <row r="34" spans="2:8" ht="60.75">
      <c r="B34" s="138" t="s">
        <v>2271</v>
      </c>
      <c r="C34" s="91" t="s">
        <v>978</v>
      </c>
      <c r="D34" s="91" t="s">
        <v>2450</v>
      </c>
      <c r="E34" s="91" t="s">
        <v>2451</v>
      </c>
      <c r="F34" s="81" t="s">
        <v>2275</v>
      </c>
    </row>
    <row r="35" spans="2:8" ht="91.5">
      <c r="B35" s="138" t="s">
        <v>2271</v>
      </c>
      <c r="C35" s="91" t="s">
        <v>1052</v>
      </c>
      <c r="D35" s="91" t="s">
        <v>2452</v>
      </c>
      <c r="E35" s="91" t="s">
        <v>2453</v>
      </c>
      <c r="F35" s="81" t="s">
        <v>2275</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13" t="s">
        <v>767</v>
      </c>
      <c r="O2" s="101" t="s">
        <v>942</v>
      </c>
      <c r="P2" s="101" t="s">
        <v>951</v>
      </c>
      <c r="Q2" s="101" t="s">
        <v>960</v>
      </c>
      <c r="R2" s="101" t="s">
        <v>927</v>
      </c>
      <c r="S2" s="101" t="s">
        <v>968</v>
      </c>
      <c r="T2" s="101" t="s">
        <v>978</v>
      </c>
      <c r="U2" s="101" t="s">
        <v>985</v>
      </c>
      <c r="V2" s="101" t="s">
        <v>778</v>
      </c>
      <c r="W2" s="101" t="s">
        <v>791</v>
      </c>
      <c r="X2" s="101" t="s">
        <v>749</v>
      </c>
      <c r="Y2" s="101" t="s">
        <v>1003</v>
      </c>
      <c r="Z2" s="101" t="s">
        <v>758</v>
      </c>
      <c r="AA2" s="101" t="s">
        <v>1017</v>
      </c>
      <c r="AB2" s="101" t="s">
        <v>1038</v>
      </c>
      <c r="AC2" s="101" t="s">
        <v>1028</v>
      </c>
      <c r="AD2" s="101" t="s">
        <v>1046</v>
      </c>
      <c r="AE2" s="101" t="s">
        <v>1061</v>
      </c>
      <c r="AF2" s="101" t="s">
        <v>1052</v>
      </c>
      <c r="AG2" s="101" t="s">
        <v>798</v>
      </c>
      <c r="AH2" s="101" t="s">
        <v>806</v>
      </c>
      <c r="AI2" s="101" t="s">
        <v>813</v>
      </c>
    </row>
    <row r="3" spans="2:35">
      <c r="B3" s="145" t="s">
        <v>2143</v>
      </c>
      <c r="C3" s="102">
        <v>1</v>
      </c>
      <c r="D3" s="102" t="s">
        <v>2454</v>
      </c>
      <c r="E3" s="120">
        <v>45492</v>
      </c>
      <c r="F3" s="102">
        <v>1</v>
      </c>
      <c r="G3" s="220">
        <v>1</v>
      </c>
      <c r="H3" s="174">
        <v>4011121</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c r="W3" s="102" t="s">
        <v>2197</v>
      </c>
      <c r="X3" s="102" t="s">
        <v>2197</v>
      </c>
      <c r="Y3" s="102" t="s">
        <v>2197</v>
      </c>
      <c r="Z3" s="102" t="s">
        <v>2197</v>
      </c>
      <c r="AA3" s="102" t="s">
        <v>2197</v>
      </c>
      <c r="AB3" s="102" t="s">
        <v>2197</v>
      </c>
      <c r="AC3" s="102" t="s">
        <v>2197</v>
      </c>
      <c r="AD3" s="102" t="s">
        <v>2197</v>
      </c>
      <c r="AE3" s="102" t="s">
        <v>2197</v>
      </c>
      <c r="AF3" s="102" t="s">
        <v>2197</v>
      </c>
      <c r="AG3" s="102" t="s">
        <v>2197</v>
      </c>
      <c r="AH3" s="102" t="s">
        <v>2197</v>
      </c>
      <c r="AI3" s="102" t="s">
        <v>2197</v>
      </c>
    </row>
    <row r="4" spans="2:35">
      <c r="B4" s="145" t="s">
        <v>2145</v>
      </c>
      <c r="C4" s="102">
        <v>2</v>
      </c>
      <c r="D4" s="102" t="s">
        <v>2455</v>
      </c>
      <c r="E4" s="120">
        <v>45492</v>
      </c>
      <c r="F4" s="102">
        <v>1</v>
      </c>
      <c r="G4" s="220">
        <v>1</v>
      </c>
      <c r="H4" s="206">
        <v>0</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c r="W4" s="102" t="s">
        <v>2197</v>
      </c>
      <c r="X4" s="102" t="s">
        <v>2197</v>
      </c>
      <c r="Y4" s="102" t="s">
        <v>2197</v>
      </c>
      <c r="Z4" s="102" t="s">
        <v>2197</v>
      </c>
      <c r="AA4" s="102" t="s">
        <v>2197</v>
      </c>
      <c r="AB4" s="102" t="s">
        <v>2197</v>
      </c>
      <c r="AC4" s="102" t="s">
        <v>2197</v>
      </c>
      <c r="AD4" s="102" t="s">
        <v>2197</v>
      </c>
      <c r="AE4" s="102" t="s">
        <v>2197</v>
      </c>
      <c r="AF4" s="102" t="s">
        <v>2197</v>
      </c>
      <c r="AG4" s="102" t="s">
        <v>2197</v>
      </c>
      <c r="AH4" s="102" t="s">
        <v>2197</v>
      </c>
      <c r="AI4" s="102" t="s">
        <v>2197</v>
      </c>
    </row>
    <row r="5" spans="2:35">
      <c r="B5" s="145" t="s">
        <v>2147</v>
      </c>
      <c r="C5" s="102">
        <v>3</v>
      </c>
      <c r="D5" s="102" t="s">
        <v>2456</v>
      </c>
      <c r="E5" s="120">
        <v>45492</v>
      </c>
      <c r="F5" s="102">
        <v>1</v>
      </c>
      <c r="G5" s="220">
        <v>1</v>
      </c>
      <c r="H5" s="206">
        <v>0</v>
      </c>
      <c r="I5" s="102">
        <v>0</v>
      </c>
      <c r="J5" s="102">
        <v>0</v>
      </c>
      <c r="K5" s="102">
        <v>0</v>
      </c>
      <c r="L5" s="102">
        <v>0</v>
      </c>
      <c r="M5" s="102" t="s">
        <v>2197</v>
      </c>
      <c r="N5" s="102" t="s">
        <v>2197</v>
      </c>
      <c r="O5" s="102" t="s">
        <v>2197</v>
      </c>
      <c r="P5" s="102" t="s">
        <v>2197</v>
      </c>
      <c r="Q5" s="102" t="s">
        <v>2197</v>
      </c>
      <c r="R5" s="102" t="s">
        <v>2197</v>
      </c>
      <c r="S5" s="102" t="s">
        <v>2197</v>
      </c>
      <c r="T5" s="102" t="s">
        <v>2197</v>
      </c>
      <c r="U5" s="102" t="s">
        <v>2197</v>
      </c>
      <c r="V5" s="102" t="s">
        <v>2197</v>
      </c>
      <c r="W5" s="102" t="s">
        <v>2197</v>
      </c>
      <c r="X5" s="102" t="s">
        <v>2197</v>
      </c>
      <c r="Y5" s="102" t="s">
        <v>2197</v>
      </c>
      <c r="Z5" s="102" t="s">
        <v>2197</v>
      </c>
      <c r="AA5" s="102" t="s">
        <v>2197</v>
      </c>
      <c r="AB5" s="102" t="s">
        <v>2197</v>
      </c>
      <c r="AC5" s="102" t="s">
        <v>2197</v>
      </c>
      <c r="AD5" s="102" t="s">
        <v>2197</v>
      </c>
      <c r="AE5" s="102" t="s">
        <v>2197</v>
      </c>
      <c r="AF5" s="102" t="s">
        <v>2197</v>
      </c>
      <c r="AG5" s="102" t="s">
        <v>2197</v>
      </c>
      <c r="AH5" s="102">
        <v>0</v>
      </c>
      <c r="AI5" s="102" t="s">
        <v>2197</v>
      </c>
    </row>
    <row r="6" spans="2:35">
      <c r="B6" s="92" t="s">
        <v>2149</v>
      </c>
      <c r="C6" s="102">
        <v>4</v>
      </c>
      <c r="D6" s="102" t="s">
        <v>2202</v>
      </c>
      <c r="E6" s="120" t="s">
        <v>2197</v>
      </c>
      <c r="F6" s="102">
        <v>1</v>
      </c>
      <c r="G6" s="220" t="s">
        <v>2197</v>
      </c>
      <c r="H6" s="102"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c r="W6" s="102" t="s">
        <v>2197</v>
      </c>
      <c r="X6" s="102" t="s">
        <v>2197</v>
      </c>
      <c r="Y6" s="102" t="s">
        <v>2197</v>
      </c>
      <c r="Z6" s="102" t="s">
        <v>2197</v>
      </c>
      <c r="AA6" s="102" t="s">
        <v>2197</v>
      </c>
      <c r="AB6" s="102" t="s">
        <v>2197</v>
      </c>
      <c r="AC6" s="102" t="s">
        <v>2197</v>
      </c>
      <c r="AD6" s="102" t="s">
        <v>2197</v>
      </c>
      <c r="AE6" s="102" t="s">
        <v>2197</v>
      </c>
      <c r="AF6" s="102" t="s">
        <v>2197</v>
      </c>
      <c r="AG6" s="102" t="s">
        <v>2197</v>
      </c>
      <c r="AH6" s="102" t="s">
        <v>2197</v>
      </c>
      <c r="AI6" s="102" t="s">
        <v>2197</v>
      </c>
    </row>
    <row r="7" spans="2:35">
      <c r="B7" s="92" t="s">
        <v>2151</v>
      </c>
      <c r="C7" s="102">
        <v>5</v>
      </c>
      <c r="D7" s="102" t="s">
        <v>2202</v>
      </c>
      <c r="E7" s="120" t="s">
        <v>2197</v>
      </c>
      <c r="F7" s="102">
        <v>1</v>
      </c>
      <c r="G7" s="220" t="s">
        <v>2197</v>
      </c>
      <c r="H7" s="102"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c r="W7" s="102" t="s">
        <v>2197</v>
      </c>
      <c r="X7" s="102" t="s">
        <v>2197</v>
      </c>
      <c r="Y7" s="102" t="s">
        <v>2197</v>
      </c>
      <c r="Z7" s="102" t="s">
        <v>2197</v>
      </c>
      <c r="AA7" s="102" t="s">
        <v>2197</v>
      </c>
      <c r="AB7" s="102" t="s">
        <v>2197</v>
      </c>
      <c r="AC7" s="102" t="s">
        <v>2197</v>
      </c>
      <c r="AD7" s="102" t="s">
        <v>2197</v>
      </c>
      <c r="AE7" s="102" t="s">
        <v>2197</v>
      </c>
      <c r="AF7" s="102" t="s">
        <v>2197</v>
      </c>
      <c r="AG7" s="102" t="s">
        <v>2197</v>
      </c>
      <c r="AH7" s="102" t="s">
        <v>2197</v>
      </c>
      <c r="AI7" s="102" t="s">
        <v>2197</v>
      </c>
    </row>
    <row r="8" spans="2:35">
      <c r="B8" s="176" t="s">
        <v>2152</v>
      </c>
      <c r="C8" s="102">
        <v>6</v>
      </c>
      <c r="D8" s="102" t="s">
        <v>2457</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2155</v>
      </c>
      <c r="C9" s="102">
        <v>7</v>
      </c>
      <c r="D9" s="102" t="s">
        <v>2458</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2158</v>
      </c>
      <c r="C10" s="102">
        <v>8</v>
      </c>
      <c r="D10" s="102" t="s">
        <v>2459</v>
      </c>
      <c r="E10" s="120">
        <v>45492</v>
      </c>
      <c r="F10" s="102">
        <v>1</v>
      </c>
      <c r="G10" s="220" t="s">
        <v>2197</v>
      </c>
      <c r="H10" s="206">
        <v>0</v>
      </c>
      <c r="I10" s="102">
        <v>31</v>
      </c>
      <c r="J10" s="102">
        <v>3.1101216902910999E+26</v>
      </c>
      <c r="K10" s="102">
        <v>1</v>
      </c>
      <c r="L10" s="102">
        <v>1</v>
      </c>
      <c r="M10" s="120" t="s">
        <v>2460</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2461</v>
      </c>
      <c r="AC10" s="102" t="e">
        <v>#N/A</v>
      </c>
      <c r="AD10" s="102" t="e">
        <v>#N/A</v>
      </c>
      <c r="AE10" s="102" t="e">
        <v>#N/A</v>
      </c>
      <c r="AF10" s="102" t="e">
        <v>#N/A</v>
      </c>
      <c r="AG10" s="102" t="s">
        <v>2393</v>
      </c>
      <c r="AH10" s="120">
        <v>45492</v>
      </c>
      <c r="AI10" s="102" t="s">
        <v>2462</v>
      </c>
    </row>
    <row r="11" spans="2:35">
      <c r="B11" s="145" t="s">
        <v>2160</v>
      </c>
      <c r="C11" s="102">
        <v>9</v>
      </c>
      <c r="D11" s="102" t="s">
        <v>2463</v>
      </c>
      <c r="E11" s="120">
        <v>45492</v>
      </c>
      <c r="F11" s="102">
        <v>1</v>
      </c>
      <c r="G11" s="220" t="s">
        <v>2197</v>
      </c>
      <c r="H11" s="206">
        <v>0</v>
      </c>
      <c r="I11" s="102">
        <v>31</v>
      </c>
      <c r="J11" s="102">
        <v>3.1101216902910999E+26</v>
      </c>
      <c r="K11" s="102">
        <v>1</v>
      </c>
      <c r="L11" s="102">
        <v>1</v>
      </c>
      <c r="M11" s="120" t="s">
        <v>2460</v>
      </c>
      <c r="N11" s="120" t="e">
        <v>#N/A</v>
      </c>
      <c r="O11" s="206" t="e">
        <v>#N/A</v>
      </c>
      <c r="P11" s="120" t="e">
        <v>#N/A</v>
      </c>
      <c r="Q11" s="102">
        <v>0</v>
      </c>
      <c r="R11" s="102">
        <v>0</v>
      </c>
      <c r="S11" s="102" t="e">
        <v>#N/A</v>
      </c>
      <c r="T11" s="102"/>
      <c r="U11" s="102">
        <v>12</v>
      </c>
      <c r="V11" s="102">
        <v>978</v>
      </c>
      <c r="W11" s="120" t="s">
        <v>2397</v>
      </c>
      <c r="X11" s="102" t="s">
        <v>2397</v>
      </c>
      <c r="Y11" s="102" t="s">
        <v>2398</v>
      </c>
      <c r="Z11" s="102" t="s">
        <v>2398</v>
      </c>
      <c r="AA11" s="102" t="e">
        <v>#N/A</v>
      </c>
      <c r="AB11" s="102" t="e">
        <v>#N/A</v>
      </c>
      <c r="AC11" s="102" t="s">
        <v>2461</v>
      </c>
      <c r="AD11" s="102"/>
      <c r="AE11" s="102" t="e">
        <v>#N/A</v>
      </c>
      <c r="AF11" s="102"/>
      <c r="AG11" s="102" t="s">
        <v>2393</v>
      </c>
      <c r="AH11" s="120">
        <v>45492</v>
      </c>
      <c r="AI11" s="102" t="s">
        <v>2464</v>
      </c>
    </row>
    <row r="12" spans="2:35">
      <c r="B12" s="168" t="s">
        <v>2162</v>
      </c>
      <c r="C12" s="102">
        <v>10</v>
      </c>
      <c r="D12" s="102" t="s">
        <v>2465</v>
      </c>
      <c r="E12" s="120">
        <v>45492</v>
      </c>
      <c r="F12" s="102">
        <v>1</v>
      </c>
      <c r="G12" s="220" t="s">
        <v>2197</v>
      </c>
      <c r="H12" s="206">
        <v>0</v>
      </c>
      <c r="I12" s="102">
        <v>31</v>
      </c>
      <c r="J12" s="102">
        <v>5.1316787200099999E+27</v>
      </c>
      <c r="K12" s="102">
        <v>20240146925</v>
      </c>
      <c r="L12" s="102">
        <v>709260808</v>
      </c>
      <c r="M12" s="120" t="s">
        <v>2460</v>
      </c>
      <c r="N12" s="120">
        <v>1</v>
      </c>
      <c r="O12" s="206">
        <v>5890770069588380</v>
      </c>
      <c r="P12" s="121">
        <v>97</v>
      </c>
      <c r="Q12" s="102">
        <v>1</v>
      </c>
      <c r="R12" s="102">
        <v>1</v>
      </c>
      <c r="S12" s="102">
        <v>1</v>
      </c>
      <c r="T12" s="102" t="s">
        <v>2401</v>
      </c>
      <c r="U12" s="149">
        <v>986</v>
      </c>
      <c r="V12" s="102" t="s">
        <v>2466</v>
      </c>
      <c r="W12" s="120">
        <v>45495</v>
      </c>
      <c r="X12" s="120">
        <v>45495</v>
      </c>
      <c r="Y12" s="149">
        <v>9999000000</v>
      </c>
      <c r="Z12" s="121">
        <v>211866</v>
      </c>
      <c r="AA12" s="102">
        <v>98</v>
      </c>
      <c r="AB12" s="102" t="s">
        <v>2467</v>
      </c>
      <c r="AC12" s="102">
        <v>999903</v>
      </c>
      <c r="AD12" s="102">
        <v>1528707</v>
      </c>
      <c r="AE12" s="102">
        <v>9406</v>
      </c>
      <c r="AF12" s="102">
        <v>552429</v>
      </c>
      <c r="AG12" s="102" t="s">
        <v>2345</v>
      </c>
      <c r="AH12" s="120">
        <v>45492</v>
      </c>
      <c r="AI12" s="102" t="s">
        <v>2462</v>
      </c>
    </row>
    <row r="13" spans="2:35">
      <c r="B13" s="145" t="s">
        <v>2164</v>
      </c>
      <c r="C13" s="102">
        <v>11</v>
      </c>
      <c r="D13" s="102" t="s">
        <v>2468</v>
      </c>
      <c r="E13" s="120">
        <v>45492</v>
      </c>
      <c r="F13" s="102">
        <v>1</v>
      </c>
      <c r="G13" s="220" t="s">
        <v>2197</v>
      </c>
      <c r="H13" s="206">
        <v>0</v>
      </c>
      <c r="I13" s="102">
        <v>31</v>
      </c>
      <c r="J13" s="102">
        <v>5.1316787200099999E+27</v>
      </c>
      <c r="K13" s="102">
        <v>20240146925</v>
      </c>
      <c r="L13" s="102">
        <v>709260808</v>
      </c>
      <c r="M13" s="120" t="s">
        <v>2460</v>
      </c>
      <c r="N13" s="120">
        <v>1</v>
      </c>
      <c r="O13" s="206">
        <v>5890770069588380</v>
      </c>
      <c r="P13" s="120" t="s">
        <v>2469</v>
      </c>
      <c r="Q13" s="102">
        <v>1</v>
      </c>
      <c r="R13" s="102">
        <v>1</v>
      </c>
      <c r="S13" s="102">
        <v>1</v>
      </c>
      <c r="T13" s="102" t="s">
        <v>2401</v>
      </c>
      <c r="U13" s="102" t="s">
        <v>2466</v>
      </c>
      <c r="V13" s="102" t="s">
        <v>2466</v>
      </c>
      <c r="W13" s="120">
        <v>45495</v>
      </c>
      <c r="X13" s="120">
        <v>45495</v>
      </c>
      <c r="Y13" s="102" t="s">
        <v>2470</v>
      </c>
      <c r="Z13" s="102" t="s">
        <v>2471</v>
      </c>
      <c r="AA13" s="102">
        <v>98</v>
      </c>
      <c r="AB13" s="102">
        <v>999903</v>
      </c>
      <c r="AC13" s="102" t="s">
        <v>2467</v>
      </c>
      <c r="AD13" s="102">
        <v>1528707</v>
      </c>
      <c r="AE13" s="102">
        <v>9406</v>
      </c>
      <c r="AF13" s="102">
        <v>552429</v>
      </c>
      <c r="AG13" s="102" t="s">
        <v>2345</v>
      </c>
      <c r="AH13" s="120">
        <v>45492</v>
      </c>
      <c r="AI13" s="102" t="s">
        <v>2472</v>
      </c>
    </row>
    <row r="14" spans="2:35">
      <c r="B14" s="145" t="s">
        <v>2166</v>
      </c>
      <c r="C14" s="102">
        <v>12</v>
      </c>
      <c r="D14" s="102" t="s">
        <v>2473</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2168</v>
      </c>
      <c r="C15" s="102">
        <v>13</v>
      </c>
      <c r="D15" s="102" t="s">
        <v>2474</v>
      </c>
      <c r="E15" s="120">
        <v>45492</v>
      </c>
      <c r="F15" s="102">
        <v>1</v>
      </c>
      <c r="G15" s="220">
        <v>1</v>
      </c>
      <c r="H15" s="206">
        <v>0</v>
      </c>
      <c r="I15" s="102" t="s">
        <v>2197</v>
      </c>
      <c r="J15" s="102" t="s">
        <v>2197</v>
      </c>
      <c r="K15" s="102" t="s">
        <v>2197</v>
      </c>
      <c r="L15" s="92" t="s">
        <v>2197</v>
      </c>
      <c r="M15" s="92" t="s">
        <v>2197</v>
      </c>
      <c r="N15" s="92" t="s">
        <v>2197</v>
      </c>
      <c r="O15" s="102" t="s">
        <v>2197</v>
      </c>
      <c r="P15" s="92" t="s">
        <v>2197</v>
      </c>
      <c r="Q15" s="92" t="s">
        <v>2197</v>
      </c>
      <c r="R15" s="92" t="s">
        <v>2197</v>
      </c>
      <c r="S15" s="102" t="s">
        <v>2197</v>
      </c>
      <c r="T15" s="102" t="s">
        <v>2197</v>
      </c>
      <c r="U15" s="102" t="s">
        <v>2197</v>
      </c>
      <c r="V15" s="102" t="s">
        <v>2197</v>
      </c>
      <c r="W15" s="102">
        <v>0</v>
      </c>
      <c r="X15" s="102">
        <v>0</v>
      </c>
      <c r="Y15" s="102" t="s">
        <v>2197</v>
      </c>
      <c r="Z15" s="102" t="s">
        <v>2197</v>
      </c>
      <c r="AA15" s="102" t="s">
        <v>2197</v>
      </c>
      <c r="AB15" s="102" t="s">
        <v>2197</v>
      </c>
      <c r="AC15" s="102" t="s">
        <v>2197</v>
      </c>
      <c r="AD15" s="102" t="s">
        <v>2197</v>
      </c>
      <c r="AE15" s="102" t="s">
        <v>2197</v>
      </c>
      <c r="AF15" s="102" t="s">
        <v>2197</v>
      </c>
      <c r="AG15" s="102" t="s">
        <v>2197</v>
      </c>
      <c r="AH15" s="102" t="s">
        <v>2197</v>
      </c>
      <c r="AI15" s="102" t="s">
        <v>2197</v>
      </c>
    </row>
    <row r="16" spans="2:35">
      <c r="B16" s="145" t="s">
        <v>2170</v>
      </c>
      <c r="C16" s="102">
        <v>14</v>
      </c>
      <c r="D16" s="102" t="s">
        <v>2475</v>
      </c>
      <c r="E16" s="120">
        <v>45492</v>
      </c>
      <c r="F16" s="102">
        <v>1</v>
      </c>
      <c r="G16" s="220">
        <v>1</v>
      </c>
      <c r="H16" s="206">
        <v>0</v>
      </c>
      <c r="I16" s="102">
        <v>0</v>
      </c>
      <c r="J16" s="102">
        <v>0</v>
      </c>
      <c r="K16" s="102" t="s">
        <v>2197</v>
      </c>
      <c r="L16" s="102" t="s">
        <v>2197</v>
      </c>
      <c r="M16" s="92">
        <v>0</v>
      </c>
      <c r="N16" s="92" t="s">
        <v>2197</v>
      </c>
      <c r="O16" s="102" t="s">
        <v>2197</v>
      </c>
      <c r="P16" s="102" t="s">
        <v>2197</v>
      </c>
      <c r="Q16" s="102" t="s">
        <v>2197</v>
      </c>
      <c r="R16" s="92" t="s">
        <v>2197</v>
      </c>
      <c r="S16" s="102" t="s">
        <v>2197</v>
      </c>
      <c r="T16" s="102">
        <v>0</v>
      </c>
      <c r="U16" s="102">
        <v>0</v>
      </c>
      <c r="V16" s="102">
        <v>0</v>
      </c>
      <c r="W16" s="102" t="s">
        <v>2197</v>
      </c>
      <c r="X16" s="102" t="s">
        <v>2197</v>
      </c>
      <c r="Y16" s="102" t="s">
        <v>2197</v>
      </c>
      <c r="Z16" s="102" t="s">
        <v>2197</v>
      </c>
      <c r="AA16" s="102">
        <v>0</v>
      </c>
      <c r="AB16" s="102">
        <v>0</v>
      </c>
      <c r="AC16" s="102" t="s">
        <v>2197</v>
      </c>
      <c r="AD16" s="102">
        <v>0</v>
      </c>
      <c r="AE16" s="102">
        <v>0</v>
      </c>
      <c r="AF16" s="102">
        <v>0</v>
      </c>
      <c r="AG16" s="102">
        <v>0</v>
      </c>
      <c r="AH16" s="102" t="s">
        <v>2197</v>
      </c>
      <c r="AI16" s="102" t="s">
        <v>2197</v>
      </c>
    </row>
    <row r="17" spans="2:35">
      <c r="B17" s="178" t="s">
        <v>2172</v>
      </c>
      <c r="C17" s="102">
        <v>15</v>
      </c>
      <c r="D17" s="102" t="s">
        <v>2476</v>
      </c>
      <c r="E17" s="120">
        <v>45492</v>
      </c>
      <c r="F17" s="102">
        <v>1</v>
      </c>
      <c r="G17" s="220">
        <v>1</v>
      </c>
      <c r="H17" s="206">
        <v>0</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c r="W17" s="102" t="s">
        <v>2197</v>
      </c>
      <c r="X17" s="102" t="s">
        <v>2197</v>
      </c>
      <c r="Y17" s="102" t="s">
        <v>2197</v>
      </c>
      <c r="Z17" s="102" t="s">
        <v>2197</v>
      </c>
      <c r="AA17" s="102" t="s">
        <v>2197</v>
      </c>
      <c r="AB17" s="102" t="s">
        <v>2197</v>
      </c>
      <c r="AC17" s="102" t="s">
        <v>2197</v>
      </c>
      <c r="AD17" s="102" t="s">
        <v>2197</v>
      </c>
      <c r="AE17" s="102" t="s">
        <v>2197</v>
      </c>
      <c r="AF17" s="102" t="s">
        <v>2197</v>
      </c>
      <c r="AG17" s="102" t="s">
        <v>2197</v>
      </c>
      <c r="AH17" s="102" t="s">
        <v>2197</v>
      </c>
      <c r="AI17" s="102" t="s">
        <v>2197</v>
      </c>
    </row>
    <row r="18" spans="2:35">
      <c r="B18" s="178" t="s">
        <v>2174</v>
      </c>
      <c r="C18" s="102">
        <v>16</v>
      </c>
      <c r="D18" s="102" t="s">
        <v>2476</v>
      </c>
      <c r="E18" s="120">
        <v>45492</v>
      </c>
      <c r="F18" s="102">
        <v>1</v>
      </c>
      <c r="G18" s="220">
        <v>1</v>
      </c>
      <c r="H18" s="206">
        <v>0</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c r="W18" s="102" t="s">
        <v>2197</v>
      </c>
      <c r="X18" s="102" t="s">
        <v>2197</v>
      </c>
      <c r="Y18" s="102" t="s">
        <v>2197</v>
      </c>
      <c r="Z18" s="102" t="s">
        <v>2197</v>
      </c>
      <c r="AA18" s="102" t="s">
        <v>2197</v>
      </c>
      <c r="AB18" s="102" t="s">
        <v>2197</v>
      </c>
      <c r="AC18" s="102" t="s">
        <v>2197</v>
      </c>
      <c r="AD18" s="102" t="s">
        <v>2197</v>
      </c>
      <c r="AE18" s="102" t="s">
        <v>2197</v>
      </c>
      <c r="AF18" s="102" t="s">
        <v>2197</v>
      </c>
      <c r="AG18" s="102" t="s">
        <v>2197</v>
      </c>
      <c r="AH18" s="102" t="s">
        <v>2197</v>
      </c>
      <c r="AI18" s="102" t="s">
        <v>2197</v>
      </c>
    </row>
    <row r="19" spans="2:35">
      <c r="B19" s="145" t="s">
        <v>2180</v>
      </c>
      <c r="C19" s="102">
        <v>19</v>
      </c>
      <c r="D19" s="102" t="s">
        <v>2477</v>
      </c>
      <c r="E19" s="120">
        <v>45492</v>
      </c>
      <c r="F19" s="102">
        <v>1</v>
      </c>
      <c r="G19" s="220" cm="1">
        <f t="array" aca="1" ref="G19" ca="1">SUMPRODUCT(--(ISNUMBER((SEARCH(I25:AI25,I19:AI19)))))/COUNTA(I19:AI19)</f>
        <v>0.96296296296296291</v>
      </c>
      <c r="H19" s="102" t="s">
        <v>2197</v>
      </c>
      <c r="I19" s="102" t="s">
        <v>2247</v>
      </c>
      <c r="J19" s="102" t="s">
        <v>2247</v>
      </c>
      <c r="K19" s="102" t="s">
        <v>2412</v>
      </c>
      <c r="L19" s="102" t="s">
        <v>2248</v>
      </c>
      <c r="M19" s="102" t="s">
        <v>2247</v>
      </c>
      <c r="N19" s="102" t="s">
        <v>2247</v>
      </c>
      <c r="O19" s="102" t="s">
        <v>2247</v>
      </c>
      <c r="P19" s="102" t="s">
        <v>2247</v>
      </c>
      <c r="Q19" s="102" t="s">
        <v>2247</v>
      </c>
      <c r="R19" s="102" t="s">
        <v>2247</v>
      </c>
      <c r="S19" s="102" t="s">
        <v>2247</v>
      </c>
      <c r="T19" s="102" t="s">
        <v>2247</v>
      </c>
      <c r="U19" s="102" t="s">
        <v>2247</v>
      </c>
      <c r="V19" s="102" t="s">
        <v>2247</v>
      </c>
      <c r="W19" s="102" t="s">
        <v>2247</v>
      </c>
      <c r="X19" s="102" t="s">
        <v>2247</v>
      </c>
      <c r="Y19" s="102" t="s">
        <v>2247</v>
      </c>
      <c r="Z19" s="102" t="s">
        <v>2478</v>
      </c>
      <c r="AA19" s="102" t="s">
        <v>2247</v>
      </c>
      <c r="AB19" s="102" t="s">
        <v>2247</v>
      </c>
      <c r="AC19" s="102" t="s">
        <v>2247</v>
      </c>
      <c r="AD19" s="102" t="s">
        <v>2247</v>
      </c>
      <c r="AE19" s="102" t="s">
        <v>2247</v>
      </c>
      <c r="AF19" s="102" t="s">
        <v>2247</v>
      </c>
      <c r="AG19" s="102" t="s">
        <v>2247</v>
      </c>
      <c r="AH19" s="102" t="s">
        <v>2247</v>
      </c>
      <c r="AI19" s="102" t="s">
        <v>2250</v>
      </c>
    </row>
    <row r="20" spans="2:35">
      <c r="B20" s="145" t="s">
        <v>2183</v>
      </c>
      <c r="C20" s="102">
        <v>20</v>
      </c>
      <c r="D20" s="102"/>
      <c r="E20" s="120"/>
      <c r="F20" s="102"/>
      <c r="G20" s="220" t="e" cm="1" vm="1">
        <f t="array" ref="G20">SUM(IF(I2:AI2 = I24:AI24, 1, 0))/ COUNTA(I2:AI2)</f>
        <v>#VALUE!</v>
      </c>
      <c r="H20" s="102" t="s">
        <v>2197</v>
      </c>
      <c r="I20" s="102" t="s">
        <v>2197</v>
      </c>
      <c r="J20" s="102" t="s">
        <v>2197</v>
      </c>
      <c r="K20" s="102" t="s">
        <v>2197</v>
      </c>
      <c r="L20" s="102" t="s">
        <v>2197</v>
      </c>
      <c r="M20" s="102" t="s">
        <v>2197</v>
      </c>
      <c r="N20" s="102" t="s">
        <v>2197</v>
      </c>
      <c r="O20" s="102" t="s">
        <v>2197</v>
      </c>
      <c r="P20" s="102" t="s">
        <v>2197</v>
      </c>
      <c r="Q20" s="102" t="s">
        <v>2197</v>
      </c>
      <c r="R20" s="102" t="s">
        <v>2197</v>
      </c>
      <c r="S20" s="102" t="s">
        <v>2197</v>
      </c>
      <c r="T20" s="102" t="s">
        <v>2197</v>
      </c>
      <c r="U20" s="102" t="s">
        <v>2197</v>
      </c>
      <c r="V20" s="102" t="s">
        <v>2197</v>
      </c>
      <c r="W20" s="102" t="s">
        <v>2197</v>
      </c>
      <c r="X20" s="102" t="s">
        <v>2197</v>
      </c>
      <c r="Y20" s="102" t="s">
        <v>2197</v>
      </c>
      <c r="Z20" s="102" t="s">
        <v>2197</v>
      </c>
      <c r="AA20" s="102" t="s">
        <v>2197</v>
      </c>
      <c r="AB20" s="102" t="s">
        <v>2197</v>
      </c>
      <c r="AC20" s="102" t="s">
        <v>2197</v>
      </c>
      <c r="AD20" s="102" t="s">
        <v>2197</v>
      </c>
      <c r="AE20" s="102" t="s">
        <v>2197</v>
      </c>
      <c r="AF20" s="102" t="s">
        <v>2197</v>
      </c>
      <c r="AG20" s="102" t="s">
        <v>2197</v>
      </c>
      <c r="AH20" s="102" t="s">
        <v>2197</v>
      </c>
      <c r="AI20" s="102" t="s">
        <v>2197</v>
      </c>
    </row>
    <row r="21" spans="2:35">
      <c r="B21" s="169" t="s">
        <v>2186</v>
      </c>
      <c r="C21" s="102">
        <v>21</v>
      </c>
      <c r="D21" s="102"/>
      <c r="E21" s="120"/>
      <c r="F21" s="102"/>
      <c r="G21" s="220" t="e" cm="1" vm="1">
        <f t="array" aca="1" ref="G21" ca="1">SUM(IF(IF(G3:G20="null",1,G3:G20)=1,1,0))/COUNT(IF(G3:G20="null",1,1))</f>
        <v>#VALUE!</v>
      </c>
      <c r="H21" s="102" t="s">
        <v>2197</v>
      </c>
      <c r="I21" s="102" t="s">
        <v>2197</v>
      </c>
      <c r="J21" s="102" t="s">
        <v>2197</v>
      </c>
      <c r="K21" s="102" t="s">
        <v>2197</v>
      </c>
      <c r="L21" s="102" t="s">
        <v>2197</v>
      </c>
      <c r="M21" s="102" t="s">
        <v>2197</v>
      </c>
      <c r="N21" s="102" t="s">
        <v>2197</v>
      </c>
      <c r="O21" s="102" t="s">
        <v>2197</v>
      </c>
      <c r="P21" s="102" t="s">
        <v>2197</v>
      </c>
      <c r="Q21" s="102" t="s">
        <v>2197</v>
      </c>
      <c r="R21" s="102" t="s">
        <v>2197</v>
      </c>
      <c r="S21" s="102" t="s">
        <v>2197</v>
      </c>
      <c r="T21" s="102" t="s">
        <v>2197</v>
      </c>
      <c r="U21" s="102" t="s">
        <v>2197</v>
      </c>
      <c r="V21" s="102" t="s">
        <v>2197</v>
      </c>
      <c r="W21" s="102" t="s">
        <v>2197</v>
      </c>
      <c r="X21" s="102" t="s">
        <v>2197</v>
      </c>
      <c r="Y21" s="102" t="s">
        <v>2197</v>
      </c>
      <c r="Z21" s="102" t="s">
        <v>2197</v>
      </c>
      <c r="AA21" s="102" t="s">
        <v>2197</v>
      </c>
      <c r="AB21" s="102" t="s">
        <v>2197</v>
      </c>
      <c r="AC21" s="102" t="s">
        <v>2197</v>
      </c>
      <c r="AD21" s="102" t="s">
        <v>2197</v>
      </c>
      <c r="AE21" s="102" t="s">
        <v>2197</v>
      </c>
      <c r="AF21" s="102" t="s">
        <v>2197</v>
      </c>
      <c r="AG21" s="102" t="s">
        <v>2197</v>
      </c>
      <c r="AH21" s="102" t="s">
        <v>2197</v>
      </c>
      <c r="AI21" s="102" t="s">
        <v>2197</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2251</v>
      </c>
    </row>
    <row r="24" spans="2:35">
      <c r="B24" s="111" t="s">
        <v>2252</v>
      </c>
      <c r="C24" s="112" t="s">
        <v>2190</v>
      </c>
      <c r="D24" s="112" t="s">
        <v>2191</v>
      </c>
      <c r="E24" s="112" t="s">
        <v>2192</v>
      </c>
      <c r="F24" s="112" t="s">
        <v>2193</v>
      </c>
      <c r="G24" s="112" t="s">
        <v>2194</v>
      </c>
      <c r="H24" s="112" t="s">
        <v>2195</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2253</v>
      </c>
      <c r="C25" s="117">
        <v>21</v>
      </c>
      <c r="D25" s="106" t="s">
        <v>2254</v>
      </c>
      <c r="E25" s="105" t="s">
        <v>2255</v>
      </c>
      <c r="F25" s="105" t="s">
        <v>1101</v>
      </c>
      <c r="G25" s="105" t="s">
        <v>1101</v>
      </c>
      <c r="H25" s="105" t="s">
        <v>1101</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2256</v>
      </c>
      <c r="C26" s="117">
        <v>7</v>
      </c>
      <c r="D26" s="123" t="s">
        <v>2254</v>
      </c>
      <c r="E26" s="117" t="s">
        <v>2255</v>
      </c>
      <c r="F26" s="117" t="s">
        <v>1101</v>
      </c>
      <c r="G26" s="117" t="s">
        <v>1101</v>
      </c>
      <c r="H26" s="117" t="s">
        <v>1101</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2479</v>
      </c>
    </row>
    <row r="29" spans="2:35">
      <c r="B29" s="127" t="s">
        <v>2257</v>
      </c>
    </row>
    <row r="30" spans="2:35">
      <c r="B30" s="136" t="s">
        <v>2258</v>
      </c>
      <c r="C30" s="136" t="s">
        <v>2259</v>
      </c>
      <c r="D30" s="137" t="s">
        <v>2260</v>
      </c>
      <c r="E30" s="136" t="s">
        <v>2261</v>
      </c>
      <c r="F30" s="136" t="s">
        <v>2262</v>
      </c>
      <c r="H30" s="222"/>
    </row>
    <row r="31" spans="2:35" ht="45.75">
      <c r="B31" s="134" t="s">
        <v>2271</v>
      </c>
      <c r="C31" s="87" t="s">
        <v>737</v>
      </c>
      <c r="D31" s="87" t="s">
        <v>2353</v>
      </c>
      <c r="E31" s="87" t="s">
        <v>2480</v>
      </c>
      <c r="F31" s="135" t="s">
        <v>2355</v>
      </c>
    </row>
    <row r="32" spans="2:35" ht="45.75">
      <c r="B32" s="134" t="s">
        <v>2271</v>
      </c>
      <c r="C32" s="207" t="s">
        <v>767</v>
      </c>
      <c r="D32" s="207" t="s">
        <v>2481</v>
      </c>
      <c r="E32" s="207" t="s">
        <v>2482</v>
      </c>
      <c r="F32" s="221" t="s">
        <v>2266</v>
      </c>
      <c r="H32" s="190"/>
    </row>
    <row r="33" spans="2:8" ht="30.75">
      <c r="B33" s="134" t="s">
        <v>2271</v>
      </c>
      <c r="C33" s="207" t="s">
        <v>927</v>
      </c>
      <c r="D33" s="207" t="s">
        <v>2483</v>
      </c>
      <c r="E33" s="207" t="s">
        <v>2484</v>
      </c>
      <c r="F33" s="221" t="s">
        <v>2266</v>
      </c>
      <c r="H33" s="190"/>
    </row>
    <row r="34" spans="2:8" ht="121.5">
      <c r="B34" s="138" t="s">
        <v>2271</v>
      </c>
      <c r="C34" s="91" t="s">
        <v>968</v>
      </c>
      <c r="D34" s="91" t="s">
        <v>2485</v>
      </c>
      <c r="E34" s="91" t="s">
        <v>2486</v>
      </c>
      <c r="F34" s="81" t="s">
        <v>2487</v>
      </c>
      <c r="H34" s="190"/>
    </row>
    <row r="35" spans="2:8" ht="156" customHeight="1">
      <c r="B35" s="138" t="s">
        <v>2271</v>
      </c>
      <c r="C35" s="91" t="s">
        <v>978</v>
      </c>
      <c r="D35" s="91" t="s">
        <v>2488</v>
      </c>
      <c r="E35" s="91" t="s">
        <v>2486</v>
      </c>
      <c r="F35" s="81" t="s">
        <v>2487</v>
      </c>
      <c r="H35" s="189"/>
    </row>
    <row r="36" spans="2:8" ht="45.75">
      <c r="B36" s="138" t="s">
        <v>2271</v>
      </c>
      <c r="C36" s="91" t="s">
        <v>1046</v>
      </c>
      <c r="D36" s="91" t="s">
        <v>2489</v>
      </c>
      <c r="E36" s="91" t="s">
        <v>2490</v>
      </c>
      <c r="F36" s="81" t="s">
        <v>2275</v>
      </c>
    </row>
    <row r="37" spans="2:8" ht="183">
      <c r="B37" s="218" t="s">
        <v>2271</v>
      </c>
      <c r="C37" s="217" t="s">
        <v>1052</v>
      </c>
      <c r="D37" s="217" t="s">
        <v>2491</v>
      </c>
      <c r="E37" s="217" t="s">
        <v>2492</v>
      </c>
      <c r="F37" s="81" t="s">
        <v>2493</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W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13" t="s">
        <v>767</v>
      </c>
      <c r="O2" s="101" t="s">
        <v>778</v>
      </c>
      <c r="P2" s="101" t="s">
        <v>791</v>
      </c>
      <c r="Q2" s="101" t="s">
        <v>749</v>
      </c>
      <c r="R2" s="101" t="s">
        <v>758</v>
      </c>
      <c r="S2" s="101" t="s">
        <v>798</v>
      </c>
      <c r="T2" s="101" t="s">
        <v>806</v>
      </c>
      <c r="U2" s="101" t="s">
        <v>813</v>
      </c>
    </row>
    <row r="3" spans="2:21">
      <c r="B3" s="145" t="s">
        <v>2143</v>
      </c>
      <c r="C3" s="102">
        <v>1</v>
      </c>
      <c r="D3" s="102" t="s">
        <v>2494</v>
      </c>
      <c r="E3" s="120">
        <v>45504</v>
      </c>
      <c r="F3" s="102">
        <v>1</v>
      </c>
      <c r="G3" s="220">
        <v>1</v>
      </c>
      <c r="H3" s="174">
        <v>14644</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row>
    <row r="4" spans="2:21">
      <c r="B4" s="145" t="s">
        <v>2145</v>
      </c>
      <c r="C4" s="102">
        <v>2</v>
      </c>
      <c r="D4" s="102" t="s">
        <v>2495</v>
      </c>
      <c r="E4" s="120">
        <v>45504</v>
      </c>
      <c r="F4" s="102">
        <v>1</v>
      </c>
      <c r="G4" s="220">
        <v>0.55845400000000001</v>
      </c>
      <c r="H4" s="206">
        <v>6466</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row>
    <row r="5" spans="2:21">
      <c r="B5" s="145" t="s">
        <v>2147</v>
      </c>
      <c r="C5" s="102">
        <v>3</v>
      </c>
      <c r="D5" s="102" t="s">
        <v>2496</v>
      </c>
      <c r="E5" s="120">
        <v>45504</v>
      </c>
      <c r="F5" s="102">
        <v>1</v>
      </c>
      <c r="G5" s="220">
        <v>1</v>
      </c>
      <c r="H5" s="206">
        <v>0</v>
      </c>
      <c r="I5" s="102">
        <v>0</v>
      </c>
      <c r="J5" s="102">
        <v>0</v>
      </c>
      <c r="K5" s="102">
        <v>0</v>
      </c>
      <c r="L5" s="102">
        <v>0</v>
      </c>
      <c r="M5" s="102" t="s">
        <v>2197</v>
      </c>
      <c r="N5" s="102" t="s">
        <v>2197</v>
      </c>
      <c r="O5" s="102" t="s">
        <v>2197</v>
      </c>
      <c r="P5" s="102" t="s">
        <v>2197</v>
      </c>
      <c r="Q5" s="102" t="s">
        <v>2197</v>
      </c>
      <c r="R5" s="102" t="s">
        <v>2197</v>
      </c>
      <c r="S5" s="102" t="s">
        <v>2197</v>
      </c>
      <c r="T5" s="102">
        <v>0</v>
      </c>
      <c r="U5" s="102" t="s">
        <v>2197</v>
      </c>
    </row>
    <row r="6" spans="2:21">
      <c r="B6" s="92" t="s">
        <v>2149</v>
      </c>
      <c r="C6" s="102">
        <v>4</v>
      </c>
      <c r="D6" s="102" t="s">
        <v>2202</v>
      </c>
      <c r="E6" s="120" t="s">
        <v>2197</v>
      </c>
      <c r="F6" s="102">
        <v>1</v>
      </c>
      <c r="G6" s="220" t="s">
        <v>2197</v>
      </c>
      <c r="H6" s="206">
        <v>0</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row>
    <row r="7" spans="2:21">
      <c r="B7" s="92" t="s">
        <v>2151</v>
      </c>
      <c r="C7" s="102">
        <v>5</v>
      </c>
      <c r="D7" s="102" t="s">
        <v>2202</v>
      </c>
      <c r="E7" s="120" t="s">
        <v>2197</v>
      </c>
      <c r="F7" s="102">
        <v>1</v>
      </c>
      <c r="G7" s="220" t="s">
        <v>2197</v>
      </c>
      <c r="H7" s="206">
        <v>0</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row>
    <row r="8" spans="2:21">
      <c r="B8" s="176" t="s">
        <v>2152</v>
      </c>
      <c r="C8" s="102">
        <v>6</v>
      </c>
      <c r="D8" s="102" t="s">
        <v>2497</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2155</v>
      </c>
      <c r="C9" s="102">
        <v>7</v>
      </c>
      <c r="D9" s="102" t="s">
        <v>2498</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2158</v>
      </c>
      <c r="C10" s="102">
        <v>8</v>
      </c>
      <c r="D10" s="102" t="s">
        <v>2499</v>
      </c>
      <c r="E10" s="120">
        <v>45504</v>
      </c>
      <c r="F10" s="102">
        <v>1</v>
      </c>
      <c r="G10" s="220" t="s">
        <v>2197</v>
      </c>
      <c r="H10" s="206">
        <v>0</v>
      </c>
      <c r="I10" s="102">
        <v>31</v>
      </c>
      <c r="J10" s="102">
        <v>3880630810000000</v>
      </c>
      <c r="K10" s="102">
        <v>1</v>
      </c>
      <c r="L10" s="120">
        <v>155</v>
      </c>
      <c r="M10" s="120" t="s">
        <v>2204</v>
      </c>
      <c r="N10" s="120">
        <v>0</v>
      </c>
      <c r="O10" s="206">
        <v>124</v>
      </c>
      <c r="P10" s="120">
        <v>45482</v>
      </c>
      <c r="Q10" s="120">
        <v>45504</v>
      </c>
      <c r="R10" s="102">
        <v>-2000000</v>
      </c>
      <c r="S10" s="120" t="s">
        <v>2500</v>
      </c>
      <c r="T10" s="120">
        <v>45504</v>
      </c>
      <c r="U10" s="102" t="s">
        <v>2501</v>
      </c>
    </row>
    <row r="11" spans="2:21">
      <c r="B11" s="145" t="s">
        <v>2160</v>
      </c>
      <c r="C11" s="102">
        <v>9</v>
      </c>
      <c r="D11" s="102" t="s">
        <v>2502</v>
      </c>
      <c r="E11" s="120">
        <v>45504</v>
      </c>
      <c r="F11" s="102">
        <v>1</v>
      </c>
      <c r="G11" s="220" t="s">
        <v>2197</v>
      </c>
      <c r="H11" s="206">
        <v>0</v>
      </c>
      <c r="I11" s="102">
        <v>31</v>
      </c>
      <c r="J11" s="102">
        <v>3880630810000000</v>
      </c>
      <c r="K11" s="102">
        <v>1</v>
      </c>
      <c r="L11" s="120">
        <v>155</v>
      </c>
      <c r="M11" s="120" t="s">
        <v>2204</v>
      </c>
      <c r="N11" s="120">
        <v>0</v>
      </c>
      <c r="O11" s="206">
        <v>124</v>
      </c>
      <c r="P11" s="120">
        <v>45482</v>
      </c>
      <c r="Q11" s="120">
        <v>45504</v>
      </c>
      <c r="R11" s="102" t="s">
        <v>2503</v>
      </c>
      <c r="S11" s="120" t="s">
        <v>2500</v>
      </c>
      <c r="T11" s="120">
        <v>45504</v>
      </c>
      <c r="U11" s="102" t="s">
        <v>2504</v>
      </c>
    </row>
    <row r="12" spans="2:21">
      <c r="B12" s="168" t="s">
        <v>2162</v>
      </c>
      <c r="C12" s="102">
        <v>10</v>
      </c>
      <c r="D12" s="102" t="s">
        <v>2505</v>
      </c>
      <c r="E12" s="120">
        <v>45504</v>
      </c>
      <c r="F12" s="102">
        <v>1</v>
      </c>
      <c r="G12" s="220" t="s">
        <v>2197</v>
      </c>
      <c r="H12" s="206">
        <v>0</v>
      </c>
      <c r="I12" s="102">
        <v>31</v>
      </c>
      <c r="J12" s="102">
        <v>5.3070000293106103E+21</v>
      </c>
      <c r="K12" s="102">
        <v>99999</v>
      </c>
      <c r="L12" s="120">
        <v>156</v>
      </c>
      <c r="M12" s="120" t="s">
        <v>2204</v>
      </c>
      <c r="N12" s="120">
        <v>1</v>
      </c>
      <c r="O12" s="206">
        <v>978</v>
      </c>
      <c r="P12" s="121">
        <v>45504</v>
      </c>
      <c r="Q12" s="120">
        <v>45504</v>
      </c>
      <c r="R12" s="102">
        <v>2000000</v>
      </c>
      <c r="S12" s="120" t="s">
        <v>2500</v>
      </c>
      <c r="T12" s="120">
        <v>45504</v>
      </c>
      <c r="U12" s="102" t="s">
        <v>2501</v>
      </c>
    </row>
    <row r="13" spans="2:21">
      <c r="B13" s="145" t="s">
        <v>2164</v>
      </c>
      <c r="C13" s="102">
        <v>11</v>
      </c>
      <c r="D13" s="102" t="s">
        <v>2506</v>
      </c>
      <c r="E13" s="120">
        <v>45504</v>
      </c>
      <c r="F13" s="102">
        <v>1</v>
      </c>
      <c r="G13" s="220" t="s">
        <v>2197</v>
      </c>
      <c r="H13" s="206">
        <v>0</v>
      </c>
      <c r="I13" s="102">
        <v>31</v>
      </c>
      <c r="J13" s="102">
        <v>5.3070000293106103E+21</v>
      </c>
      <c r="K13" s="102">
        <v>99999</v>
      </c>
      <c r="L13" s="120">
        <v>156</v>
      </c>
      <c r="M13" s="120" t="s">
        <v>2204</v>
      </c>
      <c r="N13" s="120">
        <v>1</v>
      </c>
      <c r="O13" s="206">
        <v>978</v>
      </c>
      <c r="P13" s="120">
        <v>45504</v>
      </c>
      <c r="Q13" s="120">
        <v>45504</v>
      </c>
      <c r="R13" s="102" t="s">
        <v>2507</v>
      </c>
      <c r="S13" s="120" t="s">
        <v>2500</v>
      </c>
      <c r="T13" s="120">
        <v>45504</v>
      </c>
      <c r="U13" s="102" t="s">
        <v>2508</v>
      </c>
    </row>
    <row r="14" spans="2:21">
      <c r="B14" s="145" t="s">
        <v>2166</v>
      </c>
      <c r="C14" s="102">
        <v>12</v>
      </c>
      <c r="D14" s="102" t="s">
        <v>2509</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2168</v>
      </c>
      <c r="C15" s="102">
        <v>13</v>
      </c>
      <c r="D15" s="102" t="s">
        <v>2510</v>
      </c>
      <c r="E15" s="120">
        <v>45504</v>
      </c>
      <c r="F15" s="102">
        <v>1</v>
      </c>
      <c r="G15" s="220">
        <v>1</v>
      </c>
      <c r="H15" s="206">
        <v>0</v>
      </c>
      <c r="I15" s="102" t="s">
        <v>2197</v>
      </c>
      <c r="J15" s="102" t="s">
        <v>2197</v>
      </c>
      <c r="K15" s="102" t="s">
        <v>2197</v>
      </c>
      <c r="L15" s="92" t="s">
        <v>2197</v>
      </c>
      <c r="M15" s="92" t="s">
        <v>2197</v>
      </c>
      <c r="N15" s="92" t="s">
        <v>2197</v>
      </c>
      <c r="O15" s="102" t="s">
        <v>2197</v>
      </c>
      <c r="P15" s="92">
        <v>0</v>
      </c>
      <c r="Q15" s="92">
        <v>0</v>
      </c>
      <c r="R15" s="92" t="s">
        <v>2197</v>
      </c>
      <c r="S15" s="102" t="s">
        <v>2197</v>
      </c>
      <c r="T15" s="102" t="s">
        <v>2197</v>
      </c>
      <c r="U15" s="102" t="s">
        <v>2197</v>
      </c>
    </row>
    <row r="16" spans="2:21">
      <c r="B16" s="145" t="s">
        <v>2170</v>
      </c>
      <c r="C16" s="102">
        <v>14</v>
      </c>
      <c r="D16" s="102" t="s">
        <v>2511</v>
      </c>
      <c r="E16" s="120">
        <v>45504</v>
      </c>
      <c r="F16" s="102">
        <v>1</v>
      </c>
      <c r="G16" s="220">
        <v>1</v>
      </c>
      <c r="H16" s="206">
        <v>0</v>
      </c>
      <c r="I16" s="102">
        <v>0</v>
      </c>
      <c r="J16" s="102">
        <v>0</v>
      </c>
      <c r="K16" s="102" t="s">
        <v>2197</v>
      </c>
      <c r="L16" s="102" t="s">
        <v>2197</v>
      </c>
      <c r="M16" s="92">
        <v>0</v>
      </c>
      <c r="N16" s="92">
        <v>0</v>
      </c>
      <c r="O16" s="102">
        <v>0</v>
      </c>
      <c r="P16" s="102" t="s">
        <v>2197</v>
      </c>
      <c r="Q16" s="102" t="s">
        <v>2197</v>
      </c>
      <c r="R16" s="92">
        <v>0</v>
      </c>
      <c r="S16" s="102">
        <v>0</v>
      </c>
      <c r="T16" s="102" t="s">
        <v>2197</v>
      </c>
      <c r="U16" s="102" t="s">
        <v>2197</v>
      </c>
    </row>
    <row r="17" spans="2:23">
      <c r="B17" s="178" t="s">
        <v>2172</v>
      </c>
      <c r="C17" s="102">
        <v>15</v>
      </c>
      <c r="D17" s="102" t="s">
        <v>2512</v>
      </c>
      <c r="E17" s="120">
        <v>45504</v>
      </c>
      <c r="F17" s="102">
        <v>1</v>
      </c>
      <c r="G17" s="220">
        <v>1</v>
      </c>
      <c r="H17" s="206">
        <v>0</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row>
    <row r="18" spans="2:23">
      <c r="B18" s="178" t="s">
        <v>2174</v>
      </c>
      <c r="C18" s="102">
        <v>16</v>
      </c>
      <c r="D18" s="102" t="s">
        <v>2512</v>
      </c>
      <c r="E18" s="120">
        <v>45504</v>
      </c>
      <c r="F18" s="102">
        <v>1</v>
      </c>
      <c r="G18" s="220">
        <v>1</v>
      </c>
      <c r="H18" s="206">
        <v>0</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row>
    <row r="19" spans="2:23">
      <c r="B19" s="145" t="s">
        <v>2180</v>
      </c>
      <c r="C19" s="102">
        <v>19</v>
      </c>
      <c r="D19" s="102" t="s">
        <v>2513</v>
      </c>
      <c r="E19" s="120">
        <v>45504</v>
      </c>
      <c r="F19" s="102">
        <v>1</v>
      </c>
      <c r="G19" s="220" cm="1">
        <f t="array" aca="1" ref="G19" ca="1">SUMPRODUCT(--(ISNUMBER((SEARCH(I25:U25,I19:U19)))))/COUNTA(I19:U19)</f>
        <v>0.76923076923076927</v>
      </c>
      <c r="H19" s="206">
        <v>0</v>
      </c>
      <c r="I19" s="102" t="s">
        <v>2247</v>
      </c>
      <c r="J19" s="102" t="s">
        <v>2247</v>
      </c>
      <c r="K19" s="102" t="s">
        <v>2412</v>
      </c>
      <c r="L19" s="102" t="s">
        <v>2248</v>
      </c>
      <c r="M19" s="102" t="s">
        <v>2247</v>
      </c>
      <c r="N19" s="102" t="s">
        <v>2247</v>
      </c>
      <c r="O19" s="102" t="s">
        <v>2247</v>
      </c>
      <c r="P19" s="102" t="s">
        <v>2247</v>
      </c>
      <c r="Q19" s="102" t="s">
        <v>2247</v>
      </c>
      <c r="R19" s="102" t="s">
        <v>2478</v>
      </c>
      <c r="S19" s="102" t="s">
        <v>2247</v>
      </c>
      <c r="T19" s="102" t="s">
        <v>2247</v>
      </c>
      <c r="U19" s="102" t="s">
        <v>2250</v>
      </c>
    </row>
    <row r="20" spans="2:23">
      <c r="B20" s="145" t="s">
        <v>2183</v>
      </c>
      <c r="C20" s="102">
        <v>20</v>
      </c>
      <c r="D20" s="102"/>
      <c r="E20" s="120"/>
      <c r="F20" s="102"/>
      <c r="G20" s="220" cm="1">
        <f t="array" ref="G20">SUM(IF(I2:T2 = I24:T24, 1, 0))/ COUNTA(I2:T2)</f>
        <v>0.33333333333333331</v>
      </c>
      <c r="H20" s="102" t="s">
        <v>2197</v>
      </c>
      <c r="I20" s="102" t="s">
        <v>2197</v>
      </c>
      <c r="J20" s="102" t="s">
        <v>2197</v>
      </c>
      <c r="K20" s="102" t="s">
        <v>2197</v>
      </c>
      <c r="L20" s="102" t="s">
        <v>2197</v>
      </c>
      <c r="M20" s="102" t="s">
        <v>2197</v>
      </c>
      <c r="N20" s="102" t="s">
        <v>2197</v>
      </c>
      <c r="O20" s="102" t="s">
        <v>2197</v>
      </c>
      <c r="P20" s="102" t="s">
        <v>2197</v>
      </c>
      <c r="Q20" s="102" t="s">
        <v>2197</v>
      </c>
      <c r="R20" s="102" t="s">
        <v>2197</v>
      </c>
      <c r="S20" s="102" t="s">
        <v>2197</v>
      </c>
      <c r="T20" s="102" t="s">
        <v>2197</v>
      </c>
      <c r="U20" s="102"/>
    </row>
    <row r="21" spans="2:23">
      <c r="B21" s="169" t="s">
        <v>2186</v>
      </c>
      <c r="C21" s="102">
        <v>21</v>
      </c>
      <c r="D21" s="102"/>
      <c r="E21" s="120"/>
      <c r="F21" s="102"/>
      <c r="G21" s="220" cm="1">
        <f t="array" aca="1" ref="G21" ca="1">SUM(IF(IF(G3:G20="null",1,G3:G20)=1,1,0))/COUNT(IF(G3:G20="null",1,1))</f>
        <v>0.66666666666666663</v>
      </c>
      <c r="H21" s="102" t="s">
        <v>2197</v>
      </c>
      <c r="I21" s="102" t="s">
        <v>2197</v>
      </c>
      <c r="J21" s="102" t="s">
        <v>2197</v>
      </c>
      <c r="K21" s="102" t="s">
        <v>2197</v>
      </c>
      <c r="L21" s="102" t="s">
        <v>2197</v>
      </c>
      <c r="M21" s="102" t="s">
        <v>2197</v>
      </c>
      <c r="N21" s="102" t="s">
        <v>2197</v>
      </c>
      <c r="O21" s="102" t="s">
        <v>2197</v>
      </c>
      <c r="P21" s="102" t="s">
        <v>2197</v>
      </c>
      <c r="Q21" s="102" t="s">
        <v>2197</v>
      </c>
      <c r="R21" s="102" t="s">
        <v>2197</v>
      </c>
      <c r="S21" s="102" t="s">
        <v>2197</v>
      </c>
      <c r="T21" s="102" t="s">
        <v>2197</v>
      </c>
      <c r="U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2251</v>
      </c>
    </row>
    <row r="24" spans="2:23">
      <c r="B24" s="111" t="s">
        <v>2252</v>
      </c>
      <c r="C24" s="112" t="s">
        <v>2190</v>
      </c>
      <c r="D24" s="112" t="s">
        <v>2191</v>
      </c>
      <c r="E24" s="112" t="s">
        <v>2192</v>
      </c>
      <c r="F24" s="112" t="s">
        <v>2193</v>
      </c>
      <c r="G24" s="112" t="s">
        <v>2194</v>
      </c>
      <c r="H24" s="112" t="s">
        <v>2195</v>
      </c>
      <c r="I24" s="113" t="str" cm="1">
        <f t="array" ref="I24:W24">TRANSPOSE(_xlfn.SORTBY(_xlfn._xlws.FILTER(Table2[NOME FÍSICO CAMPO],Table2[NOME FÍSICO TABELA]="saving_account_transaction"), _xlfn._xlws.FILTER(Table2[ORDEM], Table2[NOME FÍSICO TABELA]="saving_account_transaction"), 1))</f>
        <v>bank_id</v>
      </c>
      <c r="J24" s="113" t="str">
        <v>contract_id</v>
      </c>
      <c r="K24" s="113" t="str">
        <v>order_number</v>
      </c>
      <c r="L24" s="113" t="str">
        <v>order_number_stage</v>
      </c>
      <c r="M24" s="113" t="str">
        <v>accounting_concept_code</v>
      </c>
      <c r="N24" s="113" t="str">
        <v>transaction_type_code</v>
      </c>
      <c r="O24" s="113" t="str">
        <v>accounting_bank_basic_operation</v>
      </c>
      <c r="P24" s="113" t="str">
        <v>financial_flow_indicator</v>
      </c>
      <c r="Q24" s="113" t="str">
        <v>currency_code</v>
      </c>
      <c r="R24" s="113" t="str">
        <v>transaction_date</v>
      </c>
      <c r="S24" s="113" t="str">
        <v>transaction_execution_date</v>
      </c>
      <c r="T24" s="113" t="str">
        <v>amount</v>
      </c>
      <c r="U24" s="113" t="str">
        <v>source_code</v>
      </c>
      <c r="V24" t="str">
        <v>data_date_part</v>
      </c>
      <c r="W24" t="str">
        <v>data_timestamp_part</v>
      </c>
    </row>
    <row r="25" spans="2:23" s="101" customFormat="1">
      <c r="B25" s="122" t="s">
        <v>2253</v>
      </c>
      <c r="C25" s="117">
        <v>21</v>
      </c>
      <c r="D25" s="123" t="s">
        <v>2254</v>
      </c>
      <c r="E25" s="117" t="s">
        <v>2255</v>
      </c>
      <c r="F25" s="117" t="s">
        <v>1101</v>
      </c>
      <c r="G25" s="117" t="s">
        <v>1101</v>
      </c>
      <c r="H25" s="117" t="s">
        <v>1101</v>
      </c>
      <c r="I25" s="117" t="str" cm="1">
        <f t="array" aca="1" ref="I25:W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BIG INT</v>
      </c>
      <c r="L25" s="117" t="str">
        <f ca="1"/>
        <v>BIGINT</v>
      </c>
      <c r="M25" s="117" t="str">
        <f ca="1"/>
        <v>STRING</v>
      </c>
      <c r="N25" s="117" t="str">
        <f ca="1"/>
        <v>STRING</v>
      </c>
      <c r="O25" s="117" t="str">
        <f ca="1"/>
        <v>STRING</v>
      </c>
      <c r="P25" s="117" t="str">
        <f ca="1"/>
        <v>STRING</v>
      </c>
      <c r="Q25" s="117" t="str">
        <f ca="1"/>
        <v>STRING</v>
      </c>
      <c r="R25" s="117" t="str">
        <f ca="1"/>
        <v>STRING</v>
      </c>
      <c r="S25" s="117" t="str">
        <f ca="1"/>
        <v>STRING</v>
      </c>
      <c r="T25" s="117" t="str">
        <f ca="1"/>
        <v>DECIMAL</v>
      </c>
      <c r="U25" s="117" t="str">
        <f ca="1"/>
        <v>STRING</v>
      </c>
      <c r="V25" s="101" t="str">
        <f ca="1"/>
        <v>STRING</v>
      </c>
      <c r="W25" s="101" t="str">
        <f ca="1"/>
        <v>TIMESTAMP</v>
      </c>
    </row>
    <row r="26" spans="2:23" s="101" customFormat="1">
      <c r="B26" s="122" t="s">
        <v>2256</v>
      </c>
      <c r="C26" s="117">
        <v>7</v>
      </c>
      <c r="D26" s="123" t="s">
        <v>2254</v>
      </c>
      <c r="E26" s="117" t="s">
        <v>2255</v>
      </c>
      <c r="F26" s="117" t="s">
        <v>1101</v>
      </c>
      <c r="G26" s="117" t="s">
        <v>1101</v>
      </c>
      <c r="H26" s="117" t="s">
        <v>1101</v>
      </c>
      <c r="I26" s="117">
        <f ca="1"/>
        <v>4</v>
      </c>
      <c r="J26" s="117">
        <f ca="1"/>
        <v>30</v>
      </c>
      <c r="K26" s="117">
        <f ca="1"/>
        <v>9999999</v>
      </c>
      <c r="L26" s="117">
        <f ca="1"/>
        <v>9999999</v>
      </c>
      <c r="M26" s="117">
        <f ca="1"/>
        <v>4</v>
      </c>
      <c r="N26" s="117">
        <f ca="1"/>
        <v>4</v>
      </c>
      <c r="O26" s="117">
        <f ca="1"/>
        <v>6</v>
      </c>
      <c r="P26" s="117">
        <f ca="1"/>
        <v>4</v>
      </c>
      <c r="Q26" s="117">
        <f ca="1"/>
        <v>4</v>
      </c>
      <c r="R26" s="117">
        <f ca="1"/>
        <v>10</v>
      </c>
      <c r="S26" s="117">
        <f ca="1"/>
        <v>10</v>
      </c>
      <c r="T26" s="117">
        <f ca="1"/>
        <v>23</v>
      </c>
      <c r="U26" s="117">
        <f ca="1"/>
        <v>2</v>
      </c>
      <c r="V26" s="101">
        <f ca="1"/>
        <v>10</v>
      </c>
      <c r="W26" s="101">
        <f ca="1"/>
        <v>23</v>
      </c>
    </row>
    <row r="27" spans="2:23">
      <c r="B27" t="s">
        <v>2514</v>
      </c>
    </row>
    <row r="29" spans="2:23">
      <c r="B29" s="127" t="s">
        <v>2257</v>
      </c>
    </row>
    <row r="30" spans="2:23">
      <c r="B30" s="136" t="s">
        <v>2258</v>
      </c>
      <c r="C30" s="136" t="s">
        <v>2259</v>
      </c>
      <c r="D30" s="137" t="s">
        <v>2260</v>
      </c>
      <c r="E30" s="136" t="s">
        <v>2261</v>
      </c>
      <c r="F30" s="136" t="s">
        <v>2262</v>
      </c>
      <c r="H30" s="222"/>
    </row>
    <row r="31" spans="2:23" ht="30.75">
      <c r="B31" s="134" t="s">
        <v>2515</v>
      </c>
      <c r="C31" s="87" t="s">
        <v>2325</v>
      </c>
      <c r="D31" s="87" t="s">
        <v>2516</v>
      </c>
      <c r="E31" s="87" t="s">
        <v>2517</v>
      </c>
      <c r="F31" s="135" t="s">
        <v>2355</v>
      </c>
    </row>
    <row r="32" spans="2:23" ht="30.75">
      <c r="B32" s="134" t="s">
        <v>2263</v>
      </c>
      <c r="C32" s="87" t="s">
        <v>737</v>
      </c>
      <c r="D32" s="87" t="s">
        <v>2518</v>
      </c>
      <c r="E32" s="87" t="s">
        <v>2519</v>
      </c>
      <c r="F32" s="135" t="s">
        <v>2266</v>
      </c>
      <c r="H32" s="190"/>
    </row>
    <row r="33" spans="2:8" ht="30.75">
      <c r="B33" s="134" t="s">
        <v>2263</v>
      </c>
      <c r="C33" s="87" t="s">
        <v>767</v>
      </c>
      <c r="D33" s="87" t="s">
        <v>2520</v>
      </c>
      <c r="E33" s="87" t="s">
        <v>2521</v>
      </c>
      <c r="F33" s="199" t="s">
        <v>2322</v>
      </c>
      <c r="H33" s="190"/>
    </row>
    <row r="34" spans="2:8" ht="30.75">
      <c r="B34" s="134" t="s">
        <v>2271</v>
      </c>
      <c r="C34" s="207" t="s">
        <v>737</v>
      </c>
      <c r="D34" s="207" t="s">
        <v>2522</v>
      </c>
      <c r="E34" s="87" t="s">
        <v>2523</v>
      </c>
      <c r="F34" s="81" t="s">
        <v>2266</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C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13" t="s">
        <v>767</v>
      </c>
      <c r="O2" s="101" t="s">
        <v>778</v>
      </c>
      <c r="P2" s="101" t="s">
        <v>1640</v>
      </c>
      <c r="Q2" s="101" t="s">
        <v>927</v>
      </c>
      <c r="R2" s="113" t="s">
        <v>1632</v>
      </c>
      <c r="S2" s="101" t="s">
        <v>791</v>
      </c>
      <c r="T2" s="101" t="s">
        <v>749</v>
      </c>
      <c r="U2" s="101" t="s">
        <v>758</v>
      </c>
      <c r="V2" s="101" t="s">
        <v>798</v>
      </c>
      <c r="W2" s="101" t="s">
        <v>806</v>
      </c>
      <c r="X2" s="101" t="s">
        <v>813</v>
      </c>
    </row>
    <row r="3" spans="2:24">
      <c r="B3" s="145" t="s">
        <v>2143</v>
      </c>
      <c r="C3" s="102">
        <v>1</v>
      </c>
      <c r="D3" s="102" t="s">
        <v>2524</v>
      </c>
      <c r="E3" s="120">
        <v>45492</v>
      </c>
      <c r="F3" s="102">
        <v>1</v>
      </c>
      <c r="G3" s="220">
        <v>1</v>
      </c>
      <c r="H3" s="174">
        <v>84398164</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c r="W3" s="102" t="s">
        <v>2197</v>
      </c>
      <c r="X3" s="102" t="s">
        <v>2197</v>
      </c>
    </row>
    <row r="4" spans="2:24">
      <c r="B4" s="145" t="s">
        <v>2145</v>
      </c>
      <c r="C4" s="102">
        <v>2</v>
      </c>
      <c r="D4" s="102" t="s">
        <v>2525</v>
      </c>
      <c r="E4" s="120">
        <v>45492</v>
      </c>
      <c r="F4" s="102">
        <v>1</v>
      </c>
      <c r="G4" s="220">
        <v>0.99</v>
      </c>
      <c r="H4" s="206">
        <v>25</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c r="W4" s="102" t="s">
        <v>2197</v>
      </c>
      <c r="X4" s="102" t="s">
        <v>2197</v>
      </c>
    </row>
    <row r="5" spans="2:24">
      <c r="B5" s="145" t="s">
        <v>2147</v>
      </c>
      <c r="C5" s="102">
        <v>3</v>
      </c>
      <c r="D5" s="102" t="s">
        <v>2526</v>
      </c>
      <c r="E5" s="120">
        <v>45492</v>
      </c>
      <c r="F5" s="102">
        <v>1</v>
      </c>
      <c r="G5" s="220">
        <v>1</v>
      </c>
      <c r="H5" s="206" t="s">
        <v>2396</v>
      </c>
      <c r="I5" s="102">
        <v>0</v>
      </c>
      <c r="J5" s="102">
        <v>0</v>
      </c>
      <c r="K5" s="102">
        <v>62698747</v>
      </c>
      <c r="L5" s="102">
        <v>35503361</v>
      </c>
      <c r="M5" s="102" t="s">
        <v>2197</v>
      </c>
      <c r="N5" s="102" t="s">
        <v>2197</v>
      </c>
      <c r="O5" s="102" t="s">
        <v>2197</v>
      </c>
      <c r="P5" s="102" t="s">
        <v>2197</v>
      </c>
      <c r="Q5" s="102" t="s">
        <v>2197</v>
      </c>
      <c r="R5" s="102" t="s">
        <v>2197</v>
      </c>
      <c r="S5" s="102" t="s">
        <v>2197</v>
      </c>
      <c r="T5" s="102" t="s">
        <v>2197</v>
      </c>
      <c r="U5" s="102" t="s">
        <v>2197</v>
      </c>
      <c r="V5" s="102" t="s">
        <v>2197</v>
      </c>
      <c r="W5" s="102">
        <v>0</v>
      </c>
      <c r="X5" s="102" t="s">
        <v>2197</v>
      </c>
    </row>
    <row r="6" spans="2:24">
      <c r="B6" s="92" t="s">
        <v>2149</v>
      </c>
      <c r="C6" s="102">
        <v>4</v>
      </c>
      <c r="D6" s="102" t="s">
        <v>2202</v>
      </c>
      <c r="E6" s="120" t="s">
        <v>2197</v>
      </c>
      <c r="F6" s="102">
        <v>1</v>
      </c>
      <c r="G6" s="220" t="s">
        <v>2197</v>
      </c>
      <c r="H6" s="220"/>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c r="W6" s="102" t="s">
        <v>2197</v>
      </c>
      <c r="X6" s="102" t="s">
        <v>2197</v>
      </c>
    </row>
    <row r="7" spans="2:24">
      <c r="B7" s="92" t="s">
        <v>2151</v>
      </c>
      <c r="C7" s="102">
        <v>5</v>
      </c>
      <c r="D7" s="102" t="s">
        <v>2202</v>
      </c>
      <c r="E7" s="120" t="s">
        <v>2197</v>
      </c>
      <c r="F7" s="102">
        <v>1</v>
      </c>
      <c r="G7" s="220" t="s">
        <v>2197</v>
      </c>
      <c r="H7" s="220"/>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c r="W7" s="102" t="s">
        <v>2197</v>
      </c>
      <c r="X7" s="102" t="s">
        <v>2197</v>
      </c>
    </row>
    <row r="8" spans="2:24">
      <c r="B8" s="176" t="s">
        <v>2152</v>
      </c>
      <c r="C8" s="102">
        <v>6</v>
      </c>
      <c r="D8" s="102" t="s">
        <v>2527</v>
      </c>
      <c r="E8" s="120">
        <v>45492</v>
      </c>
      <c r="F8" s="102">
        <v>1</v>
      </c>
      <c r="G8" s="220" cm="1">
        <f t="array" ref="G8">SUMPRODUCT(--(I8:X8&gt;0))/COUNTA(I8:X8)</f>
        <v>1</v>
      </c>
      <c r="H8" s="206" t="s">
        <v>2282</v>
      </c>
      <c r="I8" s="102">
        <v>2</v>
      </c>
      <c r="J8" s="102">
        <v>29</v>
      </c>
      <c r="K8" s="102">
        <v>1</v>
      </c>
      <c r="L8" s="102">
        <v>1</v>
      </c>
      <c r="M8" s="102" t="s">
        <v>2204</v>
      </c>
      <c r="N8" s="102">
        <v>1</v>
      </c>
      <c r="O8" s="102">
        <v>3</v>
      </c>
      <c r="P8" s="102">
        <v>1</v>
      </c>
      <c r="Q8" s="102">
        <v>1</v>
      </c>
      <c r="R8" s="102">
        <v>4</v>
      </c>
      <c r="S8" s="102">
        <v>10</v>
      </c>
      <c r="T8" s="102">
        <v>10</v>
      </c>
      <c r="U8" s="102">
        <v>8</v>
      </c>
      <c r="V8" s="102">
        <v>2</v>
      </c>
      <c r="W8" s="102">
        <v>10</v>
      </c>
      <c r="X8" s="102">
        <v>23</v>
      </c>
    </row>
    <row r="9" spans="2:24">
      <c r="B9" s="145" t="s">
        <v>2155</v>
      </c>
      <c r="C9" s="102">
        <v>7</v>
      </c>
      <c r="D9" s="102" t="s">
        <v>2528</v>
      </c>
      <c r="E9" s="120">
        <v>45492</v>
      </c>
      <c r="F9" s="102">
        <v>1</v>
      </c>
      <c r="G9" s="220" cm="1">
        <f t="array" aca="1" ref="G9" ca="1">SUMPRODUCT(--(I9:X9&lt;=I26:X26))/COUNTA(I9:X9)</f>
        <v>0.5625</v>
      </c>
      <c r="H9" s="206" t="s">
        <v>2282</v>
      </c>
      <c r="I9" s="102">
        <v>2</v>
      </c>
      <c r="J9" s="102">
        <v>30</v>
      </c>
      <c r="K9" s="102">
        <v>11</v>
      </c>
      <c r="L9" s="102">
        <v>3</v>
      </c>
      <c r="M9" s="102" t="s">
        <v>2204</v>
      </c>
      <c r="N9" s="102">
        <v>1</v>
      </c>
      <c r="O9" s="102">
        <v>3</v>
      </c>
      <c r="P9" s="102">
        <v>4</v>
      </c>
      <c r="Q9" s="102">
        <v>1</v>
      </c>
      <c r="R9" s="102">
        <v>10</v>
      </c>
      <c r="S9" s="102">
        <v>10</v>
      </c>
      <c r="T9" s="102">
        <v>10</v>
      </c>
      <c r="U9" s="102">
        <v>18</v>
      </c>
      <c r="V9" s="102">
        <v>2</v>
      </c>
      <c r="W9" s="102">
        <v>10</v>
      </c>
      <c r="X9" s="102">
        <v>23</v>
      </c>
    </row>
    <row r="10" spans="2:24">
      <c r="B10" s="145" t="s">
        <v>2158</v>
      </c>
      <c r="C10" s="102">
        <v>8</v>
      </c>
      <c r="D10" s="102" t="s">
        <v>2529</v>
      </c>
      <c r="E10" s="120">
        <v>45492</v>
      </c>
      <c r="F10" s="102">
        <v>1</v>
      </c>
      <c r="G10" s="220" t="s">
        <v>2197</v>
      </c>
      <c r="H10" s="206" t="s">
        <v>2282</v>
      </c>
      <c r="I10" s="102">
        <v>31</v>
      </c>
      <c r="J10" s="102">
        <v>3.4965410000000002E+21</v>
      </c>
      <c r="K10" s="102">
        <v>0</v>
      </c>
      <c r="L10" s="102">
        <v>0</v>
      </c>
      <c r="M10" s="120" t="s">
        <v>2204</v>
      </c>
      <c r="N10" s="120">
        <v>0</v>
      </c>
      <c r="O10" s="206">
        <v>578</v>
      </c>
      <c r="P10" s="102" t="e">
        <v>#N/A</v>
      </c>
      <c r="Q10" s="102">
        <v>0</v>
      </c>
      <c r="R10" s="102" t="e">
        <v>#N/A</v>
      </c>
      <c r="S10" s="102" t="s">
        <v>2530</v>
      </c>
      <c r="T10" s="102" t="s">
        <v>2530</v>
      </c>
      <c r="U10" s="149">
        <v>-1000000694210000</v>
      </c>
      <c r="V10" s="102" t="s">
        <v>2531</v>
      </c>
      <c r="W10" s="120">
        <v>45491</v>
      </c>
      <c r="X10" s="102" t="s">
        <v>2532</v>
      </c>
    </row>
    <row r="11" spans="2:24">
      <c r="B11" s="145" t="s">
        <v>2160</v>
      </c>
      <c r="C11" s="102">
        <v>9</v>
      </c>
      <c r="D11" s="102" t="s">
        <v>2533</v>
      </c>
      <c r="E11" s="120">
        <v>45492</v>
      </c>
      <c r="F11" s="102">
        <v>1</v>
      </c>
      <c r="G11" s="220" t="s">
        <v>2197</v>
      </c>
      <c r="H11" s="206" t="s">
        <v>2282</v>
      </c>
      <c r="I11" s="102">
        <v>31</v>
      </c>
      <c r="J11" s="102">
        <v>3.4965410000000002E+21</v>
      </c>
      <c r="K11" s="102">
        <v>0</v>
      </c>
      <c r="L11" s="102">
        <v>0</v>
      </c>
      <c r="M11" s="120" t="s">
        <v>2204</v>
      </c>
      <c r="N11" s="120">
        <v>0</v>
      </c>
      <c r="O11" s="206">
        <v>578</v>
      </c>
      <c r="P11" s="120" t="e">
        <v>#N/A</v>
      </c>
      <c r="Q11" s="102">
        <v>0</v>
      </c>
      <c r="R11" s="102" t="e">
        <v>#N/A</v>
      </c>
      <c r="S11" s="102" t="s">
        <v>2530</v>
      </c>
      <c r="T11" s="102" t="s">
        <v>2530</v>
      </c>
      <c r="U11" s="102" t="s">
        <v>2534</v>
      </c>
      <c r="V11" s="102" t="s">
        <v>2531</v>
      </c>
      <c r="W11" s="120">
        <v>45491</v>
      </c>
      <c r="X11" s="102" t="s">
        <v>2535</v>
      </c>
    </row>
    <row r="12" spans="2:24">
      <c r="B12" s="168" t="s">
        <v>2162</v>
      </c>
      <c r="C12" s="102">
        <v>10</v>
      </c>
      <c r="D12" s="102" t="s">
        <v>2536</v>
      </c>
      <c r="E12" s="120">
        <v>45492</v>
      </c>
      <c r="F12" s="102">
        <v>1</v>
      </c>
      <c r="G12" s="220" t="s">
        <v>2197</v>
      </c>
      <c r="H12" s="206" t="s">
        <v>2282</v>
      </c>
      <c r="I12" s="102">
        <v>31</v>
      </c>
      <c r="J12" s="102">
        <v>6.8350096000050594E+29</v>
      </c>
      <c r="K12" s="102">
        <v>20240153493</v>
      </c>
      <c r="L12" s="102">
        <v>203</v>
      </c>
      <c r="M12" s="120" t="s">
        <v>2204</v>
      </c>
      <c r="N12" s="120">
        <v>1</v>
      </c>
      <c r="O12" s="206" t="s">
        <v>2537</v>
      </c>
      <c r="P12" s="121">
        <v>93</v>
      </c>
      <c r="Q12" s="102">
        <v>1</v>
      </c>
      <c r="R12" s="120">
        <v>45492</v>
      </c>
      <c r="S12" s="120">
        <v>45505</v>
      </c>
      <c r="T12" s="120">
        <v>45492</v>
      </c>
      <c r="U12" s="149">
        <v>1000000687070000</v>
      </c>
      <c r="V12" s="102" t="s">
        <v>2345</v>
      </c>
      <c r="W12" s="120">
        <v>45492</v>
      </c>
      <c r="X12" s="120" t="s">
        <v>2532</v>
      </c>
    </row>
    <row r="13" spans="2:24">
      <c r="B13" s="145" t="s">
        <v>2164</v>
      </c>
      <c r="C13" s="102">
        <v>11</v>
      </c>
      <c r="D13" s="102" t="s">
        <v>2538</v>
      </c>
      <c r="E13" s="120">
        <v>45492</v>
      </c>
      <c r="F13" s="102">
        <v>1</v>
      </c>
      <c r="G13" s="220" t="s">
        <v>2197</v>
      </c>
      <c r="H13" s="206" t="s">
        <v>2282</v>
      </c>
      <c r="I13" s="102">
        <v>31</v>
      </c>
      <c r="J13" s="102">
        <v>6.8350096000050594E+29</v>
      </c>
      <c r="K13" s="102">
        <v>20240153493</v>
      </c>
      <c r="L13" s="102">
        <v>93</v>
      </c>
      <c r="M13" s="120" t="s">
        <v>2204</v>
      </c>
      <c r="N13" s="120">
        <v>1</v>
      </c>
      <c r="O13" s="206" t="s">
        <v>2537</v>
      </c>
      <c r="P13" s="120">
        <v>93</v>
      </c>
      <c r="Q13" s="102">
        <v>1</v>
      </c>
      <c r="R13" s="120">
        <v>2958465</v>
      </c>
      <c r="S13" s="120">
        <v>45505</v>
      </c>
      <c r="T13" s="120">
        <v>45492</v>
      </c>
      <c r="U13" s="102" t="s">
        <v>2539</v>
      </c>
      <c r="V13" s="102" t="s">
        <v>2345</v>
      </c>
      <c r="W13" s="120">
        <v>45492</v>
      </c>
      <c r="X13" s="120" t="s">
        <v>2540</v>
      </c>
    </row>
    <row r="14" spans="2:24">
      <c r="B14" s="145" t="s">
        <v>2166</v>
      </c>
      <c r="C14" s="102">
        <v>12</v>
      </c>
      <c r="D14" s="102" t="s">
        <v>2541</v>
      </c>
      <c r="E14" s="120">
        <v>45492</v>
      </c>
      <c r="F14" s="102">
        <v>1</v>
      </c>
      <c r="G14" s="220">
        <v>0.6875</v>
      </c>
      <c r="H14" s="206" t="s">
        <v>2282</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2168</v>
      </c>
      <c r="C15" s="102">
        <v>13</v>
      </c>
      <c r="D15" s="102" t="s">
        <v>2542</v>
      </c>
      <c r="E15" s="120">
        <v>45492</v>
      </c>
      <c r="F15" s="102">
        <v>1</v>
      </c>
      <c r="G15" s="220">
        <v>1</v>
      </c>
      <c r="H15" s="206" t="s">
        <v>2282</v>
      </c>
      <c r="I15" s="102" t="s">
        <v>2197</v>
      </c>
      <c r="J15" s="102" t="s">
        <v>2197</v>
      </c>
      <c r="K15" s="102" t="s">
        <v>2197</v>
      </c>
      <c r="L15" s="92" t="s">
        <v>2197</v>
      </c>
      <c r="M15" s="92" t="s">
        <v>2197</v>
      </c>
      <c r="N15" s="92" t="s">
        <v>2197</v>
      </c>
      <c r="O15" s="102" t="s">
        <v>2197</v>
      </c>
      <c r="P15" s="92" t="s">
        <v>2197</v>
      </c>
      <c r="Q15" s="92" t="s">
        <v>2197</v>
      </c>
      <c r="R15" s="92">
        <v>0</v>
      </c>
      <c r="S15" s="102">
        <v>0</v>
      </c>
      <c r="T15" s="102">
        <v>0</v>
      </c>
      <c r="U15" s="102" t="s">
        <v>2197</v>
      </c>
      <c r="V15" s="102" t="s">
        <v>2197</v>
      </c>
      <c r="W15" s="102" t="s">
        <v>2197</v>
      </c>
      <c r="X15" s="102" t="s">
        <v>2197</v>
      </c>
    </row>
    <row r="16" spans="2:24">
      <c r="B16" s="145" t="s">
        <v>2170</v>
      </c>
      <c r="C16" s="102">
        <v>14</v>
      </c>
      <c r="D16" s="102" t="s">
        <v>2543</v>
      </c>
      <c r="E16" s="120">
        <v>45492</v>
      </c>
      <c r="F16" s="102">
        <v>1</v>
      </c>
      <c r="G16" s="220">
        <v>1</v>
      </c>
      <c r="H16" s="206" t="s">
        <v>2282</v>
      </c>
      <c r="I16" s="102">
        <v>0</v>
      </c>
      <c r="J16" s="102">
        <v>0</v>
      </c>
      <c r="K16" s="102" t="s">
        <v>2197</v>
      </c>
      <c r="L16" s="102" t="s">
        <v>2197</v>
      </c>
      <c r="M16" s="92">
        <v>0</v>
      </c>
      <c r="N16" s="92" t="s">
        <v>2197</v>
      </c>
      <c r="O16" s="102">
        <v>0</v>
      </c>
      <c r="P16" s="102">
        <v>0</v>
      </c>
      <c r="Q16" s="102" t="s">
        <v>2197</v>
      </c>
      <c r="R16" s="92" t="s">
        <v>2197</v>
      </c>
      <c r="S16" s="102" t="s">
        <v>2197</v>
      </c>
      <c r="T16" s="102" t="s">
        <v>2197</v>
      </c>
      <c r="U16" s="102" t="s">
        <v>2197</v>
      </c>
      <c r="V16" s="102">
        <v>0</v>
      </c>
      <c r="W16" s="102" t="s">
        <v>2197</v>
      </c>
      <c r="X16" s="102" t="s">
        <v>2197</v>
      </c>
    </row>
    <row r="17" spans="2:29">
      <c r="B17" s="178" t="s">
        <v>2172</v>
      </c>
      <c r="C17" s="102">
        <v>15</v>
      </c>
      <c r="D17" s="102" t="s">
        <v>2544</v>
      </c>
      <c r="E17" s="120">
        <v>45492</v>
      </c>
      <c r="F17" s="102">
        <v>1</v>
      </c>
      <c r="G17" s="220">
        <v>0.14646999999999999</v>
      </c>
      <c r="H17" s="206">
        <v>72036359</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c r="W17" s="102" t="s">
        <v>2197</v>
      </c>
      <c r="X17" s="102" t="s">
        <v>2197</v>
      </c>
    </row>
    <row r="18" spans="2:29">
      <c r="B18" s="178" t="s">
        <v>2174</v>
      </c>
      <c r="C18" s="102">
        <v>16</v>
      </c>
      <c r="D18" s="102" t="s">
        <v>2544</v>
      </c>
      <c r="E18" s="120">
        <v>45492</v>
      </c>
      <c r="F18" s="102">
        <v>1</v>
      </c>
      <c r="G18" s="220">
        <v>0.14646999999999999</v>
      </c>
      <c r="H18" s="206">
        <v>72036359</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c r="W18" s="102" t="s">
        <v>2197</v>
      </c>
      <c r="X18" s="102" t="s">
        <v>2197</v>
      </c>
    </row>
    <row r="19" spans="2:29">
      <c r="B19" s="145" t="s">
        <v>2180</v>
      </c>
      <c r="C19" s="102">
        <v>19</v>
      </c>
      <c r="D19" s="102" t="s">
        <v>2545</v>
      </c>
      <c r="E19" s="120">
        <v>45492</v>
      </c>
      <c r="F19" s="102">
        <v>1</v>
      </c>
      <c r="G19" s="220" cm="1">
        <f t="array" aca="1" ref="G19" ca="1">SUMPRODUCT(--(ISNUMBER((SEARCH(I25:X25,I19:X19)))))/COUNTA(I19:X19)</f>
        <v>0.875</v>
      </c>
      <c r="H19" s="102" t="s">
        <v>2282</v>
      </c>
      <c r="I19" s="102" t="s">
        <v>2247</v>
      </c>
      <c r="J19" s="102" t="s">
        <v>2247</v>
      </c>
      <c r="K19" s="102" t="s">
        <v>2412</v>
      </c>
      <c r="L19" s="102" t="s">
        <v>2248</v>
      </c>
      <c r="M19" s="102" t="s">
        <v>2247</v>
      </c>
      <c r="N19" s="102" t="s">
        <v>2247</v>
      </c>
      <c r="O19" s="102" t="s">
        <v>2247</v>
      </c>
      <c r="P19" s="102" t="s">
        <v>2247</v>
      </c>
      <c r="Q19" s="102" t="s">
        <v>2247</v>
      </c>
      <c r="R19" s="102" t="s">
        <v>2247</v>
      </c>
      <c r="S19" s="102" t="s">
        <v>2247</v>
      </c>
      <c r="T19" s="102" t="s">
        <v>2247</v>
      </c>
      <c r="U19" s="102" t="s">
        <v>2249</v>
      </c>
      <c r="V19" s="102" t="s">
        <v>2247</v>
      </c>
      <c r="W19" s="102" t="s">
        <v>2247</v>
      </c>
      <c r="X19" s="102" t="s">
        <v>2250</v>
      </c>
    </row>
    <row r="20" spans="2:29">
      <c r="B20" s="145" t="s">
        <v>2183</v>
      </c>
      <c r="C20" s="102">
        <v>20</v>
      </c>
      <c r="D20" s="102"/>
      <c r="E20" s="120"/>
      <c r="F20" s="102"/>
      <c r="G20" s="220" cm="1">
        <f t="array" ref="G20">SUM(IF(I2:X2 = I24:X24, 1, 0))/ COUNTA(I2:X2)</f>
        <v>0.25</v>
      </c>
      <c r="H20" s="102" t="s">
        <v>2197</v>
      </c>
      <c r="I20" s="102" t="s">
        <v>2197</v>
      </c>
      <c r="J20" s="102" t="s">
        <v>2197</v>
      </c>
      <c r="K20" s="102" t="s">
        <v>2197</v>
      </c>
      <c r="L20" s="102" t="s">
        <v>2197</v>
      </c>
      <c r="M20" s="102" t="s">
        <v>2197</v>
      </c>
      <c r="N20" s="102" t="s">
        <v>2197</v>
      </c>
      <c r="O20" s="102" t="s">
        <v>2197</v>
      </c>
      <c r="P20" s="102" t="s">
        <v>2197</v>
      </c>
      <c r="Q20" s="102" t="s">
        <v>2197</v>
      </c>
      <c r="R20" s="102" t="s">
        <v>2197</v>
      </c>
      <c r="S20" s="102" t="s">
        <v>2197</v>
      </c>
      <c r="T20" s="102" t="s">
        <v>2197</v>
      </c>
      <c r="U20" s="102" t="s">
        <v>2197</v>
      </c>
      <c r="V20" s="102" t="s">
        <v>2197</v>
      </c>
      <c r="W20" s="102" t="s">
        <v>2197</v>
      </c>
      <c r="X20" s="102" t="s">
        <v>2197</v>
      </c>
    </row>
    <row r="21" spans="2:29">
      <c r="B21" s="169" t="s">
        <v>2186</v>
      </c>
      <c r="C21" s="102">
        <v>21</v>
      </c>
      <c r="D21" s="102"/>
      <c r="E21" s="120"/>
      <c r="F21" s="102"/>
      <c r="G21" s="220" cm="1">
        <f t="array" aca="1" ref="G21" ca="1">SUM(IF(IF(G3:G20="null",1,G3:G20)=1,1,0))/COUNT(IF(G3:G20="null",1,1))</f>
        <v>0.61111111111111116</v>
      </c>
      <c r="H21" s="102" t="s">
        <v>2197</v>
      </c>
      <c r="I21" s="102" t="s">
        <v>2197</v>
      </c>
      <c r="J21" s="102" t="s">
        <v>2197</v>
      </c>
      <c r="K21" s="102" t="s">
        <v>2197</v>
      </c>
      <c r="L21" s="102" t="s">
        <v>2197</v>
      </c>
      <c r="M21" s="102" t="s">
        <v>2197</v>
      </c>
      <c r="N21" s="102" t="s">
        <v>2197</v>
      </c>
      <c r="O21" s="102" t="s">
        <v>2197</v>
      </c>
      <c r="P21" s="102" t="s">
        <v>2197</v>
      </c>
      <c r="Q21" s="102" t="s">
        <v>2197</v>
      </c>
      <c r="R21" s="102" t="s">
        <v>2197</v>
      </c>
      <c r="S21" s="102" t="s">
        <v>2197</v>
      </c>
      <c r="T21" s="102" t="s">
        <v>2197</v>
      </c>
      <c r="U21" s="102" t="s">
        <v>2197</v>
      </c>
      <c r="V21" s="102" t="s">
        <v>2197</v>
      </c>
      <c r="W21" s="102" t="s">
        <v>2197</v>
      </c>
      <c r="X21" s="102" t="s">
        <v>2197</v>
      </c>
    </row>
    <row r="22" spans="2:29">
      <c r="B22" s="102"/>
      <c r="C22" s="102"/>
      <c r="D22" s="102"/>
      <c r="E22" s="120"/>
      <c r="F22" s="102"/>
      <c r="G22" s="102"/>
      <c r="H22" s="102"/>
      <c r="I22" s="102"/>
      <c r="J22" s="102"/>
      <c r="K22" s="102"/>
      <c r="L22" s="102"/>
      <c r="M22" s="102"/>
      <c r="N22" s="102"/>
      <c r="O22" s="102"/>
      <c r="P22" s="102"/>
      <c r="Q22" s="102"/>
      <c r="R22" s="102"/>
      <c r="S22" s="102"/>
      <c r="T22" s="102"/>
      <c r="U22" s="102"/>
    </row>
    <row r="23" spans="2:29">
      <c r="B23" s="110" t="s">
        <v>2251</v>
      </c>
    </row>
    <row r="24" spans="2:29">
      <c r="B24" s="111" t="s">
        <v>2252</v>
      </c>
      <c r="C24" s="112" t="s">
        <v>2190</v>
      </c>
      <c r="D24" s="112" t="s">
        <v>2191</v>
      </c>
      <c r="E24" s="112" t="s">
        <v>2192</v>
      </c>
      <c r="F24" s="112" t="s">
        <v>2193</v>
      </c>
      <c r="G24" s="112" t="s">
        <v>2194</v>
      </c>
      <c r="H24" s="112" t="s">
        <v>2195</v>
      </c>
      <c r="I24" s="113" t="str" cm="1">
        <f t="array" ref="I24:AC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source_code</v>
      </c>
      <c r="AB24" t="str">
        <v>data_date_part</v>
      </c>
      <c r="AC24" t="str">
        <v>data_timestamp_part</v>
      </c>
    </row>
    <row r="25" spans="2:29">
      <c r="B25" s="104" t="s">
        <v>2253</v>
      </c>
      <c r="C25" s="117">
        <v>21</v>
      </c>
      <c r="D25" s="106" t="s">
        <v>2254</v>
      </c>
      <c r="E25" s="105" t="s">
        <v>2255</v>
      </c>
      <c r="F25" s="105" t="s">
        <v>1101</v>
      </c>
      <c r="G25" s="105" t="s">
        <v>1101</v>
      </c>
      <c r="H25" s="105" t="s">
        <v>1101</v>
      </c>
      <c r="I25" s="105" t="str" cm="1">
        <f t="array" aca="1" ref="I25:AC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 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STRING</v>
      </c>
      <c r="AB25" t="str">
        <f ca="1"/>
        <v>STRING</v>
      </c>
      <c r="AC25" t="str">
        <f ca="1"/>
        <v>TIMESTAMP</v>
      </c>
    </row>
    <row r="26" spans="2:29" s="101" customFormat="1">
      <c r="B26" s="122" t="s">
        <v>2256</v>
      </c>
      <c r="C26" s="117">
        <v>7</v>
      </c>
      <c r="D26" s="123" t="s">
        <v>2254</v>
      </c>
      <c r="E26" s="117" t="s">
        <v>2255</v>
      </c>
      <c r="F26" s="117" t="s">
        <v>1101</v>
      </c>
      <c r="G26" s="117" t="s">
        <v>1101</v>
      </c>
      <c r="H26" s="117" t="s">
        <v>1101</v>
      </c>
      <c r="I26" s="117">
        <f ca="1"/>
        <v>4</v>
      </c>
      <c r="J26" s="117">
        <f ca="1"/>
        <v>30</v>
      </c>
      <c r="K26" s="117">
        <f ca="1"/>
        <v>9999999</v>
      </c>
      <c r="L26" s="117">
        <f ca="1"/>
        <v>9999999</v>
      </c>
      <c r="M26" s="117">
        <f ca="1"/>
        <v>10</v>
      </c>
      <c r="N26" s="117">
        <f ca="1"/>
        <v>6</v>
      </c>
      <c r="O26" s="117">
        <f ca="1"/>
        <v>4</v>
      </c>
      <c r="P26" s="117">
        <f ca="1"/>
        <v>4</v>
      </c>
      <c r="Q26" s="117">
        <f ca="1"/>
        <v>4</v>
      </c>
      <c r="R26" s="117">
        <f ca="1"/>
        <v>4</v>
      </c>
      <c r="S26" s="117">
        <f ca="1"/>
        <v>4</v>
      </c>
      <c r="T26" s="117">
        <f ca="1"/>
        <v>4</v>
      </c>
      <c r="U26" s="117">
        <f ca="1"/>
        <v>10</v>
      </c>
      <c r="V26" s="117">
        <f ca="1"/>
        <v>9999999</v>
      </c>
      <c r="W26" s="117">
        <f ca="1"/>
        <v>4</v>
      </c>
      <c r="X26" s="117">
        <f ca="1"/>
        <v>10</v>
      </c>
      <c r="Y26" s="101">
        <f ca="1"/>
        <v>10</v>
      </c>
      <c r="Z26" s="101">
        <f ca="1"/>
        <v>23</v>
      </c>
      <c r="AA26" s="101">
        <f ca="1"/>
        <v>2</v>
      </c>
      <c r="AB26" s="101">
        <f ca="1"/>
        <v>10</v>
      </c>
      <c r="AC26" s="101">
        <f ca="1"/>
        <v>23</v>
      </c>
    </row>
    <row r="27" spans="2:29">
      <c r="B27" t="s">
        <v>2479</v>
      </c>
    </row>
    <row r="29" spans="2:29">
      <c r="B29" s="127" t="s">
        <v>2257</v>
      </c>
    </row>
    <row r="30" spans="2:29">
      <c r="B30" s="136" t="s">
        <v>2258</v>
      </c>
      <c r="C30" s="136" t="s">
        <v>2259</v>
      </c>
      <c r="D30" s="137" t="s">
        <v>2260</v>
      </c>
      <c r="E30" s="136" t="s">
        <v>2261</v>
      </c>
      <c r="F30" s="136" t="s">
        <v>2262</v>
      </c>
      <c r="H30" s="222"/>
    </row>
    <row r="31" spans="2:29" ht="45.75">
      <c r="B31" s="134" t="s">
        <v>2515</v>
      </c>
      <c r="C31" s="87" t="s">
        <v>2325</v>
      </c>
      <c r="D31" s="87" t="s">
        <v>2546</v>
      </c>
      <c r="E31" s="87" t="s">
        <v>2547</v>
      </c>
      <c r="F31" s="199" t="s">
        <v>2275</v>
      </c>
    </row>
    <row r="32" spans="2:29" ht="45.75">
      <c r="B32" s="134" t="s">
        <v>2267</v>
      </c>
      <c r="C32" s="207" t="s">
        <v>716</v>
      </c>
      <c r="D32" s="207" t="s">
        <v>2548</v>
      </c>
      <c r="E32" s="207" t="s">
        <v>2549</v>
      </c>
      <c r="F32" s="221" t="s">
        <v>2322</v>
      </c>
      <c r="H32" s="190"/>
    </row>
    <row r="33" spans="2:8" ht="30.75">
      <c r="B33" s="134" t="s">
        <v>2267</v>
      </c>
      <c r="C33" s="207" t="s">
        <v>729</v>
      </c>
      <c r="D33" s="207" t="s">
        <v>2550</v>
      </c>
      <c r="E33" s="207" t="s">
        <v>2551</v>
      </c>
      <c r="F33" s="221" t="s">
        <v>2266</v>
      </c>
      <c r="H33" s="190"/>
    </row>
    <row r="34" spans="2:8" ht="30.75">
      <c r="B34" s="226" t="s">
        <v>2263</v>
      </c>
      <c r="C34" s="217" t="s">
        <v>737</v>
      </c>
      <c r="D34" s="207" t="s">
        <v>2518</v>
      </c>
      <c r="E34" s="207" t="s">
        <v>2552</v>
      </c>
      <c r="F34" s="221" t="s">
        <v>2266</v>
      </c>
      <c r="H34" s="190"/>
    </row>
    <row r="35" spans="2:8" ht="45.75">
      <c r="B35" s="134" t="s">
        <v>2271</v>
      </c>
      <c r="C35" s="207" t="s">
        <v>716</v>
      </c>
      <c r="D35" s="207" t="s">
        <v>2548</v>
      </c>
      <c r="E35" s="207" t="s">
        <v>2549</v>
      </c>
      <c r="F35" s="221" t="s">
        <v>2322</v>
      </c>
      <c r="H35" s="190"/>
    </row>
    <row r="36" spans="2:8" ht="61.5" customHeight="1">
      <c r="B36" s="134" t="s">
        <v>2271</v>
      </c>
      <c r="C36" s="207" t="s">
        <v>729</v>
      </c>
      <c r="D36" s="207" t="s">
        <v>2550</v>
      </c>
      <c r="E36" s="207" t="s">
        <v>2551</v>
      </c>
      <c r="F36" s="221" t="s">
        <v>2266</v>
      </c>
      <c r="H36" s="189"/>
    </row>
    <row r="37" spans="2:8" ht="30.75">
      <c r="B37" s="138" t="s">
        <v>2271</v>
      </c>
      <c r="C37" s="91" t="s">
        <v>737</v>
      </c>
      <c r="D37" s="91" t="s">
        <v>2518</v>
      </c>
      <c r="E37" s="91" t="s">
        <v>2553</v>
      </c>
      <c r="F37" s="135" t="s">
        <v>2266</v>
      </c>
    </row>
    <row r="38" spans="2:8" ht="60.75">
      <c r="B38" s="218" t="s">
        <v>2554</v>
      </c>
      <c r="C38" s="217" t="s">
        <v>767</v>
      </c>
      <c r="D38" s="217" t="s">
        <v>2555</v>
      </c>
      <c r="E38" s="217" t="s">
        <v>2556</v>
      </c>
      <c r="F38" s="221" t="s">
        <v>2275</v>
      </c>
    </row>
    <row r="39" spans="2:8" ht="48.75" customHeight="1">
      <c r="B39" s="218" t="s">
        <v>2271</v>
      </c>
      <c r="C39" s="217" t="s">
        <v>778</v>
      </c>
      <c r="D39" s="207" t="s">
        <v>2557</v>
      </c>
      <c r="E39" s="217" t="s">
        <v>2558</v>
      </c>
      <c r="F39" s="224" t="s">
        <v>2322</v>
      </c>
    </row>
    <row r="40" spans="2:8" ht="45.75">
      <c r="B40" s="218" t="s">
        <v>2271</v>
      </c>
      <c r="C40" s="217" t="s">
        <v>1640</v>
      </c>
      <c r="D40" s="217" t="s">
        <v>2559</v>
      </c>
      <c r="E40" s="217" t="s">
        <v>2560</v>
      </c>
      <c r="F40" s="219" t="s">
        <v>2561</v>
      </c>
    </row>
    <row r="41" spans="2:8" ht="30.75">
      <c r="B41" s="218" t="s">
        <v>2271</v>
      </c>
      <c r="C41" s="217" t="s">
        <v>927</v>
      </c>
      <c r="D41" s="217" t="s">
        <v>2562</v>
      </c>
      <c r="E41" s="217" t="s">
        <v>2563</v>
      </c>
      <c r="F41" s="225" t="s">
        <v>2266</v>
      </c>
    </row>
    <row r="42" spans="2:8" ht="30.75">
      <c r="B42" s="218" t="s">
        <v>2271</v>
      </c>
      <c r="C42" s="207" t="s">
        <v>1632</v>
      </c>
      <c r="D42" s="217" t="s">
        <v>2562</v>
      </c>
      <c r="E42" s="207" t="s">
        <v>2563</v>
      </c>
      <c r="F42" s="225" t="s">
        <v>2266</v>
      </c>
    </row>
    <row r="43" spans="2:8" ht="30.75">
      <c r="B43" s="218" t="s">
        <v>2271</v>
      </c>
      <c r="C43" s="217" t="s">
        <v>758</v>
      </c>
      <c r="D43" s="217" t="s">
        <v>2550</v>
      </c>
      <c r="E43" s="217" t="s">
        <v>2564</v>
      </c>
      <c r="F43" s="224" t="s">
        <v>2266</v>
      </c>
    </row>
    <row r="44" spans="2:8" ht="30.75">
      <c r="B44" s="218" t="s">
        <v>2297</v>
      </c>
      <c r="C44" s="217" t="s">
        <v>2325</v>
      </c>
      <c r="D44" s="217" t="s">
        <v>2565</v>
      </c>
      <c r="E44" s="217" t="s">
        <v>2566</v>
      </c>
      <c r="F44" s="224" t="s">
        <v>2266</v>
      </c>
    </row>
    <row r="45" spans="2:8" ht="30.75">
      <c r="B45" s="218" t="s">
        <v>2298</v>
      </c>
      <c r="C45" s="217" t="s">
        <v>2325</v>
      </c>
      <c r="D45" s="217" t="s">
        <v>2565</v>
      </c>
      <c r="E45" s="217" t="s">
        <v>2566</v>
      </c>
      <c r="F45" s="224" t="s">
        <v>2266</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13" t="s">
        <v>749</v>
      </c>
      <c r="O2" s="101" t="s">
        <v>758</v>
      </c>
      <c r="P2" s="101" t="s">
        <v>767</v>
      </c>
      <c r="Q2" s="113" t="s">
        <v>778</v>
      </c>
      <c r="R2" s="113" t="s">
        <v>791</v>
      </c>
      <c r="S2" s="101" t="s">
        <v>1681</v>
      </c>
      <c r="T2" s="101" t="s">
        <v>1530</v>
      </c>
      <c r="U2" s="101" t="s">
        <v>1424</v>
      </c>
      <c r="V2" s="101" t="s">
        <v>798</v>
      </c>
      <c r="W2" s="101" t="s">
        <v>806</v>
      </c>
      <c r="X2" s="101" t="s">
        <v>813</v>
      </c>
    </row>
    <row r="3" spans="2:24">
      <c r="B3" s="145" t="s">
        <v>2143</v>
      </c>
      <c r="C3" s="102">
        <v>1</v>
      </c>
      <c r="D3" s="102" t="s">
        <v>2567</v>
      </c>
      <c r="E3" s="120">
        <v>45513</v>
      </c>
      <c r="F3" s="102">
        <v>1</v>
      </c>
      <c r="G3" s="220" t="s">
        <v>2568</v>
      </c>
      <c r="H3" s="121">
        <v>2301</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c r="W3" s="102" t="s">
        <v>2197</v>
      </c>
      <c r="X3" s="102" t="s">
        <v>2197</v>
      </c>
    </row>
    <row r="4" spans="2:24">
      <c r="B4" s="145" t="s">
        <v>2145</v>
      </c>
      <c r="C4" s="102">
        <v>2</v>
      </c>
      <c r="D4" s="102" t="s">
        <v>2569</v>
      </c>
      <c r="E4" s="120">
        <v>45513</v>
      </c>
      <c r="F4" s="102">
        <v>1</v>
      </c>
      <c r="G4" s="220">
        <v>1</v>
      </c>
      <c r="H4" s="206" t="s">
        <v>2282</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c r="W4" s="102" t="s">
        <v>2197</v>
      </c>
      <c r="X4" s="102" t="s">
        <v>2197</v>
      </c>
    </row>
    <row r="5" spans="2:24">
      <c r="B5" s="145" t="s">
        <v>2147</v>
      </c>
      <c r="C5" s="102">
        <v>3</v>
      </c>
      <c r="D5" s="102" t="s">
        <v>2570</v>
      </c>
      <c r="E5" s="120">
        <v>45513</v>
      </c>
      <c r="F5" s="102">
        <v>1</v>
      </c>
      <c r="G5" s="220">
        <v>1</v>
      </c>
      <c r="H5" s="206" t="s">
        <v>2282</v>
      </c>
      <c r="I5" s="102">
        <v>0</v>
      </c>
      <c r="J5" s="102">
        <v>0</v>
      </c>
      <c r="K5" s="102">
        <v>0</v>
      </c>
      <c r="L5" s="102">
        <v>0</v>
      </c>
      <c r="M5" s="102" t="s">
        <v>2197</v>
      </c>
      <c r="N5" s="102">
        <v>0</v>
      </c>
      <c r="O5" s="102">
        <v>0</v>
      </c>
      <c r="P5" s="102" t="s">
        <v>2197</v>
      </c>
      <c r="Q5" s="102" t="s">
        <v>2197</v>
      </c>
      <c r="R5" s="102" t="s">
        <v>2197</v>
      </c>
      <c r="S5" s="102" t="s">
        <v>2197</v>
      </c>
      <c r="T5" s="102" t="s">
        <v>2197</v>
      </c>
      <c r="U5" s="102" t="s">
        <v>2197</v>
      </c>
      <c r="V5" s="102" t="s">
        <v>2197</v>
      </c>
      <c r="W5" s="102">
        <v>0</v>
      </c>
      <c r="X5" s="102" t="s">
        <v>2197</v>
      </c>
    </row>
    <row r="6" spans="2:24">
      <c r="B6" s="92" t="s">
        <v>2149</v>
      </c>
      <c r="C6" s="102">
        <v>4</v>
      </c>
      <c r="D6" s="102" t="s">
        <v>2202</v>
      </c>
      <c r="E6" s="120" t="s">
        <v>2197</v>
      </c>
      <c r="F6" s="102">
        <v>1</v>
      </c>
      <c r="G6" s="220" t="s">
        <v>2197</v>
      </c>
      <c r="H6" s="206"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c r="W6" s="102" t="s">
        <v>2197</v>
      </c>
      <c r="X6" s="102" t="s">
        <v>2197</v>
      </c>
    </row>
    <row r="7" spans="2:24">
      <c r="B7" s="92" t="s">
        <v>2151</v>
      </c>
      <c r="C7" s="102">
        <v>5</v>
      </c>
      <c r="D7" s="102" t="s">
        <v>2202</v>
      </c>
      <c r="E7" s="120" t="s">
        <v>2197</v>
      </c>
      <c r="F7" s="102">
        <v>1</v>
      </c>
      <c r="G7" s="220" t="s">
        <v>2197</v>
      </c>
      <c r="H7" s="206"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c r="W7" s="102" t="s">
        <v>2197</v>
      </c>
      <c r="X7" s="102" t="s">
        <v>2197</v>
      </c>
    </row>
    <row r="8" spans="2:24">
      <c r="B8" s="176" t="s">
        <v>2152</v>
      </c>
      <c r="C8" s="102">
        <v>6</v>
      </c>
      <c r="D8" s="102" t="s">
        <v>2571</v>
      </c>
      <c r="E8" s="120">
        <v>45513</v>
      </c>
      <c r="F8" s="102">
        <v>1</v>
      </c>
      <c r="G8" s="220" cm="1">
        <f t="array" ref="G8">SUMPRODUCT(--(I8:X8&gt;0))/COUNTA(I8:X8)</f>
        <v>0.8125</v>
      </c>
      <c r="H8" s="206" t="s">
        <v>2282</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2155</v>
      </c>
      <c r="C9" s="102">
        <v>7</v>
      </c>
      <c r="D9" s="102" t="s">
        <v>2572</v>
      </c>
      <c r="E9" s="120">
        <v>45513</v>
      </c>
      <c r="F9" s="102">
        <v>1</v>
      </c>
      <c r="G9" s="220" cm="1">
        <f t="array" aca="1" ref="G9" ca="1">SUMPRODUCT(--(I9:X9&lt;=I26:X26))/COUNTA(I9:X9)</f>
        <v>0.625</v>
      </c>
      <c r="H9" s="206" t="s">
        <v>2282</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2158</v>
      </c>
      <c r="C10" s="102">
        <v>8</v>
      </c>
      <c r="D10" s="102" t="s">
        <v>2573</v>
      </c>
      <c r="E10" s="120">
        <v>45513</v>
      </c>
      <c r="F10" s="102">
        <v>1</v>
      </c>
      <c r="G10" s="220" t="s">
        <v>2197</v>
      </c>
      <c r="H10" s="206" t="s">
        <v>2282</v>
      </c>
      <c r="I10" s="102">
        <v>31</v>
      </c>
      <c r="J10" s="102">
        <v>1.2221441750000001E+24</v>
      </c>
      <c r="K10" s="102">
        <v>1</v>
      </c>
      <c r="L10" s="102">
        <v>1</v>
      </c>
      <c r="M10" s="120" t="s">
        <v>2204</v>
      </c>
      <c r="N10" s="120">
        <v>45513</v>
      </c>
      <c r="O10" s="206">
        <v>5000000</v>
      </c>
      <c r="P10" s="102" t="e">
        <v>#N/A</v>
      </c>
      <c r="Q10" s="102">
        <v>840</v>
      </c>
      <c r="R10" s="120">
        <v>45505</v>
      </c>
      <c r="S10" s="102"/>
      <c r="T10" s="102"/>
      <c r="U10" s="149"/>
      <c r="V10" s="102" t="s">
        <v>2287</v>
      </c>
      <c r="W10" s="120">
        <v>45513</v>
      </c>
      <c r="X10" s="102" t="s">
        <v>2574</v>
      </c>
    </row>
    <row r="11" spans="2:24">
      <c r="B11" s="145" t="s">
        <v>2160</v>
      </c>
      <c r="C11" s="102">
        <v>9</v>
      </c>
      <c r="D11" s="102" t="s">
        <v>2575</v>
      </c>
      <c r="E11" s="120">
        <v>45513</v>
      </c>
      <c r="F11" s="102">
        <v>1</v>
      </c>
      <c r="G11" s="220" t="s">
        <v>2197</v>
      </c>
      <c r="H11" s="206" t="s">
        <v>2282</v>
      </c>
      <c r="I11" s="102">
        <v>31</v>
      </c>
      <c r="J11" s="102">
        <v>1.2221441750000001E+24</v>
      </c>
      <c r="K11" s="102">
        <v>1</v>
      </c>
      <c r="L11" s="102">
        <v>1</v>
      </c>
      <c r="M11" s="120" t="s">
        <v>2204</v>
      </c>
      <c r="N11" s="120">
        <v>45513</v>
      </c>
      <c r="O11" s="206" t="s">
        <v>2576</v>
      </c>
      <c r="P11" s="120" t="e">
        <v>#N/A</v>
      </c>
      <c r="Q11" s="102">
        <v>840</v>
      </c>
      <c r="R11" s="120">
        <v>45505</v>
      </c>
      <c r="S11" s="102" t="s">
        <v>2197</v>
      </c>
      <c r="T11" s="102" t="e">
        <v>#N/A</v>
      </c>
      <c r="U11" s="120" t="s">
        <v>2197</v>
      </c>
      <c r="V11" s="102" t="s">
        <v>2287</v>
      </c>
      <c r="W11" s="120">
        <v>45513</v>
      </c>
      <c r="X11" s="102" t="s">
        <v>2577</v>
      </c>
    </row>
    <row r="12" spans="2:24">
      <c r="B12" s="168" t="s">
        <v>2162</v>
      </c>
      <c r="C12" s="102">
        <v>10</v>
      </c>
      <c r="D12" s="102" t="s">
        <v>2578</v>
      </c>
      <c r="E12" s="120">
        <v>45513</v>
      </c>
      <c r="F12" s="102">
        <v>1</v>
      </c>
      <c r="G12" s="220" t="s">
        <v>2197</v>
      </c>
      <c r="H12" s="206" t="s">
        <v>2282</v>
      </c>
      <c r="I12" s="102">
        <v>31</v>
      </c>
      <c r="J12" s="102">
        <v>2.3370022502709698E+29</v>
      </c>
      <c r="K12" s="102">
        <v>20240163093</v>
      </c>
      <c r="L12" s="102">
        <v>2</v>
      </c>
      <c r="M12" s="120" t="s">
        <v>2204</v>
      </c>
      <c r="N12" s="120">
        <v>45513</v>
      </c>
      <c r="O12" s="206">
        <v>2530000000000</v>
      </c>
      <c r="P12" s="121">
        <v>1</v>
      </c>
      <c r="Q12" s="102" t="s">
        <v>2537</v>
      </c>
      <c r="R12" s="120">
        <v>45523</v>
      </c>
      <c r="S12" s="120" t="s">
        <v>2579</v>
      </c>
      <c r="T12" s="120" t="s">
        <v>2580</v>
      </c>
      <c r="U12" s="149">
        <v>80890001155867</v>
      </c>
      <c r="V12" s="102" t="s">
        <v>2345</v>
      </c>
      <c r="W12" s="120">
        <v>45513</v>
      </c>
      <c r="X12" s="102" t="s">
        <v>2574</v>
      </c>
    </row>
    <row r="13" spans="2:24">
      <c r="B13" s="145" t="s">
        <v>2164</v>
      </c>
      <c r="C13" s="102">
        <v>11</v>
      </c>
      <c r="D13" s="102" t="s">
        <v>2581</v>
      </c>
      <c r="E13" s="120">
        <v>45513</v>
      </c>
      <c r="F13" s="102">
        <v>1</v>
      </c>
      <c r="G13" s="220" t="s">
        <v>2197</v>
      </c>
      <c r="H13" s="206" t="s">
        <v>2282</v>
      </c>
      <c r="I13" s="102">
        <v>31</v>
      </c>
      <c r="J13" s="102">
        <v>2.3370022502709698E+29</v>
      </c>
      <c r="K13" s="102">
        <v>20240163093</v>
      </c>
      <c r="L13" s="102">
        <v>2</v>
      </c>
      <c r="M13" s="120" t="s">
        <v>2204</v>
      </c>
      <c r="N13" s="120">
        <v>45513</v>
      </c>
      <c r="O13" s="206" t="s">
        <v>2582</v>
      </c>
      <c r="P13" s="120">
        <v>1</v>
      </c>
      <c r="Q13" s="102" t="s">
        <v>2583</v>
      </c>
      <c r="R13" s="120">
        <v>45523</v>
      </c>
      <c r="S13" s="120" t="s">
        <v>2197</v>
      </c>
      <c r="T13" s="120" t="s">
        <v>2580</v>
      </c>
      <c r="U13" s="120" t="s">
        <v>2197</v>
      </c>
      <c r="V13" s="102" t="s">
        <v>2345</v>
      </c>
      <c r="W13" s="120">
        <v>45513</v>
      </c>
      <c r="X13" s="102" t="s">
        <v>2584</v>
      </c>
    </row>
    <row r="14" spans="2:24">
      <c r="B14" s="145" t="s">
        <v>2166</v>
      </c>
      <c r="C14" s="102">
        <v>12</v>
      </c>
      <c r="D14" s="102" t="s">
        <v>2585</v>
      </c>
      <c r="E14" s="120">
        <v>45513</v>
      </c>
      <c r="F14" s="102">
        <v>1</v>
      </c>
      <c r="G14" s="220" t="s">
        <v>2586</v>
      </c>
      <c r="H14" s="206" t="s">
        <v>2282</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2168</v>
      </c>
      <c r="C15" s="102">
        <v>13</v>
      </c>
      <c r="D15" s="102" t="s">
        <v>2587</v>
      </c>
      <c r="E15" s="120">
        <v>45513</v>
      </c>
      <c r="F15" s="102">
        <v>1</v>
      </c>
      <c r="G15" s="220">
        <v>1000000</v>
      </c>
      <c r="H15" s="206" t="s">
        <v>2282</v>
      </c>
      <c r="I15" s="102" t="s">
        <v>2197</v>
      </c>
      <c r="J15" s="102" t="s">
        <v>2197</v>
      </c>
      <c r="K15" s="102" t="s">
        <v>2197</v>
      </c>
      <c r="L15" s="92" t="s">
        <v>2197</v>
      </c>
      <c r="M15" s="92" t="s">
        <v>2197</v>
      </c>
      <c r="N15" s="92">
        <v>0</v>
      </c>
      <c r="O15" s="102" t="s">
        <v>2197</v>
      </c>
      <c r="P15" s="92" t="s">
        <v>2197</v>
      </c>
      <c r="Q15" s="92" t="s">
        <v>2197</v>
      </c>
      <c r="R15" s="92">
        <v>0</v>
      </c>
      <c r="S15" s="102" t="s">
        <v>2197</v>
      </c>
      <c r="T15" s="102" t="s">
        <v>2197</v>
      </c>
      <c r="U15" s="102" t="s">
        <v>2197</v>
      </c>
      <c r="V15" s="102" t="s">
        <v>2197</v>
      </c>
      <c r="W15" s="102" t="s">
        <v>2197</v>
      </c>
      <c r="X15" s="102" t="s">
        <v>2197</v>
      </c>
    </row>
    <row r="16" spans="2:24">
      <c r="B16" s="145" t="s">
        <v>2170</v>
      </c>
      <c r="C16" s="102">
        <v>14</v>
      </c>
      <c r="D16" s="102" t="s">
        <v>2588</v>
      </c>
      <c r="E16" s="120">
        <v>45513</v>
      </c>
      <c r="F16" s="102">
        <v>1</v>
      </c>
      <c r="G16" s="220">
        <v>1000000</v>
      </c>
      <c r="H16" s="206" t="s">
        <v>2282</v>
      </c>
      <c r="I16" s="102">
        <v>0</v>
      </c>
      <c r="J16" s="102">
        <v>0</v>
      </c>
      <c r="K16" s="102" t="s">
        <v>2197</v>
      </c>
      <c r="L16" s="102" t="s">
        <v>2197</v>
      </c>
      <c r="M16" s="92">
        <v>0</v>
      </c>
      <c r="N16" s="92" t="s">
        <v>2197</v>
      </c>
      <c r="O16" s="102" t="s">
        <v>2197</v>
      </c>
      <c r="P16" s="102">
        <v>0</v>
      </c>
      <c r="Q16" s="102">
        <v>0</v>
      </c>
      <c r="R16" s="92" t="s">
        <v>2197</v>
      </c>
      <c r="S16" s="102" t="s">
        <v>2197</v>
      </c>
      <c r="T16" s="102" t="s">
        <v>2197</v>
      </c>
      <c r="U16" s="102" t="s">
        <v>2197</v>
      </c>
      <c r="V16" s="102">
        <v>0</v>
      </c>
      <c r="W16" s="102" t="s">
        <v>2197</v>
      </c>
      <c r="X16" s="102" t="s">
        <v>2197</v>
      </c>
    </row>
    <row r="17" spans="2:31">
      <c r="B17" s="178" t="s">
        <v>2172</v>
      </c>
      <c r="C17" s="102">
        <v>15</v>
      </c>
      <c r="D17" s="102" t="s">
        <v>2589</v>
      </c>
      <c r="E17" s="120">
        <v>45513</v>
      </c>
      <c r="F17" s="102">
        <v>1</v>
      </c>
      <c r="G17" s="220" t="s">
        <v>2568</v>
      </c>
      <c r="H17" s="206">
        <v>1000000</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c r="W17" s="102" t="s">
        <v>2197</v>
      </c>
      <c r="X17" s="102" t="s">
        <v>2197</v>
      </c>
    </row>
    <row r="18" spans="2:31">
      <c r="B18" s="178" t="s">
        <v>2174</v>
      </c>
      <c r="C18" s="102">
        <v>16</v>
      </c>
      <c r="D18" s="102" t="s">
        <v>2589</v>
      </c>
      <c r="E18" s="120">
        <v>45513</v>
      </c>
      <c r="F18" s="102">
        <v>1</v>
      </c>
      <c r="G18" s="220">
        <v>1000000</v>
      </c>
      <c r="H18" s="206" t="s">
        <v>2282</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c r="W18" s="102" t="s">
        <v>2197</v>
      </c>
      <c r="X18" s="102" t="s">
        <v>2197</v>
      </c>
    </row>
    <row r="19" spans="2:31">
      <c r="B19" s="145" t="s">
        <v>2180</v>
      </c>
      <c r="C19" s="102">
        <v>19</v>
      </c>
      <c r="D19" s="102" t="s">
        <v>2590</v>
      </c>
      <c r="E19" s="120">
        <v>45513</v>
      </c>
      <c r="F19" s="102">
        <v>1</v>
      </c>
      <c r="G19" s="220" cm="1">
        <f t="array" aca="1" ref="G19" ca="1">SUMPRODUCT(--(ISNUMBER((SEARCH(I25:X25,I19:X19)))))/COUNTA(I19:X19)</f>
        <v>0.75</v>
      </c>
      <c r="H19" s="206" t="s">
        <v>2282</v>
      </c>
      <c r="I19" s="102" t="s">
        <v>2247</v>
      </c>
      <c r="J19" s="102" t="s">
        <v>2247</v>
      </c>
      <c r="K19" s="102" t="s">
        <v>2248</v>
      </c>
      <c r="L19" s="102" t="s">
        <v>2248</v>
      </c>
      <c r="M19" s="102" t="s">
        <v>2247</v>
      </c>
      <c r="N19" s="102" t="s">
        <v>2247</v>
      </c>
      <c r="O19" s="102" t="s">
        <v>2249</v>
      </c>
      <c r="P19" s="102" t="s">
        <v>2247</v>
      </c>
      <c r="Q19" s="102" t="s">
        <v>2247</v>
      </c>
      <c r="R19" s="102" t="s">
        <v>2247</v>
      </c>
      <c r="S19" s="102" t="s">
        <v>2247</v>
      </c>
      <c r="T19" s="102" t="s">
        <v>2247</v>
      </c>
      <c r="U19" s="102" t="s">
        <v>2247</v>
      </c>
      <c r="V19" s="102" t="s">
        <v>2247</v>
      </c>
      <c r="W19" s="102" t="s">
        <v>2247</v>
      </c>
      <c r="X19" s="102" t="s">
        <v>2250</v>
      </c>
    </row>
    <row r="20" spans="2:31">
      <c r="B20" s="145" t="s">
        <v>2183</v>
      </c>
      <c r="C20" s="102">
        <v>20</v>
      </c>
      <c r="D20" s="102"/>
      <c r="E20" s="120"/>
      <c r="F20" s="102"/>
      <c r="G20" s="220" cm="1">
        <f t="array" ref="G20">SUM(IF(I2:V2 = I24:V24, 1, 0))/ COUNTA(I2:V2)</f>
        <v>0.35714285714285715</v>
      </c>
      <c r="H20" s="102" t="s">
        <v>2197</v>
      </c>
      <c r="I20" s="102" t="s">
        <v>2197</v>
      </c>
      <c r="J20" s="102" t="s">
        <v>2197</v>
      </c>
      <c r="K20" s="102" t="s">
        <v>2197</v>
      </c>
      <c r="L20" s="102" t="s">
        <v>2197</v>
      </c>
      <c r="M20" s="102" t="s">
        <v>2197</v>
      </c>
      <c r="N20" s="102" t="s">
        <v>2197</v>
      </c>
      <c r="O20" s="102" t="s">
        <v>2197</v>
      </c>
      <c r="P20" s="102" t="s">
        <v>2197</v>
      </c>
      <c r="Q20" s="102" t="s">
        <v>2197</v>
      </c>
      <c r="R20" s="102" t="s">
        <v>2197</v>
      </c>
      <c r="S20" s="102" t="s">
        <v>2197</v>
      </c>
      <c r="T20" s="102" t="s">
        <v>2197</v>
      </c>
      <c r="U20" s="102" t="s">
        <v>2197</v>
      </c>
      <c r="V20" s="102" t="s">
        <v>2197</v>
      </c>
      <c r="W20" s="102"/>
      <c r="X20" s="102"/>
    </row>
    <row r="21" spans="2:31">
      <c r="B21" s="169" t="s">
        <v>2186</v>
      </c>
      <c r="C21" s="102">
        <v>21</v>
      </c>
      <c r="D21" s="102"/>
      <c r="E21" s="120"/>
      <c r="F21" s="102"/>
      <c r="G21" s="220" cm="1">
        <f t="array" aca="1" ref="G21" ca="1">SUM(IF(IF(G3:G20="null",1,G3:G20)=1,1,0))/COUNT(IF(G3:G20="null",1,1))</f>
        <v>0.44444444444444442</v>
      </c>
      <c r="H21" s="102" t="s">
        <v>2197</v>
      </c>
      <c r="I21" s="102" t="s">
        <v>2197</v>
      </c>
      <c r="J21" s="102" t="s">
        <v>2197</v>
      </c>
      <c r="K21" s="102" t="s">
        <v>2197</v>
      </c>
      <c r="L21" s="102" t="s">
        <v>2197</v>
      </c>
      <c r="M21" s="102" t="s">
        <v>2197</v>
      </c>
      <c r="N21" s="102" t="s">
        <v>2197</v>
      </c>
      <c r="O21" s="102" t="s">
        <v>2197</v>
      </c>
      <c r="P21" s="102" t="s">
        <v>2197</v>
      </c>
      <c r="Q21" s="102" t="s">
        <v>2197</v>
      </c>
      <c r="R21" s="102" t="s">
        <v>2197</v>
      </c>
      <c r="S21" s="102" t="s">
        <v>2197</v>
      </c>
      <c r="T21" s="102" t="s">
        <v>2197</v>
      </c>
      <c r="U21" s="102" t="s">
        <v>2197</v>
      </c>
      <c r="V21" s="102" t="s">
        <v>2197</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2251</v>
      </c>
    </row>
    <row r="24" spans="2:31">
      <c r="B24" s="111" t="s">
        <v>2252</v>
      </c>
      <c r="C24" s="112" t="s">
        <v>2190</v>
      </c>
      <c r="D24" s="112" t="s">
        <v>2191</v>
      </c>
      <c r="E24" s="112" t="s">
        <v>2192</v>
      </c>
      <c r="F24" s="112" t="s">
        <v>2193</v>
      </c>
      <c r="G24" s="112" t="s">
        <v>2194</v>
      </c>
      <c r="H24" s="112" t="s">
        <v>2195</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2253</v>
      </c>
      <c r="C25" s="117">
        <v>21</v>
      </c>
      <c r="D25" s="106" t="s">
        <v>2254</v>
      </c>
      <c r="E25" s="105" t="s">
        <v>2255</v>
      </c>
      <c r="F25" s="105" t="s">
        <v>1101</v>
      </c>
      <c r="G25" s="105" t="s">
        <v>1101</v>
      </c>
      <c r="H25" s="105" t="s">
        <v>1101</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 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2256</v>
      </c>
      <c r="C26" s="117">
        <v>7</v>
      </c>
      <c r="D26" s="123" t="s">
        <v>2254</v>
      </c>
      <c r="E26" s="117" t="s">
        <v>2255</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2479</v>
      </c>
    </row>
    <row r="29" spans="2:31">
      <c r="B29" s="127" t="s">
        <v>2257</v>
      </c>
    </row>
    <row r="30" spans="2:31">
      <c r="B30" s="136" t="s">
        <v>2258</v>
      </c>
      <c r="C30" s="136" t="s">
        <v>2259</v>
      </c>
      <c r="D30" s="137" t="s">
        <v>2260</v>
      </c>
      <c r="E30" s="136" t="s">
        <v>2261</v>
      </c>
      <c r="F30" s="136" t="s">
        <v>2262</v>
      </c>
      <c r="H30" s="222"/>
    </row>
    <row r="31" spans="2:31" ht="30.75">
      <c r="B31" s="226" t="s">
        <v>2263</v>
      </c>
      <c r="C31" s="217" t="s">
        <v>737</v>
      </c>
      <c r="D31" s="207" t="s">
        <v>2518</v>
      </c>
      <c r="E31" s="207" t="s">
        <v>2591</v>
      </c>
      <c r="F31" s="221" t="s">
        <v>2266</v>
      </c>
    </row>
    <row r="32" spans="2:31" ht="30.75">
      <c r="B32" s="226" t="s">
        <v>2271</v>
      </c>
      <c r="C32" s="217" t="s">
        <v>737</v>
      </c>
      <c r="D32" s="207" t="s">
        <v>2518</v>
      </c>
      <c r="E32" s="207" t="s">
        <v>2591</v>
      </c>
      <c r="F32" s="221" t="s">
        <v>2266</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13" t="s">
        <v>749</v>
      </c>
      <c r="O2" s="101" t="s">
        <v>758</v>
      </c>
      <c r="P2" s="101" t="s">
        <v>767</v>
      </c>
      <c r="Q2" s="113" t="s">
        <v>778</v>
      </c>
      <c r="R2" s="113" t="s">
        <v>791</v>
      </c>
      <c r="S2" s="101" t="s">
        <v>1681</v>
      </c>
      <c r="T2" s="101" t="s">
        <v>1530</v>
      </c>
      <c r="U2" s="101" t="s">
        <v>1424</v>
      </c>
      <c r="V2" s="101" t="s">
        <v>798</v>
      </c>
      <c r="W2" s="101" t="s">
        <v>806</v>
      </c>
      <c r="X2" s="101" t="s">
        <v>813</v>
      </c>
    </row>
    <row r="3" spans="2:24">
      <c r="B3" s="145" t="s">
        <v>2143</v>
      </c>
      <c r="C3" s="102">
        <v>1</v>
      </c>
      <c r="D3" s="102" t="s">
        <v>2592</v>
      </c>
      <c r="E3" s="120">
        <v>45513</v>
      </c>
      <c r="F3" s="102">
        <v>1</v>
      </c>
      <c r="G3" s="220">
        <v>1</v>
      </c>
      <c r="H3" s="121">
        <v>1205</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c r="W3" s="102" t="s">
        <v>2197</v>
      </c>
      <c r="X3" s="102" t="s">
        <v>2197</v>
      </c>
    </row>
    <row r="4" spans="2:24">
      <c r="B4" s="145" t="s">
        <v>2145</v>
      </c>
      <c r="C4" s="102">
        <v>2</v>
      </c>
      <c r="D4" s="102" t="s">
        <v>2593</v>
      </c>
      <c r="E4" s="120">
        <v>45513</v>
      </c>
      <c r="F4" s="102">
        <v>1</v>
      </c>
      <c r="G4" s="220">
        <v>1</v>
      </c>
      <c r="H4" s="206" t="s">
        <v>2282</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c r="W4" s="102" t="s">
        <v>2197</v>
      </c>
      <c r="X4" s="102" t="s">
        <v>2197</v>
      </c>
    </row>
    <row r="5" spans="2:24">
      <c r="B5" s="145" t="s">
        <v>2147</v>
      </c>
      <c r="C5" s="102">
        <v>3</v>
      </c>
      <c r="D5" s="102" t="s">
        <v>2594</v>
      </c>
      <c r="E5" s="120">
        <v>45513</v>
      </c>
      <c r="F5" s="102">
        <v>1</v>
      </c>
      <c r="G5" s="220">
        <v>1</v>
      </c>
      <c r="H5" s="206" t="s">
        <v>2282</v>
      </c>
      <c r="I5" s="102">
        <v>0</v>
      </c>
      <c r="J5" s="102">
        <v>0</v>
      </c>
      <c r="K5" s="102">
        <v>0</v>
      </c>
      <c r="L5" s="102">
        <v>0</v>
      </c>
      <c r="M5" s="102" t="s">
        <v>2197</v>
      </c>
      <c r="N5" s="102">
        <v>0</v>
      </c>
      <c r="O5" s="102">
        <v>0</v>
      </c>
      <c r="P5" s="102" t="s">
        <v>2197</v>
      </c>
      <c r="Q5" s="102" t="s">
        <v>2197</v>
      </c>
      <c r="R5" s="102" t="s">
        <v>2197</v>
      </c>
      <c r="S5" s="102" t="s">
        <v>2197</v>
      </c>
      <c r="T5" s="102" t="s">
        <v>2197</v>
      </c>
      <c r="U5" s="102" t="s">
        <v>2197</v>
      </c>
      <c r="V5" s="102" t="s">
        <v>2197</v>
      </c>
      <c r="W5" s="102">
        <v>0</v>
      </c>
      <c r="X5" s="102" t="s">
        <v>2197</v>
      </c>
    </row>
    <row r="6" spans="2:24">
      <c r="B6" s="92" t="s">
        <v>2149</v>
      </c>
      <c r="C6" s="102">
        <v>4</v>
      </c>
      <c r="D6" s="102" t="s">
        <v>2202</v>
      </c>
      <c r="E6" s="120" t="s">
        <v>2197</v>
      </c>
      <c r="F6" s="102">
        <v>1</v>
      </c>
      <c r="G6" s="220" t="s">
        <v>2197</v>
      </c>
      <c r="H6" s="206"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c r="W6" s="102" t="s">
        <v>2197</v>
      </c>
      <c r="X6" s="102" t="s">
        <v>2197</v>
      </c>
    </row>
    <row r="7" spans="2:24">
      <c r="B7" s="92" t="s">
        <v>2151</v>
      </c>
      <c r="C7" s="102">
        <v>5</v>
      </c>
      <c r="D7" s="102" t="s">
        <v>2202</v>
      </c>
      <c r="E7" s="120" t="s">
        <v>2197</v>
      </c>
      <c r="F7" s="102">
        <v>1</v>
      </c>
      <c r="G7" s="220" t="s">
        <v>2197</v>
      </c>
      <c r="H7" s="206"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c r="W7" s="102" t="s">
        <v>2197</v>
      </c>
      <c r="X7" s="102" t="s">
        <v>2197</v>
      </c>
    </row>
    <row r="8" spans="2:24">
      <c r="B8" s="176" t="s">
        <v>2152</v>
      </c>
      <c r="C8" s="102">
        <v>6</v>
      </c>
      <c r="D8" s="102" t="s">
        <v>2595</v>
      </c>
      <c r="E8" s="120">
        <v>45513</v>
      </c>
      <c r="F8" s="102">
        <v>1</v>
      </c>
      <c r="G8" s="220" cm="1">
        <f t="array" ref="G8">SUMPRODUCT(--(I8:X8&gt;0))/COUNTA(I8:X8)</f>
        <v>0.875</v>
      </c>
      <c r="H8" s="206" t="s">
        <v>2282</v>
      </c>
      <c r="I8" s="102">
        <v>2</v>
      </c>
      <c r="J8" s="102">
        <v>30</v>
      </c>
      <c r="K8" s="102">
        <v>1</v>
      </c>
      <c r="L8" s="102">
        <v>1</v>
      </c>
      <c r="M8" s="102" t="s">
        <v>2204</v>
      </c>
      <c r="N8" s="102">
        <v>10</v>
      </c>
      <c r="O8" s="102">
        <v>8</v>
      </c>
      <c r="P8" s="102">
        <v>1</v>
      </c>
      <c r="Q8" s="102">
        <v>3</v>
      </c>
      <c r="R8" s="102">
        <v>10</v>
      </c>
      <c r="S8" s="102">
        <v>0</v>
      </c>
      <c r="T8" s="102">
        <v>7</v>
      </c>
      <c r="U8" s="102">
        <v>0</v>
      </c>
      <c r="V8" s="102">
        <v>2</v>
      </c>
      <c r="W8" s="102">
        <v>10</v>
      </c>
      <c r="X8" s="102">
        <v>23</v>
      </c>
    </row>
    <row r="9" spans="2:24">
      <c r="B9" s="145" t="s">
        <v>2155</v>
      </c>
      <c r="C9" s="102">
        <v>7</v>
      </c>
      <c r="D9" s="102" t="s">
        <v>2596</v>
      </c>
      <c r="E9" s="120">
        <v>45513</v>
      </c>
      <c r="F9" s="102">
        <v>1</v>
      </c>
      <c r="G9" s="220" cm="1">
        <f t="array" aca="1" ref="G9" ca="1">SUMPRODUCT(--(I9:X9&lt;=I26:X26))/COUNTA(I9:X9)</f>
        <v>0.625</v>
      </c>
      <c r="H9" s="206" t="s">
        <v>2282</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2158</v>
      </c>
      <c r="C10" s="102">
        <v>8</v>
      </c>
      <c r="D10" s="102" t="s">
        <v>2597</v>
      </c>
      <c r="E10" s="120">
        <v>45513</v>
      </c>
      <c r="F10" s="102">
        <v>1</v>
      </c>
      <c r="G10" s="220" t="s">
        <v>2197</v>
      </c>
      <c r="H10" s="206" t="s">
        <v>2282</v>
      </c>
      <c r="I10" s="102">
        <v>31</v>
      </c>
      <c r="J10" s="102">
        <v>4.0142670650000004E+25</v>
      </c>
      <c r="K10" s="102">
        <v>1</v>
      </c>
      <c r="L10" s="102">
        <v>1</v>
      </c>
      <c r="M10" s="120" t="s">
        <v>2204</v>
      </c>
      <c r="N10" s="120">
        <v>45513</v>
      </c>
      <c r="O10" s="206" t="s">
        <v>2598</v>
      </c>
      <c r="P10" s="102">
        <v>1</v>
      </c>
      <c r="Q10" s="102">
        <v>36</v>
      </c>
      <c r="R10" s="120">
        <v>45182</v>
      </c>
      <c r="S10" s="102"/>
      <c r="T10" s="120" t="s">
        <v>2599</v>
      </c>
      <c r="U10" s="120"/>
      <c r="V10" s="102" t="s">
        <v>2287</v>
      </c>
      <c r="W10" s="120">
        <v>45513</v>
      </c>
      <c r="X10" s="102" t="s">
        <v>2600</v>
      </c>
    </row>
    <row r="11" spans="2:24">
      <c r="B11" s="145" t="s">
        <v>2160</v>
      </c>
      <c r="C11" s="102">
        <v>9</v>
      </c>
      <c r="D11" s="102" t="s">
        <v>2601</v>
      </c>
      <c r="E11" s="120">
        <v>45513</v>
      </c>
      <c r="F11" s="102">
        <v>1</v>
      </c>
      <c r="G11" s="220" t="s">
        <v>2197</v>
      </c>
      <c r="H11" s="206" t="s">
        <v>2282</v>
      </c>
      <c r="I11" s="102">
        <v>31</v>
      </c>
      <c r="J11" s="102">
        <v>4.0142670650000004E+25</v>
      </c>
      <c r="K11" s="102">
        <v>1</v>
      </c>
      <c r="L11" s="102">
        <v>1</v>
      </c>
      <c r="M11" s="120" t="s">
        <v>2204</v>
      </c>
      <c r="N11" s="120">
        <v>45513</v>
      </c>
      <c r="O11" s="206" t="s">
        <v>2598</v>
      </c>
      <c r="P11" s="120">
        <v>1</v>
      </c>
      <c r="Q11" s="102">
        <v>36</v>
      </c>
      <c r="R11" s="120">
        <v>45182</v>
      </c>
      <c r="S11" s="102"/>
      <c r="T11" s="120" t="s">
        <v>2599</v>
      </c>
      <c r="U11" s="120"/>
      <c r="V11" s="102" t="s">
        <v>2287</v>
      </c>
      <c r="W11" s="120">
        <v>45513</v>
      </c>
      <c r="X11" s="102" t="s">
        <v>2602</v>
      </c>
    </row>
    <row r="12" spans="2:24">
      <c r="B12" s="168" t="s">
        <v>2162</v>
      </c>
      <c r="C12" s="102">
        <v>10</v>
      </c>
      <c r="D12" s="102" t="s">
        <v>2603</v>
      </c>
      <c r="E12" s="120">
        <v>45513</v>
      </c>
      <c r="F12" s="102">
        <v>1</v>
      </c>
      <c r="G12" s="220" t="s">
        <v>2197</v>
      </c>
      <c r="H12" s="206" t="s">
        <v>2282</v>
      </c>
      <c r="I12" s="102">
        <v>31</v>
      </c>
      <c r="J12" s="102">
        <v>4.1600300001474002E+28</v>
      </c>
      <c r="K12" s="102">
        <v>99999</v>
      </c>
      <c r="L12" s="102">
        <v>1</v>
      </c>
      <c r="M12" s="120" t="s">
        <v>2204</v>
      </c>
      <c r="N12" s="121">
        <v>45513</v>
      </c>
      <c r="O12" s="206">
        <v>340000000000000</v>
      </c>
      <c r="P12" s="121">
        <v>1</v>
      </c>
      <c r="Q12" s="102">
        <v>985</v>
      </c>
      <c r="R12" s="120">
        <v>45521</v>
      </c>
      <c r="S12" s="120" t="s">
        <v>2604</v>
      </c>
      <c r="T12" s="120" t="s">
        <v>2605</v>
      </c>
      <c r="U12" s="120" t="s">
        <v>2605</v>
      </c>
      <c r="V12" s="102" t="s">
        <v>2287</v>
      </c>
      <c r="W12" s="120">
        <v>45513</v>
      </c>
      <c r="X12" s="102" t="s">
        <v>2600</v>
      </c>
    </row>
    <row r="13" spans="2:24">
      <c r="B13" s="145" t="s">
        <v>2164</v>
      </c>
      <c r="C13" s="102">
        <v>11</v>
      </c>
      <c r="D13" s="102" t="s">
        <v>2606</v>
      </c>
      <c r="E13" s="120">
        <v>45513</v>
      </c>
      <c r="F13" s="102">
        <v>1</v>
      </c>
      <c r="G13" s="220" t="s">
        <v>2197</v>
      </c>
      <c r="H13" s="206" t="s">
        <v>2282</v>
      </c>
      <c r="I13" s="102">
        <v>31</v>
      </c>
      <c r="J13" s="102">
        <v>4.1600300001474002E+28</v>
      </c>
      <c r="K13" s="102">
        <v>99999</v>
      </c>
      <c r="L13" s="102">
        <v>1</v>
      </c>
      <c r="M13" s="120" t="s">
        <v>2204</v>
      </c>
      <c r="N13" s="121">
        <v>45513</v>
      </c>
      <c r="O13" s="206">
        <v>340000000000000</v>
      </c>
      <c r="P13" s="120">
        <v>1</v>
      </c>
      <c r="Q13" s="102">
        <v>985</v>
      </c>
      <c r="R13" s="120">
        <v>45521</v>
      </c>
      <c r="S13" s="120" t="s">
        <v>2604</v>
      </c>
      <c r="T13" s="120" t="s">
        <v>2605</v>
      </c>
      <c r="U13" s="120" t="s">
        <v>2605</v>
      </c>
      <c r="V13" s="102" t="s">
        <v>2287</v>
      </c>
      <c r="W13" s="120">
        <v>45513</v>
      </c>
      <c r="X13" s="102" t="s">
        <v>2607</v>
      </c>
    </row>
    <row r="14" spans="2:24">
      <c r="B14" s="145" t="s">
        <v>2166</v>
      </c>
      <c r="C14" s="102">
        <v>12</v>
      </c>
      <c r="D14" s="102" t="s">
        <v>2608</v>
      </c>
      <c r="E14" s="120">
        <v>45513</v>
      </c>
      <c r="F14" s="102">
        <v>1</v>
      </c>
      <c r="G14" s="220" t="s">
        <v>2609</v>
      </c>
      <c r="H14" s="206" t="s">
        <v>2282</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2168</v>
      </c>
      <c r="C15" s="102">
        <v>13</v>
      </c>
      <c r="D15" s="102" t="s">
        <v>2610</v>
      </c>
      <c r="E15" s="120">
        <v>45513</v>
      </c>
      <c r="F15" s="102">
        <v>1</v>
      </c>
      <c r="G15" s="220">
        <v>1</v>
      </c>
      <c r="H15" s="206" t="s">
        <v>2282</v>
      </c>
      <c r="I15" s="102" t="s">
        <v>2197</v>
      </c>
      <c r="J15" s="102" t="s">
        <v>2197</v>
      </c>
      <c r="K15" s="102" t="s">
        <v>2197</v>
      </c>
      <c r="L15" s="92" t="s">
        <v>2197</v>
      </c>
      <c r="M15" s="92" t="s">
        <v>2197</v>
      </c>
      <c r="N15" s="92">
        <v>0</v>
      </c>
      <c r="O15" s="102" t="s">
        <v>2197</v>
      </c>
      <c r="P15" s="92" t="s">
        <v>2197</v>
      </c>
      <c r="Q15" s="92" t="s">
        <v>2197</v>
      </c>
      <c r="R15" s="92">
        <v>0</v>
      </c>
      <c r="S15" s="102" t="s">
        <v>2197</v>
      </c>
      <c r="T15" s="102" t="s">
        <v>2197</v>
      </c>
      <c r="U15" s="102" t="s">
        <v>2197</v>
      </c>
      <c r="V15" s="102" t="s">
        <v>2197</v>
      </c>
      <c r="W15" s="102" t="s">
        <v>2197</v>
      </c>
      <c r="X15" s="102" t="s">
        <v>2197</v>
      </c>
    </row>
    <row r="16" spans="2:24">
      <c r="B16" s="145" t="s">
        <v>2170</v>
      </c>
      <c r="C16" s="102">
        <v>14</v>
      </c>
      <c r="D16" s="102" t="s">
        <v>2611</v>
      </c>
      <c r="E16" s="120">
        <v>45513</v>
      </c>
      <c r="F16" s="102">
        <v>1</v>
      </c>
      <c r="G16" s="220">
        <v>1</v>
      </c>
      <c r="H16" s="206" t="s">
        <v>2282</v>
      </c>
      <c r="I16" s="102">
        <v>0</v>
      </c>
      <c r="J16" s="102">
        <v>0</v>
      </c>
      <c r="K16" s="102" t="s">
        <v>2197</v>
      </c>
      <c r="L16" s="102" t="s">
        <v>2197</v>
      </c>
      <c r="M16" s="92">
        <v>0</v>
      </c>
      <c r="N16" s="92" t="s">
        <v>2197</v>
      </c>
      <c r="O16" s="102" t="s">
        <v>2197</v>
      </c>
      <c r="P16" s="102" t="s">
        <v>2197</v>
      </c>
      <c r="Q16" s="102">
        <v>0</v>
      </c>
      <c r="R16" s="92" t="s">
        <v>2197</v>
      </c>
      <c r="S16" s="102" t="s">
        <v>2197</v>
      </c>
      <c r="T16" s="102">
        <v>0</v>
      </c>
      <c r="U16" s="102" t="s">
        <v>2197</v>
      </c>
      <c r="V16" s="102">
        <v>0</v>
      </c>
      <c r="W16" s="102" t="s">
        <v>2197</v>
      </c>
      <c r="X16" s="102" t="s">
        <v>2197</v>
      </c>
    </row>
    <row r="17" spans="2:31">
      <c r="B17" s="178" t="s">
        <v>2172</v>
      </c>
      <c r="C17" s="102">
        <v>15</v>
      </c>
      <c r="D17" s="102" t="s">
        <v>2612</v>
      </c>
      <c r="E17" s="120">
        <v>45513</v>
      </c>
      <c r="F17" s="102">
        <v>1</v>
      </c>
      <c r="G17" s="220">
        <v>1</v>
      </c>
      <c r="H17" s="206" t="s">
        <v>2282</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c r="W17" s="102" t="s">
        <v>2197</v>
      </c>
      <c r="X17" s="102" t="s">
        <v>2197</v>
      </c>
    </row>
    <row r="18" spans="2:31">
      <c r="B18" s="178" t="s">
        <v>2174</v>
      </c>
      <c r="C18" s="102">
        <v>16</v>
      </c>
      <c r="D18" s="102" t="s">
        <v>2612</v>
      </c>
      <c r="E18" s="120">
        <v>45513</v>
      </c>
      <c r="F18" s="102">
        <v>1</v>
      </c>
      <c r="G18" s="220">
        <v>1</v>
      </c>
      <c r="H18" s="206" t="s">
        <v>2282</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c r="W18" s="102" t="s">
        <v>2197</v>
      </c>
      <c r="X18" s="102" t="s">
        <v>2197</v>
      </c>
    </row>
    <row r="19" spans="2:31">
      <c r="B19" s="145" t="s">
        <v>2180</v>
      </c>
      <c r="C19" s="102">
        <v>19</v>
      </c>
      <c r="D19" s="102" t="s">
        <v>2613</v>
      </c>
      <c r="E19" s="120">
        <v>45513</v>
      </c>
      <c r="F19" s="102">
        <v>1</v>
      </c>
      <c r="G19" s="220" cm="1">
        <f t="array" aca="1" ref="G19" ca="1">SUMPRODUCT(--(ISNUMBER((SEARCH(I25:X25,I19:X19)))))/COUNTA(I19:X19)</f>
        <v>0.8125</v>
      </c>
      <c r="H19" s="206" t="s">
        <v>2282</v>
      </c>
      <c r="I19" s="102" t="s">
        <v>2247</v>
      </c>
      <c r="J19" s="102" t="s">
        <v>2247</v>
      </c>
      <c r="K19" s="102" t="s">
        <v>2248</v>
      </c>
      <c r="L19" s="102" t="s">
        <v>2248</v>
      </c>
      <c r="M19" s="102" t="s">
        <v>2247</v>
      </c>
      <c r="N19" s="102" t="s">
        <v>2247</v>
      </c>
      <c r="O19" s="102" t="s">
        <v>2249</v>
      </c>
      <c r="P19" s="102" t="s">
        <v>2247</v>
      </c>
      <c r="Q19" s="102" t="s">
        <v>2247</v>
      </c>
      <c r="R19" s="102" t="s">
        <v>2247</v>
      </c>
      <c r="S19" s="102" t="s">
        <v>2247</v>
      </c>
      <c r="T19" s="102" t="s">
        <v>2247</v>
      </c>
      <c r="U19" s="102" t="s">
        <v>2247</v>
      </c>
      <c r="V19" s="102" t="s">
        <v>2247</v>
      </c>
      <c r="W19" s="102" t="s">
        <v>2247</v>
      </c>
      <c r="X19" s="102" t="s">
        <v>2250</v>
      </c>
    </row>
    <row r="20" spans="2:31">
      <c r="B20" s="145" t="s">
        <v>2183</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c r="B21" s="169" t="s">
        <v>2186</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2251</v>
      </c>
    </row>
    <row r="24" spans="2:31">
      <c r="B24" s="111" t="s">
        <v>2252</v>
      </c>
      <c r="C24" s="112" t="s">
        <v>2190</v>
      </c>
      <c r="D24" s="112" t="s">
        <v>2191</v>
      </c>
      <c r="E24" s="112" t="s">
        <v>2192</v>
      </c>
      <c r="F24" s="112" t="s">
        <v>2193</v>
      </c>
      <c r="G24" s="112" t="s">
        <v>2194</v>
      </c>
      <c r="H24" s="112" t="s">
        <v>2195</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2253</v>
      </c>
      <c r="C25" s="117">
        <v>21</v>
      </c>
      <c r="D25" s="106" t="s">
        <v>2254</v>
      </c>
      <c r="E25" s="105" t="s">
        <v>2255</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232" t="str">
        <f ca="1"/>
        <v>DECIMAL</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2256</v>
      </c>
      <c r="C26" s="117">
        <v>7</v>
      </c>
      <c r="D26" s="123" t="s">
        <v>2254</v>
      </c>
      <c r="E26" s="117" t="s">
        <v>2255</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2257</v>
      </c>
    </row>
    <row r="30" spans="2:31">
      <c r="B30" s="136" t="s">
        <v>2258</v>
      </c>
      <c r="C30" s="136" t="s">
        <v>2259</v>
      </c>
      <c r="D30" s="136" t="s">
        <v>2260</v>
      </c>
      <c r="E30" s="136" t="s">
        <v>2261</v>
      </c>
      <c r="F30" s="136" t="s">
        <v>2262</v>
      </c>
      <c r="G30" s="228"/>
      <c r="H30" s="222"/>
    </row>
    <row r="31" spans="2:31" ht="60.75">
      <c r="B31" s="165" t="s">
        <v>2263</v>
      </c>
      <c r="C31" s="227" t="s">
        <v>737</v>
      </c>
      <c r="D31" s="227" t="s">
        <v>2518</v>
      </c>
      <c r="E31" s="227" t="s">
        <v>2614</v>
      </c>
      <c r="F31" s="92"/>
      <c r="G31" s="92"/>
    </row>
    <row r="32" spans="2:31" ht="60.75">
      <c r="B32" s="165" t="s">
        <v>2271</v>
      </c>
      <c r="C32" s="227" t="s">
        <v>737</v>
      </c>
      <c r="D32" s="227" t="s">
        <v>2518</v>
      </c>
      <c r="E32" s="227" t="s">
        <v>2614</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13" t="s">
        <v>778</v>
      </c>
      <c r="O2" s="101" t="s">
        <v>927</v>
      </c>
      <c r="P2" s="101" t="s">
        <v>791</v>
      </c>
      <c r="Q2" s="113" t="s">
        <v>749</v>
      </c>
      <c r="R2" s="113" t="s">
        <v>758</v>
      </c>
      <c r="S2" s="101" t="s">
        <v>798</v>
      </c>
      <c r="T2" s="101" t="s">
        <v>806</v>
      </c>
      <c r="U2" s="101" t="s">
        <v>813</v>
      </c>
      <c r="V2" s="101"/>
    </row>
    <row r="3" spans="2:22">
      <c r="B3" s="145" t="s">
        <v>2143</v>
      </c>
      <c r="C3" s="102">
        <v>1</v>
      </c>
      <c r="D3" s="102" t="s">
        <v>2615</v>
      </c>
      <c r="E3" s="120">
        <v>45499</v>
      </c>
      <c r="F3" s="102">
        <v>1</v>
      </c>
      <c r="G3" s="192">
        <v>1</v>
      </c>
      <c r="H3" s="174" t="s">
        <v>2616</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row>
    <row r="4" spans="2:22">
      <c r="B4" s="145" t="s">
        <v>2145</v>
      </c>
      <c r="C4" s="102">
        <v>2</v>
      </c>
      <c r="D4" s="102" t="s">
        <v>2617</v>
      </c>
      <c r="E4" s="120">
        <v>45499</v>
      </c>
      <c r="F4" s="102">
        <v>1</v>
      </c>
      <c r="G4" s="192">
        <v>1</v>
      </c>
      <c r="H4" s="206" t="s">
        <v>2282</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row>
    <row r="5" spans="2:22">
      <c r="B5" s="145" t="s">
        <v>2147</v>
      </c>
      <c r="C5" s="102">
        <v>3</v>
      </c>
      <c r="D5" s="102" t="s">
        <v>2618</v>
      </c>
      <c r="E5" s="120">
        <v>45499</v>
      </c>
      <c r="F5" s="102">
        <v>1</v>
      </c>
      <c r="G5" s="192">
        <v>1</v>
      </c>
      <c r="H5" s="206" t="s">
        <v>2282</v>
      </c>
      <c r="I5" s="102">
        <v>0</v>
      </c>
      <c r="J5" s="102">
        <v>0</v>
      </c>
      <c r="K5" s="102">
        <v>0</v>
      </c>
      <c r="L5" s="102">
        <v>0</v>
      </c>
      <c r="M5" s="102" t="s">
        <v>2197</v>
      </c>
      <c r="N5" s="102" t="s">
        <v>2197</v>
      </c>
      <c r="O5" s="102" t="s">
        <v>2197</v>
      </c>
      <c r="P5" s="102" t="s">
        <v>2197</v>
      </c>
      <c r="Q5" s="102" t="s">
        <v>2197</v>
      </c>
      <c r="R5" s="102" t="s">
        <v>2197</v>
      </c>
      <c r="S5" s="102" t="s">
        <v>2197</v>
      </c>
      <c r="T5" s="102" t="s">
        <v>2197</v>
      </c>
      <c r="U5" s="102" t="s">
        <v>2197</v>
      </c>
      <c r="V5" s="102"/>
    </row>
    <row r="6" spans="2:22">
      <c r="B6" s="92" t="s">
        <v>2149</v>
      </c>
      <c r="C6" s="102">
        <v>4</v>
      </c>
      <c r="D6" s="102" t="s">
        <v>2202</v>
      </c>
      <c r="E6" s="120" t="s">
        <v>2197</v>
      </c>
      <c r="F6" s="102">
        <v>1</v>
      </c>
      <c r="G6" s="120" t="s">
        <v>2197</v>
      </c>
      <c r="H6" s="206"/>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row>
    <row r="7" spans="2:22">
      <c r="B7" s="92" t="s">
        <v>2151</v>
      </c>
      <c r="C7" s="102">
        <v>5</v>
      </c>
      <c r="D7" s="102" t="s">
        <v>2202</v>
      </c>
      <c r="E7" s="120" t="s">
        <v>2197</v>
      </c>
      <c r="F7" s="102">
        <v>1</v>
      </c>
      <c r="G7" s="120" t="s">
        <v>2197</v>
      </c>
      <c r="H7" s="206"/>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row>
    <row r="8" spans="2:22">
      <c r="B8" s="176" t="s">
        <v>2152</v>
      </c>
      <c r="C8" s="102">
        <v>6</v>
      </c>
      <c r="D8" s="102" t="s">
        <v>2619</v>
      </c>
      <c r="E8" s="120">
        <v>45499</v>
      </c>
      <c r="F8" s="102">
        <v>1</v>
      </c>
      <c r="G8" s="220" cm="1">
        <f t="array" ref="G8">SUMPRODUCT(--(I8:U8&gt;0))/COUNTA(I8:U8)</f>
        <v>1</v>
      </c>
      <c r="H8" s="206" t="s">
        <v>2282</v>
      </c>
      <c r="I8" s="102">
        <v>2</v>
      </c>
      <c r="J8" s="102">
        <v>30</v>
      </c>
      <c r="K8" s="102">
        <v>1</v>
      </c>
      <c r="L8" s="102">
        <v>1</v>
      </c>
      <c r="M8" s="102" t="s">
        <v>2204</v>
      </c>
      <c r="N8" s="102">
        <v>3</v>
      </c>
      <c r="O8" s="102" t="s">
        <v>2204</v>
      </c>
      <c r="P8" s="102">
        <v>10</v>
      </c>
      <c r="Q8" s="102">
        <v>10</v>
      </c>
      <c r="R8" s="102">
        <v>8</v>
      </c>
      <c r="S8" s="102">
        <v>2</v>
      </c>
      <c r="T8" s="102">
        <v>10</v>
      </c>
      <c r="U8" s="102">
        <v>23</v>
      </c>
      <c r="V8" s="102"/>
    </row>
    <row r="9" spans="2:22">
      <c r="B9" s="145" t="s">
        <v>2155</v>
      </c>
      <c r="C9" s="102">
        <v>7</v>
      </c>
      <c r="D9" s="102" t="s">
        <v>2620</v>
      </c>
      <c r="E9" s="120">
        <v>45499</v>
      </c>
      <c r="F9" s="102">
        <v>1</v>
      </c>
      <c r="G9" s="220" cm="1">
        <f t="array" aca="1" ref="G9" ca="1">SUMPRODUCT(--(I9:U9&lt;=I26:U26))/COUNTA(I9:U9)</f>
        <v>0.53846153846153844</v>
      </c>
      <c r="H9" s="206" t="s">
        <v>2282</v>
      </c>
      <c r="I9" s="102">
        <v>2</v>
      </c>
      <c r="J9" s="102">
        <v>30</v>
      </c>
      <c r="K9" s="102">
        <v>2</v>
      </c>
      <c r="L9" s="102">
        <v>1</v>
      </c>
      <c r="M9" s="102" t="s">
        <v>2204</v>
      </c>
      <c r="N9" s="102">
        <v>3</v>
      </c>
      <c r="O9" s="102" t="s">
        <v>2204</v>
      </c>
      <c r="P9" s="102">
        <v>10</v>
      </c>
      <c r="Q9" s="102">
        <v>10</v>
      </c>
      <c r="R9" s="102">
        <v>15</v>
      </c>
      <c r="S9" s="102">
        <v>2</v>
      </c>
      <c r="T9" s="102">
        <v>10</v>
      </c>
      <c r="U9" s="102">
        <v>23</v>
      </c>
      <c r="V9" s="102"/>
    </row>
    <row r="10" spans="2:22">
      <c r="B10" s="145" t="s">
        <v>2158</v>
      </c>
      <c r="C10" s="102">
        <v>8</v>
      </c>
      <c r="D10" s="102" t="s">
        <v>2621</v>
      </c>
      <c r="E10" s="120">
        <v>45499</v>
      </c>
      <c r="F10" s="102">
        <v>1</v>
      </c>
      <c r="G10" s="120" t="s">
        <v>2197</v>
      </c>
      <c r="H10" s="206" t="s">
        <v>2282</v>
      </c>
      <c r="I10" s="102">
        <v>31</v>
      </c>
      <c r="J10" s="102">
        <v>6.6360035007149E+29</v>
      </c>
      <c r="K10" s="102">
        <v>0</v>
      </c>
      <c r="L10" s="102">
        <v>1</v>
      </c>
      <c r="M10" s="120" t="s">
        <v>2204</v>
      </c>
      <c r="N10" s="120" t="s">
        <v>2583</v>
      </c>
      <c r="O10" s="206" t="s">
        <v>2204</v>
      </c>
      <c r="P10" s="120" t="s">
        <v>2530</v>
      </c>
      <c r="Q10" s="120">
        <v>38889</v>
      </c>
      <c r="R10" s="120" t="s">
        <v>2282</v>
      </c>
      <c r="S10" s="102" t="s">
        <v>2622</v>
      </c>
      <c r="T10" s="120">
        <v>45499</v>
      </c>
      <c r="U10" s="149" t="s">
        <v>2623</v>
      </c>
      <c r="V10" s="102"/>
    </row>
    <row r="11" spans="2:22">
      <c r="B11" s="145" t="s">
        <v>2160</v>
      </c>
      <c r="C11" s="102">
        <v>9</v>
      </c>
      <c r="D11" s="102" t="s">
        <v>2624</v>
      </c>
      <c r="E11" s="120">
        <v>45499</v>
      </c>
      <c r="F11" s="102">
        <v>1</v>
      </c>
      <c r="G11" s="120" t="s">
        <v>2197</v>
      </c>
      <c r="H11" s="206" t="s">
        <v>2282</v>
      </c>
      <c r="I11" s="102">
        <v>31</v>
      </c>
      <c r="J11" s="102">
        <v>6.6360035007149E+29</v>
      </c>
      <c r="K11" s="102">
        <v>0</v>
      </c>
      <c r="L11" s="102">
        <v>1</v>
      </c>
      <c r="M11" s="120" t="s">
        <v>2204</v>
      </c>
      <c r="N11" s="120" t="s">
        <v>2583</v>
      </c>
      <c r="O11" s="206" t="s">
        <v>2204</v>
      </c>
      <c r="P11" s="120" t="s">
        <v>2530</v>
      </c>
      <c r="Q11" s="120">
        <v>38889</v>
      </c>
      <c r="R11" s="120" t="s">
        <v>2625</v>
      </c>
      <c r="S11" s="102" t="s">
        <v>2622</v>
      </c>
      <c r="T11" s="120">
        <v>45499</v>
      </c>
      <c r="U11" s="120" t="s">
        <v>2626</v>
      </c>
      <c r="V11" s="102"/>
    </row>
    <row r="12" spans="2:22">
      <c r="B12" s="168" t="s">
        <v>2162</v>
      </c>
      <c r="C12" s="102">
        <v>10</v>
      </c>
      <c r="D12" s="102" t="s">
        <v>2627</v>
      </c>
      <c r="E12" s="120">
        <v>45499</v>
      </c>
      <c r="F12" s="102">
        <v>1</v>
      </c>
      <c r="G12" s="120" t="s">
        <v>2197</v>
      </c>
      <c r="H12" s="206" t="s">
        <v>2282</v>
      </c>
      <c r="I12" s="102">
        <v>31</v>
      </c>
      <c r="J12" s="102">
        <v>8.8780036000000504E+29</v>
      </c>
      <c r="K12" s="102">
        <v>99</v>
      </c>
      <c r="L12" s="102">
        <v>1</v>
      </c>
      <c r="M12" s="120" t="s">
        <v>2204</v>
      </c>
      <c r="N12" s="121" t="s">
        <v>2234</v>
      </c>
      <c r="O12" s="206" t="s">
        <v>2204</v>
      </c>
      <c r="P12" s="120">
        <v>45506</v>
      </c>
      <c r="Q12" s="120">
        <v>45504</v>
      </c>
      <c r="R12" s="120">
        <v>27068804000000</v>
      </c>
      <c r="S12" s="120" t="s">
        <v>2628</v>
      </c>
      <c r="T12" s="120">
        <v>45504</v>
      </c>
      <c r="U12" s="149" t="s">
        <v>2623</v>
      </c>
      <c r="V12" s="102"/>
    </row>
    <row r="13" spans="2:22">
      <c r="B13" s="145" t="s">
        <v>2164</v>
      </c>
      <c r="C13" s="102">
        <v>11</v>
      </c>
      <c r="D13" s="102" t="s">
        <v>2629</v>
      </c>
      <c r="E13" s="120">
        <v>45499</v>
      </c>
      <c r="F13" s="102">
        <v>1</v>
      </c>
      <c r="G13" s="120" t="s">
        <v>2197</v>
      </c>
      <c r="H13" s="206" t="s">
        <v>2282</v>
      </c>
      <c r="I13" s="102">
        <v>31</v>
      </c>
      <c r="J13" s="102">
        <v>8.8780036000000504E+29</v>
      </c>
      <c r="K13" s="102">
        <v>99</v>
      </c>
      <c r="L13" s="102">
        <v>1</v>
      </c>
      <c r="M13" s="120" t="s">
        <v>2204</v>
      </c>
      <c r="N13" s="121" t="s">
        <v>2234</v>
      </c>
      <c r="O13" s="206" t="s">
        <v>2204</v>
      </c>
      <c r="P13" s="120">
        <v>45506</v>
      </c>
      <c r="Q13" s="120">
        <v>45504</v>
      </c>
      <c r="R13" s="120" t="s">
        <v>2630</v>
      </c>
      <c r="S13" s="120" t="s">
        <v>2628</v>
      </c>
      <c r="T13" s="120">
        <v>45504</v>
      </c>
      <c r="U13" s="120" t="s">
        <v>2631</v>
      </c>
      <c r="V13" s="102"/>
    </row>
    <row r="14" spans="2:22">
      <c r="B14" s="145" t="s">
        <v>2166</v>
      </c>
      <c r="C14" s="102">
        <v>12</v>
      </c>
      <c r="D14" s="102" t="s">
        <v>2632</v>
      </c>
      <c r="E14" s="120">
        <v>45499</v>
      </c>
      <c r="F14" s="102">
        <v>1</v>
      </c>
      <c r="G14" s="149">
        <v>0.85</v>
      </c>
      <c r="H14" s="206" t="s">
        <v>2282</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2168</v>
      </c>
      <c r="C15" s="102">
        <v>13</v>
      </c>
      <c r="D15" s="102" t="s">
        <v>2633</v>
      </c>
      <c r="E15" s="120">
        <v>45499</v>
      </c>
      <c r="F15" s="102">
        <v>1</v>
      </c>
      <c r="G15" s="192">
        <v>1</v>
      </c>
      <c r="H15" s="206" t="s">
        <v>2282</v>
      </c>
      <c r="I15" s="102" t="s">
        <v>2197</v>
      </c>
      <c r="J15" s="102" t="s">
        <v>2197</v>
      </c>
      <c r="K15" s="102" t="s">
        <v>2197</v>
      </c>
      <c r="L15" s="92" t="s">
        <v>2197</v>
      </c>
      <c r="M15" s="92" t="s">
        <v>2197</v>
      </c>
      <c r="N15" s="92" t="s">
        <v>2197</v>
      </c>
      <c r="O15" s="102" t="s">
        <v>2197</v>
      </c>
      <c r="P15" s="92">
        <v>0</v>
      </c>
      <c r="Q15" s="92">
        <v>0</v>
      </c>
      <c r="R15" s="92" t="s">
        <v>2197</v>
      </c>
      <c r="S15" s="102" t="s">
        <v>2197</v>
      </c>
      <c r="T15" s="102" t="s">
        <v>2197</v>
      </c>
      <c r="U15" s="102" t="s">
        <v>2197</v>
      </c>
      <c r="V15" s="102"/>
    </row>
    <row r="16" spans="2:22">
      <c r="B16" s="145" t="s">
        <v>2170</v>
      </c>
      <c r="C16" s="102">
        <v>14</v>
      </c>
      <c r="D16" s="102" t="s">
        <v>2634</v>
      </c>
      <c r="E16" s="120">
        <v>45499</v>
      </c>
      <c r="F16" s="102">
        <v>1</v>
      </c>
      <c r="G16" s="192">
        <v>1</v>
      </c>
      <c r="H16" s="206" t="s">
        <v>2282</v>
      </c>
      <c r="I16" s="102">
        <v>0</v>
      </c>
      <c r="J16" s="102">
        <v>0</v>
      </c>
      <c r="K16" s="102" t="s">
        <v>2197</v>
      </c>
      <c r="L16" s="102" t="s">
        <v>2197</v>
      </c>
      <c r="M16" s="92">
        <v>0</v>
      </c>
      <c r="N16" s="92">
        <v>0</v>
      </c>
      <c r="O16" s="102" t="s">
        <v>2197</v>
      </c>
      <c r="P16" s="102" t="s">
        <v>2197</v>
      </c>
      <c r="Q16" s="102" t="s">
        <v>2197</v>
      </c>
      <c r="R16" s="92" t="s">
        <v>2197</v>
      </c>
      <c r="S16" s="102">
        <v>0</v>
      </c>
      <c r="T16" s="102" t="s">
        <v>2197</v>
      </c>
      <c r="U16" s="102" t="s">
        <v>2197</v>
      </c>
      <c r="V16" s="102"/>
    </row>
    <row r="17" spans="2:22">
      <c r="B17" s="178" t="s">
        <v>2172</v>
      </c>
      <c r="C17" s="102">
        <v>15</v>
      </c>
      <c r="D17" s="102" t="s">
        <v>2635</v>
      </c>
      <c r="E17" s="120">
        <v>45499</v>
      </c>
      <c r="F17" s="102">
        <v>1</v>
      </c>
      <c r="G17" s="192">
        <v>1</v>
      </c>
      <c r="H17" s="206" t="s">
        <v>2282</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row>
    <row r="18" spans="2:22">
      <c r="B18" s="178" t="s">
        <v>2174</v>
      </c>
      <c r="C18" s="102">
        <v>16</v>
      </c>
      <c r="D18" s="102" t="s">
        <v>2635</v>
      </c>
      <c r="E18" s="120">
        <v>45499</v>
      </c>
      <c r="F18" s="102">
        <v>1</v>
      </c>
      <c r="G18" s="192">
        <v>1</v>
      </c>
      <c r="H18" s="206" t="s">
        <v>2282</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row>
    <row r="19" spans="2:22">
      <c r="B19" s="145" t="s">
        <v>2180</v>
      </c>
      <c r="C19" s="102">
        <v>19</v>
      </c>
      <c r="D19" s="102" t="s">
        <v>2636</v>
      </c>
      <c r="E19" s="120">
        <v>45499</v>
      </c>
      <c r="F19" s="102">
        <v>1</v>
      </c>
      <c r="G19" s="220" cm="1">
        <f t="array" aca="1" ref="G19" ca="1">SUMPRODUCT(--(ISNUMBER((SEARCH(I25:U25,I19:U19)))))/COUNTA(I19:U19)</f>
        <v>0.76923076923076927</v>
      </c>
      <c r="H19" s="206" t="s">
        <v>2282</v>
      </c>
      <c r="I19" s="102" t="s">
        <v>2247</v>
      </c>
      <c r="J19" s="102" t="s">
        <v>2247</v>
      </c>
      <c r="K19" s="102" t="s">
        <v>2248</v>
      </c>
      <c r="L19" s="102" t="s">
        <v>2248</v>
      </c>
      <c r="M19" s="102" t="s">
        <v>2247</v>
      </c>
      <c r="N19" s="102" t="s">
        <v>2247</v>
      </c>
      <c r="O19" s="102" t="s">
        <v>2247</v>
      </c>
      <c r="P19" s="102" t="s">
        <v>2247</v>
      </c>
      <c r="Q19" s="102" t="s">
        <v>2247</v>
      </c>
      <c r="R19" s="102" t="s">
        <v>2249</v>
      </c>
      <c r="S19" s="102" t="s">
        <v>2247</v>
      </c>
      <c r="T19" s="102" t="s">
        <v>2247</v>
      </c>
      <c r="U19" s="102" t="s">
        <v>2250</v>
      </c>
      <c r="V19" s="102"/>
    </row>
    <row r="20" spans="2:22">
      <c r="B20" s="145" t="s">
        <v>2183</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2186</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2251</v>
      </c>
    </row>
    <row r="24" spans="2:22">
      <c r="B24" s="111" t="s">
        <v>2252</v>
      </c>
      <c r="C24" s="112" t="s">
        <v>2190</v>
      </c>
      <c r="D24" s="112" t="s">
        <v>2191</v>
      </c>
      <c r="E24" s="112" t="s">
        <v>2192</v>
      </c>
      <c r="F24" s="112" t="s">
        <v>2193</v>
      </c>
      <c r="G24" s="112" t="s">
        <v>2194</v>
      </c>
      <c r="H24" s="112" t="s">
        <v>2195</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2253</v>
      </c>
      <c r="C25" s="117">
        <v>21</v>
      </c>
      <c r="D25" s="106" t="s">
        <v>2254</v>
      </c>
      <c r="E25" s="105" t="s">
        <v>2255</v>
      </c>
      <c r="F25" s="105" t="s">
        <v>1101</v>
      </c>
      <c r="G25" s="105" t="s">
        <v>1101</v>
      </c>
      <c r="H25" s="105" t="s">
        <v>1101</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2256</v>
      </c>
      <c r="C26" s="117">
        <v>7</v>
      </c>
      <c r="D26" s="123" t="s">
        <v>2254</v>
      </c>
      <c r="E26" s="117" t="s">
        <v>2255</v>
      </c>
      <c r="F26" s="117" t="s">
        <v>1101</v>
      </c>
      <c r="G26" s="117" t="s">
        <v>1101</v>
      </c>
      <c r="H26" s="117" t="s">
        <v>1101</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2257</v>
      </c>
    </row>
    <row r="30" spans="2:22">
      <c r="B30" s="136" t="s">
        <v>2258</v>
      </c>
      <c r="C30" s="136" t="s">
        <v>2259</v>
      </c>
      <c r="D30" s="136" t="s">
        <v>2260</v>
      </c>
      <c r="E30" s="136" t="s">
        <v>2261</v>
      </c>
      <c r="F30" s="136" t="s">
        <v>2262</v>
      </c>
      <c r="G30" s="228"/>
      <c r="H30" s="222"/>
    </row>
    <row r="31" spans="2:22" ht="60.75">
      <c r="B31" s="165" t="s">
        <v>2263</v>
      </c>
      <c r="C31" s="227" t="s">
        <v>737</v>
      </c>
      <c r="D31" s="227" t="s">
        <v>2518</v>
      </c>
      <c r="E31" s="227" t="s">
        <v>2637</v>
      </c>
      <c r="F31" s="92"/>
      <c r="G31" s="92"/>
    </row>
    <row r="32" spans="2:22" ht="30.75">
      <c r="B32" s="165" t="s">
        <v>2263</v>
      </c>
      <c r="C32" s="227" t="s">
        <v>927</v>
      </c>
      <c r="D32" s="227" t="s">
        <v>2638</v>
      </c>
      <c r="E32" s="227" t="s">
        <v>2637</v>
      </c>
      <c r="F32" s="92"/>
      <c r="G32" s="92"/>
    </row>
    <row r="33" spans="2:8" ht="60.75">
      <c r="B33" s="165" t="s">
        <v>2271</v>
      </c>
      <c r="C33" s="227" t="s">
        <v>737</v>
      </c>
      <c r="D33" s="227" t="s">
        <v>2518</v>
      </c>
      <c r="E33" s="227" t="s">
        <v>2637</v>
      </c>
      <c r="F33" s="92"/>
      <c r="G33" s="92"/>
      <c r="H33" s="190"/>
    </row>
    <row r="34" spans="2:8" ht="30.75">
      <c r="B34" s="102" t="s">
        <v>2271</v>
      </c>
      <c r="C34" s="92" t="s">
        <v>927</v>
      </c>
      <c r="D34" s="92" t="s">
        <v>2638</v>
      </c>
      <c r="E34" s="227" t="s">
        <v>2637</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13" t="s">
        <v>767</v>
      </c>
      <c r="O2" s="101" t="s">
        <v>960</v>
      </c>
      <c r="P2" s="101" t="s">
        <v>778</v>
      </c>
      <c r="Q2" s="113" t="s">
        <v>791</v>
      </c>
      <c r="R2" s="113" t="s">
        <v>749</v>
      </c>
      <c r="S2" s="101" t="s">
        <v>758</v>
      </c>
      <c r="T2" s="101" t="s">
        <v>1424</v>
      </c>
      <c r="U2" s="101" t="s">
        <v>798</v>
      </c>
      <c r="V2" s="101" t="s">
        <v>806</v>
      </c>
      <c r="W2" s="101" t="s">
        <v>813</v>
      </c>
    </row>
    <row r="3" spans="2:23">
      <c r="B3" s="145" t="s">
        <v>2143</v>
      </c>
      <c r="C3" s="102">
        <v>1</v>
      </c>
      <c r="D3" s="102" t="s">
        <v>2639</v>
      </c>
      <c r="E3" s="120">
        <v>45537</v>
      </c>
      <c r="F3" s="102">
        <v>1</v>
      </c>
      <c r="G3" s="192">
        <v>1</v>
      </c>
      <c r="H3" s="174" t="s">
        <v>2640</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c r="W3" s="102" t="s">
        <v>2197</v>
      </c>
    </row>
    <row r="4" spans="2:23">
      <c r="B4" s="145" t="s">
        <v>2145</v>
      </c>
      <c r="C4" s="102">
        <v>2</v>
      </c>
      <c r="D4" s="102" t="s">
        <v>2641</v>
      </c>
      <c r="E4" s="120">
        <v>45537</v>
      </c>
      <c r="F4" s="102">
        <v>1</v>
      </c>
      <c r="G4" s="192">
        <v>1</v>
      </c>
      <c r="H4" s="206" t="s">
        <v>2282</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c r="W4" s="102" t="s">
        <v>2197</v>
      </c>
    </row>
    <row r="5" spans="2:23">
      <c r="B5" s="145" t="s">
        <v>2147</v>
      </c>
      <c r="C5" s="102">
        <v>3</v>
      </c>
      <c r="D5" s="102" t="s">
        <v>2642</v>
      </c>
      <c r="E5" s="120">
        <v>45537</v>
      </c>
      <c r="F5" s="102">
        <v>1</v>
      </c>
      <c r="G5" s="192">
        <v>1</v>
      </c>
      <c r="H5" s="206" t="s">
        <v>2282</v>
      </c>
      <c r="I5" s="102">
        <v>0</v>
      </c>
      <c r="J5" s="102">
        <v>0</v>
      </c>
      <c r="K5" s="102">
        <v>0</v>
      </c>
      <c r="L5" s="102">
        <v>0</v>
      </c>
      <c r="M5" s="102" t="s">
        <v>2197</v>
      </c>
      <c r="N5" s="102" t="s">
        <v>2197</v>
      </c>
      <c r="O5" s="102" t="s">
        <v>2197</v>
      </c>
      <c r="P5" s="102" t="s">
        <v>2197</v>
      </c>
      <c r="Q5" s="102" t="s">
        <v>2197</v>
      </c>
      <c r="R5" s="102" t="s">
        <v>2197</v>
      </c>
      <c r="S5" s="102">
        <v>0</v>
      </c>
      <c r="T5" s="102" t="s">
        <v>2197</v>
      </c>
      <c r="U5" s="102" t="s">
        <v>2197</v>
      </c>
      <c r="V5" s="102">
        <v>0</v>
      </c>
      <c r="W5" s="102" t="s">
        <v>2197</v>
      </c>
    </row>
    <row r="6" spans="2:23">
      <c r="B6" s="92" t="s">
        <v>2149</v>
      </c>
      <c r="C6" s="102">
        <v>4</v>
      </c>
      <c r="D6" s="102" t="s">
        <v>2202</v>
      </c>
      <c r="E6" s="120" t="s">
        <v>2197</v>
      </c>
      <c r="F6" s="102">
        <v>1</v>
      </c>
      <c r="G6" s="120" t="s">
        <v>2197</v>
      </c>
      <c r="H6" s="206"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c r="W6" s="102" t="s">
        <v>2197</v>
      </c>
    </row>
    <row r="7" spans="2:23">
      <c r="B7" s="92" t="s">
        <v>2151</v>
      </c>
      <c r="C7" s="102">
        <v>5</v>
      </c>
      <c r="D7" s="102" t="s">
        <v>2202</v>
      </c>
      <c r="E7" s="120" t="s">
        <v>2197</v>
      </c>
      <c r="F7" s="102">
        <v>1</v>
      </c>
      <c r="G7" s="120" t="s">
        <v>2197</v>
      </c>
      <c r="H7" s="206"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c r="W7" s="102" t="s">
        <v>2197</v>
      </c>
    </row>
    <row r="8" spans="2:23">
      <c r="B8" s="176" t="s">
        <v>2152</v>
      </c>
      <c r="C8" s="102">
        <v>6</v>
      </c>
      <c r="D8" s="102" t="s">
        <v>2643</v>
      </c>
      <c r="E8" s="120">
        <v>45537</v>
      </c>
      <c r="F8" s="102">
        <v>1</v>
      </c>
      <c r="G8" s="220" cm="1">
        <f t="array" ref="G8">SUMPRODUCT(--(I8:W8&gt;0))/COUNTA(I8:W8)</f>
        <v>1</v>
      </c>
      <c r="H8" s="206" t="s">
        <v>2282</v>
      </c>
      <c r="I8" s="102">
        <v>2</v>
      </c>
      <c r="J8" s="102">
        <v>30</v>
      </c>
      <c r="K8" s="102">
        <v>8</v>
      </c>
      <c r="L8" s="102">
        <v>1</v>
      </c>
      <c r="M8" s="102" t="s">
        <v>2204</v>
      </c>
      <c r="N8" s="102">
        <v>3</v>
      </c>
      <c r="O8" s="102">
        <v>1</v>
      </c>
      <c r="P8" s="102">
        <v>1</v>
      </c>
      <c r="Q8" s="102">
        <v>10</v>
      </c>
      <c r="R8" s="102">
        <v>10</v>
      </c>
      <c r="S8" s="102">
        <v>8</v>
      </c>
      <c r="T8" s="102">
        <v>6</v>
      </c>
      <c r="U8" s="102">
        <v>2</v>
      </c>
      <c r="V8" s="102">
        <v>10</v>
      </c>
      <c r="W8" s="102">
        <v>23</v>
      </c>
    </row>
    <row r="9" spans="2:23">
      <c r="B9" s="145" t="s">
        <v>2155</v>
      </c>
      <c r="C9" s="102">
        <v>7</v>
      </c>
      <c r="D9" s="102" t="s">
        <v>2644</v>
      </c>
      <c r="E9" s="120">
        <v>45537</v>
      </c>
      <c r="F9" s="102">
        <v>1</v>
      </c>
      <c r="G9" s="220" cm="1">
        <f t="array" aca="1" ref="G9" ca="1">SUMPRODUCT(--(I9:W9&lt;=I26:W26))/COUNTA(I9:W9)</f>
        <v>1</v>
      </c>
      <c r="H9" s="206" t="s">
        <v>2282</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2158</v>
      </c>
      <c r="C10" s="102">
        <v>8</v>
      </c>
      <c r="D10" s="102" t="s">
        <v>2645</v>
      </c>
      <c r="E10" s="120">
        <v>45537</v>
      </c>
      <c r="F10" s="102">
        <v>1</v>
      </c>
      <c r="G10" s="120" t="s">
        <v>2197</v>
      </c>
      <c r="H10" s="206" t="s">
        <v>2282</v>
      </c>
      <c r="I10" s="102">
        <v>90</v>
      </c>
      <c r="J10" s="102">
        <v>1.6200600044999999E+20</v>
      </c>
      <c r="K10" s="102">
        <v>29300594</v>
      </c>
      <c r="L10" s="102">
        <v>1</v>
      </c>
      <c r="M10" s="120" t="s">
        <v>2204</v>
      </c>
      <c r="N10" s="102">
        <v>978</v>
      </c>
      <c r="O10" s="206">
        <v>0</v>
      </c>
      <c r="P10" s="102">
        <v>0</v>
      </c>
      <c r="Q10" s="120">
        <v>45535</v>
      </c>
      <c r="R10" s="120">
        <v>45532</v>
      </c>
      <c r="S10" s="174" t="s">
        <v>2646</v>
      </c>
      <c r="T10" s="120" t="s">
        <v>2647</v>
      </c>
      <c r="U10" s="149" t="s">
        <v>2648</v>
      </c>
      <c r="V10" s="120">
        <v>45537</v>
      </c>
      <c r="W10" s="102" t="s">
        <v>2649</v>
      </c>
    </row>
    <row r="11" spans="2:23">
      <c r="B11" s="145" t="s">
        <v>2160</v>
      </c>
      <c r="C11" s="102">
        <v>9</v>
      </c>
      <c r="D11" s="102" t="s">
        <v>2650</v>
      </c>
      <c r="E11" s="120">
        <v>45537</v>
      </c>
      <c r="F11" s="102">
        <v>1</v>
      </c>
      <c r="G11" s="120" t="s">
        <v>2197</v>
      </c>
      <c r="H11" s="206" t="s">
        <v>2282</v>
      </c>
      <c r="I11" s="102">
        <v>90</v>
      </c>
      <c r="J11" s="102">
        <v>1.6200600044999999E+20</v>
      </c>
      <c r="K11" s="102">
        <v>29300594</v>
      </c>
      <c r="L11" s="102">
        <v>1</v>
      </c>
      <c r="M11" s="120" t="s">
        <v>2204</v>
      </c>
      <c r="N11" s="102">
        <v>0</v>
      </c>
      <c r="O11" s="206">
        <v>0</v>
      </c>
      <c r="P11" s="102">
        <v>978</v>
      </c>
      <c r="Q11" s="120">
        <v>45535</v>
      </c>
      <c r="R11" s="120">
        <v>45532</v>
      </c>
      <c r="S11" s="102" t="s">
        <v>2651</v>
      </c>
      <c r="T11" s="120" t="s">
        <v>2647</v>
      </c>
      <c r="U11" s="120" t="s">
        <v>2648</v>
      </c>
      <c r="V11" s="120">
        <v>45537</v>
      </c>
      <c r="W11" s="102" t="s">
        <v>2652</v>
      </c>
    </row>
    <row r="12" spans="2:23">
      <c r="B12" s="168" t="s">
        <v>2162</v>
      </c>
      <c r="C12" s="102">
        <v>10</v>
      </c>
      <c r="D12" s="102" t="s">
        <v>2653</v>
      </c>
      <c r="E12" s="120">
        <v>45537</v>
      </c>
      <c r="F12" s="102">
        <v>1</v>
      </c>
      <c r="G12" s="120" t="s">
        <v>2197</v>
      </c>
      <c r="H12" s="206" t="s">
        <v>2282</v>
      </c>
      <c r="I12" s="102">
        <v>90</v>
      </c>
      <c r="J12" s="102">
        <v>9.0010020004199997E+21</v>
      </c>
      <c r="K12" s="102">
        <v>29329211</v>
      </c>
      <c r="L12" s="102">
        <v>3</v>
      </c>
      <c r="M12" s="120" t="s">
        <v>2204</v>
      </c>
      <c r="N12" s="121">
        <v>978</v>
      </c>
      <c r="O12" s="206">
        <v>1</v>
      </c>
      <c r="P12" s="102">
        <v>1</v>
      </c>
      <c r="Q12" s="120">
        <v>45537</v>
      </c>
      <c r="R12" s="120">
        <v>45537</v>
      </c>
      <c r="S12" s="262" t="s">
        <v>2654</v>
      </c>
      <c r="T12" s="120" t="s">
        <v>2655</v>
      </c>
      <c r="U12" s="149" t="s">
        <v>2648</v>
      </c>
      <c r="V12" s="120">
        <v>45537</v>
      </c>
      <c r="W12" s="102" t="s">
        <v>2649</v>
      </c>
    </row>
    <row r="13" spans="2:23">
      <c r="B13" s="145" t="s">
        <v>2164</v>
      </c>
      <c r="C13" s="102">
        <v>11</v>
      </c>
      <c r="D13" s="102" t="s">
        <v>2656</v>
      </c>
      <c r="E13" s="120">
        <v>45537</v>
      </c>
      <c r="F13" s="102">
        <v>1</v>
      </c>
      <c r="G13" s="120" t="s">
        <v>2197</v>
      </c>
      <c r="H13" s="206" t="s">
        <v>2282</v>
      </c>
      <c r="I13" s="102">
        <v>90</v>
      </c>
      <c r="J13" s="102">
        <v>9.0010020004199997E+21</v>
      </c>
      <c r="K13" s="102">
        <v>29329211</v>
      </c>
      <c r="L13" s="102">
        <v>3</v>
      </c>
      <c r="M13" s="120" t="s">
        <v>2204</v>
      </c>
      <c r="N13" s="121">
        <v>1</v>
      </c>
      <c r="O13" s="206">
        <v>1</v>
      </c>
      <c r="P13" s="102">
        <v>978</v>
      </c>
      <c r="Q13" s="120">
        <v>45537</v>
      </c>
      <c r="R13" s="120">
        <v>45537</v>
      </c>
      <c r="S13" s="120" t="s">
        <v>2657</v>
      </c>
      <c r="T13" s="120" t="s">
        <v>2655</v>
      </c>
      <c r="U13" s="120" t="s">
        <v>2648</v>
      </c>
      <c r="V13" s="120">
        <v>45537</v>
      </c>
      <c r="W13" s="102" t="s">
        <v>2658</v>
      </c>
    </row>
    <row r="14" spans="2:23">
      <c r="B14" s="145" t="s">
        <v>2166</v>
      </c>
      <c r="C14" s="102">
        <v>12</v>
      </c>
      <c r="D14" s="102" t="s">
        <v>2659</v>
      </c>
      <c r="E14" s="120">
        <v>45537</v>
      </c>
      <c r="F14" s="102">
        <v>1</v>
      </c>
      <c r="G14" s="149" t="s">
        <v>2660</v>
      </c>
      <c r="H14" s="206" t="s">
        <v>2282</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2168</v>
      </c>
      <c r="C15" s="102">
        <v>13</v>
      </c>
      <c r="D15" s="102" t="s">
        <v>2661</v>
      </c>
      <c r="E15" s="120">
        <v>45537</v>
      </c>
      <c r="F15" s="102">
        <v>1</v>
      </c>
      <c r="G15" s="192">
        <v>1</v>
      </c>
      <c r="H15" s="206" t="s">
        <v>2282</v>
      </c>
      <c r="I15" s="102" t="s">
        <v>2197</v>
      </c>
      <c r="J15" s="102" t="s">
        <v>2197</v>
      </c>
      <c r="K15" s="102" t="s">
        <v>2197</v>
      </c>
      <c r="L15" s="92" t="s">
        <v>2197</v>
      </c>
      <c r="M15" s="92" t="s">
        <v>2197</v>
      </c>
      <c r="N15" s="92" t="s">
        <v>2197</v>
      </c>
      <c r="O15" s="102" t="s">
        <v>2197</v>
      </c>
      <c r="P15" s="92" t="s">
        <v>2197</v>
      </c>
      <c r="Q15" s="92">
        <v>0</v>
      </c>
      <c r="R15" s="92">
        <v>0</v>
      </c>
      <c r="S15" s="102" t="s">
        <v>2197</v>
      </c>
      <c r="T15" s="102" t="s">
        <v>2197</v>
      </c>
      <c r="U15" s="102" t="s">
        <v>2197</v>
      </c>
      <c r="V15" s="102" t="s">
        <v>2197</v>
      </c>
      <c r="W15" s="102" t="s">
        <v>2197</v>
      </c>
    </row>
    <row r="16" spans="2:23">
      <c r="B16" s="145" t="s">
        <v>2170</v>
      </c>
      <c r="C16" s="102">
        <v>14</v>
      </c>
      <c r="D16" s="102" t="s">
        <v>2662</v>
      </c>
      <c r="E16" s="120">
        <v>45537</v>
      </c>
      <c r="F16" s="102">
        <v>1</v>
      </c>
      <c r="G16" s="192">
        <v>1</v>
      </c>
      <c r="H16" s="206" t="s">
        <v>2282</v>
      </c>
      <c r="I16" s="102">
        <v>0</v>
      </c>
      <c r="J16" s="102">
        <v>0</v>
      </c>
      <c r="K16" s="102" t="s">
        <v>2197</v>
      </c>
      <c r="L16" s="102" t="s">
        <v>2197</v>
      </c>
      <c r="M16" s="92">
        <v>0</v>
      </c>
      <c r="N16" s="92" t="s">
        <v>2197</v>
      </c>
      <c r="O16" s="102" t="s">
        <v>2197</v>
      </c>
      <c r="P16" s="102">
        <v>0</v>
      </c>
      <c r="Q16" s="102" t="s">
        <v>2197</v>
      </c>
      <c r="R16" s="92" t="s">
        <v>2197</v>
      </c>
      <c r="S16" s="102" t="s">
        <v>2197</v>
      </c>
      <c r="T16" s="102" t="s">
        <v>2197</v>
      </c>
      <c r="U16" s="102" t="s">
        <v>2197</v>
      </c>
      <c r="V16" s="102" t="s">
        <v>2197</v>
      </c>
      <c r="W16" s="102" t="s">
        <v>2197</v>
      </c>
    </row>
    <row r="17" spans="2:23">
      <c r="B17" s="178" t="s">
        <v>2172</v>
      </c>
      <c r="C17" s="102">
        <v>15</v>
      </c>
      <c r="D17" s="102" t="s">
        <v>2663</v>
      </c>
      <c r="E17" s="120">
        <v>45537</v>
      </c>
      <c r="F17" s="102">
        <v>1</v>
      </c>
      <c r="G17" s="192">
        <v>1</v>
      </c>
      <c r="H17" s="206" t="s">
        <v>2282</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c r="W17" s="102" t="s">
        <v>2197</v>
      </c>
    </row>
    <row r="18" spans="2:23">
      <c r="B18" s="178" t="s">
        <v>2174</v>
      </c>
      <c r="C18" s="102">
        <v>16</v>
      </c>
      <c r="D18" s="102" t="s">
        <v>2663</v>
      </c>
      <c r="E18" s="120">
        <v>45537</v>
      </c>
      <c r="F18" s="102">
        <v>1</v>
      </c>
      <c r="G18" s="192">
        <v>1</v>
      </c>
      <c r="H18" s="206" t="s">
        <v>2282</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c r="W18" s="102" t="s">
        <v>2197</v>
      </c>
    </row>
    <row r="19" spans="2:23">
      <c r="B19" s="145" t="s">
        <v>2180</v>
      </c>
      <c r="C19" s="102">
        <v>19</v>
      </c>
      <c r="D19" s="102" t="s">
        <v>2664</v>
      </c>
      <c r="E19" s="120">
        <v>45537</v>
      </c>
      <c r="F19" s="102">
        <v>1</v>
      </c>
      <c r="G19" s="220" cm="1">
        <f t="array" aca="1" ref="G19" ca="1">SUMPRODUCT(--(ISNUMBER((SEARCH(I25:W25,I19:W19)))))/COUNTA(I19:W19)</f>
        <v>1</v>
      </c>
      <c r="H19" s="206" t="s">
        <v>2282</v>
      </c>
      <c r="I19" s="102" t="s">
        <v>2247</v>
      </c>
      <c r="J19" s="102" t="s">
        <v>2247</v>
      </c>
      <c r="K19" s="102" t="s">
        <v>2248</v>
      </c>
      <c r="L19" s="102" t="s">
        <v>2248</v>
      </c>
      <c r="M19" s="102" t="s">
        <v>2247</v>
      </c>
      <c r="N19" s="102" t="s">
        <v>2247</v>
      </c>
      <c r="O19" s="102" t="s">
        <v>2247</v>
      </c>
      <c r="P19" s="102" t="s">
        <v>2247</v>
      </c>
      <c r="Q19" s="102" t="s">
        <v>2247</v>
      </c>
      <c r="R19" s="102" t="s">
        <v>2247</v>
      </c>
      <c r="S19" s="102" t="s">
        <v>2249</v>
      </c>
      <c r="T19" s="102" t="s">
        <v>2247</v>
      </c>
      <c r="U19" s="102" t="s">
        <v>2247</v>
      </c>
      <c r="V19" s="102" t="s">
        <v>2247</v>
      </c>
      <c r="W19" s="102" t="s">
        <v>2250</v>
      </c>
    </row>
    <row r="20" spans="2:23">
      <c r="B20" s="145" t="s">
        <v>2183</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2186</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2251</v>
      </c>
    </row>
    <row r="24" spans="2:23">
      <c r="B24" s="111" t="s">
        <v>2252</v>
      </c>
      <c r="C24" s="112" t="s">
        <v>2190</v>
      </c>
      <c r="D24" s="112" t="s">
        <v>2191</v>
      </c>
      <c r="E24" s="112" t="s">
        <v>2192</v>
      </c>
      <c r="F24" s="112" t="s">
        <v>2193</v>
      </c>
      <c r="G24" s="112" t="s">
        <v>2194</v>
      </c>
      <c r="H24" s="112" t="s">
        <v>2195</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2253</v>
      </c>
      <c r="C25" s="117">
        <v>21</v>
      </c>
      <c r="D25" s="106" t="s">
        <v>2254</v>
      </c>
      <c r="E25" s="105" t="s">
        <v>2255</v>
      </c>
      <c r="F25" s="105" t="s">
        <v>1101</v>
      </c>
      <c r="G25" s="105" t="s">
        <v>1101</v>
      </c>
      <c r="H25" s="105" t="s">
        <v>1101</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2256</v>
      </c>
      <c r="C26" s="117">
        <v>7</v>
      </c>
      <c r="D26" s="123" t="s">
        <v>2254</v>
      </c>
      <c r="E26" s="117" t="s">
        <v>2255</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2257</v>
      </c>
    </row>
    <row r="30" spans="2:23">
      <c r="B30" s="136" t="s">
        <v>2258</v>
      </c>
      <c r="C30" s="136" t="s">
        <v>2259</v>
      </c>
      <c r="D30" s="136" t="s">
        <v>2260</v>
      </c>
      <c r="E30" s="136" t="s">
        <v>2261</v>
      </c>
      <c r="F30" s="136" t="s">
        <v>2262</v>
      </c>
      <c r="G30" s="228"/>
      <c r="H30" s="222"/>
    </row>
    <row r="31" spans="2:23" ht="60.75">
      <c r="B31" s="165" t="s">
        <v>2263</v>
      </c>
      <c r="C31" s="227" t="s">
        <v>737</v>
      </c>
      <c r="D31" s="227" t="s">
        <v>2518</v>
      </c>
      <c r="E31" s="227" t="s">
        <v>2665</v>
      </c>
      <c r="F31" s="92"/>
      <c r="G31" s="92"/>
    </row>
    <row r="32" spans="2:23" ht="60.75">
      <c r="B32" s="165" t="s">
        <v>2271</v>
      </c>
      <c r="C32" s="227" t="s">
        <v>737</v>
      </c>
      <c r="D32" s="227" t="s">
        <v>2518</v>
      </c>
      <c r="E32" s="227" t="s">
        <v>2665</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2189</v>
      </c>
      <c r="C2" s="101" t="s">
        <v>2190</v>
      </c>
      <c r="D2" s="101" t="s">
        <v>2191</v>
      </c>
      <c r="E2" s="101" t="s">
        <v>2192</v>
      </c>
      <c r="F2" s="101" t="s">
        <v>2193</v>
      </c>
      <c r="G2" s="101" t="s">
        <v>2194</v>
      </c>
      <c r="H2" s="101" t="s">
        <v>2195</v>
      </c>
      <c r="I2" s="101" t="s">
        <v>691</v>
      </c>
      <c r="J2" s="101" t="s">
        <v>706</v>
      </c>
      <c r="K2" s="101" t="s">
        <v>716</v>
      </c>
      <c r="L2" s="101" t="s">
        <v>729</v>
      </c>
      <c r="M2" s="101" t="s">
        <v>737</v>
      </c>
      <c r="N2" s="113" t="s">
        <v>749</v>
      </c>
      <c r="O2" s="101" t="s">
        <v>758</v>
      </c>
      <c r="P2" s="101" t="s">
        <v>767</v>
      </c>
      <c r="Q2" s="113" t="s">
        <v>778</v>
      </c>
      <c r="R2" s="113" t="s">
        <v>791</v>
      </c>
      <c r="S2" s="101" t="s">
        <v>906</v>
      </c>
      <c r="T2" s="101" t="s">
        <v>914</v>
      </c>
      <c r="U2" s="101" t="s">
        <v>1080</v>
      </c>
      <c r="V2" s="101" t="s">
        <v>1408</v>
      </c>
      <c r="W2" s="101" t="s">
        <v>1681</v>
      </c>
      <c r="X2" s="101" t="s">
        <v>1530</v>
      </c>
      <c r="Y2" s="101" t="s">
        <v>1554</v>
      </c>
      <c r="Z2" s="101" t="s">
        <v>1424</v>
      </c>
      <c r="AA2" s="101" t="s">
        <v>1706</v>
      </c>
      <c r="AB2" s="101" t="s">
        <v>1693</v>
      </c>
      <c r="AC2" s="101" t="s">
        <v>798</v>
      </c>
      <c r="AD2" s="101" t="s">
        <v>806</v>
      </c>
      <c r="AE2" s="101" t="s">
        <v>813</v>
      </c>
    </row>
    <row r="3" spans="2:31">
      <c r="B3" s="145" t="s">
        <v>2143</v>
      </c>
      <c r="C3" s="102">
        <v>1</v>
      </c>
      <c r="D3" s="102" t="s">
        <v>2666</v>
      </c>
      <c r="E3" s="120">
        <v>45559</v>
      </c>
      <c r="F3" s="102">
        <v>1</v>
      </c>
      <c r="G3" s="192">
        <v>1</v>
      </c>
      <c r="H3" s="174" t="s">
        <v>2667</v>
      </c>
      <c r="I3" s="102" t="s">
        <v>2197</v>
      </c>
      <c r="J3" s="102" t="s">
        <v>2197</v>
      </c>
      <c r="K3" s="102" t="s">
        <v>2197</v>
      </c>
      <c r="L3" s="102" t="s">
        <v>2197</v>
      </c>
      <c r="M3" s="102" t="s">
        <v>2197</v>
      </c>
      <c r="N3" s="102" t="s">
        <v>2197</v>
      </c>
      <c r="O3" s="102" t="s">
        <v>2197</v>
      </c>
      <c r="P3" s="102" t="s">
        <v>2197</v>
      </c>
      <c r="Q3" s="102" t="s">
        <v>2197</v>
      </c>
      <c r="R3" s="102" t="s">
        <v>2197</v>
      </c>
      <c r="S3" s="102" t="s">
        <v>2197</v>
      </c>
      <c r="T3" s="102" t="s">
        <v>2197</v>
      </c>
      <c r="U3" s="102" t="s">
        <v>2197</v>
      </c>
      <c r="V3" s="102" t="s">
        <v>2197</v>
      </c>
      <c r="W3" s="102" t="s">
        <v>2197</v>
      </c>
      <c r="X3" s="102" t="s">
        <v>2197</v>
      </c>
      <c r="Y3" s="102" t="s">
        <v>2197</v>
      </c>
      <c r="Z3" s="102" t="s">
        <v>2197</v>
      </c>
      <c r="AA3" s="102" t="s">
        <v>2197</v>
      </c>
      <c r="AB3" s="102" t="s">
        <v>2197</v>
      </c>
      <c r="AC3" s="102" t="s">
        <v>2197</v>
      </c>
      <c r="AD3" s="102" t="s">
        <v>2197</v>
      </c>
      <c r="AE3" s="102" t="s">
        <v>2197</v>
      </c>
    </row>
    <row r="4" spans="2:31">
      <c r="B4" s="145" t="s">
        <v>2145</v>
      </c>
      <c r="C4" s="102">
        <v>2</v>
      </c>
      <c r="D4" s="102" t="s">
        <v>2668</v>
      </c>
      <c r="E4" s="120">
        <v>45559</v>
      </c>
      <c r="F4" s="102">
        <v>1</v>
      </c>
      <c r="G4" s="192">
        <v>1</v>
      </c>
      <c r="H4" s="206" t="s">
        <v>2282</v>
      </c>
      <c r="I4" s="102" t="s">
        <v>2197</v>
      </c>
      <c r="J4" s="102" t="s">
        <v>2197</v>
      </c>
      <c r="K4" s="102" t="s">
        <v>2197</v>
      </c>
      <c r="L4" s="102" t="s">
        <v>2197</v>
      </c>
      <c r="M4" s="102" t="s">
        <v>2197</v>
      </c>
      <c r="N4" s="102" t="s">
        <v>2197</v>
      </c>
      <c r="O4" s="102" t="s">
        <v>2197</v>
      </c>
      <c r="P4" s="102" t="s">
        <v>2197</v>
      </c>
      <c r="Q4" s="102" t="s">
        <v>2197</v>
      </c>
      <c r="R4" s="102" t="s">
        <v>2197</v>
      </c>
      <c r="S4" s="102" t="s">
        <v>2197</v>
      </c>
      <c r="T4" s="102" t="s">
        <v>2197</v>
      </c>
      <c r="U4" s="102" t="s">
        <v>2197</v>
      </c>
      <c r="V4" s="102" t="s">
        <v>2197</v>
      </c>
      <c r="W4" s="102" t="s">
        <v>2197</v>
      </c>
      <c r="X4" s="102" t="s">
        <v>2197</v>
      </c>
      <c r="Y4" s="102" t="s">
        <v>2197</v>
      </c>
      <c r="Z4" s="102" t="s">
        <v>2197</v>
      </c>
      <c r="AA4" s="102" t="s">
        <v>2197</v>
      </c>
      <c r="AB4" s="102" t="s">
        <v>2197</v>
      </c>
      <c r="AC4" s="102" t="s">
        <v>2197</v>
      </c>
      <c r="AD4" s="102" t="s">
        <v>2197</v>
      </c>
      <c r="AE4" s="102" t="s">
        <v>2197</v>
      </c>
    </row>
    <row r="5" spans="2:31">
      <c r="B5" s="145" t="s">
        <v>2147</v>
      </c>
      <c r="C5" s="102">
        <v>3</v>
      </c>
      <c r="D5" s="102" t="s">
        <v>2669</v>
      </c>
      <c r="E5" s="120">
        <v>45559</v>
      </c>
      <c r="F5" s="102">
        <v>1</v>
      </c>
      <c r="G5" s="192">
        <v>1</v>
      </c>
      <c r="H5" s="206" t="s">
        <v>2282</v>
      </c>
      <c r="I5" s="102">
        <v>0</v>
      </c>
      <c r="J5" s="102">
        <v>0</v>
      </c>
      <c r="K5" s="102">
        <v>0</v>
      </c>
      <c r="L5" s="102">
        <v>0</v>
      </c>
      <c r="M5" s="102" t="s">
        <v>2197</v>
      </c>
      <c r="N5" s="102">
        <v>0</v>
      </c>
      <c r="O5" s="102">
        <v>0</v>
      </c>
      <c r="P5" s="102" t="s">
        <v>2197</v>
      </c>
      <c r="Q5" s="102" t="s">
        <v>2197</v>
      </c>
      <c r="R5" s="102" t="s">
        <v>2197</v>
      </c>
      <c r="S5" s="102" t="s">
        <v>2197</v>
      </c>
      <c r="T5" s="102" t="s">
        <v>2197</v>
      </c>
      <c r="U5" s="102" t="s">
        <v>2197</v>
      </c>
      <c r="V5" s="102" t="s">
        <v>2197</v>
      </c>
      <c r="W5" s="102" t="s">
        <v>2197</v>
      </c>
      <c r="X5" s="102" t="s">
        <v>2197</v>
      </c>
      <c r="Y5" s="102" t="s">
        <v>2197</v>
      </c>
      <c r="Z5" s="102" t="s">
        <v>2197</v>
      </c>
      <c r="AA5" s="102" t="s">
        <v>2197</v>
      </c>
      <c r="AB5" s="102" t="s">
        <v>2197</v>
      </c>
      <c r="AC5" s="102" t="s">
        <v>2197</v>
      </c>
      <c r="AD5" s="102">
        <v>0</v>
      </c>
      <c r="AE5" s="102" t="s">
        <v>2197</v>
      </c>
    </row>
    <row r="6" spans="2:31">
      <c r="B6" s="92" t="s">
        <v>2149</v>
      </c>
      <c r="C6" s="102">
        <v>4</v>
      </c>
      <c r="D6" s="102" t="s">
        <v>2202</v>
      </c>
      <c r="E6" s="120" t="s">
        <v>2197</v>
      </c>
      <c r="F6" s="102">
        <v>1</v>
      </c>
      <c r="G6" s="120" t="s">
        <v>2197</v>
      </c>
      <c r="H6" s="206" t="s">
        <v>2197</v>
      </c>
      <c r="I6" s="102" t="s">
        <v>2197</v>
      </c>
      <c r="J6" s="102" t="s">
        <v>2197</v>
      </c>
      <c r="K6" s="102" t="s">
        <v>2197</v>
      </c>
      <c r="L6" s="102" t="s">
        <v>2197</v>
      </c>
      <c r="M6" s="102" t="s">
        <v>2197</v>
      </c>
      <c r="N6" s="102" t="s">
        <v>2197</v>
      </c>
      <c r="O6" s="102" t="s">
        <v>2197</v>
      </c>
      <c r="P6" s="102" t="s">
        <v>2197</v>
      </c>
      <c r="Q6" s="102" t="s">
        <v>2197</v>
      </c>
      <c r="R6" s="102" t="s">
        <v>2197</v>
      </c>
      <c r="S6" s="102" t="s">
        <v>2197</v>
      </c>
      <c r="T6" s="102" t="s">
        <v>2197</v>
      </c>
      <c r="U6" s="102" t="s">
        <v>2197</v>
      </c>
      <c r="V6" s="102" t="s">
        <v>2197</v>
      </c>
      <c r="W6" s="102" t="s">
        <v>2197</v>
      </c>
      <c r="X6" s="102" t="s">
        <v>2197</v>
      </c>
      <c r="Y6" s="102" t="s">
        <v>2197</v>
      </c>
      <c r="Z6" s="102" t="s">
        <v>2197</v>
      </c>
      <c r="AA6" s="102" t="s">
        <v>2197</v>
      </c>
      <c r="AB6" s="102" t="s">
        <v>2197</v>
      </c>
      <c r="AC6" s="102" t="s">
        <v>2197</v>
      </c>
      <c r="AD6" s="102" t="s">
        <v>2197</v>
      </c>
      <c r="AE6" s="102" t="s">
        <v>2197</v>
      </c>
    </row>
    <row r="7" spans="2:31">
      <c r="B7" s="92" t="s">
        <v>2151</v>
      </c>
      <c r="C7" s="102">
        <v>5</v>
      </c>
      <c r="D7" s="102" t="s">
        <v>2202</v>
      </c>
      <c r="E7" s="120" t="s">
        <v>2197</v>
      </c>
      <c r="F7" s="102">
        <v>1</v>
      </c>
      <c r="G7" s="120" t="s">
        <v>2197</v>
      </c>
      <c r="H7" s="206" t="s">
        <v>2197</v>
      </c>
      <c r="I7" s="102" t="s">
        <v>2197</v>
      </c>
      <c r="J7" s="102" t="s">
        <v>2197</v>
      </c>
      <c r="K7" s="102" t="s">
        <v>2197</v>
      </c>
      <c r="L7" s="102" t="s">
        <v>2197</v>
      </c>
      <c r="M7" s="102" t="s">
        <v>2197</v>
      </c>
      <c r="N7" s="102" t="s">
        <v>2197</v>
      </c>
      <c r="O7" s="102" t="s">
        <v>2197</v>
      </c>
      <c r="P7" s="102" t="s">
        <v>2197</v>
      </c>
      <c r="Q7" s="102" t="s">
        <v>2197</v>
      </c>
      <c r="R7" s="102" t="s">
        <v>2197</v>
      </c>
      <c r="S7" s="102" t="s">
        <v>2197</v>
      </c>
      <c r="T7" s="102" t="s">
        <v>2197</v>
      </c>
      <c r="U7" s="102" t="s">
        <v>2197</v>
      </c>
      <c r="V7" s="102" t="s">
        <v>2197</v>
      </c>
      <c r="W7" s="102" t="s">
        <v>2197</v>
      </c>
      <c r="X7" s="102" t="s">
        <v>2197</v>
      </c>
      <c r="Y7" s="102" t="s">
        <v>2197</v>
      </c>
      <c r="Z7" s="102" t="s">
        <v>2197</v>
      </c>
      <c r="AA7" s="102" t="s">
        <v>2197</v>
      </c>
      <c r="AB7" s="102" t="s">
        <v>2197</v>
      </c>
      <c r="AC7" s="102" t="s">
        <v>2197</v>
      </c>
      <c r="AD7" s="102" t="s">
        <v>2197</v>
      </c>
      <c r="AE7" s="102" t="s">
        <v>2197</v>
      </c>
    </row>
    <row r="8" spans="2:31">
      <c r="B8" s="176" t="s">
        <v>2152</v>
      </c>
      <c r="C8" s="102">
        <v>6</v>
      </c>
      <c r="D8" s="102" t="s">
        <v>2670</v>
      </c>
      <c r="E8" s="120">
        <v>45559</v>
      </c>
      <c r="F8" s="102">
        <v>1</v>
      </c>
      <c r="G8" s="220" cm="1">
        <f t="array" ref="G8">SUMPRODUCT(--(I8:AE8&gt;0))/COUNTA(I8:AE8)</f>
        <v>0.91304347826086951</v>
      </c>
      <c r="H8" s="206" t="s">
        <v>2282</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2155</v>
      </c>
      <c r="C9" s="102">
        <v>7</v>
      </c>
      <c r="D9" s="102" t="s">
        <v>2671</v>
      </c>
      <c r="E9" s="120">
        <v>45559</v>
      </c>
      <c r="F9" s="102">
        <v>1</v>
      </c>
      <c r="G9" s="220" cm="1">
        <f t="array" aca="1" ref="G9" ca="1">SUMPRODUCT(--(I9:AE9&lt;=I26:AE26))/COUNTA(I9:AE9)</f>
        <v>0.86956521739130432</v>
      </c>
      <c r="H9" s="206" t="s">
        <v>2282</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2158</v>
      </c>
      <c r="C10" s="102">
        <v>8</v>
      </c>
      <c r="D10" s="102" t="s">
        <v>2672</v>
      </c>
      <c r="E10" s="120">
        <v>45559</v>
      </c>
      <c r="F10" s="102">
        <v>1</v>
      </c>
      <c r="G10" s="120" t="s">
        <v>2197</v>
      </c>
      <c r="H10" s="206" t="s">
        <v>2282</v>
      </c>
      <c r="I10" s="102">
        <v>31</v>
      </c>
      <c r="J10" s="150" t="s">
        <v>2673</v>
      </c>
      <c r="K10" s="102">
        <v>1</v>
      </c>
      <c r="L10" s="102">
        <v>1</v>
      </c>
      <c r="M10" s="120" t="s">
        <v>2674</v>
      </c>
      <c r="N10" s="120">
        <v>45559</v>
      </c>
      <c r="O10" s="150" t="s">
        <v>2675</v>
      </c>
      <c r="P10" s="102">
        <v>1</v>
      </c>
      <c r="Q10" s="102">
        <v>978</v>
      </c>
      <c r="R10" s="120">
        <v>45439</v>
      </c>
      <c r="S10" s="174">
        <v>59</v>
      </c>
      <c r="T10" s="150" t="s">
        <v>2676</v>
      </c>
      <c r="U10" s="150" t="s">
        <v>2677</v>
      </c>
      <c r="V10" s="102">
        <v>0</v>
      </c>
      <c r="W10" s="102"/>
      <c r="X10" s="150" t="s">
        <v>2678</v>
      </c>
      <c r="Y10" s="150" t="s">
        <v>2678</v>
      </c>
      <c r="Z10" s="102"/>
      <c r="AA10" s="102" t="s">
        <v>2393</v>
      </c>
      <c r="AB10" s="102">
        <v>1</v>
      </c>
      <c r="AC10" s="102" t="s">
        <v>2287</v>
      </c>
      <c r="AD10" s="120">
        <v>45559</v>
      </c>
      <c r="AE10" s="102" t="s">
        <v>2679</v>
      </c>
    </row>
    <row r="11" spans="2:31">
      <c r="B11" s="145" t="s">
        <v>2160</v>
      </c>
      <c r="C11" s="102">
        <v>9</v>
      </c>
      <c r="D11" s="102" t="s">
        <v>2680</v>
      </c>
      <c r="E11" s="120">
        <v>45559</v>
      </c>
      <c r="F11" s="102">
        <v>1</v>
      </c>
      <c r="G11" s="120" t="s">
        <v>2197</v>
      </c>
      <c r="H11" s="206" t="s">
        <v>2282</v>
      </c>
      <c r="I11" s="102">
        <v>31</v>
      </c>
      <c r="J11" s="150" t="s">
        <v>2673</v>
      </c>
      <c r="K11" s="102">
        <v>1</v>
      </c>
      <c r="L11" s="102">
        <v>1</v>
      </c>
      <c r="M11" s="120" t="s">
        <v>2204</v>
      </c>
      <c r="N11" s="120">
        <v>45559</v>
      </c>
      <c r="O11" s="150" t="s">
        <v>2681</v>
      </c>
      <c r="P11" s="102">
        <v>1</v>
      </c>
      <c r="Q11" s="102">
        <v>978</v>
      </c>
      <c r="R11" s="120">
        <v>45439</v>
      </c>
      <c r="S11" s="102">
        <v>59</v>
      </c>
      <c r="T11" s="150" t="s">
        <v>2676</v>
      </c>
      <c r="U11" s="150" t="s">
        <v>2677</v>
      </c>
      <c r="V11" s="102">
        <v>0</v>
      </c>
      <c r="W11" s="102"/>
      <c r="X11" s="150" t="s">
        <v>2678</v>
      </c>
      <c r="Y11" s="150" t="s">
        <v>2678</v>
      </c>
      <c r="Z11" s="102"/>
      <c r="AA11" s="102" t="s">
        <v>2393</v>
      </c>
      <c r="AB11" s="102">
        <v>1</v>
      </c>
      <c r="AC11" s="102" t="s">
        <v>2287</v>
      </c>
      <c r="AD11" s="120">
        <v>45559</v>
      </c>
      <c r="AE11" s="102" t="s">
        <v>2682</v>
      </c>
    </row>
    <row r="12" spans="2:31">
      <c r="B12" s="168" t="s">
        <v>2162</v>
      </c>
      <c r="C12" s="102">
        <v>10</v>
      </c>
      <c r="D12" s="102" t="s">
        <v>2683</v>
      </c>
      <c r="E12" s="120">
        <v>45559</v>
      </c>
      <c r="F12" s="102">
        <v>1</v>
      </c>
      <c r="G12" s="120" t="s">
        <v>2197</v>
      </c>
      <c r="H12" s="206" t="s">
        <v>2282</v>
      </c>
      <c r="I12" s="102">
        <v>31</v>
      </c>
      <c r="J12" s="150" t="s">
        <v>2684</v>
      </c>
      <c r="K12" s="102">
        <v>99999</v>
      </c>
      <c r="L12" s="102">
        <v>1</v>
      </c>
      <c r="M12" s="120" t="s">
        <v>2685</v>
      </c>
      <c r="N12" s="120">
        <v>45559</v>
      </c>
      <c r="O12" s="150" t="s">
        <v>2686</v>
      </c>
      <c r="P12" s="102">
        <v>1</v>
      </c>
      <c r="Q12" s="102">
        <v>978</v>
      </c>
      <c r="R12" s="120">
        <v>45560</v>
      </c>
      <c r="S12" s="262" t="s">
        <v>2687</v>
      </c>
      <c r="T12" s="120" t="s">
        <v>2339</v>
      </c>
      <c r="U12" s="102">
        <v>1601</v>
      </c>
      <c r="V12" s="102">
        <v>0</v>
      </c>
      <c r="W12" s="102" t="s">
        <v>2688</v>
      </c>
      <c r="X12" s="102" t="s">
        <v>2689</v>
      </c>
      <c r="Y12" s="102" t="s">
        <v>2690</v>
      </c>
      <c r="Z12" s="102" t="s">
        <v>2691</v>
      </c>
      <c r="AA12" s="102" t="s">
        <v>2692</v>
      </c>
      <c r="AB12" s="102">
        <v>37</v>
      </c>
      <c r="AC12" s="102" t="s">
        <v>2287</v>
      </c>
      <c r="AD12" s="120">
        <v>45559</v>
      </c>
      <c r="AE12" s="102" t="s">
        <v>2679</v>
      </c>
    </row>
    <row r="13" spans="2:31">
      <c r="B13" s="145" t="s">
        <v>2164</v>
      </c>
      <c r="C13" s="102">
        <v>11</v>
      </c>
      <c r="D13" s="102" t="s">
        <v>2693</v>
      </c>
      <c r="E13" s="120">
        <v>45559</v>
      </c>
      <c r="F13" s="102">
        <v>1</v>
      </c>
      <c r="G13" s="120" t="s">
        <v>2197</v>
      </c>
      <c r="H13" s="206" t="s">
        <v>2282</v>
      </c>
      <c r="I13" s="102">
        <v>31</v>
      </c>
      <c r="J13" s="150" t="s">
        <v>2684</v>
      </c>
      <c r="K13" s="102">
        <v>99999</v>
      </c>
      <c r="L13" s="102">
        <v>1</v>
      </c>
      <c r="M13" s="120" t="s">
        <v>2204</v>
      </c>
      <c r="N13" s="120">
        <v>45559</v>
      </c>
      <c r="O13" s="150" t="s">
        <v>2694</v>
      </c>
      <c r="P13" s="102">
        <v>1</v>
      </c>
      <c r="Q13" s="102">
        <v>978</v>
      </c>
      <c r="R13" s="120">
        <v>45560</v>
      </c>
      <c r="S13" s="120" t="s">
        <v>2687</v>
      </c>
      <c r="T13" s="120" t="s">
        <v>2339</v>
      </c>
      <c r="U13" s="102">
        <v>1601</v>
      </c>
      <c r="V13" s="102">
        <v>0</v>
      </c>
      <c r="W13" s="102" t="s">
        <v>2688</v>
      </c>
      <c r="X13" s="102" t="s">
        <v>2689</v>
      </c>
      <c r="Y13" s="102" t="s">
        <v>2690</v>
      </c>
      <c r="Z13" s="102" t="s">
        <v>2691</v>
      </c>
      <c r="AA13" s="102" t="s">
        <v>2692</v>
      </c>
      <c r="AB13" s="102">
        <v>37</v>
      </c>
      <c r="AC13" s="102" t="s">
        <v>2287</v>
      </c>
      <c r="AD13" s="120">
        <v>45559</v>
      </c>
      <c r="AE13" s="102" t="s">
        <v>2695</v>
      </c>
    </row>
    <row r="14" spans="2:31">
      <c r="B14" s="145" t="s">
        <v>2166</v>
      </c>
      <c r="C14" s="102">
        <v>12</v>
      </c>
      <c r="D14" s="102" t="s">
        <v>2696</v>
      </c>
      <c r="E14" s="120">
        <v>45559</v>
      </c>
      <c r="F14" s="102">
        <v>1</v>
      </c>
      <c r="G14" s="149" t="s">
        <v>2697</v>
      </c>
      <c r="H14" s="206" t="s">
        <v>2282</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2168</v>
      </c>
      <c r="C15" s="102">
        <v>13</v>
      </c>
      <c r="D15" s="102" t="s">
        <v>2698</v>
      </c>
      <c r="E15" s="120">
        <v>45559</v>
      </c>
      <c r="F15" s="102">
        <v>1</v>
      </c>
      <c r="G15" s="192">
        <v>1</v>
      </c>
      <c r="H15" s="206" t="s">
        <v>2282</v>
      </c>
      <c r="I15" s="102" t="s">
        <v>2197</v>
      </c>
      <c r="J15" s="102" t="s">
        <v>2197</v>
      </c>
      <c r="K15" s="102" t="s">
        <v>2197</v>
      </c>
      <c r="L15" s="92" t="s">
        <v>2197</v>
      </c>
      <c r="M15" s="92" t="s">
        <v>2197</v>
      </c>
      <c r="N15" s="92">
        <v>0</v>
      </c>
      <c r="O15" s="102" t="s">
        <v>2197</v>
      </c>
      <c r="P15" s="92" t="s">
        <v>2197</v>
      </c>
      <c r="Q15" s="92" t="s">
        <v>2197</v>
      </c>
      <c r="R15" s="92">
        <v>0</v>
      </c>
      <c r="S15" s="102" t="s">
        <v>2197</v>
      </c>
      <c r="T15" s="102" t="s">
        <v>2197</v>
      </c>
      <c r="U15" s="102" t="s">
        <v>2197</v>
      </c>
      <c r="V15" s="102" t="s">
        <v>2197</v>
      </c>
      <c r="W15" s="102" t="s">
        <v>2197</v>
      </c>
      <c r="X15" s="102" t="s">
        <v>2197</v>
      </c>
      <c r="Y15" s="102" t="s">
        <v>2197</v>
      </c>
      <c r="Z15" s="102" t="s">
        <v>2197</v>
      </c>
      <c r="AA15" s="102" t="s">
        <v>2197</v>
      </c>
      <c r="AB15" s="102" t="s">
        <v>2197</v>
      </c>
      <c r="AC15" s="102" t="s">
        <v>2197</v>
      </c>
      <c r="AD15" s="102" t="s">
        <v>2197</v>
      </c>
      <c r="AE15" s="102" t="s">
        <v>2197</v>
      </c>
    </row>
    <row r="16" spans="2:31">
      <c r="B16" s="145" t="s">
        <v>2170</v>
      </c>
      <c r="C16" s="102">
        <v>14</v>
      </c>
      <c r="D16" s="102" t="s">
        <v>2699</v>
      </c>
      <c r="E16" s="120">
        <v>45559</v>
      </c>
      <c r="F16" s="102">
        <v>1</v>
      </c>
      <c r="G16" s="192" t="s">
        <v>2700</v>
      </c>
      <c r="H16" s="206" t="s">
        <v>2282</v>
      </c>
      <c r="I16" s="102">
        <v>0</v>
      </c>
      <c r="J16" s="102">
        <v>0</v>
      </c>
      <c r="K16" s="102" t="s">
        <v>2197</v>
      </c>
      <c r="L16" s="102" t="s">
        <v>2197</v>
      </c>
      <c r="M16" s="92">
        <v>0</v>
      </c>
      <c r="N16" s="92" t="s">
        <v>2197</v>
      </c>
      <c r="O16" s="102" t="s">
        <v>2197</v>
      </c>
      <c r="P16" s="102" t="s">
        <v>2197</v>
      </c>
      <c r="Q16" s="102">
        <v>0</v>
      </c>
      <c r="R16" s="92" t="s">
        <v>2197</v>
      </c>
      <c r="S16" s="102">
        <v>0</v>
      </c>
      <c r="T16" s="102">
        <v>0</v>
      </c>
      <c r="U16" s="102">
        <v>0</v>
      </c>
      <c r="V16" s="102" t="s">
        <v>2197</v>
      </c>
      <c r="W16" s="102">
        <v>26253</v>
      </c>
      <c r="X16" s="102">
        <v>0</v>
      </c>
      <c r="Y16" s="102">
        <v>0</v>
      </c>
      <c r="Z16" s="102">
        <v>3983</v>
      </c>
      <c r="AA16" s="102">
        <v>0</v>
      </c>
      <c r="AB16" s="102" t="s">
        <v>2197</v>
      </c>
      <c r="AC16" s="102">
        <v>0</v>
      </c>
      <c r="AD16" s="102" t="s">
        <v>2197</v>
      </c>
      <c r="AE16" s="102" t="s">
        <v>2197</v>
      </c>
    </row>
    <row r="17" spans="2:31">
      <c r="B17" s="178" t="s">
        <v>2172</v>
      </c>
      <c r="C17" s="102">
        <v>15</v>
      </c>
      <c r="D17" s="102" t="s">
        <v>2701</v>
      </c>
      <c r="E17" s="120">
        <v>45559</v>
      </c>
      <c r="F17" s="102">
        <v>1</v>
      </c>
      <c r="G17" s="192">
        <v>1</v>
      </c>
      <c r="H17" s="206" t="s">
        <v>2282</v>
      </c>
      <c r="I17" s="102" t="s">
        <v>2197</v>
      </c>
      <c r="J17" s="102" t="s">
        <v>2197</v>
      </c>
      <c r="K17" s="102" t="s">
        <v>2197</v>
      </c>
      <c r="L17" s="102" t="s">
        <v>2197</v>
      </c>
      <c r="M17" s="102" t="s">
        <v>2197</v>
      </c>
      <c r="N17" s="102" t="s">
        <v>2197</v>
      </c>
      <c r="O17" s="102" t="s">
        <v>2197</v>
      </c>
      <c r="P17" s="102" t="s">
        <v>2197</v>
      </c>
      <c r="Q17" s="102" t="s">
        <v>2197</v>
      </c>
      <c r="R17" s="102" t="s">
        <v>2197</v>
      </c>
      <c r="S17" s="102" t="s">
        <v>2197</v>
      </c>
      <c r="T17" s="102" t="s">
        <v>2197</v>
      </c>
      <c r="U17" s="102" t="s">
        <v>2197</v>
      </c>
      <c r="V17" s="102" t="s">
        <v>2197</v>
      </c>
      <c r="W17" s="102" t="s">
        <v>2197</v>
      </c>
      <c r="X17" s="102" t="s">
        <v>2197</v>
      </c>
      <c r="Y17" s="102" t="s">
        <v>2197</v>
      </c>
      <c r="Z17" s="102" t="s">
        <v>2197</v>
      </c>
      <c r="AA17" s="102" t="s">
        <v>2197</v>
      </c>
      <c r="AB17" s="102" t="s">
        <v>2197</v>
      </c>
      <c r="AC17" s="102" t="s">
        <v>2197</v>
      </c>
      <c r="AD17" s="102" t="s">
        <v>2197</v>
      </c>
      <c r="AE17" s="102" t="s">
        <v>2197</v>
      </c>
    </row>
    <row r="18" spans="2:31">
      <c r="B18" s="178" t="s">
        <v>2174</v>
      </c>
      <c r="C18" s="102">
        <v>16</v>
      </c>
      <c r="D18" s="102" t="s">
        <v>2701</v>
      </c>
      <c r="E18" s="120">
        <v>45559</v>
      </c>
      <c r="F18" s="102">
        <v>1</v>
      </c>
      <c r="G18" s="192">
        <v>1</v>
      </c>
      <c r="H18" s="206" t="s">
        <v>2282</v>
      </c>
      <c r="I18" s="102" t="s">
        <v>2197</v>
      </c>
      <c r="J18" s="102" t="s">
        <v>2197</v>
      </c>
      <c r="K18" s="102" t="s">
        <v>2197</v>
      </c>
      <c r="L18" s="102" t="s">
        <v>2197</v>
      </c>
      <c r="M18" s="102" t="s">
        <v>2197</v>
      </c>
      <c r="N18" s="102" t="s">
        <v>2197</v>
      </c>
      <c r="O18" s="102" t="s">
        <v>2197</v>
      </c>
      <c r="P18" s="102" t="s">
        <v>2197</v>
      </c>
      <c r="Q18" s="102" t="s">
        <v>2197</v>
      </c>
      <c r="R18" s="102" t="s">
        <v>2197</v>
      </c>
      <c r="S18" s="102" t="s">
        <v>2197</v>
      </c>
      <c r="T18" s="102" t="s">
        <v>2197</v>
      </c>
      <c r="U18" s="102" t="s">
        <v>2197</v>
      </c>
      <c r="V18" s="102" t="s">
        <v>2197</v>
      </c>
      <c r="W18" s="102" t="s">
        <v>2197</v>
      </c>
      <c r="X18" s="102" t="s">
        <v>2197</v>
      </c>
      <c r="Y18" s="102" t="s">
        <v>2197</v>
      </c>
      <c r="Z18" s="102" t="s">
        <v>2197</v>
      </c>
      <c r="AA18" s="102" t="s">
        <v>2197</v>
      </c>
      <c r="AB18" s="102" t="s">
        <v>2197</v>
      </c>
      <c r="AC18" s="102" t="s">
        <v>2197</v>
      </c>
      <c r="AD18" s="102" t="s">
        <v>2197</v>
      </c>
      <c r="AE18" s="102" t="s">
        <v>2197</v>
      </c>
    </row>
    <row r="19" spans="2:31">
      <c r="B19" s="145" t="s">
        <v>2180</v>
      </c>
      <c r="C19" s="102">
        <v>19</v>
      </c>
      <c r="D19" s="102" t="s">
        <v>2702</v>
      </c>
      <c r="E19" s="120">
        <v>45559</v>
      </c>
      <c r="F19" s="102">
        <v>1</v>
      </c>
      <c r="G19" s="220" cm="1">
        <f t="array" aca="1" ref="G19" ca="1">SUMPRODUCT(--(ISNUMBER((SEARCH(I25:AE25,I19:AE19)))))/COUNTA(I19:AE19)</f>
        <v>0.91304347826086951</v>
      </c>
      <c r="H19" s="206" t="s">
        <v>2282</v>
      </c>
      <c r="I19" s="102" t="s">
        <v>2247</v>
      </c>
      <c r="J19" s="102" t="s">
        <v>2247</v>
      </c>
      <c r="K19" s="102" t="s">
        <v>2248</v>
      </c>
      <c r="L19" s="102" t="s">
        <v>2248</v>
      </c>
      <c r="M19" s="102" t="s">
        <v>2247</v>
      </c>
      <c r="N19" s="102" t="s">
        <v>2247</v>
      </c>
      <c r="O19" s="102" t="s">
        <v>2249</v>
      </c>
      <c r="P19" s="102" t="s">
        <v>2247</v>
      </c>
      <c r="Q19" s="102" t="s">
        <v>2247</v>
      </c>
      <c r="R19" s="102" t="s">
        <v>2247</v>
      </c>
      <c r="S19" s="102" t="s">
        <v>2247</v>
      </c>
      <c r="T19" s="102" t="s">
        <v>2247</v>
      </c>
      <c r="U19" s="102" t="s">
        <v>2247</v>
      </c>
      <c r="V19" s="102" t="s">
        <v>2247</v>
      </c>
      <c r="W19" s="102" t="s">
        <v>2247</v>
      </c>
      <c r="X19" s="102" t="s">
        <v>2247</v>
      </c>
      <c r="Y19" s="102" t="s">
        <v>2247</v>
      </c>
      <c r="Z19" s="102" t="s">
        <v>2247</v>
      </c>
      <c r="AA19" s="102" t="s">
        <v>2247</v>
      </c>
      <c r="AB19" s="102" t="s">
        <v>2247</v>
      </c>
      <c r="AC19" s="102" t="s">
        <v>2247</v>
      </c>
      <c r="AD19" s="102" t="s">
        <v>2247</v>
      </c>
      <c r="AE19" s="102" t="s">
        <v>2250</v>
      </c>
    </row>
    <row r="20" spans="2:31">
      <c r="B20" s="145" t="s">
        <v>2183</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2186</v>
      </c>
      <c r="C21" s="102">
        <v>21</v>
      </c>
      <c r="D21" s="102"/>
      <c r="E21" s="120"/>
      <c r="F21" s="102"/>
      <c r="G21" s="220"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2251</v>
      </c>
    </row>
    <row r="24" spans="2:31">
      <c r="B24" s="111" t="s">
        <v>2252</v>
      </c>
      <c r="C24" s="112" t="s">
        <v>2190</v>
      </c>
      <c r="D24" s="112" t="s">
        <v>2191</v>
      </c>
      <c r="E24" s="112" t="s">
        <v>2192</v>
      </c>
      <c r="F24" s="112" t="s">
        <v>2193</v>
      </c>
      <c r="G24" s="112" t="s">
        <v>2194</v>
      </c>
      <c r="H24" s="112" t="s">
        <v>2195</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c r="B25" s="104" t="s">
        <v>2253</v>
      </c>
      <c r="C25" s="117">
        <v>21</v>
      </c>
      <c r="D25" s="106" t="s">
        <v>2254</v>
      </c>
      <c r="E25" s="105" t="s">
        <v>2255</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2256</v>
      </c>
      <c r="C26" s="117">
        <v>7</v>
      </c>
      <c r="D26" s="123" t="s">
        <v>2254</v>
      </c>
      <c r="E26" s="117" t="s">
        <v>2255</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2257</v>
      </c>
    </row>
    <row r="30" spans="2:31">
      <c r="B30" s="136" t="s">
        <v>2258</v>
      </c>
      <c r="C30" s="136" t="s">
        <v>2259</v>
      </c>
      <c r="D30" s="136" t="s">
        <v>2260</v>
      </c>
      <c r="E30" s="136" t="s">
        <v>2261</v>
      </c>
      <c r="F30" s="136" t="s">
        <v>2262</v>
      </c>
      <c r="G30" s="228"/>
      <c r="H30" s="222"/>
    </row>
    <row r="31" spans="2:31" ht="60.75">
      <c r="B31" s="77" t="s">
        <v>2271</v>
      </c>
      <c r="C31" s="87" t="s">
        <v>737</v>
      </c>
      <c r="D31" s="87" t="s">
        <v>2518</v>
      </c>
      <c r="E31" s="87" t="s">
        <v>2703</v>
      </c>
      <c r="F31" s="87" t="s">
        <v>2266</v>
      </c>
      <c r="G31" s="92"/>
      <c r="H31" s="190"/>
    </row>
    <row r="32" spans="2:31" ht="45.75">
      <c r="B32" s="77" t="s">
        <v>2357</v>
      </c>
      <c r="C32" s="87" t="s">
        <v>1681</v>
      </c>
      <c r="D32" s="87" t="s">
        <v>2704</v>
      </c>
      <c r="E32" s="87" t="s">
        <v>2705</v>
      </c>
      <c r="F32" s="87" t="s">
        <v>2355</v>
      </c>
      <c r="H32" s="190"/>
    </row>
    <row r="33" spans="2:6" ht="45.75">
      <c r="B33" s="77" t="s">
        <v>2357</v>
      </c>
      <c r="C33" s="87" t="s">
        <v>1424</v>
      </c>
      <c r="D33" s="87" t="s">
        <v>2704</v>
      </c>
      <c r="E33" s="87" t="s">
        <v>2706</v>
      </c>
      <c r="F33" s="87" t="s">
        <v>2707</v>
      </c>
    </row>
    <row r="34" spans="2:6" ht="48.75" customHeight="1">
      <c r="B34" s="77" t="s">
        <v>2708</v>
      </c>
      <c r="C34" s="87" t="s">
        <v>1681</v>
      </c>
      <c r="D34" s="87" t="s">
        <v>2704</v>
      </c>
      <c r="E34" s="87" t="s">
        <v>2705</v>
      </c>
      <c r="F34" s="87" t="s">
        <v>2355</v>
      </c>
    </row>
    <row r="35" spans="2:6" ht="60.75">
      <c r="B35" s="77" t="s">
        <v>2708</v>
      </c>
      <c r="C35" s="87" t="s">
        <v>1424</v>
      </c>
      <c r="D35" s="87" t="s">
        <v>2709</v>
      </c>
      <c r="E35" s="87" t="s">
        <v>2706</v>
      </c>
      <c r="F35" s="87" t="s">
        <v>2707</v>
      </c>
    </row>
    <row r="36" spans="2:6" ht="45.75">
      <c r="B36" s="77" t="s">
        <v>2263</v>
      </c>
      <c r="C36" s="87" t="s">
        <v>1080</v>
      </c>
      <c r="D36" s="87" t="s">
        <v>2710</v>
      </c>
      <c r="E36" s="87" t="s">
        <v>2711</v>
      </c>
      <c r="F36" s="87" t="s">
        <v>2266</v>
      </c>
    </row>
    <row r="37" spans="2:6" ht="45.75">
      <c r="B37" s="77" t="s">
        <v>2271</v>
      </c>
      <c r="C37" s="87" t="s">
        <v>906</v>
      </c>
      <c r="D37" s="87" t="s">
        <v>2712</v>
      </c>
      <c r="E37" s="87" t="s">
        <v>2713</v>
      </c>
      <c r="F37" s="87" t="s">
        <v>2266</v>
      </c>
    </row>
    <row r="38" spans="2:6" ht="45.75">
      <c r="B38" s="77" t="s">
        <v>2271</v>
      </c>
      <c r="C38" s="87" t="s">
        <v>914</v>
      </c>
      <c r="D38" s="87" t="s">
        <v>2712</v>
      </c>
      <c r="E38" s="87" t="s">
        <v>2713</v>
      </c>
      <c r="F38" s="87" t="s">
        <v>2266</v>
      </c>
    </row>
    <row r="39" spans="2:6" ht="45.75">
      <c r="B39" s="77" t="s">
        <v>2271</v>
      </c>
      <c r="C39" s="87" t="s">
        <v>1706</v>
      </c>
      <c r="D39" s="87" t="s">
        <v>2712</v>
      </c>
      <c r="E39" s="87" t="s">
        <v>2713</v>
      </c>
      <c r="F39" s="87" t="s">
        <v>2266</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44360D-BCDA-4272-8BFE-AC93E75C882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2024-10-09T11:39:09Z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