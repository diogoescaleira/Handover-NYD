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9"/>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7300" documentId="8_{61D38E54-D008-48DA-9840-B5825BD93502}" xr6:coauthVersionLast="47" xr6:coauthVersionMax="47" xr10:uidLastSave="{EDE903B1-83E4-46E9-BA13-BEC930D5401D}"/>
  <bookViews>
    <workbookView xWindow="-60" yWindow="-60" windowWidth="15480" windowHeight="11640" tabRatio="621" firstSheet="7" activeTab="1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current_account_transaction" sheetId="46" r:id="rId12"/>
    <sheet name="bills_promissory_notes_transact" sheetId="41" r:id="rId13"/>
    <sheet name="bank_guarantee_transaction" sheetId="42" r:id="rId14"/>
    <sheet name="incomesaving_acc_transaction" sheetId="45" r:id="rId15"/>
    <sheet name="factoring_transaction" sheetId="47" r:id="rId16"/>
    <sheet name="prepaid_account_transaction" sheetId="50" r:id="rId17"/>
    <sheet name="debit_card_account_transaction" sheetId="48" r:id="rId18"/>
    <sheet name="credit_card_account_plan_trans" sheetId="49" r:id="rId19"/>
  </sheets>
  <externalReferences>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3" hidden="1">bank_guarantee_transaction!$B$29:$F$29</definedName>
    <definedName name="_xlnm._FilterDatabase" localSheetId="18" hidden="1">bank_guarantee_transaction!$B$29:$F$29</definedName>
    <definedName name="_xlnm._FilterDatabase" localSheetId="11" hidden="1">bank_guarantee_transaction!$B$29:$F$29</definedName>
    <definedName name="_xlnm._FilterDatabase" localSheetId="16" hidden="1">bank_guarantee_transaction!$B$29:$F$29</definedName>
    <definedName name="_xlnm._FilterDatabase" localSheetId="17" hidden="1">bank_guarantee_transaction!$B$29:$F$29</definedName>
    <definedName name="_xlnm._FilterDatabase" localSheetId="15" hidden="1">bank_guarantee_transaction!$B$29:$F$29</definedName>
    <definedName name="_xlnm._FilterDatabase" localSheetId="14"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49" l="1" a="1"/>
  <c r="I25" i="49"/>
  <c r="I24" i="49" a="1"/>
  <c r="I24" i="49"/>
  <c r="G8" i="48" a="1"/>
  <c r="G8" i="48"/>
  <c r="G8" i="50" a="1"/>
  <c r="G8" i="50"/>
  <c r="G8" i="49" a="1"/>
  <c r="G8" i="49"/>
  <c r="G20" i="49" a="1"/>
  <c r="G20" i="49" s="1"/>
  <c r="G9" i="49" a="1"/>
  <c r="G9" i="49" s="1"/>
  <c r="G19" i="49" a="1"/>
  <c r="G19" i="49" s="1"/>
  <c r="I25" i="50" a="1"/>
  <c r="I25" i="50"/>
  <c r="I24" i="50" a="1"/>
  <c r="I24" i="50"/>
  <c r="G20" i="50" a="1"/>
  <c r="G20" i="50" s="1"/>
  <c r="G8" i="46" a="1"/>
  <c r="G8" i="46"/>
  <c r="I25" i="48" a="1"/>
  <c r="I25" i="48"/>
  <c r="I24" i="48" a="1"/>
  <c r="I24" i="48"/>
  <c r="G20" i="48" s="1" a="1"/>
  <c r="G20" i="48" s="1"/>
  <c r="I24" i="42" a="1"/>
  <c r="I24" i="42"/>
  <c r="G8" i="42" a="1"/>
  <c r="G8" i="42"/>
  <c r="G8" i="45" a="1"/>
  <c r="G8" i="45"/>
  <c r="G8" i="47" a="1"/>
  <c r="G8" i="47"/>
  <c r="G8" i="41" a="1"/>
  <c r="G8" i="41"/>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G9" i="46" s="1" a="1"/>
  <c r="G9" i="46" s="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G19" i="48" l="1" a="1"/>
  <c r="G19" i="48" s="1"/>
  <c r="G9" i="48" a="1"/>
  <c r="G9" i="48" s="1"/>
  <c r="G19" i="50" a="1"/>
  <c r="G19" i="50" s="1"/>
  <c r="G9" i="50" a="1"/>
  <c r="G9" i="50" s="1"/>
  <c r="G21" i="49" a="1"/>
  <c r="G21" i="49" s="1"/>
  <c r="G21" i="50" a="1"/>
  <c r="G21" i="50" s="1"/>
  <c r="G21" i="48" a="1"/>
  <c r="G21" i="48" s="1"/>
  <c r="G21" i="45" a="1"/>
  <c r="G21" i="45" s="1"/>
  <c r="G21" i="42" a="1"/>
  <c r="G21" i="42" s="1"/>
  <c r="G21" i="41" a="1"/>
  <c r="G21" i="41" s="1"/>
  <c r="G21" i="47" a="1"/>
  <c r="G21" i="47" s="1"/>
  <c r="G21" i="46" a="1"/>
  <c r="G21" i="4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tc={4C21ABAE-CC46-4896-B3D3-7AE1CED1501C}</author>
  </authors>
  <commentList>
    <comment ref="C54" authorId="0" shapeId="0" xr:uid="{4C21ABAE-CC46-4896-B3D3-7AE1CED1501C}">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<sst xmlns="http://schemas.openxmlformats.org/spreadsheetml/2006/main" count="8223" uniqueCount="1866">
  <si>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</si>
  <si>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</si>
  <si>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</si>
  <si>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</si>
  <si>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</si>
  <si>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</si>
  <si>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</si>
  <si>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</si>
  <si>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</si>
  <si>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</si>
  <si>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</si>
  <si>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</si>
  <si>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</si>
  <si>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</si>
  <si>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</si>
  <si>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</si>
  <si>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</si>
  <si>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</si>
  <si>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</si>
  <si>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</si>
  <si>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</si>
  <si>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</si>
  <si>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</si>
  <si>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</si>
  <si>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</si>
  <si>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</si>
  <si>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</si>
  <si>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</si>
  <si>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</si>
  <si>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</si>
  <si>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</si>
  <si>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</si>
  <si>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</si>
  <si>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</si>
  <si>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</si>
  <si>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</si>
  <si>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</si>
  <si>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</si>
  <si>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</si>
  <si>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</si>
  <si>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</si>
  <si>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</si>
  <si>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</si>
  <si>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</si>
  <si>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</si>
  <si>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</si>
  <si>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</si>
  <si>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</si>
  <si>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</si>
  <si>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</si>
  <si>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</si>
  <si>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</si>
  <si>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</si>
  <si>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</si>
  <si>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</si>
  <si>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</si>
  <si>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</si>
  <si>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</si>
  <si>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</si>
  <si>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</si>
  <si>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</si>
  <si>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</si>
  <si>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</si>
  <si>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</si>
  <si>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</si>
  <si>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</si>
  <si>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</si>
  <si>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</si>
  <si>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</si>
  <si>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</si>
  <si>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</si>
  <si>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</si>
  <si>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</si>
  <si>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</si>
  <si>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</si>
  <si>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</si>
  <si>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</si>
  <si>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</si>
  <si>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</si>
  <si>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</si>
  <si>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</si>
  <si>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</si>
  <si>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</si>
  <si>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</si>
  <si>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</si>
  <si>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</si>
  <si>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</si>
  <si>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</si>
  <si>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</si>
  <si>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</si>
  <si>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</si>
  <si>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</si>
  <si>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</si>
  <si>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</si>
  <si>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</si>
  <si>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</si>
  <si>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</si>
  <si>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</si>
  <si>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</si>
  <si>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</si>
  <si>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</si>
  <si>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</si>
  <si>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</si>
  <si>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</si>
  <si>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</si>
  <si>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</si>
  <si>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</si>
  <si>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</si>
  <si>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</si>
  <si>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</si>
  <si>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</si>
  <si>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</si>
  <si>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</si>
  <si>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</si>
  <si>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</si>
  <si>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</si>
  <si>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</si>
  <si>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</si>
  <si>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</si>
  <si>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</si>
  <si>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</si>
  <si>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</si>
  <si>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</si>
  <si>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</si>
  <si>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</si>
  <si>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</si>
  <si>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</si>
  <si>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</si>
  <si>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</si>
  <si>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</si>
  <si>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</si>
  <si>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</si>
  <si>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</si>
  <si>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</si>
  <si>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</si>
  <si>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</si>
  <si>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</si>
  <si>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</si>
  <si>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</si>
  <si>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</si>
  <si>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</si>
  <si>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</si>
  <si>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</si>
  <si>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</si>
  <si>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</si>
  <si>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</si>
  <si>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</si>
  <si>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</si>
  <si>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</si>
  <si>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</si>
  <si>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</si>
  <si>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</si>
  <si>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</si>
  <si>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</si>
  <si>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</si>
  <si>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</si>
  <si>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</si>
  <si>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</si>
  <si>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</si>
  <si>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</si>
  <si>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</si>
  <si>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</si>
  <si>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</si>
  <si>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</si>
  <si>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</si>
  <si>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</si>
  <si>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</si>
  <si>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</si>
  <si>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</si>
  <si>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</si>
  <si>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</si>
  <si>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</si>
  <si>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</si>
  <si>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</si>
  <si>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</si>
  <si>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</si>
  <si>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</si>
  <si>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</si>
  <si>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</si>
  <si>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</si>
  <si>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</si>
  <si>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</si>
  <si>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</si>
  <si>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</si>
  <si>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</si>
  <si>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</si>
  <si>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</si>
  <si>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</si>
  <si>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</si>
  <si>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</si>
  <si>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</si>
  <si>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</si>
  <si>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</si>
  <si>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</si>
  <si>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</si>
  <si>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</si>
  <si>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</si>
  <si>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</si>
  <si>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</si>
  <si>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</si>
  <si>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</si>
  <si>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</si>
  <si>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</si>
  <si>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</si>
  <si>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</si>
  <si>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</si>
  <si>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</si>
  <si>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</si>
  <si>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</si>
  <si>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</si>
  <si>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</si>
  <si>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</si>
  <si>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</si>
  <si>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</si>
  <si>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</si>
  <si>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</si>
  <si>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</si>
  <si>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</si>
  <si>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</si>
  <si>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</si>
  <si>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</si>
  <si>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</si>
  <si>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</si>
  <si>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</si>
  <si>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</si>
  <si>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</si>
  <si>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</si>
  <si>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</si>
  <si>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</si>
  <si>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</si>
  <si>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</si>
  <si>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</si>
  <si>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</si>
  <si>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</si>
  <si>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</si>
  <si>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</si>
  <si>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</si>
  <si>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</si>
  <si>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</si>
  <si>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</si>
  <si>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</si>
  <si>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</si>
  <si>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</si>
  <si>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</si>
  <si>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</si>
  <si>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</si>
  <si>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</si>
  <si>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</si>
  <si>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</si>
  <si>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</si>
  <si>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</si>
  <si>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</si>
  <si>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</si>
  <si>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</si>
  <si>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</si>
  <si>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</si>
  <si>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</si>
  <si>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</si>
  <si>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</si>
  <si>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</si>
  <si>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</si>
  <si>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</si>
  <si>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</si>
  <si>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</si>
  <si>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</si>
  <si>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</si>
  <si>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</si>
  <si>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</si>
  <si>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</si>
  <si>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</si>
  <si>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</si>
  <si>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</si>
  <si>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</si>
  <si>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</si>
  <si>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</si>
  <si>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</si>
  <si>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</si>
  <si>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</si>
  <si>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</si>
  <si>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</si>
  <si>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</si>
  <si>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</si>
  <si>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</si>
  <si>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</si>
  <si>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</si>
  <si>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</si>
  <si>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</si>
  <si>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</si>
  <si>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</si>
  <si>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</si>
  <si>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</si>
  <si>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</si>
  <si>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</si>
  <si>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</si>
  <si>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</si>
  <si>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</si>
  <si>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</si>
  <si>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</si>
  <si>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</si>
  <si>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</si>
  <si>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</si>
  <si>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</si>
  <si>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</si>
  <si>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</si>
  <si>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</si>
  <si>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</si>
  <si>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</si>
  <si>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</si>
  <si>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</si>
  <si>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</si>
  <si>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</si>
  <si>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</si>
  <si>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</si>
  <si>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</si>
  <si>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</si>
  <si>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</si>
  <si>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</si>
  <si>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</si>
  <si>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</si>
  <si>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</si>
  <si>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</si>
  <si>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</si>
  <si>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</si>
  <si>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</si>
  <si>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</si>
  <si>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</si>
  <si>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</si>
  <si>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</si>
  <si>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</si>
  <si>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</si>
  <si>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</si>
  <si>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</si>
  <si>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</si>
  <si>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</si>
  <si>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</si>
  <si>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</si>
  <si>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</si>
  <si>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</si>
  <si>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</si>
  <si>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</si>
  <si>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</si>
  <si>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</si>
  <si>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</si>
  <si>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</si>
  <si>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</si>
  <si>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</si>
  <si>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</si>
  <si>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</si>
  <si>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</si>
  <si>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</si>
  <si>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</si>
  <si>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</si>
  <si>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</si>
  <si>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</si>
  <si>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</si>
  <si>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</si>
  <si>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</si>
  <si>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</si>
  <si>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</si>
  <si>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</si>
  <si>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</si>
  <si>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</si>
  <si>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</si>
  <si>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</si>
  <si>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</si>
  <si>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</si>
  <si>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</si>
  <si>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</si>
  <si>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</si>
  <si>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</si>
  <si>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</si>
  <si>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</si>
  <si>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</si>
  <si>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</si>
  <si>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</si>
  <si>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</si>
  <si>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</si>
  <si>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</si>
  <si>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</si>
  <si>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</si>
  <si>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</si>
  <si>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</si>
  <si>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</si>
  <si>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</si>
  <si>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</si>
  <si>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</si>
  <si>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</si>
  <si>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</si>
  <si>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</si>
  <si>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</si>
  <si>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</si>
  <si>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</si>
  <si>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</si>
  <si>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</si>
  <si>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</si>
  <si>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</si>
  <si>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</si>
  <si>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</si>
  <si>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</si>
  <si>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</si>
  <si>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</si>
  <si>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</si>
  <si>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</si>
  <si>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</si>
  <si>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</si>
  <si>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</si>
  <si>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</si>
  <si>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</si>
  <si>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</si>
  <si>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</si>
  <si>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</si>
  <si>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</si>
  <si>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</si>
  <si>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</si>
  <si>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</si>
  <si>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</si>
  <si>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</si>
  <si>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</si>
  <si>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</si>
  <si>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</si>
  <si>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</si>
  <si>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</si>
  <si>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</si>
  <si>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</si>
  <si>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</si>
  <si>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</si>
  <si>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</si>
  <si>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</si>
  <si>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</si>
  <si>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</si>
  <si>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</si>
  <si>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</si>
  <si>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</si>
  <si>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</si>
  <si>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</si>
  <si>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</si>
  <si>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</si>
  <si>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</si>
  <si>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</si>
  <si>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</si>
  <si>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</si>
  <si>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</si>
  <si>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</si>
  <si>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</si>
  <si>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</si>
  <si>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</si>
  <si>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</si>
  <si>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</si>
  <si>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</si>
  <si>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</si>
  <si>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</si>
  <si>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</si>
  <si>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</si>
  <si>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</si>
  <si>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</si>
  <si>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</si>
  <si>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</si>
  <si>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</si>
  <si>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</si>
  <si>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</si>
  <si>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</si>
  <si>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</si>
  <si>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</si>
  <si>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</si>
  <si>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</si>
  <si>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</si>
  <si>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</si>
  <si>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</si>
  <si>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</si>
  <si>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</si>
  <si>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</si>
  <si>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</si>
  <si>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</si>
  <si>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</si>
  <si>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</si>
  <si>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</si>
  <si>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</si>
  <si>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</si>
  <si>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</si>
  <si>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</si>
  <si>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</si>
  <si>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</si>
  <si>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</si>
  <si>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</si>
  <si>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</si>
  <si>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</si>
  <si>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</si>
  <si>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</si>
  <si>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</si>
  <si>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</si>
  <si>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</si>
  <si>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</si>
  <si>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</si>
  <si>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</si>
  <si>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</si>
  <si>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</si>
  <si>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</si>
  <si>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</si>
  <si>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</si>
  <si>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</si>
  <si>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</si>
  <si>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</si>
  <si>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</si>
  <si>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</si>
  <si>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</si>
  <si>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</si>
  <si>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</si>
  <si>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</si>
  <si>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</si>
  <si>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</si>
  <si>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</si>
  <si>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</si>
  <si>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</si>
  <si>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</si>
  <si>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</si>
  <si>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</si>
  <si>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</si>
  <si>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</si>
  <si>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</si>
  <si>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</si>
  <si>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</si>
  <si>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</si>
  <si>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</si>
  <si>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</si>
  <si>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</si>
  <si>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</si>
  <si>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</si>
  <si>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</si>
  <si>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</si>
  <si>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</si>
  <si>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</si>
  <si>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</si>
  <si>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</si>
  <si>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</si>
  <si>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</si>
  <si>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</si>
  <si>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</si>
  <si>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</si>
  <si>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</si>
  <si>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</si>
  <si>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</si>
  <si>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</si>
  <si>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</si>
  <si>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</si>
  <si>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</si>
  <si>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</si>
  <si>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</si>
  <si>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</si>
  <si>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</si>
  <si>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</si>
  <si>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</si>
  <si>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</si>
  <si>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</si>
  <si>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</si>
  <si>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</si>
  <si>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</si>
  <si>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</si>
  <si>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</si>
  <si>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</si>
  <si>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</si>
  <si>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</si>
  <si>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</si>
  <si>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</si>
  <si>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</si>
  <si>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</si>
  <si>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</si>
  <si>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</si>
  <si>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</si>
  <si>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</si>
  <si>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</si>
  <si>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</si>
  <si>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</si>
  <si>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</si>
  <si>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</si>
  <si>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</si>
  <si>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</si>
  <si>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</si>
  <si>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</si>
  <si>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</si>
  <si>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</si>
  <si>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</si>
  <si>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</si>
  <si>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</si>
  <si>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</si>
  <si>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</si>
  <si>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</si>
  <si>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</si>
  <si>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</si>
  <si>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</si>
  <si>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</si>
  <si>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</si>
  <si>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</si>
  <si>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</si>
  <si>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</si>
  <si>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</si>
  <si>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</si>
  <si>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</si>
  <si>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</si>
  <si>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</si>
  <si>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</si>
  <si>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</si>
  <si>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</si>
  <si>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</si>
  <si>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</si>
  <si>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</si>
  <si>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</si>
  <si>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</si>
  <si>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</si>
  <si>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</si>
  <si>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</si>
  <si>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</si>
  <si>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</si>
  <si>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</si>
  <si>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</si>
  <si>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</si>
  <si>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</si>
  <si>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</si>
  <si>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</si>
  <si>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</si>
  <si>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</si>
  <si>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</si>
  <si>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</si>
  <si>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</si>
  <si>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</si>
  <si>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</si>
  <si>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</si>
  <si>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</si>
  <si>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</si>
  <si>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</si>
  <si>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</si>
  <si>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</si>
  <si>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</si>
  <si>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</si>
  <si>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</si>
  <si>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</si>
  <si>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</si>
  <si>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</si>
  <si>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</si>
  <si>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</si>
  <si>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</si>
  <si>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</si>
  <si>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</si>
  <si>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</si>
  <si>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</si>
  <si>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</si>
  <si>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</si>
  <si>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</si>
  <si>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</si>
  <si>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</si>
  <si>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</si>
  <si>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</si>
  <si>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</si>
  <si>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</si>
  <si>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</si>
  <si>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</si>
  <si>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</si>
  <si>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</si>
  <si>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</si>
  <si>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</si>
  <si>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</si>
  <si>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</si>
  <si>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</si>
  <si>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</si>
  <si>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</si>
  <si>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</si>
  <si>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</si>
  <si>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</si>
  <si>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</si>
  <si>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</si>
  <si>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</si>
  <si>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</si>
  <si>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</si>
  <si>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</si>
  <si>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</si>
  <si>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</si>
  <si>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</si>
  <si>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</si>
  <si>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</si>
  <si>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</si>
  <si>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</si>
  <si>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</si>
  <si>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</si>
  <si>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</si>
  <si>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</si>
  <si>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</si>
  <si>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</si>
  <si>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</si>
  <si>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</si>
  <si>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</si>
  <si>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</si>
  <si>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</si>
  <si>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</si>
  <si>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</si>
  <si>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</si>
  <si>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</si>
  <si>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</si>
  <si>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</si>
  <si>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</si>
  <si>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</si>
  <si>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GENERAL_CONVERTER
LITIGATION_PRODUCT</t>
  </si>
  <si>
    <t>N\A
N\A
N\A
N\A
N\A
N\A
CDM_VALUE
N\A</t>
  </si>
  <si>
    <t>SELECT GENERAL_CONVERTER.CDM_VALUE
WHERE BG_CONTR_BATCH.CDSITUAC = 'NR'  AND BG_CONTR_BATCH.CODSPROD !=  '550' AND BG_OPERACION.TIMESTAM( 1, 10 ) &gt;= DATA_DATE_PART AND GENERAL_CONVERTER.CODE CATEGORY = 'BANK_ID' AND GENERAL_CONVERTER.SOURCE_CODE = 'BG' AND GENERAL_CONVERTER.SOURCE_VALUE = ''
SELECT GENERAL_CONVERTER.CDM_VALUE
WHERE INTERFACE_DCT01.DCYR8101_CSITCTA IN ( '0', '1', '2', '3', '7', '8' ) AND DCYR8101_DINICONT =  '0001-01-01' AND AND LITIGATION_PRODUCT.SOURCE_PRODUCT_ID = '029' AND LITIGATION_PRODUCT.SOURCE_SUBPRODUCT_ID = '213' AND GENERAL_CONVERTER.CODE CATEGORY = 'BANK_ID' AND GENERAL_CONVERTER.SOURCE_CODE = 'BG' AND GENERAL_CONVERTER.SOURCE_VALUE = ''
SELECT GENERAL_CONVERTER.CDM_VALUE
WHERE TCT09_OPERCN.ISITUAC = '1' AND LITIGATION_PRODUCT.CKPRODUT = '029' AND LITIGATION_PRODUCT.CKSUBPRO = '213' AND GENERAL_CONVERTER.CODE CATEGORY = 'BANK_ID' AND GENERAL_CONVERTER.SOURCE_CODE = 'BG' AND GENERAL_CONVERTER.SOURCE_VALUE = ''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</si>
  <si>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</si>
  <si>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</si>
  <si>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</si>
  <si>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</si>
  <si>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</si>
  <si>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</si>
  <si>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t>
  </si>
  <si>
    <t>BG_OPERACION
BG_CONTR_BATCH
MOVIMENTOS_CONSOLIDADOS
INTERFACE_DCT01
TCT72_MOVCTA
TCT09_OPERNC</t>
  </si>
  <si>
    <t>E2616_IDCENT_L, E2616_IDCONT_L
N\A
DCYR9750_CKBALCAO, DCYR9750_CKNUMCTA
N\A
CKBALCAO, CKNUMCTA
N\A</t>
  </si>
  <si>
    <t>SELECT CONCAT( COINT_CTOLOC_P.E2616_IDCENT_L, COINT_CTOLOC_P.E2616_IDCONT_L, COINT_CTOLOC_P.E2616_IDCENT_L, SUBSTR( COINT_CTOLOC_P.E2616_IDCONT_L, 2, 10 ), '0' )
WHERE BG_CONTR_BATCH.CDSITUAC = 'NR'  AND BG_CONTR_BATCH.CODSPROD !=  '550' AND BG_OPERACION.TIMESTAM( 1, 10 ) &gt;= DATA_DATE_PART
SELECT CONCAT( MOVIMENTOS_CONSOLIDADOS.DCYR9750_CKBALCAO, MOVIMENTOS_CONSOLIDADOS.DCYR9750_CKNUMCTA, '000000000000000' )
WHERE INTERFACE_DCT01.DCYR8101_CSITCTA IN ( '0', '1', '2', '3', '7', '8' ) AND DCYR8101_DINICONT =  '0001-01-01' AND AND LITIGATION_PRODUCT.SOURCE_PRODUCT_ID = '029' AND LITIGATION_PRODUCT.SOURCE_SUBPRODUCT_ID = '213' 
SELECT CONCAT( TCT72_MOVCTA.CKBALCAO, TCT72_MOVCTA.CKNUMCTA, TCT72_MOVCTA.ZDEPOSIT )
WHERE TCT09_OPERCN.ISITUAC = '1' AND LITIGATION_PRODUCT.CKPRODUT = '029' AND 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</si>
  <si>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</si>
  <si>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</si>
  <si>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</si>
  <si>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</si>
  <si>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</si>
  <si>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</si>
  <si>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</si>
  <si>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</si>
  <si>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</si>
  <si>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</si>
  <si>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BGOP_NUMSMV 
N\A
DCYR9750_ZMOVCTA 
N\A
ZMOVCTA
N\A</t>
  </si>
  <si>
    <t>SELECT CAST( BG_OPERACION.BGOP_NUMSMV AS BIGINT )
WHERE BG_CONTR_BATCH.CDSITUAC = 'NR'  AND BG_CONTR_BATCH.CODSPROD !=  '550' AND BG_OPERACION.TIMESTAM( 1, 10 ) &gt;= DATA_DATE_PART
SELECT CAST( MOVIMENTOS_CONSOLIDADOS.DCYR9750_ZMOVCTA AS BIGINT )
WHERE INTERFACE_DCT01.DCYR8101_CSITCTA IN ( '0', '1', '2', '3', '7', '8' ) AND DCYR8101_DINICONT =  '0001-01-01' AND AND LITIGATION_PRODUCT.SOURCE_PRODUCT_ID = '029' AND LITIGATION_PRODUCT.SOURCE_SUBPRODUCT_ID = '213' 
SELECT CAST( TCT72_MOVCTA.ZMOVCTA AS BIGINT )
WHERE TCT09_OPERCN.ISITUAC = '1' AND LITIGATION_PRODUCT.CKPRODUT = '029' AND 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</si>
  <si>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</si>
  <si>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</si>
  <si>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</si>
  <si>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</si>
  <si>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</si>
  <si>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t>
  </si>
  <si>
    <t>SELECT CAST( 1 AS BIGINT )
WHERE BG_CONTR_BATCH.CDSITUAC = 'NR'  AND BG_CONTR_BATCH.CODSPROD !=  '550' AND BG_OPERACION.TIMESTAM( 1, 10 ) &gt;= DATA_DATE_PART
SELECT CAST( 1 AS BIGINT )
WHERE INTERFACE_DCT01.DCYR8101_CSITCTA IN ( '0', '1', '2', '3', '7', '8' ) AND DCYR8101_DINICONT =  '0001-01-01' AND AND LITIGATION_PRODUCT.SOURCE_PRODUCT_ID = '029' AND LITIGATION_PRODUCT.SOURCE_SUBPRODUCT_ID = '213' 
SELECT CAST( TCT72_MOVCTA.ZSEQMOV AS BIGINT )
WHERE TCT09_OPERCN.ISITUAC = '1' AND LITIGATION_PRODUCT.CKPRODUT = '029' AND LITIGATION_PRODUCT.CKSUBPRO = '213' EXCEPT LAST DATA_DATE_PART</t>
  </si>
  <si>
    <t>N\A
N\A
TCT72_MOVCTA</t>
  </si>
  <si>
    <t>N\A
N\A
ZSEQMOV</t>
  </si>
  <si>
    <t>"1"
"1"
N\A</t>
  </si>
  <si>
    <t>Transaction Date</t>
  </si>
  <si>
    <t>transaction_date</t>
  </si>
  <si>
    <t>Ext Inf - Trans Cal Inf - Date</t>
  </si>
  <si>
    <t>Represents the date in which the transaction was performed. This does not correspond to the actual execution of the transaction, for example, due to weekends it can change from one to another.</t>
  </si>
  <si>
    <t>Transactions - General</t>
  </si>
  <si>
    <t>Execution Date Time</t>
  </si>
  <si>
    <t>BGOP_FECVAL 
N\A
DCYR9750_DDIAVL 
N\A
DDIAVL 
N\A</t>
  </si>
  <si>
    <t>SELECT CAST( BG_OPERACION.BGOP_FECVAL AS STRING )
WHERE BG_CONTR_BATCH.CDSITUAC = 'NR'  AND BG_CONTR_BATCH.CODSPROD !=  '550' AND BG_OPERACION.TIMESTAM( 1, 10 ) &gt;= DATA_DATE_PART
SELECT CAST( MOVIMENTOS_CONSOLIDADOS.DCYR9750_DDIAVL AS STRING )
WHERE INTERFACE_DCT01.DCYR8101_CSITCTA IN ( '0', '1', '2', '3', '7', '8' ) AND DCYR8101_DINICONT =  '0001-01-01' AND AND LITIGATION_PRODUCT.SOURCE_PRODUCT_ID = '029' AND LITIGATION_PRODUCT.SOURCE_SUBPRODUCT_ID = '213' 
SELECT CAST( TCT72_MOVCTA.DDIAVL AS STRING )
WHERE TCT09_OPERCN.ISITUAC = '1' AND LITIGATION_PRODUCT.CKPRODUT = '029' AND LITIGATION_PRODUCT.CKSUBPRO = '213' EXCEPT LAST DATA_DATE_PART</t>
  </si>
  <si>
    <t>FECVAL
DDIAVL
DDIAVL</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</si>
  <si>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</si>
  <si>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</si>
  <si>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</si>
  <si>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</si>
  <si>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</si>
  <si>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</si>
  <si>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t>
  </si>
  <si>
    <t>SELECT CAST( BG_OPERACION.BGOP_IMPOMVTO AS DECIMAL( 23, 6 ) )
WHERE BG_CONTR_BATCH.CDSITUAC = 'NR'  AND BG_CONTR_BATCH.CODSPROD !=  '550' AND BG_OPERACION.TIMESTAM( 1, 10 ) &gt;= DATA_DATE_PART
SELECT CAST( MOVIMENTOS_CONSOLIDADOS.DCYR9750_MMOVIM AS DECIMAL( 23, 6 ) )
WHERE INTERFACE_DCT01.DCYR8101_CSITCTA IN ( '0', '1', '2', '3', '7', '8' ) AND DCYR8101_DINICONT =  '0001-01-01' AND AND LITIGATION_PRODUCT.SOURCE_PRODUCT_ID = '029' AND LITIGATION_PRODUCT.SOURCE_SUBPRODUCT_ID = '213' 
SELECT CAST( TCT72_MOVCTA.MMOVIM AS DECIMAL( 23, 6 ) )
WHERE TCT09_OPERCN.ISITUAC = '1' AND LITIGATION_PRODUCT.CKPRODUT = '029' AND LITIGATION_PRODUCT.CKSUBPRO = '213' EXCEPT LAST DATA_DATE_PART</t>
  </si>
  <si>
    <t>IMPOMVTO
MMOVIM
MMOVIM</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</si>
  <si>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</si>
  <si>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</si>
  <si>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</si>
  <si>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</si>
  <si>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</si>
  <si>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</si>
  <si>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</si>
  <si>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t>
  </si>
  <si>
    <t>SELECT CONCAT( BG_OPERACION.BGOP_CODOPBS, BG_OPERACION.BGOP_CODOPBA )
WHERE BG_CONTR_BATCH.CDSITUAC = 'NR'  AND BG_CONTR_BATCH.CODSPROD !=  '550' AND BG_OPERACION.TIMESTAM( 1, 10 ) &gt;= DATA_DATE_PART
SELECT CASE 
    WHEN MOVIMENTOS_CONSOLIDADOS.DCYR9750_OPERBAS = '160' AND MOVIMENTOS_CONSOLIDADOS.DCYR9750_OPERBAN = '001' THEN
         MOVIMENTOS_CONSOLIDADOS.DCYR9750_COPERAC
    ELSE CONCAT( MOVIMENTOS_CONSOLIDADOS.DCYR9750_OPERBAS, MOVIMENTOS_CONSOLIDADOS.DCYR9750_OPERBAN )
WHERE INTERFACE_DCT01.DCYR8101_CSITCTA IN ( '0', '1', '2', '3', '7', '8' ) AND DCYR8101_DINICONT =  '0001-01-01' AND AND LITIGATION_PRODUCT.SOURCE_PRODUCT_ID = '029' AND LITIGATION_PRODUCT.SOURCE_SUBPRODUCT_ID = '213' 
SELECT TCT72_MOVCTA.COPERAC
WHERE TCT09_OPERCN.ISITUAC = '1' AND LITIGATION_PRODUCT.CKPRODUT = '029' AND LITIGATION_PRODUCT.CKSUBPRO = '213' EXCEPT LAST DATA_DATE_PART</t>
  </si>
  <si>
    <t>BG_OPERACION
DCYR9750 || DCYR9750
TCT72_MOVCTA</t>
  </si>
  <si>
    <t>CONCAT ( CODOPBS, CODOPBA )
COPERAC || CONCAT ( OPERBAS, OPERBAN )
COPERAC
COPERAC</t>
  </si>
  <si>
    <t>N\A
N\A || N\A
N\A</t>
  </si>
  <si>
    <t>Financial Flow Indicator</t>
  </si>
  <si>
    <t>financial_flow_indicator</t>
  </si>
  <si>
    <t>Ext Inf - Trans Op Inf - Ind</t>
  </si>
  <si>
    <t>Identifies the transactions that have in fact moved cash. This is, the transactions that have a direct impact in a current accoount.</t>
  </si>
  <si>
    <t>?
CURATED_INTERNAL_MAINFRAME_CONTAS
CURATED_INTERNAL_MAINFRAME_CONTAS
?</t>
  </si>
  <si>
    <t>?
MOVIMENTOS_CONSOLIDADOS
INTERFACE_DCT01
?</t>
  </si>
  <si>
    <t>?
N\A
N\A
?</t>
  </si>
  <si>
    <t>?
?
SELECT 1
WHERE INTERFACE_DCT01.DCYR8101_CSITCTA IN ( '0', '1', '2', '3', '7', '8' ) AND DCYR8101_DINICONT =  '0001-01-01' AND AND LITIGATION_PRODUCT.SOURCE_PRODUCT_ID = '029' AND LITIGATION_PRODUCT.SOURCE_SUBPRODUCT_ID = '213' 
?
?</t>
  </si>
  <si>
    <t>?
DCYR9750 
TCT72_MOVCTA</t>
  </si>
  <si>
    <t>?
N\A
COPERAC</t>
  </si>
  <si>
    <t>?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</si>
  <si>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</si>
  <si>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</si>
  <si>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</si>
  <si>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</si>
  <si>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</si>
  <si>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Currency</t>
  </si>
  <si>
    <t>CURATED_INTERNAL_MAINFRAME_ESTRUTURAIS
CURATED_INTERNAL_MAINFRAME_AVALES
CURATED_INTERNAL_MAINFRAME_CONTAS
CURATED_INTERNAL_MAINFRAME_CONTAS
CURATED_INTERNAL_MAINFRAME_CONTENCIOSO
CURATED_INTERNAL_MAINFRAME_CONTENCIOSO</t>
  </si>
  <si>
    <t>TAT21_MOEDA
BG_CONTR_BATCH
MOVIMENTOS_CONSOLIDADOS
INTERFACE_DCT01
TCT72_MOVCTA
TCT09_OPERNC</t>
  </si>
  <si>
    <t>CMOEDA
N\A
DCYR9750_CMOEDA
N\A
CMOEDAOR
N\A</t>
  </si>
  <si>
    <t>SELECT IF( TRIM( TAT21_MOEDA.CMOEDA ) = '', NULL, TAT21_MOEDA.CMOEDA )
WHERE BG_CONTR_BATCH.CDSITUAC = 'NR'  AND BG_CONTR_BATCH.CODSPROD !=  '550' AND BG_OPERACION.TIMESTAM( 1, 10 ) &gt;= DATA_DATE_PART
SELECT IF( TRIM( MOVIMENTOS_CONSOLIDADOS.DCYR9750_CMOEDA ) = '', NULL, MOVIMENTOS_CONSOLIDADOS.DCYR9750_CMOEDA )
WHERE INTERFACE_DCT01.DCYR8101_CSITCTA IN ( '0', '1', '2', '3', '7', '8' ) AND DCYR8101_DINICONT =  '0001-01-01' AND AND LITIGATION_PRODUCT.SOURCE_PRODUCT_ID = '029' AND LITIGATION_PRODUCT.SOURCE_SUBPRODUCT_ID = '213' 
SELECT IF(TRIM(TCT72_MOVCTA.CMOEDAOR ) = '', NULL, TCT72_MOVCTA.CMOEDAOR )
WHERE TCT09_OPERCN.ISITUAC = '1' AND TCT09_OPERCN.CKPRODUT = '029' and TCT09_OPERCN.CKSUBPRO = '213' EXCEPT LAST DATA_DATE_PART</t>
  </si>
  <si>
    <t>BG_OPERACION -&gt; TAT21_MOEDA
DCYR9750
TCT72_MOVCTA</t>
  </si>
  <si>
    <t>CODMONSW -&gt; CMOEDA
CMOEDA
CMOEDAOR</t>
  </si>
  <si>
    <t>N\A -&gt; N\A
N\A
N\A</t>
  </si>
  <si>
    <t>Transaction Execution Date</t>
  </si>
  <si>
    <t>transaction_execution_date</t>
  </si>
  <si>
    <t>Represents the date in which the transaction was actually executed. Not to be mistaken by the moment in which the transaction was performed.</t>
  </si>
  <si>
    <t>Transaction Date Time</t>
  </si>
  <si>
    <t>BGOP_FECMOV 
N\A
DCYR9750_DDIAOP 
N\A
DDIAOP
N\A</t>
  </si>
  <si>
    <t>SELECT IF( TRIM( BG_OPERACION.BGOP_FECMOV ) = '', NULL, BG_OPERACION.BGOP_FECMOV )
WHERE BG_CONTR_BATCH.CDSITUAC = 'NR'  AND BG_CONTR_BATCH.CODSPROD !=  '550' AND BG_OPERACION.TIMESTAM( 1, 10 ) &gt;= DATA_DATE_PART
SELECT IF( TRIM( MOVIMENTOS_CONSOLIDADOS.DCYR9750_DDIAOP ) = '', NULL, MOVIMENTOS_CONSOLIDADOS.DCYR9750_DDIAOP )
WHERE INTERFACE_DCT01.DCYR8101_CSITCTA IN ( '0', '1', '2', '3', '7', '8' ) AND DCYR8101_DINICONT =  '0001-01-01' AND AND LITIGATION_PRODUCT.SOURCE_PRODUCT_ID = '029' AND LITIGATION_PRODUCT.SOURCE_SUBPRODUCT_ID = '213' 
SELECT IF(TRIM(TCT72_MOVCTA.DDIAOP ) = '', NULL, TCT72_MOVCTA.DDIAOP )
WHERE TCT09_OPERCN.ISITUAC = '1' AND LITIGATION_PRODUCT.CKPRODUT = '029' AND LITIGATION_PRODUCT.CKSUBPRO = '213' EXCEPT LAST DATA_DATE_PART</t>
  </si>
  <si>
    <t>FECMOV
DDIAOP
DDIAOP</t>
  </si>
  <si>
    <t>Source Code</t>
  </si>
  <si>
    <t>source_code</t>
  </si>
  <si>
    <t>Tec - Code</t>
  </si>
  <si>
    <t>Identifier of the Santander's application that generated the information. For example, EP for loans, CRT for cards, etc.</t>
  </si>
  <si>
    <t>Information Source Application:
N\A; N\A
N\A; N\A</t>
  </si>
  <si>
    <t>N\A
N\A
N\A
N\A
N\A
N\A</t>
  </si>
  <si>
    <t>SELECT 'BG'
WHERE BG_CONTR_BATCH.CDSITUAC = 'NR'  AND BG_CONTR_BATCH.CODSPROD !=  '550' AND BG_OPERACION.TIMESTAMP( 1, 10 ) &gt;= DATA_DATE_PART
SELECT 'DC'
WHERE INTERFACE_DCT01.DCYR8101_CSITCTA IN ( '0', '1', '2', '3', '7', '8' ) AND DCYR8101_DINICONT =  '0001-01-01' AND INTERFACE_DCT01.DCYR8101_CKPRODUT = '029' AND INTERFACE_DCT01.DCYR8101_CKSUBPRO = '213'
SELECT 'TC'
WHERE TCT09_OPERCN.ISITUAC = '1' AND LITIGATION_PRODUCT.CKPRODUT = '029' AND LITIGATION_PRODUCT.CKSUBPRO = '213' EXCEPT LAST DATA_DATE_PART</t>
  </si>
  <si>
    <t>"BG"
"DC"
"TC"</t>
  </si>
  <si>
    <t>Data Date Part</t>
  </si>
  <si>
    <t>data_date_part</t>
  </si>
  <si>
    <t>Key - Date</t>
  </si>
  <si>
    <t>Information reference date.</t>
  </si>
  <si>
    <t>DATA_DATE_PART
N\A
DATA_DATE_PART
N\A
DATA_DATE_PART
N\A</t>
  </si>
  <si>
    <t>SELECT BG_OPERACION.DATA_DATE_PART
WHERE BG_CONTR_BATCH.CDSITUAC = 'NR'  AND BG_CONTR_BATCH.CODSPROD !=  '550' AND BG_OPERACION.TIMESTAM( 1, 10 ) &gt;= DATA_DATE_PART
SELECT MOVIMENTOS_CONSOLIDADOS.DATA_DATE_PART
WHERE INTERFACE_DCT01.DCYR8101_CSITCTA IN ( '0', '1', '2', '3', '7', '8' ) AND DCYR8101_DINICONT =  '0001-01-01' AND AND LITIGATION_PRODUCT.SOURCE_PRODUCT_ID = '029' AND LITIGATION_PRODUCT.SOURCE_SUBPRODUCT_ID = '213' 
SELECT TCT72_MOVCTA.DATA_DATE_PART
WHERE TCT09_OPERCN.ISITUAC = '1' AND LITIGATION_PRODUCT.CKPRODUT = '029' AND 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</si>
  <si>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</si>
  <si>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</si>
  <si>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</si>
  <si>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</si>
  <si>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</si>
  <si>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</si>
  <si>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AND BG_OPERACION.TIMESTAM( 1, 10 ) &gt;= DATA_DATE_PART
SELECT NOW()
WHERE INTERFACE_DCT01.DCYR8101_CSITCTA IN ( '0', '1', '2', '3', '7', '8' ) AND DCYR8101_DINICONT =  '0001-01-01' AND AND LITIGATION_PRODUCT.SOURCE_PRODUCT_ID = '029' AND LITIGATION_PRODUCT.SOURCE_SUBPRODUCT_ID = '213' 
SELECT NOW()
WHERE TCT09_OPERCN.ISITUAC = '1' AND LITIGATION_PRODUCT.CKPRODUT = '029' AND LITIGATION_PRODUCT.CKSUBPRO = '213' EXCEPT LAST DATA_DATE_PART</t>
  </si>
  <si>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</si>
  <si>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</si>
  <si>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</si>
  <si>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</si>
  <si>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</si>
  <si>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GENERAL_CONVERTER</t>
  </si>
  <si>
    <t>N\A
N\A
N\A
N\A
CDM_VALUE</t>
  </si>
  <si>
    <t>SELECT GENERAL_CONVERTER.CDM_VALUE
WHERE EFT02_CRTEFT.CSITEF IN ( 'CO', 'VE', 'IR' ) AND GENERAL_CONVERTER.CODE CATEGORY = 'BANK_ID' AND GENERAL_CONVERTER.SOURCE_CODE = 'EF' AND GENERAL_CONVERTER.SOURCE_VALUE = '' AND  EFT08_CONTAB_EFT.HTIMEST( 1, 10 ) &gt;= DATA_DATE_PART
SELECT GENERAL_CONVERTER.CDM_VALUE
WHERE TCT09_OPERCN.ISITUAC = 1 AND GENERAL_CONVERTER.CODE CATEGORY = 'BANK_ID' AND GENERAL_CONVERTER.SOURCE_CODE = 'EF' AND GENERAL_CONVERTER.SOURCE_VALUE = ''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</si>
  <si>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</si>
  <si>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</si>
  <si>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</si>
  <si>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</si>
  <si>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</si>
  <si>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EFT08_CONTAB_EFT.HTIMEST( 1, 10 ) &gt;=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</si>
  <si>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</si>
  <si>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</si>
  <si>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</si>
  <si>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</si>
  <si>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EFT08_CONTAB_EFT.HTIMEST(1, 10) &gt;= DATA_DATE_PART
SELECT CAST( TCT72_MOVCTA.ZMOVCTA AS BIGINT )
WHERE TCT09_OPERCN.ISITUAC = 1 EXCEPT LAST DATA_DATE_PART</t>
  </si>
  <si>
    <t>ZMOVCTA
ZMOVCTA</t>
  </si>
  <si>
    <t>ZSEQMOV
N\A
ZSEQMOV
N\A</t>
  </si>
  <si>
    <t>SELECT CAST( EFT08_CONTAB_EFT.ZSEQMOV AS BIGINT )
WHERE EFT02_CRTEFT.CSITEF IN ( 'CO', 'VE', 'IR' ) AND  EFT08_CONTAB_EFT.HTIMEST(1, 10) &gt;=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</si>
  <si>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</si>
  <si>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</si>
  <si>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</si>
  <si>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</si>
  <si>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COPERAC
N\A
COPERAC
N\A</t>
  </si>
  <si>
    <t>SELECT EFT08_CONTAB_EFT.COPERAC
WHERE EFT02_CRTEFT.CSITEF IN ( 'CO', 'VE', 'IR' ) AND  EFT08_CONTAB_EFT.HTIMEST(1, 10) &gt;= DATA_DATE_PART
SELECT TCT72_MOVCTA.COPERAC
WHERE TCT09_OPERCN.ISITUAC = 1 EXCEPT LAST DATA_DATE_PART</t>
  </si>
  <si>
    <t>COPERAC
COPERAC</t>
  </si>
  <si>
    <t>?
?</t>
  </si>
  <si>
    <t>?
?
?
?</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</si>
  <si>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</si>
  <si>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</si>
  <si>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AND  EFT08_CONTAB_EFT.HTIMEST(1, 10) &gt;=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</si>
  <si>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</si>
  <si>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</si>
  <si>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AND  EFT08_CONTAB_EFT.HTIMEST(1, 10) &gt;=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</si>
  <si>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</si>
  <si>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</si>
  <si>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EFT08_CONTAB_EFT.HTIMEST(1, 10) &gt;=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</si>
  <si>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</si>
  <si>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</si>
  <si>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AND  EFT08_CONTAB_EFT.HTIMEST(1, 10) &gt;= DATA_DATE_PART
SELECT CAST( TCT72_MOVCTA.MMOVIM AS DECIMAL( 23, 6 ) )
WHERE TCT09_OPERCN.ISITUAC = 1 EXCEPT LAST DATA_DATE_PART</t>
  </si>
  <si>
    <t>MMOVIM
MMOVIM</t>
  </si>
  <si>
    <t>SELECT 'EF'
WHERE EFT02_CRTEFT.CSITEF IN ( 'CO', 'VE', 'IR' ) AND  EFT08_CONTAB_EFT.HTIMEST(1, 10) &gt;= DATA_DATE_PART
SELECT 'TC'
WHERE TCT09_OPERCN.ISITUAC = 1 EXCEPT LAST DATA_DATE_PART</t>
  </si>
  <si>
    <t>"EF"
"TC"</t>
  </si>
  <si>
    <t>DATA_DATE_PART
N\A
DATA_DATE_PART
N\A</t>
  </si>
  <si>
    <t>SELECT EFT08_CONTAB_EFT.DATA_DATE_PART
WHERE EFT02_CRTEFT.CSITEF IN ( 'CO', 'VE', 'IR' ) AND  EFT08_CONTAB_EFT.HTIMEST(1, 10) &gt;= DATA_DATE_PART
SELECT TCT72_MOVCTA.DATA_DATE_PART
WHERE TCT09_OPERCN.ISITUAC = 1 EXCEPT LAST DATA_DATE_PART</t>
  </si>
  <si>
    <t>SELECT NOW()
WHERE EFT02_CRTEFT.CSITEF IN ( 'CO', 'VE', 'IR' ) AND  EFT08_CONTAB_EFT.HTIMEST(1, 10) &gt;= DATA_DATE_PART
SELECT NOW()
WHERE TCT09_OPERCN.ISITUAC = 1 EXCEPT LAST DATA_DATE_PART</t>
  </si>
  <si>
    <t>common_contracts_creditcards</t>
  </si>
  <si>
    <t>Credit Card Account Plan Transaction</t>
  </si>
  <si>
    <t>credit_card_account_plan_transaction</t>
  </si>
  <si>
    <t>Ext Inf - Con Inf - ID</t>
  </si>
  <si>
    <t>Transactions - General
Transactions - General
Transactions - General
Transactions - Cards</t>
  </si>
  <si>
    <t>Contract ID
Contract Number
Transaction ID
Transaction ID</t>
  </si>
  <si>
    <t>CR - Cartões
CR - Cartões
DC - Contas a Vista
TC - Contencioso</t>
  </si>
  <si>
    <t>"31"
"31"
"31"
"31"</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</si>
  <si>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</si>
  <si>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 CKBALCAO, CKNUMCTA, ZDEPOSIT )</t>
  </si>
  <si>
    <t>BIG INT</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</si>
  <si>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</si>
  <si>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</si>
  <si>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</si>
  <si>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</si>
  <si>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</si>
  <si>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</si>
  <si>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NUMMOVEXT
NUMMOVEXT
ZSEQMOV
ZSEQMOV</t>
  </si>
  <si>
    <t>Transaction Type:
CRT44_TBTIPFAC
TAT91 - CTABELA 021</t>
  </si>
  <si>
    <t>CONCAT ( INDORI, TIPOFACN, INDESTR )
CONCAT ( INDORI, TIPOFACN, INDESTR )
COPERAC || CONCAT ( OPERBAS, OPERBAN )
COPERAC</t>
  </si>
  <si>
    <t>CRT12_TBMOVEXT
N\A
DCYR9750
TCT72_MOVCTA</t>
  </si>
  <si>
    <t>TIPOFACN
N\A
N\A
COPERAC</t>
  </si>
  <si>
    <t>N\A
"1"
"1"
N\A</t>
  </si>
  <si>
    <t>Card Number</t>
  </si>
  <si>
    <t>card_number</t>
  </si>
  <si>
    <t>Ext Inf - Trans Card Inf - Value</t>
  </si>
  <si>
    <t>Primary Account Number (PAN) present on the card.</t>
  </si>
  <si>
    <t>Transactions - Cards</t>
  </si>
  <si>
    <t>CRT12_TBMOVEXT
CRT90_TBMOVDEB
N\A
N\A</t>
  </si>
  <si>
    <t>PAN
PAN
N\A
N\A</t>
  </si>
  <si>
    <t>N\A
N\A
"#N/A"
"#N/A"</t>
  </si>
  <si>
    <t>Beneficiary Order Number</t>
  </si>
  <si>
    <t>beneficiary_order_number</t>
  </si>
  <si>
    <t>Ext Inf - Clt Inf - ID</t>
  </si>
  <si>
    <t>Identifies the intervention order number of the card's beneficiary that performed the transaction in the card account contract. In order to get the party ID it is necessary to link the contract and intervention number with the common_contract_party_relation and obtain the field party_id.</t>
  </si>
  <si>
    <t>NUMBENCTA - 1
NUMBENCTA - 1
N\A
N\A</t>
  </si>
  <si>
    <t>Recurring Transaction Indicator</t>
  </si>
  <si>
    <t>recurring_transaction_indicator</t>
  </si>
  <si>
    <t>Indicates whether the transaction is a scheduled recurring transaction or not.</t>
  </si>
  <si>
    <t>Recurring Indicator</t>
  </si>
  <si>
    <t>NATOPER
NATOPER
N\A
N\A</t>
  </si>
  <si>
    <t>N\A
N\A
"0"
"0"</t>
  </si>
  <si>
    <t>Chargeback Indicator</t>
  </si>
  <si>
    <t>chargeback_indicator</t>
  </si>
  <si>
    <t>Indicates whether the transaction was annulled or not.</t>
  </si>
  <si>
    <t>Annulation Indicator</t>
  </si>
  <si>
    <t>INDESTR
INDESTR
N\A
N\A</t>
  </si>
  <si>
    <t>N\A
N\A
"NULL"
"NULL"</t>
  </si>
  <si>
    <t>Card Presence Indicator</t>
  </si>
  <si>
    <t>card_presence_indicator</t>
  </si>
  <si>
    <t>Ext Inf - Trans Card Inf - Ind</t>
  </si>
  <si>
    <t>Indicates whether the card was physically present during the transaction.</t>
  </si>
  <si>
    <t>Presence Indicator</t>
  </si>
  <si>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</si>
  <si>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</si>
  <si>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</si>
  <si>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</si>
  <si>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</si>
  <si>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</si>
  <si>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t>
  </si>
  <si>
    <t>Authentication Method</t>
  </si>
  <si>
    <t>Original Currency Code</t>
  </si>
  <si>
    <t>original_currency_code</t>
  </si>
  <si>
    <t>Original currency code of the transaction. Represents the currency before the currency exchange, if applicable.</t>
  </si>
  <si>
    <t>Currency:
TAT91 - CTABELA 206
N\A</t>
  </si>
  <si>
    <t>Counterparty Currency</t>
  </si>
  <si>
    <t>CLAMON
CLAMON
N\A
N\A</t>
  </si>
  <si>
    <t>N\A
N\A
"#N\A"
"#N\A"</t>
  </si>
  <si>
    <t>CLAMONEUR
CLAMONEUR
CMOEDA
CMOEDAOR</t>
  </si>
  <si>
    <t>FECVALOR
FECVALOR
DDIAVL
DDIAVL</t>
  </si>
  <si>
    <t>FECFAC
FECFAC
DDIAOP
DDIAOP</t>
  </si>
  <si>
    <t>Original Amount</t>
  </si>
  <si>
    <t>original_amount</t>
  </si>
  <si>
    <t>Original amount of the transaction. Represents the amount before the currency exchange, if applicable.</t>
  </si>
  <si>
    <t>Counterparty Transaction Amount</t>
  </si>
  <si>
    <t>(1)CRT12_TBMOVEXT + (2)CRT44_TBTIPFAC || (1)CRT12_TBMOVEXT + (2)CRT44_TBTIPFAC
(1)CRT90_TBMOVDEB + (2)CRT44_TBTIPFAC || (1)CRT90_TBMOVDEB + (2)CRT44_TBTIPFAC
N\A
N\A</t>
  </si>
  <si>
    <t>CONCAT( (2)SIGNO, (1)IMPDIV )|| CONCAT( (2)SIGNO, (1)IMPFAC )
CONCAT( (2)SIGNO, (1)IMPDIV )|| CONCAT( (2)SIGNO, (1)IMPFAC )
N\A
N\A</t>
  </si>
  <si>
    <t>N\A || N\A
N\A || N\A
"#N\A"
"#N\A"</t>
  </si>
  <si>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</si>
  <si>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</si>
  <si>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</si>
  <si>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</si>
  <si>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</si>
  <si>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</si>
  <si>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N\A</t>
  </si>
  <si>
    <t>ATM Organization ID</t>
  </si>
  <si>
    <t>CRT12_TBMOVEXT || N\A
CRT90_TBMOVDEB || N\A
N\A
N\A</t>
  </si>
  <si>
    <t>BANAPOIO || N\A
BANAPOIO || N\A
N\A
N\A</t>
  </si>
  <si>
    <t>N\A || "#N/A"
N\A || "#N/A
"#N/A"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</si>
  <si>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</si>
  <si>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</si>
  <si>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</si>
  <si>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</si>
  <si>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</si>
  <si>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CRT12_TBMOVEXT
CRT90_TBMOVDEB 
N\A
N\A</t>
  </si>
  <si>
    <t>NOMCOMRED
NOMCOMRED
N\A
N\A</t>
  </si>
  <si>
    <t>N\A
N\A
"#NA"
"#NA"</t>
  </si>
  <si>
    <t>ATM Terminal ID</t>
  </si>
  <si>
    <t>atm_terminal_id</t>
  </si>
  <si>
    <t>If applicable, it is the identifier of the ATM terminal, in case of ATM transactions. The identifier is provided by the ATM terminal.</t>
  </si>
  <si>
    <t>ATM Terminal:
CRT_ELPS
N\A</t>
  </si>
  <si>
    <t>CODCOM || N\A
CODCOM || N\A
N\A
N\A</t>
  </si>
  <si>
    <t>POS Terminal ID</t>
  </si>
  <si>
    <t>pos_terminal_id</t>
  </si>
  <si>
    <t>Ext Inf - Trans POS Inf - ID</t>
  </si>
  <si>
    <t>Identifier of the POS terminal, in case of POS transactions.</t>
  </si>
  <si>
    <t>POS Terminal:
CRT98_ELPS
N\A</t>
  </si>
  <si>
    <t>CODCOM
CODCOM
N\A
N\A</t>
  </si>
  <si>
    <t>Merchant ID</t>
  </si>
  <si>
    <t>merchant_id</t>
  </si>
  <si>
    <t>Ext Inf - Trans Mrch Inf - ID</t>
  </si>
  <si>
    <t>If applicable, the identification of the merchant that received the transaction.</t>
  </si>
  <si>
    <t>CRT98_ELPS
CRT98_ELPS
N\A
N\A</t>
  </si>
  <si>
    <t>IDCOMEMP
IDCOMEMP
N\A
N\A</t>
  </si>
  <si>
    <t>Merchant Type Code</t>
  </si>
  <si>
    <t>merchant_type_code</t>
  </si>
  <si>
    <t>Ext Inf - Trans Mrch Inf - Code</t>
  </si>
  <si>
    <t>Represents  the merchant category, in case of merchant transactions.</t>
  </si>
  <si>
    <t>Merchant Category:
?
N\A</t>
  </si>
  <si>
    <t>Merchant Category Code</t>
  </si>
  <si>
    <t>CODACT
CODACT
N\A
N\A</t>
  </si>
  <si>
    <t>Information Source Application:
N\A
N\A</t>
  </si>
  <si>
    <t>"CR"
"CR"
"DC"
"TC"</t>
  </si>
  <si>
    <t>common_contracts_currentaccounts</t>
  </si>
  <si>
    <t>Current Account Transaction</t>
  </si>
  <si>
    <t>current_account_transaction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</si>
  <si>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</si>
  <si>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</si>
  <si>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t>
  </si>
  <si>
    <t>MOVIMENTOS_CONSOLIDADOS
INTERFACE_DCT01
TCT72_MOVCTA
TCT09_OPERCN</t>
  </si>
  <si>
    <t>SELECT GENERAL_CONVERTER.CDM_VALUE
WHERE INTERFACE_DCT01.DCYR8101_CSITCTA IN ( '0','1','2','3','7','8' ) AND INTERFACE_DCT01.DCYR8101_CFAMILIA IN ( 'ME', 'MN' ) AND GENERAL_CONVERTER.CODE CATEGORY = 'BANK_ID' AND GENERAL_CONVERTER.SOURCE_CODE = 'DC' AND GENERAL_CONVERTER.SOURCE_VALUE = ''
SELECT GENERAL_CONVERTER.CDM_VALUE
WHERE TCT09_OPERCN.ISITUAC = '1' AND INTERFACE_DCT01.DCYR8101_CSITCTA IN ( '0','1','2','3','7','8' ) AND INTERFACE_DCT01.DCYR8101_CFAMILIA IN ( 'ME', 'MN' ) AND GENERAL_CONVERTER.CODE CATEGORY = 'BANK_ID' AND GENERAL_CONVERTER.SOURCE_CODE = 'TC' AND GENERAL_CONVERTER.SOURCE_VALUE = '' EXCEPT LAST DATA_DATE_PART</t>
  </si>
  <si>
    <t>DC - Contas a Vista
TC - Terminal Contencioso</t>
  </si>
  <si>
    <t>N\A
NA\</t>
  </si>
  <si>
    <t>DCYR9750_CKBALCAO, DCYR9750_CKNUMCTA
N\A
CKBALCAO, CKNUMCTA, ZDEPOSIT
N\A</t>
  </si>
  <si>
    <t>SELECT CONCAT( MOVIMENTOS_CONSOLIDADOS.DCYR9750_CKBALCAO, MOVIMENTOS_CONSOLIDADOS.DCYR9750_CKNUMCTA, '000000000000000' )
WHERE INTERFACE_DCT01.DCYR8101_CSITCTA IN ( '0','1','2','3','7','8' ) AND INTERFACE_DCT01.DCYR8101_CFAMILIA IN ( 'ME', 'MN' )
SELECT CONCAT( TCT72_MOVCTA.CKBALCAO, TCT72_MOVCTA.CKNUMCTA, '000000000000000' )
WHERE TCT09_OPERCN.ISITUAC = '1' AND INTERFACE_DCT01.DCYR8101_CSITCTA IN ( '0','1','2','3','7','8' ) AND INTERFACE_DCT01.DCYR8101_CFAMILIA IN ( 'ME', 'MN' ) EXCEPT LAST DATA_DATE_PART</t>
  </si>
  <si>
    <t>DCYR9750
TCT72_MOVCTA</t>
  </si>
  <si>
    <t>CONCAT( CKBALCAO, CKNUMCTA, "000000000000000" )
CONCAT( CKBALCAO, CKNUMCTA, "000000000000000" )</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</si>
  <si>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</si>
  <si>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</si>
  <si>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</si>
  <si>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</si>
  <si>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t>SELECT CAST( MOVIMENTOS_CONSOLIDADOS.DCYR9750_ZMOVCTA AS BIGINT )
WHERE INTERFACE_DCT01.DCYR8101_CSITCTA IN ( '0','1','2','3','7','8' ) AND INTERFACE_DCT01.DCYR8101_CFAMILIA IN ( 'ME', 'MN' )
SELECTT CAST( TCT72_MOVCTA.ZMOVCTA AS BIGINT )
WHERE TCT09_OPERCN.ISITUAC = '1' AND INTERFACE_DCT01.DCYR8101_CSITCTA IN ( '0','1','2','3','7','8' ) AND INTERFACE_DCT01.DCYR8101_CFAMILIA IN ( 'ME', 'MN' ) EXCEPT LAST DATA_DATE_PART</t>
  </si>
  <si>
    <t>N\A
N\A
ZSEQMOV 
N\A</t>
  </si>
  <si>
    <t>SELECT CAST( 1 AS BIGINT )
WHERE INTERFACE_DCT01.DCYR8101_CSITCTA IN ( '0','1','2','3','7','8' ) AND INTERFACE_DCT01.DCYR8101_CFAMILIA IN ( 'ME', 'MN' )
SELECT CAST( TCT72_MOVCTA.ZSEQMOV AS BIGINT )
WHERE TCT09_OPERCN.ISITUAC = '1' AND INTERFACE_DCT01.DCYR8101_CSITCTA IN ( '0','1','2','3','7','8' ) AND INTERFACE_DCT01.DCYR8101_CFAMILIA IN ( 'ME', 'MN' ) EXCEPT LAST DATA_DATE_PART</t>
  </si>
  <si>
    <t>N\A
ZSEQMOV</t>
  </si>
  <si>
    <t>"1"
N\A</t>
  </si>
  <si>
    <t>Transaction Type:
TAT91_TABELAS - CTABELA 021 || OB_OPERACION + OB_OPER_BASI; CACURATED_INTERNAL_MAINFRAME_ESTRUTURAIS.TAT91_TABELAS - TAYD91C0_CTABELA 021 || ?
TAT91_TABELAS - CTABELA 021</t>
  </si>
  <si>
    <t>DCYR9750 || DCYR9750 
TCT72_MOVCTA</t>
  </si>
  <si>
    <t>COPERAC || CONCAT( OPERBAS, OPERBAN )
COPERAC</t>
  </si>
  <si>
    <t>Transaction Date Time
Transaction ID
Transaction ID</t>
  </si>
  <si>
    <t>DCYR9750_DDIAOP 
N\A
DDIAOP 
N\A</t>
  </si>
  <si>
    <t>SELECT CAST( MOVIMENTOS_CONSOLIDADOS.DCYR9750_DDIAOP  AS STRING )
WHERE INTERFACE_DCT01.DCYR8101_CSITCTA IN ( '0','1','2','3','7','8' ) AND INTERFACE_DCT01.DCYR8101_CFAMILIA IN ( 'ME', 'MN' )
SELECT CAST( TCT72_MOVCTA.DDIAOP AS STRING )
WHERE TCT09_OPERCN.ISITUAC = '1' AND INTERFACE_DCT01.DCYR8101_CSITCTA IN ( '0','1','2','3','7','8' ) AND INTERFACE_DCT01.DCYR8101_CFAMILIA IN ( 'ME', 'MN' ) EXCEPT LAST DATA_DATE_PART</t>
  </si>
  <si>
    <t>DCYR9750_MMOVIM 
N\A
MMOVIM 
N\A</t>
  </si>
  <si>
    <t>SELECT CAST( MOVIMENTOS_CONSOLIDADOS.DCYR9750_MMOVIM AS DECIMAL( 23, 6 ) )
WHERE INTERFACE_DCT01.DCYR8101_CSITCTA IN ( '0','1','2','3','7','8' ) AND INTERFACE_DCT01.DCYR8101_CFAMILIA IN ( 'ME', 'MN' )
SELECT CAST( TCT72_MOVCTA.MMOVIM AS DECIMAL( 23, 6 ) )
WHERE TCT09_OPERCN.ISITUAC = '1' AND INTERFACE_DCT01.DCYR8101_CSITCTA IN ( '0','1','2','3','7','8' ) AND INTERFACE_DCT01.DCYR8101_CFAMILIA IN ( 'ME', 'MN' ) EXCEPT LAST DATA_DATE_PART</t>
  </si>
  <si>
    <t>CURATED_INTERNAL_MAINFRAME_CONTAS
CURATED_INTERNAL_MAINFRAME_CONTAS
OPERATION_COMMON_REFERENCEDATA_CORE</t>
  </si>
  <si>
    <t>MOVIMENTOS_CONSOLIDADOS
INTERFACE_DCT01
FINANCIAL_FLOW_CONVERTER</t>
  </si>
  <si>
    <t>N\A
N\A
CDM_VALUE</t>
  </si>
  <si>
    <t>SELECT '1'
WHERE INTERFACE_DCT01.DCYR8101_CSITCTA IN ( '0','1','2','3','7','8' ) AND INTERFACE_DCT01.DCYR8101_CFAMILIA IN ( 'ME', 'MN' )
SELECT CAST( FINANCIAL_FLOW_CONVERTER.CDM_VALUE AS STRING )
WHERE TCT09_OPERCN.ISITUAC = '1' AND INTERFACE_DCT01.DCYR8101_CSITCTA IN ( '0','1','2','3','7','8' ) AND INTERFACE_DCT01.DCYR8101_CFAMILIA IN ( 'ME', 'MN' ) EXCEPT LAST DATA_DATE_PART AND FINANCIAL_FLOW_CONVERTER.SOURCE_TRANSACTION_TYPE_CODE = 'COPERAC' AND FINANCIAL_FLOW_CONVERTER.SOURCE_CODE = 'TC'</t>
  </si>
  <si>
    <t>DCYR9750_CMOEDA 
N\A
CMOEDAOR
N\A</t>
  </si>
  <si>
    <t>SELECT IF( TRIM(MOVIMENTOS_CONSOLIDADOS.DCYR9750_CMOEDA ) = '', NULL, MOVIMENTOS_CONSOLIDADOS.DCYR9750_CMOEDA )
WHERE INTERFACE_DCT01.DCYR8101_CSITCTA IN ( '0','1','2','3','7','8' ) AND INTERFACE_DCT01.DCYR8101_CFAMILIA IN ( 'ME', 'MN' )
SELECT IF( TRIM( TCT72_MOVCTA.CMOEDAOR ) = '', NULL, TCT72_MOVCTA.CMOEDAOR )
WHERE TCT09_OPERCN.ISITUAC = '1' AND INTERFACE_DCT01.DCYR8101_CSITCTA IN ( '0','1','2','3','7','8' ) AND INTERFACE_DCT01.DCYR8101_CFAMILIA IN ( 'ME', 'MN' ) EXCEPT LAST DATA_DATE_PART</t>
  </si>
  <si>
    <t>r4m</t>
  </si>
  <si>
    <t>DCYR9750_DDIAVL
N\A
DDIAVL
N\A</t>
  </si>
  <si>
    <t>SELECT IF( TRIM(MOVIMENTOS_CONSOLIDADOS.DCYR9750_DDIAVL ) = '', NULL, MOVIMENTOS_CONSOLIDADOS.DCYR9750_DDIAVL )
WHERE INTERFACE_DCT01.DCYR8101_CSITCTA IN ( '0','1','2','3','7','8' ) AND INTERFACE_DCT01.DCYR8101_CFAMILIA IN ( 'ME', 'MN' )
SELECT IF( TRIM(TCT72_MOVCTA.DDIAVL ) = '', NULL, TCT72_MOVCTA.DDIAVL )
WHERE TCT09_OPERCN.ISITUAC = '1' AND INTERFACE_DCT01.DCYR8101_CSITCTA IN ( '0','1','2','3','7','8' ) AND INTERFACE_DCT01.DCYR8101_CFAMILIA IN ( 'ME', 'MN' ) EXCEPT LAST DATA_DATE_PART</t>
  </si>
  <si>
    <t>Description</t>
  </si>
  <si>
    <t>description</t>
  </si>
  <si>
    <t>Ext Inf - Trans Inf - Value</t>
  </si>
  <si>
    <t>Narrative information and payment details of a transaction.</t>
  </si>
  <si>
    <t>DCYR9750_DESCR01
N\A
N\A
N\A</t>
  </si>
  <si>
    <t>SELECT MOVIMENTOS_CONSOLIDADOS.DCYR9750_DESCR01
WHERE INTERFACE_DCT01.DCYR8101_CSITCTA IN ( '0','1','2','3','7','8' ) AND INTERFACE_DCT01.DCYR8101_CFAMILIA IN ( 'ME', 'MN' )
SELECT ''
WHERE TCT09_OPERCN.ISITUAC = '1' AND INTERFACE_DCT01.DCYR8101_CSITCTA IN ( '0','1','2','3','7','8' ) AND INTERFACE_DCT01.DCYR8101_CFAMILIA IN ( 'ME', 'MN' ) EXCEPT LAST DATA_DATE_PART</t>
  </si>
  <si>
    <t>DCYR9750
N\A</t>
  </si>
  <si>
    <t>DESCR01
N\A</t>
  </si>
  <si>
    <t>N\A
" "</t>
  </si>
  <si>
    <t>Comment</t>
  </si>
  <si>
    <t>comment</t>
  </si>
  <si>
    <t>General observations about the transactions. If applicable, it can be used to identify the swift \ sepa transfer.</t>
  </si>
  <si>
    <t>DCYR9750_GOBSERV
N\A
N\A
N\A</t>
  </si>
  <si>
    <t>SELECT MOVIMENTOS_CONSOLIDADOS.DCYR9750_GOBSERV
WHERE INTERFACE_DCT01.DCYR8101_CSITCTA IN ( '0','1','2','3','7','8' ) AND INTERFACE_DCT01.DCYR8101_CFAMILIA IN ( 'ME', 'MN' )
SELECT ''
WHERE TCT09_OPERCN.ISITUAC = '1' AND INTERFACE_DCT01.DCYR8101_CSITCTA IN ( '0','1','2','3','7','8' ) AND INTERFACE_DCT01.DCYR8101_CFAMILIA IN ( 'ME', 'MN' ) EXCEPT LAST DATA_DATE_PART</t>
  </si>
  <si>
    <t>GOBSERV
N\A</t>
  </si>
  <si>
    <t>SELECT 'DC'
WHERE INTERFACE_DCT01.DCYR8101_CSITCTA IN ( '0','1','2','3','7','8' ) AND INTERFACE_DCT01.DCYR8101_CFAMILIA IN ( 'ME', 'MN' )
SELECT 'TC'
WHERE TCT09_OPERCN.ISITUAC = '1' AND INTERFACE_DCT01.DCYR8101_CSITCTA IN ( '0','1','2','3','7','8' ) AND INTERFACE_DCT01.DCYR8101_CFAMILIA IN ( 'ME', 'MN' ) EXCEPT LAST DATA_DATE_PART</t>
  </si>
  <si>
    <t>"DC"
"TC"</t>
  </si>
  <si>
    <t>SELECT MOVIMENTOS_CONSOLIDADOS.DATA_DATE_PART
WHERE INTERFACE_DCT01.DCYR8101_CSITCTA IN ( '0','1','2','3','7','8' ) AND INTERFACE_DCT01.DCYR8101_CFAMILIA IN ( 'ME', 'MN' )
SELECT TCT72_MOVCTA.DATA_DATE_PART
WHERE TCT09_OPERCN.ISITUAC = '1' AND INTERFACE_DCT01.DCYR8101_CSITCTA IN ( '0','1','2','3','7','8' ) AND INTERFACE_DCT01.DCYR8101_CFAMILIA IN ( 'ME', 'MN' ) EXCEPT LAST DATA_DATE_PART</t>
  </si>
  <si>
    <t>SELECT NOW()
WHERE INTERFACE_DCT01.DCYR8101_CSITCTA IN ( '0','1','2','3','7','8' ) AND INTERFACE_DCT01.DCYR8101_CFAMILIA IN ( 'ME', 'MN' )
SELECT NOW()
WHERE TCT09_OPERCN.ISITUAC = '1' AND INTERFACE_DCT01.DCYR8101_CSITCTA IN ( '0','1','2','3','7','8' ) AND INTERFACE_DCT01.DCYR8101_CFAMILIA IN ( 'ME', 'MN' ) EXCEPT LAST DATA_DATE_PART</t>
  </si>
  <si>
    <t>common_contracts_debitcards</t>
  </si>
  <si>
    <t>Debit Card Account Transaction</t>
  </si>
  <si>
    <t>debit_card_account_transaction</t>
  </si>
  <si>
    <t>CR - Cartões</t>
  </si>
  <si>
    <t>N\A</t>
  </si>
  <si>
    <t>"31"</t>
  </si>
  <si>
    <t>CRT07_TBCTATAR</t>
  </si>
  <si>
    <t>CONCAT ( CKBALCAO, CKNUMCTA )</t>
  </si>
  <si>
    <t>CRT90_TBMOVDEB</t>
  </si>
  <si>
    <t>NUMEXTCTA</t>
  </si>
  <si>
    <t>NUMMOVEXT</t>
  </si>
  <si>
    <t>Transaction Type:
CRT44_TBTIPFAC</t>
  </si>
  <si>
    <t>CONCAT (INDORI, TIPOFACN, INDESTR )</t>
  </si>
  <si>
    <t>"1"</t>
  </si>
  <si>
    <t>PAN</t>
  </si>
  <si>
    <t>INT</t>
  </si>
  <si>
    <t>CRT09_TBTARJET</t>
  </si>
  <si>
    <t>NUMBENCTA - 1</t>
  </si>
  <si>
    <t xml:space="preserve">
CRT90_TBMOVDEB</t>
  </si>
  <si>
    <t>NATOPER</t>
  </si>
  <si>
    <t>INDESTR</t>
  </si>
  <si>
    <t>CRT53_TBMOVAUX</t>
  </si>
  <si>
    <t>TIPOAUT</t>
  </si>
  <si>
    <t>Authentication Method:
N\A ( Manual Implementação SIBS )</t>
  </si>
  <si>
    <t>CRT53_TBMOVAUX
N\A</t>
  </si>
  <si>
    <t xml:space="preserve">TIPOAUT </t>
  </si>
  <si>
    <t>Currency:
TAT91 - CTABELA 206</t>
  </si>
  <si>
    <t>CLAMON</t>
  </si>
  <si>
    <t>CLAMONEUR</t>
  </si>
  <si>
    <t>FECVALOR</t>
  </si>
  <si>
    <t>FECFAC</t>
  </si>
  <si>
    <t>(1)CRT90_TBMOVDEB + (2)CRT44_TBTIPFAC ||(1)CRT90_TBMOVDEB + (2)CRT44_TBTIPFAC</t>
  </si>
  <si>
    <t>CONCAT( (2)SIGNO, (1)IMPDIV )|| CONCAT( (2)SIGNO, (1)IMPFAC )</t>
  </si>
  <si>
    <t>N\A || N\A</t>
  </si>
  <si>
    <t>(1)CRT90_TBMOVDEB + (2)CRT44_TBTIPFAC</t>
  </si>
  <si>
    <t>CONCAT( (2)SIGNO, (1)IMPFAC )</t>
  </si>
  <si>
    <t>Organization ID:
?</t>
  </si>
  <si>
    <t>CRT90_TBMOVDEB || N\A</t>
  </si>
  <si>
    <t>BANAPOIO || N\A</t>
  </si>
  <si>
    <t>N\A || "#N/A"</t>
  </si>
  <si>
    <t>NOMCOMRED</t>
  </si>
  <si>
    <t>ATM Terminal:
CRT_ELPS</t>
  </si>
  <si>
    <t>CODCOM || N\A</t>
  </si>
  <si>
    <t>POS Terminal:
CRT98_ELPS</t>
  </si>
  <si>
    <t>CODCOM</t>
  </si>
  <si>
    <t>CRT98_ELPS</t>
  </si>
  <si>
    <t>IDCOMEMP</t>
  </si>
  <si>
    <t>Merchant Category:
?</t>
  </si>
  <si>
    <t>CODACT</t>
  </si>
  <si>
    <t>Information Source Application:
N\A</t>
  </si>
  <si>
    <t>"CR"</t>
  </si>
  <si>
    <t>common_contracts_factoring</t>
  </si>
  <si>
    <t>Factoring Transaction</t>
  </si>
  <si>
    <t>factoring_transaction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</si>
  <si>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</si>
  <si>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</si>
  <si>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</si>
  <si>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GENERAL_CONVERTER
LITIGATION_PRODUCT</t>
  </si>
  <si>
    <t>N\A
N\A
N\A
N\A
N\A
N\A
N\A
CDM_VALUE
N\A</t>
  </si>
  <si>
    <t>SELECT CASE 
    WHEN EUR_MOVICCOR.MCC_NRORIG01 != 0 THEN GENERAL_CONVERTER.CDM_VALUE
    WHEN EUR_MOVICCOR.MCC_NRORIG01 = 0 AND EUR_MOVICCOR.MCC_NRORIG2 != 0 THEN GENERAL_CONVERTER.CDM_VALUE
    WHEN EUR_MOVICCOR.MCC_NRORIG01  = 0 AND EUR_MOVICCOR.MCC_NRORIG2= 0 AND EUR_MOVICCOR.NRORIG03 != 0 THEN 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GENERAL_CONVERTER.CODE CATEGORY = 'BANK_ID' AND GENERAL_CONVERTER.SOURCE_CODE = 'FA' AND GENERAL_CONVERTER.SOURCE_VALUE = '' AND MCC_DALTREG( 1, 10 ) &gt;= DATA_DATE_PART
SELECT GENERAL_CONVERTER.CDM_VALUE
WHERE LITIGATION_PRODUCT.DCYR8101_CKPRODUT = '029' AND LITIGATION_PRODUCT.DCYR8101_CKSUBPRO '289' AND GENERAL_CONVERTER.CODE CATEGORY = 'BANK_ID' AND GENERAL_CONVERTER.SOURCE_CODE = 'DC' AND GENERAL_CONVERTER.SOURCE_VALUE = ''
SELECT GENERAL_CONVERTER.CDM_VALUE
WHERE TCT09_OPERCN.ISITUAC = 1 AND LITIGATION_PRODUCT.CKPRODUT = '029' AND LITIGATION_PRODUCT.CKSUBPRO = '289' AND GENERAL_CONVERTER.CODE CATEGORY = 'BANK_ID' AND GENERAL_CONVERTER.SOURCE_CODE = 'TC' AND GENERAL_CONVERTER.SOURCE_VALUE = '' EXCEPT LAST DATA_DATE_PART</t>
  </si>
  <si>
    <t>FA - Factoring Eurofac
DC - Contas a Vista
TC - Terminal Contencioso</t>
  </si>
  <si>
    <t>N\A || N\A
N\A
N\A</t>
  </si>
  <si>
    <t>"89" || "#N/A"
"31"</t>
  </si>
  <si>
    <t>CURATED_INTERNAL_EUROFAC
CURATED_INTERNAL_EUROFAC
CURATED_INTERNAL_EUROFAC
CURATED_INTERNAL_MAINFRAME_CONTAS
CURATED_INTERNAL_MAINFRAME_CONTAS
CURATED_INTERNAL_MAINFRAME_CONTENCIOSO
CURATED_INTERNAL_MAINFRAME_CONTENCIOSO</t>
  </si>
  <si>
    <t>EUR_MOVICCOR
EUR_PROCESSO
EUR_CREDITO
MOVIMENTOS_CONSOLIDADOS
INTERFACE_DCT01
TCT72_MOVCTA
TCT09_OPERCN</t>
  </si>
  <si>
    <t>MCC_NRORIG01, MCC_NRORIG02, MCC_NRORIG03
N\A
N\A
DCYR9750_CKBALCAO, DCYR9750_CKNUMCTA
N\A
CKBALCAO,CKNUMCTA,ZDEPOSIT
N\A</t>
  </si>
  <si>
    <t>SELECT CASE 
    WHEN EUR_MOVICCOR.MCC_NRORIG01 != 0 THEN CONCAT( '0000', SUBSTRING( EUR_MOVICCOR.MCC_NRPROCES, 3, 11 ), '00',EUR_MOVICCOR.MCC_NRORIG01 )
    WHEN EUR_MOVICCOR.MCC_NRORIG01 = 0 AND EUR_MOVICCOR.MCC_NRORIG02 != 0 THEN CONCAT( '0000', SUBSTRING( EUR_MOVICCOR.MCC_NRPROCES, 3, 11 ), '00',   EUR_MOVICCOR.MCC_NRORIG02 )
    WHEN EUR_MOVICCOR.MCC_NRORIG01 = 0 AND EUR_MOVICCOR.MCC_NRORIG02 = 0 AND EUR_MOVICCOR.MCC_NRORIG03 != 0 THEN CONCAT( '0000', SUBSTRING( EUR_MOVICCOR.MCC_NRPROCES, 3, 11 ), '00', EUR_MOVICCOR.MCC_NRORIG03 )
    ELSE '#NA'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CONCAT( MOVIMENTOS_CONSOLIDADOS.DCYR9750_CKBALCAO, MOVIMENTOS_CONSOLIDADOS.DCYR9750_CKNUMCTA, '000000000000000' )
WHERE LITIGATION_PRODUCT.DCYR8101_CKPRODUT = '029' AND LITIGATION_PRODUCT.DCYR8101_CKSUBPRO '289'
SELECT CONCAT( CKBALCAO, CKNUMCTA, ZDEPOSIT ) 
WHERE TCT09_OPERCN.ISITUAC = 1 AND LITIGATION_PRODUCT.CKPRODUT = '029' AND LITIGATION_PRODUCT.CKSUBPRO = '289' EXCEPT LAST DATA_DATE_PART</t>
  </si>
  <si>
    <t>EUR_MOVICCOR || EUR_MOVICCOR || EUR_MOVICCOR || N\A
DCYR9750
TCT72_MOVCTA</t>
  </si>
  <si>
    <t>CONCAT( "0000", NRPROCES( 3, 11 ), "00", NRORIG01 ) || CONCAT( "0000", NRPROCES( 3, 11 ), "00", NRORIG02 ) || CONCAT( "0000", NRPROCES( 3, 11 ), "00", NRORIG03 )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</si>
  <si>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</si>
  <si>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</si>
  <si>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</si>
  <si>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MOVIMENTOS_CONSOLIDADOS.DCYR9750_ZMOVCTA AS BIGINT )
WHERE LITIGATION_PRODUCT.DCYR8101_CKPRODUT = '029' AND LITIGATION_PRODUCT.DCYR8101_CKSUBPRO '289'
SELECT CAST( ZMOVCTA AS BIGINT )
WHERE TCT09_OPERCN.ISITUAC = 1 AND LITIGATION_PRODUCT.CKPRODUT = '029' AND LITIGATION_PRODUCT.CKSUBPRO = '289'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</si>
  <si>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</si>
  <si>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</si>
  <si>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</si>
  <si>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</si>
  <si>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CAST( 1 AS BIGINT )
WHERE LITIGATION_PRODUCT.DCYR8101_CKPRODUT = '029' AND LITIGATION_PRODUCT.DCYR8101_CKSUBPRO '289'
SELECT CAST( ZSEQMOV AS BIGINT )
WHERE TCT09_OPERCN.ISITUAC = 1 AND LITIGATION_PRODUCT.CKPRODUT = '029' AND LITIGATION_PRODUCT.CKSUBPRO = '289' EXCEPT LAST DATA_DATE_PART</t>
  </si>
  <si>
    <t>Transaction Type:
EUR_TAB_GERAL - 013
TAT91 - CTABELA 021</t>
  </si>
  <si>
    <t>EUR_MOVICCOR
DCYR9750 || DCYR9750 
TCT72_MOVCTA</t>
  </si>
  <si>
    <t>CONCAT ( CDMOVIME, CDSUBMOV, TPOPERAC )
COPERAC || CONCAT( OPERBAS, OPERBAN )
COPERAC</t>
  </si>
  <si>
    <t>MCC_DTMOVIME
N\A
N\A
DCYR9750_DDIAVL
N\A
DDIAVL
N\A</t>
  </si>
  <si>
    <t>SELECT CAST( MCC_DTMOVIME AS STRING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MOVIMENTOS_CONSOLIDADOS.DCYR9750_DDIAVL AS STRING )
WHERE LITIGATION_PRODUCT.DCYR8101_CKPRODUT = '029' AND LITIGATION_PRODUCT.DCYR8101_CKSUBPRO '289'
SELECT CAST( TCT72_MOVCTA.DDIAVL AS STRING )
WHERE TCT09_OPERCN.ISITUAC = 1 AND LITIGATION_PRODUCT.CKPRODUT = '029' AND LITIGATION_PRODUCT.CKSUBPRO = '289' EXCEPT LAST DATA_DATE_PART</t>
  </si>
  <si>
    <t>DTVALMOV
DDIAVL
DDIAVL</t>
  </si>
  <si>
    <t>MCC_VLMOVIME
N\A
N\A
DCYR9750_MMOVIM
N\A
MMOVIM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</si>
  <si>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MOVIMENTOS_CONSOLIDADOS.DCYR9750_MMOVIM AS DECIMAL( 23, 6 ) )
WHERE LITIGATION_PRODUCT.DCYR8101_CKPRODUT = '029' AND LITIGATION_PRODUCT.DCYR8101_CKSUBPRO '289'
SELECT CAST( TCT72_MOVCTA.MMOVIM AS DECIMAL( 23, 6 ) )
WHERE TCT09_OPERCN.ISITUAC = 1 AND LITIGATION_PRODUCT.CKPRODUT = '029' AND LITIGATION_PRODUCT.CKSUBPRO = '289' EXCEPT LAST DATA_DATE_PART</t>
  </si>
  <si>
    <t>VLMOVIME
MMOVIM
MMOVIM</t>
  </si>
  <si>
    <t>Process Bank ID</t>
  </si>
  <si>
    <t>process_bank_id</t>
  </si>
  <si>
    <t>Identifier of the factoring process bank to which the factoring contract is associated to.</t>
  </si>
  <si>
    <t xml:space="preserve">
</t>
  </si>
  <si>
    <t>SELECT GENERAL_CONVERTER.CDM_VALUE
WHERE ( ( EUR_PROCESSO.PRO_NRPROCES IS NULL AND EUR_CREDITO.CRD_NRINTCRE IS NOT NULL ) OR ( EUR_PROCESSO.PRO_NRPROCES IS NOT NULL AND EUR_CREDITO.CRD_NRINTCRE IS NOT NULL ) OR ( EUR_CREDITO.CRD_NRINTCRE IS NULL AND EUR_PROCESSO.PRO_NRPROCES IS NOT NULL ) ) AND GENERAL_CONVERTER.CODE CATEGORY = 'BANK_ID' AND GENERAL_CONVERTER.SOURCE_CODE = 'FA' AND GENERAL_CONVERTER.SOURCE_VALUE = '' AND MCC_DALTREG( 1, 10 ) &gt;= DATA_DATE_PART
SELECT '#N/A'
WHERE WHERE LITIGATION_PRODUCT.DCYR8101_CKPRODUT = '029' AND LITIGATION_PRODUCT.DCYR8101_CKSUBPRO '289'
SELECT '#N/A'
WHERE TCT09_OPERCN.ISITUAC = 1 AND LITIGATION_PRODUCT.CKPRODUT = '029' AND LITIGATION_PRODUCT.CKSUBPRO = '289' AND GENERAL_CONVERTER.CODE CATEGORY = 'BANK_ID' AND GENERAL_CONVERTER.SOURCE_CODE = 'FA' AND GENERAL_CONVERTER.SOURCE_VALUE = '' EXCEPT LAST DATA_DATE_PART</t>
  </si>
  <si>
    <t>EUR_MOVICCOR
N\A
N\A</t>
  </si>
  <si>
    <t>"89"
"#N/A"
"#N/A"</t>
  </si>
  <si>
    <t>Process ID</t>
  </si>
  <si>
    <t>process_id</t>
  </si>
  <si>
    <t>Identifier of the factoring process associated with the factoring's contract.</t>
  </si>
  <si>
    <t>EUR_MOVICCOR
EUR_PROCESSO
EUR_CREDITO
MOVIMENTOS_CONSOLIDADOS
INTEFACE_DCT01
TCT72_MOVCTA
TCT09_OPERCN</t>
  </si>
  <si>
    <t>MCC_NRPROCES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</si>
  <si>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AND MCC_DALTREG( 1, 10 ) &gt;= DATA_DATE_PART
SELECT '#NA'
WHERE LITIGATION_PRODUCT.DCYR8101_CKPRODUT = '029' AND LITIGATION_PRODUCT.DCYR8101_CKSUBPRO '289'
SELECT '#NA'
WHERE TCT09_OPERCN.ISITUAC = 1 AND LITIGATION_PRODUCT.CKPRODUT = '029' AND LITIGATION_PRODUCT.CKSUBPRO = '289' EXCEPT LAST DATA_DATE_PART</t>
  </si>
  <si>
    <t>CONCAT( "0000", NRPROCES( 3, 11 ) )
N\A
N\A</t>
  </si>
  <si>
    <t>N\A
"#N/A"
"#N/A"</t>
  </si>
  <si>
    <t>Party ID</t>
  </si>
  <si>
    <t>party_id</t>
  </si>
  <si>
    <t>Unique identifier of the party  involved in the transaction. It does not necessarly means that the transaction was started \ performed by the party. It only means it was the client affected by the transaction.</t>
  </si>
  <si>
    <t>CLI_NRINTCLI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</si>
  <si>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</si>
  <si>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</si>
  <si>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</si>
  <si>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</si>
  <si>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</si>
  <si>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</si>
  <si>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</si>
  <si>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GENERAL_CONVERTER.CDM_VALUE
WHERE ( ( EUR_PROCESSO.PRO_NRPROCES IS NULL AND EUR_CREDITO.CRD_NRINTCRE IS NOT NULL ) OR ( EUR_PROCESSO.PRO_NRPROCES IS NOT NULL AND EUR_CREDITO.CRD_NRINTCRE IS NOT NULL ) OR ( EUR_CREDITO.CRD_NRINTCRE IS NULL AND EUR_PROCESSO.PRO_NRPROCES IS NOT NULL ) ) AND GENERAL_CONVERTER.CODE CATEGORY = 'BANK_ID' AND GENERAL_CONVERTER.SOURCE_CODE = 'DC' AND GENERAL_CONVERTER.SOURCE_VALUE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</si>
  <si>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</si>
  <si>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</si>
  <si>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</si>
  <si>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</si>
  <si>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</si>
  <si>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</si>
  <si>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</si>
  <si>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</si>
  <si>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</si>
  <si>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</si>
  <si>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</si>
  <si>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</si>
  <si>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</si>
  <si>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</si>
  <si>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</si>
  <si>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</si>
  <si>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NRIBANCHE
N\A
N\A</t>
  </si>
  <si>
    <t>MCC_IDANULAD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</si>
  <si>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</si>
  <si>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IDANULAD
N\A
N\A</t>
  </si>
  <si>
    <t>Billing Indicator</t>
  </si>
  <si>
    <t>billing_indicator</t>
  </si>
  <si>
    <t>Indicates whether the transaction is a billing or an advancement.</t>
  </si>
  <si>
    <t>Transaction Type ID</t>
  </si>
  <si>
    <t>MCC_TPOPERAC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</si>
  <si>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'#N/A'
WHERE LITIGATION_PRODUCT.DCYR8101_CKPRODUT = '029' AND LITIGATION_PRODUCT.DCYR8101_CKSUBPRO '289'
SELECT '#N/A'
WHERE TCT09_OPERCN.ISITUAC = 1 AND LITIGATION_PRODUCT.CKPRODUT = '029' AND LITIGATION_PRODUCT.CKSUBPRO = '289' EXCEPT LAST DATA_DATE_PART</t>
  </si>
  <si>
    <t>TPOPERAC
N\A
N\A</t>
  </si>
  <si>
    <t>Currency:
EUR_MOEDA
TAT91 - CTABELA 206</t>
  </si>
  <si>
    <t>CDMOEDA
N\A
N\A
CMOEDA
N\A
CMOEDAOR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</si>
  <si>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IF( TRIM( MOVIMENTOS_CONSOLIDADOS.DCYR9750_CMOEDA ) = '', NULL, MOVIMENTOS_CONSOLIDADOS.DCYR9750_CMOEDA )
WHERE LITIGATION_PRODUCT.DCYR8101_CKPRODUT = '029' AND LITIGATION_PRODUCT.DCYR8101_CKSUBPRO '289'
SELECT IF(TRIM(TCT72_MOVCTA.CMOEDAOR) = '', NULL, TCT72_MOVCTA.CMOEDAOR)
WHERE TCT09_OPERCN.ISITUAC = 1 AND LITIGATION_PRODUCT.CKPRODUT = '029' AND LITIGATION_PRODUCT.CKSUBPRO = '289' EXCEPT LAST DATA_DATE_PART</t>
  </si>
  <si>
    <t>EUR_INTERVEN
DCYR9750
TCT72_MOVCTA</t>
  </si>
  <si>
    <t>CDMOEDA
CMOEDA
CMOEDAOR</t>
  </si>
  <si>
    <t>MCC_DTVALMOV
N\A
N\A
DCYR9750_DDIAOP
N\A
DDIAOP
N\A</t>
  </si>
  <si>
    <t>SELECT  IF( TRIM( EUR_MOVICCOR.MCC_DTVALMOV ) = '', NULL, EUR_MOVICCOR.MCC_DTVALMOV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IF( TRIM( MOVIMENTOS_CONSOLIDADOS.DCYR9750_DDIAOP ) = '', NULL, MOVIMENTOS_CONSOLIDADOS.DCYR9750_DDIAOP )
WHERE LITIGATION_PRODUCT.DCYR8101_CKPRODUT = '029' AND LITIGATION_PRODUCT.DCYR8101_CKSUBPRO '289'
SELECT IF(TRIM(TCT72_MOVCTA.DDIAOP) = '', NULL, TCT72_MOVCTA.DDIAOP)
WHERE TCT09_OPERCN.ISITUAC = 1 AND LITIGATION_PRODUCT.CKPRODUT = '029' AND LITIGATION_PRODUCT.CKSUBPRO = '289' EXCEPT LAST DATA_DATE_PART</t>
  </si>
  <si>
    <t>DTMOVIME
DDIAOP
DDIAOP</t>
  </si>
  <si>
    <t>Billing Document ID</t>
  </si>
  <si>
    <t>billing_document_id</t>
  </si>
  <si>
    <t>Ext Inf - Trans Op Inf - ID</t>
  </si>
  <si>
    <t>Identifies the billing document that represents and supports the transaction.</t>
  </si>
  <si>
    <t>Cheque Number</t>
  </si>
  <si>
    <t>MCC_NRINTDOC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</si>
  <si>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'#NA'
WHERE LITIGATION_PRODUCT.DCYR8101_CKPRODUT = '029' AND LITIGATION_PRODUCT.DCYR8101_CKSUBPRO '289'
SELECT '#NA'
WHERE TCT09_OPERCN.ISITUAC = 1 AND LITIGATION_PRODUCT.CKPRODUT = '029' AND LITIGATION_PRODUCT.CKSUBPRO = '289' EXCEPT LAST DATA_DATE_PART</t>
  </si>
  <si>
    <t>NRINTDOC
N\A
N\A</t>
  </si>
  <si>
    <t>N\A
N\A
N\A
N\A
N\A
N\A
N\A
N\A</t>
  </si>
  <si>
    <t>SELECT 'FA'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'DC'
WHERE LITIGATION_PRODUCT.DCYR8101_CKPRODUT = '029' AND LITIGATION_PRODUCT.DCYR8101_CKSUBPRO '289'
SELECT 'TC'
WHERE TCT09_OPERCN.ISITUAC = 1 AND LITIGATION_PRODUCT.CKPRODUT = '029' AND LITIGATION_PRODUCT.CKSUBPRO = '289' EXCEPT LAST DATA_DATE_PART</t>
  </si>
  <si>
    <t>"FA"
"DC"
"TC"</t>
  </si>
  <si>
    <t>DATA_DATE_PART
N\A
N\A
DATA_DATE_PART
N\A
DATA_DATE_PART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</si>
  <si>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MOVIMENTOS_CONSOLIDADOS.DATA_DATE_PART
WHERE LITIGATION_PRODUCT.DCYR8101_CKPRODUT = '029' AND LITIGATION_PRODUCT.DCYR8101_CKSUBPRO '289'
SELECT TCT72_MOVCTA.DATA_DATE_PART
WHERE TCT09_OPERCN.ISITUAC = 1 AND LITIGATION_PRODUCT.CKPRODUT = '029' AND LITIGATION_PRODUCT.CKSUBPRO = '289' EXCEPT LAST DATA_DATE_PART</t>
  </si>
  <si>
    <t>N\A
N\A
N\A
N\A
N\A
N\A
N\A</t>
  </si>
  <si>
    <t>SELECT NOW()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NOW()
WHERE LITIGATION_PRODUCT.DCYR8101_CKPRODUT = '029' AND LITIGATION_PRODUCT.DCYR8101_CKSUBPRO '289'
SELECT NOW()
WHERE TCT09_OPERCN.ISITUAC = 1 AND LITIGATION_PRODUCT.CKPRODUT = '029' AND LITIGATION_PRODUCT.CKSUBPRO = '289' EXCEPT LAST DATA_DATE_PART</t>
  </si>
  <si>
    <t>common_contracts_incomesavingsaccounts</t>
  </si>
  <si>
    <t>Income Saving Account Transaction</t>
  </si>
  <si>
    <t>incomesaving_account_transaction</t>
  </si>
  <si>
    <t>CURATED_INTERNAL_MAINFRAME_CONTAS
CURATED_INTERNAL_MAINFRAME_CONTAS
OPERATIONS_COMMON_REFERENCEDATA_CORE</t>
  </si>
  <si>
    <t>MOVIMENTOS_CONSOLIDADOS
INTERFACE_DCT01
GENERAL_CONVERTER</t>
  </si>
  <si>
    <t>SELECT GENERAL_CONVERTER.CDM_VALUE
WHERE MOVIMENTOS_CONSOLIDADOS.DATA_DATE_PART IS NOT NULL AND INTERFACE_DCT01.DCYR8101_CSITCTA IN ( '0','1','2','3','7','8' ) AND INTERFACE_DCT01.DCYR8101_CFAMILIA = 'CR' AND GENERAL_CONVERTER.CODE CATEGORY = 'BANK_ID' AND GENERAL_CONVERTER.SOURCE_CODE = 'DC' AND GENERAL_CONVERTER.SOURCE_VALUE = ''</t>
  </si>
  <si>
    <t>DC - Contas a Vista</t>
  </si>
  <si>
    <t>CURATED_INTERNAL_MAINFRAME_CONTAS
CURATED_INTERNAL_MAINFRAME_CONTAS</t>
  </si>
  <si>
    <t>MOVIMENTOS_CONSOLIDADOS
INTERFACE_DCT01</t>
  </si>
  <si>
    <t>DCYR9750_CKBALCAO, DCYR9750_CKNUMCTA
N\A</t>
  </si>
  <si>
    <t xml:space="preserve">SELECT CONCAT( MOVIMENTOS_CONSOLIDADOS.DCYR9750_CKBALCAO, MOVIMENTOS_CONSOLIDADOS.DCYR9750_CKNUMCTA, '000000000000000' )
WHERE MOVIMENTOS_CONSOLIDADOS.DATA_DATE_PART IS NOT NULL AND INTERFACE_DCT01.DCYR8101_CSITCTA IN ( '0','1','2','3','7','8' ) AND INTERFACE_DCT01.DCYR8101_CFAMILIA = 'CR' </t>
  </si>
  <si>
    <t>DCYR9750</t>
  </si>
  <si>
    <t>CONCAT( CKBALCAO, CKNUMCTA, "000000000000000" )</t>
  </si>
  <si>
    <t>DCYR9750_ZMOVCTA 
N\A</t>
  </si>
  <si>
    <t xml:space="preserve">SELECT CAST( MOVIMENTOS_CONSOLIDADOS.DCYR9750_ZMOVCTA AS BIGINT )
WHERE MOVIMENTOS_CONSOLIDADOS.DATA_DATE_PART IS NOT NULL AND INTERFACE_DCT01.DCYR8101_CSITCTA IN ( '0','1','2','3','7','8' ) AND INTERFACE_DCT01.DCYR8101_CFAMILIA = 'CR' </t>
  </si>
  <si>
    <t>ZMOVCTA</t>
  </si>
  <si>
    <t xml:space="preserve">SELECT CAST( 1 AS BIGINT )
WHERE MOVIMENTOS_CONSOLIDADOS.DATA_DATE_PART IS NOT NULL AND INTERFACE_DCT01.DCYR8101_CSITCTA IN ( '0','1','2','3','7','8' ) AND INTERFACE_DCT01.DCYR8101_CFAMILIA = 'CR' </t>
  </si>
  <si>
    <t>DCYR9750_DDIAOP 
N\A</t>
  </si>
  <si>
    <t xml:space="preserve">SELECT MOVIMENTOS_CONSOLIDADOS.DCYR9750_DDIAOP
WHERE MOVIMENTOS_CONSOLIDADOS.DATA_DATE_PART IS NOT NULL AND INTERFACE_DCT01.DCYR8101_CSITCTA IN ( '0','1','2','3','7','8' ) AND INTERFACE_DCT01.DCYR8101_CFAMILIA = 'CR' </t>
  </si>
  <si>
    <t>DDIAOP</t>
  </si>
  <si>
    <t>DCYR9750_MMOVIM 
N\A</t>
  </si>
  <si>
    <t xml:space="preserve">SELECT CAST( MOVIMENTOS_CONSOLIDADOS.DCYR9750_MMOVIM AS DECIMAL( 23, 6 ) )
WHERE MOVIMENTOS_CONSOLIDADOS.DATA_DATE_PART IS NOT NULL AND INTERFACE_DCT01.DCYR8101_CSITCTA IN ( '0','1','2','3','7','8' ) AND INTERFACE_DCT01.DCYR8101_CFAMILIA = 'CR' </t>
  </si>
  <si>
    <t>MMOVIM</t>
  </si>
  <si>
    <t>Transaction Type:
TAT91_TABELAS - CTABELA 021 || OB_OPERACION + OB_OPER_BASICA; CURATED_INTERNAL_MAINFRAME_ESTRUTURAIS.TAT91_TABELAS - TAYD91C0_CTABELA 021 || ?</t>
  </si>
  <si>
    <t>COPERAC</t>
  </si>
  <si>
    <t xml:space="preserve">SELECT 1
WHERE MOVIMENTOS_CONSOLIDADOS.DATA_DATE_PART IS NOT NULL AND INTERFACE_DCT01.DCYR8101_CSITCTA IN ( '0','1','2','3','7','8' ) AND INTERFACE_DCT01.DCYR8101_CFAMILIA = 'CR' </t>
  </si>
  <si>
    <t>Currency:
TAT91_TABELAS - CTABELA 206; CURATED_INTERNAL_MAINFRAME_ESTRUTURAIS.TAT91_TABELAS - TAYD91C0_CTABELA 206</t>
  </si>
  <si>
    <t>DCYR9750_CMOEDA
N\A</t>
  </si>
  <si>
    <t xml:space="preserve">SELECT IF( TRIM( MOVIMENTOS_CONSOLIDADOS.DCYR9750_CMOEDA ) = '', NULL, MOVIMENTOS_CONSOLIDADOS.DCYR9750_CMOEDA )
WHERE MOVIMENTOS_CONSOLIDADOS.DATA_DATE_PART IS NOT NULL AND INTERFACE_DCT01.DCYR8101_CSITCTA IN ( '0','1','2','3','7','8' ) AND INTERFACE_DCT01.DCYR8101_CFAMILIA = 'CR' </t>
  </si>
  <si>
    <t>DCYR9750_DDIAVL 
N\A</t>
  </si>
  <si>
    <t xml:space="preserve">SELECT IF( TRIM( MOVIMENTOS_CONSOLIDADOS.DCYR9750_DDIAVL ) = '', NULL, MOVIMENTOS_CONSOLIDADOS.DCYR9750_DDIAVL )
WHERE MOVIMENTOS_CONSOLIDADOS.DATA_DATE_PART IS NOT NULL AND INTERFACE_DCT01.DCYR8101_CSITCTA IN ( '0','1','2','3','7','8' ) AND INTERFACE_DCT01.DCYR8101_CFAMILIA = 'CR' </t>
  </si>
  <si>
    <t>DDIAVL</t>
  </si>
  <si>
    <t>DCYR9750_DESCR01
N\A</t>
  </si>
  <si>
    <t xml:space="preserve">SELECT IF( TRIM( MOVIMENTOS_CONSOLIDADOS.DCYR9750_DESCR01 ) = '', NULL, MOVIMENTOS_CONSOLIDADOS.DCYR9750_DESCR01 )
WHERE MOVIMENTOS_CONSOLIDADOS.DATA_DATE_PART IS NOT NULL AND INTERFACE_DCT01.DCYR8101_CSITCTA IN ( '0','1','2','3','7','8' ) AND INTERFACE_DCT01.DCYR8101_CFAMILIA = 'CR' </t>
  </si>
  <si>
    <t>DESCR01</t>
  </si>
  <si>
    <t>Information Source Application:
N\A; N\A</t>
  </si>
  <si>
    <t xml:space="preserve">SELECT 'DC'
WHERE MOVIMENTOS_CONSOLIDADOS.DATA_DATE_PART IS NOT NULL AND INTERFACE_DCT01.DCYR8101_CSITCTA IN ( '0','1','2','3','7','8' ) AND INTERFACE_DCT01.DCYR8101_CFAMILIA = 'CR' </t>
  </si>
  <si>
    <t>"DC"</t>
  </si>
  <si>
    <t>DATA_DATE_PART 
N\A</t>
  </si>
  <si>
    <t xml:space="preserve">SELECT MOVIMENTOS_CONSOLIDADOS.DATA_DATE_PART
WHERE MOVIMENTOS_CONSOLIDADOS.DATA_DATE_PART IS NOT NULL AND INTERFACE_DCT01.DCYR8101_CSITCTA IN ( '0','1','2','3','7','8' ) AND INTERFACE_DCT01.DCYR8101_CFAMILIA = 'CR' </t>
  </si>
  <si>
    <t xml:space="preserve">SELECT NOW()
WHERE MOVIMENTOS_CONSOLIDADOS.DATA_DATE_PART IS NOT NULL AND INTERFACE_DCT01.DCYR8101_CSITCTA IN ( '0','1','2','3','7','8' ) AND INTERFACE_DCT01.DCYR8101_CFAMILIA = 'CR' </t>
  </si>
  <si>
    <t>common_contracts_leasing</t>
  </si>
  <si>
    <t>Leasing Transaction</t>
  </si>
  <si>
    <t>leasing_transaction</t>
  </si>
  <si>
    <t>Contract ID
Contract Number</t>
  </si>
  <si>
    <t>LG - Lease</t>
  </si>
  <si>
    <t>L_MCD_TRANSACTIONS ( SQL Procedure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</si>
  <si>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</si>
  <si>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</si>
  <si>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</si>
  <si>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</si>
  <si>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L_MCD_TRANSACTIONS ( LG - Client Statement Table )</t>
  </si>
  <si>
    <t>TRANSACTION_IDENTIFICATOR_1</t>
  </si>
  <si>
    <t>TRANSACTION_IDENTIFICATOR_2</t>
  </si>
  <si>
    <t>Transaction Type
L_MCD_EXPENSE_TYPE</t>
  </si>
  <si>
    <t>TRANSACTION_TYPE_ID</t>
  </si>
  <si>
    <t>Currency:
N\A</t>
  </si>
  <si>
    <t>CURRENCY</t>
  </si>
  <si>
    <t>RECURRING_INDICATOR</t>
  </si>
  <si>
    <t>Monetary Indicator</t>
  </si>
  <si>
    <t>monetary_indicator</t>
  </si>
  <si>
    <t>Ext Inf - Con Inf - Ind</t>
  </si>
  <si>
    <t>MONETARY_INDICATOR</t>
  </si>
  <si>
    <t>L_MCD_TRANSACTIONS ( LG - Client Movement Detail )</t>
  </si>
  <si>
    <t xml:space="preserve">TRANSACTION_DATE_TIME </t>
  </si>
  <si>
    <t>EXECUTION_DATE_TIME</t>
  </si>
  <si>
    <t>TRANSACTION_AMOUNT</t>
  </si>
  <si>
    <t>Contains details about the transaction, for example, the number of the associated payment, if applicable, and so on. Sometimes it corrresponds to the description of the transaction type if the transaction itself does not have extra details.</t>
  </si>
  <si>
    <t>TRANSACTION_TYPE_DESCRIPTION</t>
  </si>
  <si>
    <t>common_contracts_loanaccounts</t>
  </si>
  <si>
    <t>Loan Account Transaction</t>
  </si>
  <si>
    <t>loan_account_transaction</t>
  </si>
  <si>
    <t>CONCAT( CKBALCAO, CKNUMCTA, "000000000000000" )
CONCAT ( CKBALCAO, CKNUMCTA, ZDEPOSIT )</t>
  </si>
  <si>
    <t>Represents the sequencial stage order inside of the transaction. In case of accounts the field does not apply unless it is a litigation transaction.</t>
  </si>
  <si>
    <t>N\A
TCT72_MOVCTA</t>
  </si>
  <si>
    <t>Transaction Date Time
Transaction ID</t>
  </si>
  <si>
    <t>DCYR9750 || DCYR9750
TCT72_MOVCTA</t>
  </si>
  <si>
    <t>Transaction Type:
TAT91 - CTABELA 021
TAT91 - CTABELA 021</t>
  </si>
  <si>
    <t>Currency:
TAT91 - CTABELA 206
TAT91 - CTABELA 206</t>
  </si>
  <si>
    <t>common_contracts_loans</t>
  </si>
  <si>
    <t>Loan Transaction</t>
  </si>
  <si>
    <t>loan_transaction</t>
  </si>
  <si>
    <t>Transactions - General
Transactions - General
Transactions - General
Transactions - Loans
Transactions - Loans
Transactions - Loans</t>
  </si>
  <si>
    <t>Contract ID
Contract Number
Transaction ID
Loan Number
Loan Number
Transaction ID</t>
  </si>
  <si>
    <t>EP - Empréstimos
EH - Empréstimos
TC - Terminal Contencioso</t>
  </si>
  <si>
    <t>EP - Empréstimos
EH - Empréstimos -&gt; TA - Tabelas Gerais
TC - Terminal Contencioso</t>
  </si>
  <si>
    <t>EPT07_MOVCTA 
EH_OPER_CONTR -&gt; COINT_CTOLOC_P
TCT72_MOVCTA</t>
  </si>
  <si>
    <t>CONCAT ( CKBALCAO, CKNUMCTA, "000000000000000" )
CONCAT( IDCENT, IDPROD, IDCONTR ) -&gt; CONCAT( IDCENT_L, IDCONT_L, "000000000000000")
CONCAT ( CKBALCAO, CKNUMCTA, ZDEPOSIT )</t>
  </si>
  <si>
    <t>N\A
N\A -&gt; N\A
N\A</t>
  </si>
  <si>
    <t>EPT07_MOVCTA 
EH_REL_REC_OPER
TCT72_MOVCTA</t>
  </si>
  <si>
    <t>ZMOVCTA
HNUOPEM
ZMOVCTA</t>
  </si>
  <si>
    <t>Operation Number
Transaction ID
Transaction ID</t>
  </si>
  <si>
    <t>EPT07_MOVCTA 
N\A
TCT72_MOVCTA</t>
  </si>
  <si>
    <t>ZSEQMOV
N\A
ZSEQMOV</t>
  </si>
  <si>
    <t>N\A
"1"
N\A</t>
  </si>
  <si>
    <t>Transaction Type:
TAT91 - CTABELA 021
?
TAT91 - CTABELA 021</t>
  </si>
  <si>
    <t>EPT07_MOVCTA 
EH_OPER_CONTR
TCT72_MOVCTA</t>
  </si>
  <si>
    <t>COPERAC
CONCAT (CODOPBAS, CODOPEOB )
COPERAC</t>
  </si>
  <si>
    <t>Currency:
TAT91 - CTABELA 206
MONEDA -&gt; TAT21_MOEDA
TAT91 - CTABELA 206</t>
  </si>
  <si>
    <t>EPT07_MOVCTA 
EH_OPER_CONTR -&gt; TAT21_MOEDA
TCT72_MOVCTA</t>
  </si>
  <si>
    <t>CMOEDAOR
CODMONSW -&gt; CMOEDA
CMOEDAOR</t>
  </si>
  <si>
    <t>Installment Number</t>
  </si>
  <si>
    <t>installment_number</t>
  </si>
  <si>
    <t>Corresponds  to ordinary installment number to which the transaction is associated.</t>
  </si>
  <si>
    <t>EPT07_MOVCTA
EPT99_MOVIMENTO
N\A</t>
  </si>
  <si>
    <t>ZNUMPRE
ZNUMPRE
N\A</t>
  </si>
  <si>
    <t>N\A
N\A
"-1"</t>
  </si>
  <si>
    <t>EPT07_MOVCTA 
EH_OPER_CONTR
N\A</t>
  </si>
  <si>
    <t>IOPANULA 
INDSIT
N\A</t>
  </si>
  <si>
    <t>Chargeback Date</t>
  </si>
  <si>
    <t>chargeback_date</t>
  </si>
  <si>
    <t>Ext Inf - Trans Rej Cal Inf - Date</t>
  </si>
  <si>
    <t>If applicable, the date when the transaction was annulled, for example, the money was returned to the client.</t>
  </si>
  <si>
    <t>Reject Date</t>
  </si>
  <si>
    <t>DANULACA 
TIMESTAMP
N\A</t>
  </si>
  <si>
    <t>N\A
N\A
"9999-12-31"</t>
  </si>
  <si>
    <t>DDIAVL
FECVAL
DDIAVL</t>
  </si>
  <si>
    <t>DDIAOP
FECOPER
DDIAOP</t>
  </si>
  <si>
    <t>MMOVORIG
IMPOPERA
MMOVIM</t>
  </si>
  <si>
    <t>Information Source Application:
N\A
N\A
N\A</t>
  </si>
  <si>
    <t>"EP"
"EP"
"TC"</t>
  </si>
  <si>
    <t>common_contracts_nostrovostroaccounts</t>
  </si>
  <si>
    <t>Nostro Vostro Account Transaction</t>
  </si>
  <si>
    <t>nostrovostro_account_transaction</t>
  </si>
  <si>
    <t>common_contracts_prepaidcards</t>
  </si>
  <si>
    <t>Pre-Paid Card Account Transaction</t>
  </si>
  <si>
    <t>prepaid_card_account_transaction</t>
  </si>
  <si>
    <t>(1)CRT07_TBCTATAR [**(1)CRT07_TBCTATAR + (2)CRT09_TBTARJET]</t>
  </si>
  <si>
    <t>CONCAT ( (1)CKBALCAO, (1)CKNUMCTA, "0000000", "    " ), "0001" ) [*CONCAT ( (1)CKBALCAO, (1)CKNUMCTA, (2)PAN(8, 7), "    " ), "0001" ]</t>
  </si>
  <si>
    <t>NUMEXTCTA
ZMOVCTA</t>
  </si>
  <si>
    <t>NUMMOVEXT
ZSEQMOV</t>
  </si>
  <si>
    <t>CONCAT (INDORI, TIPOFACN, INDESTR )
COPERAC</t>
  </si>
  <si>
    <t>CONCAT( (2)SIGNO, (1)IMPDIV ) || CONCAT( (2)SIGNO, (1)IMPFAC )</t>
  </si>
  <si>
    <t xml:space="preserve">N\A
</t>
  </si>
  <si>
    <t>common_contracts_savingsaccounts</t>
  </si>
  <si>
    <t>Saving Account Transaction</t>
  </si>
  <si>
    <t>saving_account_transaction</t>
  </si>
  <si>
    <t>Transactions - General
Transactions - General
Transactions - Deposits</t>
  </si>
  <si>
    <t>Contract ID
Contract Number
Deposit Number</t>
  </si>
  <si>
    <t>DP - Contas a Prazo</t>
  </si>
  <si>
    <t>DPYR058O</t>
  </si>
  <si>
    <t>NUMMOVIM</t>
  </si>
  <si>
    <t>FECHAENT</t>
  </si>
  <si>
    <t xml:space="preserve">Transaction Type:
</t>
  </si>
  <si>
    <t>TIPMVTO</t>
  </si>
  <si>
    <t>Currency:
TAT91 - CTABELA 901</t>
  </si>
  <si>
    <t>MONOPER</t>
  </si>
  <si>
    <t>"DP"</t>
  </si>
  <si>
    <t>common_contracts_tradefinance</t>
  </si>
  <si>
    <t>Trade Finance Transaction</t>
  </si>
  <si>
    <t>trade_finance_transaction</t>
  </si>
  <si>
    <t>RM - Estrangeiro
RX - Estrangeiro
MC - Estrangeiro
XC - Estrangeiro
TC - Terminal Contencioso</t>
  </si>
  <si>
    <t>N\A
N\A
N\A
N\A
N\A</t>
  </si>
  <si>
    <t>"31"
"31"
"31"
"31"
"31"</t>
  </si>
  <si>
    <t>EST55_RDIMOV
EST79_RDEMOV
EST86_CDIMOV
EST89_CREEXP
TCT72_MOVCTA</t>
  </si>
  <si>
    <t>CONCAT( CKBALCAO, CKNUMECTA, CKREFEST, "0" )
CONCAT( CKBALCAO, CKNUMECTA, CKREFEST, "0" )
CONCAT( CKBALCAO, CKNUMECTA, CKREFEST, "0" )
CONCAT( CKBALCAO, CKNUMECTA, CKREFEST, "0"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</si>
  <si>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</si>
  <si>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EST55_RDIMOV
EST79_RDEMOV
EST86_CDIMOV
EST90_CDEMOV
TCT72_MOVCTA</t>
  </si>
  <si>
    <t>ZSEQMOV
ZSEQMOV
ZSEQUEN
ZSEQUEN
ZMOVCTA</t>
  </si>
  <si>
    <t>Represents the sequencial stage order inside of the transaction. In case of trade finance the field does not apply unless it is a litigation transaction.</t>
  </si>
  <si>
    <t>N\A
N\A
N\A
N\A
ZSEQMOV</t>
  </si>
  <si>
    <t>"1"
"1"
"1"
"1"
N\A</t>
  </si>
  <si>
    <t>Transaction Type:
N\A (A - Anulada; C - Tracer; D - Despesas banco ordenador; E - Criacao de remessa; I - Aceite de remessa; N - Anulação da Anulação; O - Anulação Liquidação Total; P - Liquidação Parcial; R - Anulação Liquidação Parcial; T - Liquidação Total)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TAT91 - CTABELA 021</t>
  </si>
  <si>
    <t>TIPMOV
TIPMOV
TIPMOV
TIPMOV
COPERAC</t>
  </si>
  <si>
    <t>Currency:
TAT91 - CTABELA 206
TAT91 - CTABELA 206
TAT91 - CTABELA 206
TAT91 - CTABELA 206
TAT91 - CTABELA 206</t>
  </si>
  <si>
    <t>EST54_REMIMP
EST78_REMEXP
EST85_CREIMP
EST89_CREEXP
TCT72_MOVCTA</t>
  </si>
  <si>
    <t>CMOEDA
CMOEDA
CMOEDA
CMOEDA
CMOEDAOR</t>
  </si>
  <si>
    <t>EST55_RDIMOV
EST79_RDEMOV
EST86_CDIMOV
EST90_CDEMOV
N\A</t>
  </si>
  <si>
    <t>N\A
N\A
TIPMOV
TIPMOV
N\A</t>
  </si>
  <si>
    <t>"-1"
N\A
N\A
N\A
"-1"</t>
  </si>
  <si>
    <t>DTVCLI
DTVCLI
DTVCLI
DTVCLI
DDIAVL</t>
  </si>
  <si>
    <t>DTMOV
DTMOV
DTMOV
DTMOV
DDIAOP</t>
  </si>
  <si>
    <t>MONTMOV
MONTMOV
MONTMOV
MONTMOV
MMOVIM</t>
  </si>
  <si>
    <t>Information Source Application:
N\A
N\A
N\A
N\A
N\A</t>
  </si>
  <si>
    <t>"RM"
"RX"
"MC"
"XC"
"TC"</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</si>
  <si>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</si>
  <si>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</si>
  <si>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</si>
  <si>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</si>
  <si>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</si>
  <si>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</si>
  <si>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</si>
  <si>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</si>
  <si>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</si>
  <si>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</si>
  <si>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</si>
  <si>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</si>
  <si>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</si>
  <si>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</si>
  <si>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</si>
  <si>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</si>
  <si>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</si>
  <si>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</si>
  <si>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</si>
  <si>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</si>
  <si>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</si>
  <si>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</si>
  <si>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</si>
  <si>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</si>
  <si>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</si>
  <si>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</si>
  <si>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</si>
  <si>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</si>
  <si>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</si>
  <si>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</si>
  <si>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</si>
  <si>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</si>
  <si>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</si>
  <si>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</si>
  <si>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</si>
  <si>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</si>
  <si>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</si>
  <si>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</si>
  <si>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</si>
  <si>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</si>
  <si>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</si>
  <si>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</si>
  <si>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</si>
  <si>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</si>
  <si>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</si>
  <si>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</si>
  <si>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</si>
  <si>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</si>
  <si>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</si>
  <si>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</si>
  <si>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</si>
  <si>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</si>
  <si>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</si>
  <si>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</si>
  <si>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</si>
  <si>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</si>
  <si>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</si>
  <si>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</si>
  <si>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</si>
  <si>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</si>
  <si>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</si>
  <si>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</si>
  <si>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</si>
  <si>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</si>
  <si>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</si>
  <si>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</si>
  <si>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</si>
  <si>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</si>
  <si>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</si>
  <si>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</si>
  <si>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</si>
  <si>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</si>
  <si>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</si>
  <si>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eft08_contab_eft</t>
  </si>
  <si>
    <t>eft08_contab_eft.ckbalcao = eft02_crteft.ckbalcao and eft08_contab_eft.cknumcta = eft02_crteft.cknumcta and eft08_contab_eft.zloteft = eft02_crteft.zloteft and eft08_contab_eft.eft02_crteft = eft02.zseqeft</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</si>
  <si>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</si>
  <si>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</si>
  <si>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</si>
  <si>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</si>
  <si>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</si>
  <si>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</si>
  <si>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</si>
  <si>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</si>
  <si>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</si>
  <si>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</si>
  <si>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</si>
  <si>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</si>
  <si>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</si>
  <si>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</si>
  <si>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</si>
  <si>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</si>
  <si>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</si>
  <si>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</si>
  <si>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</si>
  <si>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</si>
  <si>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</si>
  <si>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</si>
  <si>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 '0', '1', '2', '3', '7', '8' )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</si>
  <si>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</si>
  <si>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</si>
  <si>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</si>
  <si>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</si>
  <si>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</si>
  <si>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</si>
  <si>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</si>
  <si>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</si>
  <si>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</si>
  <si>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</si>
  <si>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</si>
  <si>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movimentos_consolidados.dcyr9750_ckbalcao and movimentos_consolidados.dcyr9750_cknumcta exists in ( interface_dct01 where interface_dct01.dcyr8101_csitcta  in ( '0', '1', '2', '3', '7', '8' )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</si>
  <si>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</si>
  <si>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</si>
  <si>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'7', '8'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</si>
  <si>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</si>
  <si>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</si>
  <si>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interface_dct01 where interface_dct01.dcyr8101_csitcta  in ( '0', '1', '2', '3', '7', '8' )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</si>
  <si>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</si>
  <si>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</si>
  <si>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eur_credito.crd_idsitcre = 'A'</t>
  </si>
  <si>
    <t>A - ACTIVO</t>
  </si>
  <si>
    <t>L - LIQUIDADO
P - PENDENTE</t>
  </si>
  <si>
    <t>eur_processo.pro_cdfaspro = '05'</t>
  </si>
  <si>
    <t>05 - CONTRATO</t>
  </si>
  <si>
    <t>01 - OPORTUNIDADE
02 - ANÁLISE
03 - PROPOSTA
04- ASSINATURA
06 - ARQUIVO</t>
  </si>
  <si>
    <t>(eur_processo.pro_nrproces is null and eur_credito.crd_nrintcre is not null) or (eur_processo.pro_nrproces is not null and eur_credito.crd_nrintcre is not null) or (eur_credito.crd_nrintcre is null and eur_processo.pro_nrproces is not null)</t>
  </si>
  <si>
    <t>movimentos_consolidados.dcyr9750_ckbalcao and movimentos_consolidados.dcyr9750_cknumcta exists in ( interface_dct01 where interface_dct01.dcyr8101_csitcta  in ( '0', '1', '2', '3', '7', '8' )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</si>
  <si>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</si>
  <si>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</si>
  <si>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</si>
  <si>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</si>
  <si>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</si>
  <si>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</si>
  <si>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</si>
  <si>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</si>
  <si>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</si>
  <si>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</si>
  <si>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</si>
  <si>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</si>
  <si>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</si>
  <si>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</si>
  <si>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</si>
  <si>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</si>
  <si>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</si>
  <si>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</si>
  <si>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</si>
  <si>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</si>
  <si>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</si>
  <si>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</si>
  <si>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</si>
  <si>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</si>
  <si>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</si>
  <si>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</si>
  <si>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</si>
  <si>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</si>
  <si>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</si>
  <si>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</si>
  <si>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</si>
  <si>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</si>
  <si>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</si>
  <si>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</si>
  <si>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</si>
  <si>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</si>
  <si>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</si>
  <si>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</si>
  <si>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</si>
  <si>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</si>
  <si>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</si>
  <si>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</si>
  <si>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</si>
  <si>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</si>
  <si>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</si>
  <si>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</si>
  <si>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</si>
  <si>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</si>
  <si>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</si>
  <si>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</si>
  <si>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</si>
  <si>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</si>
  <si>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</si>
  <si>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</si>
  <si>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</si>
  <si>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</si>
  <si>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</si>
  <si>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2024-07-12T16:22:58.637+00:00</t>
  </si>
  <si>
    <t>null</t>
  </si>
  <si>
    <t>2024-07-12T16:23:26.940+00:00</t>
  </si>
  <si>
    <t>0.000000</t>
  </si>
  <si>
    <t>2024-07-12T16:24:04.894+00:00</t>
  </si>
  <si>
    <t>-</t>
  </si>
  <si>
    <t>2024-07-12T16:24:29.533+00:00</t>
  </si>
  <si>
    <t>None</t>
  </si>
  <si>
    <t>2024-07-12T16:24:37.333+00:00</t>
  </si>
  <si>
    <t>2024-07-12T16:24:42.969+00:00</t>
  </si>
  <si>
    <t>DC</t>
  </si>
  <si>
    <t>2024-07-12 16:06:44.657000</t>
  </si>
  <si>
    <t>2024-07-12T16:25:59.931+00:00</t>
  </si>
  <si>
    <t>0.00</t>
  </si>
  <si>
    <t>2024-07-12 16:24:54.414000</t>
  </si>
  <si>
    <t>2024-07-12T16:26:12.541+00:00</t>
  </si>
  <si>
    <t>última mensalidade-42305826</t>
  </si>
  <si>
    <t>fte 141/024</t>
  </si>
  <si>
    <t>TC</t>
  </si>
  <si>
    <t>2024-07-12T16:27:10.031+00:00</t>
  </si>
  <si>
    <t>125000000.00</t>
  </si>
  <si>
    <t>2024-07-12 16:26:17.600000</t>
  </si>
  <si>
    <t>2024-07-12T16:27:38.938+00:00</t>
  </si>
  <si>
    <t>2024-07-12T16:27:44.884+00:00</t>
  </si>
  <si>
    <t>2024-07-12T16:28:04.427+00:00</t>
  </si>
  <si>
    <t>2024-07-12T16:33:04.741+00:00</t>
  </si>
  <si>
    <t>2024-07-12T16:33:07.873+00:00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</si>
  <si>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</si>
  <si>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</si>
  <si>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</si>
  <si>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</si>
  <si>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</si>
  <si>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</si>
  <si>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</si>
  <si>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</si>
  <si>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</si>
  <si>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</si>
  <si>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</si>
  <si>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</si>
  <si>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</si>
  <si>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</si>
  <si>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</si>
  <si>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</si>
  <si>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12</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</si>
  <si>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</si>
  <si>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</si>
  <si>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</si>
  <si>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</si>
  <si>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1 - OK</t>
  </si>
  <si>
    <t>Test 6</t>
  </si>
  <si>
    <t>O campo 'description' não requer valor obrigatoriamente</t>
  </si>
  <si>
    <t>Total: 64
1 - 64</t>
  </si>
  <si>
    <t>Ocampo 'comment' não requer valor obrigatoriamente</t>
  </si>
  <si>
    <t>Total: 49510
1 - 49510</t>
  </si>
  <si>
    <t>Test 7</t>
  </si>
  <si>
    <t>2024-07-12T15:24:58.795+00:00</t>
  </si>
  <si>
    <t>194</t>
  </si>
  <si>
    <t>2024-07-12T15:25:12.338+00:00</t>
  </si>
  <si>
    <t>2024-07-12T15:25:33.473+00:00</t>
  </si>
  <si>
    <t>2024-07-12T15:26:07.184+00:00</t>
  </si>
  <si>
    <t>2024-07-12T15:26:25.910+00:00</t>
  </si>
  <si>
    <t>2024-07-12T15:26:39.663+00:00</t>
  </si>
  <si>
    <t>0.040000</t>
  </si>
  <si>
    <t>EF</t>
  </si>
  <si>
    <t>2024-07-12 15:13:07.045000</t>
  </si>
  <si>
    <t>2024-07-12T15:27:58.152+00:00</t>
  </si>
  <si>
    <t>2024-07-12 15:26:56.400000</t>
  </si>
  <si>
    <t>2024-07-12T15:28:16.785+00:00</t>
  </si>
  <si>
    <t>2024-07-12T15:29:40.605+00:00</t>
  </si>
  <si>
    <t>2024-07-12 15:28:36.323000</t>
  </si>
  <si>
    <t>2024-07-12T15:30:22.351+00:00</t>
  </si>
  <si>
    <t>2024-07-12T15:30:32.941+00:00</t>
  </si>
  <si>
    <t>2024-07-12T15:30:55.939+00:00</t>
  </si>
  <si>
    <t>2024-07-12T15:36:42.640+00:00</t>
  </si>
  <si>
    <t>2024-07-12T15:36:55.726+00:00</t>
  </si>
  <si>
    <t xml:space="preserve">1 - O campo 'financial_flow_indicator' está ser mapeado pelos dados de referência para um valor default, enquanto aguardamos o preenchimento das tabelas de dados de referência. </t>
  </si>
  <si>
    <t>Total : 194
1 - 194</t>
  </si>
  <si>
    <t xml:space="preserve">1 - O campo 'transaction_type_code' está ser mapeado pelos dados de referência para um valor default, enquanto aguardamos o preenchimento das tabelas de dados de referência. </t>
  </si>
  <si>
    <t>Test 3</t>
  </si>
  <si>
    <t>2024-07-17T18:36:48.805+00:00</t>
  </si>
  <si>
    <t>2024-07-17T18:36:52.581+00:00</t>
  </si>
  <si>
    <t>2024-07-17T18:37:01.379+00:00</t>
  </si>
  <si>
    <t>0.875000</t>
  </si>
  <si>
    <t>2024-07-17T18:37:10.479+00:00</t>
  </si>
  <si>
    <t>2024-07-17T18:37:14.610+00:00</t>
  </si>
  <si>
    <t>2024-07-17T18:37:17.643+00:00</t>
  </si>
  <si>
    <t>2024-07-17 18:33:34.063000</t>
  </si>
  <si>
    <t>2024-07-17T18:38:19.849+00:00</t>
  </si>
  <si>
    <t>2024-07-17 18:37:20.759000</t>
  </si>
  <si>
    <t>2024-07-17T18:38:22.697+00:00</t>
  </si>
  <si>
    <t>2024-07-17T18:39:16.809+00:00</t>
  </si>
  <si>
    <t>986.20</t>
  </si>
  <si>
    <t>2024-07-17 18:38:24.906000</t>
  </si>
  <si>
    <t>2024-07-17T18:39:24.977+00:00</t>
  </si>
  <si>
    <t>0.846154</t>
  </si>
  <si>
    <t>2024-07-17T18:39:28.325+00:00</t>
  </si>
  <si>
    <t>2024-07-17T18:39:34.149+00:00</t>
  </si>
  <si>
    <t>2024-07-17T18:42:53.036+00:00</t>
  </si>
  <si>
    <t>2024-07-17T18:43:05.192+00:00</t>
  </si>
  <si>
    <t xml:space="preserve">1 - O campo "transaction_type_code" faz parte da chave primária e pendente do preenchimento das tabelas de referência.  Assim, o campo foi colocado o valor default NULL, pelo que não encontra entradas em comum. </t>
  </si>
  <si>
    <t>Total - 307
1 - 307</t>
  </si>
  <si>
    <t>1 - Pendente do preenchimento das tabelas de referência. Assim, o campo foi colocado o valor default</t>
  </si>
  <si>
    <t>Test 15</t>
  </si>
  <si>
    <t>Test 16</t>
  </si>
  <si>
    <t>Test 19</t>
  </si>
  <si>
    <t>2024-07-10T16:37:04.014+00:00</t>
  </si>
  <si>
    <t>95421.00</t>
  </si>
  <si>
    <t>2024-07-10T16:37:09.912+00:00</t>
  </si>
  <si>
    <t>2024-07-10T16:37:19.259+00:00</t>
  </si>
  <si>
    <t>2024-07-10T16:37:29.300+00:00</t>
  </si>
  <si>
    <t>2024-07-10T16:37:33.238+00:00</t>
  </si>
  <si>
    <t>2024-07-10T16:37:36.884+00:00</t>
  </si>
  <si>
    <t>0.01</t>
  </si>
  <si>
    <t>2024-07-10 15:59:31.916000</t>
  </si>
  <si>
    <t>2024-07-10T16:37:46.304+00:00</t>
  </si>
  <si>
    <t>2024-07-10 16:37:39.486000</t>
  </si>
  <si>
    <t>2024-07-10T16:37:51.032+00:00</t>
  </si>
  <si>
    <t>9990.00</t>
  </si>
  <si>
    <t>2024-07-10T16:38:10.623+00:00</t>
  </si>
  <si>
    <t>492500.00</t>
  </si>
  <si>
    <t>2024-07-10 16:37:58.892000</t>
  </si>
  <si>
    <t>2024-07-10T16:38:37.595+00:00</t>
  </si>
  <si>
    <t>0.86</t>
  </si>
  <si>
    <t>2024-07-10T16:38:40.829+00:00</t>
  </si>
  <si>
    <t>2024-07-10T16:38:48.086+00:00</t>
  </si>
  <si>
    <t>2024-07-10T16:39:25.830+00:00</t>
  </si>
  <si>
    <t>2024-07-10T16:39:28.272+00:00</t>
  </si>
  <si>
    <t>Total : 95421
1 - 95421</t>
  </si>
  <si>
    <t>2024-07-12T16:23:38.921+00:00</t>
  </si>
  <si>
    <t>2024-07-12T16:23:50.444+00:00</t>
  </si>
  <si>
    <t>2024-07-12T16:24:08.359+00:00</t>
  </si>
  <si>
    <t>6</t>
  </si>
  <si>
    <t>0</t>
  </si>
  <si>
    <t>2024-07-12T16:24:29.770+00:00</t>
  </si>
  <si>
    <t>2024-07-12T16:24:34.060+00:00</t>
  </si>
  <si>
    <t>2024-07-12T16:24:39.107+00:00</t>
  </si>
  <si>
    <t>89</t>
  </si>
  <si>
    <t>000020000000426001000000000000</t>
  </si>
  <si>
    <t>1822400579353</t>
  </si>
  <si>
    <t>1</t>
  </si>
  <si>
    <t>0.010000</t>
  </si>
  <si>
    <t>20000000426</t>
  </si>
  <si>
    <t>0000000216</t>
  </si>
  <si>
    <t>31</t>
  </si>
  <si>
    <t>000000534453001000000000000000</t>
  </si>
  <si>
    <t xml:space="preserve">PT50001800000053445300168         </t>
  </si>
  <si>
    <t>CAD</t>
  </si>
  <si>
    <t>2024-02-01 00:00:00</t>
  </si>
  <si>
    <t>FA</t>
  </si>
  <si>
    <t>2024-04-08</t>
  </si>
  <si>
    <t>2024-07-12 16:14:18.301000</t>
  </si>
  <si>
    <t>2024-07-12T16:25:52.329+00:00</t>
  </si>
  <si>
    <t>2024-07-12 16:24:43.614000</t>
  </si>
  <si>
    <t>2024-07-12T16:25:59.723+00:00</t>
  </si>
  <si>
    <t>000020240000127005600000000000</t>
  </si>
  <si>
    <t>1822401580887</t>
  </si>
  <si>
    <t>3146525.560000</t>
  </si>
  <si>
    <t>20240000127</t>
  </si>
  <si>
    <t>9002673597</t>
  </si>
  <si>
    <t>239302783937020000000000000000</t>
  </si>
  <si>
    <t xml:space="preserve">PT50001823930278393702093         </t>
  </si>
  <si>
    <t>EUR</t>
  </si>
  <si>
    <t>2024-04-10 00:00:00</t>
  </si>
  <si>
    <t>6420240006792</t>
  </si>
  <si>
    <t>2024-07-12T16:27:01.701+00:00</t>
  </si>
  <si>
    <t>3146525.56</t>
  </si>
  <si>
    <t>2024-07-12 16:26:06.094000</t>
  </si>
  <si>
    <t>2024-07-12T16:27:25.164+00:00</t>
  </si>
  <si>
    <t>3277</t>
  </si>
  <si>
    <t>611</t>
  </si>
  <si>
    <t>2024-07-12T16:27:30.107+00:00</t>
  </si>
  <si>
    <t>2024-07-12T16:27:42.977+00:00</t>
  </si>
  <si>
    <t>2024-07-12T16:31:53.892+00:00</t>
  </si>
  <si>
    <t>2024-07-12T16:32:01.382+00:00</t>
  </si>
  <si>
    <t>1 - Entradas com campo a NULL, devido à condição imposta no mapeamento. Correspondem a movimentos realizados á granularidade do processo, sendo que nestes casos este campo não é aplicável. Assim, o valor default NULL é aplicado.</t>
  </si>
  <si>
    <t>Total : 121762
1 - 121762</t>
  </si>
  <si>
    <t>1 - Entradas com campo a NULL, devido à condição imposta no mapeamento. Correspondem a movimentos realizados á granularidade do processo,  sendo que nestes casos este campo não é aplicável. Assim, o valor default NULL é aplicado.</t>
  </si>
  <si>
    <t>1 - Valor default a NULL. Entradas correspondentes ao universo contencioso, sendo que nesta situação o campo process_id não é aplicável. Assim, o valor default NULL é aplicado.</t>
  </si>
  <si>
    <t>Total : 476
1 - 476</t>
  </si>
  <si>
    <t>Total: 3349179
1 - 3349179</t>
  </si>
  <si>
    <t>1 - Entradas do universo contencioso, source TC, sendo que a aplicação não disponibiliza a informação.</t>
  </si>
  <si>
    <t>1 - Valor default para IDs. Correspondem a entradas em contencioso. Nesta situação, este campo não é aplicável, sendo aplicado o valor default.</t>
  </si>
  <si>
    <t>1 - Valor default para IDs. Correspondem a entradas que estão vazias na tabela de origem.
2 - Valor default para IDs. Correspondem a entradas em contencioso. Nesta situação, este campo não é aplicável, sendo aplicado o valor default.</t>
  </si>
  <si>
    <t>Total : 393666
1 - 393190
1  - 476</t>
  </si>
  <si>
    <t>1 - OK
2 - OK</t>
  </si>
  <si>
    <t>Total : 476
1  - 476</t>
  </si>
  <si>
    <t>1 - Valor default para boolean. Correspondem a entradas em contencioso, sendo que este campo não é aplicável. Nesta situação, é aplicado o valor default.</t>
  </si>
  <si>
    <t>1 - Valor default para IDs. Correspondem a entradas em contencioso, sendo que este campo não é aplicável. Nesta situação, é aplicado o valor default.</t>
  </si>
  <si>
    <t>2024-08-01T19:25:15.500</t>
  </si>
  <si>
    <t>2024-08-01T19:25:19.235</t>
  </si>
  <si>
    <t>2024-08-01T19:25:25.831</t>
  </si>
  <si>
    <t>2024-08-01T19:25:35.761</t>
  </si>
  <si>
    <t>2024-08-01T19:25:39.825</t>
  </si>
  <si>
    <t>2024-08-01T19:25:44.266</t>
  </si>
  <si>
    <t>CR</t>
  </si>
  <si>
    <t>2024-08-01 19:08:19.348000</t>
  </si>
  <si>
    <t>2024-08-01T19:26:17.443</t>
  </si>
  <si>
    <t>0.0</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</si>
  <si>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</si>
  <si>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</si>
  <si>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</si>
  <si>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</si>
  <si>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</si>
  <si>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</si>
  <si>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</si>
  <si>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</si>
  <si>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</si>
  <si>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</si>
  <si>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</si>
  <si>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</si>
  <si>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</si>
  <si>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big int</t>
  </si>
  <si>
    <t>int</t>
  </si>
  <si>
    <t>2024-07-25T18:49:00.574+00:01</t>
  </si>
  <si>
    <t>2024-07-25T18:49:00.574+00:02</t>
  </si>
  <si>
    <t>1 - O campo 'transaction_type_code' está marcado com o valor default NULL, enquanto aguardamos o preenchimento da tabela dos dados de referência</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</si>
  <si>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</si>
  <si>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</si>
  <si>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</si>
  <si>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</si>
  <si>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</si>
  <si>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2024-08-01T19:25:06.311</t>
  </si>
  <si>
    <t>2024-08-01T19:25:13.567</t>
  </si>
  <si>
    <t>2024-08-01T19:25:23.085</t>
  </si>
  <si>
    <t>2024-08-01T19:25:34.528</t>
  </si>
  <si>
    <t>2024-08-01T19:25:38.963</t>
  </si>
  <si>
    <t>2024-08-01T19:25:45.118</t>
  </si>
  <si>
    <t>"ALCO MARKET" Sadovean   isinau, str20</t>
  </si>
  <si>
    <t>2024-08-01 19:08:54.456000</t>
  </si>
  <si>
    <t>2024-08-01T19:26:17.278</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</si>
  <si>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</si>
  <si>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</si>
  <si>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</si>
  <si>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</si>
  <si>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</si>
  <si>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</si>
  <si>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</si>
  <si>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</si>
  <si>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</si>
  <si>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</si>
  <si>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</si>
  <si>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</si>
  <si>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</si>
  <si>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</si>
  <si>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</si>
  <si>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2024-07-31T18:08:00.133</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</si>
  <si>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</si>
  <si>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</si>
  <si>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</si>
  <si>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</si>
  <si>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</si>
  <si>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</si>
  <si>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1 - 116253</t>
  </si>
  <si>
    <t xml:space="preserve">1 - </t>
  </si>
  <si>
    <t>2024-08-01T10:40:55.180+00:00</t>
  </si>
  <si>
    <t>2024-08-01T10:41:01.133+00:00</t>
  </si>
  <si>
    <t>2024-08-01T10:41:12.098+00:00</t>
  </si>
  <si>
    <t>2024-08-01T10:41:28.290+00:00</t>
  </si>
  <si>
    <t>2024-08-01T10:41:37.018+00:00</t>
  </si>
  <si>
    <t>2024-08-01T10:41:43.364+00:00</t>
  </si>
  <si>
    <t>TBD</t>
  </si>
  <si>
    <t>"Der Andechser am Dom"   auenplatz 780</t>
  </si>
  <si>
    <t>2024-08-01 10:36:26.158000</t>
  </si>
  <si>
    <t>2024-08-01T10:42:53.374+00:00</t>
  </si>
  <si>
    <t>2024-08-01 10:41:48.641000</t>
  </si>
  <si>
    <t>2024-08-01T10:43:02.959+00:00</t>
  </si>
  <si>
    <t>97.0</t>
  </si>
  <si>
    <t>TAX</t>
  </si>
  <si>
    <t>ÏST DAGLIGVARE           kkegata 3  01</t>
  </si>
  <si>
    <t>2024-08-01T10:44:03.221+00:00</t>
  </si>
  <si>
    <t>-9998.11</t>
  </si>
  <si>
    <t>999.78</t>
  </si>
  <si>
    <t>2024-08-01 10:43:05.702000</t>
  </si>
  <si>
    <t>2024-08-01T10:44:32.665+00:00</t>
  </si>
  <si>
    <t>2024-08-01T10:44:36.126+00:00</t>
  </si>
  <si>
    <t>2024-08-01T10:44:46.377+00:00</t>
  </si>
  <si>
    <t>2024-08-01T10:48:38.961+00:00</t>
  </si>
  <si>
    <t>2024-08-01T10:48:41.936+00:00</t>
  </si>
  <si>
    <t>decimal(10,0)</t>
  </si>
  <si>
    <t>merchant_name</t>
  </si>
  <si>
    <t>1 - O valor que vem da origem tem comprimento superior a 20</t>
  </si>
  <si>
    <t>Total: 3534721
1 - 3534721</t>
  </si>
  <si>
    <t>Total: 4011089
1 - 4011089</t>
  </si>
  <si>
    <t>1 - O campo está ser mapeado pelos dados de referência para um valor default, enquanto aguardamos o preenchimento das tabelas de dados de referência. Alguns valores de origem pendentes de ser mapeados.</t>
  </si>
  <si>
    <t>Total:  78274
1 - 78274</t>
  </si>
  <si>
    <t xml:space="preserve">chargeback_indicator
</t>
  </si>
  <si>
    <t>1 - Campo definido como valor default NULL</t>
  </si>
  <si>
    <t>Total:  17538
1 - 17538</t>
  </si>
  <si>
    <t>1 - O campo encontra-se vazio na origem, por isso fica NULL (universo créditos)
2 - NULLS resultantes do left join por não encontrarem correspondência (universo créditos)
3 - NULLS resultantes do left join por não encontrarem correspondência (universo débitos)
4 - O campo encontra-se vazio na origem, por isso fica NULL (universo débitos)</t>
  </si>
  <si>
    <t>Total: 72615
1 - 65135
2 - 5009
3 - 1178
4 - 1293</t>
  </si>
  <si>
    <t>1 - Definido como valor default NULL (universo contencioso)
2 -  NULLS resultantes do left join por não encontrarem correspondência com a crt44 (universo créditos)</t>
  </si>
  <si>
    <t>Total: 464053
1 - 17538
2 - 446515</t>
  </si>
  <si>
    <t>2 -  NULLS resultantes do left join por não encontrarem correspondência com a crt44 (universo créditos)</t>
  </si>
  <si>
    <t>Total: 446515
1 -  446515</t>
  </si>
  <si>
    <t xml:space="preserve">
1 - O campo encontra-se vazio na origem, por isso fica NULL universo crédito
2 - O campo encontra-se vazio na origem, por isso fica NULL universo débito</t>
  </si>
  <si>
    <t>Total: 248334
1 - 175
2 - 248159</t>
  </si>
  <si>
    <t>Total: 1033832
1 -92397
2 - 17272
3 - 423037
4 - 501126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</si>
</sst>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82">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5" borderId="17" xfId="0" applyFill="1" applyBorder="1" applyAlignment="1">
      <alignment horizontal="center" vertical="center"/>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24" fillId="14" borderId="0" xfId="0" applyFont="1" applyFill="1" applyAlignment="1">
      <alignment horizontal="center" vertical="center" wrapText="1"/>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0" borderId="44" xfId="0" applyBorder="1" applyAlignment="1">
      <alignment vertical="center" wrapText="1"/>
    </xf>
    <xf numFmtId="0" fontId="0" fillId="2" borderId="37" xfId="0" applyFill="1" applyBorder="1" applyAlignment="1">
      <alignment horizontal="left" vertical="center"/>
    </xf>
    <xf numFmtId="164" fontId="0" fillId="0" borderId="0" xfId="0" applyNumberFormat="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33" fillId="5" borderId="17" xfId="0" applyFont="1" applyFill="1" applyBorder="1" applyAlignment="1">
      <alignment vertical="center" wrapText="1"/>
    </xf>
    <xf numFmtId="0" fontId="30" fillId="5" borderId="17" xfId="0" applyFont="1" applyFill="1" applyBorder="1" applyAlignment="1">
      <alignment horizontal="center" vertical="center" wrapText="1"/>
    </xf>
    <xf numFmtId="0" fontId="30" fillId="5" borderId="17" xfId="0" applyFont="1" applyFill="1" applyBorder="1" applyAlignment="1">
      <alignment vertical="center" wrapText="1"/>
    </xf>
    <xf numFmtId="0" fontId="0" fillId="5" borderId="17" xfId="0" applyFill="1" applyBorder="1" applyAlignment="1">
      <alignment vertical="center"/>
    </xf>
    <xf numFmtId="0" fontId="34" fillId="5" borderId="17" xfId="0" applyFont="1" applyFill="1" applyBorder="1" applyAlignment="1">
      <alignment vertical="center" wrapText="1"/>
    </xf>
    <xf numFmtId="0" fontId="0" fillId="5" borderId="17" xfId="0" applyFill="1" applyBorder="1" applyAlignment="1">
      <alignment horizontal="left" vertical="center"/>
    </xf>
    <xf numFmtId="0" fontId="31" fillId="5" borderId="17" xfId="0" applyFont="1" applyFill="1" applyBorder="1" applyAlignment="1">
      <alignment horizontal="left" vertical="center" wrapText="1"/>
    </xf>
    <xf numFmtId="0" fontId="0" fillId="5" borderId="17" xfId="0" applyFill="1" applyBorder="1" applyAlignment="1">
      <alignment horizontal="left" vertical="center" wrapText="1"/>
    </xf>
    <xf numFmtId="0" fontId="33" fillId="5" borderId="17" xfId="0" applyFont="1" applyFill="1" applyBorder="1" applyAlignment="1">
      <alignment horizontal="center" vertical="center" wrapText="1"/>
    </xf>
    <xf numFmtId="0" fontId="33" fillId="5" borderId="17" xfId="0" applyFont="1" applyFill="1" applyBorder="1" applyAlignment="1">
      <alignment horizontal="left" vertical="center" wrapText="1"/>
    </xf>
    <xf numFmtId="0" fontId="0" fillId="5" borderId="17" xfId="0" applyFill="1" applyBorder="1" applyAlignment="1">
      <alignment vertical="center" wrapText="1"/>
    </xf>
    <xf numFmtId="0" fontId="29" fillId="0" borderId="24" xfId="0" applyFont="1" applyBorder="1" applyAlignment="1">
      <alignment horizontal="left" vertical="center"/>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5" borderId="17" xfId="0" applyFont="1" applyFill="1" applyBorder="1" applyAlignment="1">
      <alignment horizontal="center" vertical="center"/>
    </xf>
    <xf numFmtId="0" fontId="34" fillId="5" borderId="17" xfId="0" applyFont="1" applyFill="1" applyBorder="1" applyAlignment="1">
      <alignment vertical="center"/>
    </xf>
    <xf numFmtId="0" fontId="35" fillId="5" borderId="17" xfId="0" applyFont="1" applyFill="1" applyBorder="1" applyAlignment="1">
      <alignment horizontal="left" vertical="center" wrapText="1"/>
    </xf>
    <xf numFmtId="0" fontId="35" fillId="0" borderId="17" xfId="0" applyFont="1" applyBorder="1" applyAlignment="1">
      <alignment vertical="center"/>
    </xf>
    <xf numFmtId="0" fontId="36" fillId="5" borderId="17" xfId="0" applyFont="1" applyFill="1" applyBorder="1" applyAlignment="1">
      <alignment vertical="center" wrapText="1"/>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0" fontId="0" fillId="2" borderId="21" xfId="0" applyFill="1" applyBorder="1" applyAlignment="1">
      <alignment horizontal="left" vertical="center"/>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0" fillId="5" borderId="17" xfId="0" applyFont="1" applyFill="1" applyBorder="1" applyAlignment="1">
      <alignment horizontal="lef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27" fillId="5" borderId="17" xfId="0" applyFont="1" applyFill="1" applyBorder="1" applyAlignment="1">
      <alignment vertical="center"/>
    </xf>
    <xf numFmtId="0" fontId="33" fillId="5" borderId="17" xfId="0" applyFont="1" applyFill="1" applyBorder="1" applyAlignment="1">
      <alignment vertical="center"/>
    </xf>
    <xf numFmtId="0" fontId="35" fillId="5" borderId="17" xfId="0" applyFont="1" applyFill="1" applyBorder="1" applyAlignment="1">
      <alignment vertical="center" wrapText="1"/>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29" fillId="5" borderId="17" xfId="0" applyFont="1" applyFill="1" applyBorder="1" applyAlignment="1">
      <alignment vertical="center"/>
    </xf>
    <xf numFmtId="0" fontId="27" fillId="5" borderId="17" xfId="0" applyFont="1" applyFill="1" applyBorder="1" applyAlignment="1">
      <alignment horizontal="left" vertical="center" wrapText="1"/>
    </xf>
    <xf numFmtId="0" fontId="0" fillId="2" borderId="20" xfId="0" applyFill="1" applyBorder="1" applyAlignment="1">
      <alignment horizontal="left" vertical="center"/>
    </xf>
    <xf numFmtId="0" fontId="0" fillId="2" borderId="22" xfId="0" applyFill="1" applyBorder="1" applyAlignment="1">
      <alignment horizontal="left" vertical="center" wrapText="1"/>
    </xf>
    <xf numFmtId="0" fontId="0" fillId="5" borderId="24" xfId="0" applyFill="1" applyBorder="1" applyAlignment="1">
      <alignment horizontal="left" vertical="center"/>
    </xf>
    <xf numFmtId="0" fontId="0" fillId="5" borderId="22" xfId="0" applyFill="1" applyBorder="1" applyAlignment="1">
      <alignment horizontal="left" vertical="center" wrapText="1"/>
    </xf>
    <xf numFmtId="0" fontId="0" fillId="2" borderId="24" xfId="0" applyFill="1" applyBorder="1" applyAlignment="1">
      <alignment horizontal="left" vertical="center"/>
    </xf>
    <xf numFmtId="0" fontId="0" fillId="5" borderId="18" xfId="0" applyFill="1" applyBorder="1" applyAlignment="1">
      <alignment horizontal="left" vertical="center"/>
    </xf>
    <xf numFmtId="0" fontId="0" fillId="2" borderId="18" xfId="0" applyFill="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xf numFmtId="0" fontId="33" fillId="0" borderId="17" xfId="0" applyFont="1" applyFill="1" applyBorder="1" applyAlignment="1">
      <alignment vertical="center" wrapText="1"/>
    </xf>
    <xf numFmtId="0" fontId="34" fillId="0" borderId="17" xfId="0" applyFont="1" applyFill="1" applyBorder="1" applyAlignment="1">
      <alignment vertical="center" wrapText="1"/>
    </xf>
    <xf numFmtId="0" fontId="33" fillId="0" borderId="17" xfId="0" applyFont="1" applyFill="1" applyBorder="1" applyAlignment="1">
      <alignment horizontal="center" vertical="center" wrapText="1"/>
    </xf>
    <xf numFmtId="0" fontId="0" fillId="0" borderId="17" xfId="0" applyFill="1" applyBorder="1" applyAlignment="1">
      <alignment vertical="center"/>
    </xf>
    <xf numFmtId="0" fontId="0" fillId="0" borderId="17" xfId="0" applyFill="1" applyBorder="1" applyAlignment="1">
      <alignment horizontal="center" vertical="center"/>
    </xf>
    <xf numFmtId="0" fontId="0" fillId="0" borderId="17" xfId="0" applyFill="1" applyBorder="1" applyAlignment="1">
      <alignment horizontal="left" vertical="center"/>
    </xf>
    <xf numFmtId="0" fontId="0" fillId="0" borderId="17" xfId="0" applyFill="1" applyBorder="1" applyAlignment="1">
      <alignment horizontal="left" vertical="center" wrapText="1"/>
    </xf>
    <xf numFmtId="0" fontId="0" fillId="0" borderId="17" xfId="0" applyFill="1" applyBorder="1" applyAlignment="1">
      <alignment vertical="center" wrapText="1"/>
    </xf>
    <xf numFmtId="0" fontId="33" fillId="0" borderId="17" xfId="0" applyFont="1" applyFill="1" applyBorder="1" applyAlignment="1">
      <alignment horizontal="left" vertical="center" wrapText="1"/>
    </xf>
    <xf numFmtId="0" fontId="35" fillId="0" borderId="17" xfId="0" applyFont="1" applyFill="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68">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persons/person.xml><?xml version="1.0" encoding="utf-8"?>
<personList xmlns="http://schemas.microsoft.com/office/spreadsheetml/2018/threadedcomments" xmlns:x="http://schemas.openxmlformats.org/spreadsheetml/2006/main">
  <person displayName="Afonso Mak Gramocha da Costa Silva" id="{48FB06A4-BB0E-45C3-A382-6956CD7F9710}"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366" tableBorderDxfId="367" totalsRowBorderDxfId="365">
  <autoFilter ref="B5:D40" xr:uid="{00000000-0009-0000-0100-000001000000}"/>
  <sortState xmlns:xlrd2="http://schemas.microsoft.com/office/spreadsheetml/2017/richdata2" ref="B6:D40">
    <sortCondition ref="B5:B40"/>
  </sortState>
  <tableColumns count="3">
    <tableColumn id="1" xr3:uid="{00000000-0010-0000-0000-000001000000}" name="Schema" dataDxfId="364"/>
    <tableColumn id="2" xr3:uid="{00000000-0010-0000-0000-000002000000}" name="Tabela " dataDxfId="363"/>
    <tableColumn id="3" xr3:uid="{00000000-0010-0000-0000-000003000000}" name="Descrição" dataDxfId="3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7:AA258" totalsRowShown="0" headerRowDxfId="361" tableBorderDxfId="360">
  <autoFilter ref="B7:AA258" xr:uid="{E005BC36-6E9E-40C7-82DB-D8159E0040FF}">
    <filterColumn colId="2">
      <filters>
        <filter val="credit_card_account_plan_transaction"/>
        <filter val="debit_card_account_transaction"/>
        <filter val="prepaid_card_account_transaction"/>
      </filters>
    </filterColumn>
  </autoFilter>
  <sortState xmlns:xlrd2="http://schemas.microsoft.com/office/spreadsheetml/2017/richdata2" ref="B8:AA258">
    <sortCondition ref="C8:C258"/>
    <sortCondition ref="I8:I258"/>
  </sortState>
  <tableColumns count="26">
    <tableColumn id="1" xr3:uid="{B202AB96-6DBE-4E4C-9212-5291A005DCC8}" name="NOME BD" dataDxfId="359"/>
    <tableColumn id="2" xr3:uid="{3FF272FE-C1A4-450E-9322-82A40048A5EF}" name="NOME TABELA" dataDxfId="358"/>
    <tableColumn id="3" xr3:uid="{26DB6D8C-2119-4367-9ACD-A86BC22D445C}" name="NOME FÍSICO TABELA" dataDxfId="357"/>
    <tableColumn id="4" xr3:uid="{60A5A59F-94A2-4615-9F04-C165925EB3B6}" name="NÍVEL TABELA" dataDxfId="356"/>
    <tableColumn id="5" xr3:uid="{99056714-3624-4BA3-B5A7-6BDD481A1DEB}" name="NOME CAMPO" dataDxfId="355"/>
    <tableColumn id="6" xr3:uid="{4C98432E-2A24-41E9-B6FC-71598F3E676F}" name="NOME FÍSICO CAMPO" dataDxfId="354"/>
    <tableColumn id="7" xr3:uid="{92AC0881-9A14-49A2-A29D-9BED4AFDA816}" name="BLOCO" dataDxfId="353"/>
    <tableColumn id="8" xr3:uid="{BC3C5233-9C1C-47BA-AC7E-8677BFB2FA92}" name="ORDEM" dataDxfId="352"/>
    <tableColumn id="9" xr3:uid="{1478D91D-09B4-4FD3-9F29-2F6725837886}" name="FORMATO" dataDxfId="351"/>
    <tableColumn id="10" xr3:uid="{A83FF87E-BBA6-48DB-9A4E-9F7F2C09E4F0}" name="COMP_ CAMPO" dataDxfId="350"/>
    <tableColumn id="11" xr3:uid="{772632A4-2B44-47CA-984B-1C730DA4890D}" name="NUM_ DECIMAIS" dataDxfId="349"/>
    <tableColumn id="12" xr3:uid="{471996C0-15F0-4E14-B764-EB98E1753CB2}" name="DESCRIÇÃO FUNCIONAL (ENG)" dataDxfId="348"/>
    <tableColumn id="13" xr3:uid="{FFC8F48C-3714-4D77-81FE-18E32D92B3FD}" name="DESCRIÇÃO FUNCIONAL (PT)" dataDxfId="347"/>
    <tableColumn id="14" xr3:uid="{D66780C9-11A6-49A3-9875-909B37CE31C1}" name="CHAVE PRIMÁRIA" dataDxfId="346"/>
    <tableColumn id="15" xr3:uid="{C402404C-88D5-4A87-9DF6-7061CDC0BCE4}" name="DADOS REFERÊNCIA" dataDxfId="345"/>
    <tableColumn id="16" xr3:uid="{7C91699D-B62B-46CC-9FA1-A1FAE1FDDFEA}" name="NOME TABELA ONEFCC" dataDxfId="344"/>
    <tableColumn id="17" xr3:uid="{CF71C61F-E023-4FCB-9C32-313981132DA4}" name="NOME CAMPO ONEFCC" dataDxfId="343"/>
    <tableColumn id="18" xr3:uid="{7E0E556B-76E6-4319-AA8B-769944D58DEB}" name="NOME BD CURATED" dataDxfId="342"/>
    <tableColumn id="19" xr3:uid="{38C5F91A-6455-4725-AA96-00F5B14E5CB4}" name="NOME FISICO TABELA CURATED" dataDxfId="341"/>
    <tableColumn id="20" xr3:uid="{E19AC285-873B-4F14-990D-D6D2A954449D}" name="NOME FISICO CAMPO CURATED" dataDxfId="340"/>
    <tableColumn id="21" xr3:uid="{EC9098AB-88AE-4292-AB27-A1D5290FB03F}" name="CODIÇÃO CURATED - CDM" dataDxfId="339"/>
    <tableColumn id="22" xr3:uid="{69274326-591E-4269-AD87-6A327AD281D0}" name="TABELA / FICHEIRO" dataDxfId="338"/>
    <tableColumn id="23" xr3:uid="{DA01B157-095B-4031-BA99-AB04551A286E}" name="ID APLICAÇÂO TÉCNICA" dataDxfId="337"/>
    <tableColumn id="24" xr3:uid="{360A5020-0CC7-4F12-B934-23440ED055B3}" name="NOME FISICO TABELA FONTE" dataDxfId="336"/>
    <tableColumn id="25" xr3:uid="{7E2C2EBF-3460-4D1A-854B-58E91F400A35}" name="NOME FISICO CAMPO FONTE" dataDxfId="335"/>
    <tableColumn id="26" xr3:uid="{F065C47E-DAFE-46CD-B602-C1462F00CD11}" name="VALOR MANUAL FONTE" dataDxfId="33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BD5312-45DA-4352-8D69-81D3EFDD5768}" name="Table5" displayName="Table5" ref="B2:I21" totalsRowShown="0" headerRowDxfId="333" dataDxfId="332" tableBorderDxfId="331">
  <autoFilter ref="B2:I21" xr:uid="{89BD5312-45DA-4352-8D69-81D3EFDD5768}"/>
  <sortState xmlns:xlrd2="http://schemas.microsoft.com/office/spreadsheetml/2017/richdata2" ref="B3:I14">
    <sortCondition ref="D2:D14"/>
  </sortState>
  <tableColumns count="8">
    <tableColumn id="1" xr3:uid="{ED60A3D0-1AF4-4CED-892B-61B7FD4B7648}" name="NOME BD " dataDxfId="329" totalsRowDxfId="330"/>
    <tableColumn id="2" xr3:uid="{F28E20D1-B6F3-4F81-A493-997FF064C6D4}" name="NOME FÍSICO TABELA" dataDxfId="327" totalsRowDxfId="328"/>
    <tableColumn id="6" xr3:uid="{8976BDE1-5E5C-4ACE-9230-1752F7890AA8}" name="NOME FÍSICO BD FONTE ESQUERDA" dataDxfId="325" totalsRowDxfId="326"/>
    <tableColumn id="3" xr3:uid="{DBD9005D-D41F-449A-BFA3-609311CE9137}" name="NOME FÍSICO TABELA FONTE ESQUERDA" dataDxfId="323" totalsRowDxfId="324"/>
    <tableColumn id="7" xr3:uid="{042ED3C7-D476-4C1F-A29C-758A99B2197F}" name="NOME FÍSICO BD FONTE DIREITA" dataDxfId="321" totalsRowDxfId="322"/>
    <tableColumn id="4" xr3:uid="{06E0EF78-466F-4E17-9CFC-C6BA090D2383}" name="NOME FÍSICO TABELA FONTE DIREITA" dataDxfId="319" totalsRowDxfId="320"/>
    <tableColumn id="5" xr3:uid="{4EB0884E-2565-45D6-91A8-466EA83A3C0B}" name="REGRA DE CRUZAMENTO" dataDxfId="317" totalsRowDxfId="318"/>
    <tableColumn id="8" xr3:uid="{3D732B0E-0B62-4E69-8D22-D368F71C7D36}" name="TIPO CRUZAMENTO" dataDxfId="315" totalsRowDxfId="31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15" totalsRowShown="0" headerRowDxfId="314" dataDxfId="313" tableBorderDxfId="312">
  <autoFilter ref="B2:H15" xr:uid="{2B1516AE-868D-4EFA-82B3-3AFB7642D723}"/>
  <sortState xmlns:xlrd2="http://schemas.microsoft.com/office/spreadsheetml/2017/richdata2" ref="B3:H5">
    <sortCondition ref="C2:C5"/>
  </sortState>
  <tableColumns count="7">
    <tableColumn id="1" xr3:uid="{16926414-B272-4706-9CD7-50DD28B23310}" name="NOME BD" dataDxfId="311"/>
    <tableColumn id="2" xr3:uid="{47CDFEFB-27C1-46BE-8C9E-E3B250579357}" name="NOME FÍSICO TABELA" dataDxfId="310"/>
    <tableColumn id="3" xr3:uid="{B95E573E-16FB-44CF-BED0-98B83C7D482A}" name="NOME FÍSICO BD FONTE" dataDxfId="309"/>
    <tableColumn id="4" xr3:uid="{8282954B-BD06-4FB6-AEC4-B735FBAE2410}" name="NOME FÍSICO TABELA FONTE" dataDxfId="308"/>
    <tableColumn id="5" xr3:uid="{D662E194-7821-4AC4-958D-74DEFDDB324F}" name="REGRA DE ATAQUE" dataDxfId="307"/>
    <tableColumn id="6" xr3:uid="{3076BB36-67AB-4F3B-9767-D3F3855F8D55}" name="DESCRIÇÃO ESTADOS CONSIDERADOS" dataDxfId="306"/>
    <tableColumn id="7" xr3:uid="{5F0F8382-5BBA-4407-AD43-63A2F23AC57A}" name="DESCRIÇÃO ESTADOS DESCONSIDERADOS" dataDxfId="30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303" dataDxfId="302" headerRowBorderDxfId="300" tableBorderDxfId="301" totalsRowBorderDxfId="299">
  <autoFilter ref="B2:E23" xr:uid="{6A73D132-650B-4772-ACDF-A52D806EDDCD}"/>
  <tableColumns count="4">
    <tableColumn id="1" xr3:uid="{B1674CDC-3CAF-416B-816C-636935125A50}" name="ID" dataDxfId="298"/>
    <tableColumn id="2" xr3:uid="{79FDEBE0-C7B7-40C8-A102-BA62D73D9369}" name="Case Test" dataDxfId="297"/>
    <tableColumn id="3" xr3:uid="{4F5538FB-DAC4-43DF-8756-97915831D95C}" name="Description" dataDxfId="296"/>
    <tableColumn id="4" xr3:uid="{0AABCA40-B966-48E4-BB94-247FC70D297B}" name="Observation" dataDxfId="29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W21" totalsRowShown="0" headerRowDxfId="294" dataDxfId="293">
  <autoFilter ref="B2:W21" xr:uid="{98F99B18-A7DF-4D30-9CD9-BD3142DEEEDB}"/>
  <tableColumns count="22">
    <tableColumn id="1" xr3:uid="{A56DC95F-BA02-4189-A97B-3E107C442CA5}" name="Case_Test" dataDxfId="292"/>
    <tableColumn id="2" xr3:uid="{1C86658D-7B35-4335-A23B-E988177F002C}" name="test_id" dataDxfId="291"/>
    <tableColumn id="3" xr3:uid="{139BC6C4-6630-44E5-936A-409C495CDF6C}" name="test_timestamp" dataDxfId="290"/>
    <tableColumn id="4" xr3:uid="{30EFC6BE-F9DB-4269-8669-A244E78FFC54}" name="query_driver_data_date_part" dataDxfId="289"/>
    <tableColumn id="5" xr3:uid="{F46D54E2-8655-494D-8CEB-F34CD04A6331}" name="test_number" dataDxfId="288"/>
    <tableColumn id="6" xr3:uid="{4D97938B-B226-4994-A65C-A29B2D010B47}" name="score" dataDxfId="287"/>
    <tableColumn id="7" xr3:uid="{99A6EED2-1D5F-4C70-B9DF-9160EB4D5C5C}" name="general_result" dataDxfId="286"/>
    <tableColumn id="8" xr3:uid="{02EE734E-77E3-4E16-A627-D61ADD85A602}" name="bank_id" dataDxfId="285"/>
    <tableColumn id="9" xr3:uid="{2285C739-7D13-4B0B-88FC-6B5991691F71}" name="contract_id" dataDxfId="284"/>
    <tableColumn id="10" xr3:uid="{5C8ABA7D-5849-44DC-AE4D-7491E2B32C83}" name="order_number" dataDxfId="283"/>
    <tableColumn id="11" xr3:uid="{67361930-48C3-4B6A-8825-ABA569964543}" name="order_number_stage" dataDxfId="282"/>
    <tableColumn id="12" xr3:uid="{04EA5A77-5CE6-4258-86D3-0CCADD7D65B3}" name="transaction_type_code" dataDxfId="281"/>
    <tableColumn id="13" xr3:uid="{E15D68B7-D367-4908-9A4F-5D1AC8DA279C}" name="transaction_execution_date" dataDxfId="280"/>
    <tableColumn id="14" xr3:uid="{21706388-3DEC-464A-AD3E-C087AD4CBD43}" name="amount" dataDxfId="279"/>
    <tableColumn id="15" xr3:uid="{3A73FC5C-CF00-4929-89A4-3832577F18EE}" name="financial_flow_indicator" dataDxfId="278"/>
    <tableColumn id="16" xr3:uid="{8ECCAF08-C933-4BD9-BF3F-E4FF6413C99D}" name="currency_code" dataDxfId="277"/>
    <tableColumn id="17" xr3:uid="{FF5CDC3B-3F01-40D8-B698-5D7ACA9E9881}" name="transaction_date" dataDxfId="276"/>
    <tableColumn id="18" xr3:uid="{C048AD66-692B-47E4-864A-C07FBE359716}" name="description" dataDxfId="275"/>
    <tableColumn id="19" xr3:uid="{4441C6CF-A47A-4B91-908F-75D638A33CB7}" name="comment" dataDxfId="274"/>
    <tableColumn id="20" xr3:uid="{5F39FE5B-0114-4840-AB38-A9F048C1F969}" name="source_code" dataDxfId="273"/>
    <tableColumn id="21" xr3:uid="{6B80C012-2C01-4475-B34B-EEB9F5A60E38}" name="data_date_part" dataDxfId="272"/>
    <tableColumn id="22" xr3:uid="{FC20F41F-73F9-49B7-A9B7-70DC3F30D054}" name="data_timestamp_part" dataDxfId="271"/>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270" dataDxfId="269" tableBorderDxfId="268">
  <autoFilter ref="B30:F36" xr:uid="{9121FEBE-5052-4C33-8556-5048BDB999FA}"/>
  <sortState xmlns:xlrd2="http://schemas.microsoft.com/office/spreadsheetml/2017/richdata2" ref="B31:F36">
    <sortCondition ref="B30:B36"/>
  </sortState>
  <tableColumns count="5">
    <tableColumn id="1" xr3:uid="{F69C0283-5B97-464B-AD99-94075126EB2F}" name="Test ID" dataDxfId="267"/>
    <tableColumn id="2" xr3:uid="{1817D71C-7540-4F40-843E-CE8E361C1022}" name="Field" dataDxfId="266"/>
    <tableColumn id="3" xr3:uid="{5DF37EFB-B83C-4A10-B636-545D858D1B27}" name="Justification" dataDxfId="265"/>
    <tableColumn id="4" xr3:uid="{E2359272-3336-4591-BC2D-02BF39DA1192}" name="Number of Occurences" dataDxfId="264"/>
    <tableColumn id="5" xr3:uid="{189A05AE-B5CB-4279-837B-9E4C390F4918}" name="Justification State" dataDxfId="263"/>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262" dataDxfId="261">
  <autoFilter ref="B2:U21" xr:uid="{8354E80B-4384-45ED-85F9-36C8F1253042}"/>
  <tableColumns count="20">
    <tableColumn id="1" xr3:uid="{D4684C5C-81D1-42FC-BEFA-1661CE929FE5}" name="case_test" dataDxfId="260"/>
    <tableColumn id="2" xr3:uid="{A1935713-2A78-4885-B2B5-823E91361369}" name="test_id" dataDxfId="259"/>
    <tableColumn id="3" xr3:uid="{35A53578-754C-4627-ACD2-B353E5BF9F24}" name="test_timestamp" dataDxfId="258"/>
    <tableColumn id="4" xr3:uid="{4B705C7D-DC8C-4459-B730-B62E5BD461DF}" name="query_driver_data_date_part" dataDxfId="257"/>
    <tableColumn id="5" xr3:uid="{36032182-0D46-450E-8A08-F18A1D650377}" name="test_number" dataDxfId="256"/>
    <tableColumn id="6" xr3:uid="{F1DF9373-1D0E-4541-AB4F-223183153D6D}" name="score" dataDxfId="255"/>
    <tableColumn id="7" xr3:uid="{43F24F7E-6B3C-4F05-9015-6B46A44FC1B5}" name="general_result" dataDxfId="254"/>
    <tableColumn id="8" xr3:uid="{8DB5E048-F03A-4F25-AE8B-F73F05D312B5}" name="bank_id" dataDxfId="253"/>
    <tableColumn id="9" xr3:uid="{9A755778-0F44-488C-B58B-900B942B9887}" name="contract_id" dataDxfId="252"/>
    <tableColumn id="10" xr3:uid="{C38ACEB5-696C-4EF7-A856-54209A80A463}" name="order_number" dataDxfId="251"/>
    <tableColumn id="11" xr3:uid="{5A58A6A0-FA38-4945-8E46-E5C891E5DE4B}" name="order_number_stage" dataDxfId="250"/>
    <tableColumn id="12" xr3:uid="{C0916945-C4CF-4C2E-AAEE-88B37ED5F4A3}" name="transaction_type_code" dataDxfId="249"/>
    <tableColumn id="13" xr3:uid="{EA96BAA3-0D50-4CC9-9D84-36112A36EF4C}" name="financial_flow_indicator" dataDxfId="248"/>
    <tableColumn id="14" xr3:uid="{3D44235C-6DB2-4BDE-A9A4-983E43AF7CCE}" name="currency_code" dataDxfId="247"/>
    <tableColumn id="15" xr3:uid="{69276CF2-7FAD-42E1-8DF7-04903058F9AC}" name="transaction_date" dataDxfId="246"/>
    <tableColumn id="16" xr3:uid="{0E1FEA56-506E-4C0F-AAC1-23A4C1A43CB8}" name="transaction_execution_date" dataDxfId="245"/>
    <tableColumn id="17" xr3:uid="{9217D865-AD91-4CC6-8303-E5FA1598FFEC}" name="amount" dataDxfId="244"/>
    <tableColumn id="18" xr3:uid="{11043013-799C-49F7-96E3-28365F0194E8}" name="source_code" dataDxfId="243"/>
    <tableColumn id="19" xr3:uid="{3FC5C2C9-F16F-4713-8123-59947C26D78C}" name="data_date_part" dataDxfId="242"/>
    <tableColumn id="20" xr3:uid="{0E903AD1-6B96-4891-B33C-A0C1F7AD847F}" name="data_timestamp_part" dataDxfId="24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2" totalsRowShown="0" headerRowDxfId="240" dataDxfId="239" headerRowBorderDxfId="237" tableBorderDxfId="238">
  <autoFilter ref="B29:F32" xr:uid="{21F781DC-071C-4F39-BC5F-D8B54BF119E3}"/>
  <sortState xmlns:xlrd2="http://schemas.microsoft.com/office/spreadsheetml/2017/richdata2" ref="B30:F31">
    <sortCondition ref="B29:B31"/>
  </sortState>
  <tableColumns count="5">
    <tableColumn id="1" xr3:uid="{B620E0A3-978F-48FD-811B-A2FE9A2A7158}" name="Test ID" dataDxfId="236"/>
    <tableColumn id="2" xr3:uid="{8BCAE36C-7840-4E67-B42B-A3BDEE0D243F}" name="Field" dataDxfId="235"/>
    <tableColumn id="3" xr3:uid="{06661F9C-77CB-4FDE-A5DC-21F459426B10}" name="Justification" dataDxfId="234"/>
    <tableColumn id="4" xr3:uid="{79F21EE9-69A3-40F0-A231-B3B3205358BD}" name="Number of Occurences" dataDxfId="233"/>
    <tableColumn id="5" xr3:uid="{F515B111-8F0E-42B4-8FFA-8B413642FAD6}" name="Justification State" dataDxfId="23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231" dataDxfId="230">
  <autoFilter ref="B2:U21" xr:uid="{98F99B18-A7DF-4D30-9CD9-BD3142DEEEDB}"/>
  <tableColumns count="20">
    <tableColumn id="1" xr3:uid="{150F1CE6-82E9-4AEF-ABBC-D678EFC231FA}" name="Case_Test" dataDxfId="229"/>
    <tableColumn id="2" xr3:uid="{F327A45E-0E38-4FD9-B815-F2B606DB276B}" name="test_id" dataDxfId="228"/>
    <tableColumn id="3" xr3:uid="{0A22115F-0938-4D19-9B70-2D4E104EBE15}" name="test_timestamp" dataDxfId="227"/>
    <tableColumn id="4" xr3:uid="{200A2A1B-DC85-4C5D-852F-CFE2DB539767}" name="query_driver_data_date_part" dataDxfId="226"/>
    <tableColumn id="5" xr3:uid="{CB2A7ED8-44B6-4F4E-A624-13242BFBA7F7}" name="test_number" dataDxfId="225"/>
    <tableColumn id="6" xr3:uid="{5345718C-D40A-4CF6-93F4-A8C3E6294F30}" name="score" dataDxfId="224"/>
    <tableColumn id="7" xr3:uid="{5B6E9E29-BCA4-4933-A52A-6FAC5926D3B9}" name="general_result" dataDxfId="223"/>
    <tableColumn id="8" xr3:uid="{5E8CB2AA-3058-4CF5-BD39-03087CC75AB7}" name="bank_id" dataDxfId="222"/>
    <tableColumn id="9" xr3:uid="{E459B9CE-CE18-4295-B006-08B84E0FFCA2}" name="contract_id" dataDxfId="221"/>
    <tableColumn id="10" xr3:uid="{B4C6EE25-0C4B-4740-B277-E14E857BC1AB}" name="order_number" dataDxfId="220"/>
    <tableColumn id="11" xr3:uid="{5492B3ED-09A8-4C97-A9F2-EC0472D0BB3C}" name="order_number_stage" dataDxfId="219"/>
    <tableColumn id="12" xr3:uid="{725F2EC4-037C-4D12-A5E3-FA9F2801C604}" name="transaction_type_code" dataDxfId="218"/>
    <tableColumn id="13" xr3:uid="{BBF4F1B4-D430-4153-BCF0-C98244D443D6}" name="transaction_date" dataDxfId="217"/>
    <tableColumn id="14" xr3:uid="{5182EADC-09FA-4BB6-86EA-D1490064C594}" name="amount" dataDxfId="216"/>
    <tableColumn id="15" xr3:uid="{C94EE8CF-5E90-4CF6-8CD4-51997E1DCD77}" name="financial_flow_indicator" dataDxfId="215"/>
    <tableColumn id="16" xr3:uid="{5CFE0E90-7385-45FD-9BC6-80FB5AB3DEC6}" name="currency_code" dataDxfId="214"/>
    <tableColumn id="17" xr3:uid="{FE4998D1-513B-448A-8929-7E35F1D79B1A}" name="transaction_execution_date" dataDxfId="213"/>
    <tableColumn id="18" xr3:uid="{D9A6ABC2-CE3A-4288-B74C-6B39A454F7A1}" name="source_code" dataDxfId="212"/>
    <tableColumn id="19" xr3:uid="{DA916E53-748F-4266-AAE2-BEA41DFE69F3}" name="data_date_part" dataDxfId="211"/>
    <tableColumn id="20" xr3:uid="{E9BCA295-4854-469D-B385-13B82C5383E7}" name="data_timestamp_part" dataDxfId="210"/>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7" totalsRowShown="0" headerRowDxfId="209" dataDxfId="208" tableBorderDxfId="207">
  <autoFilter ref="B29:F37" xr:uid="{9121FEBE-5052-4C33-8556-5048BDB999FA}"/>
  <sortState xmlns:xlrd2="http://schemas.microsoft.com/office/spreadsheetml/2017/richdata2" ref="B30:F36">
    <sortCondition ref="B29:B36"/>
  </sortState>
  <tableColumns count="5">
    <tableColumn id="1" xr3:uid="{632F9DD3-C2E8-4C25-970D-55559260FACA}" name="Test ID" dataDxfId="206"/>
    <tableColumn id="2" xr3:uid="{007A71A9-883B-4ECC-A490-FC95A2992F77}" name="Field" dataDxfId="205"/>
    <tableColumn id="3" xr3:uid="{404B2586-DB1E-4698-AB59-D383500C6B18}" name="Justification" dataDxfId="204"/>
    <tableColumn id="4" xr3:uid="{B3026D2B-8B46-410B-90DF-4E765F64EE1D}" name="Number of Occurences" dataDxfId="203"/>
    <tableColumn id="5" xr3:uid="{093ED586-E4FA-4ECD-BF74-8BF15AD8CD82}" name="Justification State" dataDxfId="202"/>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201" dataDxfId="200">
  <autoFilter ref="B2:V21" xr:uid="{98F99B18-A7DF-4D30-9CD9-BD3142DEEEDB}"/>
  <tableColumns count="21">
    <tableColumn id="1" xr3:uid="{DB9DEB41-507D-4213-8943-38E97CC5F134}" name="Case_Test" dataDxfId="199"/>
    <tableColumn id="2" xr3:uid="{8B1EC659-59D6-4D5C-90BB-2989BB1CA229}" name="test_id" dataDxfId="198"/>
    <tableColumn id="3" xr3:uid="{75E1924D-DE2E-4DEE-B77A-36E44120D0D1}" name="test_timestamp" dataDxfId="197"/>
    <tableColumn id="4" xr3:uid="{6A5050D2-1441-48C4-8B2E-B3D8C19D96E6}" name="query_driver_data_date_part" dataDxfId="196"/>
    <tableColumn id="5" xr3:uid="{9AEEFA90-8A26-4E0D-BE12-5DBD06F60C63}" name="test_number" dataDxfId="195"/>
    <tableColumn id="6" xr3:uid="{D2132B16-AB9B-4008-8259-0B43B791093E}" name="score" dataDxfId="194"/>
    <tableColumn id="7" xr3:uid="{8A856261-EE5D-4213-BCC9-496A26F692D5}" name="general_result" dataDxfId="193"/>
    <tableColumn id="8" xr3:uid="{B30A8488-19D0-4733-AE7A-58AB670FFC9E}" name="bank_id" dataDxfId="192"/>
    <tableColumn id="9" xr3:uid="{713F1D59-DDFC-4315-9A09-A135D967C82E}" name="contract_id" dataDxfId="191"/>
    <tableColumn id="10" xr3:uid="{1AE63236-6D3B-4E3C-A926-AB36A753E46A}" name="order_number" dataDxfId="190"/>
    <tableColumn id="11" xr3:uid="{753B6E17-CEFB-49A9-B8CF-6E56B3175CBC}" name="order_number_stage" dataDxfId="189"/>
    <tableColumn id="12" xr3:uid="{18098FA1-1580-4822-B794-05101D55C4EB}" name="transaction_execution_date" dataDxfId="188"/>
    <tableColumn id="22" xr3:uid="{DB7E96E5-9DDD-4076-8BDC-C19BDDE4A2F8}" name="amount" dataDxfId="187"/>
    <tableColumn id="13" xr3:uid="{EB093913-F26D-45B9-A5F0-893FAFD5D2A0}" name="transaction_type_code" dataDxfId="186"/>
    <tableColumn id="14" xr3:uid="{BA1AB8B5-009C-452B-B202-DCFC35A8FDF2}" name="financial_flow_indicator" dataDxfId="185"/>
    <tableColumn id="15" xr3:uid="{8B3AD108-FD0A-43B3-B9C9-7E256E2654D7}" name="currency_code" dataDxfId="184"/>
    <tableColumn id="16" xr3:uid="{2A5E3B2C-CA57-49CC-AE1C-11E24B5060F0}" name="transaction_date" dataDxfId="183"/>
    <tableColumn id="17" xr3:uid="{FA8EFCB5-4319-459F-B92B-23A6E356CCAA}" name="description" dataDxfId="182"/>
    <tableColumn id="19" xr3:uid="{DB871489-8C12-4B1D-919C-0C4D9B033495}" name="source_code" dataDxfId="181"/>
    <tableColumn id="20" xr3:uid="{95EAE03E-BC94-477F-946A-35148BD037FD}" name="data_date_part" dataDxfId="180"/>
    <tableColumn id="21" xr3:uid="{C60761E3-D7D9-4CDD-A3E6-F96A4CAA5E0D}" name="data_timestamp_part" dataDxfId="17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178" dataDxfId="177" tableBorderDxfId="176">
  <autoFilter ref="B30:F32" xr:uid="{9121FEBE-5052-4C33-8556-5048BDB999FA}"/>
  <tableColumns count="5">
    <tableColumn id="1" xr3:uid="{EC0B0645-1909-49AF-AAA1-E8866D7EC8E2}" name="Test ID" dataDxfId="175"/>
    <tableColumn id="2" xr3:uid="{BF2EA3B4-EFEE-42DC-AE90-8CBCAAF9B009}" name="Field" dataDxfId="174"/>
    <tableColumn id="3" xr3:uid="{5BE4A0CC-0FEE-4F6E-A035-B3541958236D}" name="Justification" dataDxfId="173"/>
    <tableColumn id="4" xr3:uid="{9C96D9D5-0751-4F87-ACC2-EAE38593185E}" name="Number of Occurences" dataDxfId="172"/>
    <tableColumn id="5" xr3:uid="{D7A794D6-2603-414E-AF0E-9F95E06A4963}" name="Justification State" dataDxfId="171"/>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170" dataDxfId="169">
  <autoFilter ref="B2:AD21" xr:uid="{98F99B18-A7DF-4D30-9CD9-BD3142DEEEDB}"/>
  <tableColumns count="29">
    <tableColumn id="1" xr3:uid="{0BF13A4F-5F5D-4C79-9CBE-79CD9C9F673B}" name="Case_Test" dataDxfId="168"/>
    <tableColumn id="2" xr3:uid="{702EFC72-B820-44C5-A112-307E01781909}" name="test_id" dataDxfId="167"/>
    <tableColumn id="3" xr3:uid="{1BD251D4-3942-4E50-988C-06F2C8F172AE}" name="test_timestamp" dataDxfId="166"/>
    <tableColumn id="4" xr3:uid="{FA83CC27-CCEA-453C-BEF7-7A97C9DA0003}" name="query_driver_data_date_part" dataDxfId="165"/>
    <tableColumn id="5" xr3:uid="{E73E24A0-7030-4193-9E42-7D2873A42FCE}" name="test_number" dataDxfId="164"/>
    <tableColumn id="6" xr3:uid="{8CD9A7A2-30E6-41D1-B310-38ED2E70A2FC}" name="score" dataDxfId="163"/>
    <tableColumn id="7" xr3:uid="{CAB1ECE3-AAD5-45A6-9CBF-F7DB92DE71A6}" name="general_result" dataDxfId="162"/>
    <tableColumn id="8" xr3:uid="{F45697FD-C480-4C96-AFFA-9627310D49EB}" name="bank_id" dataDxfId="161"/>
    <tableColumn id="9" xr3:uid="{4B0EB268-93C5-425D-BEE7-A70789BDF797}" name="contract_id" dataDxfId="160"/>
    <tableColumn id="10" xr3:uid="{171C5CF7-CF15-4383-BF3C-EF4EE744AEE4}" name="order_number" dataDxfId="159"/>
    <tableColumn id="11" xr3:uid="{F81D341B-8BE7-4A0E-A206-F124DA9DC553}" name="order_number_stage" dataDxfId="158"/>
    <tableColumn id="30" xr3:uid="{E96AD31F-0D99-43B9-958D-14304ED5DE04}" name="transaction_type_code" dataDxfId="157"/>
    <tableColumn id="25" xr3:uid="{BED0A457-AA19-4F7A-9110-C27BE95DB39F}" name="transaction_date" dataDxfId="156"/>
    <tableColumn id="24" xr3:uid="{961419AA-BFF6-4431-B7DF-A6FCEB565DC7}" name="amount" dataDxfId="155"/>
    <tableColumn id="12" xr3:uid="{362D7200-4FC2-42B1-B256-4EB88E6CB85D}" name="process_bank_id" dataDxfId="154"/>
    <tableColumn id="13" xr3:uid="{76627027-09E4-4CCB-8AF6-6E86CBC030A1}" name="process_id" dataDxfId="153"/>
    <tableColumn id="15" xr3:uid="{CBC6FB51-83F3-41F0-92AB-FB83687F6CBE}" name="financial_flow_indicator" dataDxfId="152"/>
    <tableColumn id="16" xr3:uid="{88934195-1A5C-4203-861F-3347907B2A2F}" name="party_id" dataDxfId="151"/>
    <tableColumn id="17" xr3:uid="{1C7D138E-2A09-44C1-99D8-6E70097C8E84}" name="party_current_account_bank_id" dataDxfId="150"/>
    <tableColumn id="18" xr3:uid="{403C77E6-0974-447A-B5A9-420FD15F0F89}" name="party_cur_account_contract_id" dataDxfId="149"/>
    <tableColumn id="19" xr3:uid="{58D59EB2-9B27-4AE0-AF44-1376D47F7A49}" name="party_current_account_iban" dataDxfId="148"/>
    <tableColumn id="20" xr3:uid="{C62911A6-20E8-4C10-9B96-B19135DC0831}" name="chargeback_indicator" dataDxfId="147"/>
    <tableColumn id="21" xr3:uid="{221A7D3B-CFA4-41E9-B24C-E8CF0170B08C}" name="billing_indicator" dataDxfId="146"/>
    <tableColumn id="22" xr3:uid="{671B114D-4DDB-4BC4-B930-7A5E9EC637ED}" name="currency_code" dataDxfId="145"/>
    <tableColumn id="23" xr3:uid="{7C86CC56-3E26-4217-8366-6DA55EF97B50}" name="transaction_execution_date" dataDxfId="144"/>
    <tableColumn id="26" xr3:uid="{38949D8C-E9FF-46A0-898A-FFD1343FE644}" name="billing_document_id" dataDxfId="143"/>
    <tableColumn id="27" xr3:uid="{B2D76DD5-980F-4861-A2B4-6B55AB9D0706}" name="source_code" dataDxfId="142"/>
    <tableColumn id="28" xr3:uid="{01A3CAEA-A672-4CB7-AEE9-644B7DF2BF88}" name="data_date_part" dataDxfId="141"/>
    <tableColumn id="29" xr3:uid="{9B4B0F8C-1891-45ED-B585-64327D94CE53}" name="data_timestamp_part" dataDxfId="140"/>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49" totalsRowShown="0" headerRowDxfId="139" dataDxfId="138" tableBorderDxfId="137">
  <autoFilter ref="B30:F49" xr:uid="{9121FEBE-5052-4C33-8556-5048BDB999FA}"/>
  <sortState xmlns:xlrd2="http://schemas.microsoft.com/office/spreadsheetml/2017/richdata2" ref="B31:F49">
    <sortCondition ref="B30:B49"/>
  </sortState>
  <tableColumns count="5">
    <tableColumn id="1" xr3:uid="{B68BC358-6263-4B3D-A4CC-169AE543E9C1}" name="Test ID" dataDxfId="136"/>
    <tableColumn id="2" xr3:uid="{FD64B458-DB53-4873-BC58-34365FB74091}" name="Field" dataDxfId="135"/>
    <tableColumn id="3" xr3:uid="{3A7579B9-0DD8-4AA5-9688-1EBEAC3DC8CC}" name="Justification" dataDxfId="134"/>
    <tableColumn id="4" xr3:uid="{7541CEA6-1484-4CDC-AF7F-C7EE0E131E35}" name="Number of Occurences" dataDxfId="133"/>
    <tableColumn id="5" xr3:uid="{3A673375-5320-48F2-B13A-D75E04A9870F}" name="Justification State" dataDxfId="132"/>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131" dataDxfId="130">
  <autoFilter ref="B2:AI21" xr:uid="{98F99B18-A7DF-4D30-9CD9-BD3142DEEEDB}"/>
  <tableColumns count="34">
    <tableColumn id="1" xr3:uid="{390161C3-F15A-4C90-9848-32480241474F}" name="Case_Test" dataDxfId="129"/>
    <tableColumn id="2" xr3:uid="{282BA6DD-5914-4C33-8BE2-F939910D3EDE}" name="test_id" dataDxfId="128"/>
    <tableColumn id="3" xr3:uid="{4DF92EB7-2CD3-42B1-BA73-0E1239D5DE08}" name="test_timestamp" dataDxfId="127"/>
    <tableColumn id="4" xr3:uid="{FF190206-57D9-4E56-A98F-0314D03B29C7}" name="query_driver_data_date_part" dataDxfId="126"/>
    <tableColumn id="5" xr3:uid="{261F69D0-9561-4F60-BA85-ABC373B28B99}" name="test_number" dataDxfId="125"/>
    <tableColumn id="6" xr3:uid="{52922647-0CD8-4A91-A96D-9E769068039A}" name="score" dataDxfId="124"/>
    <tableColumn id="7" xr3:uid="{66966B0A-80EB-4A52-ACFB-F84428E2CAFC}" name="general_result" dataDxfId="123"/>
    <tableColumn id="8" xr3:uid="{FF5218F6-0D3D-47B7-B2AA-CBBEC1B651B1}" name="bank_id" dataDxfId="122"/>
    <tableColumn id="9" xr3:uid="{2183F0D9-C3A0-4BF8-BF0F-972E5E123755}" name="contract_id" dataDxfId="121"/>
    <tableColumn id="10" xr3:uid="{B7405AE8-DF5F-402A-95F9-B318605682F7}" name="order_number" dataDxfId="120"/>
    <tableColumn id="11" xr3:uid="{EDD169E1-1570-47FE-9EE1-571FA04A1691}" name="order_number_stage" dataDxfId="119"/>
    <tableColumn id="12" xr3:uid="{6441117B-C2E0-4326-9251-3C78B0D585B8}" name="transaction_type_code" dataDxfId="118"/>
    <tableColumn id="13" xr3:uid="{D7DB84FE-39E5-4478-B22A-F86AB90BCE1A}" name="financial_flow_indicator" dataDxfId="117"/>
    <tableColumn id="14" xr3:uid="{78461BC1-F8A3-4B45-82DD-FC92F3CB7CD9}" name="card_number" dataDxfId="116"/>
    <tableColumn id="15" xr3:uid="{9E140D28-E1F0-4FAC-AC55-B8791AD52FA4}" name="beneficiary_order_number" dataDxfId="115"/>
    <tableColumn id="16" xr3:uid="{C193CBD7-EA31-4EEE-8826-38C98C7E7F52}" name="recurring_transaction_indicator" dataDxfId="114"/>
    <tableColumn id="17" xr3:uid="{4741E761-C15B-4B4C-8ECD-D7135ACACFB3}" name="chargeback_indicator" dataDxfId="113"/>
    <tableColumn id="18" xr3:uid="{A7F45A4E-14AD-44B6-86B7-CD114E2B7BBF}" name="card_presence_indicator" dataDxfId="112"/>
    <tableColumn id="19" xr3:uid="{948E0054-B43E-4C76-9276-998D20DFD777}" name="authentication_type_code" dataDxfId="111"/>
    <tableColumn id="20" xr3:uid="{4CCEC06A-BDFB-484A-BB42-69A5D56FF0F6}" name="original_currency_code" dataDxfId="110"/>
    <tableColumn id="21" xr3:uid="{EC5CC640-97D8-4B5E-B4CD-15392B4E43DD}" name="currency_code" dataDxfId="109"/>
    <tableColumn id="22" xr3:uid="{8A5EC714-197B-4B36-BDC7-B1AC15C1C2C1}" name="transaction_date" dataDxfId="108"/>
    <tableColumn id="23" xr3:uid="{3722A01E-18A7-4B94-8945-926A08E4F914}" name="transaction_execution_date" dataDxfId="107"/>
    <tableColumn id="24" xr3:uid="{6F9F5A0A-2E88-495E-9489-0F6D6397E118}" name="original_amount" dataDxfId="106"/>
    <tableColumn id="25" xr3:uid="{6A6AF8EC-B533-469A-9D49-1490E0998E5B}" name="amount" dataDxfId="105"/>
    <tableColumn id="26" xr3:uid="{5D4582D1-75F6-4B2D-8E41-A73A721F4A10}" name="terminal_organization_id" dataDxfId="104"/>
    <tableColumn id="27" xr3:uid="{832BF45C-10B8-4762-8F54-F4B3986599E7}" name="terminal_description" dataDxfId="103"/>
    <tableColumn id="28" xr3:uid="{9FA0A8C6-C1E4-4182-AA63-BE8F59E65305}" name="atm_terminal_id" dataDxfId="102"/>
    <tableColumn id="29" xr3:uid="{48108370-E9F5-4478-8884-E8F867B158D2}" name="pos_terminal_id" dataDxfId="101"/>
    <tableColumn id="30" xr3:uid="{D8D5C23C-CB82-446D-9C61-B67BF497D648}" name="merchant_id" dataDxfId="100"/>
    <tableColumn id="31" xr3:uid="{F29A1F1F-F3CC-4C03-9795-25FC34952847}" name="merchant_type_code" dataDxfId="99"/>
    <tableColumn id="32" xr3:uid="{2A3519D8-D43E-438F-AE9A-F8E02E9036EA}" name="source_code" dataDxfId="98"/>
    <tableColumn id="33" xr3:uid="{007BCB4F-D149-4CE4-996A-67FABD0142A6}" name="data_date_part" dataDxfId="97"/>
    <tableColumn id="34" xr3:uid="{ACCA8722-FE13-4057-B234-327C0A2C3CFF}" name="data_timestamp_part" dataDxfId="96"/>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95" dataDxfId="94" tableBorderDxfId="93">
  <autoFilter ref="B30:F35" xr:uid="{9121FEBE-5052-4C33-8556-5048BDB999FA}"/>
  <sortState xmlns:xlrd2="http://schemas.microsoft.com/office/spreadsheetml/2017/richdata2" ref="B31:F32">
    <sortCondition ref="B30:B32"/>
  </sortState>
  <tableColumns count="5">
    <tableColumn id="1" xr3:uid="{00FA21F0-81BF-430D-9BBE-DF03FD47FFB3}" name="Test ID" dataDxfId="92"/>
    <tableColumn id="2" xr3:uid="{5BD32E6B-2B9F-4BAF-9E99-B673171FA1CD}" name="Field" dataDxfId="91"/>
    <tableColumn id="3" xr3:uid="{84B220B6-2871-404E-8CEB-BB0F71663C2F}" name="Justification" dataDxfId="90"/>
    <tableColumn id="4" xr3:uid="{F5912715-2C26-43E9-8229-AF5522556751}" name="Number of Occurences" dataDxfId="89"/>
    <tableColumn id="5" xr3:uid="{082D5718-CD1A-4DFA-B8ED-D4280E934785}" name="Justification State" dataDxfId="88"/>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87" dataDxfId="86">
  <autoFilter ref="B2:AI21" xr:uid="{98F99B18-A7DF-4D30-9CD9-BD3142DEEEDB}"/>
  <tableColumns count="34">
    <tableColumn id="1" xr3:uid="{32AC2FAA-8B3D-41C0-B535-9912F1D4F696}" name="Case_Test" dataDxfId="85"/>
    <tableColumn id="2" xr3:uid="{2968C1F7-F10E-47F4-8D52-7876F88D66C8}" name="test_id" dataDxfId="84"/>
    <tableColumn id="3" xr3:uid="{7612E1DE-78D5-405C-872D-BB036273C469}" name="test_timestamp" dataDxfId="83"/>
    <tableColumn id="4" xr3:uid="{06AC1904-F29C-40A4-B4E7-58AAF0742512}" name="query_driver_data_date_part" dataDxfId="82"/>
    <tableColumn id="5" xr3:uid="{5C0E55F4-36F1-48A5-AC4E-B3760CC50938}" name="test_number" dataDxfId="81"/>
    <tableColumn id="6" xr3:uid="{C8A81828-370E-4376-A42D-AAAE755EFC50}" name="score" dataDxfId="80"/>
    <tableColumn id="7" xr3:uid="{0F541DA5-7164-4A98-AEBF-B91931AE1858}" name="general_result" dataDxfId="79"/>
    <tableColumn id="8" xr3:uid="{C33FB17C-D906-4CDA-AFB9-290D3ED94085}" name="bank_id" dataDxfId="78"/>
    <tableColumn id="9" xr3:uid="{1B2AE918-D894-4FC3-B366-27A7D006ACF9}" name="contract_id" dataDxfId="77"/>
    <tableColumn id="10" xr3:uid="{F4293476-89CB-479C-B46A-6606AFF7E635}" name="order_number" dataDxfId="76"/>
    <tableColumn id="11" xr3:uid="{6235D6FF-31A2-4331-9242-DB0F2D41AFB3}" name="order_number_stage" dataDxfId="75"/>
    <tableColumn id="12" xr3:uid="{65CCC869-2473-4101-A968-164A6719E55B}" name="transaction_type_code" dataDxfId="74"/>
    <tableColumn id="13" xr3:uid="{D4DD383B-A628-4813-ADDB-FD21792BA614}" name="financial_flow_indicator" dataDxfId="73"/>
    <tableColumn id="14" xr3:uid="{B400A6C3-2DE4-40BA-8653-5E12619489AB}" name="card_number" dataDxfId="72"/>
    <tableColumn id="15" xr3:uid="{4D934146-4002-41A2-A710-6CFEE0DBFD01}" name="beneficiary_order_number" dataDxfId="71"/>
    <tableColumn id="16" xr3:uid="{B186ACF8-CBE9-4416-BFC1-4256F0E01979}" name="recurring_transaction_indicator" dataDxfId="70"/>
    <tableColumn id="17" xr3:uid="{D65A18FD-EB4B-4859-8BED-1048BEC752C9}" name="chargeback_indicator" dataDxfId="69"/>
    <tableColumn id="18" xr3:uid="{996FB65C-F2C7-49BA-A6CA-C16ED18ADAC2}" name="card_presence_indicator" dataDxfId="68"/>
    <tableColumn id="19" xr3:uid="{A759515C-63FE-4BB3-9258-C0FAFB438E3F}" name="authentication_type_code" dataDxfId="67"/>
    <tableColumn id="20" xr3:uid="{97570BCC-A682-4A37-83BD-DED41BE2FA77}" name="original_currency_code" dataDxfId="66"/>
    <tableColumn id="21" xr3:uid="{C44C6859-6434-451D-B907-FF81527DBB62}" name="currency_code" dataDxfId="65"/>
    <tableColumn id="22" xr3:uid="{DCEF34AE-F5CA-466B-933C-D2A9DC116868}" name="transaction_date" dataDxfId="64"/>
    <tableColumn id="23" xr3:uid="{4D6F992B-BF96-4E69-AAB6-0AEEB5CA4E2F}" name="transaction_execution_date" dataDxfId="63"/>
    <tableColumn id="24" xr3:uid="{4A57D397-0C32-46CD-857B-6C230B7CE800}" name="original_amount" dataDxfId="62"/>
    <tableColumn id="25" xr3:uid="{28E3D694-62B3-4C7E-BB24-5DD188408251}" name="amount" dataDxfId="61"/>
    <tableColumn id="26" xr3:uid="{8DFB6961-FECA-4C2F-853B-C703B9499481}" name="terminal_organization_id" dataDxfId="60"/>
    <tableColumn id="27" xr3:uid="{9F1F1EF7-FCE3-495B-887B-AB5E2EA55303}" name="terminal_description" dataDxfId="59"/>
    <tableColumn id="28" xr3:uid="{25DDB822-CB99-498A-8ADB-71C22E5FD9C5}" name="atm_terminal_id" dataDxfId="58"/>
    <tableColumn id="29" xr3:uid="{95B09128-CB4F-4E57-A76B-564901451D61}" name="pos_terminal_id" dataDxfId="57"/>
    <tableColumn id="30" xr3:uid="{4EA39686-4FE0-4ABE-83F6-1CBC10340B44}" name="merchant_id" dataDxfId="56"/>
    <tableColumn id="31" xr3:uid="{F14DF3BB-1D0B-4A50-9ADD-129649D5FE02}" name="merchant_type_code" dataDxfId="55"/>
    <tableColumn id="32" xr3:uid="{7A899050-ED66-42CB-B562-E2CD0187393F}" name="source_code" dataDxfId="54"/>
    <tableColumn id="33" xr3:uid="{A70588D6-0CB7-479B-8CFA-301F3C530760}" name="data_date_part" dataDxfId="53"/>
    <tableColumn id="34" xr3:uid="{DFD7C820-DB13-4476-A9E4-2614E4DB38C2}" name="data_timestamp_part" dataDxfId="5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51" dataDxfId="50" tableBorderDxfId="49">
  <autoFilter ref="B30:F37" xr:uid="{9121FEBE-5052-4C33-8556-5048BDB999FA}"/>
  <sortState xmlns:xlrd2="http://schemas.microsoft.com/office/spreadsheetml/2017/richdata2" ref="B31:F32">
    <sortCondition ref="B30:B32"/>
  </sortState>
  <tableColumns count="5">
    <tableColumn id="1" xr3:uid="{59F71672-58D0-4647-A6EF-7BCCE0F068CB}" name="Test ID" dataDxfId="48"/>
    <tableColumn id="2" xr3:uid="{29E9C52E-652C-46B2-98A7-F396EDA13B56}" name="Field" dataDxfId="47"/>
    <tableColumn id="3" xr3:uid="{B4A99768-C287-44F6-AF17-7376C9028354}" name="Justification" dataDxfId="46"/>
    <tableColumn id="4" xr3:uid="{564F8B54-E4BD-425E-B841-7F0B2773D3B2}" name="Number of Occurences" dataDxfId="45"/>
    <tableColumn id="5" xr3:uid="{7F7B9DC9-724B-4D23-A300-52A4565A36CB}" name="Justification State" dataDxfId="4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43" dataDxfId="42">
  <autoFilter ref="B2:AI21" xr:uid="{98F99B18-A7DF-4D30-9CD9-BD3142DEEEDB}"/>
  <tableColumns count="34">
    <tableColumn id="1" xr3:uid="{55AC8386-227A-4913-944D-0102C310CCBD}" name="Case_Test" dataDxfId="41"/>
    <tableColumn id="2" xr3:uid="{76D2AF99-9CB8-4618-BCB7-E5B997D7E43E}" name="test_id" dataDxfId="40"/>
    <tableColumn id="3" xr3:uid="{ED700BF7-A1C5-4562-B2EE-3F7C1D47C69E}" name="test_timestamp" dataDxfId="39"/>
    <tableColumn id="4" xr3:uid="{54516FA7-29CE-4717-81F0-6EFBDA6111F0}" name="query_driver_data_date_part" dataDxfId="38"/>
    <tableColumn id="5" xr3:uid="{BC90141C-9D24-496A-8E6A-D471C32C369E}" name="test_number" dataDxfId="37"/>
    <tableColumn id="6" xr3:uid="{B6B68227-72B9-4BDC-9A33-053D6705CB4A}" name="score" dataDxfId="36"/>
    <tableColumn id="7" xr3:uid="{F42CD6E4-96B5-42C7-8DD9-663905A2604D}" name="general_result" dataDxfId="35"/>
    <tableColumn id="8" xr3:uid="{259E53EC-DF38-40B7-AF38-32C02EB0FA98}" name="bank_id" dataDxfId="34"/>
    <tableColumn id="9" xr3:uid="{BF564BA7-59AF-41A6-9E24-31CCD959BD69}" name="contract_id" dataDxfId="33"/>
    <tableColumn id="10" xr3:uid="{B30BB6C4-AFC9-49E9-8278-066D0BD20EDA}" name="order_number" dataDxfId="32"/>
    <tableColumn id="11" xr3:uid="{E341ED0F-1C67-411E-B594-DEAFEB43FF98}" name="order_number_stage" dataDxfId="31"/>
    <tableColumn id="12" xr3:uid="{C58B5E8D-088A-47AD-8CD3-6CDEBA5572BD}" name="transaction_type_code" dataDxfId="30"/>
    <tableColumn id="34" xr3:uid="{C8A540FC-1976-44E3-B03F-63AFDEE19CAC}" name="financial_flow_indicator" dataDxfId="29"/>
    <tableColumn id="13" xr3:uid="{EB196534-D1C4-4648-B5A6-9928DFDC8411}" name="card_number" dataDxfId="28"/>
    <tableColumn id="14" xr3:uid="{005AC1B1-A041-4089-9FD6-7E6DEBCBDF4F}" name="beneficiary_order_number" dataDxfId="27"/>
    <tableColumn id="15" xr3:uid="{560838C2-8136-4CD3-9243-C6489C68D8F1}" name="recurring_transaction_indicator" dataDxfId="26"/>
    <tableColumn id="16" xr3:uid="{C5221579-8534-4F1B-BD60-F2F0E587A1AF}" name="chargeback_indicator" dataDxfId="25"/>
    <tableColumn id="17" xr3:uid="{1FF6D795-0B06-4A37-A451-42B88EE9DC88}" name="card_presence_indicator" dataDxfId="24"/>
    <tableColumn id="18" xr3:uid="{0A9FFCC8-9B12-4FE3-A6AF-3FF618B68760}" name="authentication_type_code" dataDxfId="23"/>
    <tableColumn id="19" xr3:uid="{ED31327C-EC8B-4936-847B-0115A60629D1}" name="original_currency_code" dataDxfId="22"/>
    <tableColumn id="20" xr3:uid="{5190705C-2485-42E7-818D-B09B659F65C6}" name="currency_code" dataDxfId="21"/>
    <tableColumn id="21" xr3:uid="{8E4F7046-1DD9-4E18-94EB-20283492C0D8}" name="transaction_date" dataDxfId="20"/>
    <tableColumn id="22" xr3:uid="{E8796625-D1CD-4ACC-A692-AEC5B70122EF}" name="transaction_execution_date" dataDxfId="19"/>
    <tableColumn id="23" xr3:uid="{EF2911AA-50E0-492A-AD7A-B346164FD465}" name="original_amount" dataDxfId="18"/>
    <tableColumn id="24" xr3:uid="{D0DC8BF4-A5BA-421F-A34C-B456C58006BD}" name="amount" dataDxfId="17"/>
    <tableColumn id="25" xr3:uid="{CA5793C7-2D40-4936-91E9-EE53E8E03AFC}" name="terminal_organization_id" dataDxfId="16"/>
    <tableColumn id="26" xr3:uid="{9C8C2ED3-B91E-4BA0-A6C5-9ACD07926E5E}" name="terminal_description" dataDxfId="15"/>
    <tableColumn id="27" xr3:uid="{14794463-73A4-402D-807A-7A80848BE091}" name="atm_terminal_id" dataDxfId="14"/>
    <tableColumn id="28" xr3:uid="{8ADD8A71-E28E-48C1-8894-2F9C8D73A6CC}" name="pos_terminal_id" dataDxfId="13"/>
    <tableColumn id="29" xr3:uid="{2AC11CCC-1EF6-4955-BE2E-166A6998FE2C}" name="merchant_id" dataDxfId="12"/>
    <tableColumn id="30" xr3:uid="{23D6BDD5-0E88-4B3D-9328-3F40E390D299}" name="merchant_type_code" dataDxfId="11"/>
    <tableColumn id="31" xr3:uid="{05DA1B5C-66E6-4512-9F68-6C9EFD04A7B1}" name="source_code" dataDxfId="10"/>
    <tableColumn id="32" xr3:uid="{67934C25-1550-4196-8E8A-04EB523F5180}" name="data_date_part" dataDxfId="9"/>
    <tableColumn id="33" xr3:uid="{61854520-06AA-4B35-9728-0C71112CA6BD}" name="data_timestamp_part" dataDxfId="8"/>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40" totalsRowShown="0" headerRowDxfId="7" dataDxfId="6" tableBorderDxfId="5">
  <autoFilter ref="B30:F40" xr:uid="{9121FEBE-5052-4C33-8556-5048BDB999FA}"/>
  <sortState xmlns:xlrd2="http://schemas.microsoft.com/office/spreadsheetml/2017/richdata2" ref="B31:F32">
    <sortCondition ref="B30:B32"/>
  </sortState>
  <tableColumns count="5">
    <tableColumn id="1" xr3:uid="{209084B5-002E-45F4-8757-72035F78901C}" name="Test ID" dataDxfId="4"/>
    <tableColumn id="2" xr3:uid="{D469BEFF-2169-43A8-8C49-57803B36E203}" name="Field" dataDxfId="3"/>
    <tableColumn id="3" xr3:uid="{C0E33CAF-9582-4DA5-945B-4766434DC000}" name="Justification" dataDxfId="2"/>
    <tableColumn id="4" xr3:uid="{387EBDCC-4D81-4879-A892-001BAE7F8340}" name="Number of Occurences" dataDxfId="1"/>
    <tableColumn id="5" xr3:uid="{F79DDA3B-476A-4DC5-9400-F2F5759EB320}"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4" dT="2024-03-19T09:03:34.14" personId="{48FB06A4-BB0E-45C3-A382-6956CD7F9710}" id="{4C21ABAE-CC46-4896-B3D3-7AE1CED1501C}">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51" t="s">
        <v>530</v>
      </c>
      <c r="B2" s="39" t="s">
        <v>531</v>
      </c>
      <c r="C2" s="30"/>
      <c r="D2" s="41"/>
      <c r="E2" s="30" t="s">
        <v>532</v>
      </c>
      <c r="F2" s="41" t="s">
        <v>533</v>
      </c>
    </row>
    <row r="3" spans="1:7" ht="30">
      <c r="A3" s="252"/>
      <c r="B3" s="40" t="s">
        <v>534</v>
      </c>
      <c r="C3" s="34" t="s">
        <v>535</v>
      </c>
      <c r="D3" s="34" t="s">
        <v>536</v>
      </c>
      <c r="E3" s="34" t="s">
        <v>537</v>
      </c>
      <c r="F3" s="34" t="s">
        <v>533</v>
      </c>
    </row>
    <row r="4" spans="1:7" ht="30">
      <c r="A4" s="253"/>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51" t="s">
        <v>558</v>
      </c>
      <c r="B16" s="251" t="s">
        <v>559</v>
      </c>
      <c r="C16" s="34" t="s">
        <v>560</v>
      </c>
      <c r="D16" s="34" t="s">
        <v>176</v>
      </c>
      <c r="E16" s="34" t="s">
        <v>561</v>
      </c>
      <c r="F16" s="34"/>
    </row>
    <row r="17" spans="1:6">
      <c r="A17" s="252"/>
      <c r="B17" s="252"/>
      <c r="C17" s="34" t="s">
        <v>562</v>
      </c>
      <c r="D17" s="34" t="s">
        <v>176</v>
      </c>
      <c r="E17" s="34" t="s">
        <v>563</v>
      </c>
      <c r="F17" s="34"/>
    </row>
    <row r="18" spans="1:6">
      <c r="A18" s="252"/>
      <c r="B18" s="252"/>
      <c r="C18" s="34" t="s">
        <v>564</v>
      </c>
      <c r="D18" s="34" t="s">
        <v>176</v>
      </c>
      <c r="E18" s="34" t="s">
        <v>565</v>
      </c>
      <c r="F18" s="34"/>
    </row>
    <row r="19" spans="1:6">
      <c r="A19" s="253"/>
      <c r="B19" s="253"/>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54" t="s">
        <v>530</v>
      </c>
      <c r="B2" s="38" t="s">
        <v>531</v>
      </c>
      <c r="C2" s="28"/>
      <c r="D2" s="23"/>
      <c r="E2" s="28" t="s">
        <v>532</v>
      </c>
      <c r="F2" s="23" t="s">
        <v>533</v>
      </c>
    </row>
    <row r="3" spans="1:6">
      <c r="A3" s="255"/>
      <c r="B3" s="25" t="s">
        <v>534</v>
      </c>
      <c r="C3" s="23" t="s">
        <v>535</v>
      </c>
      <c r="D3" s="23" t="s">
        <v>536</v>
      </c>
      <c r="E3" s="23" t="s">
        <v>537</v>
      </c>
      <c r="F3" s="23" t="s">
        <v>533</v>
      </c>
    </row>
    <row r="4" spans="1:6">
      <c r="A4" s="256"/>
      <c r="B4" t="s">
        <v>538</v>
      </c>
      <c r="C4" s="34" t="s">
        <v>539</v>
      </c>
      <c r="D4" s="23"/>
      <c r="E4" s="34" t="s">
        <v>540</v>
      </c>
      <c r="F4" s="23" t="s">
        <v>533</v>
      </c>
    </row>
    <row r="5" spans="1:6">
      <c r="A5" s="23"/>
      <c r="B5" s="25"/>
      <c r="C5" s="23"/>
      <c r="D5" s="23"/>
      <c r="E5" s="23"/>
      <c r="F5" s="23"/>
    </row>
    <row r="6" spans="1:6">
      <c r="A6" s="257" t="s">
        <v>573</v>
      </c>
      <c r="B6" s="23"/>
      <c r="C6" s="23" t="s">
        <v>574</v>
      </c>
      <c r="D6" s="23"/>
      <c r="E6" s="23" t="s">
        <v>575</v>
      </c>
      <c r="F6" s="25"/>
    </row>
    <row r="7" spans="1:6">
      <c r="A7" s="257"/>
      <c r="B7" s="23"/>
      <c r="C7" s="23" t="s">
        <v>576</v>
      </c>
      <c r="D7" s="23"/>
      <c r="E7" s="23" t="s">
        <v>577</v>
      </c>
      <c r="F7" s="25"/>
    </row>
    <row r="8" spans="1:6">
      <c r="A8" s="257"/>
      <c r="B8" s="23"/>
      <c r="C8" s="23" t="s">
        <v>578</v>
      </c>
      <c r="D8" s="23"/>
      <c r="E8" s="23" t="s">
        <v>579</v>
      </c>
    </row>
    <row r="9" spans="1:6">
      <c r="A9" s="257"/>
      <c r="B9" s="23"/>
      <c r="C9" s="23" t="s">
        <v>580</v>
      </c>
      <c r="D9" s="23"/>
      <c r="E9" s="23" t="s">
        <v>581</v>
      </c>
    </row>
    <row r="10" spans="1:6">
      <c r="A10" s="257"/>
      <c r="B10" s="23"/>
      <c r="C10" s="23" t="s">
        <v>582</v>
      </c>
      <c r="D10" s="23"/>
      <c r="E10" s="23" t="s">
        <v>583</v>
      </c>
    </row>
    <row r="11" spans="1:6">
      <c r="A11" s="257"/>
      <c r="B11" s="23"/>
      <c r="C11" s="23" t="s">
        <v>584</v>
      </c>
      <c r="D11" s="23"/>
      <c r="E11" s="23" t="s">
        <v>585</v>
      </c>
    </row>
    <row r="12" spans="1:6">
      <c r="A12" s="257"/>
      <c r="B12" s="23"/>
      <c r="C12" s="23" t="s">
        <v>586</v>
      </c>
      <c r="D12" s="23"/>
      <c r="E12" s="23" t="s">
        <v>587</v>
      </c>
    </row>
    <row r="13" spans="1:6">
      <c r="A13" s="257"/>
      <c r="B13" s="23"/>
      <c r="C13" s="23" t="s">
        <v>588</v>
      </c>
      <c r="D13" s="23"/>
      <c r="E13" s="23" t="s">
        <v>589</v>
      </c>
    </row>
    <row r="14" spans="1:6">
      <c r="A14" s="257"/>
      <c r="B14" s="23"/>
      <c r="C14" s="23" t="s">
        <v>590</v>
      </c>
      <c r="D14" s="23"/>
      <c r="E14" s="23" t="s">
        <v>591</v>
      </c>
    </row>
    <row r="15" spans="1:6">
      <c r="A15" s="257"/>
      <c r="B15" s="23"/>
      <c r="C15" s="23" t="s">
        <v>592</v>
      </c>
      <c r="D15" s="23"/>
      <c r="E15" s="23" t="s">
        <v>593</v>
      </c>
    </row>
    <row r="16" spans="1:6">
      <c r="A16" s="257"/>
      <c r="B16" s="23"/>
      <c r="C16" s="23" t="s">
        <v>594</v>
      </c>
      <c r="D16" s="23"/>
      <c r="E16" s="23" t="s">
        <v>595</v>
      </c>
    </row>
    <row r="17" spans="1:5">
      <c r="A17" s="257"/>
      <c r="B17" s="23"/>
      <c r="C17" s="23" t="s">
        <v>596</v>
      </c>
      <c r="D17" s="23"/>
      <c r="E17" s="23" t="s">
        <v>597</v>
      </c>
    </row>
    <row r="18" spans="1:5">
      <c r="A18" s="257"/>
      <c r="B18" s="23"/>
      <c r="C18" s="23" t="s">
        <v>598</v>
      </c>
      <c r="D18" s="23"/>
      <c r="E18" s="23" t="s">
        <v>599</v>
      </c>
    </row>
    <row r="19" spans="1:5">
      <c r="A19" s="257"/>
      <c r="B19" s="23"/>
      <c r="C19" s="23" t="s">
        <v>600</v>
      </c>
      <c r="D19" s="23"/>
      <c r="E19" s="23" t="s">
        <v>601</v>
      </c>
    </row>
    <row r="20" spans="1:5">
      <c r="A20" s="254" t="s">
        <v>602</v>
      </c>
      <c r="B20" s="23"/>
      <c r="C20" s="23" t="s">
        <v>603</v>
      </c>
      <c r="D20" s="23"/>
      <c r="E20" s="23" t="s">
        <v>604</v>
      </c>
    </row>
    <row r="21" spans="1:5">
      <c r="A21" s="255"/>
      <c r="B21" s="23"/>
      <c r="C21" s="23" t="s">
        <v>605</v>
      </c>
      <c r="D21" s="23"/>
      <c r="E21" s="23" t="s">
        <v>606</v>
      </c>
    </row>
    <row r="22" spans="1:5">
      <c r="A22" s="255"/>
      <c r="B22" s="23"/>
      <c r="C22" s="23" t="s">
        <v>607</v>
      </c>
      <c r="D22" s="23"/>
      <c r="E22" s="23" t="s">
        <v>608</v>
      </c>
    </row>
    <row r="23" spans="1:5">
      <c r="A23" s="255"/>
      <c r="B23" s="23"/>
      <c r="C23" s="23" t="s">
        <v>609</v>
      </c>
      <c r="D23" s="23"/>
      <c r="E23" s="23" t="s">
        <v>610</v>
      </c>
    </row>
    <row r="24" spans="1:5">
      <c r="A24" s="255"/>
      <c r="B24" s="23"/>
      <c r="C24" s="23" t="s">
        <v>611</v>
      </c>
      <c r="D24" s="23"/>
      <c r="E24" s="23" t="s">
        <v>612</v>
      </c>
    </row>
    <row r="25" spans="1:5">
      <c r="A25" s="255"/>
      <c r="B25" s="23"/>
      <c r="C25" s="23" t="s">
        <v>613</v>
      </c>
      <c r="D25" s="23"/>
      <c r="E25" s="23" t="s">
        <v>614</v>
      </c>
    </row>
    <row r="26" spans="1:5">
      <c r="A26" s="255"/>
      <c r="B26" s="23"/>
      <c r="C26" s="23" t="s">
        <v>615</v>
      </c>
      <c r="D26" s="23"/>
      <c r="E26" s="23" t="s">
        <v>616</v>
      </c>
    </row>
    <row r="27" spans="1:5">
      <c r="A27" s="255"/>
      <c r="B27" s="23"/>
      <c r="C27" s="23" t="s">
        <v>617</v>
      </c>
      <c r="D27" s="23"/>
      <c r="E27" s="23" t="s">
        <v>618</v>
      </c>
    </row>
    <row r="28" spans="1:5">
      <c r="A28" s="255"/>
      <c r="B28" s="23"/>
      <c r="C28" s="23" t="s">
        <v>619</v>
      </c>
      <c r="D28" s="23"/>
      <c r="E28" s="23" t="s">
        <v>620</v>
      </c>
    </row>
    <row r="29" spans="1:5">
      <c r="A29" s="255"/>
      <c r="B29" s="23"/>
      <c r="C29" s="23" t="s">
        <v>621</v>
      </c>
      <c r="D29" s="23"/>
      <c r="E29" s="23" t="s">
        <v>622</v>
      </c>
    </row>
    <row r="30" spans="1:5">
      <c r="A30" s="256"/>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4"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746"/>
  <sheetViews>
    <sheetView showGridLines="0" topLeftCell="P1" zoomScale="85" zoomScaleNormal="85" workbookViewId="0">
      <selection activeCell="T7" sqref="T7"/>
    </sheetView>
  </sheetViews>
  <sheetFormatPr defaultColWidth="8.5703125" defaultRowHeight="15" customHeight="1"/>
  <cols>
    <col min="1" max="1" width="2.42578125" style="27" customWidth="1"/>
    <col min="2" max="2" width="48.85546875" style="64" customWidth="1"/>
    <col min="3" max="3" width="37.42578125" style="33" customWidth="1"/>
    <col min="4" max="4" width="40.5703125" style="33" customWidth="1"/>
    <col min="5" max="5" width="18.85546875" style="33" customWidth="1"/>
    <col min="6" max="6" width="39.28515625" style="33" customWidth="1"/>
    <col min="7" max="7" width="37.28515625" style="65" customWidth="1"/>
    <col min="8" max="8" width="27.28515625" style="33" customWidth="1"/>
    <col min="9" max="9" width="22.85546875" style="65" customWidth="1"/>
    <col min="10" max="10" width="15.140625" style="66" customWidth="1"/>
    <col min="11" max="11" width="20.140625" style="65" customWidth="1"/>
    <col min="12" max="12" width="20.140625" style="67" customWidth="1"/>
    <col min="13" max="13" width="62.42578125" style="67" customWidth="1"/>
    <col min="14" max="14" width="25.28515625" style="64" customWidth="1"/>
    <col min="15" max="15" width="36.7109375" style="66" customWidth="1"/>
    <col min="16" max="16" width="175.7109375" style="66" customWidth="1"/>
    <col min="17" max="17" width="50.7109375" style="66" customWidth="1"/>
    <col min="18" max="18" width="50.7109375" style="33" customWidth="1"/>
    <col min="19" max="19" width="61.140625" style="33" customWidth="1"/>
    <col min="20" max="20" width="39" style="33" customWidth="1"/>
    <col min="21" max="21" width="56.7109375" style="67" customWidth="1"/>
    <col min="22" max="22" width="149.5703125" style="67" customWidth="1"/>
    <col min="23" max="23" width="23.5703125" style="67" customWidth="1"/>
    <col min="24" max="24" width="41.28515625" style="67" customWidth="1"/>
    <col min="25" max="25" width="103.5703125" style="33" customWidth="1"/>
    <col min="26" max="26" width="120.7109375" style="33" customWidth="1"/>
    <col min="27" max="27" width="28.5703125" style="74" customWidth="1"/>
  </cols>
  <sheetData>
    <row r="1" spans="1:27" s="33" customFormat="1">
      <c r="A1" s="27"/>
      <c r="B1" s="64"/>
      <c r="G1" s="65"/>
      <c r="I1" s="65"/>
      <c r="J1" s="66"/>
      <c r="K1" s="65"/>
      <c r="L1" s="67"/>
      <c r="M1" s="67"/>
      <c r="N1" s="64"/>
      <c r="O1" s="66"/>
      <c r="P1" s="66"/>
      <c r="Q1" s="66"/>
      <c r="U1" s="67"/>
      <c r="V1" s="67"/>
      <c r="W1" s="67"/>
      <c r="X1" s="67"/>
      <c r="AA1" s="65"/>
    </row>
    <row r="2" spans="1:27" s="33" customFormat="1">
      <c r="A2" s="27"/>
      <c r="B2" s="64"/>
      <c r="G2" s="65"/>
      <c r="I2" s="65"/>
      <c r="J2" s="66"/>
      <c r="K2" s="65"/>
      <c r="L2" s="67"/>
      <c r="M2" s="67"/>
      <c r="N2" s="64"/>
      <c r="O2" s="66"/>
      <c r="P2" s="66"/>
      <c r="Q2" s="66"/>
      <c r="U2" s="67"/>
      <c r="V2" s="67"/>
      <c r="W2" s="67"/>
      <c r="X2" s="67"/>
      <c r="AA2" s="65"/>
    </row>
    <row r="3" spans="1:27" s="33" customFormat="1">
      <c r="A3" s="68"/>
      <c r="B3" s="69"/>
      <c r="C3" s="70"/>
      <c r="D3" s="70"/>
      <c r="E3" s="70"/>
      <c r="F3" s="70"/>
      <c r="G3" s="71"/>
      <c r="H3" s="70"/>
      <c r="I3" s="71"/>
      <c r="J3" s="72"/>
      <c r="K3" s="71"/>
      <c r="L3" s="73"/>
      <c r="M3" s="73"/>
      <c r="N3" s="69"/>
      <c r="O3" s="72"/>
      <c r="P3" s="72"/>
      <c r="Q3" s="72"/>
      <c r="R3" s="70"/>
      <c r="S3" s="70"/>
      <c r="T3" s="70"/>
      <c r="U3" s="73"/>
      <c r="V3" s="73"/>
      <c r="W3" s="73"/>
      <c r="X3" s="73"/>
      <c r="AA3" s="65"/>
    </row>
    <row r="4" spans="1:27" s="33" customFormat="1">
      <c r="A4" s="27"/>
      <c r="B4" s="64"/>
      <c r="G4" s="65"/>
      <c r="I4" s="65"/>
      <c r="J4" s="66"/>
      <c r="K4" s="65"/>
      <c r="L4" s="67"/>
      <c r="M4" s="67"/>
      <c r="N4" s="64"/>
      <c r="O4" s="66"/>
      <c r="P4" s="66"/>
      <c r="Q4" s="66"/>
      <c r="U4" s="67"/>
      <c r="V4" s="67"/>
      <c r="W4" s="67"/>
      <c r="X4" s="67"/>
      <c r="AA4" s="65"/>
    </row>
    <row r="5" spans="1:27" s="65" customFormat="1" ht="30" customHeight="1">
      <c r="B5" s="260" t="s">
        <v>654</v>
      </c>
      <c r="C5" s="261"/>
      <c r="D5" s="261"/>
      <c r="E5" s="261"/>
      <c r="F5" s="261"/>
      <c r="G5" s="261"/>
      <c r="H5" s="261"/>
      <c r="I5" s="261"/>
      <c r="J5" s="261"/>
      <c r="K5" s="261"/>
      <c r="L5" s="261"/>
      <c r="M5" s="261"/>
      <c r="N5" s="261"/>
      <c r="O5" s="261"/>
      <c r="P5" s="262"/>
      <c r="Q5" s="266" t="s">
        <v>655</v>
      </c>
      <c r="R5" s="267"/>
      <c r="S5" s="270" t="s">
        <v>656</v>
      </c>
      <c r="T5" s="271"/>
      <c r="U5" s="271"/>
      <c r="V5" s="271"/>
      <c r="W5" s="269"/>
      <c r="X5" s="258" t="s">
        <v>657</v>
      </c>
      <c r="Y5" s="258"/>
      <c r="Z5" s="258"/>
      <c r="AA5" s="258"/>
    </row>
    <row r="6" spans="1:27" s="33" customFormat="1" ht="30" customHeight="1">
      <c r="A6" s="27"/>
      <c r="B6" s="263" t="s">
        <v>658</v>
      </c>
      <c r="C6" s="264"/>
      <c r="D6" s="264"/>
      <c r="E6" s="264"/>
      <c r="F6" s="264"/>
      <c r="G6" s="264"/>
      <c r="H6" s="264"/>
      <c r="I6" s="264"/>
      <c r="J6" s="264"/>
      <c r="K6" s="264"/>
      <c r="L6" s="264"/>
      <c r="M6" s="264"/>
      <c r="N6" s="264"/>
      <c r="O6" s="264"/>
      <c r="P6" s="265"/>
      <c r="Q6" s="266" t="s">
        <v>659</v>
      </c>
      <c r="R6" s="267"/>
      <c r="S6" s="268" t="s">
        <v>660</v>
      </c>
      <c r="T6" s="269"/>
      <c r="U6" s="269"/>
      <c r="V6" s="269"/>
      <c r="W6" s="63" t="s">
        <v>661</v>
      </c>
      <c r="X6" s="259" t="s">
        <v>662</v>
      </c>
      <c r="Y6" s="259"/>
      <c r="Z6" s="259"/>
      <c r="AA6" s="259"/>
    </row>
    <row r="7" spans="1:27" s="64" customFormat="1" ht="69.75" customHeight="1">
      <c r="B7" s="158" t="s">
        <v>663</v>
      </c>
      <c r="C7" s="158" t="s">
        <v>664</v>
      </c>
      <c r="D7" s="158" t="s">
        <v>665</v>
      </c>
      <c r="E7" s="158" t="s">
        <v>666</v>
      </c>
      <c r="F7" s="158" t="s">
        <v>667</v>
      </c>
      <c r="G7" s="158" t="s">
        <v>668</v>
      </c>
      <c r="H7" s="158" t="s">
        <v>669</v>
      </c>
      <c r="I7" s="158" t="s">
        <v>670</v>
      </c>
      <c r="J7" s="158" t="s">
        <v>671</v>
      </c>
      <c r="K7" s="158" t="s">
        <v>672</v>
      </c>
      <c r="L7" s="158" t="s">
        <v>673</v>
      </c>
      <c r="M7" s="158" t="s">
        <v>674</v>
      </c>
      <c r="N7" s="158" t="s">
        <v>675</v>
      </c>
      <c r="O7" s="158" t="s">
        <v>676</v>
      </c>
      <c r="P7" s="158" t="s">
        <v>677</v>
      </c>
      <c r="Q7" s="158" t="s">
        <v>678</v>
      </c>
      <c r="R7" s="158" t="s">
        <v>679</v>
      </c>
      <c r="S7" s="158" t="s">
        <v>680</v>
      </c>
      <c r="T7" s="158" t="s">
        <v>681</v>
      </c>
      <c r="U7" s="158" t="s">
        <v>682</v>
      </c>
      <c r="V7" s="158" t="s">
        <v>683</v>
      </c>
      <c r="W7" s="158" t="s">
        <v>684</v>
      </c>
      <c r="X7" s="158" t="s">
        <v>685</v>
      </c>
      <c r="Y7" s="158" t="s">
        <v>686</v>
      </c>
      <c r="Z7" s="158" t="s">
        <v>687</v>
      </c>
      <c r="AA7" s="158" t="s">
        <v>688</v>
      </c>
    </row>
    <row r="8" spans="1:27" s="33" customFormat="1" ht="225.75" hidden="1" customHeight="1">
      <c r="A8" s="27"/>
      <c r="B8" s="84" t="s">
        <v>648</v>
      </c>
      <c r="C8" s="84" t="s">
        <v>689</v>
      </c>
      <c r="D8" s="84" t="s">
        <v>649</v>
      </c>
      <c r="E8" s="133">
        <v>2</v>
      </c>
      <c r="F8" s="84" t="s">
        <v>690</v>
      </c>
      <c r="G8" s="84" t="s">
        <v>691</v>
      </c>
      <c r="H8" s="75" t="s">
        <v>692</v>
      </c>
      <c r="I8" s="76">
        <v>1</v>
      </c>
      <c r="J8" s="77" t="s">
        <v>693</v>
      </c>
      <c r="K8" s="76">
        <v>3</v>
      </c>
      <c r="L8" s="76"/>
      <c r="M8" s="84" t="s">
        <v>694</v>
      </c>
      <c r="N8" s="75"/>
      <c r="O8" s="76" t="s">
        <v>695</v>
      </c>
      <c r="P8" s="77"/>
      <c r="Q8" s="132" t="s">
        <v>696</v>
      </c>
      <c r="R8" s="135" t="s">
        <v>697</v>
      </c>
      <c r="S8" s="88" t="s">
        <v>698</v>
      </c>
      <c r="T8" s="88" t="s">
        <v>699</v>
      </c>
      <c r="U8" s="88" t="s">
        <v>700</v>
      </c>
      <c r="V8" s="88" t="s">
        <v>701</v>
      </c>
      <c r="W8" s="75"/>
      <c r="X8" s="88" t="s">
        <v>702</v>
      </c>
      <c r="Y8" s="84" t="s">
        <v>703</v>
      </c>
      <c r="Z8" s="84" t="s">
        <v>703</v>
      </c>
      <c r="AA8" s="133" t="s">
        <v>704</v>
      </c>
    </row>
    <row r="9" spans="1:27" s="33" customFormat="1" ht="219.75" hidden="1" customHeight="1">
      <c r="A9" s="27"/>
      <c r="B9" s="84" t="s">
        <v>648</v>
      </c>
      <c r="C9" s="84" t="s">
        <v>689</v>
      </c>
      <c r="D9" s="84" t="s">
        <v>649</v>
      </c>
      <c r="E9" s="133">
        <v>2</v>
      </c>
      <c r="F9" s="84" t="s">
        <v>705</v>
      </c>
      <c r="G9" s="84" t="s">
        <v>706</v>
      </c>
      <c r="H9" s="75" t="s">
        <v>692</v>
      </c>
      <c r="I9" s="76">
        <v>2</v>
      </c>
      <c r="J9" s="77" t="s">
        <v>693</v>
      </c>
      <c r="K9" s="76">
        <v>30</v>
      </c>
      <c r="L9" s="76"/>
      <c r="M9" s="84" t="s">
        <v>707</v>
      </c>
      <c r="N9" s="75"/>
      <c r="O9" s="76" t="s">
        <v>695</v>
      </c>
      <c r="P9" s="77"/>
      <c r="Q9" s="132" t="s">
        <v>696</v>
      </c>
      <c r="R9" s="135" t="s">
        <v>697</v>
      </c>
      <c r="S9" s="88" t="s">
        <v>708</v>
      </c>
      <c r="T9" s="88" t="s">
        <v>709</v>
      </c>
      <c r="U9" s="88" t="s">
        <v>710</v>
      </c>
      <c r="V9" s="88" t="s">
        <v>711</v>
      </c>
      <c r="W9" s="75"/>
      <c r="X9" s="88" t="s">
        <v>712</v>
      </c>
      <c r="Y9" s="84" t="s">
        <v>713</v>
      </c>
      <c r="Z9" s="86" t="s">
        <v>714</v>
      </c>
      <c r="AA9" s="133" t="s">
        <v>703</v>
      </c>
    </row>
    <row r="10" spans="1:27" s="33" customFormat="1" ht="183.75" hidden="1" customHeight="1">
      <c r="A10" s="27"/>
      <c r="B10" s="84" t="s">
        <v>648</v>
      </c>
      <c r="C10" s="84" t="s">
        <v>689</v>
      </c>
      <c r="D10" s="84" t="s">
        <v>649</v>
      </c>
      <c r="E10" s="133">
        <v>2</v>
      </c>
      <c r="F10" s="84" t="s">
        <v>715</v>
      </c>
      <c r="G10" s="84" t="s">
        <v>716</v>
      </c>
      <c r="H10" s="75" t="s">
        <v>717</v>
      </c>
      <c r="I10" s="76">
        <v>3</v>
      </c>
      <c r="J10" s="75" t="s">
        <v>718</v>
      </c>
      <c r="K10" s="76"/>
      <c r="L10" s="76"/>
      <c r="M10" s="84" t="s">
        <v>719</v>
      </c>
      <c r="N10" s="75"/>
      <c r="O10" s="76" t="s">
        <v>695</v>
      </c>
      <c r="P10" s="77"/>
      <c r="Q10" s="132" t="s">
        <v>720</v>
      </c>
      <c r="R10" s="135" t="s">
        <v>721</v>
      </c>
      <c r="S10" s="88" t="s">
        <v>708</v>
      </c>
      <c r="T10" s="88" t="s">
        <v>709</v>
      </c>
      <c r="U10" s="88" t="s">
        <v>722</v>
      </c>
      <c r="V10" s="88" t="s">
        <v>723</v>
      </c>
      <c r="W10" s="75"/>
      <c r="X10" s="88" t="s">
        <v>702</v>
      </c>
      <c r="Y10" s="84" t="s">
        <v>724</v>
      </c>
      <c r="Z10" s="84" t="s">
        <v>725</v>
      </c>
      <c r="AA10" s="133" t="s">
        <v>703</v>
      </c>
    </row>
    <row r="11" spans="1:27" s="33" customFormat="1" ht="152.25" hidden="1" customHeight="1">
      <c r="A11" s="27"/>
      <c r="B11" s="84" t="s">
        <v>648</v>
      </c>
      <c r="C11" s="84" t="s">
        <v>689</v>
      </c>
      <c r="D11" s="84" t="s">
        <v>649</v>
      </c>
      <c r="E11" s="133">
        <v>2</v>
      </c>
      <c r="F11" s="84" t="s">
        <v>726</v>
      </c>
      <c r="G11" s="84" t="s">
        <v>727</v>
      </c>
      <c r="H11" s="75" t="s">
        <v>717</v>
      </c>
      <c r="I11" s="76">
        <v>4</v>
      </c>
      <c r="J11" s="75" t="s">
        <v>718</v>
      </c>
      <c r="K11" s="76"/>
      <c r="L11" s="76"/>
      <c r="M11" s="84" t="s">
        <v>728</v>
      </c>
      <c r="N11" s="75"/>
      <c r="O11" s="76" t="s">
        <v>695</v>
      </c>
      <c r="P11" s="77"/>
      <c r="Q11" s="132" t="s">
        <v>720</v>
      </c>
      <c r="R11" s="135" t="s">
        <v>721</v>
      </c>
      <c r="S11" s="88" t="s">
        <v>708</v>
      </c>
      <c r="T11" s="88" t="s">
        <v>709</v>
      </c>
      <c r="U11" s="88" t="s">
        <v>729</v>
      </c>
      <c r="V11" s="88" t="s">
        <v>730</v>
      </c>
      <c r="W11" s="75"/>
      <c r="X11" s="88" t="s">
        <v>702</v>
      </c>
      <c r="Y11" s="161" t="s">
        <v>731</v>
      </c>
      <c r="Z11" s="161" t="s">
        <v>732</v>
      </c>
      <c r="AA11" s="133" t="s">
        <v>733</v>
      </c>
    </row>
    <row r="12" spans="1:27" s="33" customFormat="1" ht="213.75" hidden="1" customHeight="1">
      <c r="A12" s="27"/>
      <c r="B12" s="84" t="s">
        <v>648</v>
      </c>
      <c r="C12" s="84" t="s">
        <v>689</v>
      </c>
      <c r="D12" s="84" t="s">
        <v>649</v>
      </c>
      <c r="E12" s="133">
        <v>2</v>
      </c>
      <c r="F12" s="84" t="s">
        <v>734</v>
      </c>
      <c r="G12" s="84" t="s">
        <v>735</v>
      </c>
      <c r="H12" s="75" t="s">
        <v>736</v>
      </c>
      <c r="I12" s="76">
        <v>5</v>
      </c>
      <c r="J12" s="75" t="s">
        <v>693</v>
      </c>
      <c r="K12" s="76">
        <v>10</v>
      </c>
      <c r="L12" s="76"/>
      <c r="M12" s="84" t="s">
        <v>737</v>
      </c>
      <c r="N12" s="75"/>
      <c r="O12" s="76" t="s">
        <v>695</v>
      </c>
      <c r="P12" s="77"/>
      <c r="Q12" s="132" t="s">
        <v>738</v>
      </c>
      <c r="R12" s="135" t="s">
        <v>739</v>
      </c>
      <c r="S12" s="88" t="s">
        <v>708</v>
      </c>
      <c r="T12" s="88" t="s">
        <v>709</v>
      </c>
      <c r="U12" s="88" t="s">
        <v>740</v>
      </c>
      <c r="V12" s="88" t="s">
        <v>741</v>
      </c>
      <c r="W12" s="75"/>
      <c r="X12" s="88" t="s">
        <v>702</v>
      </c>
      <c r="Y12" s="84" t="s">
        <v>724</v>
      </c>
      <c r="Z12" s="84" t="s">
        <v>742</v>
      </c>
      <c r="AA12" s="133" t="s">
        <v>703</v>
      </c>
    </row>
    <row r="13" spans="1:27" s="33" customFormat="1" ht="185.25" hidden="1" customHeight="1">
      <c r="A13" s="27"/>
      <c r="B13" s="84" t="s">
        <v>648</v>
      </c>
      <c r="C13" s="84" t="s">
        <v>689</v>
      </c>
      <c r="D13" s="84" t="s">
        <v>649</v>
      </c>
      <c r="E13" s="133">
        <v>2</v>
      </c>
      <c r="F13" s="84" t="s">
        <v>743</v>
      </c>
      <c r="G13" s="84" t="s">
        <v>744</v>
      </c>
      <c r="H13" s="75" t="s">
        <v>745</v>
      </c>
      <c r="I13" s="76">
        <v>6</v>
      </c>
      <c r="J13" s="75" t="s">
        <v>746</v>
      </c>
      <c r="K13" s="76">
        <v>23</v>
      </c>
      <c r="L13" s="76">
        <v>6</v>
      </c>
      <c r="M13" s="84" t="s">
        <v>747</v>
      </c>
      <c r="N13" s="75"/>
      <c r="O13" s="76" t="s">
        <v>695</v>
      </c>
      <c r="P13" s="77"/>
      <c r="Q13" s="132" t="s">
        <v>738</v>
      </c>
      <c r="R13" s="135" t="s">
        <v>748</v>
      </c>
      <c r="S13" s="88" t="s">
        <v>708</v>
      </c>
      <c r="T13" s="88" t="s">
        <v>709</v>
      </c>
      <c r="U13" s="88" t="s">
        <v>749</v>
      </c>
      <c r="V13" s="88" t="s">
        <v>750</v>
      </c>
      <c r="W13" s="75"/>
      <c r="X13" s="88" t="s">
        <v>702</v>
      </c>
      <c r="Y13" s="84" t="s">
        <v>724</v>
      </c>
      <c r="Z13" s="84" t="s">
        <v>751</v>
      </c>
      <c r="AA13" s="133" t="s">
        <v>703</v>
      </c>
    </row>
    <row r="14" spans="1:27" s="33" customFormat="1" ht="182.25" hidden="1" customHeight="1">
      <c r="A14" s="27"/>
      <c r="B14" s="201" t="s">
        <v>648</v>
      </c>
      <c r="C14" s="201" t="s">
        <v>689</v>
      </c>
      <c r="D14" s="201" t="s">
        <v>649</v>
      </c>
      <c r="E14" s="209">
        <v>2</v>
      </c>
      <c r="F14" s="205" t="s">
        <v>752</v>
      </c>
      <c r="G14" s="205" t="s">
        <v>753</v>
      </c>
      <c r="H14" s="204" t="s">
        <v>754</v>
      </c>
      <c r="I14" s="87">
        <v>7</v>
      </c>
      <c r="J14" s="204" t="s">
        <v>693</v>
      </c>
      <c r="K14" s="87">
        <v>20</v>
      </c>
      <c r="L14" s="87"/>
      <c r="M14" s="205" t="s">
        <v>755</v>
      </c>
      <c r="N14" s="204"/>
      <c r="O14" s="87" t="s">
        <v>695</v>
      </c>
      <c r="P14" s="208" t="s">
        <v>756</v>
      </c>
      <c r="Q14" s="210" t="s">
        <v>757</v>
      </c>
      <c r="R14" s="218" t="s">
        <v>758</v>
      </c>
      <c r="S14" s="208" t="s">
        <v>708</v>
      </c>
      <c r="T14" s="208" t="s">
        <v>709</v>
      </c>
      <c r="U14" s="210" t="s">
        <v>759</v>
      </c>
      <c r="V14" s="210" t="s">
        <v>760</v>
      </c>
      <c r="W14" s="204"/>
      <c r="X14" s="208" t="s">
        <v>702</v>
      </c>
      <c r="Y14" s="201" t="s">
        <v>761</v>
      </c>
      <c r="Z14" s="211" t="s">
        <v>762</v>
      </c>
      <c r="AA14" s="209" t="s">
        <v>763</v>
      </c>
    </row>
    <row r="15" spans="1:27" s="33" customFormat="1" ht="156.75" hidden="1" customHeight="1">
      <c r="A15" s="27"/>
      <c r="B15" s="201" t="s">
        <v>648</v>
      </c>
      <c r="C15" s="201" t="s">
        <v>689</v>
      </c>
      <c r="D15" s="201" t="s">
        <v>649</v>
      </c>
      <c r="E15" s="209">
        <v>2</v>
      </c>
      <c r="F15" s="203" t="s">
        <v>764</v>
      </c>
      <c r="G15" s="203" t="s">
        <v>765</v>
      </c>
      <c r="H15" s="204" t="s">
        <v>766</v>
      </c>
      <c r="I15" s="87">
        <v>8</v>
      </c>
      <c r="J15" s="204" t="s">
        <v>693</v>
      </c>
      <c r="K15" s="87">
        <v>4</v>
      </c>
      <c r="L15" s="87"/>
      <c r="M15" s="205" t="s">
        <v>767</v>
      </c>
      <c r="N15" s="204"/>
      <c r="O15" s="87"/>
      <c r="P15" s="206"/>
      <c r="Q15" s="207"/>
      <c r="R15" s="207"/>
      <c r="S15" s="210" t="s">
        <v>768</v>
      </c>
      <c r="T15" s="210" t="s">
        <v>769</v>
      </c>
      <c r="U15" s="210" t="s">
        <v>770</v>
      </c>
      <c r="V15" s="210" t="s">
        <v>771</v>
      </c>
      <c r="W15" s="204"/>
      <c r="X15" s="208" t="s">
        <v>702</v>
      </c>
      <c r="Y15" s="203" t="s">
        <v>772</v>
      </c>
      <c r="Z15" s="203" t="s">
        <v>773</v>
      </c>
      <c r="AA15" s="202" t="s">
        <v>774</v>
      </c>
    </row>
    <row r="16" spans="1:27" s="33" customFormat="1" ht="229.5" hidden="1" customHeight="1">
      <c r="A16" s="27"/>
      <c r="B16" s="84" t="s">
        <v>648</v>
      </c>
      <c r="C16" s="84" t="s">
        <v>689</v>
      </c>
      <c r="D16" s="84" t="s">
        <v>649</v>
      </c>
      <c r="E16" s="133">
        <v>2</v>
      </c>
      <c r="F16" s="161" t="s">
        <v>775</v>
      </c>
      <c r="G16" s="161" t="s">
        <v>776</v>
      </c>
      <c r="H16" s="75" t="s">
        <v>777</v>
      </c>
      <c r="I16" s="76">
        <v>9</v>
      </c>
      <c r="J16" s="75" t="s">
        <v>693</v>
      </c>
      <c r="K16" s="76">
        <v>3</v>
      </c>
      <c r="L16" s="76"/>
      <c r="M16" s="84" t="s">
        <v>778</v>
      </c>
      <c r="N16" s="75"/>
      <c r="O16" s="76"/>
      <c r="P16" s="88" t="s">
        <v>779</v>
      </c>
      <c r="Q16" s="132" t="s">
        <v>738</v>
      </c>
      <c r="R16" s="135" t="s">
        <v>780</v>
      </c>
      <c r="S16" s="88" t="s">
        <v>781</v>
      </c>
      <c r="T16" s="88" t="s">
        <v>782</v>
      </c>
      <c r="U16" s="88" t="s">
        <v>783</v>
      </c>
      <c r="V16" s="88" t="s">
        <v>784</v>
      </c>
      <c r="W16" s="75"/>
      <c r="X16" s="88" t="s">
        <v>712</v>
      </c>
      <c r="Y16" s="84" t="s">
        <v>785</v>
      </c>
      <c r="Z16" s="84" t="s">
        <v>786</v>
      </c>
      <c r="AA16" s="133" t="s">
        <v>787</v>
      </c>
    </row>
    <row r="17" spans="1:27" s="33" customFormat="1" ht="186.75" hidden="1" customHeight="1">
      <c r="A17" s="27"/>
      <c r="B17" s="84" t="s">
        <v>648</v>
      </c>
      <c r="C17" s="84" t="s">
        <v>689</v>
      </c>
      <c r="D17" s="84" t="s">
        <v>649</v>
      </c>
      <c r="E17" s="133">
        <v>2</v>
      </c>
      <c r="F17" s="84" t="s">
        <v>788</v>
      </c>
      <c r="G17" s="84" t="s">
        <v>789</v>
      </c>
      <c r="H17" s="75" t="s">
        <v>736</v>
      </c>
      <c r="I17" s="76">
        <v>10</v>
      </c>
      <c r="J17" s="75" t="s">
        <v>693</v>
      </c>
      <c r="K17" s="76">
        <v>10</v>
      </c>
      <c r="L17" s="76"/>
      <c r="M17" s="84" t="s">
        <v>790</v>
      </c>
      <c r="N17" s="75"/>
      <c r="O17" s="76"/>
      <c r="P17" s="77"/>
      <c r="Q17" s="132" t="s">
        <v>738</v>
      </c>
      <c r="R17" s="135" t="s">
        <v>791</v>
      </c>
      <c r="S17" s="88" t="s">
        <v>708</v>
      </c>
      <c r="T17" s="88" t="s">
        <v>709</v>
      </c>
      <c r="U17" s="88" t="s">
        <v>792</v>
      </c>
      <c r="V17" s="88" t="s">
        <v>793</v>
      </c>
      <c r="W17" s="75"/>
      <c r="X17" s="88" t="s">
        <v>702</v>
      </c>
      <c r="Y17" s="84" t="s">
        <v>724</v>
      </c>
      <c r="Z17" s="84" t="s">
        <v>794</v>
      </c>
      <c r="AA17" s="133" t="s">
        <v>703</v>
      </c>
    </row>
    <row r="18" spans="1:27" s="33" customFormat="1" ht="204.75" hidden="1" customHeight="1">
      <c r="A18" s="27"/>
      <c r="B18" s="84" t="s">
        <v>648</v>
      </c>
      <c r="C18" s="84" t="s">
        <v>689</v>
      </c>
      <c r="D18" s="84" t="s">
        <v>649</v>
      </c>
      <c r="E18" s="133">
        <v>2</v>
      </c>
      <c r="F18" s="77" t="s">
        <v>795</v>
      </c>
      <c r="G18" s="77" t="s">
        <v>796</v>
      </c>
      <c r="H18" s="77" t="s">
        <v>797</v>
      </c>
      <c r="I18" s="76">
        <v>11</v>
      </c>
      <c r="J18" s="77" t="s">
        <v>693</v>
      </c>
      <c r="K18" s="76">
        <v>3</v>
      </c>
      <c r="L18" s="76"/>
      <c r="M18" s="86" t="s">
        <v>798</v>
      </c>
      <c r="N18" s="86"/>
      <c r="O18" s="76"/>
      <c r="P18" s="86" t="s">
        <v>799</v>
      </c>
      <c r="Q18" s="88"/>
      <c r="R18" s="77"/>
      <c r="S18" s="88" t="s">
        <v>708</v>
      </c>
      <c r="T18" s="88" t="s">
        <v>709</v>
      </c>
      <c r="U18" s="88" t="s">
        <v>800</v>
      </c>
      <c r="V18" s="88" t="s">
        <v>801</v>
      </c>
      <c r="W18" s="76"/>
      <c r="X18" s="88" t="s">
        <v>702</v>
      </c>
      <c r="Y18" s="84" t="s">
        <v>703</v>
      </c>
      <c r="Z18" s="84" t="s">
        <v>703</v>
      </c>
      <c r="AA18" s="221" t="s">
        <v>802</v>
      </c>
    </row>
    <row r="19" spans="1:27" s="33" customFormat="1" ht="204" hidden="1" customHeight="1">
      <c r="A19" s="27"/>
      <c r="B19" s="84" t="s">
        <v>648</v>
      </c>
      <c r="C19" s="84" t="s">
        <v>689</v>
      </c>
      <c r="D19" s="84" t="s">
        <v>649</v>
      </c>
      <c r="E19" s="133">
        <v>2</v>
      </c>
      <c r="F19" s="84" t="s">
        <v>803</v>
      </c>
      <c r="G19" s="84" t="s">
        <v>804</v>
      </c>
      <c r="H19" s="75" t="s">
        <v>805</v>
      </c>
      <c r="I19" s="76">
        <v>12</v>
      </c>
      <c r="J19" s="75" t="s">
        <v>693</v>
      </c>
      <c r="K19" s="76">
        <v>10</v>
      </c>
      <c r="L19" s="76"/>
      <c r="M19" s="86" t="s">
        <v>806</v>
      </c>
      <c r="N19" s="75"/>
      <c r="O19" s="76" t="s">
        <v>695</v>
      </c>
      <c r="P19" s="77"/>
      <c r="Q19" s="84"/>
      <c r="R19" s="84"/>
      <c r="S19" s="88" t="s">
        <v>708</v>
      </c>
      <c r="T19" s="88" t="s">
        <v>709</v>
      </c>
      <c r="U19" s="88" t="s">
        <v>807</v>
      </c>
      <c r="V19" s="88" t="s">
        <v>808</v>
      </c>
      <c r="W19" s="75"/>
      <c r="X19" s="84" t="s">
        <v>809</v>
      </c>
      <c r="Y19" s="84" t="s">
        <v>703</v>
      </c>
      <c r="Z19" s="84" t="s">
        <v>703</v>
      </c>
      <c r="AA19" s="133" t="s">
        <v>703</v>
      </c>
    </row>
    <row r="20" spans="1:27" s="33" customFormat="1" ht="158.25" hidden="1" customHeight="1">
      <c r="A20" s="27"/>
      <c r="B20" s="84" t="s">
        <v>648</v>
      </c>
      <c r="C20" s="84" t="s">
        <v>689</v>
      </c>
      <c r="D20" s="84" t="s">
        <v>649</v>
      </c>
      <c r="E20" s="133">
        <v>2</v>
      </c>
      <c r="F20" s="84" t="s">
        <v>810</v>
      </c>
      <c r="G20" s="84" t="s">
        <v>811</v>
      </c>
      <c r="H20" s="75" t="s">
        <v>812</v>
      </c>
      <c r="I20" s="76">
        <v>13</v>
      </c>
      <c r="J20" s="75" t="s">
        <v>813</v>
      </c>
      <c r="K20" s="76">
        <v>23</v>
      </c>
      <c r="L20" s="76"/>
      <c r="M20" s="86" t="s">
        <v>814</v>
      </c>
      <c r="N20" s="75"/>
      <c r="O20" s="76"/>
      <c r="P20" s="77"/>
      <c r="Q20" s="84"/>
      <c r="R20" s="84"/>
      <c r="S20" s="88" t="s">
        <v>708</v>
      </c>
      <c r="T20" s="88" t="s">
        <v>709</v>
      </c>
      <c r="U20" s="88" t="s">
        <v>800</v>
      </c>
      <c r="V20" s="88" t="s">
        <v>815</v>
      </c>
      <c r="W20" s="75"/>
      <c r="X20" s="84" t="s">
        <v>809</v>
      </c>
      <c r="Y20" s="84" t="s">
        <v>703</v>
      </c>
      <c r="Z20" s="84" t="s">
        <v>703</v>
      </c>
      <c r="AA20" s="133" t="s">
        <v>816</v>
      </c>
    </row>
    <row r="21" spans="1:27" s="33" customFormat="1" ht="171" hidden="1" customHeight="1">
      <c r="A21" s="27"/>
      <c r="B21" s="84" t="s">
        <v>651</v>
      </c>
      <c r="C21" s="84" t="s">
        <v>817</v>
      </c>
      <c r="D21" s="84" t="s">
        <v>652</v>
      </c>
      <c r="E21" s="133">
        <v>2</v>
      </c>
      <c r="F21" s="84" t="s">
        <v>690</v>
      </c>
      <c r="G21" s="84" t="s">
        <v>691</v>
      </c>
      <c r="H21" s="75" t="s">
        <v>692</v>
      </c>
      <c r="I21" s="76">
        <v>1</v>
      </c>
      <c r="J21" s="77" t="s">
        <v>693</v>
      </c>
      <c r="K21" s="76">
        <v>3</v>
      </c>
      <c r="L21" s="76"/>
      <c r="M21" s="84" t="s">
        <v>694</v>
      </c>
      <c r="N21" s="75"/>
      <c r="O21" s="76" t="s">
        <v>695</v>
      </c>
      <c r="P21" s="77"/>
      <c r="Q21" s="132" t="s">
        <v>818</v>
      </c>
      <c r="R21" s="135" t="s">
        <v>819</v>
      </c>
      <c r="S21" s="86" t="s">
        <v>820</v>
      </c>
      <c r="T21" s="86" t="s">
        <v>821</v>
      </c>
      <c r="U21" s="88" t="s">
        <v>822</v>
      </c>
      <c r="V21" s="86" t="s">
        <v>823</v>
      </c>
      <c r="W21" s="75"/>
      <c r="X21" s="84" t="s">
        <v>824</v>
      </c>
      <c r="Y21" s="84" t="s">
        <v>809</v>
      </c>
      <c r="Z21" s="84" t="s">
        <v>809</v>
      </c>
      <c r="AA21" s="133" t="s">
        <v>825</v>
      </c>
    </row>
    <row r="22" spans="1:27" s="33" customFormat="1" ht="120" hidden="1" customHeight="1">
      <c r="A22" s="27"/>
      <c r="B22" s="84" t="s">
        <v>651</v>
      </c>
      <c r="C22" s="84" t="s">
        <v>817</v>
      </c>
      <c r="D22" s="84" t="s">
        <v>652</v>
      </c>
      <c r="E22" s="133">
        <v>2</v>
      </c>
      <c r="F22" s="84" t="s">
        <v>705</v>
      </c>
      <c r="G22" s="84" t="s">
        <v>706</v>
      </c>
      <c r="H22" s="75" t="s">
        <v>692</v>
      </c>
      <c r="I22" s="76">
        <v>2</v>
      </c>
      <c r="J22" s="77" t="s">
        <v>693</v>
      </c>
      <c r="K22" s="76">
        <v>30</v>
      </c>
      <c r="L22" s="76"/>
      <c r="M22" s="84" t="s">
        <v>707</v>
      </c>
      <c r="N22" s="75"/>
      <c r="O22" s="76" t="s">
        <v>695</v>
      </c>
      <c r="P22" s="77"/>
      <c r="Q22" s="132" t="s">
        <v>818</v>
      </c>
      <c r="R22" s="135" t="s">
        <v>819</v>
      </c>
      <c r="S22" s="86" t="s">
        <v>826</v>
      </c>
      <c r="T22" s="86" t="s">
        <v>827</v>
      </c>
      <c r="U22" s="88" t="s">
        <v>828</v>
      </c>
      <c r="V22" s="86" t="s">
        <v>829</v>
      </c>
      <c r="W22" s="75"/>
      <c r="X22" s="84" t="s">
        <v>824</v>
      </c>
      <c r="Y22" s="84" t="s">
        <v>830</v>
      </c>
      <c r="Z22" s="230" t="s">
        <v>831</v>
      </c>
      <c r="AA22" s="133" t="s">
        <v>809</v>
      </c>
    </row>
    <row r="23" spans="1:27" s="33" customFormat="1" ht="99.75" hidden="1" customHeight="1">
      <c r="A23" s="27"/>
      <c r="B23" s="84" t="s">
        <v>651</v>
      </c>
      <c r="C23" s="84" t="s">
        <v>817</v>
      </c>
      <c r="D23" s="84" t="s">
        <v>652</v>
      </c>
      <c r="E23" s="133">
        <v>2</v>
      </c>
      <c r="F23" s="84" t="s">
        <v>715</v>
      </c>
      <c r="G23" s="84" t="s">
        <v>716</v>
      </c>
      <c r="H23" s="75" t="s">
        <v>717</v>
      </c>
      <c r="I23" s="76">
        <v>3</v>
      </c>
      <c r="J23" s="75" t="s">
        <v>718</v>
      </c>
      <c r="K23" s="76"/>
      <c r="L23" s="76"/>
      <c r="M23" s="84" t="s">
        <v>832</v>
      </c>
      <c r="N23" s="75"/>
      <c r="O23" s="76" t="s">
        <v>695</v>
      </c>
      <c r="P23" s="77"/>
      <c r="Q23" s="132" t="s">
        <v>720</v>
      </c>
      <c r="R23" s="84" t="s">
        <v>721</v>
      </c>
      <c r="S23" s="86" t="s">
        <v>826</v>
      </c>
      <c r="T23" s="86" t="s">
        <v>827</v>
      </c>
      <c r="U23" s="84" t="s">
        <v>833</v>
      </c>
      <c r="V23" s="86" t="s">
        <v>834</v>
      </c>
      <c r="W23" s="75"/>
      <c r="X23" s="84" t="s">
        <v>824</v>
      </c>
      <c r="Y23" s="84" t="s">
        <v>830</v>
      </c>
      <c r="Z23" s="84" t="s">
        <v>835</v>
      </c>
      <c r="AA23" s="133" t="s">
        <v>809</v>
      </c>
    </row>
    <row r="24" spans="1:27" s="33" customFormat="1" ht="99.75" hidden="1" customHeight="1">
      <c r="A24" s="27"/>
      <c r="B24" s="84" t="s">
        <v>651</v>
      </c>
      <c r="C24" s="84" t="s">
        <v>817</v>
      </c>
      <c r="D24" s="84" t="s">
        <v>652</v>
      </c>
      <c r="E24" s="133">
        <v>2</v>
      </c>
      <c r="F24" s="84" t="s">
        <v>726</v>
      </c>
      <c r="G24" s="84" t="s">
        <v>727</v>
      </c>
      <c r="H24" s="75" t="s">
        <v>717</v>
      </c>
      <c r="I24" s="76">
        <v>4</v>
      </c>
      <c r="J24" s="75" t="s">
        <v>718</v>
      </c>
      <c r="K24" s="76"/>
      <c r="L24" s="76"/>
      <c r="M24" s="84" t="s">
        <v>728</v>
      </c>
      <c r="N24" s="75"/>
      <c r="O24" s="76" t="s">
        <v>695</v>
      </c>
      <c r="P24" s="77"/>
      <c r="Q24" s="132" t="s">
        <v>720</v>
      </c>
      <c r="R24" s="84" t="s">
        <v>721</v>
      </c>
      <c r="S24" s="86" t="s">
        <v>826</v>
      </c>
      <c r="T24" s="86" t="s">
        <v>827</v>
      </c>
      <c r="U24" s="84" t="s">
        <v>836</v>
      </c>
      <c r="V24" s="86" t="s">
        <v>837</v>
      </c>
      <c r="W24" s="75"/>
      <c r="X24" s="84" t="s">
        <v>824</v>
      </c>
      <c r="Y24" s="84" t="s">
        <v>830</v>
      </c>
      <c r="Z24" s="84" t="s">
        <v>838</v>
      </c>
      <c r="AA24" s="133" t="s">
        <v>809</v>
      </c>
    </row>
    <row r="25" spans="1:27" s="33" customFormat="1" ht="99.75" hidden="1" customHeight="1">
      <c r="A25" s="27"/>
      <c r="B25" s="201" t="s">
        <v>651</v>
      </c>
      <c r="C25" s="201" t="s">
        <v>817</v>
      </c>
      <c r="D25" s="201" t="s">
        <v>652</v>
      </c>
      <c r="E25" s="209">
        <v>2</v>
      </c>
      <c r="F25" s="205" t="s">
        <v>752</v>
      </c>
      <c r="G25" s="205" t="s">
        <v>753</v>
      </c>
      <c r="H25" s="204" t="s">
        <v>777</v>
      </c>
      <c r="I25" s="87">
        <v>5</v>
      </c>
      <c r="J25" s="204" t="s">
        <v>693</v>
      </c>
      <c r="K25" s="87">
        <v>20</v>
      </c>
      <c r="L25" s="87"/>
      <c r="M25" s="205" t="s">
        <v>755</v>
      </c>
      <c r="N25" s="204"/>
      <c r="O25" s="87" t="s">
        <v>695</v>
      </c>
      <c r="P25" s="208" t="s">
        <v>839</v>
      </c>
      <c r="Q25" s="210" t="s">
        <v>840</v>
      </c>
      <c r="R25" s="218" t="s">
        <v>841</v>
      </c>
      <c r="S25" s="211" t="s">
        <v>826</v>
      </c>
      <c r="T25" s="211" t="s">
        <v>827</v>
      </c>
      <c r="U25" s="211" t="s">
        <v>842</v>
      </c>
      <c r="V25" s="211" t="s">
        <v>843</v>
      </c>
      <c r="W25" s="204"/>
      <c r="X25" s="201" t="s">
        <v>824</v>
      </c>
      <c r="Y25" s="201" t="s">
        <v>830</v>
      </c>
      <c r="Z25" s="211" t="s">
        <v>844</v>
      </c>
      <c r="AA25" s="209" t="s">
        <v>809</v>
      </c>
    </row>
    <row r="26" spans="1:27" s="33" customFormat="1" ht="99.75" hidden="1" customHeight="1">
      <c r="A26" s="27"/>
      <c r="B26" s="203" t="s">
        <v>651</v>
      </c>
      <c r="C26" s="203" t="s">
        <v>817</v>
      </c>
      <c r="D26" s="203" t="s">
        <v>652</v>
      </c>
      <c r="E26" s="202">
        <v>2</v>
      </c>
      <c r="F26" s="203" t="s">
        <v>764</v>
      </c>
      <c r="G26" s="203" t="s">
        <v>765</v>
      </c>
      <c r="H26" s="204" t="s">
        <v>766</v>
      </c>
      <c r="I26" s="87">
        <v>6</v>
      </c>
      <c r="J26" s="204" t="s">
        <v>693</v>
      </c>
      <c r="K26" s="87"/>
      <c r="L26" s="87"/>
      <c r="M26" s="205" t="s">
        <v>767</v>
      </c>
      <c r="N26" s="204"/>
      <c r="O26" s="87"/>
      <c r="P26" s="206"/>
      <c r="Q26" s="207"/>
      <c r="R26" s="207"/>
      <c r="S26" s="231" t="s">
        <v>845</v>
      </c>
      <c r="T26" s="231" t="s">
        <v>845</v>
      </c>
      <c r="U26" s="231" t="s">
        <v>845</v>
      </c>
      <c r="V26" s="231" t="s">
        <v>846</v>
      </c>
      <c r="W26" s="204"/>
      <c r="X26" s="208" t="s">
        <v>534</v>
      </c>
      <c r="Y26" s="208" t="s">
        <v>534</v>
      </c>
      <c r="Z26" s="208" t="s">
        <v>534</v>
      </c>
      <c r="AA26" s="202" t="s">
        <v>534</v>
      </c>
    </row>
    <row r="27" spans="1:27" s="33" customFormat="1" ht="99.75" hidden="1" customHeight="1">
      <c r="A27" s="27"/>
      <c r="B27" s="84" t="s">
        <v>651</v>
      </c>
      <c r="C27" s="84" t="s">
        <v>817</v>
      </c>
      <c r="D27" s="84" t="s">
        <v>652</v>
      </c>
      <c r="E27" s="133">
        <v>2</v>
      </c>
      <c r="F27" s="161" t="s">
        <v>775</v>
      </c>
      <c r="G27" s="161" t="s">
        <v>776</v>
      </c>
      <c r="H27" s="75" t="s">
        <v>777</v>
      </c>
      <c r="I27" s="76">
        <v>7</v>
      </c>
      <c r="J27" s="75" t="s">
        <v>693</v>
      </c>
      <c r="K27" s="76">
        <v>3</v>
      </c>
      <c r="L27" s="76"/>
      <c r="M27" s="84" t="s">
        <v>778</v>
      </c>
      <c r="N27" s="75"/>
      <c r="O27" s="76"/>
      <c r="P27" s="86" t="s">
        <v>847</v>
      </c>
      <c r="Q27" s="132" t="s">
        <v>738</v>
      </c>
      <c r="R27" s="135" t="s">
        <v>780</v>
      </c>
      <c r="S27" s="86" t="s">
        <v>826</v>
      </c>
      <c r="T27" s="86" t="s">
        <v>827</v>
      </c>
      <c r="U27" s="84" t="s">
        <v>848</v>
      </c>
      <c r="V27" s="86" t="s">
        <v>849</v>
      </c>
      <c r="W27" s="75"/>
      <c r="X27" s="84" t="s">
        <v>824</v>
      </c>
      <c r="Y27" s="84" t="s">
        <v>830</v>
      </c>
      <c r="Z27" s="84" t="s">
        <v>850</v>
      </c>
      <c r="AA27" s="133" t="s">
        <v>809</v>
      </c>
    </row>
    <row r="28" spans="1:27" s="33" customFormat="1" ht="99.75" hidden="1" customHeight="1">
      <c r="A28" s="27"/>
      <c r="B28" s="84" t="s">
        <v>651</v>
      </c>
      <c r="C28" s="84" t="s">
        <v>817</v>
      </c>
      <c r="D28" s="84" t="s">
        <v>652</v>
      </c>
      <c r="E28" s="133">
        <v>2</v>
      </c>
      <c r="F28" s="84" t="s">
        <v>734</v>
      </c>
      <c r="G28" s="84" t="s">
        <v>735</v>
      </c>
      <c r="H28" s="75" t="s">
        <v>736</v>
      </c>
      <c r="I28" s="76">
        <v>8</v>
      </c>
      <c r="J28" s="75" t="s">
        <v>693</v>
      </c>
      <c r="K28" s="76">
        <v>10</v>
      </c>
      <c r="L28" s="76"/>
      <c r="M28" s="84" t="s">
        <v>737</v>
      </c>
      <c r="N28" s="75"/>
      <c r="O28" s="76"/>
      <c r="P28" s="77"/>
      <c r="Q28" s="132" t="s">
        <v>738</v>
      </c>
      <c r="R28" s="135" t="s">
        <v>739</v>
      </c>
      <c r="S28" s="86" t="s">
        <v>826</v>
      </c>
      <c r="T28" s="86" t="s">
        <v>827</v>
      </c>
      <c r="U28" s="84" t="s">
        <v>851</v>
      </c>
      <c r="V28" s="86" t="s">
        <v>852</v>
      </c>
      <c r="W28" s="75"/>
      <c r="X28" s="84" t="s">
        <v>824</v>
      </c>
      <c r="Y28" s="84" t="s">
        <v>830</v>
      </c>
      <c r="Z28" s="84" t="s">
        <v>853</v>
      </c>
      <c r="AA28" s="133" t="s">
        <v>809</v>
      </c>
    </row>
    <row r="29" spans="1:27" s="33" customFormat="1" ht="99.75" hidden="1" customHeight="1">
      <c r="A29" s="27"/>
      <c r="B29" s="84" t="s">
        <v>651</v>
      </c>
      <c r="C29" s="84" t="s">
        <v>817</v>
      </c>
      <c r="D29" s="84" t="s">
        <v>652</v>
      </c>
      <c r="E29" s="133">
        <v>2</v>
      </c>
      <c r="F29" s="84" t="s">
        <v>788</v>
      </c>
      <c r="G29" s="84" t="s">
        <v>789</v>
      </c>
      <c r="H29" s="75" t="s">
        <v>736</v>
      </c>
      <c r="I29" s="76">
        <v>9</v>
      </c>
      <c r="J29" s="75" t="s">
        <v>693</v>
      </c>
      <c r="K29" s="76">
        <v>10</v>
      </c>
      <c r="L29" s="76"/>
      <c r="M29" s="84" t="s">
        <v>790</v>
      </c>
      <c r="N29" s="75"/>
      <c r="O29" s="76"/>
      <c r="P29" s="77"/>
      <c r="Q29" s="132" t="s">
        <v>738</v>
      </c>
      <c r="R29" s="135" t="s">
        <v>791</v>
      </c>
      <c r="S29" s="86" t="s">
        <v>826</v>
      </c>
      <c r="T29" s="86" t="s">
        <v>827</v>
      </c>
      <c r="U29" s="195" t="s">
        <v>854</v>
      </c>
      <c r="V29" s="86" t="s">
        <v>855</v>
      </c>
      <c r="W29" s="75"/>
      <c r="X29" s="84" t="s">
        <v>824</v>
      </c>
      <c r="Y29" s="84" t="s">
        <v>830</v>
      </c>
      <c r="Z29" s="195" t="s">
        <v>856</v>
      </c>
      <c r="AA29" s="133" t="s">
        <v>809</v>
      </c>
    </row>
    <row r="30" spans="1:27" s="33" customFormat="1" ht="99.75" hidden="1" customHeight="1">
      <c r="A30" s="27"/>
      <c r="B30" s="84" t="s">
        <v>651</v>
      </c>
      <c r="C30" s="84" t="s">
        <v>817</v>
      </c>
      <c r="D30" s="84" t="s">
        <v>652</v>
      </c>
      <c r="E30" s="133">
        <v>2</v>
      </c>
      <c r="F30" s="84" t="s">
        <v>743</v>
      </c>
      <c r="G30" s="84" t="s">
        <v>744</v>
      </c>
      <c r="H30" s="75" t="s">
        <v>745</v>
      </c>
      <c r="I30" s="76">
        <v>10</v>
      </c>
      <c r="J30" s="75" t="s">
        <v>746</v>
      </c>
      <c r="K30" s="76">
        <v>23</v>
      </c>
      <c r="L30" s="76">
        <v>6</v>
      </c>
      <c r="M30" s="84" t="s">
        <v>747</v>
      </c>
      <c r="N30" s="75"/>
      <c r="O30" s="76"/>
      <c r="P30" s="77"/>
      <c r="Q30" s="132" t="s">
        <v>738</v>
      </c>
      <c r="R30" s="135" t="s">
        <v>748</v>
      </c>
      <c r="S30" s="86" t="s">
        <v>826</v>
      </c>
      <c r="T30" s="86" t="s">
        <v>827</v>
      </c>
      <c r="U30" s="84" t="s">
        <v>857</v>
      </c>
      <c r="V30" s="86" t="s">
        <v>858</v>
      </c>
      <c r="W30" s="75"/>
      <c r="X30" s="84" t="s">
        <v>824</v>
      </c>
      <c r="Y30" s="84" t="s">
        <v>830</v>
      </c>
      <c r="Z30" s="84" t="s">
        <v>859</v>
      </c>
      <c r="AA30" s="133" t="s">
        <v>809</v>
      </c>
    </row>
    <row r="31" spans="1:27" s="33" customFormat="1" ht="99.75" hidden="1" customHeight="1">
      <c r="A31" s="27"/>
      <c r="B31" s="84" t="s">
        <v>651</v>
      </c>
      <c r="C31" s="84" t="s">
        <v>817</v>
      </c>
      <c r="D31" s="84" t="s">
        <v>652</v>
      </c>
      <c r="E31" s="133">
        <v>2</v>
      </c>
      <c r="F31" s="77" t="s">
        <v>795</v>
      </c>
      <c r="G31" s="77" t="s">
        <v>796</v>
      </c>
      <c r="H31" s="77" t="s">
        <v>797</v>
      </c>
      <c r="I31" s="76">
        <v>11</v>
      </c>
      <c r="J31" s="77" t="s">
        <v>693</v>
      </c>
      <c r="K31" s="76">
        <v>3</v>
      </c>
      <c r="L31" s="76"/>
      <c r="M31" s="86" t="s">
        <v>798</v>
      </c>
      <c r="N31" s="86"/>
      <c r="O31" s="76"/>
      <c r="P31" s="86" t="s">
        <v>799</v>
      </c>
      <c r="Q31" s="88"/>
      <c r="R31" s="77"/>
      <c r="S31" s="86" t="s">
        <v>826</v>
      </c>
      <c r="T31" s="86" t="s">
        <v>827</v>
      </c>
      <c r="U31" s="88" t="s">
        <v>816</v>
      </c>
      <c r="V31" s="86" t="s">
        <v>860</v>
      </c>
      <c r="W31" s="76"/>
      <c r="X31" s="84" t="s">
        <v>824</v>
      </c>
      <c r="Y31" s="88" t="s">
        <v>809</v>
      </c>
      <c r="Z31" s="88" t="s">
        <v>809</v>
      </c>
      <c r="AA31" s="221" t="s">
        <v>861</v>
      </c>
    </row>
    <row r="32" spans="1:27" s="33" customFormat="1" ht="99.75" hidden="1" customHeight="1">
      <c r="A32" s="27"/>
      <c r="B32" s="84" t="s">
        <v>651</v>
      </c>
      <c r="C32" s="84" t="s">
        <v>817</v>
      </c>
      <c r="D32" s="84" t="s">
        <v>652</v>
      </c>
      <c r="E32" s="133">
        <v>2</v>
      </c>
      <c r="F32" s="84" t="s">
        <v>803</v>
      </c>
      <c r="G32" s="84" t="s">
        <v>804</v>
      </c>
      <c r="H32" s="75" t="s">
        <v>805</v>
      </c>
      <c r="I32" s="76">
        <v>12</v>
      </c>
      <c r="J32" s="75" t="s">
        <v>693</v>
      </c>
      <c r="K32" s="76">
        <v>10</v>
      </c>
      <c r="L32" s="76"/>
      <c r="M32" s="84" t="s">
        <v>806</v>
      </c>
      <c r="N32" s="75"/>
      <c r="O32" s="76" t="s">
        <v>695</v>
      </c>
      <c r="P32" s="77"/>
      <c r="Q32" s="132"/>
      <c r="R32" s="135"/>
      <c r="S32" s="86" t="s">
        <v>826</v>
      </c>
      <c r="T32" s="86" t="s">
        <v>827</v>
      </c>
      <c r="U32" s="88" t="s">
        <v>862</v>
      </c>
      <c r="V32" s="86" t="s">
        <v>863</v>
      </c>
      <c r="W32" s="75"/>
      <c r="X32" s="88" t="s">
        <v>809</v>
      </c>
      <c r="Y32" s="88" t="s">
        <v>809</v>
      </c>
      <c r="Z32" s="88" t="s">
        <v>809</v>
      </c>
      <c r="AA32" s="133" t="s">
        <v>809</v>
      </c>
    </row>
    <row r="33" spans="1:27" s="33" customFormat="1" ht="99.75" hidden="1" customHeight="1">
      <c r="A33" s="27"/>
      <c r="B33" s="84" t="s">
        <v>651</v>
      </c>
      <c r="C33" s="84" t="s">
        <v>817</v>
      </c>
      <c r="D33" s="84" t="s">
        <v>652</v>
      </c>
      <c r="E33" s="133">
        <v>2</v>
      </c>
      <c r="F33" s="84" t="s">
        <v>810</v>
      </c>
      <c r="G33" s="84" t="s">
        <v>811</v>
      </c>
      <c r="H33" s="75" t="s">
        <v>812</v>
      </c>
      <c r="I33" s="76">
        <v>13</v>
      </c>
      <c r="J33" s="75" t="s">
        <v>813</v>
      </c>
      <c r="K33" s="76">
        <v>23</v>
      </c>
      <c r="L33" s="76"/>
      <c r="M33" s="84" t="s">
        <v>814</v>
      </c>
      <c r="N33" s="75"/>
      <c r="O33" s="76"/>
      <c r="P33" s="77"/>
      <c r="Q33" s="84"/>
      <c r="R33" s="84"/>
      <c r="S33" s="86" t="s">
        <v>826</v>
      </c>
      <c r="T33" s="86" t="s">
        <v>827</v>
      </c>
      <c r="U33" s="88" t="s">
        <v>816</v>
      </c>
      <c r="V33" s="86" t="s">
        <v>864</v>
      </c>
      <c r="W33" s="75"/>
      <c r="X33" s="88" t="s">
        <v>809</v>
      </c>
      <c r="Y33" s="88" t="s">
        <v>809</v>
      </c>
      <c r="Z33" s="88" t="s">
        <v>809</v>
      </c>
      <c r="AA33" s="133" t="s">
        <v>809</v>
      </c>
    </row>
    <row r="34" spans="1:27" s="33" customFormat="1" ht="99.75" customHeight="1">
      <c r="A34" s="27"/>
      <c r="B34" s="84" t="s">
        <v>865</v>
      </c>
      <c r="C34" s="161" t="s">
        <v>866</v>
      </c>
      <c r="D34" s="84" t="s">
        <v>867</v>
      </c>
      <c r="E34" s="133">
        <v>2</v>
      </c>
      <c r="F34" s="84" t="s">
        <v>690</v>
      </c>
      <c r="G34" s="84" t="s">
        <v>691</v>
      </c>
      <c r="H34" s="75" t="s">
        <v>868</v>
      </c>
      <c r="I34" s="76">
        <v>1</v>
      </c>
      <c r="J34" s="77" t="s">
        <v>693</v>
      </c>
      <c r="K34" s="76">
        <v>4</v>
      </c>
      <c r="L34" s="76"/>
      <c r="M34" s="84" t="s">
        <v>694</v>
      </c>
      <c r="N34" s="75"/>
      <c r="O34" s="76" t="s">
        <v>695</v>
      </c>
      <c r="P34" s="77"/>
      <c r="Q34" s="132" t="s">
        <v>869</v>
      </c>
      <c r="R34" s="135" t="s">
        <v>870</v>
      </c>
      <c r="S34" s="75"/>
      <c r="T34" s="75"/>
      <c r="U34" s="88"/>
      <c r="V34" s="75"/>
      <c r="W34" s="75"/>
      <c r="X34" s="88" t="s">
        <v>871</v>
      </c>
      <c r="Y34" s="84" t="s">
        <v>816</v>
      </c>
      <c r="Z34" s="84" t="s">
        <v>816</v>
      </c>
      <c r="AA34" s="133" t="s">
        <v>872</v>
      </c>
    </row>
    <row r="35" spans="1:27" s="33" customFormat="1" ht="99.75" customHeight="1">
      <c r="A35" s="27"/>
      <c r="B35" s="84" t="s">
        <v>865</v>
      </c>
      <c r="C35" s="161" t="s">
        <v>866</v>
      </c>
      <c r="D35" s="84" t="s">
        <v>867</v>
      </c>
      <c r="E35" s="133">
        <v>2</v>
      </c>
      <c r="F35" s="84" t="s">
        <v>705</v>
      </c>
      <c r="G35" s="84" t="s">
        <v>706</v>
      </c>
      <c r="H35" s="75" t="s">
        <v>868</v>
      </c>
      <c r="I35" s="76">
        <v>2</v>
      </c>
      <c r="J35" s="77" t="s">
        <v>693</v>
      </c>
      <c r="K35" s="76">
        <v>30</v>
      </c>
      <c r="L35" s="76"/>
      <c r="M35" s="84" t="s">
        <v>707</v>
      </c>
      <c r="N35" s="75"/>
      <c r="O35" s="76" t="s">
        <v>695</v>
      </c>
      <c r="P35" s="77"/>
      <c r="Q35" s="132" t="s">
        <v>869</v>
      </c>
      <c r="R35" s="135" t="s">
        <v>870</v>
      </c>
      <c r="S35" s="75"/>
      <c r="T35" s="75"/>
      <c r="U35" s="86"/>
      <c r="V35" s="75"/>
      <c r="W35" s="75"/>
      <c r="X35" s="88" t="s">
        <v>871</v>
      </c>
      <c r="Y35" s="84" t="s">
        <v>873</v>
      </c>
      <c r="Z35" s="84" t="s">
        <v>874</v>
      </c>
      <c r="AA35" s="133" t="s">
        <v>816</v>
      </c>
    </row>
    <row r="36" spans="1:27" s="33" customFormat="1" ht="99.75" customHeight="1">
      <c r="A36" s="27"/>
      <c r="B36" s="84" t="s">
        <v>865</v>
      </c>
      <c r="C36" s="161" t="s">
        <v>866</v>
      </c>
      <c r="D36" s="84" t="s">
        <v>867</v>
      </c>
      <c r="E36" s="133">
        <v>2</v>
      </c>
      <c r="F36" s="84" t="s">
        <v>715</v>
      </c>
      <c r="G36" s="84" t="s">
        <v>716</v>
      </c>
      <c r="H36" s="75" t="s">
        <v>745</v>
      </c>
      <c r="I36" s="76">
        <v>3</v>
      </c>
      <c r="J36" s="75" t="s">
        <v>875</v>
      </c>
      <c r="K36" s="76"/>
      <c r="L36" s="76"/>
      <c r="M36" s="84" t="s">
        <v>876</v>
      </c>
      <c r="N36" s="75"/>
      <c r="O36" s="76" t="s">
        <v>695</v>
      </c>
      <c r="P36" s="77"/>
      <c r="Q36" s="132" t="s">
        <v>877</v>
      </c>
      <c r="R36" s="135" t="s">
        <v>721</v>
      </c>
      <c r="S36" s="75"/>
      <c r="T36" s="75"/>
      <c r="U36" s="75"/>
      <c r="V36" s="75"/>
      <c r="W36" s="75"/>
      <c r="X36" s="88" t="s">
        <v>871</v>
      </c>
      <c r="Y36" s="86" t="s">
        <v>878</v>
      </c>
      <c r="Z36" s="84" t="s">
        <v>879</v>
      </c>
      <c r="AA36" s="133" t="s">
        <v>816</v>
      </c>
    </row>
    <row r="37" spans="1:27" s="33" customFormat="1" ht="99.75" customHeight="1">
      <c r="A37" s="27"/>
      <c r="B37" s="84" t="s">
        <v>865</v>
      </c>
      <c r="C37" s="161" t="s">
        <v>866</v>
      </c>
      <c r="D37" s="84" t="s">
        <v>867</v>
      </c>
      <c r="E37" s="133">
        <v>2</v>
      </c>
      <c r="F37" s="84" t="s">
        <v>726</v>
      </c>
      <c r="G37" s="84" t="s">
        <v>727</v>
      </c>
      <c r="H37" s="75" t="s">
        <v>880</v>
      </c>
      <c r="I37" s="76">
        <v>4</v>
      </c>
      <c r="J37" s="75" t="s">
        <v>718</v>
      </c>
      <c r="K37" s="76"/>
      <c r="L37" s="76"/>
      <c r="M37" s="84" t="s">
        <v>881</v>
      </c>
      <c r="N37" s="75"/>
      <c r="O37" s="76" t="s">
        <v>695</v>
      </c>
      <c r="P37" s="77"/>
      <c r="Q37" s="132" t="s">
        <v>877</v>
      </c>
      <c r="R37" s="135" t="s">
        <v>721</v>
      </c>
      <c r="S37" s="75"/>
      <c r="T37" s="75"/>
      <c r="U37" s="75"/>
      <c r="V37" s="75"/>
      <c r="W37" s="75"/>
      <c r="X37" s="88" t="s">
        <v>871</v>
      </c>
      <c r="Y37" s="86" t="s">
        <v>878</v>
      </c>
      <c r="Z37" s="84" t="s">
        <v>882</v>
      </c>
      <c r="AA37" s="133" t="s">
        <v>816</v>
      </c>
    </row>
    <row r="38" spans="1:27" s="33" customFormat="1" ht="99.75" customHeight="1">
      <c r="A38" s="27"/>
      <c r="B38" s="201" t="s">
        <v>865</v>
      </c>
      <c r="C38" s="205" t="s">
        <v>866</v>
      </c>
      <c r="D38" s="201" t="s">
        <v>867</v>
      </c>
      <c r="E38" s="209">
        <v>2</v>
      </c>
      <c r="F38" s="205" t="s">
        <v>752</v>
      </c>
      <c r="G38" s="205" t="s">
        <v>753</v>
      </c>
      <c r="H38" s="204" t="s">
        <v>777</v>
      </c>
      <c r="I38" s="87">
        <v>5</v>
      </c>
      <c r="J38" s="204" t="s">
        <v>693</v>
      </c>
      <c r="K38" s="87">
        <v>20</v>
      </c>
      <c r="L38" s="87"/>
      <c r="M38" s="205" t="s">
        <v>755</v>
      </c>
      <c r="N38" s="204"/>
      <c r="O38" s="87"/>
      <c r="P38" s="208" t="s">
        <v>883</v>
      </c>
      <c r="Q38" s="210" t="s">
        <v>840</v>
      </c>
      <c r="R38" s="218" t="s">
        <v>841</v>
      </c>
      <c r="S38" s="204"/>
      <c r="T38" s="204"/>
      <c r="U38" s="204"/>
      <c r="V38" s="204"/>
      <c r="W38" s="204"/>
      <c r="X38" s="208" t="s">
        <v>871</v>
      </c>
      <c r="Y38" s="211" t="s">
        <v>878</v>
      </c>
      <c r="Z38" s="201" t="s">
        <v>884</v>
      </c>
      <c r="AA38" s="209" t="s">
        <v>816</v>
      </c>
    </row>
    <row r="39" spans="1:27" s="33" customFormat="1" ht="99.75" customHeight="1">
      <c r="A39" s="27"/>
      <c r="B39" s="201" t="s">
        <v>865</v>
      </c>
      <c r="C39" s="205" t="s">
        <v>866</v>
      </c>
      <c r="D39" s="201" t="s">
        <v>867</v>
      </c>
      <c r="E39" s="209">
        <v>2</v>
      </c>
      <c r="F39" s="203" t="s">
        <v>764</v>
      </c>
      <c r="G39" s="203" t="s">
        <v>765</v>
      </c>
      <c r="H39" s="204" t="s">
        <v>766</v>
      </c>
      <c r="I39" s="87">
        <v>6</v>
      </c>
      <c r="J39" s="204" t="s">
        <v>693</v>
      </c>
      <c r="K39" s="87">
        <v>4</v>
      </c>
      <c r="L39" s="87"/>
      <c r="M39" s="205" t="s">
        <v>767</v>
      </c>
      <c r="N39" s="204"/>
      <c r="O39" s="87"/>
      <c r="P39" s="206"/>
      <c r="Q39" s="207"/>
      <c r="R39" s="207"/>
      <c r="S39" s="210"/>
      <c r="T39" s="210"/>
      <c r="U39" s="210"/>
      <c r="V39" s="210"/>
      <c r="W39" s="204"/>
      <c r="X39" s="208" t="s">
        <v>871</v>
      </c>
      <c r="Y39" s="211" t="s">
        <v>885</v>
      </c>
      <c r="Z39" s="203" t="s">
        <v>886</v>
      </c>
      <c r="AA39" s="202" t="s">
        <v>887</v>
      </c>
    </row>
    <row r="40" spans="1:27" s="33" customFormat="1" ht="99.75" customHeight="1">
      <c r="A40" s="27"/>
      <c r="B40" s="84" t="s">
        <v>865</v>
      </c>
      <c r="C40" s="161" t="s">
        <v>866</v>
      </c>
      <c r="D40" s="84" t="s">
        <v>867</v>
      </c>
      <c r="E40" s="133">
        <v>2</v>
      </c>
      <c r="F40" s="84" t="s">
        <v>888</v>
      </c>
      <c r="G40" s="84" t="s">
        <v>889</v>
      </c>
      <c r="H40" s="75" t="s">
        <v>890</v>
      </c>
      <c r="I40" s="76">
        <v>7</v>
      </c>
      <c r="J40" s="75" t="s">
        <v>693</v>
      </c>
      <c r="K40" s="76">
        <v>16</v>
      </c>
      <c r="L40" s="76"/>
      <c r="M40" s="84" t="s">
        <v>891</v>
      </c>
      <c r="N40" s="75"/>
      <c r="O40" s="76"/>
      <c r="P40" s="77"/>
      <c r="Q40" s="132" t="s">
        <v>892</v>
      </c>
      <c r="R40" s="135" t="s">
        <v>888</v>
      </c>
      <c r="S40" s="75"/>
      <c r="T40" s="75"/>
      <c r="U40" s="75"/>
      <c r="V40" s="75"/>
      <c r="W40" s="75"/>
      <c r="X40" s="88" t="s">
        <v>871</v>
      </c>
      <c r="Y40" s="86" t="s">
        <v>893</v>
      </c>
      <c r="Z40" s="84" t="s">
        <v>894</v>
      </c>
      <c r="AA40" s="133" t="s">
        <v>895</v>
      </c>
    </row>
    <row r="41" spans="1:27" s="33" customFormat="1" ht="99.75" customHeight="1">
      <c r="A41" s="27"/>
      <c r="B41" s="132" t="s">
        <v>865</v>
      </c>
      <c r="C41" s="161" t="s">
        <v>866</v>
      </c>
      <c r="D41" s="84" t="s">
        <v>867</v>
      </c>
      <c r="E41" s="133">
        <v>2</v>
      </c>
      <c r="F41" s="84" t="s">
        <v>896</v>
      </c>
      <c r="G41" s="84" t="s">
        <v>897</v>
      </c>
      <c r="H41" s="75" t="s">
        <v>898</v>
      </c>
      <c r="I41" s="76">
        <v>8</v>
      </c>
      <c r="J41" s="75" t="s">
        <v>693</v>
      </c>
      <c r="K41" s="76">
        <v>5</v>
      </c>
      <c r="L41" s="76"/>
      <c r="M41" s="86" t="s">
        <v>899</v>
      </c>
      <c r="N41" s="75"/>
      <c r="O41" s="76"/>
      <c r="P41" s="77"/>
      <c r="Q41" s="132"/>
      <c r="R41" s="135"/>
      <c r="S41" s="75"/>
      <c r="T41" s="75"/>
      <c r="U41" s="75"/>
      <c r="V41" s="75"/>
      <c r="W41" s="75"/>
      <c r="X41" s="88" t="s">
        <v>871</v>
      </c>
      <c r="Y41" s="86" t="s">
        <v>893</v>
      </c>
      <c r="Z41" s="86" t="s">
        <v>900</v>
      </c>
      <c r="AA41" s="133" t="s">
        <v>895</v>
      </c>
    </row>
    <row r="42" spans="1:27" s="33" customFormat="1" ht="99.75" customHeight="1">
      <c r="A42" s="27"/>
      <c r="B42" s="272" t="s">
        <v>865</v>
      </c>
      <c r="C42" s="273" t="s">
        <v>866</v>
      </c>
      <c r="D42" s="272" t="s">
        <v>867</v>
      </c>
      <c r="E42" s="274">
        <v>2</v>
      </c>
      <c r="F42" s="272" t="s">
        <v>901</v>
      </c>
      <c r="G42" s="272" t="s">
        <v>902</v>
      </c>
      <c r="H42" s="275" t="s">
        <v>766</v>
      </c>
      <c r="I42" s="276">
        <v>9</v>
      </c>
      <c r="J42" s="275" t="s">
        <v>693</v>
      </c>
      <c r="K42" s="276">
        <v>4</v>
      </c>
      <c r="L42" s="276"/>
      <c r="M42" s="272" t="s">
        <v>903</v>
      </c>
      <c r="N42" s="275"/>
      <c r="O42" s="276"/>
      <c r="P42" s="277"/>
      <c r="Q42" s="272" t="s">
        <v>738</v>
      </c>
      <c r="R42" s="272" t="s">
        <v>904</v>
      </c>
      <c r="S42" s="275"/>
      <c r="T42" s="275"/>
      <c r="U42" s="275"/>
      <c r="V42" s="275"/>
      <c r="W42" s="275"/>
      <c r="X42" s="278" t="s">
        <v>871</v>
      </c>
      <c r="Y42" s="279" t="s">
        <v>893</v>
      </c>
      <c r="Z42" s="272" t="s">
        <v>905</v>
      </c>
      <c r="AA42" s="274" t="s">
        <v>906</v>
      </c>
    </row>
    <row r="43" spans="1:27" s="33" customFormat="1" ht="99.75" customHeight="1">
      <c r="A43" s="27"/>
      <c r="B43" s="272" t="s">
        <v>865</v>
      </c>
      <c r="C43" s="273" t="s">
        <v>866</v>
      </c>
      <c r="D43" s="272" t="s">
        <v>867</v>
      </c>
      <c r="E43" s="274">
        <v>2</v>
      </c>
      <c r="F43" s="272" t="s">
        <v>907</v>
      </c>
      <c r="G43" s="272" t="s">
        <v>908</v>
      </c>
      <c r="H43" s="275" t="s">
        <v>766</v>
      </c>
      <c r="I43" s="276">
        <v>10</v>
      </c>
      <c r="J43" s="275" t="s">
        <v>693</v>
      </c>
      <c r="K43" s="276">
        <v>4</v>
      </c>
      <c r="L43" s="276"/>
      <c r="M43" s="272" t="s">
        <v>909</v>
      </c>
      <c r="N43" s="275"/>
      <c r="O43" s="276"/>
      <c r="P43" s="277"/>
      <c r="Q43" s="280" t="s">
        <v>738</v>
      </c>
      <c r="R43" s="281" t="s">
        <v>910</v>
      </c>
      <c r="S43" s="275"/>
      <c r="T43" s="275"/>
      <c r="U43" s="275"/>
      <c r="V43" s="275"/>
      <c r="W43" s="275"/>
      <c r="X43" s="278" t="s">
        <v>871</v>
      </c>
      <c r="Y43" s="279" t="s">
        <v>893</v>
      </c>
      <c r="Z43" s="272" t="s">
        <v>911</v>
      </c>
      <c r="AA43" s="274" t="s">
        <v>912</v>
      </c>
    </row>
    <row r="44" spans="1:27" s="33" customFormat="1" ht="99.75" customHeight="1">
      <c r="A44" s="27"/>
      <c r="B44" s="84" t="s">
        <v>865</v>
      </c>
      <c r="C44" s="161" t="s">
        <v>866</v>
      </c>
      <c r="D44" s="84" t="s">
        <v>867</v>
      </c>
      <c r="E44" s="133">
        <v>2</v>
      </c>
      <c r="F44" s="84" t="s">
        <v>913</v>
      </c>
      <c r="G44" s="84" t="s">
        <v>914</v>
      </c>
      <c r="H44" s="75" t="s">
        <v>915</v>
      </c>
      <c r="I44" s="76">
        <v>11</v>
      </c>
      <c r="J44" s="75" t="s">
        <v>693</v>
      </c>
      <c r="K44" s="76">
        <v>4</v>
      </c>
      <c r="L44" s="76"/>
      <c r="M44" s="84" t="s">
        <v>916</v>
      </c>
      <c r="N44" s="75"/>
      <c r="O44" s="76"/>
      <c r="P44" s="77"/>
      <c r="Q44" s="132" t="s">
        <v>892</v>
      </c>
      <c r="R44" s="135" t="s">
        <v>917</v>
      </c>
      <c r="S44" s="75"/>
      <c r="T44" s="75"/>
      <c r="U44" s="75"/>
      <c r="V44" s="75"/>
      <c r="W44" s="75"/>
      <c r="X44" s="88" t="s">
        <v>871</v>
      </c>
      <c r="Y44" s="86" t="s">
        <v>918</v>
      </c>
      <c r="Z44" s="84" t="s">
        <v>919</v>
      </c>
      <c r="AA44" s="133" t="s">
        <v>895</v>
      </c>
    </row>
    <row r="45" spans="1:27" s="33" customFormat="1" ht="99.75" customHeight="1">
      <c r="A45" s="27"/>
      <c r="B45" s="84" t="s">
        <v>865</v>
      </c>
      <c r="C45" s="161" t="s">
        <v>866</v>
      </c>
      <c r="D45" s="84" t="s">
        <v>867</v>
      </c>
      <c r="E45" s="133">
        <v>2</v>
      </c>
      <c r="F45" s="84" t="s">
        <v>920</v>
      </c>
      <c r="G45" s="84" t="s">
        <v>921</v>
      </c>
      <c r="H45" s="75" t="s">
        <v>922</v>
      </c>
      <c r="I45" s="76">
        <v>12</v>
      </c>
      <c r="J45" s="75" t="s">
        <v>693</v>
      </c>
      <c r="K45" s="76">
        <v>20</v>
      </c>
      <c r="L45" s="76"/>
      <c r="M45" s="84" t="s">
        <v>923</v>
      </c>
      <c r="N45" s="75"/>
      <c r="O45" s="76"/>
      <c r="P45" s="88" t="s">
        <v>924</v>
      </c>
      <c r="Q45" s="132" t="s">
        <v>892</v>
      </c>
      <c r="R45" s="135" t="s">
        <v>925</v>
      </c>
      <c r="S45" s="75"/>
      <c r="T45" s="75"/>
      <c r="U45" s="84" t="s">
        <v>853</v>
      </c>
      <c r="V45" s="75"/>
      <c r="W45" s="75"/>
      <c r="X45" s="88" t="s">
        <v>871</v>
      </c>
      <c r="Y45" s="86" t="s">
        <v>918</v>
      </c>
      <c r="Z45" s="84" t="s">
        <v>919</v>
      </c>
      <c r="AA45" s="133" t="s">
        <v>895</v>
      </c>
    </row>
    <row r="46" spans="1:27" s="33" customFormat="1" ht="99.75" customHeight="1">
      <c r="A46" s="27"/>
      <c r="B46" s="84" t="s">
        <v>865</v>
      </c>
      <c r="C46" s="161" t="s">
        <v>866</v>
      </c>
      <c r="D46" s="84" t="s">
        <v>867</v>
      </c>
      <c r="E46" s="133">
        <v>2</v>
      </c>
      <c r="F46" s="160" t="s">
        <v>926</v>
      </c>
      <c r="G46" s="160" t="s">
        <v>927</v>
      </c>
      <c r="H46" s="75" t="s">
        <v>777</v>
      </c>
      <c r="I46" s="76">
        <v>13</v>
      </c>
      <c r="J46" s="75" t="s">
        <v>693</v>
      </c>
      <c r="K46" s="76">
        <v>5</v>
      </c>
      <c r="L46" s="76"/>
      <c r="M46" s="84" t="s">
        <v>928</v>
      </c>
      <c r="N46" s="75"/>
      <c r="O46" s="76"/>
      <c r="P46" s="88" t="s">
        <v>929</v>
      </c>
      <c r="Q46" s="132" t="s">
        <v>738</v>
      </c>
      <c r="R46" s="219" t="s">
        <v>930</v>
      </c>
      <c r="S46" s="75"/>
      <c r="T46" s="75"/>
      <c r="U46" s="75"/>
      <c r="V46" s="75"/>
      <c r="W46" s="75"/>
      <c r="X46" s="88" t="s">
        <v>871</v>
      </c>
      <c r="Y46" s="86" t="s">
        <v>893</v>
      </c>
      <c r="Z46" s="84" t="s">
        <v>931</v>
      </c>
      <c r="AA46" s="133" t="s">
        <v>932</v>
      </c>
    </row>
    <row r="47" spans="1:27" s="33" customFormat="1" ht="99.75" customHeight="1">
      <c r="A47" s="27"/>
      <c r="B47" s="84" t="s">
        <v>865</v>
      </c>
      <c r="C47" s="161" t="s">
        <v>866</v>
      </c>
      <c r="D47" s="84" t="s">
        <v>867</v>
      </c>
      <c r="E47" s="133">
        <v>2</v>
      </c>
      <c r="F47" s="161" t="s">
        <v>775</v>
      </c>
      <c r="G47" s="161" t="s">
        <v>776</v>
      </c>
      <c r="H47" s="75" t="s">
        <v>777</v>
      </c>
      <c r="I47" s="76">
        <v>14</v>
      </c>
      <c r="J47" s="75" t="s">
        <v>693</v>
      </c>
      <c r="K47" s="76">
        <v>3</v>
      </c>
      <c r="L47" s="76"/>
      <c r="M47" s="84" t="s">
        <v>778</v>
      </c>
      <c r="N47" s="75"/>
      <c r="O47" s="76"/>
      <c r="P47" s="88" t="s">
        <v>929</v>
      </c>
      <c r="Q47" s="132" t="s">
        <v>738</v>
      </c>
      <c r="R47" s="135" t="s">
        <v>780</v>
      </c>
      <c r="S47" s="75"/>
      <c r="T47" s="75"/>
      <c r="U47" s="75"/>
      <c r="V47" s="75"/>
      <c r="W47" s="75"/>
      <c r="X47" s="88" t="s">
        <v>871</v>
      </c>
      <c r="Y47" s="86" t="s">
        <v>878</v>
      </c>
      <c r="Z47" s="84" t="s">
        <v>933</v>
      </c>
      <c r="AA47" s="133" t="s">
        <v>816</v>
      </c>
    </row>
    <row r="48" spans="1:27" s="33" customFormat="1" ht="99.75" customHeight="1">
      <c r="A48" s="27"/>
      <c r="B48" s="84" t="s">
        <v>865</v>
      </c>
      <c r="C48" s="161" t="s">
        <v>866</v>
      </c>
      <c r="D48" s="84" t="s">
        <v>867</v>
      </c>
      <c r="E48" s="133">
        <v>2</v>
      </c>
      <c r="F48" s="84" t="s">
        <v>734</v>
      </c>
      <c r="G48" s="84" t="s">
        <v>735</v>
      </c>
      <c r="H48" s="75" t="s">
        <v>736</v>
      </c>
      <c r="I48" s="76">
        <v>15</v>
      </c>
      <c r="J48" s="75" t="s">
        <v>693</v>
      </c>
      <c r="K48" s="76">
        <v>10</v>
      </c>
      <c r="L48" s="76"/>
      <c r="M48" s="84" t="s">
        <v>737</v>
      </c>
      <c r="N48" s="75"/>
      <c r="O48" s="76"/>
      <c r="P48" s="77"/>
      <c r="Q48" s="132" t="s">
        <v>738</v>
      </c>
      <c r="R48" s="135" t="s">
        <v>791</v>
      </c>
      <c r="S48" s="75"/>
      <c r="T48" s="75"/>
      <c r="U48" s="75"/>
      <c r="V48" s="75"/>
      <c r="W48" s="75"/>
      <c r="X48" s="88" t="s">
        <v>871</v>
      </c>
      <c r="Y48" s="86" t="s">
        <v>878</v>
      </c>
      <c r="Z48" s="84" t="s">
        <v>934</v>
      </c>
      <c r="AA48" s="133" t="s">
        <v>816</v>
      </c>
    </row>
    <row r="49" spans="1:27" s="33" customFormat="1" ht="99.75" customHeight="1">
      <c r="A49" s="27"/>
      <c r="B49" s="84" t="s">
        <v>865</v>
      </c>
      <c r="C49" s="161" t="s">
        <v>866</v>
      </c>
      <c r="D49" s="84" t="s">
        <v>867</v>
      </c>
      <c r="E49" s="133">
        <v>2</v>
      </c>
      <c r="F49" s="84" t="s">
        <v>788</v>
      </c>
      <c r="G49" s="84" t="s">
        <v>789</v>
      </c>
      <c r="H49" s="75" t="s">
        <v>736</v>
      </c>
      <c r="I49" s="76">
        <v>16</v>
      </c>
      <c r="J49" s="75" t="s">
        <v>693</v>
      </c>
      <c r="K49" s="76">
        <v>10</v>
      </c>
      <c r="L49" s="76"/>
      <c r="M49" s="84" t="s">
        <v>790</v>
      </c>
      <c r="N49" s="75"/>
      <c r="O49" s="76"/>
      <c r="P49" s="77"/>
      <c r="Q49" s="132" t="s">
        <v>738</v>
      </c>
      <c r="R49" s="135" t="s">
        <v>739</v>
      </c>
      <c r="S49" s="75"/>
      <c r="T49" s="75"/>
      <c r="U49" s="75"/>
      <c r="V49" s="75"/>
      <c r="W49" s="75"/>
      <c r="X49" s="88" t="s">
        <v>871</v>
      </c>
      <c r="Y49" s="86" t="s">
        <v>878</v>
      </c>
      <c r="Z49" s="84" t="s">
        <v>935</v>
      </c>
      <c r="AA49" s="133" t="s">
        <v>816</v>
      </c>
    </row>
    <row r="50" spans="1:27" s="33" customFormat="1" ht="99.75" customHeight="1">
      <c r="A50" s="27"/>
      <c r="B50" s="84" t="s">
        <v>865</v>
      </c>
      <c r="C50" s="161" t="s">
        <v>866</v>
      </c>
      <c r="D50" s="84" t="s">
        <v>867</v>
      </c>
      <c r="E50" s="133">
        <v>2</v>
      </c>
      <c r="F50" s="160" t="s">
        <v>936</v>
      </c>
      <c r="G50" s="160" t="s">
        <v>937</v>
      </c>
      <c r="H50" s="75" t="s">
        <v>745</v>
      </c>
      <c r="I50" s="76">
        <v>17</v>
      </c>
      <c r="J50" s="75" t="s">
        <v>693</v>
      </c>
      <c r="K50" s="76"/>
      <c r="L50" s="76"/>
      <c r="M50" s="84" t="s">
        <v>938</v>
      </c>
      <c r="N50" s="75"/>
      <c r="O50" s="76"/>
      <c r="P50" s="77"/>
      <c r="Q50" s="132" t="s">
        <v>738</v>
      </c>
      <c r="R50" s="219" t="s">
        <v>939</v>
      </c>
      <c r="S50" s="75"/>
      <c r="T50" s="75"/>
      <c r="U50" s="75"/>
      <c r="V50" s="75"/>
      <c r="W50" s="75"/>
      <c r="X50" s="88" t="s">
        <v>871</v>
      </c>
      <c r="Y50" s="86" t="s">
        <v>940</v>
      </c>
      <c r="Z50" s="84" t="s">
        <v>941</v>
      </c>
      <c r="AA50" s="133" t="s">
        <v>942</v>
      </c>
    </row>
    <row r="51" spans="1:27" s="33" customFormat="1" ht="99.75" customHeight="1">
      <c r="A51" s="27"/>
      <c r="B51" s="84" t="s">
        <v>865</v>
      </c>
      <c r="C51" s="161" t="s">
        <v>866</v>
      </c>
      <c r="D51" s="84" t="s">
        <v>867</v>
      </c>
      <c r="E51" s="133">
        <v>2</v>
      </c>
      <c r="F51" s="84" t="s">
        <v>743</v>
      </c>
      <c r="G51" s="84" t="s">
        <v>744</v>
      </c>
      <c r="H51" s="75" t="s">
        <v>745</v>
      </c>
      <c r="I51" s="76">
        <v>18</v>
      </c>
      <c r="J51" s="75" t="s">
        <v>746</v>
      </c>
      <c r="K51" s="76">
        <v>23</v>
      </c>
      <c r="L51" s="76">
        <v>6</v>
      </c>
      <c r="M51" s="84" t="s">
        <v>747</v>
      </c>
      <c r="N51" s="75"/>
      <c r="O51" s="76"/>
      <c r="P51" s="77"/>
      <c r="Q51" s="132" t="s">
        <v>738</v>
      </c>
      <c r="R51" s="135" t="s">
        <v>748</v>
      </c>
      <c r="S51" s="75"/>
      <c r="T51" s="75"/>
      <c r="U51" s="75"/>
      <c r="V51" s="75"/>
      <c r="W51" s="75"/>
      <c r="X51" s="88" t="s">
        <v>871</v>
      </c>
      <c r="Y51" s="86" t="s">
        <v>943</v>
      </c>
      <c r="Z51" s="84" t="s">
        <v>944</v>
      </c>
      <c r="AA51" s="133" t="s">
        <v>816</v>
      </c>
    </row>
    <row r="52" spans="1:27" s="33" customFormat="1" ht="99.75" customHeight="1">
      <c r="A52" s="27"/>
      <c r="B52" s="84" t="s">
        <v>865</v>
      </c>
      <c r="C52" s="161" t="s">
        <v>866</v>
      </c>
      <c r="D52" s="84" t="s">
        <v>867</v>
      </c>
      <c r="E52" s="133">
        <v>2</v>
      </c>
      <c r="F52" s="160" t="s">
        <v>945</v>
      </c>
      <c r="G52" s="160" t="s">
        <v>946</v>
      </c>
      <c r="H52" s="75" t="s">
        <v>947</v>
      </c>
      <c r="I52" s="76">
        <v>19</v>
      </c>
      <c r="J52" s="75" t="s">
        <v>693</v>
      </c>
      <c r="K52" s="76">
        <v>4</v>
      </c>
      <c r="L52" s="76"/>
      <c r="M52" s="84" t="s">
        <v>948</v>
      </c>
      <c r="N52" s="75"/>
      <c r="O52" s="76"/>
      <c r="P52" s="88" t="s">
        <v>949</v>
      </c>
      <c r="Q52" s="75" t="s">
        <v>892</v>
      </c>
      <c r="R52" s="75" t="s">
        <v>950</v>
      </c>
      <c r="S52" s="75"/>
      <c r="T52" s="75"/>
      <c r="U52" s="75"/>
      <c r="V52" s="75"/>
      <c r="W52" s="75"/>
      <c r="X52" s="88" t="s">
        <v>871</v>
      </c>
      <c r="Y52" s="86" t="s">
        <v>951</v>
      </c>
      <c r="Z52" s="86" t="s">
        <v>952</v>
      </c>
      <c r="AA52" s="133" t="s">
        <v>953</v>
      </c>
    </row>
    <row r="53" spans="1:27" s="33" customFormat="1" ht="99.75" customHeight="1">
      <c r="A53" s="27"/>
      <c r="B53" s="84" t="s">
        <v>865</v>
      </c>
      <c r="C53" s="161" t="s">
        <v>866</v>
      </c>
      <c r="D53" s="84" t="s">
        <v>867</v>
      </c>
      <c r="E53" s="133">
        <v>2</v>
      </c>
      <c r="F53" s="160" t="s">
        <v>954</v>
      </c>
      <c r="G53" s="160" t="s">
        <v>955</v>
      </c>
      <c r="H53" s="75" t="s">
        <v>956</v>
      </c>
      <c r="I53" s="76">
        <v>20</v>
      </c>
      <c r="J53" s="75" t="s">
        <v>693</v>
      </c>
      <c r="K53" s="76"/>
      <c r="L53" s="76"/>
      <c r="M53" s="84" t="s">
        <v>957</v>
      </c>
      <c r="N53" s="75"/>
      <c r="O53" s="76"/>
      <c r="P53" s="77"/>
      <c r="Q53" s="86" t="s">
        <v>877</v>
      </c>
      <c r="R53" s="86" t="s">
        <v>958</v>
      </c>
      <c r="S53" s="75"/>
      <c r="T53" s="75"/>
      <c r="U53" s="75"/>
      <c r="V53" s="75"/>
      <c r="W53" s="75"/>
      <c r="X53" s="88" t="s">
        <v>871</v>
      </c>
      <c r="Y53" s="86" t="s">
        <v>959</v>
      </c>
      <c r="Z53" s="86" t="s">
        <v>960</v>
      </c>
      <c r="AA53" s="133" t="s">
        <v>961</v>
      </c>
    </row>
    <row r="54" spans="1:27" s="33" customFormat="1" ht="99.75" customHeight="1">
      <c r="A54" s="27"/>
      <c r="B54" s="84" t="s">
        <v>865</v>
      </c>
      <c r="C54" s="161" t="s">
        <v>866</v>
      </c>
      <c r="D54" s="84" t="s">
        <v>867</v>
      </c>
      <c r="E54" s="133">
        <v>2</v>
      </c>
      <c r="F54" s="84" t="s">
        <v>962</v>
      </c>
      <c r="G54" s="84" t="s">
        <v>963</v>
      </c>
      <c r="H54" s="75" t="s">
        <v>947</v>
      </c>
      <c r="I54" s="76">
        <v>21</v>
      </c>
      <c r="J54" s="75" t="s">
        <v>693</v>
      </c>
      <c r="K54" s="76">
        <v>10</v>
      </c>
      <c r="L54" s="76"/>
      <c r="M54" s="84" t="s">
        <v>964</v>
      </c>
      <c r="N54" s="75"/>
      <c r="O54" s="76"/>
      <c r="P54" s="88" t="s">
        <v>965</v>
      </c>
      <c r="Q54" s="132" t="s">
        <v>892</v>
      </c>
      <c r="R54" s="135" t="s">
        <v>962</v>
      </c>
      <c r="S54" s="75"/>
      <c r="T54" s="75"/>
      <c r="U54" s="75"/>
      <c r="V54" s="75"/>
      <c r="W54" s="75"/>
      <c r="X54" s="88" t="s">
        <v>871</v>
      </c>
      <c r="Y54" s="86" t="s">
        <v>951</v>
      </c>
      <c r="Z54" s="84" t="s">
        <v>966</v>
      </c>
      <c r="AA54" s="133" t="s">
        <v>953</v>
      </c>
    </row>
    <row r="55" spans="1:27" s="33" customFormat="1" ht="99.75" customHeight="1">
      <c r="A55" s="27"/>
      <c r="B55" s="84" t="s">
        <v>865</v>
      </c>
      <c r="C55" s="161" t="s">
        <v>866</v>
      </c>
      <c r="D55" s="84" t="s">
        <v>867</v>
      </c>
      <c r="E55" s="133">
        <v>2</v>
      </c>
      <c r="F55" s="84" t="s">
        <v>967</v>
      </c>
      <c r="G55" s="84" t="s">
        <v>968</v>
      </c>
      <c r="H55" s="75" t="s">
        <v>969</v>
      </c>
      <c r="I55" s="76">
        <v>22</v>
      </c>
      <c r="J55" s="75" t="s">
        <v>693</v>
      </c>
      <c r="K55" s="76">
        <v>10</v>
      </c>
      <c r="L55" s="76"/>
      <c r="M55" s="84" t="s">
        <v>970</v>
      </c>
      <c r="N55" s="75"/>
      <c r="O55" s="76"/>
      <c r="P55" s="88" t="s">
        <v>971</v>
      </c>
      <c r="Q55" s="132" t="s">
        <v>892</v>
      </c>
      <c r="R55" s="135" t="s">
        <v>967</v>
      </c>
      <c r="S55" s="75"/>
      <c r="T55" s="75"/>
      <c r="U55" s="75"/>
      <c r="V55" s="75"/>
      <c r="W55" s="75"/>
      <c r="X55" s="88" t="s">
        <v>871</v>
      </c>
      <c r="Y55" s="86" t="s">
        <v>959</v>
      </c>
      <c r="Z55" s="84" t="s">
        <v>972</v>
      </c>
      <c r="AA55" s="133" t="s">
        <v>961</v>
      </c>
    </row>
    <row r="56" spans="1:27" s="33" customFormat="1" ht="99.75" customHeight="1">
      <c r="A56" s="27"/>
      <c r="B56" s="84" t="s">
        <v>865</v>
      </c>
      <c r="C56" s="161" t="s">
        <v>866</v>
      </c>
      <c r="D56" s="84" t="s">
        <v>867</v>
      </c>
      <c r="E56" s="133">
        <v>2</v>
      </c>
      <c r="F56" s="84" t="s">
        <v>973</v>
      </c>
      <c r="G56" s="84" t="s">
        <v>974</v>
      </c>
      <c r="H56" s="75" t="s">
        <v>975</v>
      </c>
      <c r="I56" s="76">
        <v>23</v>
      </c>
      <c r="J56" s="75" t="s">
        <v>693</v>
      </c>
      <c r="K56" s="76">
        <v>20</v>
      </c>
      <c r="L56" s="76"/>
      <c r="M56" s="84" t="s">
        <v>976</v>
      </c>
      <c r="N56" s="75"/>
      <c r="O56" s="76"/>
      <c r="P56" s="88"/>
      <c r="Q56" s="132" t="s">
        <v>892</v>
      </c>
      <c r="R56" s="135" t="s">
        <v>973</v>
      </c>
      <c r="S56" s="75"/>
      <c r="T56" s="75"/>
      <c r="U56" s="75"/>
      <c r="V56" s="75"/>
      <c r="W56" s="75"/>
      <c r="X56" s="88" t="s">
        <v>871</v>
      </c>
      <c r="Y56" s="84" t="s">
        <v>977</v>
      </c>
      <c r="Z56" s="84" t="s">
        <v>978</v>
      </c>
      <c r="AA56" s="133" t="s">
        <v>961</v>
      </c>
    </row>
    <row r="57" spans="1:27" s="33" customFormat="1" ht="99.75" customHeight="1">
      <c r="A57" s="27"/>
      <c r="B57" s="84" t="s">
        <v>865</v>
      </c>
      <c r="C57" s="161" t="s">
        <v>866</v>
      </c>
      <c r="D57" s="84" t="s">
        <v>867</v>
      </c>
      <c r="E57" s="133">
        <v>2</v>
      </c>
      <c r="F57" s="84" t="s">
        <v>979</v>
      </c>
      <c r="G57" s="84" t="s">
        <v>980</v>
      </c>
      <c r="H57" s="75" t="s">
        <v>981</v>
      </c>
      <c r="I57" s="76">
        <v>24</v>
      </c>
      <c r="J57" s="75" t="s">
        <v>693</v>
      </c>
      <c r="K57" s="76">
        <v>20</v>
      </c>
      <c r="L57" s="76"/>
      <c r="M57" s="84" t="s">
        <v>982</v>
      </c>
      <c r="N57" s="75"/>
      <c r="O57" s="76"/>
      <c r="P57" s="88" t="s">
        <v>983</v>
      </c>
      <c r="Q57" s="132" t="s">
        <v>892</v>
      </c>
      <c r="R57" s="135" t="s">
        <v>984</v>
      </c>
      <c r="S57" s="75"/>
      <c r="T57" s="75"/>
      <c r="U57" s="75"/>
      <c r="V57" s="75"/>
      <c r="W57" s="75"/>
      <c r="X57" s="88" t="s">
        <v>871</v>
      </c>
      <c r="Y57" s="86" t="s">
        <v>959</v>
      </c>
      <c r="Z57" s="84" t="s">
        <v>985</v>
      </c>
      <c r="AA57" s="133" t="s">
        <v>961</v>
      </c>
    </row>
    <row r="58" spans="1:27" s="33" customFormat="1" ht="99.75" customHeight="1">
      <c r="A58" s="27"/>
      <c r="B58" s="84" t="s">
        <v>865</v>
      </c>
      <c r="C58" s="161" t="s">
        <v>866</v>
      </c>
      <c r="D58" s="84" t="s">
        <v>867</v>
      </c>
      <c r="E58" s="133">
        <v>2</v>
      </c>
      <c r="F58" s="77" t="s">
        <v>795</v>
      </c>
      <c r="G58" s="77" t="s">
        <v>796</v>
      </c>
      <c r="H58" s="77" t="s">
        <v>797</v>
      </c>
      <c r="I58" s="76">
        <v>25</v>
      </c>
      <c r="J58" s="77" t="s">
        <v>693</v>
      </c>
      <c r="K58" s="76">
        <v>20</v>
      </c>
      <c r="L58" s="76"/>
      <c r="M58" s="86" t="s">
        <v>798</v>
      </c>
      <c r="N58" s="86"/>
      <c r="O58" s="76"/>
      <c r="P58" s="86" t="s">
        <v>986</v>
      </c>
      <c r="Q58" s="88"/>
      <c r="R58" s="77"/>
      <c r="S58" s="76"/>
      <c r="T58" s="76"/>
      <c r="U58" s="76"/>
      <c r="V58" s="76"/>
      <c r="W58" s="76"/>
      <c r="X58" s="88" t="s">
        <v>871</v>
      </c>
      <c r="Y58" s="88" t="s">
        <v>816</v>
      </c>
      <c r="Z58" s="88" t="s">
        <v>816</v>
      </c>
      <c r="AA58" s="221" t="s">
        <v>987</v>
      </c>
    </row>
    <row r="59" spans="1:27" s="33" customFormat="1" ht="99.75" customHeight="1">
      <c r="A59" s="27"/>
      <c r="B59" s="84" t="s">
        <v>865</v>
      </c>
      <c r="C59" s="161" t="s">
        <v>866</v>
      </c>
      <c r="D59" s="84" t="s">
        <v>867</v>
      </c>
      <c r="E59" s="133">
        <v>2</v>
      </c>
      <c r="F59" s="84" t="s">
        <v>803</v>
      </c>
      <c r="G59" s="84" t="s">
        <v>804</v>
      </c>
      <c r="H59" s="75" t="s">
        <v>805</v>
      </c>
      <c r="I59" s="76">
        <v>26</v>
      </c>
      <c r="J59" s="75" t="s">
        <v>693</v>
      </c>
      <c r="K59" s="76">
        <v>10</v>
      </c>
      <c r="L59" s="76"/>
      <c r="M59" s="84" t="s">
        <v>806</v>
      </c>
      <c r="N59" s="75"/>
      <c r="O59" s="76" t="s">
        <v>695</v>
      </c>
      <c r="P59" s="77"/>
      <c r="Q59" s="84"/>
      <c r="R59" s="84"/>
      <c r="S59" s="75"/>
      <c r="T59" s="75"/>
      <c r="U59" s="75"/>
      <c r="V59" s="75"/>
      <c r="W59" s="75"/>
      <c r="X59" s="88" t="s">
        <v>871</v>
      </c>
      <c r="Y59" s="88" t="s">
        <v>816</v>
      </c>
      <c r="Z59" s="88" t="s">
        <v>816</v>
      </c>
      <c r="AA59" s="133" t="s">
        <v>816</v>
      </c>
    </row>
    <row r="60" spans="1:27" s="33" customFormat="1" ht="99.75" customHeight="1">
      <c r="A60" s="27"/>
      <c r="B60" s="84" t="s">
        <v>865</v>
      </c>
      <c r="C60" s="161" t="s">
        <v>866</v>
      </c>
      <c r="D60" s="84" t="s">
        <v>867</v>
      </c>
      <c r="E60" s="133">
        <v>2</v>
      </c>
      <c r="F60" s="84" t="s">
        <v>810</v>
      </c>
      <c r="G60" s="84" t="s">
        <v>811</v>
      </c>
      <c r="H60" s="75" t="s">
        <v>812</v>
      </c>
      <c r="I60" s="76">
        <v>27</v>
      </c>
      <c r="J60" s="75" t="s">
        <v>813</v>
      </c>
      <c r="K60" s="76">
        <v>23</v>
      </c>
      <c r="L60" s="76"/>
      <c r="M60" s="84" t="s">
        <v>814</v>
      </c>
      <c r="N60" s="75"/>
      <c r="O60" s="76"/>
      <c r="P60" s="77"/>
      <c r="Q60" s="84"/>
      <c r="R60" s="84"/>
      <c r="S60" s="75"/>
      <c r="T60" s="75"/>
      <c r="U60" s="75"/>
      <c r="V60" s="75"/>
      <c r="W60" s="75"/>
      <c r="X60" s="88" t="s">
        <v>871</v>
      </c>
      <c r="Y60" s="88" t="s">
        <v>816</v>
      </c>
      <c r="Z60" s="88" t="s">
        <v>816</v>
      </c>
      <c r="AA60" s="133" t="s">
        <v>816</v>
      </c>
    </row>
    <row r="61" spans="1:27" s="33" customFormat="1" ht="99.75" hidden="1" customHeight="1">
      <c r="A61" s="27"/>
      <c r="B61" s="75" t="s">
        <v>988</v>
      </c>
      <c r="C61" s="75" t="s">
        <v>989</v>
      </c>
      <c r="D61" s="75" t="s">
        <v>990</v>
      </c>
      <c r="E61" s="76">
        <v>2</v>
      </c>
      <c r="F61" s="75" t="s">
        <v>690</v>
      </c>
      <c r="G61" s="75" t="s">
        <v>691</v>
      </c>
      <c r="H61" s="75" t="s">
        <v>868</v>
      </c>
      <c r="I61" s="76">
        <v>1</v>
      </c>
      <c r="J61" s="77" t="s">
        <v>693</v>
      </c>
      <c r="K61" s="76">
        <v>3</v>
      </c>
      <c r="L61" s="76"/>
      <c r="M61" s="86" t="s">
        <v>694</v>
      </c>
      <c r="N61" s="75"/>
      <c r="O61" s="76" t="s">
        <v>695</v>
      </c>
      <c r="P61" s="77"/>
      <c r="Q61" s="86" t="s">
        <v>991</v>
      </c>
      <c r="R61" s="86" t="s">
        <v>992</v>
      </c>
      <c r="S61" s="86" t="s">
        <v>993</v>
      </c>
      <c r="T61" s="86" t="s">
        <v>994</v>
      </c>
      <c r="U61" s="86" t="s">
        <v>703</v>
      </c>
      <c r="V61" s="86" t="s">
        <v>995</v>
      </c>
      <c r="W61" s="75"/>
      <c r="X61" s="84" t="s">
        <v>996</v>
      </c>
      <c r="Y61" s="86" t="s">
        <v>997</v>
      </c>
      <c r="Z61" s="86" t="s">
        <v>809</v>
      </c>
      <c r="AA61" s="221" t="s">
        <v>825</v>
      </c>
    </row>
    <row r="62" spans="1:27" s="33" customFormat="1" ht="99.75" hidden="1" customHeight="1">
      <c r="A62" s="27"/>
      <c r="B62" s="75" t="s">
        <v>988</v>
      </c>
      <c r="C62" s="75" t="s">
        <v>989</v>
      </c>
      <c r="D62" s="75" t="s">
        <v>990</v>
      </c>
      <c r="E62" s="76">
        <v>2</v>
      </c>
      <c r="F62" s="75" t="s">
        <v>705</v>
      </c>
      <c r="G62" s="75" t="s">
        <v>706</v>
      </c>
      <c r="H62" s="75" t="s">
        <v>868</v>
      </c>
      <c r="I62" s="76">
        <v>2</v>
      </c>
      <c r="J62" s="77" t="s">
        <v>693</v>
      </c>
      <c r="K62" s="76">
        <v>30</v>
      </c>
      <c r="L62" s="76"/>
      <c r="M62" s="86" t="s">
        <v>707</v>
      </c>
      <c r="N62" s="75"/>
      <c r="O62" s="76" t="s">
        <v>695</v>
      </c>
      <c r="P62" s="77"/>
      <c r="Q62" s="86" t="s">
        <v>991</v>
      </c>
      <c r="R62" s="86" t="s">
        <v>992</v>
      </c>
      <c r="S62" s="86" t="s">
        <v>993</v>
      </c>
      <c r="T62" s="86" t="s">
        <v>994</v>
      </c>
      <c r="U62" s="86" t="s">
        <v>998</v>
      </c>
      <c r="V62" s="86" t="s">
        <v>999</v>
      </c>
      <c r="W62" s="75"/>
      <c r="X62" s="84" t="s">
        <v>996</v>
      </c>
      <c r="Y62" s="86" t="s">
        <v>1000</v>
      </c>
      <c r="Z62" s="86" t="s">
        <v>1001</v>
      </c>
      <c r="AA62" s="133" t="s">
        <v>809</v>
      </c>
    </row>
    <row r="63" spans="1:27" s="33" customFormat="1" ht="99.75" hidden="1" customHeight="1">
      <c r="A63" s="27"/>
      <c r="B63" s="75" t="s">
        <v>988</v>
      </c>
      <c r="C63" s="75" t="s">
        <v>989</v>
      </c>
      <c r="D63" s="75" t="s">
        <v>990</v>
      </c>
      <c r="E63" s="133">
        <v>2</v>
      </c>
      <c r="F63" s="84" t="s">
        <v>715</v>
      </c>
      <c r="G63" s="84" t="s">
        <v>716</v>
      </c>
      <c r="H63" s="75" t="s">
        <v>880</v>
      </c>
      <c r="I63" s="76">
        <v>3</v>
      </c>
      <c r="J63" s="75" t="s">
        <v>718</v>
      </c>
      <c r="K63" s="76"/>
      <c r="L63" s="76"/>
      <c r="M63" s="84" t="s">
        <v>1002</v>
      </c>
      <c r="N63" s="75"/>
      <c r="O63" s="76" t="s">
        <v>695</v>
      </c>
      <c r="P63" s="77"/>
      <c r="Q63" s="132" t="s">
        <v>1003</v>
      </c>
      <c r="R63" s="135" t="s">
        <v>1004</v>
      </c>
      <c r="S63" s="86" t="s">
        <v>993</v>
      </c>
      <c r="T63" s="86" t="s">
        <v>994</v>
      </c>
      <c r="U63" s="86" t="s">
        <v>1005</v>
      </c>
      <c r="V63" s="86" t="s">
        <v>1006</v>
      </c>
      <c r="W63" s="75"/>
      <c r="X63" s="84" t="s">
        <v>996</v>
      </c>
      <c r="Y63" s="86" t="s">
        <v>1000</v>
      </c>
      <c r="Z63" s="84" t="s">
        <v>835</v>
      </c>
      <c r="AA63" s="133" t="s">
        <v>809</v>
      </c>
    </row>
    <row r="64" spans="1:27" s="33" customFormat="1" ht="99.75" hidden="1" customHeight="1">
      <c r="A64" s="27"/>
      <c r="B64" s="75" t="s">
        <v>988</v>
      </c>
      <c r="C64" s="75" t="s">
        <v>989</v>
      </c>
      <c r="D64" s="75" t="s">
        <v>990</v>
      </c>
      <c r="E64" s="133">
        <v>2</v>
      </c>
      <c r="F64" s="84" t="s">
        <v>726</v>
      </c>
      <c r="G64" s="84" t="s">
        <v>727</v>
      </c>
      <c r="H64" s="75" t="s">
        <v>880</v>
      </c>
      <c r="I64" s="76">
        <v>4</v>
      </c>
      <c r="J64" s="75" t="s">
        <v>718</v>
      </c>
      <c r="K64" s="76"/>
      <c r="L64" s="76"/>
      <c r="M64" s="84" t="s">
        <v>728</v>
      </c>
      <c r="N64" s="75"/>
      <c r="O64" s="76" t="s">
        <v>695</v>
      </c>
      <c r="P64" s="77"/>
      <c r="Q64" s="197"/>
      <c r="R64" s="197"/>
      <c r="S64" s="86" t="s">
        <v>993</v>
      </c>
      <c r="T64" s="86" t="s">
        <v>994</v>
      </c>
      <c r="U64" s="86" t="s">
        <v>1007</v>
      </c>
      <c r="V64" s="86" t="s">
        <v>1008</v>
      </c>
      <c r="W64" s="75"/>
      <c r="X64" s="84" t="s">
        <v>996</v>
      </c>
      <c r="Y64" s="86" t="s">
        <v>1000</v>
      </c>
      <c r="Z64" s="198" t="s">
        <v>1009</v>
      </c>
      <c r="AA64" s="199" t="s">
        <v>1010</v>
      </c>
    </row>
    <row r="65" spans="1:27" s="33" customFormat="1" ht="99.75" hidden="1" customHeight="1">
      <c r="A65" s="27"/>
      <c r="B65" s="206" t="s">
        <v>988</v>
      </c>
      <c r="C65" s="204" t="s">
        <v>989</v>
      </c>
      <c r="D65" s="204" t="s">
        <v>990</v>
      </c>
      <c r="E65" s="87">
        <v>2</v>
      </c>
      <c r="F65" s="205" t="s">
        <v>752</v>
      </c>
      <c r="G65" s="205" t="s">
        <v>753</v>
      </c>
      <c r="H65" s="204" t="s">
        <v>777</v>
      </c>
      <c r="I65" s="87">
        <v>5</v>
      </c>
      <c r="J65" s="204" t="s">
        <v>693</v>
      </c>
      <c r="K65" s="87">
        <v>20</v>
      </c>
      <c r="L65" s="87"/>
      <c r="M65" s="205" t="s">
        <v>755</v>
      </c>
      <c r="N65" s="204"/>
      <c r="O65" s="87" t="s">
        <v>695</v>
      </c>
      <c r="P65" s="208" t="s">
        <v>1011</v>
      </c>
      <c r="Q65" s="210" t="s">
        <v>840</v>
      </c>
      <c r="R65" s="218" t="s">
        <v>841</v>
      </c>
      <c r="S65" s="204"/>
      <c r="T65" s="204"/>
      <c r="U65" s="204"/>
      <c r="V65" s="204"/>
      <c r="W65" s="204"/>
      <c r="X65" s="201" t="s">
        <v>996</v>
      </c>
      <c r="Y65" s="201" t="s">
        <v>1012</v>
      </c>
      <c r="Z65" s="220" t="s">
        <v>1013</v>
      </c>
      <c r="AA65" s="209" t="s">
        <v>809</v>
      </c>
    </row>
    <row r="66" spans="1:27" s="33" customFormat="1" ht="99.75" hidden="1" customHeight="1">
      <c r="A66" s="27"/>
      <c r="B66" s="75" t="s">
        <v>988</v>
      </c>
      <c r="C66" s="75" t="s">
        <v>989</v>
      </c>
      <c r="D66" s="75" t="s">
        <v>990</v>
      </c>
      <c r="E66" s="76">
        <v>2</v>
      </c>
      <c r="F66" s="84" t="s">
        <v>788</v>
      </c>
      <c r="G66" s="84" t="s">
        <v>789</v>
      </c>
      <c r="H66" s="75" t="s">
        <v>736</v>
      </c>
      <c r="I66" s="76">
        <v>6</v>
      </c>
      <c r="J66" s="75" t="s">
        <v>693</v>
      </c>
      <c r="K66" s="76">
        <v>10</v>
      </c>
      <c r="L66" s="76"/>
      <c r="M66" s="84" t="s">
        <v>790</v>
      </c>
      <c r="N66" s="75"/>
      <c r="O66" s="76" t="s">
        <v>695</v>
      </c>
      <c r="P66" s="77"/>
      <c r="Q66" s="232" t="s">
        <v>1003</v>
      </c>
      <c r="R66" s="232" t="s">
        <v>1014</v>
      </c>
      <c r="S66" s="86" t="s">
        <v>993</v>
      </c>
      <c r="T66" s="86" t="s">
        <v>994</v>
      </c>
      <c r="U66" s="86" t="s">
        <v>1015</v>
      </c>
      <c r="V66" s="86" t="s">
        <v>1016</v>
      </c>
      <c r="W66" s="75"/>
      <c r="X66" s="84" t="s">
        <v>996</v>
      </c>
      <c r="Y66" s="86" t="s">
        <v>1000</v>
      </c>
      <c r="Z66" s="86" t="s">
        <v>856</v>
      </c>
      <c r="AA66" s="133" t="s">
        <v>809</v>
      </c>
    </row>
    <row r="67" spans="1:27" s="33" customFormat="1" ht="99.75" hidden="1" customHeight="1">
      <c r="A67" s="27"/>
      <c r="B67" s="75" t="s">
        <v>988</v>
      </c>
      <c r="C67" s="75" t="s">
        <v>989</v>
      </c>
      <c r="D67" s="75" t="s">
        <v>990</v>
      </c>
      <c r="E67" s="76">
        <v>2</v>
      </c>
      <c r="F67" s="75" t="s">
        <v>743</v>
      </c>
      <c r="G67" s="84" t="s">
        <v>744</v>
      </c>
      <c r="H67" s="75" t="s">
        <v>745</v>
      </c>
      <c r="I67" s="76">
        <v>7</v>
      </c>
      <c r="J67" s="75" t="s">
        <v>746</v>
      </c>
      <c r="K67" s="76">
        <v>23</v>
      </c>
      <c r="L67" s="76">
        <v>6</v>
      </c>
      <c r="M67" s="84" t="s">
        <v>747</v>
      </c>
      <c r="N67" s="75"/>
      <c r="O67" s="76" t="s">
        <v>695</v>
      </c>
      <c r="P67" s="77"/>
      <c r="Q67" s="75" t="s">
        <v>738</v>
      </c>
      <c r="R67" s="86" t="s">
        <v>748</v>
      </c>
      <c r="S67" s="86" t="s">
        <v>993</v>
      </c>
      <c r="T67" s="86" t="s">
        <v>994</v>
      </c>
      <c r="U67" s="86" t="s">
        <v>1017</v>
      </c>
      <c r="V67" s="86" t="s">
        <v>1018</v>
      </c>
      <c r="W67" s="75"/>
      <c r="X67" s="84" t="s">
        <v>996</v>
      </c>
      <c r="Y67" s="86" t="s">
        <v>1000</v>
      </c>
      <c r="Z67" s="163" t="s">
        <v>859</v>
      </c>
      <c r="AA67" s="133" t="s">
        <v>809</v>
      </c>
    </row>
    <row r="68" spans="1:27" s="33" customFormat="1" ht="99.75" hidden="1" customHeight="1">
      <c r="A68" s="27"/>
      <c r="B68" s="204" t="s">
        <v>988</v>
      </c>
      <c r="C68" s="204" t="s">
        <v>989</v>
      </c>
      <c r="D68" s="204" t="s">
        <v>990</v>
      </c>
      <c r="E68" s="209">
        <v>2</v>
      </c>
      <c r="F68" s="203" t="s">
        <v>764</v>
      </c>
      <c r="G68" s="203" t="s">
        <v>765</v>
      </c>
      <c r="H68" s="204" t="s">
        <v>766</v>
      </c>
      <c r="I68" s="87">
        <v>8</v>
      </c>
      <c r="J68" s="204" t="s">
        <v>693</v>
      </c>
      <c r="K68" s="87">
        <v>4</v>
      </c>
      <c r="L68" s="87"/>
      <c r="M68" s="205" t="s">
        <v>767</v>
      </c>
      <c r="N68" s="204"/>
      <c r="O68" s="87"/>
      <c r="P68" s="206"/>
      <c r="Q68" s="207"/>
      <c r="R68" s="207"/>
      <c r="S68" s="210" t="s">
        <v>1019</v>
      </c>
      <c r="T68" s="210" t="s">
        <v>1020</v>
      </c>
      <c r="U68" s="210" t="s">
        <v>1021</v>
      </c>
      <c r="V68" s="210" t="s">
        <v>1022</v>
      </c>
      <c r="W68" s="204"/>
      <c r="X68" s="201" t="s">
        <v>996</v>
      </c>
      <c r="Y68" s="211" t="s">
        <v>1000</v>
      </c>
      <c r="Z68" s="220" t="s">
        <v>809</v>
      </c>
      <c r="AA68" s="202" t="s">
        <v>1010</v>
      </c>
    </row>
    <row r="69" spans="1:27" s="33" customFormat="1" ht="99.75" hidden="1" customHeight="1">
      <c r="A69" s="27"/>
      <c r="B69" s="75" t="s">
        <v>988</v>
      </c>
      <c r="C69" s="75" t="s">
        <v>989</v>
      </c>
      <c r="D69" s="75" t="s">
        <v>990</v>
      </c>
      <c r="E69" s="76">
        <v>2</v>
      </c>
      <c r="F69" s="75" t="s">
        <v>775</v>
      </c>
      <c r="G69" s="161" t="s">
        <v>776</v>
      </c>
      <c r="H69" s="75" t="s">
        <v>777</v>
      </c>
      <c r="I69" s="76">
        <v>9</v>
      </c>
      <c r="J69" s="75" t="s">
        <v>693</v>
      </c>
      <c r="K69" s="76">
        <v>3</v>
      </c>
      <c r="L69" s="76"/>
      <c r="M69" s="84" t="s">
        <v>778</v>
      </c>
      <c r="N69" s="75"/>
      <c r="O69" s="76"/>
      <c r="P69" s="88" t="s">
        <v>847</v>
      </c>
      <c r="Q69" s="86" t="s">
        <v>738</v>
      </c>
      <c r="R69" s="86" t="s">
        <v>780</v>
      </c>
      <c r="S69" s="86" t="s">
        <v>993</v>
      </c>
      <c r="T69" s="86" t="s">
        <v>994</v>
      </c>
      <c r="U69" s="86" t="s">
        <v>1023</v>
      </c>
      <c r="V69" s="86" t="s">
        <v>1024</v>
      </c>
      <c r="W69" s="75"/>
      <c r="X69" s="84" t="s">
        <v>996</v>
      </c>
      <c r="Y69" s="86" t="s">
        <v>1000</v>
      </c>
      <c r="Z69" s="86" t="s">
        <v>850</v>
      </c>
      <c r="AA69" s="133" t="s">
        <v>1025</v>
      </c>
    </row>
    <row r="70" spans="1:27" s="33" customFormat="1" ht="99.75" hidden="1" customHeight="1">
      <c r="A70" s="27"/>
      <c r="B70" s="75" t="s">
        <v>988</v>
      </c>
      <c r="C70" s="75" t="s">
        <v>989</v>
      </c>
      <c r="D70" s="75" t="s">
        <v>990</v>
      </c>
      <c r="E70" s="76">
        <v>2</v>
      </c>
      <c r="F70" s="84" t="s">
        <v>734</v>
      </c>
      <c r="G70" s="84" t="s">
        <v>735</v>
      </c>
      <c r="H70" s="75" t="s">
        <v>736</v>
      </c>
      <c r="I70" s="76">
        <v>10</v>
      </c>
      <c r="J70" s="75" t="s">
        <v>693</v>
      </c>
      <c r="K70" s="76">
        <v>10</v>
      </c>
      <c r="L70" s="76"/>
      <c r="M70" s="84" t="s">
        <v>737</v>
      </c>
      <c r="N70" s="75"/>
      <c r="O70" s="233"/>
      <c r="P70" s="77"/>
      <c r="Q70" s="86" t="s">
        <v>738</v>
      </c>
      <c r="R70" s="86" t="s">
        <v>739</v>
      </c>
      <c r="S70" s="86" t="s">
        <v>993</v>
      </c>
      <c r="T70" s="86" t="s">
        <v>994</v>
      </c>
      <c r="U70" s="86" t="s">
        <v>1026</v>
      </c>
      <c r="V70" s="86" t="s">
        <v>1027</v>
      </c>
      <c r="W70" s="75"/>
      <c r="X70" s="84" t="s">
        <v>996</v>
      </c>
      <c r="Y70" s="86" t="s">
        <v>1000</v>
      </c>
      <c r="Z70" s="86" t="s">
        <v>853</v>
      </c>
      <c r="AA70" s="133" t="s">
        <v>809</v>
      </c>
    </row>
    <row r="71" spans="1:27" s="33" customFormat="1" ht="99.75" hidden="1" customHeight="1">
      <c r="A71" s="27"/>
      <c r="B71" s="75" t="s">
        <v>988</v>
      </c>
      <c r="C71" s="75" t="s">
        <v>989</v>
      </c>
      <c r="D71" s="75" t="s">
        <v>990</v>
      </c>
      <c r="E71" s="76">
        <v>2</v>
      </c>
      <c r="F71" s="75" t="s">
        <v>1028</v>
      </c>
      <c r="G71" s="75" t="s">
        <v>1029</v>
      </c>
      <c r="H71" s="75" t="s">
        <v>1030</v>
      </c>
      <c r="I71" s="76">
        <v>11</v>
      </c>
      <c r="J71" s="75" t="s">
        <v>693</v>
      </c>
      <c r="K71" s="76"/>
      <c r="L71" s="76"/>
      <c r="M71" s="86" t="s">
        <v>1031</v>
      </c>
      <c r="N71" s="75"/>
      <c r="O71" s="76"/>
      <c r="P71" s="77"/>
      <c r="Q71" s="75"/>
      <c r="R71" s="75"/>
      <c r="S71" s="86" t="s">
        <v>993</v>
      </c>
      <c r="T71" s="86" t="s">
        <v>994</v>
      </c>
      <c r="U71" s="86" t="s">
        <v>1032</v>
      </c>
      <c r="V71" s="86" t="s">
        <v>1033</v>
      </c>
      <c r="W71" s="75"/>
      <c r="X71" s="84" t="s">
        <v>996</v>
      </c>
      <c r="Y71" s="86" t="s">
        <v>1034</v>
      </c>
      <c r="Z71" s="86" t="s">
        <v>1035</v>
      </c>
      <c r="AA71" s="133" t="s">
        <v>1036</v>
      </c>
    </row>
    <row r="72" spans="1:27" s="33" customFormat="1" ht="99.75" hidden="1" customHeight="1">
      <c r="A72" s="27"/>
      <c r="B72" s="75" t="s">
        <v>988</v>
      </c>
      <c r="C72" s="75" t="s">
        <v>989</v>
      </c>
      <c r="D72" s="75" t="s">
        <v>990</v>
      </c>
      <c r="E72" s="199">
        <v>2</v>
      </c>
      <c r="F72" s="198" t="s">
        <v>1037</v>
      </c>
      <c r="G72" s="198" t="s">
        <v>1038</v>
      </c>
      <c r="H72" s="75" t="s">
        <v>1030</v>
      </c>
      <c r="I72" s="76">
        <v>12</v>
      </c>
      <c r="J72" s="75" t="s">
        <v>693</v>
      </c>
      <c r="K72" s="76"/>
      <c r="L72" s="76"/>
      <c r="M72" s="86" t="s">
        <v>1039</v>
      </c>
      <c r="N72" s="75"/>
      <c r="O72" s="76"/>
      <c r="P72" s="77"/>
      <c r="Q72" s="197"/>
      <c r="R72" s="197"/>
      <c r="S72" s="86" t="s">
        <v>993</v>
      </c>
      <c r="T72" s="86" t="s">
        <v>994</v>
      </c>
      <c r="U72" s="86" t="s">
        <v>1040</v>
      </c>
      <c r="V72" s="86" t="s">
        <v>1041</v>
      </c>
      <c r="W72" s="75"/>
      <c r="X72" s="84" t="s">
        <v>996</v>
      </c>
      <c r="Y72" s="86" t="s">
        <v>1034</v>
      </c>
      <c r="Z72" s="198" t="s">
        <v>1042</v>
      </c>
      <c r="AA72" s="133" t="s">
        <v>1036</v>
      </c>
    </row>
    <row r="73" spans="1:27" s="33" customFormat="1" ht="99.75" hidden="1" customHeight="1">
      <c r="A73" s="27"/>
      <c r="B73" s="75" t="s">
        <v>988</v>
      </c>
      <c r="C73" s="75" t="s">
        <v>989</v>
      </c>
      <c r="D73" s="75" t="s">
        <v>990</v>
      </c>
      <c r="E73" s="76">
        <v>2</v>
      </c>
      <c r="F73" s="77" t="s">
        <v>795</v>
      </c>
      <c r="G73" s="77" t="s">
        <v>796</v>
      </c>
      <c r="H73" s="77" t="s">
        <v>797</v>
      </c>
      <c r="I73" s="76">
        <v>13</v>
      </c>
      <c r="J73" s="77" t="s">
        <v>693</v>
      </c>
      <c r="K73" s="76">
        <v>3</v>
      </c>
      <c r="L73" s="76"/>
      <c r="M73" s="86" t="s">
        <v>798</v>
      </c>
      <c r="N73" s="86"/>
      <c r="O73" s="76"/>
      <c r="P73" s="86" t="s">
        <v>799</v>
      </c>
      <c r="Q73" s="88"/>
      <c r="R73" s="77"/>
      <c r="S73" s="86" t="s">
        <v>993</v>
      </c>
      <c r="T73" s="86" t="s">
        <v>994</v>
      </c>
      <c r="U73" s="88" t="s">
        <v>816</v>
      </c>
      <c r="V73" s="88" t="s">
        <v>1043</v>
      </c>
      <c r="W73" s="76"/>
      <c r="X73" s="84" t="s">
        <v>996</v>
      </c>
      <c r="Y73" s="86" t="s">
        <v>809</v>
      </c>
      <c r="Z73" s="86" t="s">
        <v>809</v>
      </c>
      <c r="AA73" s="221" t="s">
        <v>1044</v>
      </c>
    </row>
    <row r="74" spans="1:27" s="33" customFormat="1" ht="99.75" hidden="1" customHeight="1">
      <c r="A74" s="27"/>
      <c r="B74" s="75" t="s">
        <v>988</v>
      </c>
      <c r="C74" s="75" t="s">
        <v>989</v>
      </c>
      <c r="D74" s="75" t="s">
        <v>990</v>
      </c>
      <c r="E74" s="76">
        <v>2</v>
      </c>
      <c r="F74" s="84" t="s">
        <v>803</v>
      </c>
      <c r="G74" s="75" t="s">
        <v>804</v>
      </c>
      <c r="H74" s="75" t="s">
        <v>805</v>
      </c>
      <c r="I74" s="76">
        <v>14</v>
      </c>
      <c r="J74" s="75" t="s">
        <v>693</v>
      </c>
      <c r="K74" s="76">
        <v>10</v>
      </c>
      <c r="L74" s="76"/>
      <c r="M74" s="86" t="s">
        <v>806</v>
      </c>
      <c r="N74" s="75"/>
      <c r="O74" s="76" t="s">
        <v>695</v>
      </c>
      <c r="P74" s="77"/>
      <c r="Q74" s="75"/>
      <c r="R74" s="75"/>
      <c r="S74" s="86" t="s">
        <v>993</v>
      </c>
      <c r="T74" s="86" t="s">
        <v>994</v>
      </c>
      <c r="U74" s="86" t="s">
        <v>862</v>
      </c>
      <c r="V74" s="88" t="s">
        <v>1045</v>
      </c>
      <c r="W74" s="75"/>
      <c r="X74" s="86" t="s">
        <v>809</v>
      </c>
      <c r="Y74" s="86" t="s">
        <v>809</v>
      </c>
      <c r="Z74" s="86" t="s">
        <v>809</v>
      </c>
      <c r="AA74" s="133" t="s">
        <v>809</v>
      </c>
    </row>
    <row r="75" spans="1:27" s="33" customFormat="1" ht="99.75" hidden="1" customHeight="1">
      <c r="A75" s="27"/>
      <c r="B75" s="75" t="s">
        <v>988</v>
      </c>
      <c r="C75" s="75" t="s">
        <v>989</v>
      </c>
      <c r="D75" s="75" t="s">
        <v>990</v>
      </c>
      <c r="E75" s="76">
        <v>2</v>
      </c>
      <c r="F75" s="84" t="s">
        <v>810</v>
      </c>
      <c r="G75" s="75" t="s">
        <v>811</v>
      </c>
      <c r="H75" s="75" t="s">
        <v>812</v>
      </c>
      <c r="I75" s="76">
        <v>15</v>
      </c>
      <c r="J75" s="75" t="s">
        <v>813</v>
      </c>
      <c r="K75" s="76">
        <v>23</v>
      </c>
      <c r="L75" s="76"/>
      <c r="M75" s="86" t="s">
        <v>814</v>
      </c>
      <c r="N75" s="75"/>
      <c r="O75" s="76"/>
      <c r="P75" s="77"/>
      <c r="Q75" s="75"/>
      <c r="R75" s="75"/>
      <c r="S75" s="86" t="s">
        <v>993</v>
      </c>
      <c r="T75" s="86" t="s">
        <v>994</v>
      </c>
      <c r="U75" s="88" t="s">
        <v>816</v>
      </c>
      <c r="V75" s="88" t="s">
        <v>1046</v>
      </c>
      <c r="W75" s="75"/>
      <c r="X75" s="86" t="s">
        <v>809</v>
      </c>
      <c r="Y75" s="86" t="s">
        <v>809</v>
      </c>
      <c r="Z75" s="86" t="s">
        <v>809</v>
      </c>
      <c r="AA75" s="133" t="s">
        <v>809</v>
      </c>
    </row>
    <row r="76" spans="1:27" s="33" customFormat="1" ht="99.75" customHeight="1">
      <c r="A76" s="27"/>
      <c r="B76" s="159" t="s">
        <v>1047</v>
      </c>
      <c r="C76" s="160" t="s">
        <v>1048</v>
      </c>
      <c r="D76" s="160" t="s">
        <v>1049</v>
      </c>
      <c r="E76" s="162">
        <v>2</v>
      </c>
      <c r="F76" s="160" t="s">
        <v>690</v>
      </c>
      <c r="G76" s="160" t="s">
        <v>691</v>
      </c>
      <c r="H76" s="75" t="s">
        <v>868</v>
      </c>
      <c r="I76" s="76">
        <v>1</v>
      </c>
      <c r="J76" s="75" t="s">
        <v>693</v>
      </c>
      <c r="K76" s="76">
        <v>4</v>
      </c>
      <c r="L76" s="76"/>
      <c r="M76" s="84" t="s">
        <v>694</v>
      </c>
      <c r="N76" s="75"/>
      <c r="O76" s="76" t="s">
        <v>695</v>
      </c>
      <c r="P76" s="77"/>
      <c r="Q76" s="132" t="s">
        <v>869</v>
      </c>
      <c r="R76" s="135" t="s">
        <v>870</v>
      </c>
      <c r="S76" s="75"/>
      <c r="T76" s="75"/>
      <c r="U76" s="75"/>
      <c r="V76" s="75"/>
      <c r="W76" s="75"/>
      <c r="X76" s="88" t="s">
        <v>1050</v>
      </c>
      <c r="Y76" s="84" t="s">
        <v>1051</v>
      </c>
      <c r="Z76" s="84" t="s">
        <v>1051</v>
      </c>
      <c r="AA76" s="133" t="s">
        <v>1052</v>
      </c>
    </row>
    <row r="77" spans="1:27" s="33" customFormat="1" ht="99.75" customHeight="1">
      <c r="A77" s="27"/>
      <c r="B77" s="159" t="s">
        <v>1047</v>
      </c>
      <c r="C77" s="160" t="s">
        <v>1048</v>
      </c>
      <c r="D77" s="160" t="s">
        <v>1049</v>
      </c>
      <c r="E77" s="162">
        <v>2</v>
      </c>
      <c r="F77" s="84" t="s">
        <v>705</v>
      </c>
      <c r="G77" s="84" t="s">
        <v>706</v>
      </c>
      <c r="H77" s="75" t="s">
        <v>868</v>
      </c>
      <c r="I77" s="76">
        <v>2</v>
      </c>
      <c r="J77" s="77" t="s">
        <v>693</v>
      </c>
      <c r="K77" s="76">
        <v>15</v>
      </c>
      <c r="L77" s="76"/>
      <c r="M77" s="84" t="s">
        <v>707</v>
      </c>
      <c r="N77" s="75"/>
      <c r="O77" s="76" t="s">
        <v>695</v>
      </c>
      <c r="P77" s="77"/>
      <c r="Q77" s="132" t="s">
        <v>869</v>
      </c>
      <c r="R77" s="135" t="s">
        <v>870</v>
      </c>
      <c r="S77" s="75"/>
      <c r="T77" s="75"/>
      <c r="U77" s="75"/>
      <c r="V77" s="75"/>
      <c r="W77" s="75"/>
      <c r="X77" s="88" t="s">
        <v>1050</v>
      </c>
      <c r="Y77" s="84" t="s">
        <v>1053</v>
      </c>
      <c r="Z77" s="84" t="s">
        <v>1054</v>
      </c>
      <c r="AA77" s="133" t="s">
        <v>1051</v>
      </c>
    </row>
    <row r="78" spans="1:27" s="33" customFormat="1" ht="99.75" customHeight="1">
      <c r="A78" s="27"/>
      <c r="B78" s="159" t="s">
        <v>1047</v>
      </c>
      <c r="C78" s="160" t="s">
        <v>1048</v>
      </c>
      <c r="D78" s="160" t="s">
        <v>1049</v>
      </c>
      <c r="E78" s="162">
        <v>2</v>
      </c>
      <c r="F78" s="84" t="s">
        <v>715</v>
      </c>
      <c r="G78" s="84" t="s">
        <v>716</v>
      </c>
      <c r="H78" s="75" t="s">
        <v>745</v>
      </c>
      <c r="I78" s="76">
        <v>3</v>
      </c>
      <c r="J78" s="75" t="s">
        <v>875</v>
      </c>
      <c r="K78" s="76"/>
      <c r="L78" s="76"/>
      <c r="M78" s="84" t="s">
        <v>876</v>
      </c>
      <c r="N78" s="75"/>
      <c r="O78" s="76" t="s">
        <v>695</v>
      </c>
      <c r="P78" s="77"/>
      <c r="Q78" s="132" t="s">
        <v>877</v>
      </c>
      <c r="R78" s="135" t="s">
        <v>721</v>
      </c>
      <c r="S78" s="75"/>
      <c r="T78" s="75"/>
      <c r="U78" s="75"/>
      <c r="V78" s="75"/>
      <c r="W78" s="75"/>
      <c r="X78" s="88" t="s">
        <v>1050</v>
      </c>
      <c r="Y78" s="163" t="s">
        <v>1055</v>
      </c>
      <c r="Z78" s="84" t="s">
        <v>1056</v>
      </c>
      <c r="AA78" s="133" t="s">
        <v>1051</v>
      </c>
    </row>
    <row r="79" spans="1:27" s="33" customFormat="1" ht="99.75" customHeight="1">
      <c r="A79" s="27"/>
      <c r="B79" s="159" t="s">
        <v>1047</v>
      </c>
      <c r="C79" s="160" t="s">
        <v>1048</v>
      </c>
      <c r="D79" s="160" t="s">
        <v>1049</v>
      </c>
      <c r="E79" s="162">
        <v>2</v>
      </c>
      <c r="F79" s="84" t="s">
        <v>726</v>
      </c>
      <c r="G79" s="84" t="s">
        <v>727</v>
      </c>
      <c r="H79" s="75" t="s">
        <v>880</v>
      </c>
      <c r="I79" s="76">
        <v>4</v>
      </c>
      <c r="J79" s="75" t="s">
        <v>718</v>
      </c>
      <c r="K79" s="76"/>
      <c r="L79" s="76"/>
      <c r="M79" s="84" t="s">
        <v>881</v>
      </c>
      <c r="N79" s="75"/>
      <c r="O79" s="76" t="s">
        <v>695</v>
      </c>
      <c r="P79" s="77"/>
      <c r="Q79" s="132" t="s">
        <v>877</v>
      </c>
      <c r="R79" s="135" t="s">
        <v>721</v>
      </c>
      <c r="S79" s="75"/>
      <c r="T79" s="75"/>
      <c r="U79" s="75"/>
      <c r="V79" s="75"/>
      <c r="W79" s="75"/>
      <c r="X79" s="88" t="s">
        <v>1050</v>
      </c>
      <c r="Y79" s="163" t="s">
        <v>1055</v>
      </c>
      <c r="Z79" s="84" t="s">
        <v>1057</v>
      </c>
      <c r="AA79" s="133" t="s">
        <v>1051</v>
      </c>
    </row>
    <row r="80" spans="1:27" s="33" customFormat="1" ht="99.75" customHeight="1">
      <c r="A80" s="27"/>
      <c r="B80" s="234" t="s">
        <v>1047</v>
      </c>
      <c r="C80" s="235" t="s">
        <v>1048</v>
      </c>
      <c r="D80" s="235" t="s">
        <v>1049</v>
      </c>
      <c r="E80" s="216">
        <v>2</v>
      </c>
      <c r="F80" s="217" t="s">
        <v>752</v>
      </c>
      <c r="G80" s="205" t="s">
        <v>753</v>
      </c>
      <c r="H80" s="204" t="s">
        <v>777</v>
      </c>
      <c r="I80" s="87">
        <v>5</v>
      </c>
      <c r="J80" s="204" t="s">
        <v>693</v>
      </c>
      <c r="K80" s="87">
        <v>20</v>
      </c>
      <c r="L80" s="87"/>
      <c r="M80" s="205" t="s">
        <v>755</v>
      </c>
      <c r="N80" s="204"/>
      <c r="O80" s="87"/>
      <c r="P80" s="208" t="s">
        <v>1058</v>
      </c>
      <c r="Q80" s="210" t="s">
        <v>840</v>
      </c>
      <c r="R80" s="218" t="s">
        <v>841</v>
      </c>
      <c r="S80" s="204"/>
      <c r="T80" s="204"/>
      <c r="U80" s="204"/>
      <c r="V80" s="204"/>
      <c r="W80" s="204"/>
      <c r="X80" s="208" t="s">
        <v>1050</v>
      </c>
      <c r="Y80" s="220" t="s">
        <v>1055</v>
      </c>
      <c r="Z80" s="201" t="s">
        <v>1059</v>
      </c>
      <c r="AA80" s="209" t="s">
        <v>1051</v>
      </c>
    </row>
    <row r="81" spans="1:27" s="33" customFormat="1" ht="99.75" customHeight="1">
      <c r="A81" s="27"/>
      <c r="B81" s="159" t="s">
        <v>1047</v>
      </c>
      <c r="C81" s="160" t="s">
        <v>1048</v>
      </c>
      <c r="D81" s="160" t="s">
        <v>1049</v>
      </c>
      <c r="E81" s="133">
        <v>2</v>
      </c>
      <c r="F81" s="198" t="s">
        <v>764</v>
      </c>
      <c r="G81" s="198" t="s">
        <v>765</v>
      </c>
      <c r="H81" s="75" t="s">
        <v>766</v>
      </c>
      <c r="I81" s="76">
        <v>6</v>
      </c>
      <c r="J81" s="75" t="s">
        <v>693</v>
      </c>
      <c r="K81" s="76">
        <v>4</v>
      </c>
      <c r="L81" s="76"/>
      <c r="M81" s="161" t="s">
        <v>767</v>
      </c>
      <c r="N81" s="75"/>
      <c r="O81" s="76"/>
      <c r="P81" s="77"/>
      <c r="Q81" s="197"/>
      <c r="R81" s="197"/>
      <c r="S81" s="132"/>
      <c r="T81" s="132"/>
      <c r="U81" s="132"/>
      <c r="V81" s="132"/>
      <c r="W81" s="75"/>
      <c r="X81" s="88" t="s">
        <v>1050</v>
      </c>
      <c r="Y81" s="86" t="s">
        <v>1051</v>
      </c>
      <c r="Z81" s="198" t="s">
        <v>1051</v>
      </c>
      <c r="AA81" s="199" t="s">
        <v>1060</v>
      </c>
    </row>
    <row r="82" spans="1:27" s="33" customFormat="1" ht="99.75" customHeight="1">
      <c r="A82" s="27"/>
      <c r="B82" s="159" t="s">
        <v>1047</v>
      </c>
      <c r="C82" s="160" t="s">
        <v>1048</v>
      </c>
      <c r="D82" s="160" t="s">
        <v>1049</v>
      </c>
      <c r="E82" s="162">
        <v>2</v>
      </c>
      <c r="F82" s="84" t="s">
        <v>888</v>
      </c>
      <c r="G82" s="84" t="s">
        <v>889</v>
      </c>
      <c r="H82" s="75" t="s">
        <v>890</v>
      </c>
      <c r="I82" s="76">
        <v>7</v>
      </c>
      <c r="J82" s="75" t="s">
        <v>693</v>
      </c>
      <c r="K82" s="76">
        <v>16</v>
      </c>
      <c r="L82" s="76"/>
      <c r="M82" s="84" t="s">
        <v>891</v>
      </c>
      <c r="N82" s="75"/>
      <c r="O82" s="76"/>
      <c r="P82" s="77"/>
      <c r="Q82" s="132" t="s">
        <v>892</v>
      </c>
      <c r="R82" s="135" t="s">
        <v>888</v>
      </c>
      <c r="S82" s="75"/>
      <c r="T82" s="75"/>
      <c r="U82" s="75"/>
      <c r="V82" s="75"/>
      <c r="W82" s="75"/>
      <c r="X82" s="88" t="s">
        <v>1050</v>
      </c>
      <c r="Y82" s="163" t="s">
        <v>1055</v>
      </c>
      <c r="Z82" s="84" t="s">
        <v>1061</v>
      </c>
      <c r="AA82" s="133" t="s">
        <v>1051</v>
      </c>
    </row>
    <row r="83" spans="1:27" s="33" customFormat="1" ht="99.75" customHeight="1">
      <c r="A83" s="27"/>
      <c r="B83" s="159" t="s">
        <v>1047</v>
      </c>
      <c r="C83" s="160" t="s">
        <v>1048</v>
      </c>
      <c r="D83" s="160" t="s">
        <v>1049</v>
      </c>
      <c r="E83" s="162">
        <v>2</v>
      </c>
      <c r="F83" s="84" t="s">
        <v>896</v>
      </c>
      <c r="G83" s="84" t="s">
        <v>897</v>
      </c>
      <c r="H83" s="75" t="s">
        <v>898</v>
      </c>
      <c r="I83" s="76">
        <v>8</v>
      </c>
      <c r="J83" s="75" t="s">
        <v>1062</v>
      </c>
      <c r="K83" s="76">
        <v>5</v>
      </c>
      <c r="L83" s="76"/>
      <c r="M83" s="86" t="s">
        <v>899</v>
      </c>
      <c r="N83" s="75"/>
      <c r="O83" s="76"/>
      <c r="P83" s="77"/>
      <c r="Q83" s="160"/>
      <c r="R83" s="219"/>
      <c r="S83" s="75"/>
      <c r="T83" s="75"/>
      <c r="U83" s="75"/>
      <c r="V83" s="75"/>
      <c r="W83" s="75"/>
      <c r="X83" s="88" t="s">
        <v>1050</v>
      </c>
      <c r="Y83" s="86" t="s">
        <v>1063</v>
      </c>
      <c r="Z83" s="86" t="s">
        <v>1064</v>
      </c>
      <c r="AA83" s="133" t="s">
        <v>1051</v>
      </c>
    </row>
    <row r="84" spans="1:27" s="33" customFormat="1" ht="99.75" customHeight="1">
      <c r="A84" s="27"/>
      <c r="B84" s="159" t="s">
        <v>1047</v>
      </c>
      <c r="C84" s="160" t="s">
        <v>1048</v>
      </c>
      <c r="D84" s="160" t="s">
        <v>1049</v>
      </c>
      <c r="E84" s="162">
        <v>2</v>
      </c>
      <c r="F84" s="84" t="s">
        <v>901</v>
      </c>
      <c r="G84" s="84" t="s">
        <v>902</v>
      </c>
      <c r="H84" s="75" t="s">
        <v>766</v>
      </c>
      <c r="I84" s="76">
        <v>9</v>
      </c>
      <c r="J84" s="75" t="s">
        <v>693</v>
      </c>
      <c r="K84" s="76">
        <v>4</v>
      </c>
      <c r="L84" s="76"/>
      <c r="M84" s="84" t="s">
        <v>903</v>
      </c>
      <c r="N84" s="75"/>
      <c r="O84" s="76"/>
      <c r="P84" s="77"/>
      <c r="Q84" s="84" t="s">
        <v>738</v>
      </c>
      <c r="R84" s="84" t="s">
        <v>904</v>
      </c>
      <c r="S84" s="75"/>
      <c r="T84" s="75"/>
      <c r="U84" s="75"/>
      <c r="V84" s="75"/>
      <c r="W84" s="75"/>
      <c r="X84" s="88" t="s">
        <v>1050</v>
      </c>
      <c r="Y84" s="86" t="s">
        <v>1065</v>
      </c>
      <c r="Z84" s="84" t="s">
        <v>1066</v>
      </c>
      <c r="AA84" s="133" t="s">
        <v>1051</v>
      </c>
    </row>
    <row r="85" spans="1:27" s="33" customFormat="1" ht="99.75" customHeight="1">
      <c r="A85" s="27"/>
      <c r="B85" s="159" t="s">
        <v>1047</v>
      </c>
      <c r="C85" s="160" t="s">
        <v>1048</v>
      </c>
      <c r="D85" s="160" t="s">
        <v>1049</v>
      </c>
      <c r="E85" s="162">
        <v>2</v>
      </c>
      <c r="F85" s="84" t="s">
        <v>907</v>
      </c>
      <c r="G85" s="84" t="s">
        <v>908</v>
      </c>
      <c r="H85" s="75" t="s">
        <v>766</v>
      </c>
      <c r="I85" s="76">
        <v>10</v>
      </c>
      <c r="J85" s="75" t="s">
        <v>693</v>
      </c>
      <c r="K85" s="76">
        <v>4</v>
      </c>
      <c r="L85" s="76"/>
      <c r="M85" s="84" t="s">
        <v>909</v>
      </c>
      <c r="N85" s="75"/>
      <c r="O85" s="76"/>
      <c r="P85" s="77"/>
      <c r="Q85" s="132" t="s">
        <v>738</v>
      </c>
      <c r="R85" s="135" t="s">
        <v>910</v>
      </c>
      <c r="S85" s="75"/>
      <c r="T85" s="75"/>
      <c r="U85" s="75"/>
      <c r="V85" s="75"/>
      <c r="W85" s="75"/>
      <c r="X85" s="88" t="s">
        <v>1050</v>
      </c>
      <c r="Y85" s="163" t="s">
        <v>1055</v>
      </c>
      <c r="Z85" s="84" t="s">
        <v>1067</v>
      </c>
      <c r="AA85" s="133" t="s">
        <v>1051</v>
      </c>
    </row>
    <row r="86" spans="1:27" s="33" customFormat="1" ht="99.75" customHeight="1">
      <c r="A86" s="27"/>
      <c r="B86" s="159" t="s">
        <v>1047</v>
      </c>
      <c r="C86" s="160" t="s">
        <v>1048</v>
      </c>
      <c r="D86" s="160" t="s">
        <v>1049</v>
      </c>
      <c r="E86" s="162">
        <v>2</v>
      </c>
      <c r="F86" s="84" t="s">
        <v>913</v>
      </c>
      <c r="G86" s="84" t="s">
        <v>914</v>
      </c>
      <c r="H86" s="75" t="s">
        <v>915</v>
      </c>
      <c r="I86" s="76">
        <v>11</v>
      </c>
      <c r="J86" s="75" t="s">
        <v>693</v>
      </c>
      <c r="K86" s="76">
        <v>4</v>
      </c>
      <c r="L86" s="76"/>
      <c r="M86" s="84" t="s">
        <v>916</v>
      </c>
      <c r="N86" s="75"/>
      <c r="O86" s="76"/>
      <c r="P86" s="77"/>
      <c r="Q86" s="132" t="s">
        <v>892</v>
      </c>
      <c r="R86" s="135" t="s">
        <v>917</v>
      </c>
      <c r="S86" s="75"/>
      <c r="T86" s="75"/>
      <c r="U86" s="75"/>
      <c r="V86" s="75"/>
      <c r="W86" s="75"/>
      <c r="X86" s="88" t="s">
        <v>1050</v>
      </c>
      <c r="Y86" s="86" t="s">
        <v>1068</v>
      </c>
      <c r="Z86" s="84" t="s">
        <v>1069</v>
      </c>
      <c r="AA86" s="133" t="s">
        <v>1051</v>
      </c>
    </row>
    <row r="87" spans="1:27" s="33" customFormat="1" ht="99.75" customHeight="1">
      <c r="A87" s="27"/>
      <c r="B87" s="159" t="s">
        <v>1047</v>
      </c>
      <c r="C87" s="160" t="s">
        <v>1048</v>
      </c>
      <c r="D87" s="160" t="s">
        <v>1049</v>
      </c>
      <c r="E87" s="162">
        <v>2</v>
      </c>
      <c r="F87" s="84" t="s">
        <v>920</v>
      </c>
      <c r="G87" s="84" t="s">
        <v>921</v>
      </c>
      <c r="H87" s="75" t="s">
        <v>922</v>
      </c>
      <c r="I87" s="76">
        <v>12</v>
      </c>
      <c r="J87" s="75" t="s">
        <v>693</v>
      </c>
      <c r="K87" s="76">
        <v>20</v>
      </c>
      <c r="L87" s="76"/>
      <c r="M87" s="84" t="s">
        <v>923</v>
      </c>
      <c r="N87" s="75"/>
      <c r="O87" s="76"/>
      <c r="P87" s="88" t="s">
        <v>1070</v>
      </c>
      <c r="Q87" s="132" t="s">
        <v>892</v>
      </c>
      <c r="R87" s="135" t="s">
        <v>925</v>
      </c>
      <c r="S87" s="75"/>
      <c r="T87" s="75"/>
      <c r="U87" s="195" t="s">
        <v>856</v>
      </c>
      <c r="V87" s="75"/>
      <c r="W87" s="75"/>
      <c r="X87" s="88" t="s">
        <v>1050</v>
      </c>
      <c r="Y87" s="86" t="s">
        <v>1071</v>
      </c>
      <c r="Z87" s="84" t="s">
        <v>1072</v>
      </c>
      <c r="AA87" s="133" t="s">
        <v>1051</v>
      </c>
    </row>
    <row r="88" spans="1:27" s="33" customFormat="1" ht="99.75" customHeight="1">
      <c r="A88" s="27"/>
      <c r="B88" s="159" t="s">
        <v>1047</v>
      </c>
      <c r="C88" s="160" t="s">
        <v>1048</v>
      </c>
      <c r="D88" s="160" t="s">
        <v>1049</v>
      </c>
      <c r="E88" s="133">
        <v>2</v>
      </c>
      <c r="F88" s="160" t="s">
        <v>926</v>
      </c>
      <c r="G88" s="160" t="s">
        <v>927</v>
      </c>
      <c r="H88" s="75" t="s">
        <v>777</v>
      </c>
      <c r="I88" s="76">
        <v>13</v>
      </c>
      <c r="J88" s="75" t="s">
        <v>693</v>
      </c>
      <c r="K88" s="76">
        <v>3</v>
      </c>
      <c r="L88" s="76"/>
      <c r="M88" s="84" t="s">
        <v>928</v>
      </c>
      <c r="N88" s="75"/>
      <c r="O88" s="76"/>
      <c r="P88" s="88" t="s">
        <v>1073</v>
      </c>
      <c r="Q88" s="132" t="s">
        <v>738</v>
      </c>
      <c r="R88" s="219" t="s">
        <v>930</v>
      </c>
      <c r="S88" s="75"/>
      <c r="T88" s="75"/>
      <c r="U88" s="75"/>
      <c r="V88" s="75"/>
      <c r="W88" s="75"/>
      <c r="X88" s="88" t="s">
        <v>1050</v>
      </c>
      <c r="Y88" s="163" t="s">
        <v>1055</v>
      </c>
      <c r="Z88" s="84" t="s">
        <v>1074</v>
      </c>
      <c r="AA88" s="133" t="s">
        <v>1051</v>
      </c>
    </row>
    <row r="89" spans="1:27" s="33" customFormat="1" ht="99.75" customHeight="1">
      <c r="A89" s="27"/>
      <c r="B89" s="159" t="s">
        <v>1047</v>
      </c>
      <c r="C89" s="160" t="s">
        <v>1048</v>
      </c>
      <c r="D89" s="160" t="s">
        <v>1049</v>
      </c>
      <c r="E89" s="133">
        <v>2</v>
      </c>
      <c r="F89" s="161" t="s">
        <v>775</v>
      </c>
      <c r="G89" s="161" t="s">
        <v>776</v>
      </c>
      <c r="H89" s="75" t="s">
        <v>777</v>
      </c>
      <c r="I89" s="76">
        <v>14</v>
      </c>
      <c r="J89" s="75" t="s">
        <v>693</v>
      </c>
      <c r="K89" s="76">
        <v>3</v>
      </c>
      <c r="L89" s="76"/>
      <c r="M89" s="84" t="s">
        <v>778</v>
      </c>
      <c r="N89" s="75"/>
      <c r="O89" s="76"/>
      <c r="P89" s="88" t="s">
        <v>1073</v>
      </c>
      <c r="Q89" s="132" t="s">
        <v>738</v>
      </c>
      <c r="R89" s="135" t="s">
        <v>780</v>
      </c>
      <c r="S89" s="75"/>
      <c r="T89" s="75"/>
      <c r="U89" s="75"/>
      <c r="V89" s="75"/>
      <c r="W89" s="75"/>
      <c r="X89" s="88" t="s">
        <v>1050</v>
      </c>
      <c r="Y89" s="163" t="s">
        <v>1055</v>
      </c>
      <c r="Z89" s="84" t="s">
        <v>1075</v>
      </c>
      <c r="AA89" s="133" t="s">
        <v>1051</v>
      </c>
    </row>
    <row r="90" spans="1:27" s="33" customFormat="1" ht="99.75" customHeight="1">
      <c r="A90" s="27"/>
      <c r="B90" s="159" t="s">
        <v>1047</v>
      </c>
      <c r="C90" s="160" t="s">
        <v>1048</v>
      </c>
      <c r="D90" s="160" t="s">
        <v>1049</v>
      </c>
      <c r="E90" s="162">
        <v>2</v>
      </c>
      <c r="F90" s="84" t="s">
        <v>734</v>
      </c>
      <c r="G90" s="84" t="s">
        <v>735</v>
      </c>
      <c r="H90" s="75" t="s">
        <v>736</v>
      </c>
      <c r="I90" s="76">
        <v>15</v>
      </c>
      <c r="J90" s="75" t="s">
        <v>693</v>
      </c>
      <c r="K90" s="76">
        <v>10</v>
      </c>
      <c r="L90" s="76"/>
      <c r="M90" s="84" t="s">
        <v>737</v>
      </c>
      <c r="N90" s="75"/>
      <c r="O90" s="76"/>
      <c r="P90" s="77"/>
      <c r="Q90" s="132" t="s">
        <v>738</v>
      </c>
      <c r="R90" s="135" t="s">
        <v>739</v>
      </c>
      <c r="S90" s="75"/>
      <c r="T90" s="75"/>
      <c r="U90" s="75"/>
      <c r="V90" s="75"/>
      <c r="W90" s="75"/>
      <c r="X90" s="88" t="s">
        <v>1050</v>
      </c>
      <c r="Y90" s="163" t="s">
        <v>1055</v>
      </c>
      <c r="Z90" s="84" t="s">
        <v>1076</v>
      </c>
      <c r="AA90" s="133" t="s">
        <v>1051</v>
      </c>
    </row>
    <row r="91" spans="1:27" s="33" customFormat="1" ht="99.75" customHeight="1">
      <c r="A91" s="27"/>
      <c r="B91" s="159" t="s">
        <v>1047</v>
      </c>
      <c r="C91" s="160" t="s">
        <v>1048</v>
      </c>
      <c r="D91" s="160" t="s">
        <v>1049</v>
      </c>
      <c r="E91" s="162">
        <v>2</v>
      </c>
      <c r="F91" s="84" t="s">
        <v>788</v>
      </c>
      <c r="G91" s="84" t="s">
        <v>789</v>
      </c>
      <c r="H91" s="75" t="s">
        <v>736</v>
      </c>
      <c r="I91" s="76">
        <v>16</v>
      </c>
      <c r="J91" s="75" t="s">
        <v>693</v>
      </c>
      <c r="K91" s="76">
        <v>10</v>
      </c>
      <c r="L91" s="76"/>
      <c r="M91" s="84" t="s">
        <v>790</v>
      </c>
      <c r="N91" s="75"/>
      <c r="O91" s="76"/>
      <c r="P91" s="77"/>
      <c r="Q91" s="132" t="s">
        <v>738</v>
      </c>
      <c r="R91" s="135" t="s">
        <v>791</v>
      </c>
      <c r="S91" s="75"/>
      <c r="T91" s="75"/>
      <c r="U91" s="75"/>
      <c r="V91" s="75"/>
      <c r="W91" s="75"/>
      <c r="X91" s="88" t="s">
        <v>1050</v>
      </c>
      <c r="Y91" s="163" t="s">
        <v>1055</v>
      </c>
      <c r="Z91" s="84" t="s">
        <v>1077</v>
      </c>
      <c r="AA91" s="133" t="s">
        <v>1051</v>
      </c>
    </row>
    <row r="92" spans="1:27" s="33" customFormat="1" ht="99.75" customHeight="1">
      <c r="A92" s="27"/>
      <c r="B92" s="159" t="s">
        <v>1047</v>
      </c>
      <c r="C92" s="160" t="s">
        <v>1048</v>
      </c>
      <c r="D92" s="160" t="s">
        <v>1049</v>
      </c>
      <c r="E92" s="133">
        <v>2</v>
      </c>
      <c r="F92" s="160" t="s">
        <v>936</v>
      </c>
      <c r="G92" s="160" t="s">
        <v>937</v>
      </c>
      <c r="H92" s="75" t="s">
        <v>745</v>
      </c>
      <c r="I92" s="76">
        <v>17</v>
      </c>
      <c r="J92" s="75" t="s">
        <v>746</v>
      </c>
      <c r="K92" s="76">
        <v>23</v>
      </c>
      <c r="L92" s="76">
        <v>6</v>
      </c>
      <c r="M92" s="84" t="s">
        <v>938</v>
      </c>
      <c r="N92" s="75"/>
      <c r="O92" s="76"/>
      <c r="P92" s="77"/>
      <c r="Q92" s="132" t="s">
        <v>738</v>
      </c>
      <c r="R92" s="219" t="s">
        <v>939</v>
      </c>
      <c r="S92" s="75"/>
      <c r="T92" s="75"/>
      <c r="U92" s="75"/>
      <c r="V92" s="75"/>
      <c r="W92" s="75"/>
      <c r="X92" s="88" t="s">
        <v>1050</v>
      </c>
      <c r="Y92" s="86" t="s">
        <v>1078</v>
      </c>
      <c r="Z92" s="84" t="s">
        <v>1079</v>
      </c>
      <c r="AA92" s="133" t="s">
        <v>1080</v>
      </c>
    </row>
    <row r="93" spans="1:27" s="33" customFormat="1" ht="99.75" customHeight="1">
      <c r="A93" s="27"/>
      <c r="B93" s="159" t="s">
        <v>1047</v>
      </c>
      <c r="C93" s="160" t="s">
        <v>1048</v>
      </c>
      <c r="D93" s="160" t="s">
        <v>1049</v>
      </c>
      <c r="E93" s="133">
        <v>2</v>
      </c>
      <c r="F93" s="84" t="s">
        <v>743</v>
      </c>
      <c r="G93" s="84" t="s">
        <v>744</v>
      </c>
      <c r="H93" s="75" t="s">
        <v>745</v>
      </c>
      <c r="I93" s="76">
        <v>18</v>
      </c>
      <c r="J93" s="75" t="s">
        <v>746</v>
      </c>
      <c r="K93" s="76">
        <v>23</v>
      </c>
      <c r="L93" s="76">
        <v>6</v>
      </c>
      <c r="M93" s="84" t="s">
        <v>747</v>
      </c>
      <c r="N93" s="75"/>
      <c r="O93" s="76"/>
      <c r="P93" s="77"/>
      <c r="Q93" s="132" t="s">
        <v>738</v>
      </c>
      <c r="R93" s="135" t="s">
        <v>748</v>
      </c>
      <c r="S93" s="75"/>
      <c r="T93" s="75"/>
      <c r="U93" s="75"/>
      <c r="V93" s="75"/>
      <c r="W93" s="75"/>
      <c r="X93" s="88" t="s">
        <v>1050</v>
      </c>
      <c r="Y93" s="163" t="s">
        <v>1081</v>
      </c>
      <c r="Z93" s="84" t="s">
        <v>1082</v>
      </c>
      <c r="AA93" s="133" t="s">
        <v>1051</v>
      </c>
    </row>
    <row r="94" spans="1:27" s="33" customFormat="1" ht="99.75" customHeight="1">
      <c r="A94" s="27"/>
      <c r="B94" s="159" t="s">
        <v>1047</v>
      </c>
      <c r="C94" s="160" t="s">
        <v>1048</v>
      </c>
      <c r="D94" s="160" t="s">
        <v>1049</v>
      </c>
      <c r="E94" s="133">
        <v>2</v>
      </c>
      <c r="F94" s="160" t="s">
        <v>945</v>
      </c>
      <c r="G94" s="160" t="s">
        <v>946</v>
      </c>
      <c r="H94" s="75" t="s">
        <v>947</v>
      </c>
      <c r="I94" s="76">
        <v>19</v>
      </c>
      <c r="J94" s="75" t="s">
        <v>693</v>
      </c>
      <c r="K94" s="76">
        <v>4</v>
      </c>
      <c r="L94" s="76"/>
      <c r="M94" s="84" t="s">
        <v>948</v>
      </c>
      <c r="N94" s="75"/>
      <c r="O94" s="76"/>
      <c r="P94" s="88" t="s">
        <v>1083</v>
      </c>
      <c r="Q94" s="75" t="s">
        <v>892</v>
      </c>
      <c r="R94" s="75" t="s">
        <v>950</v>
      </c>
      <c r="S94" s="75"/>
      <c r="T94" s="75"/>
      <c r="U94" s="75"/>
      <c r="V94" s="75"/>
      <c r="W94" s="75"/>
      <c r="X94" s="88" t="s">
        <v>1050</v>
      </c>
      <c r="Y94" s="163" t="s">
        <v>1084</v>
      </c>
      <c r="Z94" s="86" t="s">
        <v>1085</v>
      </c>
      <c r="AA94" s="133" t="s">
        <v>1086</v>
      </c>
    </row>
    <row r="95" spans="1:27" s="33" customFormat="1" ht="99.75" customHeight="1">
      <c r="A95" s="27"/>
      <c r="B95" s="159" t="s">
        <v>1047</v>
      </c>
      <c r="C95" s="160" t="s">
        <v>1048</v>
      </c>
      <c r="D95" s="160" t="s">
        <v>1049</v>
      </c>
      <c r="E95" s="133">
        <v>2</v>
      </c>
      <c r="F95" s="160" t="s">
        <v>954</v>
      </c>
      <c r="G95" s="160" t="s">
        <v>955</v>
      </c>
      <c r="H95" s="75" t="s">
        <v>956</v>
      </c>
      <c r="I95" s="76">
        <v>20</v>
      </c>
      <c r="J95" s="75" t="s">
        <v>693</v>
      </c>
      <c r="K95" s="76"/>
      <c r="L95" s="76"/>
      <c r="M95" s="84" t="s">
        <v>957</v>
      </c>
      <c r="N95" s="75"/>
      <c r="O95" s="76"/>
      <c r="P95" s="77"/>
      <c r="Q95" s="86" t="s">
        <v>877</v>
      </c>
      <c r="R95" s="86" t="s">
        <v>958</v>
      </c>
      <c r="S95" s="75"/>
      <c r="T95" s="75"/>
      <c r="U95" s="75"/>
      <c r="V95" s="75"/>
      <c r="W95" s="75"/>
      <c r="X95" s="88" t="s">
        <v>1050</v>
      </c>
      <c r="Y95" s="163" t="s">
        <v>1055</v>
      </c>
      <c r="Z95" s="86" t="s">
        <v>1087</v>
      </c>
      <c r="AA95" s="133" t="s">
        <v>1051</v>
      </c>
    </row>
    <row r="96" spans="1:27" s="33" customFormat="1" ht="99.75" customHeight="1">
      <c r="A96" s="27"/>
      <c r="B96" s="159" t="s">
        <v>1047</v>
      </c>
      <c r="C96" s="160" t="s">
        <v>1048</v>
      </c>
      <c r="D96" s="160" t="s">
        <v>1049</v>
      </c>
      <c r="E96" s="133">
        <v>2</v>
      </c>
      <c r="F96" s="84" t="s">
        <v>962</v>
      </c>
      <c r="G96" s="84" t="s">
        <v>963</v>
      </c>
      <c r="H96" s="75" t="s">
        <v>947</v>
      </c>
      <c r="I96" s="76">
        <v>21</v>
      </c>
      <c r="J96" s="75" t="s">
        <v>693</v>
      </c>
      <c r="K96" s="76">
        <v>10</v>
      </c>
      <c r="L96" s="76"/>
      <c r="M96" s="84" t="s">
        <v>964</v>
      </c>
      <c r="N96" s="75"/>
      <c r="O96" s="76"/>
      <c r="P96" s="88" t="s">
        <v>1088</v>
      </c>
      <c r="Q96" s="132" t="s">
        <v>892</v>
      </c>
      <c r="R96" s="135" t="s">
        <v>962</v>
      </c>
      <c r="S96" s="75"/>
      <c r="T96" s="75"/>
      <c r="U96" s="75"/>
      <c r="V96" s="75"/>
      <c r="W96" s="75"/>
      <c r="X96" s="88" t="s">
        <v>1050</v>
      </c>
      <c r="Y96" s="163" t="s">
        <v>1084</v>
      </c>
      <c r="Z96" s="84" t="s">
        <v>1089</v>
      </c>
      <c r="AA96" s="133" t="s">
        <v>1086</v>
      </c>
    </row>
    <row r="97" spans="1:27" s="33" customFormat="1" ht="99.75" customHeight="1">
      <c r="A97" s="27"/>
      <c r="B97" s="159" t="s">
        <v>1047</v>
      </c>
      <c r="C97" s="160" t="s">
        <v>1048</v>
      </c>
      <c r="D97" s="160" t="s">
        <v>1049</v>
      </c>
      <c r="E97" s="133">
        <v>2</v>
      </c>
      <c r="F97" s="84" t="s">
        <v>967</v>
      </c>
      <c r="G97" s="84" t="s">
        <v>968</v>
      </c>
      <c r="H97" s="75" t="s">
        <v>969</v>
      </c>
      <c r="I97" s="76">
        <v>22</v>
      </c>
      <c r="J97" s="75" t="s">
        <v>693</v>
      </c>
      <c r="K97" s="76">
        <v>10</v>
      </c>
      <c r="L97" s="76"/>
      <c r="M97" s="84" t="s">
        <v>970</v>
      </c>
      <c r="N97" s="75"/>
      <c r="O97" s="76"/>
      <c r="P97" s="88" t="s">
        <v>1090</v>
      </c>
      <c r="Q97" s="132" t="s">
        <v>892</v>
      </c>
      <c r="R97" s="135" t="s">
        <v>967</v>
      </c>
      <c r="S97" s="75"/>
      <c r="T97" s="75"/>
      <c r="U97" s="75"/>
      <c r="V97" s="75"/>
      <c r="W97" s="75"/>
      <c r="X97" s="88" t="s">
        <v>1050</v>
      </c>
      <c r="Y97" s="163" t="s">
        <v>1055</v>
      </c>
      <c r="Z97" s="84" t="s">
        <v>1091</v>
      </c>
      <c r="AA97" s="133" t="s">
        <v>1051</v>
      </c>
    </row>
    <row r="98" spans="1:27" s="33" customFormat="1" ht="99.75" customHeight="1">
      <c r="A98" s="27"/>
      <c r="B98" s="159" t="s">
        <v>1047</v>
      </c>
      <c r="C98" s="160" t="s">
        <v>1048</v>
      </c>
      <c r="D98" s="160" t="s">
        <v>1049</v>
      </c>
      <c r="E98" s="162">
        <v>2</v>
      </c>
      <c r="F98" s="84" t="s">
        <v>973</v>
      </c>
      <c r="G98" s="84" t="s">
        <v>974</v>
      </c>
      <c r="H98" s="75" t="s">
        <v>975</v>
      </c>
      <c r="I98" s="76">
        <v>23</v>
      </c>
      <c r="J98" s="75" t="s">
        <v>693</v>
      </c>
      <c r="K98" s="76">
        <v>20</v>
      </c>
      <c r="L98" s="76"/>
      <c r="M98" s="84" t="s">
        <v>976</v>
      </c>
      <c r="N98" s="75"/>
      <c r="O98" s="76"/>
      <c r="P98" s="88"/>
      <c r="Q98" s="132" t="s">
        <v>892</v>
      </c>
      <c r="R98" s="135" t="s">
        <v>973</v>
      </c>
      <c r="S98" s="75"/>
      <c r="T98" s="75"/>
      <c r="U98" s="75"/>
      <c r="V98" s="75"/>
      <c r="W98" s="75"/>
      <c r="X98" s="88" t="s">
        <v>1050</v>
      </c>
      <c r="Y98" s="84" t="s">
        <v>1092</v>
      </c>
      <c r="Z98" s="84" t="s">
        <v>1093</v>
      </c>
      <c r="AA98" s="133" t="s">
        <v>1051</v>
      </c>
    </row>
    <row r="99" spans="1:27" s="33" customFormat="1" ht="99.75" customHeight="1">
      <c r="A99" s="27"/>
      <c r="B99" s="159" t="s">
        <v>1047</v>
      </c>
      <c r="C99" s="160" t="s">
        <v>1048</v>
      </c>
      <c r="D99" s="160" t="s">
        <v>1049</v>
      </c>
      <c r="E99" s="162">
        <v>2</v>
      </c>
      <c r="F99" s="84" t="s">
        <v>979</v>
      </c>
      <c r="G99" s="84" t="s">
        <v>980</v>
      </c>
      <c r="H99" s="75" t="s">
        <v>981</v>
      </c>
      <c r="I99" s="76">
        <v>24</v>
      </c>
      <c r="J99" s="75" t="s">
        <v>693</v>
      </c>
      <c r="K99" s="76">
        <v>20</v>
      </c>
      <c r="L99" s="76"/>
      <c r="M99" s="84" t="s">
        <v>982</v>
      </c>
      <c r="N99" s="75"/>
      <c r="O99" s="76"/>
      <c r="P99" s="88" t="s">
        <v>1094</v>
      </c>
      <c r="Q99" s="132" t="s">
        <v>892</v>
      </c>
      <c r="R99" s="135" t="s">
        <v>984</v>
      </c>
      <c r="S99" s="75"/>
      <c r="T99" s="75"/>
      <c r="U99" s="75"/>
      <c r="V99" s="75"/>
      <c r="W99" s="75"/>
      <c r="X99" s="88" t="s">
        <v>1050</v>
      </c>
      <c r="Y99" s="163" t="s">
        <v>1055</v>
      </c>
      <c r="Z99" s="84" t="s">
        <v>1095</v>
      </c>
      <c r="AA99" s="133" t="s">
        <v>1051</v>
      </c>
    </row>
    <row r="100" spans="1:27" s="33" customFormat="1" ht="99.75" customHeight="1">
      <c r="A100" s="27"/>
      <c r="B100" s="159" t="s">
        <v>1047</v>
      </c>
      <c r="C100" s="160" t="s">
        <v>1048</v>
      </c>
      <c r="D100" s="160" t="s">
        <v>1049</v>
      </c>
      <c r="E100" s="162">
        <v>2</v>
      </c>
      <c r="F100" s="77" t="s">
        <v>795</v>
      </c>
      <c r="G100" s="77" t="s">
        <v>796</v>
      </c>
      <c r="H100" s="77" t="s">
        <v>797</v>
      </c>
      <c r="I100" s="76">
        <v>25</v>
      </c>
      <c r="J100" s="77" t="s">
        <v>693</v>
      </c>
      <c r="K100" s="76">
        <v>20</v>
      </c>
      <c r="L100" s="76"/>
      <c r="M100" s="86" t="s">
        <v>798</v>
      </c>
      <c r="N100" s="86"/>
      <c r="O100" s="76"/>
      <c r="P100" s="86" t="s">
        <v>1096</v>
      </c>
      <c r="Q100" s="88"/>
      <c r="R100" s="77"/>
      <c r="S100" s="76"/>
      <c r="T100" s="76"/>
      <c r="U100" s="76"/>
      <c r="V100" s="76"/>
      <c r="W100" s="76"/>
      <c r="X100" s="88" t="s">
        <v>1050</v>
      </c>
      <c r="Y100" s="88" t="s">
        <v>1051</v>
      </c>
      <c r="Z100" s="88" t="s">
        <v>1051</v>
      </c>
      <c r="AA100" s="221" t="s">
        <v>1097</v>
      </c>
    </row>
    <row r="101" spans="1:27" s="33" customFormat="1" ht="99.75" customHeight="1">
      <c r="A101" s="27"/>
      <c r="B101" s="159" t="s">
        <v>1047</v>
      </c>
      <c r="C101" s="160" t="s">
        <v>1048</v>
      </c>
      <c r="D101" s="160" t="s">
        <v>1049</v>
      </c>
      <c r="E101" s="162">
        <v>2</v>
      </c>
      <c r="F101" s="84" t="s">
        <v>803</v>
      </c>
      <c r="G101" s="84" t="s">
        <v>804</v>
      </c>
      <c r="H101" s="75" t="s">
        <v>805</v>
      </c>
      <c r="I101" s="76">
        <v>26</v>
      </c>
      <c r="J101" s="75" t="s">
        <v>693</v>
      </c>
      <c r="K101" s="76">
        <v>10</v>
      </c>
      <c r="L101" s="76"/>
      <c r="M101" s="84" t="s">
        <v>806</v>
      </c>
      <c r="N101" s="75"/>
      <c r="O101" s="76" t="s">
        <v>695</v>
      </c>
      <c r="P101" s="77"/>
      <c r="Q101" s="84"/>
      <c r="R101" s="84"/>
      <c r="S101" s="75"/>
      <c r="T101" s="75"/>
      <c r="U101" s="75"/>
      <c r="V101" s="75"/>
      <c r="W101" s="75"/>
      <c r="X101" s="88" t="s">
        <v>1051</v>
      </c>
      <c r="Y101" s="88" t="s">
        <v>1051</v>
      </c>
      <c r="Z101" s="88" t="s">
        <v>1051</v>
      </c>
      <c r="AA101" s="133" t="s">
        <v>1051</v>
      </c>
    </row>
    <row r="102" spans="1:27" s="33" customFormat="1" ht="99.75" customHeight="1">
      <c r="A102" s="27"/>
      <c r="B102" s="159" t="s">
        <v>1047</v>
      </c>
      <c r="C102" s="160" t="s">
        <v>1048</v>
      </c>
      <c r="D102" s="160" t="s">
        <v>1049</v>
      </c>
      <c r="E102" s="162">
        <v>2</v>
      </c>
      <c r="F102" s="84" t="s">
        <v>810</v>
      </c>
      <c r="G102" s="84" t="s">
        <v>811</v>
      </c>
      <c r="H102" s="75" t="s">
        <v>812</v>
      </c>
      <c r="I102" s="76">
        <v>27</v>
      </c>
      <c r="J102" s="75" t="s">
        <v>813</v>
      </c>
      <c r="K102" s="76">
        <v>23</v>
      </c>
      <c r="L102" s="76"/>
      <c r="M102" s="84" t="s">
        <v>814</v>
      </c>
      <c r="N102" s="75"/>
      <c r="O102" s="76"/>
      <c r="P102" s="77"/>
      <c r="Q102" s="84"/>
      <c r="R102" s="84"/>
      <c r="S102" s="75"/>
      <c r="T102" s="75"/>
      <c r="U102" s="75"/>
      <c r="V102" s="75"/>
      <c r="W102" s="75"/>
      <c r="X102" s="88" t="s">
        <v>1051</v>
      </c>
      <c r="Y102" s="88" t="s">
        <v>1051</v>
      </c>
      <c r="Z102" s="88" t="s">
        <v>1051</v>
      </c>
      <c r="AA102" s="133" t="s">
        <v>1051</v>
      </c>
    </row>
    <row r="103" spans="1:27" s="33" customFormat="1" ht="280.5" hidden="1" customHeight="1">
      <c r="A103" s="27"/>
      <c r="B103" s="84" t="s">
        <v>1098</v>
      </c>
      <c r="C103" s="84" t="s">
        <v>1099</v>
      </c>
      <c r="D103" s="84" t="s">
        <v>1100</v>
      </c>
      <c r="E103" s="133">
        <v>2</v>
      </c>
      <c r="F103" s="84" t="s">
        <v>690</v>
      </c>
      <c r="G103" s="84" t="s">
        <v>691</v>
      </c>
      <c r="H103" s="75" t="s">
        <v>868</v>
      </c>
      <c r="I103" s="76">
        <v>1</v>
      </c>
      <c r="J103" s="75" t="s">
        <v>693</v>
      </c>
      <c r="K103" s="76">
        <v>3</v>
      </c>
      <c r="L103" s="76"/>
      <c r="M103" s="86" t="s">
        <v>694</v>
      </c>
      <c r="N103" s="75"/>
      <c r="O103" s="76" t="s">
        <v>695</v>
      </c>
      <c r="P103" s="77"/>
      <c r="Q103" s="132" t="s">
        <v>1101</v>
      </c>
      <c r="R103" s="135" t="s">
        <v>1102</v>
      </c>
      <c r="S103" s="86" t="s">
        <v>1103</v>
      </c>
      <c r="T103" s="86" t="s">
        <v>1104</v>
      </c>
      <c r="U103" s="86" t="s">
        <v>1105</v>
      </c>
      <c r="V103" s="86" t="s">
        <v>1106</v>
      </c>
      <c r="W103" s="75"/>
      <c r="X103" s="84" t="s">
        <v>1107</v>
      </c>
      <c r="Y103" s="84" t="s">
        <v>1108</v>
      </c>
      <c r="Z103" s="84" t="s">
        <v>1108</v>
      </c>
      <c r="AA103" s="133" t="s">
        <v>1109</v>
      </c>
    </row>
    <row r="104" spans="1:27" s="33" customFormat="1" ht="306.75" hidden="1" customHeight="1">
      <c r="A104" s="27"/>
      <c r="B104" s="84" t="s">
        <v>1098</v>
      </c>
      <c r="C104" s="84" t="s">
        <v>1099</v>
      </c>
      <c r="D104" s="84" t="s">
        <v>1100</v>
      </c>
      <c r="E104" s="133">
        <v>2</v>
      </c>
      <c r="F104" s="84" t="s">
        <v>705</v>
      </c>
      <c r="G104" s="84" t="s">
        <v>706</v>
      </c>
      <c r="H104" s="75" t="s">
        <v>868</v>
      </c>
      <c r="I104" s="76">
        <v>2</v>
      </c>
      <c r="J104" s="77" t="s">
        <v>693</v>
      </c>
      <c r="K104" s="76">
        <v>30</v>
      </c>
      <c r="L104" s="76"/>
      <c r="M104" s="86" t="s">
        <v>707</v>
      </c>
      <c r="N104" s="75"/>
      <c r="O104" s="76" t="s">
        <v>695</v>
      </c>
      <c r="P104" s="77"/>
      <c r="Q104" s="132" t="s">
        <v>1101</v>
      </c>
      <c r="R104" s="135" t="s">
        <v>1102</v>
      </c>
      <c r="S104" s="86" t="s">
        <v>1110</v>
      </c>
      <c r="T104" s="86" t="s">
        <v>1111</v>
      </c>
      <c r="U104" s="86" t="s">
        <v>1112</v>
      </c>
      <c r="V104" s="86" t="s">
        <v>1113</v>
      </c>
      <c r="W104" s="75"/>
      <c r="X104" s="84" t="s">
        <v>1107</v>
      </c>
      <c r="Y104" s="84" t="s">
        <v>1114</v>
      </c>
      <c r="Z104" s="84" t="s">
        <v>1115</v>
      </c>
      <c r="AA104" s="133" t="s">
        <v>1116</v>
      </c>
    </row>
    <row r="105" spans="1:27" s="33" customFormat="1" ht="213" hidden="1" customHeight="1">
      <c r="A105" s="27"/>
      <c r="B105" s="84" t="s">
        <v>1098</v>
      </c>
      <c r="C105" s="84" t="s">
        <v>1099</v>
      </c>
      <c r="D105" s="84" t="s">
        <v>1100</v>
      </c>
      <c r="E105" s="133">
        <v>2</v>
      </c>
      <c r="F105" s="84" t="s">
        <v>715</v>
      </c>
      <c r="G105" s="84" t="s">
        <v>716</v>
      </c>
      <c r="H105" s="75" t="s">
        <v>880</v>
      </c>
      <c r="I105" s="76">
        <v>3</v>
      </c>
      <c r="J105" s="75" t="s">
        <v>718</v>
      </c>
      <c r="K105" s="76"/>
      <c r="L105" s="76"/>
      <c r="M105" s="84" t="s">
        <v>1117</v>
      </c>
      <c r="N105" s="75"/>
      <c r="O105" s="76" t="s">
        <v>695</v>
      </c>
      <c r="P105" s="77"/>
      <c r="Q105" s="132" t="s">
        <v>720</v>
      </c>
      <c r="R105" s="135" t="s">
        <v>721</v>
      </c>
      <c r="S105" s="86" t="s">
        <v>1110</v>
      </c>
      <c r="T105" s="86" t="s">
        <v>1111</v>
      </c>
      <c r="U105" s="86" t="s">
        <v>1118</v>
      </c>
      <c r="V105" s="86" t="s">
        <v>1119</v>
      </c>
      <c r="W105" s="75"/>
      <c r="X105" s="84" t="s">
        <v>1107</v>
      </c>
      <c r="Y105" s="84" t="s">
        <v>1120</v>
      </c>
      <c r="Z105" s="84" t="s">
        <v>1121</v>
      </c>
      <c r="AA105" s="133" t="s">
        <v>809</v>
      </c>
    </row>
    <row r="106" spans="1:27" s="33" customFormat="1" ht="240" hidden="1" customHeight="1">
      <c r="A106" s="27"/>
      <c r="B106" s="84" t="s">
        <v>1098</v>
      </c>
      <c r="C106" s="84" t="s">
        <v>1099</v>
      </c>
      <c r="D106" s="84" t="s">
        <v>1100</v>
      </c>
      <c r="E106" s="133">
        <v>2</v>
      </c>
      <c r="F106" s="84" t="s">
        <v>726</v>
      </c>
      <c r="G106" s="84" t="s">
        <v>727</v>
      </c>
      <c r="H106" s="75" t="s">
        <v>880</v>
      </c>
      <c r="I106" s="76">
        <v>4</v>
      </c>
      <c r="J106" s="75" t="s">
        <v>718</v>
      </c>
      <c r="K106" s="76"/>
      <c r="L106" s="76"/>
      <c r="M106" s="84" t="s">
        <v>1122</v>
      </c>
      <c r="N106" s="75"/>
      <c r="O106" s="76" t="s">
        <v>695</v>
      </c>
      <c r="P106" s="77"/>
      <c r="Q106" s="132" t="s">
        <v>720</v>
      </c>
      <c r="R106" s="135" t="s">
        <v>721</v>
      </c>
      <c r="S106" s="86" t="s">
        <v>1110</v>
      </c>
      <c r="T106" s="86" t="s">
        <v>1111</v>
      </c>
      <c r="U106" s="86" t="s">
        <v>1123</v>
      </c>
      <c r="V106" s="86" t="s">
        <v>1124</v>
      </c>
      <c r="W106" s="75"/>
      <c r="X106" s="84" t="s">
        <v>1107</v>
      </c>
      <c r="Y106" s="161" t="s">
        <v>731</v>
      </c>
      <c r="Z106" s="161" t="s">
        <v>732</v>
      </c>
      <c r="AA106" s="133" t="s">
        <v>1010</v>
      </c>
    </row>
    <row r="107" spans="1:27" s="33" customFormat="1" ht="99.75" hidden="1" customHeight="1">
      <c r="A107" s="27"/>
      <c r="B107" s="201" t="s">
        <v>1098</v>
      </c>
      <c r="C107" s="201" t="s">
        <v>1099</v>
      </c>
      <c r="D107" s="201" t="s">
        <v>1100</v>
      </c>
      <c r="E107" s="209">
        <v>2</v>
      </c>
      <c r="F107" s="217" t="s">
        <v>752</v>
      </c>
      <c r="G107" s="205" t="s">
        <v>753</v>
      </c>
      <c r="H107" s="204" t="s">
        <v>777</v>
      </c>
      <c r="I107" s="87">
        <v>5</v>
      </c>
      <c r="J107" s="204" t="s">
        <v>693</v>
      </c>
      <c r="K107" s="87">
        <v>20</v>
      </c>
      <c r="L107" s="87"/>
      <c r="M107" s="205" t="s">
        <v>755</v>
      </c>
      <c r="N107" s="204"/>
      <c r="O107" s="87" t="s">
        <v>695</v>
      </c>
      <c r="P107" s="208" t="s">
        <v>1125</v>
      </c>
      <c r="Q107" s="210" t="s">
        <v>840</v>
      </c>
      <c r="R107" s="236" t="s">
        <v>841</v>
      </c>
      <c r="S107" s="204"/>
      <c r="T107" s="204"/>
      <c r="U107" s="204"/>
      <c r="V107" s="204"/>
      <c r="W107" s="204"/>
      <c r="X107" s="201" t="s">
        <v>1107</v>
      </c>
      <c r="Y107" s="201" t="s">
        <v>1126</v>
      </c>
      <c r="Z107" s="201" t="s">
        <v>1127</v>
      </c>
      <c r="AA107" s="209" t="s">
        <v>703</v>
      </c>
    </row>
    <row r="108" spans="1:27" s="33" customFormat="1" ht="256.5" hidden="1" customHeight="1">
      <c r="A108" s="27"/>
      <c r="B108" s="84" t="s">
        <v>1098</v>
      </c>
      <c r="C108" s="84" t="s">
        <v>1099</v>
      </c>
      <c r="D108" s="84" t="s">
        <v>1100</v>
      </c>
      <c r="E108" s="133">
        <v>2</v>
      </c>
      <c r="F108" s="84" t="s">
        <v>734</v>
      </c>
      <c r="G108" s="84" t="s">
        <v>735</v>
      </c>
      <c r="H108" s="75" t="s">
        <v>736</v>
      </c>
      <c r="I108" s="76">
        <v>6</v>
      </c>
      <c r="J108" s="75" t="s">
        <v>693</v>
      </c>
      <c r="K108" s="76">
        <v>10</v>
      </c>
      <c r="L108" s="76"/>
      <c r="M108" s="84" t="s">
        <v>737</v>
      </c>
      <c r="N108" s="75"/>
      <c r="O108" s="76" t="s">
        <v>695</v>
      </c>
      <c r="P108" s="77"/>
      <c r="Q108" s="132" t="s">
        <v>738</v>
      </c>
      <c r="R108" s="135" t="s">
        <v>739</v>
      </c>
      <c r="S108" s="86" t="s">
        <v>1110</v>
      </c>
      <c r="T108" s="86" t="s">
        <v>1111</v>
      </c>
      <c r="U108" s="86" t="s">
        <v>1128</v>
      </c>
      <c r="V108" s="86" t="s">
        <v>1129</v>
      </c>
      <c r="W108" s="75"/>
      <c r="X108" s="84" t="s">
        <v>1107</v>
      </c>
      <c r="Y108" s="84" t="s">
        <v>1120</v>
      </c>
      <c r="Z108" s="84" t="s">
        <v>1130</v>
      </c>
      <c r="AA108" s="133" t="s">
        <v>703</v>
      </c>
    </row>
    <row r="109" spans="1:27" s="33" customFormat="1" ht="232.5" hidden="1" customHeight="1">
      <c r="A109" s="27"/>
      <c r="B109" s="84" t="s">
        <v>1098</v>
      </c>
      <c r="C109" s="84" t="s">
        <v>1099</v>
      </c>
      <c r="D109" s="84" t="s">
        <v>1100</v>
      </c>
      <c r="E109" s="133">
        <v>2</v>
      </c>
      <c r="F109" s="84" t="s">
        <v>743</v>
      </c>
      <c r="G109" s="84" t="s">
        <v>744</v>
      </c>
      <c r="H109" s="75" t="s">
        <v>745</v>
      </c>
      <c r="I109" s="76">
        <v>7</v>
      </c>
      <c r="J109" s="75" t="s">
        <v>746</v>
      </c>
      <c r="K109" s="76">
        <v>23</v>
      </c>
      <c r="L109" s="76">
        <v>6</v>
      </c>
      <c r="M109" s="84" t="s">
        <v>747</v>
      </c>
      <c r="N109" s="75"/>
      <c r="O109" s="76" t="s">
        <v>695</v>
      </c>
      <c r="P109" s="77"/>
      <c r="Q109" s="132" t="s">
        <v>738</v>
      </c>
      <c r="R109" s="135" t="s">
        <v>748</v>
      </c>
      <c r="S109" s="86" t="s">
        <v>1110</v>
      </c>
      <c r="T109" s="86" t="s">
        <v>1111</v>
      </c>
      <c r="U109" s="86" t="s">
        <v>1131</v>
      </c>
      <c r="V109" s="86" t="s">
        <v>1132</v>
      </c>
      <c r="W109" s="75"/>
      <c r="X109" s="84" t="s">
        <v>1107</v>
      </c>
      <c r="Y109" s="84" t="s">
        <v>1120</v>
      </c>
      <c r="Z109" s="200" t="s">
        <v>1133</v>
      </c>
      <c r="AA109" s="133" t="s">
        <v>703</v>
      </c>
    </row>
    <row r="110" spans="1:27" s="33" customFormat="1" ht="214.5" hidden="1" customHeight="1">
      <c r="A110" s="27"/>
      <c r="B110" s="84" t="s">
        <v>1098</v>
      </c>
      <c r="C110" s="84" t="s">
        <v>1099</v>
      </c>
      <c r="D110" s="84" t="s">
        <v>1100</v>
      </c>
      <c r="E110" s="133">
        <v>2</v>
      </c>
      <c r="F110" s="77" t="s">
        <v>1134</v>
      </c>
      <c r="G110" s="77" t="s">
        <v>1135</v>
      </c>
      <c r="H110" s="75" t="s">
        <v>868</v>
      </c>
      <c r="I110" s="76">
        <v>8</v>
      </c>
      <c r="J110" s="77" t="s">
        <v>693</v>
      </c>
      <c r="K110" s="76">
        <v>3</v>
      </c>
      <c r="L110" s="76"/>
      <c r="M110" s="86" t="s">
        <v>1136</v>
      </c>
      <c r="N110" s="86"/>
      <c r="O110" s="76"/>
      <c r="P110" s="77"/>
      <c r="Q110" s="88"/>
      <c r="R110" s="88" t="s">
        <v>1137</v>
      </c>
      <c r="S110" s="86" t="s">
        <v>1103</v>
      </c>
      <c r="T110" s="86" t="s">
        <v>1104</v>
      </c>
      <c r="U110" s="86" t="s">
        <v>1105</v>
      </c>
      <c r="V110" s="86" t="s">
        <v>1138</v>
      </c>
      <c r="W110" s="76"/>
      <c r="X110" s="84" t="s">
        <v>1107</v>
      </c>
      <c r="Y110" s="84" t="s">
        <v>1139</v>
      </c>
      <c r="Z110" s="84" t="s">
        <v>703</v>
      </c>
      <c r="AA110" s="133" t="s">
        <v>1140</v>
      </c>
    </row>
    <row r="111" spans="1:27" s="62" customFormat="1" ht="226.5" hidden="1" customHeight="1">
      <c r="A111" s="61"/>
      <c r="B111" s="84" t="s">
        <v>1098</v>
      </c>
      <c r="C111" s="84" t="s">
        <v>1099</v>
      </c>
      <c r="D111" s="84" t="s">
        <v>1100</v>
      </c>
      <c r="E111" s="133">
        <v>2</v>
      </c>
      <c r="F111" s="77" t="s">
        <v>1141</v>
      </c>
      <c r="G111" s="77" t="s">
        <v>1142</v>
      </c>
      <c r="H111" s="77" t="s">
        <v>868</v>
      </c>
      <c r="I111" s="76">
        <v>9</v>
      </c>
      <c r="J111" s="77" t="s">
        <v>693</v>
      </c>
      <c r="K111" s="76">
        <v>15</v>
      </c>
      <c r="L111" s="76"/>
      <c r="M111" s="86" t="s">
        <v>1143</v>
      </c>
      <c r="N111" s="86"/>
      <c r="O111" s="76"/>
      <c r="P111" s="77"/>
      <c r="Q111" s="88"/>
      <c r="R111" s="77"/>
      <c r="S111" s="86" t="s">
        <v>1110</v>
      </c>
      <c r="T111" s="86" t="s">
        <v>1144</v>
      </c>
      <c r="U111" s="88" t="s">
        <v>1145</v>
      </c>
      <c r="V111" s="88" t="s">
        <v>1146</v>
      </c>
      <c r="W111" s="76"/>
      <c r="X111" s="84" t="s">
        <v>1107</v>
      </c>
      <c r="Y111" s="84" t="s">
        <v>1139</v>
      </c>
      <c r="Z111" s="86" t="s">
        <v>1147</v>
      </c>
      <c r="AA111" s="133" t="s">
        <v>1148</v>
      </c>
    </row>
    <row r="112" spans="1:27" s="62" customFormat="1" ht="99.75" hidden="1" customHeight="1">
      <c r="A112" s="61"/>
      <c r="B112" s="201" t="s">
        <v>1098</v>
      </c>
      <c r="C112" s="201" t="s">
        <v>1099</v>
      </c>
      <c r="D112" s="201" t="s">
        <v>1100</v>
      </c>
      <c r="E112" s="202">
        <v>2</v>
      </c>
      <c r="F112" s="203" t="s">
        <v>764</v>
      </c>
      <c r="G112" s="203" t="s">
        <v>765</v>
      </c>
      <c r="H112" s="204" t="s">
        <v>766</v>
      </c>
      <c r="I112" s="87">
        <v>10</v>
      </c>
      <c r="J112" s="75" t="s">
        <v>693</v>
      </c>
      <c r="K112" s="87">
        <v>4</v>
      </c>
      <c r="L112" s="87"/>
      <c r="M112" s="205" t="s">
        <v>767</v>
      </c>
      <c r="N112" s="204"/>
      <c r="O112" s="87"/>
      <c r="P112" s="206"/>
      <c r="Q112" s="207"/>
      <c r="R112" s="207"/>
      <c r="S112" s="231" t="s">
        <v>845</v>
      </c>
      <c r="T112" s="231" t="s">
        <v>845</v>
      </c>
      <c r="U112" s="231" t="s">
        <v>845</v>
      </c>
      <c r="V112" s="231" t="s">
        <v>846</v>
      </c>
      <c r="W112" s="204"/>
      <c r="X112" s="208" t="s">
        <v>534</v>
      </c>
      <c r="Y112" s="208" t="s">
        <v>534</v>
      </c>
      <c r="Z112" s="208" t="s">
        <v>534</v>
      </c>
      <c r="AA112" s="202" t="s">
        <v>534</v>
      </c>
    </row>
    <row r="113" spans="1:27" s="62" customFormat="1" ht="225.75" hidden="1" customHeight="1">
      <c r="A113" s="61"/>
      <c r="B113" s="84" t="s">
        <v>1098</v>
      </c>
      <c r="C113" s="84" t="s">
        <v>1099</v>
      </c>
      <c r="D113" s="84" t="s">
        <v>1100</v>
      </c>
      <c r="E113" s="133">
        <v>2</v>
      </c>
      <c r="F113" s="84" t="s">
        <v>1149</v>
      </c>
      <c r="G113" s="84" t="s">
        <v>1150</v>
      </c>
      <c r="H113" s="75" t="s">
        <v>898</v>
      </c>
      <c r="I113" s="76">
        <v>11</v>
      </c>
      <c r="J113" s="75" t="s">
        <v>693</v>
      </c>
      <c r="K113" s="76">
        <v>10</v>
      </c>
      <c r="L113" s="76"/>
      <c r="M113" s="84" t="s">
        <v>1151</v>
      </c>
      <c r="N113" s="75"/>
      <c r="O113" s="76"/>
      <c r="P113" s="77"/>
      <c r="Q113" s="132" t="s">
        <v>738</v>
      </c>
      <c r="R113" s="135" t="s">
        <v>1149</v>
      </c>
      <c r="S113" s="86" t="s">
        <v>1110</v>
      </c>
      <c r="T113" s="86" t="s">
        <v>1144</v>
      </c>
      <c r="U113" s="86" t="s">
        <v>1152</v>
      </c>
      <c r="V113" s="86" t="s">
        <v>1153</v>
      </c>
      <c r="W113" s="75"/>
      <c r="X113" s="84" t="s">
        <v>1107</v>
      </c>
      <c r="Y113" s="200" t="s">
        <v>1154</v>
      </c>
      <c r="Z113" s="84" t="s">
        <v>1155</v>
      </c>
      <c r="AA113" s="133" t="s">
        <v>1156</v>
      </c>
    </row>
    <row r="114" spans="1:27" s="62" customFormat="1" ht="199.5" hidden="1" customHeight="1">
      <c r="A114" s="61"/>
      <c r="B114" s="84" t="s">
        <v>1098</v>
      </c>
      <c r="C114" s="84" t="s">
        <v>1099</v>
      </c>
      <c r="D114" s="84" t="s">
        <v>1100</v>
      </c>
      <c r="E114" s="133">
        <v>2</v>
      </c>
      <c r="F114" s="77" t="s">
        <v>1157</v>
      </c>
      <c r="G114" s="77" t="s">
        <v>1158</v>
      </c>
      <c r="H114" s="75" t="s">
        <v>868</v>
      </c>
      <c r="I114" s="76">
        <v>12</v>
      </c>
      <c r="J114" s="77" t="s">
        <v>693</v>
      </c>
      <c r="K114" s="76">
        <v>3</v>
      </c>
      <c r="L114" s="76"/>
      <c r="M114" s="222" t="s">
        <v>1159</v>
      </c>
      <c r="N114" s="86"/>
      <c r="O114" s="76"/>
      <c r="P114" s="75"/>
      <c r="Q114" s="88"/>
      <c r="R114" s="77"/>
      <c r="S114" s="86" t="s">
        <v>1103</v>
      </c>
      <c r="T114" s="86" t="s">
        <v>1104</v>
      </c>
      <c r="U114" s="86" t="s">
        <v>1105</v>
      </c>
      <c r="V114" s="86" t="s">
        <v>1160</v>
      </c>
      <c r="W114" s="76"/>
      <c r="X114" s="84" t="s">
        <v>1107</v>
      </c>
      <c r="Y114" s="84" t="s">
        <v>703</v>
      </c>
      <c r="Z114" s="84" t="s">
        <v>703</v>
      </c>
      <c r="AA114" s="133" t="s">
        <v>1161</v>
      </c>
    </row>
    <row r="115" spans="1:27" s="62" customFormat="1" ht="238.5" hidden="1" customHeight="1">
      <c r="A115" s="61"/>
      <c r="B115" s="84" t="s">
        <v>1098</v>
      </c>
      <c r="C115" s="84" t="s">
        <v>1099</v>
      </c>
      <c r="D115" s="84" t="s">
        <v>1100</v>
      </c>
      <c r="E115" s="133">
        <v>2</v>
      </c>
      <c r="F115" s="77" t="s">
        <v>1162</v>
      </c>
      <c r="G115" s="77" t="s">
        <v>1163</v>
      </c>
      <c r="H115" s="75" t="s">
        <v>868</v>
      </c>
      <c r="I115" s="76">
        <v>13</v>
      </c>
      <c r="J115" s="77" t="s">
        <v>693</v>
      </c>
      <c r="K115" s="76">
        <v>30</v>
      </c>
      <c r="L115" s="76"/>
      <c r="M115" s="222" t="s">
        <v>1164</v>
      </c>
      <c r="N115" s="86" t="s">
        <v>1165</v>
      </c>
      <c r="O115" s="76"/>
      <c r="P115" s="75"/>
      <c r="Q115" s="88" t="s">
        <v>1166</v>
      </c>
      <c r="R115" s="77" t="s">
        <v>1167</v>
      </c>
      <c r="S115" s="86" t="s">
        <v>1110</v>
      </c>
      <c r="T115" s="86" t="s">
        <v>1144</v>
      </c>
      <c r="U115" s="86" t="s">
        <v>1168</v>
      </c>
      <c r="V115" s="86" t="s">
        <v>1169</v>
      </c>
      <c r="W115" s="76"/>
      <c r="X115" s="84" t="s">
        <v>1107</v>
      </c>
      <c r="Y115" s="84" t="s">
        <v>1170</v>
      </c>
      <c r="Z115" s="230" t="s">
        <v>1171</v>
      </c>
      <c r="AA115" s="133" t="s">
        <v>1172</v>
      </c>
    </row>
    <row r="116" spans="1:27" s="33" customFormat="1" ht="274.5" hidden="1" customHeight="1">
      <c r="A116" s="27"/>
      <c r="B116" s="84" t="s">
        <v>1098</v>
      </c>
      <c r="C116" s="84" t="s">
        <v>1099</v>
      </c>
      <c r="D116" s="84" t="s">
        <v>1100</v>
      </c>
      <c r="E116" s="133">
        <v>2</v>
      </c>
      <c r="F116" s="77" t="s">
        <v>1173</v>
      </c>
      <c r="G116" s="77" t="s">
        <v>1174</v>
      </c>
      <c r="H116" s="75" t="s">
        <v>868</v>
      </c>
      <c r="I116" s="76">
        <v>14</v>
      </c>
      <c r="J116" s="77" t="s">
        <v>693</v>
      </c>
      <c r="K116" s="76">
        <v>34</v>
      </c>
      <c r="L116" s="76"/>
      <c r="M116" s="222" t="s">
        <v>1175</v>
      </c>
      <c r="N116" s="86"/>
      <c r="O116" s="76"/>
      <c r="P116" s="75"/>
      <c r="Q116" s="86"/>
      <c r="R116" s="75"/>
      <c r="S116" s="86" t="s">
        <v>1110</v>
      </c>
      <c r="T116" s="86" t="s">
        <v>1144</v>
      </c>
      <c r="U116" s="86" t="s">
        <v>1168</v>
      </c>
      <c r="V116" s="86" t="s">
        <v>1176</v>
      </c>
      <c r="W116" s="76"/>
      <c r="X116" s="84" t="s">
        <v>1107</v>
      </c>
      <c r="Y116" s="84" t="s">
        <v>1170</v>
      </c>
      <c r="Z116" s="86" t="s">
        <v>1177</v>
      </c>
      <c r="AA116" s="133" t="s">
        <v>1172</v>
      </c>
    </row>
    <row r="117" spans="1:27" s="33" customFormat="1" ht="228.75" hidden="1" customHeight="1">
      <c r="A117" s="27"/>
      <c r="B117" s="84" t="s">
        <v>1098</v>
      </c>
      <c r="C117" s="84" t="s">
        <v>1099</v>
      </c>
      <c r="D117" s="84" t="s">
        <v>1100</v>
      </c>
      <c r="E117" s="133">
        <v>2</v>
      </c>
      <c r="F117" s="84" t="s">
        <v>907</v>
      </c>
      <c r="G117" s="84" t="s">
        <v>908</v>
      </c>
      <c r="H117" s="75" t="s">
        <v>766</v>
      </c>
      <c r="I117" s="76">
        <v>15</v>
      </c>
      <c r="J117" s="75" t="s">
        <v>693</v>
      </c>
      <c r="K117" s="76">
        <v>4</v>
      </c>
      <c r="L117" s="76"/>
      <c r="M117" s="84" t="s">
        <v>909</v>
      </c>
      <c r="N117" s="75"/>
      <c r="O117" s="76"/>
      <c r="P117" s="77"/>
      <c r="Q117" s="132" t="s">
        <v>738</v>
      </c>
      <c r="R117" s="135" t="s">
        <v>910</v>
      </c>
      <c r="S117" s="86" t="s">
        <v>1110</v>
      </c>
      <c r="T117" s="86" t="s">
        <v>1144</v>
      </c>
      <c r="U117" s="86" t="s">
        <v>1178</v>
      </c>
      <c r="V117" s="86" t="s">
        <v>1179</v>
      </c>
      <c r="W117" s="75"/>
      <c r="X117" s="84" t="s">
        <v>1107</v>
      </c>
      <c r="Y117" s="84" t="s">
        <v>1139</v>
      </c>
      <c r="Z117" s="84" t="s">
        <v>1180</v>
      </c>
      <c r="AA117" s="133" t="s">
        <v>1148</v>
      </c>
    </row>
    <row r="118" spans="1:27" s="33" customFormat="1" ht="256.5" hidden="1" customHeight="1">
      <c r="A118" s="27"/>
      <c r="B118" s="84" t="s">
        <v>1098</v>
      </c>
      <c r="C118" s="84" t="s">
        <v>1099</v>
      </c>
      <c r="D118" s="84" t="s">
        <v>1100</v>
      </c>
      <c r="E118" s="133">
        <v>2</v>
      </c>
      <c r="F118" s="237" t="s">
        <v>1181</v>
      </c>
      <c r="G118" s="237" t="s">
        <v>1182</v>
      </c>
      <c r="H118" s="75" t="s">
        <v>766</v>
      </c>
      <c r="I118" s="76">
        <v>16</v>
      </c>
      <c r="J118" s="75" t="s">
        <v>693</v>
      </c>
      <c r="K118" s="76">
        <v>4</v>
      </c>
      <c r="L118" s="76"/>
      <c r="M118" s="238" t="s">
        <v>1183</v>
      </c>
      <c r="N118" s="75"/>
      <c r="O118" s="76"/>
      <c r="P118" s="77"/>
      <c r="Q118" s="132" t="s">
        <v>738</v>
      </c>
      <c r="R118" s="135" t="s">
        <v>1184</v>
      </c>
      <c r="S118" s="86" t="s">
        <v>1110</v>
      </c>
      <c r="T118" s="86" t="s">
        <v>1144</v>
      </c>
      <c r="U118" s="86" t="s">
        <v>1185</v>
      </c>
      <c r="V118" s="86" t="s">
        <v>1186</v>
      </c>
      <c r="W118" s="75"/>
      <c r="X118" s="84" t="s">
        <v>1107</v>
      </c>
      <c r="Y118" s="84" t="s">
        <v>1139</v>
      </c>
      <c r="Z118" s="230" t="s">
        <v>1187</v>
      </c>
      <c r="AA118" s="133" t="s">
        <v>1148</v>
      </c>
    </row>
    <row r="119" spans="1:27" s="33" customFormat="1" ht="231" hidden="1" customHeight="1">
      <c r="A119" s="27"/>
      <c r="B119" s="84" t="s">
        <v>1098</v>
      </c>
      <c r="C119" s="84" t="s">
        <v>1099</v>
      </c>
      <c r="D119" s="84" t="s">
        <v>1100</v>
      </c>
      <c r="E119" s="133">
        <v>2</v>
      </c>
      <c r="F119" s="84" t="s">
        <v>775</v>
      </c>
      <c r="G119" s="161" t="s">
        <v>776</v>
      </c>
      <c r="H119" s="75" t="s">
        <v>777</v>
      </c>
      <c r="I119" s="76">
        <v>17</v>
      </c>
      <c r="J119" s="75" t="s">
        <v>693</v>
      </c>
      <c r="K119" s="76">
        <v>3</v>
      </c>
      <c r="L119" s="76"/>
      <c r="M119" s="84" t="s">
        <v>778</v>
      </c>
      <c r="N119" s="75"/>
      <c r="O119" s="76"/>
      <c r="P119" s="88" t="s">
        <v>1188</v>
      </c>
      <c r="Q119" s="132" t="s">
        <v>738</v>
      </c>
      <c r="R119" s="135" t="s">
        <v>780</v>
      </c>
      <c r="S119" s="86" t="s">
        <v>1110</v>
      </c>
      <c r="T119" s="86" t="s">
        <v>1144</v>
      </c>
      <c r="U119" s="86" t="s">
        <v>1189</v>
      </c>
      <c r="V119" s="86" t="s">
        <v>1190</v>
      </c>
      <c r="W119" s="75"/>
      <c r="X119" s="84" t="s">
        <v>1107</v>
      </c>
      <c r="Y119" s="84" t="s">
        <v>1191</v>
      </c>
      <c r="Z119" s="200" t="s">
        <v>1192</v>
      </c>
      <c r="AA119" s="133" t="s">
        <v>703</v>
      </c>
    </row>
    <row r="120" spans="1:27" s="33" customFormat="1" ht="232.5" hidden="1" customHeight="1">
      <c r="A120" s="27"/>
      <c r="B120" s="84" t="s">
        <v>1098</v>
      </c>
      <c r="C120" s="84" t="s">
        <v>1099</v>
      </c>
      <c r="D120" s="84" t="s">
        <v>1100</v>
      </c>
      <c r="E120" s="133">
        <v>2</v>
      </c>
      <c r="F120" s="84" t="s">
        <v>788</v>
      </c>
      <c r="G120" s="84" t="s">
        <v>789</v>
      </c>
      <c r="H120" s="75" t="s">
        <v>736</v>
      </c>
      <c r="I120" s="76">
        <v>18</v>
      </c>
      <c r="J120" s="75" t="s">
        <v>693</v>
      </c>
      <c r="K120" s="76">
        <v>10</v>
      </c>
      <c r="L120" s="76"/>
      <c r="M120" s="84" t="s">
        <v>790</v>
      </c>
      <c r="N120" s="75"/>
      <c r="O120" s="76"/>
      <c r="P120" s="77"/>
      <c r="Q120" s="132" t="s">
        <v>738</v>
      </c>
      <c r="R120" s="135" t="s">
        <v>791</v>
      </c>
      <c r="S120" s="86" t="s">
        <v>1110</v>
      </c>
      <c r="T120" s="86" t="s">
        <v>1144</v>
      </c>
      <c r="U120" s="86" t="s">
        <v>1193</v>
      </c>
      <c r="V120" s="86" t="s">
        <v>1194</v>
      </c>
      <c r="W120" s="75"/>
      <c r="X120" s="84" t="s">
        <v>1107</v>
      </c>
      <c r="Y120" s="84" t="s">
        <v>1120</v>
      </c>
      <c r="Z120" s="177" t="s">
        <v>1195</v>
      </c>
      <c r="AA120" s="133" t="s">
        <v>703</v>
      </c>
    </row>
    <row r="121" spans="1:27" s="33" customFormat="1" ht="263.25" hidden="1" customHeight="1">
      <c r="A121" s="27"/>
      <c r="B121" s="84" t="s">
        <v>1098</v>
      </c>
      <c r="C121" s="84" t="s">
        <v>1099</v>
      </c>
      <c r="D121" s="84" t="s">
        <v>1100</v>
      </c>
      <c r="E121" s="162">
        <v>2</v>
      </c>
      <c r="F121" s="160" t="s">
        <v>1196</v>
      </c>
      <c r="G121" s="160" t="s">
        <v>1197</v>
      </c>
      <c r="H121" s="75" t="s">
        <v>1198</v>
      </c>
      <c r="I121" s="76">
        <v>19</v>
      </c>
      <c r="J121" s="75" t="s">
        <v>693</v>
      </c>
      <c r="K121" s="76">
        <v>20</v>
      </c>
      <c r="L121" s="76"/>
      <c r="M121" s="86" t="s">
        <v>1199</v>
      </c>
      <c r="N121" s="75"/>
      <c r="O121" s="76"/>
      <c r="P121" s="77"/>
      <c r="Q121" s="161" t="s">
        <v>1166</v>
      </c>
      <c r="R121" s="239" t="s">
        <v>1200</v>
      </c>
      <c r="S121" s="86" t="s">
        <v>1110</v>
      </c>
      <c r="T121" s="86" t="s">
        <v>1144</v>
      </c>
      <c r="U121" s="86" t="s">
        <v>1201</v>
      </c>
      <c r="V121" s="86" t="s">
        <v>1202</v>
      </c>
      <c r="W121" s="75"/>
      <c r="X121" s="84" t="s">
        <v>1107</v>
      </c>
      <c r="Y121" s="84" t="s">
        <v>1139</v>
      </c>
      <c r="Z121" s="84" t="s">
        <v>1203</v>
      </c>
      <c r="AA121" s="133" t="s">
        <v>1148</v>
      </c>
    </row>
    <row r="122" spans="1:27" s="33" customFormat="1" ht="290.25" hidden="1" customHeight="1">
      <c r="A122" s="27"/>
      <c r="B122" s="84" t="s">
        <v>1098</v>
      </c>
      <c r="C122" s="84" t="s">
        <v>1099</v>
      </c>
      <c r="D122" s="84" t="s">
        <v>1100</v>
      </c>
      <c r="E122" s="162">
        <v>2</v>
      </c>
      <c r="F122" s="77" t="s">
        <v>795</v>
      </c>
      <c r="G122" s="77" t="s">
        <v>796</v>
      </c>
      <c r="H122" s="77" t="s">
        <v>797</v>
      </c>
      <c r="I122" s="76">
        <v>20</v>
      </c>
      <c r="J122" s="77" t="s">
        <v>693</v>
      </c>
      <c r="K122" s="76">
        <v>3</v>
      </c>
      <c r="L122" s="76"/>
      <c r="M122" s="86" t="s">
        <v>798</v>
      </c>
      <c r="N122" s="86"/>
      <c r="O122" s="76"/>
      <c r="P122" s="86" t="s">
        <v>986</v>
      </c>
      <c r="Q122" s="88"/>
      <c r="R122" s="77"/>
      <c r="S122" s="86" t="s">
        <v>1110</v>
      </c>
      <c r="T122" s="86" t="s">
        <v>1144</v>
      </c>
      <c r="U122" s="86" t="s">
        <v>1204</v>
      </c>
      <c r="V122" s="86" t="s">
        <v>1205</v>
      </c>
      <c r="W122" s="76"/>
      <c r="X122" s="84" t="s">
        <v>1107</v>
      </c>
      <c r="Y122" s="88" t="s">
        <v>703</v>
      </c>
      <c r="Z122" s="88" t="s">
        <v>703</v>
      </c>
      <c r="AA122" s="221" t="s">
        <v>1206</v>
      </c>
    </row>
    <row r="123" spans="1:27" s="33" customFormat="1" ht="254.25" hidden="1" customHeight="1">
      <c r="A123" s="27"/>
      <c r="B123" s="84" t="s">
        <v>1098</v>
      </c>
      <c r="C123" s="84" t="s">
        <v>1099</v>
      </c>
      <c r="D123" s="84" t="s">
        <v>1100</v>
      </c>
      <c r="E123" s="133">
        <v>2</v>
      </c>
      <c r="F123" s="84" t="s">
        <v>803</v>
      </c>
      <c r="G123" s="84" t="s">
        <v>804</v>
      </c>
      <c r="H123" s="75" t="s">
        <v>805</v>
      </c>
      <c r="I123" s="76">
        <v>21</v>
      </c>
      <c r="J123" s="75" t="s">
        <v>693</v>
      </c>
      <c r="K123" s="76">
        <v>10</v>
      </c>
      <c r="L123" s="76"/>
      <c r="M123" s="86" t="s">
        <v>806</v>
      </c>
      <c r="N123" s="75"/>
      <c r="O123" s="76" t="s">
        <v>695</v>
      </c>
      <c r="P123" s="77"/>
      <c r="Q123" s="84"/>
      <c r="R123" s="84"/>
      <c r="S123" s="86" t="s">
        <v>1110</v>
      </c>
      <c r="T123" s="86" t="s">
        <v>1144</v>
      </c>
      <c r="U123" s="86" t="s">
        <v>1207</v>
      </c>
      <c r="V123" s="86" t="s">
        <v>1208</v>
      </c>
      <c r="W123" s="75"/>
      <c r="X123" s="88" t="s">
        <v>703</v>
      </c>
      <c r="Y123" s="88" t="s">
        <v>703</v>
      </c>
      <c r="Z123" s="88" t="s">
        <v>703</v>
      </c>
      <c r="AA123" s="133" t="s">
        <v>703</v>
      </c>
    </row>
    <row r="124" spans="1:27" s="33" customFormat="1" ht="235.5" hidden="1" customHeight="1">
      <c r="A124" s="27"/>
      <c r="B124" s="84" t="s">
        <v>1098</v>
      </c>
      <c r="C124" s="84" t="s">
        <v>1099</v>
      </c>
      <c r="D124" s="84" t="s">
        <v>1100</v>
      </c>
      <c r="E124" s="133">
        <v>2</v>
      </c>
      <c r="F124" s="84" t="s">
        <v>810</v>
      </c>
      <c r="G124" s="84" t="s">
        <v>811</v>
      </c>
      <c r="H124" s="75" t="s">
        <v>812</v>
      </c>
      <c r="I124" s="76">
        <v>22</v>
      </c>
      <c r="J124" s="75" t="s">
        <v>813</v>
      </c>
      <c r="K124" s="76">
        <v>23</v>
      </c>
      <c r="L124" s="76"/>
      <c r="M124" s="86" t="s">
        <v>814</v>
      </c>
      <c r="N124" s="75"/>
      <c r="O124" s="76"/>
      <c r="P124" s="77"/>
      <c r="Q124" s="84"/>
      <c r="R124" s="84"/>
      <c r="S124" s="86" t="s">
        <v>1110</v>
      </c>
      <c r="T124" s="86" t="s">
        <v>1144</v>
      </c>
      <c r="U124" s="86" t="s">
        <v>1209</v>
      </c>
      <c r="V124" s="86" t="s">
        <v>1210</v>
      </c>
      <c r="W124" s="75"/>
      <c r="X124" s="88" t="s">
        <v>703</v>
      </c>
      <c r="Y124" s="88" t="s">
        <v>703</v>
      </c>
      <c r="Z124" s="88" t="s">
        <v>703</v>
      </c>
      <c r="AA124" s="133" t="s">
        <v>703</v>
      </c>
    </row>
    <row r="125" spans="1:27" s="33" customFormat="1" ht="148.5" hidden="1" customHeight="1">
      <c r="A125" s="27"/>
      <c r="B125" s="84" t="s">
        <v>1211</v>
      </c>
      <c r="C125" s="84" t="s">
        <v>1212</v>
      </c>
      <c r="D125" s="84" t="s">
        <v>1213</v>
      </c>
      <c r="E125" s="76">
        <v>2</v>
      </c>
      <c r="F125" s="75" t="s">
        <v>690</v>
      </c>
      <c r="G125" s="75" t="s">
        <v>691</v>
      </c>
      <c r="H125" s="75" t="s">
        <v>868</v>
      </c>
      <c r="I125" s="76">
        <v>1</v>
      </c>
      <c r="J125" s="77" t="s">
        <v>693</v>
      </c>
      <c r="K125" s="76">
        <v>3</v>
      </c>
      <c r="L125" s="76"/>
      <c r="M125" s="86" t="s">
        <v>694</v>
      </c>
      <c r="N125" s="75"/>
      <c r="O125" s="76" t="s">
        <v>695</v>
      </c>
      <c r="P125" s="77"/>
      <c r="Q125" s="86" t="s">
        <v>818</v>
      </c>
      <c r="R125" s="86" t="s">
        <v>819</v>
      </c>
      <c r="S125" s="86" t="s">
        <v>1214</v>
      </c>
      <c r="T125" s="86" t="s">
        <v>1215</v>
      </c>
      <c r="U125" s="86" t="s">
        <v>1021</v>
      </c>
      <c r="V125" s="86" t="s">
        <v>1216</v>
      </c>
      <c r="W125" s="75"/>
      <c r="X125" s="84" t="s">
        <v>1217</v>
      </c>
      <c r="Y125" s="86" t="s">
        <v>1051</v>
      </c>
      <c r="Z125" s="86" t="s">
        <v>1051</v>
      </c>
      <c r="AA125" s="221" t="s">
        <v>1052</v>
      </c>
    </row>
    <row r="126" spans="1:27" s="33" customFormat="1" ht="99.75" hidden="1" customHeight="1">
      <c r="A126" s="27"/>
      <c r="B126" s="84" t="s">
        <v>1211</v>
      </c>
      <c r="C126" s="84" t="s">
        <v>1212</v>
      </c>
      <c r="D126" s="84" t="s">
        <v>1213</v>
      </c>
      <c r="E126" s="76">
        <v>2</v>
      </c>
      <c r="F126" s="75" t="s">
        <v>705</v>
      </c>
      <c r="G126" s="75" t="s">
        <v>706</v>
      </c>
      <c r="H126" s="75" t="s">
        <v>868</v>
      </c>
      <c r="I126" s="76">
        <v>2</v>
      </c>
      <c r="J126" s="77" t="s">
        <v>693</v>
      </c>
      <c r="K126" s="76">
        <v>30</v>
      </c>
      <c r="L126" s="76"/>
      <c r="M126" s="86" t="s">
        <v>707</v>
      </c>
      <c r="N126" s="75"/>
      <c r="O126" s="76" t="s">
        <v>695</v>
      </c>
      <c r="P126" s="77"/>
      <c r="Q126" s="86" t="s">
        <v>818</v>
      </c>
      <c r="R126" s="86" t="s">
        <v>819</v>
      </c>
      <c r="S126" s="86" t="s">
        <v>1218</v>
      </c>
      <c r="T126" s="86" t="s">
        <v>1219</v>
      </c>
      <c r="U126" s="86" t="s">
        <v>1220</v>
      </c>
      <c r="V126" s="86" t="s">
        <v>1221</v>
      </c>
      <c r="W126" s="75"/>
      <c r="X126" s="84" t="s">
        <v>1217</v>
      </c>
      <c r="Y126" s="86" t="s">
        <v>1222</v>
      </c>
      <c r="Z126" s="86" t="s">
        <v>1223</v>
      </c>
      <c r="AA126" s="133" t="s">
        <v>1051</v>
      </c>
    </row>
    <row r="127" spans="1:27" s="33" customFormat="1" ht="99.75" hidden="1" customHeight="1">
      <c r="A127" s="27"/>
      <c r="B127" s="84" t="s">
        <v>1211</v>
      </c>
      <c r="C127" s="84" t="s">
        <v>1212</v>
      </c>
      <c r="D127" s="84" t="s">
        <v>1213</v>
      </c>
      <c r="E127" s="133">
        <v>2</v>
      </c>
      <c r="F127" s="84" t="s">
        <v>715</v>
      </c>
      <c r="G127" s="84" t="s">
        <v>716</v>
      </c>
      <c r="H127" s="75" t="s">
        <v>880</v>
      </c>
      <c r="I127" s="76">
        <v>3</v>
      </c>
      <c r="J127" s="75" t="s">
        <v>718</v>
      </c>
      <c r="K127" s="76"/>
      <c r="L127" s="76"/>
      <c r="M127" s="84" t="s">
        <v>1002</v>
      </c>
      <c r="N127" s="75"/>
      <c r="O127" s="76" t="s">
        <v>695</v>
      </c>
      <c r="P127" s="77"/>
      <c r="Q127" s="132" t="s">
        <v>720</v>
      </c>
      <c r="R127" s="135" t="s">
        <v>721</v>
      </c>
      <c r="S127" s="86" t="s">
        <v>1218</v>
      </c>
      <c r="T127" s="86" t="s">
        <v>1219</v>
      </c>
      <c r="U127" s="86" t="s">
        <v>1224</v>
      </c>
      <c r="V127" s="86" t="s">
        <v>1225</v>
      </c>
      <c r="W127" s="75"/>
      <c r="X127" s="84" t="s">
        <v>1217</v>
      </c>
      <c r="Y127" s="84" t="s">
        <v>1222</v>
      </c>
      <c r="Z127" s="84" t="s">
        <v>1226</v>
      </c>
      <c r="AA127" s="133" t="s">
        <v>1051</v>
      </c>
    </row>
    <row r="128" spans="1:27" s="33" customFormat="1" ht="99.75" hidden="1" customHeight="1">
      <c r="A128" s="27"/>
      <c r="B128" s="84" t="s">
        <v>1211</v>
      </c>
      <c r="C128" s="84" t="s">
        <v>1212</v>
      </c>
      <c r="D128" s="84" t="s">
        <v>1213</v>
      </c>
      <c r="E128" s="76">
        <v>2</v>
      </c>
      <c r="F128" s="84" t="s">
        <v>726</v>
      </c>
      <c r="G128" s="84" t="s">
        <v>727</v>
      </c>
      <c r="H128" s="75" t="s">
        <v>880</v>
      </c>
      <c r="I128" s="76">
        <v>4</v>
      </c>
      <c r="J128" s="75" t="s">
        <v>718</v>
      </c>
      <c r="K128" s="76"/>
      <c r="L128" s="76"/>
      <c r="M128" s="84" t="s">
        <v>728</v>
      </c>
      <c r="N128" s="75"/>
      <c r="O128" s="76" t="s">
        <v>695</v>
      </c>
      <c r="P128" s="77"/>
      <c r="Q128" s="197"/>
      <c r="R128" s="197"/>
      <c r="S128" s="86" t="s">
        <v>1218</v>
      </c>
      <c r="T128" s="86" t="s">
        <v>1219</v>
      </c>
      <c r="U128" s="86" t="s">
        <v>809</v>
      </c>
      <c r="V128" s="86" t="s">
        <v>1227</v>
      </c>
      <c r="W128" s="75"/>
      <c r="X128" s="84" t="s">
        <v>1217</v>
      </c>
      <c r="Y128" s="84" t="s">
        <v>1222</v>
      </c>
      <c r="Z128" s="198" t="s">
        <v>1051</v>
      </c>
      <c r="AA128" s="199" t="s">
        <v>1060</v>
      </c>
    </row>
    <row r="129" spans="1:27" s="33" customFormat="1" ht="99.75" hidden="1" customHeight="1">
      <c r="A129" s="27"/>
      <c r="B129" s="84" t="s">
        <v>1211</v>
      </c>
      <c r="C129" s="84" t="s">
        <v>1212</v>
      </c>
      <c r="D129" s="84" t="s">
        <v>1213</v>
      </c>
      <c r="E129" s="76">
        <v>2</v>
      </c>
      <c r="F129" s="84" t="s">
        <v>788</v>
      </c>
      <c r="G129" s="84" t="s">
        <v>789</v>
      </c>
      <c r="H129" s="75" t="s">
        <v>736</v>
      </c>
      <c r="I129" s="76">
        <v>5</v>
      </c>
      <c r="J129" s="75" t="s">
        <v>693</v>
      </c>
      <c r="K129" s="76">
        <v>10</v>
      </c>
      <c r="L129" s="76"/>
      <c r="M129" s="84" t="s">
        <v>790</v>
      </c>
      <c r="N129" s="75"/>
      <c r="O129" s="76" t="s">
        <v>695</v>
      </c>
      <c r="P129" s="77"/>
      <c r="Q129" s="86" t="s">
        <v>738</v>
      </c>
      <c r="R129" s="86" t="s">
        <v>739</v>
      </c>
      <c r="S129" s="86" t="s">
        <v>1218</v>
      </c>
      <c r="T129" s="86" t="s">
        <v>1219</v>
      </c>
      <c r="U129" s="86" t="s">
        <v>1228</v>
      </c>
      <c r="V129" s="86" t="s">
        <v>1229</v>
      </c>
      <c r="W129" s="75"/>
      <c r="X129" s="84" t="s">
        <v>1217</v>
      </c>
      <c r="Y129" s="86" t="s">
        <v>1222</v>
      </c>
      <c r="Z129" s="86" t="s">
        <v>1230</v>
      </c>
      <c r="AA129" s="133" t="s">
        <v>1051</v>
      </c>
    </row>
    <row r="130" spans="1:27" s="33" customFormat="1" ht="99.75" hidden="1" customHeight="1">
      <c r="A130" s="27"/>
      <c r="B130" s="84" t="s">
        <v>1211</v>
      </c>
      <c r="C130" s="84" t="s">
        <v>1212</v>
      </c>
      <c r="D130" s="84" t="s">
        <v>1213</v>
      </c>
      <c r="E130" s="76">
        <v>2</v>
      </c>
      <c r="F130" s="75" t="s">
        <v>743</v>
      </c>
      <c r="G130" s="84" t="s">
        <v>744</v>
      </c>
      <c r="H130" s="75" t="s">
        <v>745</v>
      </c>
      <c r="I130" s="76">
        <v>6</v>
      </c>
      <c r="J130" s="75" t="s">
        <v>746</v>
      </c>
      <c r="K130" s="76">
        <v>23</v>
      </c>
      <c r="L130" s="76">
        <v>6</v>
      </c>
      <c r="M130" s="84" t="s">
        <v>747</v>
      </c>
      <c r="N130" s="75"/>
      <c r="O130" s="76" t="s">
        <v>695</v>
      </c>
      <c r="P130" s="77"/>
      <c r="Q130" s="75" t="s">
        <v>738</v>
      </c>
      <c r="R130" s="86" t="s">
        <v>748</v>
      </c>
      <c r="S130" s="86" t="s">
        <v>1218</v>
      </c>
      <c r="T130" s="86" t="s">
        <v>1219</v>
      </c>
      <c r="U130" s="86" t="s">
        <v>1231</v>
      </c>
      <c r="V130" s="86" t="s">
        <v>1232</v>
      </c>
      <c r="W130" s="75"/>
      <c r="X130" s="84" t="s">
        <v>1217</v>
      </c>
      <c r="Y130" s="86" t="s">
        <v>1222</v>
      </c>
      <c r="Z130" s="163" t="s">
        <v>1233</v>
      </c>
      <c r="AA130" s="133" t="s">
        <v>1051</v>
      </c>
    </row>
    <row r="131" spans="1:27" s="33" customFormat="1" ht="99.75" hidden="1" customHeight="1">
      <c r="A131" s="27"/>
      <c r="B131" s="201" t="s">
        <v>1211</v>
      </c>
      <c r="C131" s="201" t="s">
        <v>1212</v>
      </c>
      <c r="D131" s="201" t="s">
        <v>1213</v>
      </c>
      <c r="E131" s="87">
        <v>2</v>
      </c>
      <c r="F131" s="205" t="s">
        <v>752</v>
      </c>
      <c r="G131" s="205" t="s">
        <v>753</v>
      </c>
      <c r="H131" s="204" t="s">
        <v>777</v>
      </c>
      <c r="I131" s="87">
        <v>7</v>
      </c>
      <c r="J131" s="204" t="s">
        <v>693</v>
      </c>
      <c r="K131" s="87">
        <v>20</v>
      </c>
      <c r="L131" s="87"/>
      <c r="M131" s="205" t="s">
        <v>755</v>
      </c>
      <c r="N131" s="204"/>
      <c r="O131" s="87"/>
      <c r="P131" s="208" t="s">
        <v>1234</v>
      </c>
      <c r="Q131" s="210" t="s">
        <v>840</v>
      </c>
      <c r="R131" s="218" t="s">
        <v>841</v>
      </c>
      <c r="S131" s="204"/>
      <c r="T131" s="204"/>
      <c r="U131" s="204"/>
      <c r="V131" s="204"/>
      <c r="W131" s="204"/>
      <c r="X131" s="201" t="s">
        <v>1217</v>
      </c>
      <c r="Y131" s="201" t="s">
        <v>1222</v>
      </c>
      <c r="Z131" s="220" t="s">
        <v>1235</v>
      </c>
      <c r="AA131" s="209" t="s">
        <v>1051</v>
      </c>
    </row>
    <row r="132" spans="1:27" s="33" customFormat="1" ht="99.75" hidden="1" customHeight="1">
      <c r="A132" s="27"/>
      <c r="B132" s="201" t="s">
        <v>1211</v>
      </c>
      <c r="C132" s="201" t="s">
        <v>1212</v>
      </c>
      <c r="D132" s="201" t="s">
        <v>1213</v>
      </c>
      <c r="E132" s="209">
        <v>2</v>
      </c>
      <c r="F132" s="203" t="s">
        <v>764</v>
      </c>
      <c r="G132" s="203" t="s">
        <v>765</v>
      </c>
      <c r="H132" s="204" t="s">
        <v>766</v>
      </c>
      <c r="I132" s="87">
        <v>8</v>
      </c>
      <c r="J132" s="204" t="s">
        <v>693</v>
      </c>
      <c r="K132" s="87">
        <v>4</v>
      </c>
      <c r="L132" s="87"/>
      <c r="M132" s="205" t="s">
        <v>767</v>
      </c>
      <c r="N132" s="204"/>
      <c r="O132" s="87"/>
      <c r="P132" s="206"/>
      <c r="Q132" s="207"/>
      <c r="R132" s="207"/>
      <c r="S132" s="211" t="s">
        <v>1218</v>
      </c>
      <c r="T132" s="211" t="s">
        <v>1219</v>
      </c>
      <c r="U132" s="210" t="s">
        <v>809</v>
      </c>
      <c r="V132" s="210" t="s">
        <v>1236</v>
      </c>
      <c r="W132" s="204"/>
      <c r="X132" s="201" t="s">
        <v>1217</v>
      </c>
      <c r="Y132" s="203" t="s">
        <v>1051</v>
      </c>
      <c r="Z132" s="203" t="s">
        <v>1051</v>
      </c>
      <c r="AA132" s="202" t="s">
        <v>1060</v>
      </c>
    </row>
    <row r="133" spans="1:27" s="33" customFormat="1" ht="99.75" hidden="1" customHeight="1">
      <c r="A133" s="27"/>
      <c r="B133" s="84" t="s">
        <v>1211</v>
      </c>
      <c r="C133" s="84" t="s">
        <v>1212</v>
      </c>
      <c r="D133" s="84" t="s">
        <v>1213</v>
      </c>
      <c r="E133" s="76">
        <v>2</v>
      </c>
      <c r="F133" s="75" t="s">
        <v>775</v>
      </c>
      <c r="G133" s="161" t="s">
        <v>776</v>
      </c>
      <c r="H133" s="75" t="s">
        <v>777</v>
      </c>
      <c r="I133" s="76">
        <v>9</v>
      </c>
      <c r="J133" s="75" t="s">
        <v>693</v>
      </c>
      <c r="K133" s="76">
        <v>10</v>
      </c>
      <c r="L133" s="76"/>
      <c r="M133" s="84" t="s">
        <v>778</v>
      </c>
      <c r="N133" s="75"/>
      <c r="O133" s="76"/>
      <c r="P133" s="88" t="s">
        <v>1237</v>
      </c>
      <c r="Q133" s="86" t="s">
        <v>738</v>
      </c>
      <c r="R133" s="86" t="s">
        <v>780</v>
      </c>
      <c r="S133" s="86" t="s">
        <v>1218</v>
      </c>
      <c r="T133" s="86" t="s">
        <v>1219</v>
      </c>
      <c r="U133" s="86" t="s">
        <v>1238</v>
      </c>
      <c r="V133" s="86" t="s">
        <v>1239</v>
      </c>
      <c r="W133" s="75"/>
      <c r="X133" s="84" t="s">
        <v>1217</v>
      </c>
      <c r="Y133" s="86" t="s">
        <v>1222</v>
      </c>
      <c r="Z133" s="86" t="s">
        <v>331</v>
      </c>
      <c r="AA133" s="133" t="s">
        <v>1051</v>
      </c>
    </row>
    <row r="134" spans="1:27" s="33" customFormat="1" ht="99.75" hidden="1" customHeight="1">
      <c r="A134" s="27"/>
      <c r="B134" s="84" t="s">
        <v>1211</v>
      </c>
      <c r="C134" s="84" t="s">
        <v>1212</v>
      </c>
      <c r="D134" s="84" t="s">
        <v>1213</v>
      </c>
      <c r="E134" s="76">
        <v>2</v>
      </c>
      <c r="F134" s="84" t="s">
        <v>734</v>
      </c>
      <c r="G134" s="84" t="s">
        <v>735</v>
      </c>
      <c r="H134" s="75" t="s">
        <v>736</v>
      </c>
      <c r="I134" s="76">
        <v>10</v>
      </c>
      <c r="J134" s="75" t="s">
        <v>693</v>
      </c>
      <c r="K134" s="76">
        <v>10</v>
      </c>
      <c r="L134" s="76"/>
      <c r="M134" s="84" t="s">
        <v>737</v>
      </c>
      <c r="N134" s="75"/>
      <c r="O134" s="233"/>
      <c r="P134" s="77"/>
      <c r="Q134" s="86" t="s">
        <v>738</v>
      </c>
      <c r="R134" s="86" t="s">
        <v>791</v>
      </c>
      <c r="S134" s="86" t="s">
        <v>1218</v>
      </c>
      <c r="T134" s="86" t="s">
        <v>1219</v>
      </c>
      <c r="U134" s="86" t="s">
        <v>1240</v>
      </c>
      <c r="V134" s="86" t="s">
        <v>1241</v>
      </c>
      <c r="W134" s="75"/>
      <c r="X134" s="84" t="s">
        <v>1217</v>
      </c>
      <c r="Y134" s="86" t="s">
        <v>1222</v>
      </c>
      <c r="Z134" s="86" t="s">
        <v>1242</v>
      </c>
      <c r="AA134" s="133" t="s">
        <v>1051</v>
      </c>
    </row>
    <row r="135" spans="1:27" s="33" customFormat="1" ht="99.75" hidden="1" customHeight="1">
      <c r="A135" s="27"/>
      <c r="B135" s="84" t="s">
        <v>1211</v>
      </c>
      <c r="C135" s="84" t="s">
        <v>1212</v>
      </c>
      <c r="D135" s="84" t="s">
        <v>1213</v>
      </c>
      <c r="E135" s="76">
        <v>2</v>
      </c>
      <c r="F135" s="75" t="s">
        <v>1028</v>
      </c>
      <c r="G135" s="75" t="s">
        <v>1029</v>
      </c>
      <c r="H135" s="75" t="s">
        <v>1030</v>
      </c>
      <c r="I135" s="76">
        <v>11</v>
      </c>
      <c r="J135" s="75" t="s">
        <v>693</v>
      </c>
      <c r="K135" s="76"/>
      <c r="L135" s="76"/>
      <c r="M135" s="86" t="s">
        <v>1031</v>
      </c>
      <c r="N135" s="75"/>
      <c r="O135" s="76"/>
      <c r="P135" s="77"/>
      <c r="Q135" s="75"/>
      <c r="R135" s="75"/>
      <c r="S135" s="86" t="s">
        <v>1218</v>
      </c>
      <c r="T135" s="86" t="s">
        <v>1219</v>
      </c>
      <c r="U135" s="86" t="s">
        <v>1243</v>
      </c>
      <c r="V135" s="86" t="s">
        <v>1244</v>
      </c>
      <c r="W135" s="75"/>
      <c r="X135" s="84" t="s">
        <v>1217</v>
      </c>
      <c r="Y135" s="86" t="s">
        <v>1222</v>
      </c>
      <c r="Z135" s="86" t="s">
        <v>1245</v>
      </c>
      <c r="AA135" s="133" t="s">
        <v>1051</v>
      </c>
    </row>
    <row r="136" spans="1:27" s="33" customFormat="1" ht="99.75" hidden="1" customHeight="1">
      <c r="A136" s="27"/>
      <c r="B136" s="84" t="s">
        <v>1211</v>
      </c>
      <c r="C136" s="84" t="s">
        <v>1212</v>
      </c>
      <c r="D136" s="84" t="s">
        <v>1213</v>
      </c>
      <c r="E136" s="76">
        <v>2</v>
      </c>
      <c r="F136" s="77" t="s">
        <v>795</v>
      </c>
      <c r="G136" s="77" t="s">
        <v>796</v>
      </c>
      <c r="H136" s="77" t="s">
        <v>797</v>
      </c>
      <c r="I136" s="76">
        <v>12</v>
      </c>
      <c r="J136" s="77" t="s">
        <v>693</v>
      </c>
      <c r="K136" s="76">
        <v>3</v>
      </c>
      <c r="L136" s="76"/>
      <c r="M136" s="86" t="s">
        <v>798</v>
      </c>
      <c r="N136" s="86"/>
      <c r="O136" s="76"/>
      <c r="P136" s="86" t="s">
        <v>1246</v>
      </c>
      <c r="Q136" s="88"/>
      <c r="R136" s="77"/>
      <c r="S136" s="86" t="s">
        <v>1218</v>
      </c>
      <c r="T136" s="86" t="s">
        <v>1219</v>
      </c>
      <c r="U136" s="132" t="s">
        <v>809</v>
      </c>
      <c r="V136" s="88" t="s">
        <v>1247</v>
      </c>
      <c r="W136" s="76"/>
      <c r="X136" s="84" t="s">
        <v>1217</v>
      </c>
      <c r="Y136" s="86" t="s">
        <v>1051</v>
      </c>
      <c r="Z136" s="86" t="s">
        <v>1051</v>
      </c>
      <c r="AA136" s="221" t="s">
        <v>1248</v>
      </c>
    </row>
    <row r="137" spans="1:27" s="33" customFormat="1" ht="99.75" hidden="1" customHeight="1">
      <c r="A137" s="27"/>
      <c r="B137" s="84" t="s">
        <v>1211</v>
      </c>
      <c r="C137" s="84" t="s">
        <v>1212</v>
      </c>
      <c r="D137" s="84" t="s">
        <v>1213</v>
      </c>
      <c r="E137" s="76">
        <v>2</v>
      </c>
      <c r="F137" s="84" t="s">
        <v>803</v>
      </c>
      <c r="G137" s="75" t="s">
        <v>804</v>
      </c>
      <c r="H137" s="75" t="s">
        <v>805</v>
      </c>
      <c r="I137" s="76">
        <v>13</v>
      </c>
      <c r="J137" s="75" t="s">
        <v>693</v>
      </c>
      <c r="K137" s="76">
        <v>10</v>
      </c>
      <c r="L137" s="76"/>
      <c r="M137" s="86" t="s">
        <v>806</v>
      </c>
      <c r="N137" s="75"/>
      <c r="O137" s="76" t="s">
        <v>695</v>
      </c>
      <c r="P137" s="77"/>
      <c r="Q137" s="75"/>
      <c r="R137" s="75"/>
      <c r="S137" s="86" t="s">
        <v>1218</v>
      </c>
      <c r="T137" s="86" t="s">
        <v>1219</v>
      </c>
      <c r="U137" s="86" t="s">
        <v>1249</v>
      </c>
      <c r="V137" s="86" t="s">
        <v>1250</v>
      </c>
      <c r="W137" s="75"/>
      <c r="X137" s="86" t="s">
        <v>1051</v>
      </c>
      <c r="Y137" s="86" t="s">
        <v>1051</v>
      </c>
      <c r="Z137" s="86" t="s">
        <v>1051</v>
      </c>
      <c r="AA137" s="133" t="s">
        <v>1051</v>
      </c>
    </row>
    <row r="138" spans="1:27" s="33" customFormat="1" ht="99.75" hidden="1" customHeight="1">
      <c r="A138" s="27"/>
      <c r="B138" s="84" t="s">
        <v>1211</v>
      </c>
      <c r="C138" s="84" t="s">
        <v>1212</v>
      </c>
      <c r="D138" s="84" t="s">
        <v>1213</v>
      </c>
      <c r="E138" s="76">
        <v>2</v>
      </c>
      <c r="F138" s="84" t="s">
        <v>810</v>
      </c>
      <c r="G138" s="75" t="s">
        <v>811</v>
      </c>
      <c r="H138" s="75" t="s">
        <v>812</v>
      </c>
      <c r="I138" s="76">
        <v>14</v>
      </c>
      <c r="J138" s="75" t="s">
        <v>813</v>
      </c>
      <c r="K138" s="76">
        <v>23</v>
      </c>
      <c r="L138" s="76"/>
      <c r="M138" s="86" t="s">
        <v>814</v>
      </c>
      <c r="N138" s="75"/>
      <c r="O138" s="76"/>
      <c r="P138" s="77"/>
      <c r="Q138" s="75"/>
      <c r="R138" s="75"/>
      <c r="S138" s="86" t="s">
        <v>1218</v>
      </c>
      <c r="T138" s="86" t="s">
        <v>1219</v>
      </c>
      <c r="U138" s="132" t="s">
        <v>809</v>
      </c>
      <c r="V138" s="88" t="s">
        <v>1251</v>
      </c>
      <c r="W138" s="75"/>
      <c r="X138" s="86" t="s">
        <v>1051</v>
      </c>
      <c r="Y138" s="86" t="s">
        <v>1051</v>
      </c>
      <c r="Z138" s="86" t="s">
        <v>1051</v>
      </c>
      <c r="AA138" s="133" t="s">
        <v>1051</v>
      </c>
    </row>
    <row r="139" spans="1:27" s="33" customFormat="1" ht="99.75" hidden="1" customHeight="1">
      <c r="A139" s="27"/>
      <c r="B139" s="84" t="s">
        <v>1252</v>
      </c>
      <c r="C139" s="84" t="s">
        <v>1253</v>
      </c>
      <c r="D139" s="161" t="s">
        <v>1254</v>
      </c>
      <c r="E139" s="133">
        <v>2</v>
      </c>
      <c r="F139" s="84" t="s">
        <v>690</v>
      </c>
      <c r="G139" s="84" t="s">
        <v>691</v>
      </c>
      <c r="H139" s="75" t="s">
        <v>868</v>
      </c>
      <c r="I139" s="76">
        <v>1</v>
      </c>
      <c r="J139" s="77" t="s">
        <v>693</v>
      </c>
      <c r="K139" s="76">
        <v>4</v>
      </c>
      <c r="L139" s="76"/>
      <c r="M139" s="86" t="s">
        <v>694</v>
      </c>
      <c r="N139" s="75"/>
      <c r="O139" s="76" t="s">
        <v>695</v>
      </c>
      <c r="P139" s="77"/>
      <c r="Q139" s="84" t="s">
        <v>720</v>
      </c>
      <c r="R139" s="84" t="s">
        <v>1255</v>
      </c>
      <c r="S139" s="75"/>
      <c r="T139" s="75"/>
      <c r="U139" s="75"/>
      <c r="V139" s="75"/>
      <c r="W139" s="75"/>
      <c r="X139" s="84" t="s">
        <v>1256</v>
      </c>
      <c r="Y139" s="84" t="s">
        <v>1257</v>
      </c>
      <c r="Z139" s="84" t="s">
        <v>138</v>
      </c>
      <c r="AA139" s="76" t="s">
        <v>1051</v>
      </c>
    </row>
    <row r="140" spans="1:27" s="33" customFormat="1" ht="99.75" hidden="1" customHeight="1">
      <c r="A140" s="27"/>
      <c r="B140" s="84" t="s">
        <v>1252</v>
      </c>
      <c r="C140" s="84" t="s">
        <v>1253</v>
      </c>
      <c r="D140" s="161" t="s">
        <v>1254</v>
      </c>
      <c r="E140" s="133">
        <v>2</v>
      </c>
      <c r="F140" s="84" t="s">
        <v>705</v>
      </c>
      <c r="G140" s="84" t="s">
        <v>706</v>
      </c>
      <c r="H140" s="75" t="s">
        <v>868</v>
      </c>
      <c r="I140" s="76">
        <v>2</v>
      </c>
      <c r="J140" s="77" t="s">
        <v>693</v>
      </c>
      <c r="K140" s="76">
        <v>30</v>
      </c>
      <c r="L140" s="76"/>
      <c r="M140" s="86" t="s">
        <v>707</v>
      </c>
      <c r="N140" s="75"/>
      <c r="O140" s="76" t="s">
        <v>695</v>
      </c>
      <c r="P140" s="77"/>
      <c r="Q140" s="84" t="s">
        <v>720</v>
      </c>
      <c r="R140" s="84" t="s">
        <v>1255</v>
      </c>
      <c r="S140" s="75"/>
      <c r="T140" s="75"/>
      <c r="U140" s="75"/>
      <c r="V140" s="75"/>
      <c r="W140" s="75"/>
      <c r="X140" s="84" t="s">
        <v>1256</v>
      </c>
      <c r="Y140" s="84" t="s">
        <v>1258</v>
      </c>
      <c r="Z140" s="84" t="s">
        <v>1259</v>
      </c>
      <c r="AA140" s="76" t="s">
        <v>1051</v>
      </c>
    </row>
    <row r="141" spans="1:27" s="33" customFormat="1" ht="99.75" hidden="1" customHeight="1">
      <c r="A141" s="27"/>
      <c r="B141" s="84" t="s">
        <v>1252</v>
      </c>
      <c r="C141" s="84" t="s">
        <v>1253</v>
      </c>
      <c r="D141" s="161" t="s">
        <v>1254</v>
      </c>
      <c r="E141" s="133">
        <v>2</v>
      </c>
      <c r="F141" s="84" t="s">
        <v>715</v>
      </c>
      <c r="G141" s="84" t="s">
        <v>716</v>
      </c>
      <c r="H141" s="75" t="s">
        <v>880</v>
      </c>
      <c r="I141" s="76">
        <v>3</v>
      </c>
      <c r="J141" s="75" t="s">
        <v>875</v>
      </c>
      <c r="K141" s="76"/>
      <c r="L141" s="76"/>
      <c r="M141" s="84" t="s">
        <v>1260</v>
      </c>
      <c r="N141" s="75"/>
      <c r="O141" s="76" t="s">
        <v>695</v>
      </c>
      <c r="P141" s="77"/>
      <c r="Q141" s="84" t="s">
        <v>738</v>
      </c>
      <c r="R141" s="84" t="s">
        <v>1261</v>
      </c>
      <c r="S141" s="75"/>
      <c r="T141" s="75"/>
      <c r="U141" s="75"/>
      <c r="V141" s="75"/>
      <c r="W141" s="75"/>
      <c r="X141" s="84" t="s">
        <v>1256</v>
      </c>
      <c r="Y141" s="84" t="s">
        <v>1262</v>
      </c>
      <c r="Z141" s="84" t="s">
        <v>1263</v>
      </c>
      <c r="AA141" s="76" t="s">
        <v>1051</v>
      </c>
    </row>
    <row r="142" spans="1:27" s="33" customFormat="1" ht="99.75" hidden="1" customHeight="1">
      <c r="A142" s="27"/>
      <c r="B142" s="84" t="s">
        <v>1252</v>
      </c>
      <c r="C142" s="84" t="s">
        <v>1253</v>
      </c>
      <c r="D142" s="161" t="s">
        <v>1254</v>
      </c>
      <c r="E142" s="133">
        <v>2</v>
      </c>
      <c r="F142" s="84" t="s">
        <v>726</v>
      </c>
      <c r="G142" s="84" t="s">
        <v>727</v>
      </c>
      <c r="H142" s="75" t="s">
        <v>880</v>
      </c>
      <c r="I142" s="76">
        <v>4</v>
      </c>
      <c r="J142" s="75" t="s">
        <v>718</v>
      </c>
      <c r="K142" s="76"/>
      <c r="L142" s="76"/>
      <c r="M142" s="84" t="s">
        <v>728</v>
      </c>
      <c r="N142" s="75"/>
      <c r="O142" s="76" t="s">
        <v>695</v>
      </c>
      <c r="P142" s="77"/>
      <c r="Q142" s="197"/>
      <c r="R142" s="197"/>
      <c r="S142" s="75"/>
      <c r="T142" s="75"/>
      <c r="U142" s="75"/>
      <c r="V142" s="75"/>
      <c r="W142" s="75"/>
      <c r="X142" s="84" t="s">
        <v>1256</v>
      </c>
      <c r="Y142" s="84" t="s">
        <v>1262</v>
      </c>
      <c r="Z142" s="198" t="s">
        <v>1264</v>
      </c>
      <c r="AA142" s="76" t="s">
        <v>1051</v>
      </c>
    </row>
    <row r="143" spans="1:27" s="33" customFormat="1" ht="99.75" hidden="1" customHeight="1">
      <c r="A143" s="27"/>
      <c r="B143" s="201" t="s">
        <v>1252</v>
      </c>
      <c r="C143" s="201" t="s">
        <v>1253</v>
      </c>
      <c r="D143" s="205" t="s">
        <v>1254</v>
      </c>
      <c r="E143" s="209">
        <v>2</v>
      </c>
      <c r="F143" s="205" t="s">
        <v>752</v>
      </c>
      <c r="G143" s="205" t="s">
        <v>753</v>
      </c>
      <c r="H143" s="204" t="s">
        <v>777</v>
      </c>
      <c r="I143" s="87">
        <v>5</v>
      </c>
      <c r="J143" s="204" t="s">
        <v>693</v>
      </c>
      <c r="K143" s="87">
        <v>20</v>
      </c>
      <c r="L143" s="87"/>
      <c r="M143" s="205" t="s">
        <v>755</v>
      </c>
      <c r="N143" s="204"/>
      <c r="O143" s="87"/>
      <c r="P143" s="208" t="s">
        <v>1265</v>
      </c>
      <c r="Q143" s="201" t="s">
        <v>840</v>
      </c>
      <c r="R143" s="201" t="s">
        <v>841</v>
      </c>
      <c r="S143" s="204"/>
      <c r="T143" s="204"/>
      <c r="U143" s="204"/>
      <c r="V143" s="204"/>
      <c r="W143" s="204"/>
      <c r="X143" s="201" t="s">
        <v>1256</v>
      </c>
      <c r="Y143" s="201" t="s">
        <v>1262</v>
      </c>
      <c r="Z143" s="204" t="s">
        <v>1266</v>
      </c>
      <c r="AA143" s="87" t="s">
        <v>1051</v>
      </c>
    </row>
    <row r="144" spans="1:27" s="33" customFormat="1" ht="99.75" hidden="1" customHeight="1">
      <c r="A144" s="27"/>
      <c r="B144" s="84" t="s">
        <v>1252</v>
      </c>
      <c r="C144" s="84" t="s">
        <v>1253</v>
      </c>
      <c r="D144" s="161" t="s">
        <v>1254</v>
      </c>
      <c r="E144" s="133">
        <v>2</v>
      </c>
      <c r="F144" s="84" t="s">
        <v>775</v>
      </c>
      <c r="G144" s="161" t="s">
        <v>776</v>
      </c>
      <c r="H144" s="75" t="s">
        <v>777</v>
      </c>
      <c r="I144" s="76">
        <v>6</v>
      </c>
      <c r="J144" s="75" t="s">
        <v>693</v>
      </c>
      <c r="K144" s="76">
        <v>3</v>
      </c>
      <c r="L144" s="76"/>
      <c r="M144" s="84" t="s">
        <v>778</v>
      </c>
      <c r="N144" s="75"/>
      <c r="O144" s="76"/>
      <c r="P144" s="88" t="s">
        <v>1267</v>
      </c>
      <c r="Q144" s="84" t="s">
        <v>738</v>
      </c>
      <c r="R144" s="84" t="s">
        <v>780</v>
      </c>
      <c r="S144" s="75"/>
      <c r="T144" s="75"/>
      <c r="U144" s="75"/>
      <c r="V144" s="75"/>
      <c r="W144" s="75"/>
      <c r="X144" s="84" t="s">
        <v>1256</v>
      </c>
      <c r="Y144" s="84" t="s">
        <v>1257</v>
      </c>
      <c r="Z144" s="84" t="s">
        <v>1268</v>
      </c>
      <c r="AA144" s="76" t="s">
        <v>1051</v>
      </c>
    </row>
    <row r="145" spans="1:27" s="33" customFormat="1" ht="99.75" hidden="1" customHeight="1">
      <c r="A145" s="27"/>
      <c r="B145" s="84" t="s">
        <v>1252</v>
      </c>
      <c r="C145" s="84" t="s">
        <v>1253</v>
      </c>
      <c r="D145" s="161" t="s">
        <v>1254</v>
      </c>
      <c r="E145" s="133">
        <v>2</v>
      </c>
      <c r="F145" s="84" t="s">
        <v>901</v>
      </c>
      <c r="G145" s="84" t="s">
        <v>902</v>
      </c>
      <c r="H145" s="75" t="s">
        <v>766</v>
      </c>
      <c r="I145" s="76">
        <v>7</v>
      </c>
      <c r="J145" s="75" t="s">
        <v>693</v>
      </c>
      <c r="K145" s="87">
        <v>4</v>
      </c>
      <c r="L145" s="76"/>
      <c r="M145" s="84" t="s">
        <v>903</v>
      </c>
      <c r="N145" s="75"/>
      <c r="O145" s="76"/>
      <c r="P145" s="77"/>
      <c r="Q145" s="84" t="s">
        <v>738</v>
      </c>
      <c r="R145" s="84" t="s">
        <v>904</v>
      </c>
      <c r="S145" s="75"/>
      <c r="T145" s="75"/>
      <c r="U145" s="75"/>
      <c r="V145" s="75"/>
      <c r="W145" s="75"/>
      <c r="X145" s="84" t="s">
        <v>1256</v>
      </c>
      <c r="Y145" s="84" t="s">
        <v>1262</v>
      </c>
      <c r="Z145" s="84" t="s">
        <v>1269</v>
      </c>
      <c r="AA145" s="76" t="s">
        <v>1051</v>
      </c>
    </row>
    <row r="146" spans="1:27" s="33" customFormat="1" ht="99.75" hidden="1" customHeight="1">
      <c r="A146" s="27"/>
      <c r="B146" s="84" t="s">
        <v>1252</v>
      </c>
      <c r="C146" s="84" t="s">
        <v>1253</v>
      </c>
      <c r="D146" s="161" t="s">
        <v>1254</v>
      </c>
      <c r="E146" s="133">
        <v>2</v>
      </c>
      <c r="F146" s="198" t="s">
        <v>1270</v>
      </c>
      <c r="G146" s="198" t="s">
        <v>1271</v>
      </c>
      <c r="H146" s="75" t="s">
        <v>1272</v>
      </c>
      <c r="I146" s="76">
        <v>8</v>
      </c>
      <c r="J146" s="75" t="s">
        <v>693</v>
      </c>
      <c r="K146" s="87">
        <v>4</v>
      </c>
      <c r="L146" s="76"/>
      <c r="M146" s="84"/>
      <c r="N146" s="75"/>
      <c r="O146" s="76"/>
      <c r="P146" s="77"/>
      <c r="Q146" s="84" t="s">
        <v>738</v>
      </c>
      <c r="R146" s="197" t="s">
        <v>1270</v>
      </c>
      <c r="S146" s="75"/>
      <c r="T146" s="75"/>
      <c r="U146" s="75"/>
      <c r="V146" s="75"/>
      <c r="W146" s="75"/>
      <c r="X146" s="84" t="s">
        <v>1256</v>
      </c>
      <c r="Y146" s="84" t="s">
        <v>1257</v>
      </c>
      <c r="Z146" s="198" t="s">
        <v>1273</v>
      </c>
      <c r="AA146" s="76" t="s">
        <v>1051</v>
      </c>
    </row>
    <row r="147" spans="1:27" s="33" customFormat="1" ht="99.75" hidden="1" customHeight="1">
      <c r="A147" s="27"/>
      <c r="B147" s="84" t="s">
        <v>1252</v>
      </c>
      <c r="C147" s="84" t="s">
        <v>1253</v>
      </c>
      <c r="D147" s="161" t="s">
        <v>1254</v>
      </c>
      <c r="E147" s="133">
        <v>2</v>
      </c>
      <c r="F147" s="84" t="s">
        <v>734</v>
      </c>
      <c r="G147" s="84" t="s">
        <v>735</v>
      </c>
      <c r="H147" s="75" t="s">
        <v>736</v>
      </c>
      <c r="I147" s="76">
        <v>9</v>
      </c>
      <c r="J147" s="75" t="s">
        <v>693</v>
      </c>
      <c r="K147" s="76">
        <v>10</v>
      </c>
      <c r="L147" s="76"/>
      <c r="M147" s="84" t="s">
        <v>737</v>
      </c>
      <c r="N147" s="75"/>
      <c r="O147" s="76"/>
      <c r="P147" s="77"/>
      <c r="Q147" s="84" t="s">
        <v>738</v>
      </c>
      <c r="R147" s="84" t="s">
        <v>739</v>
      </c>
      <c r="S147" s="75"/>
      <c r="T147" s="75"/>
      <c r="U147" s="75"/>
      <c r="V147" s="75"/>
      <c r="W147" s="75"/>
      <c r="X147" s="84" t="s">
        <v>1256</v>
      </c>
      <c r="Y147" s="84" t="s">
        <v>1274</v>
      </c>
      <c r="Z147" s="84" t="s">
        <v>1275</v>
      </c>
      <c r="AA147" s="76" t="s">
        <v>1051</v>
      </c>
    </row>
    <row r="148" spans="1:27" s="33" customFormat="1" ht="99.75" hidden="1" customHeight="1">
      <c r="A148" s="27"/>
      <c r="B148" s="84" t="s">
        <v>1252</v>
      </c>
      <c r="C148" s="84" t="s">
        <v>1253</v>
      </c>
      <c r="D148" s="161" t="s">
        <v>1254</v>
      </c>
      <c r="E148" s="133">
        <v>2</v>
      </c>
      <c r="F148" s="84" t="s">
        <v>788</v>
      </c>
      <c r="G148" s="84" t="s">
        <v>789</v>
      </c>
      <c r="H148" s="75" t="s">
        <v>736</v>
      </c>
      <c r="I148" s="76">
        <v>10</v>
      </c>
      <c r="J148" s="75" t="s">
        <v>693</v>
      </c>
      <c r="K148" s="76">
        <v>10</v>
      </c>
      <c r="L148" s="76"/>
      <c r="M148" s="84" t="s">
        <v>790</v>
      </c>
      <c r="N148" s="75"/>
      <c r="O148" s="76"/>
      <c r="P148" s="77"/>
      <c r="Q148" s="84" t="s">
        <v>738</v>
      </c>
      <c r="R148" s="84" t="s">
        <v>791</v>
      </c>
      <c r="S148" s="75"/>
      <c r="T148" s="75"/>
      <c r="U148" s="75"/>
      <c r="V148" s="75"/>
      <c r="W148" s="75"/>
      <c r="X148" s="84" t="s">
        <v>1256</v>
      </c>
      <c r="Y148" s="84" t="s">
        <v>1274</v>
      </c>
      <c r="Z148" s="84" t="s">
        <v>1276</v>
      </c>
      <c r="AA148" s="76" t="s">
        <v>1051</v>
      </c>
    </row>
    <row r="149" spans="1:27" ht="99.75" hidden="1" customHeight="1">
      <c r="B149" s="84" t="s">
        <v>1252</v>
      </c>
      <c r="C149" s="84" t="s">
        <v>1253</v>
      </c>
      <c r="D149" s="161" t="s">
        <v>1254</v>
      </c>
      <c r="E149" s="133">
        <v>2</v>
      </c>
      <c r="F149" s="84" t="s">
        <v>743</v>
      </c>
      <c r="G149" s="84" t="s">
        <v>744</v>
      </c>
      <c r="H149" s="75" t="s">
        <v>745</v>
      </c>
      <c r="I149" s="76">
        <v>11</v>
      </c>
      <c r="J149" s="75" t="s">
        <v>746</v>
      </c>
      <c r="K149" s="76">
        <v>23</v>
      </c>
      <c r="L149" s="76">
        <v>6</v>
      </c>
      <c r="M149" s="84" t="s">
        <v>747</v>
      </c>
      <c r="N149" s="75"/>
      <c r="O149" s="76" t="s">
        <v>695</v>
      </c>
      <c r="P149" s="77"/>
      <c r="Q149" s="84" t="s">
        <v>738</v>
      </c>
      <c r="R149" s="84" t="s">
        <v>748</v>
      </c>
      <c r="S149" s="75"/>
      <c r="T149" s="75"/>
      <c r="U149" s="75"/>
      <c r="V149" s="75"/>
      <c r="W149" s="75"/>
      <c r="X149" s="84" t="s">
        <v>1256</v>
      </c>
      <c r="Y149" s="84" t="s">
        <v>1274</v>
      </c>
      <c r="Z149" s="84" t="s">
        <v>1277</v>
      </c>
      <c r="AA149" s="76" t="s">
        <v>1051</v>
      </c>
    </row>
    <row r="150" spans="1:27" ht="99.75" hidden="1" customHeight="1">
      <c r="B150" s="84" t="s">
        <v>1252</v>
      </c>
      <c r="C150" s="84" t="s">
        <v>1253</v>
      </c>
      <c r="D150" s="161" t="s">
        <v>1254</v>
      </c>
      <c r="E150" s="133">
        <v>2</v>
      </c>
      <c r="F150" s="198" t="s">
        <v>1037</v>
      </c>
      <c r="G150" s="198" t="s">
        <v>1038</v>
      </c>
      <c r="H150" s="75" t="s">
        <v>745</v>
      </c>
      <c r="I150" s="76">
        <v>12</v>
      </c>
      <c r="J150" s="75" t="s">
        <v>693</v>
      </c>
      <c r="K150" s="76"/>
      <c r="L150" s="76"/>
      <c r="M150" s="84" t="s">
        <v>1278</v>
      </c>
      <c r="N150" s="75"/>
      <c r="O150" s="76"/>
      <c r="P150" s="77"/>
      <c r="Q150" s="197"/>
      <c r="R150" s="197"/>
      <c r="S150" s="75"/>
      <c r="T150" s="75"/>
      <c r="U150" s="75"/>
      <c r="V150" s="75"/>
      <c r="W150" s="75"/>
      <c r="X150" s="84" t="s">
        <v>1256</v>
      </c>
      <c r="Y150" s="84" t="s">
        <v>1274</v>
      </c>
      <c r="Z150" s="198" t="s">
        <v>1279</v>
      </c>
      <c r="AA150" s="76" t="s">
        <v>1051</v>
      </c>
    </row>
    <row r="151" spans="1:27" ht="99.75" hidden="1" customHeight="1">
      <c r="B151" s="84" t="s">
        <v>1252</v>
      </c>
      <c r="C151" s="84" t="s">
        <v>1253</v>
      </c>
      <c r="D151" s="161" t="s">
        <v>1254</v>
      </c>
      <c r="E151" s="133">
        <v>2</v>
      </c>
      <c r="F151" s="84" t="s">
        <v>803</v>
      </c>
      <c r="G151" s="84" t="s">
        <v>804</v>
      </c>
      <c r="H151" s="75" t="s">
        <v>805</v>
      </c>
      <c r="I151" s="76">
        <v>13</v>
      </c>
      <c r="J151" s="75" t="s">
        <v>693</v>
      </c>
      <c r="K151" s="76">
        <v>10</v>
      </c>
      <c r="L151" s="76"/>
      <c r="M151" s="86" t="s">
        <v>806</v>
      </c>
      <c r="N151" s="75"/>
      <c r="O151" s="76" t="s">
        <v>695</v>
      </c>
      <c r="P151" s="77"/>
      <c r="Q151" s="84"/>
      <c r="R151" s="84"/>
      <c r="S151" s="75"/>
      <c r="T151" s="75"/>
      <c r="U151" s="75"/>
      <c r="V151" s="75"/>
      <c r="W151" s="75"/>
      <c r="X151" s="84" t="s">
        <v>1051</v>
      </c>
      <c r="Y151" s="84" t="s">
        <v>1051</v>
      </c>
      <c r="Z151" s="84" t="s">
        <v>1051</v>
      </c>
      <c r="AA151" s="76" t="s">
        <v>1051</v>
      </c>
    </row>
    <row r="152" spans="1:27" ht="99.75" hidden="1" customHeight="1">
      <c r="B152" s="84" t="s">
        <v>1252</v>
      </c>
      <c r="C152" s="84" t="s">
        <v>1253</v>
      </c>
      <c r="D152" s="161" t="s">
        <v>1254</v>
      </c>
      <c r="E152" s="133">
        <v>2</v>
      </c>
      <c r="F152" s="84" t="s">
        <v>810</v>
      </c>
      <c r="G152" s="84" t="s">
        <v>811</v>
      </c>
      <c r="H152" s="75" t="s">
        <v>812</v>
      </c>
      <c r="I152" s="76">
        <v>14</v>
      </c>
      <c r="J152" s="75" t="s">
        <v>813</v>
      </c>
      <c r="K152" s="76">
        <v>23</v>
      </c>
      <c r="L152" s="76"/>
      <c r="M152" s="86" t="s">
        <v>814</v>
      </c>
      <c r="N152" s="75"/>
      <c r="O152" s="76"/>
      <c r="P152" s="77"/>
      <c r="Q152" s="84"/>
      <c r="R152" s="84"/>
      <c r="S152" s="75"/>
      <c r="T152" s="75"/>
      <c r="U152" s="75"/>
      <c r="V152" s="75"/>
      <c r="W152" s="75"/>
      <c r="X152" s="84" t="s">
        <v>1051</v>
      </c>
      <c r="Y152" s="84" t="s">
        <v>1051</v>
      </c>
      <c r="Z152" s="84" t="s">
        <v>1051</v>
      </c>
      <c r="AA152" s="76" t="s">
        <v>1051</v>
      </c>
    </row>
    <row r="153" spans="1:27" ht="99.75" hidden="1" customHeight="1">
      <c r="B153" s="84" t="s">
        <v>1280</v>
      </c>
      <c r="C153" s="84" t="s">
        <v>1281</v>
      </c>
      <c r="D153" s="84" t="s">
        <v>1282</v>
      </c>
      <c r="E153" s="133">
        <v>2</v>
      </c>
      <c r="F153" s="75" t="s">
        <v>690</v>
      </c>
      <c r="G153" s="75" t="s">
        <v>691</v>
      </c>
      <c r="H153" s="75" t="s">
        <v>868</v>
      </c>
      <c r="I153" s="76">
        <v>1</v>
      </c>
      <c r="J153" s="77" t="s">
        <v>693</v>
      </c>
      <c r="K153" s="76">
        <v>4</v>
      </c>
      <c r="L153" s="76"/>
      <c r="M153" s="86" t="s">
        <v>694</v>
      </c>
      <c r="N153" s="75"/>
      <c r="O153" s="76" t="s">
        <v>695</v>
      </c>
      <c r="P153" s="77"/>
      <c r="Q153" s="86" t="s">
        <v>818</v>
      </c>
      <c r="R153" s="86" t="s">
        <v>819</v>
      </c>
      <c r="S153" s="75"/>
      <c r="T153" s="75"/>
      <c r="U153" s="75"/>
      <c r="V153" s="75"/>
      <c r="W153" s="75"/>
      <c r="X153" s="84" t="s">
        <v>996</v>
      </c>
      <c r="Y153" s="86" t="s">
        <v>809</v>
      </c>
      <c r="Z153" s="86" t="s">
        <v>809</v>
      </c>
      <c r="AA153" s="221" t="s">
        <v>825</v>
      </c>
    </row>
    <row r="154" spans="1:27" ht="99.75" hidden="1" customHeight="1">
      <c r="B154" s="84" t="s">
        <v>1280</v>
      </c>
      <c r="C154" s="84" t="s">
        <v>1281</v>
      </c>
      <c r="D154" s="84" t="s">
        <v>1282</v>
      </c>
      <c r="E154" s="133">
        <v>2</v>
      </c>
      <c r="F154" s="75" t="s">
        <v>705</v>
      </c>
      <c r="G154" s="75" t="s">
        <v>706</v>
      </c>
      <c r="H154" s="75" t="s">
        <v>868</v>
      </c>
      <c r="I154" s="76">
        <v>2</v>
      </c>
      <c r="J154" s="77" t="s">
        <v>693</v>
      </c>
      <c r="K154" s="76">
        <v>30</v>
      </c>
      <c r="L154" s="76"/>
      <c r="M154" s="86" t="s">
        <v>707</v>
      </c>
      <c r="N154" s="75"/>
      <c r="O154" s="76" t="s">
        <v>695</v>
      </c>
      <c r="P154" s="77"/>
      <c r="Q154" s="86" t="s">
        <v>818</v>
      </c>
      <c r="R154" s="86" t="s">
        <v>819</v>
      </c>
      <c r="S154" s="75"/>
      <c r="T154" s="75"/>
      <c r="U154" s="75"/>
      <c r="V154" s="75"/>
      <c r="W154" s="75"/>
      <c r="X154" s="84" t="s">
        <v>996</v>
      </c>
      <c r="Y154" s="86" t="s">
        <v>1000</v>
      </c>
      <c r="Z154" s="86" t="s">
        <v>1283</v>
      </c>
      <c r="AA154" s="133" t="s">
        <v>809</v>
      </c>
    </row>
    <row r="155" spans="1:27" ht="99.75" hidden="1" customHeight="1">
      <c r="B155" s="84" t="s">
        <v>1280</v>
      </c>
      <c r="C155" s="84" t="s">
        <v>1281</v>
      </c>
      <c r="D155" s="84" t="s">
        <v>1282</v>
      </c>
      <c r="E155" s="133">
        <v>2</v>
      </c>
      <c r="F155" s="84" t="s">
        <v>715</v>
      </c>
      <c r="G155" s="84" t="s">
        <v>716</v>
      </c>
      <c r="H155" s="75" t="s">
        <v>880</v>
      </c>
      <c r="I155" s="76">
        <v>3</v>
      </c>
      <c r="J155" s="75" t="s">
        <v>875</v>
      </c>
      <c r="K155" s="76"/>
      <c r="L155" s="76"/>
      <c r="M155" s="84" t="s">
        <v>1002</v>
      </c>
      <c r="N155" s="75"/>
      <c r="O155" s="76" t="s">
        <v>695</v>
      </c>
      <c r="P155" s="77"/>
      <c r="Q155" s="132" t="s">
        <v>720</v>
      </c>
      <c r="R155" s="135" t="s">
        <v>721</v>
      </c>
      <c r="S155" s="75"/>
      <c r="T155" s="75"/>
      <c r="U155" s="75"/>
      <c r="V155" s="75"/>
      <c r="W155" s="75"/>
      <c r="X155" s="84" t="s">
        <v>996</v>
      </c>
      <c r="Y155" s="84" t="s">
        <v>1000</v>
      </c>
      <c r="Z155" s="84" t="s">
        <v>835</v>
      </c>
      <c r="AA155" s="133" t="s">
        <v>809</v>
      </c>
    </row>
    <row r="156" spans="1:27" ht="99.75" hidden="1" customHeight="1">
      <c r="B156" s="84" t="s">
        <v>1280</v>
      </c>
      <c r="C156" s="84" t="s">
        <v>1281</v>
      </c>
      <c r="D156" s="84" t="s">
        <v>1282</v>
      </c>
      <c r="E156" s="76">
        <v>2</v>
      </c>
      <c r="F156" s="84" t="s">
        <v>726</v>
      </c>
      <c r="G156" s="84" t="s">
        <v>727</v>
      </c>
      <c r="H156" s="75" t="s">
        <v>880</v>
      </c>
      <c r="I156" s="76">
        <v>4</v>
      </c>
      <c r="J156" s="75" t="s">
        <v>718</v>
      </c>
      <c r="K156" s="76"/>
      <c r="L156" s="76"/>
      <c r="M156" s="84" t="s">
        <v>1284</v>
      </c>
      <c r="N156" s="75"/>
      <c r="O156" s="76" t="s">
        <v>695</v>
      </c>
      <c r="P156" s="77"/>
      <c r="Q156" s="86" t="s">
        <v>720</v>
      </c>
      <c r="R156" s="86" t="s">
        <v>721</v>
      </c>
      <c r="S156" s="75"/>
      <c r="T156" s="75"/>
      <c r="U156" s="75"/>
      <c r="V156" s="75"/>
      <c r="W156" s="75"/>
      <c r="X156" s="84" t="s">
        <v>996</v>
      </c>
      <c r="Y156" s="84" t="s">
        <v>1285</v>
      </c>
      <c r="Z156" s="86" t="s">
        <v>1009</v>
      </c>
      <c r="AA156" s="133" t="s">
        <v>1010</v>
      </c>
    </row>
    <row r="157" spans="1:27" ht="99.75" hidden="1" customHeight="1">
      <c r="B157" s="84" t="s">
        <v>1280</v>
      </c>
      <c r="C157" s="84" t="s">
        <v>1281</v>
      </c>
      <c r="D157" s="84" t="s">
        <v>1282</v>
      </c>
      <c r="E157" s="133">
        <v>2</v>
      </c>
      <c r="F157" s="84" t="s">
        <v>788</v>
      </c>
      <c r="G157" s="84" t="s">
        <v>789</v>
      </c>
      <c r="H157" s="75" t="s">
        <v>736</v>
      </c>
      <c r="I157" s="76">
        <v>5</v>
      </c>
      <c r="J157" s="75" t="s">
        <v>693</v>
      </c>
      <c r="K157" s="76">
        <v>10</v>
      </c>
      <c r="L157" s="76"/>
      <c r="M157" s="84" t="s">
        <v>790</v>
      </c>
      <c r="N157" s="75"/>
      <c r="O157" s="76" t="s">
        <v>695</v>
      </c>
      <c r="P157" s="77"/>
      <c r="Q157" s="86" t="s">
        <v>720</v>
      </c>
      <c r="R157" s="86" t="s">
        <v>1286</v>
      </c>
      <c r="S157" s="75"/>
      <c r="T157" s="75"/>
      <c r="U157" s="75"/>
      <c r="V157" s="75"/>
      <c r="W157" s="75"/>
      <c r="X157" s="84" t="s">
        <v>996</v>
      </c>
      <c r="Y157" s="86" t="s">
        <v>1287</v>
      </c>
      <c r="Z157" s="86" t="s">
        <v>856</v>
      </c>
      <c r="AA157" s="133" t="s">
        <v>809</v>
      </c>
    </row>
    <row r="158" spans="1:27" ht="99.75" hidden="1" customHeight="1">
      <c r="B158" s="84" t="s">
        <v>1280</v>
      </c>
      <c r="C158" s="84" t="s">
        <v>1281</v>
      </c>
      <c r="D158" s="84" t="s">
        <v>1282</v>
      </c>
      <c r="E158" s="133">
        <v>2</v>
      </c>
      <c r="F158" s="75" t="s">
        <v>743</v>
      </c>
      <c r="G158" s="84" t="s">
        <v>744</v>
      </c>
      <c r="H158" s="75" t="s">
        <v>745</v>
      </c>
      <c r="I158" s="76">
        <v>6</v>
      </c>
      <c r="J158" s="75" t="s">
        <v>746</v>
      </c>
      <c r="K158" s="76">
        <v>23</v>
      </c>
      <c r="L158" s="76">
        <v>6</v>
      </c>
      <c r="M158" s="84" t="s">
        <v>747</v>
      </c>
      <c r="N158" s="75"/>
      <c r="O158" s="76" t="s">
        <v>695</v>
      </c>
      <c r="P158" s="77"/>
      <c r="Q158" s="75" t="s">
        <v>738</v>
      </c>
      <c r="R158" s="86" t="s">
        <v>748</v>
      </c>
      <c r="S158" s="75"/>
      <c r="T158" s="75"/>
      <c r="U158" s="75"/>
      <c r="V158" s="75"/>
      <c r="W158" s="75"/>
      <c r="X158" s="84" t="s">
        <v>996</v>
      </c>
      <c r="Y158" s="86" t="s">
        <v>1000</v>
      </c>
      <c r="Z158" s="163" t="s">
        <v>859</v>
      </c>
      <c r="AA158" s="133" t="s">
        <v>809</v>
      </c>
    </row>
    <row r="159" spans="1:27" ht="99.75" hidden="1" customHeight="1">
      <c r="B159" s="201" t="s">
        <v>1280</v>
      </c>
      <c r="C159" s="201" t="s">
        <v>1281</v>
      </c>
      <c r="D159" s="201" t="s">
        <v>1282</v>
      </c>
      <c r="E159" s="209">
        <v>2</v>
      </c>
      <c r="F159" s="205" t="s">
        <v>752</v>
      </c>
      <c r="G159" s="205" t="s">
        <v>753</v>
      </c>
      <c r="H159" s="204" t="s">
        <v>777</v>
      </c>
      <c r="I159" s="87">
        <v>7</v>
      </c>
      <c r="J159" s="204" t="s">
        <v>693</v>
      </c>
      <c r="K159" s="87">
        <v>20</v>
      </c>
      <c r="L159" s="87"/>
      <c r="M159" s="205" t="s">
        <v>755</v>
      </c>
      <c r="N159" s="204"/>
      <c r="O159" s="87"/>
      <c r="P159" s="208" t="s">
        <v>1288</v>
      </c>
      <c r="Q159" s="210" t="s">
        <v>840</v>
      </c>
      <c r="R159" s="218" t="s">
        <v>841</v>
      </c>
      <c r="S159" s="204"/>
      <c r="T159" s="204"/>
      <c r="U159" s="204"/>
      <c r="V159" s="204"/>
      <c r="W159" s="204"/>
      <c r="X159" s="201" t="s">
        <v>996</v>
      </c>
      <c r="Y159" s="201" t="s">
        <v>1000</v>
      </c>
      <c r="Z159" s="220" t="s">
        <v>844</v>
      </c>
      <c r="AA159" s="209" t="s">
        <v>809</v>
      </c>
    </row>
    <row r="160" spans="1:27" ht="99.75" hidden="1" customHeight="1">
      <c r="B160" s="84" t="s">
        <v>1280</v>
      </c>
      <c r="C160" s="84" t="s">
        <v>1281</v>
      </c>
      <c r="D160" s="84" t="s">
        <v>1282</v>
      </c>
      <c r="E160" s="133">
        <v>2</v>
      </c>
      <c r="F160" s="75" t="s">
        <v>775</v>
      </c>
      <c r="G160" s="161" t="s">
        <v>776</v>
      </c>
      <c r="H160" s="75" t="s">
        <v>777</v>
      </c>
      <c r="I160" s="76">
        <v>8</v>
      </c>
      <c r="J160" s="75" t="s">
        <v>693</v>
      </c>
      <c r="K160" s="76">
        <v>3</v>
      </c>
      <c r="L160" s="76"/>
      <c r="M160" s="84" t="s">
        <v>778</v>
      </c>
      <c r="N160" s="75"/>
      <c r="O160" s="76"/>
      <c r="P160" s="88" t="s">
        <v>1289</v>
      </c>
      <c r="Q160" s="86" t="s">
        <v>738</v>
      </c>
      <c r="R160" s="86" t="s">
        <v>780</v>
      </c>
      <c r="S160" s="75"/>
      <c r="T160" s="75"/>
      <c r="U160" s="75"/>
      <c r="V160" s="75"/>
      <c r="W160" s="75"/>
      <c r="X160" s="84" t="s">
        <v>996</v>
      </c>
      <c r="Y160" s="86" t="s">
        <v>1000</v>
      </c>
      <c r="Z160" s="86" t="s">
        <v>850</v>
      </c>
      <c r="AA160" s="133" t="s">
        <v>809</v>
      </c>
    </row>
    <row r="161" spans="2:27" ht="99.75" hidden="1" customHeight="1">
      <c r="B161" s="84" t="s">
        <v>1280</v>
      </c>
      <c r="C161" s="84" t="s">
        <v>1281</v>
      </c>
      <c r="D161" s="84" t="s">
        <v>1282</v>
      </c>
      <c r="E161" s="133">
        <v>2</v>
      </c>
      <c r="F161" s="84" t="s">
        <v>734</v>
      </c>
      <c r="G161" s="84" t="s">
        <v>735</v>
      </c>
      <c r="H161" s="75" t="s">
        <v>736</v>
      </c>
      <c r="I161" s="76">
        <v>9</v>
      </c>
      <c r="J161" s="75" t="s">
        <v>693</v>
      </c>
      <c r="K161" s="76">
        <v>10</v>
      </c>
      <c r="L161" s="76"/>
      <c r="M161" s="84" t="s">
        <v>737</v>
      </c>
      <c r="N161" s="75"/>
      <c r="O161" s="233"/>
      <c r="P161" s="77"/>
      <c r="Q161" s="86" t="s">
        <v>738</v>
      </c>
      <c r="R161" s="86" t="s">
        <v>739</v>
      </c>
      <c r="S161" s="75"/>
      <c r="T161" s="75"/>
      <c r="U161" s="75"/>
      <c r="V161" s="75"/>
      <c r="W161" s="75"/>
      <c r="X161" s="84" t="s">
        <v>996</v>
      </c>
      <c r="Y161" s="86" t="s">
        <v>1000</v>
      </c>
      <c r="Z161" s="86" t="s">
        <v>853</v>
      </c>
      <c r="AA161" s="133" t="s">
        <v>809</v>
      </c>
    </row>
    <row r="162" spans="2:27" ht="99.75" hidden="1" customHeight="1">
      <c r="B162" s="84" t="s">
        <v>1280</v>
      </c>
      <c r="C162" s="84" t="s">
        <v>1281</v>
      </c>
      <c r="D162" s="84" t="s">
        <v>1282</v>
      </c>
      <c r="E162" s="133">
        <v>2</v>
      </c>
      <c r="F162" s="75" t="s">
        <v>1028</v>
      </c>
      <c r="G162" s="75" t="s">
        <v>1029</v>
      </c>
      <c r="H162" s="75" t="s">
        <v>1030</v>
      </c>
      <c r="I162" s="76">
        <v>10</v>
      </c>
      <c r="J162" s="75" t="s">
        <v>693</v>
      </c>
      <c r="K162" s="76"/>
      <c r="L162" s="76"/>
      <c r="M162" s="86" t="s">
        <v>1031</v>
      </c>
      <c r="N162" s="75"/>
      <c r="O162" s="76"/>
      <c r="P162" s="77"/>
      <c r="Q162" s="75"/>
      <c r="R162" s="75"/>
      <c r="S162" s="75"/>
      <c r="T162" s="75"/>
      <c r="U162" s="75"/>
      <c r="V162" s="75"/>
      <c r="W162" s="75"/>
      <c r="X162" s="84" t="s">
        <v>996</v>
      </c>
      <c r="Y162" s="86" t="s">
        <v>1034</v>
      </c>
      <c r="Z162" s="86" t="s">
        <v>1035</v>
      </c>
      <c r="AA162" s="133" t="s">
        <v>1036</v>
      </c>
    </row>
    <row r="163" spans="2:27" ht="99.75" hidden="1" customHeight="1">
      <c r="B163" s="84" t="s">
        <v>1280</v>
      </c>
      <c r="C163" s="84" t="s">
        <v>1281</v>
      </c>
      <c r="D163" s="84" t="s">
        <v>1282</v>
      </c>
      <c r="E163" s="133">
        <v>2</v>
      </c>
      <c r="F163" s="77" t="s">
        <v>795</v>
      </c>
      <c r="G163" s="77" t="s">
        <v>796</v>
      </c>
      <c r="H163" s="77" t="s">
        <v>797</v>
      </c>
      <c r="I163" s="76">
        <v>11</v>
      </c>
      <c r="J163" s="77" t="s">
        <v>693</v>
      </c>
      <c r="K163" s="76">
        <v>20</v>
      </c>
      <c r="L163" s="76"/>
      <c r="M163" s="86" t="s">
        <v>798</v>
      </c>
      <c r="N163" s="86"/>
      <c r="O163" s="76"/>
      <c r="P163" s="86" t="s">
        <v>986</v>
      </c>
      <c r="Q163" s="88"/>
      <c r="R163" s="77"/>
      <c r="S163" s="76"/>
      <c r="T163" s="76"/>
      <c r="U163" s="76"/>
      <c r="V163" s="76"/>
      <c r="W163" s="76"/>
      <c r="X163" s="84" t="s">
        <v>996</v>
      </c>
      <c r="Y163" s="86" t="s">
        <v>809</v>
      </c>
      <c r="Z163" s="86" t="s">
        <v>809</v>
      </c>
      <c r="AA163" s="221" t="s">
        <v>1044</v>
      </c>
    </row>
    <row r="164" spans="2:27" ht="99.75" hidden="1" customHeight="1">
      <c r="B164" s="84" t="s">
        <v>1280</v>
      </c>
      <c r="C164" s="84" t="s">
        <v>1281</v>
      </c>
      <c r="D164" s="84" t="s">
        <v>1282</v>
      </c>
      <c r="E164" s="133">
        <v>2</v>
      </c>
      <c r="F164" s="84" t="s">
        <v>803</v>
      </c>
      <c r="G164" s="75" t="s">
        <v>804</v>
      </c>
      <c r="H164" s="75" t="s">
        <v>805</v>
      </c>
      <c r="I164" s="76">
        <v>12</v>
      </c>
      <c r="J164" s="75" t="s">
        <v>693</v>
      </c>
      <c r="K164" s="76">
        <v>10</v>
      </c>
      <c r="L164" s="76"/>
      <c r="M164" s="86" t="s">
        <v>806</v>
      </c>
      <c r="N164" s="75"/>
      <c r="O164" s="76" t="s">
        <v>695</v>
      </c>
      <c r="P164" s="77"/>
      <c r="Q164" s="75"/>
      <c r="R164" s="75"/>
      <c r="S164" s="75"/>
      <c r="T164" s="75"/>
      <c r="U164" s="75"/>
      <c r="V164" s="75"/>
      <c r="W164" s="75"/>
      <c r="X164" s="86" t="s">
        <v>809</v>
      </c>
      <c r="Y164" s="86" t="s">
        <v>809</v>
      </c>
      <c r="Z164" s="86" t="s">
        <v>809</v>
      </c>
      <c r="AA164" s="133" t="s">
        <v>809</v>
      </c>
    </row>
    <row r="165" spans="2:27" ht="99.75" hidden="1" customHeight="1">
      <c r="B165" s="84" t="s">
        <v>1280</v>
      </c>
      <c r="C165" s="84" t="s">
        <v>1281</v>
      </c>
      <c r="D165" s="84" t="s">
        <v>1282</v>
      </c>
      <c r="E165" s="133">
        <v>2</v>
      </c>
      <c r="F165" s="84" t="s">
        <v>810</v>
      </c>
      <c r="G165" s="75" t="s">
        <v>811</v>
      </c>
      <c r="H165" s="75" t="s">
        <v>812</v>
      </c>
      <c r="I165" s="76">
        <v>13</v>
      </c>
      <c r="J165" s="75" t="s">
        <v>813</v>
      </c>
      <c r="K165" s="76">
        <v>23</v>
      </c>
      <c r="L165" s="76"/>
      <c r="M165" s="86" t="s">
        <v>814</v>
      </c>
      <c r="N165" s="75"/>
      <c r="O165" s="76"/>
      <c r="P165" s="77"/>
      <c r="Q165" s="75"/>
      <c r="R165" s="75"/>
      <c r="S165" s="75"/>
      <c r="T165" s="75"/>
      <c r="U165" s="75"/>
      <c r="V165" s="75"/>
      <c r="W165" s="75"/>
      <c r="X165" s="86" t="s">
        <v>809</v>
      </c>
      <c r="Y165" s="86" t="s">
        <v>809</v>
      </c>
      <c r="Z165" s="86" t="s">
        <v>809</v>
      </c>
      <c r="AA165" s="133" t="s">
        <v>809</v>
      </c>
    </row>
    <row r="166" spans="2:27" ht="99.75" hidden="1" customHeight="1">
      <c r="B166" s="84" t="s">
        <v>1290</v>
      </c>
      <c r="C166" s="84" t="s">
        <v>1291</v>
      </c>
      <c r="D166" s="84" t="s">
        <v>1292</v>
      </c>
      <c r="E166" s="133">
        <v>2</v>
      </c>
      <c r="F166" s="84" t="s">
        <v>690</v>
      </c>
      <c r="G166" s="84" t="s">
        <v>691</v>
      </c>
      <c r="H166" s="75" t="s">
        <v>868</v>
      </c>
      <c r="I166" s="76">
        <v>1</v>
      </c>
      <c r="J166" s="77" t="s">
        <v>693</v>
      </c>
      <c r="K166" s="76">
        <v>4</v>
      </c>
      <c r="L166" s="76"/>
      <c r="M166" s="86" t="s">
        <v>694</v>
      </c>
      <c r="N166" s="75"/>
      <c r="O166" s="76" t="s">
        <v>695</v>
      </c>
      <c r="P166" s="77"/>
      <c r="Q166" s="132" t="s">
        <v>1293</v>
      </c>
      <c r="R166" s="135" t="s">
        <v>1294</v>
      </c>
      <c r="S166" s="84"/>
      <c r="T166" s="84"/>
      <c r="U166" s="84"/>
      <c r="V166" s="84"/>
      <c r="W166" s="84"/>
      <c r="X166" s="84" t="s">
        <v>1295</v>
      </c>
      <c r="Y166" s="84" t="s">
        <v>703</v>
      </c>
      <c r="Z166" s="84" t="s">
        <v>703</v>
      </c>
      <c r="AA166" s="133" t="s">
        <v>704</v>
      </c>
    </row>
    <row r="167" spans="2:27" ht="99.75" hidden="1" customHeight="1">
      <c r="B167" s="84" t="s">
        <v>1290</v>
      </c>
      <c r="C167" s="84" t="s">
        <v>1291</v>
      </c>
      <c r="D167" s="84" t="s">
        <v>1292</v>
      </c>
      <c r="E167" s="133">
        <v>2</v>
      </c>
      <c r="F167" s="84" t="s">
        <v>705</v>
      </c>
      <c r="G167" s="84" t="s">
        <v>706</v>
      </c>
      <c r="H167" s="75" t="s">
        <v>868</v>
      </c>
      <c r="I167" s="76">
        <v>2</v>
      </c>
      <c r="J167" s="75" t="s">
        <v>693</v>
      </c>
      <c r="K167" s="76">
        <v>30</v>
      </c>
      <c r="L167" s="76"/>
      <c r="M167" s="86" t="s">
        <v>707</v>
      </c>
      <c r="N167" s="75"/>
      <c r="O167" s="76" t="s">
        <v>695</v>
      </c>
      <c r="P167" s="77"/>
      <c r="Q167" s="132" t="s">
        <v>1293</v>
      </c>
      <c r="R167" s="135" t="s">
        <v>1294</v>
      </c>
      <c r="S167" s="84"/>
      <c r="T167" s="84"/>
      <c r="U167" s="84"/>
      <c r="V167" s="84"/>
      <c r="W167" s="84"/>
      <c r="X167" s="84" t="s">
        <v>1296</v>
      </c>
      <c r="Y167" s="84" t="s">
        <v>1297</v>
      </c>
      <c r="Z167" s="84" t="s">
        <v>1298</v>
      </c>
      <c r="AA167" s="133" t="s">
        <v>1299</v>
      </c>
    </row>
    <row r="168" spans="2:27" ht="99.75" hidden="1" customHeight="1">
      <c r="B168" s="84" t="s">
        <v>1290</v>
      </c>
      <c r="C168" s="84" t="s">
        <v>1291</v>
      </c>
      <c r="D168" s="84" t="s">
        <v>1292</v>
      </c>
      <c r="E168" s="133">
        <v>2</v>
      </c>
      <c r="F168" s="84" t="s">
        <v>715</v>
      </c>
      <c r="G168" s="84" t="s">
        <v>716</v>
      </c>
      <c r="H168" s="75" t="s">
        <v>880</v>
      </c>
      <c r="I168" s="76">
        <v>3</v>
      </c>
      <c r="J168" s="75" t="s">
        <v>875</v>
      </c>
      <c r="K168" s="76"/>
      <c r="L168" s="76"/>
      <c r="M168" s="84" t="s">
        <v>1260</v>
      </c>
      <c r="N168" s="75"/>
      <c r="O168" s="76" t="s">
        <v>695</v>
      </c>
      <c r="P168" s="77"/>
      <c r="Q168" s="132" t="s">
        <v>1101</v>
      </c>
      <c r="R168" s="135"/>
      <c r="S168" s="84"/>
      <c r="T168" s="84"/>
      <c r="U168" s="84"/>
      <c r="V168" s="84"/>
      <c r="W168" s="84"/>
      <c r="X168" s="84" t="s">
        <v>1295</v>
      </c>
      <c r="Y168" s="84" t="s">
        <v>1300</v>
      </c>
      <c r="Z168" s="84" t="s">
        <v>1301</v>
      </c>
      <c r="AA168" s="133" t="s">
        <v>703</v>
      </c>
    </row>
    <row r="169" spans="2:27" ht="99.75" hidden="1" customHeight="1">
      <c r="B169" s="84" t="s">
        <v>1290</v>
      </c>
      <c r="C169" s="84" t="s">
        <v>1291</v>
      </c>
      <c r="D169" s="84" t="s">
        <v>1292</v>
      </c>
      <c r="E169" s="133">
        <v>2</v>
      </c>
      <c r="F169" s="84" t="s">
        <v>726</v>
      </c>
      <c r="G169" s="84" t="s">
        <v>727</v>
      </c>
      <c r="H169" s="75" t="s">
        <v>880</v>
      </c>
      <c r="I169" s="76">
        <v>4</v>
      </c>
      <c r="J169" s="75" t="s">
        <v>718</v>
      </c>
      <c r="K169" s="76"/>
      <c r="L169" s="76"/>
      <c r="M169" s="84" t="s">
        <v>728</v>
      </c>
      <c r="N169" s="75"/>
      <c r="O169" s="76" t="s">
        <v>695</v>
      </c>
      <c r="P169" s="77"/>
      <c r="Q169" s="132" t="s">
        <v>1101</v>
      </c>
      <c r="R169" s="135" t="s">
        <v>1302</v>
      </c>
      <c r="S169" s="75"/>
      <c r="T169" s="75"/>
      <c r="U169" s="75"/>
      <c r="V169" s="75"/>
      <c r="W169" s="75"/>
      <c r="X169" s="84" t="s">
        <v>1295</v>
      </c>
      <c r="Y169" s="161" t="s">
        <v>1303</v>
      </c>
      <c r="Z169" s="161" t="s">
        <v>1304</v>
      </c>
      <c r="AA169" s="133" t="s">
        <v>1305</v>
      </c>
    </row>
    <row r="170" spans="2:27" ht="99.75" hidden="1" customHeight="1">
      <c r="B170" s="201" t="s">
        <v>1290</v>
      </c>
      <c r="C170" s="201" t="s">
        <v>1291</v>
      </c>
      <c r="D170" s="201" t="s">
        <v>1292</v>
      </c>
      <c r="E170" s="209">
        <v>2</v>
      </c>
      <c r="F170" s="205" t="s">
        <v>752</v>
      </c>
      <c r="G170" s="205" t="s">
        <v>753</v>
      </c>
      <c r="H170" s="204" t="s">
        <v>777</v>
      </c>
      <c r="I170" s="87">
        <v>5</v>
      </c>
      <c r="J170" s="204" t="s">
        <v>693</v>
      </c>
      <c r="K170" s="87">
        <v>20</v>
      </c>
      <c r="L170" s="87"/>
      <c r="M170" s="205" t="s">
        <v>755</v>
      </c>
      <c r="N170" s="204"/>
      <c r="O170" s="87" t="s">
        <v>695</v>
      </c>
      <c r="P170" s="208" t="s">
        <v>1306</v>
      </c>
      <c r="Q170" s="210" t="s">
        <v>840</v>
      </c>
      <c r="R170" s="218" t="s">
        <v>841</v>
      </c>
      <c r="S170" s="201"/>
      <c r="T170" s="201"/>
      <c r="U170" s="201"/>
      <c r="V170" s="201"/>
      <c r="W170" s="201"/>
      <c r="X170" s="201" t="s">
        <v>1295</v>
      </c>
      <c r="Y170" s="201" t="s">
        <v>1307</v>
      </c>
      <c r="Z170" s="201" t="s">
        <v>1308</v>
      </c>
      <c r="AA170" s="209" t="s">
        <v>703</v>
      </c>
    </row>
    <row r="171" spans="2:27" ht="99.75" hidden="1" customHeight="1">
      <c r="B171" s="84" t="s">
        <v>1290</v>
      </c>
      <c r="C171" s="84" t="s">
        <v>1291</v>
      </c>
      <c r="D171" s="84" t="s">
        <v>1292</v>
      </c>
      <c r="E171" s="133">
        <v>2</v>
      </c>
      <c r="F171" s="84" t="s">
        <v>775</v>
      </c>
      <c r="G171" s="161" t="s">
        <v>776</v>
      </c>
      <c r="H171" s="75" t="s">
        <v>777</v>
      </c>
      <c r="I171" s="76">
        <v>6</v>
      </c>
      <c r="J171" s="75" t="s">
        <v>693</v>
      </c>
      <c r="K171" s="76">
        <v>3</v>
      </c>
      <c r="L171" s="76"/>
      <c r="M171" s="84" t="s">
        <v>778</v>
      </c>
      <c r="N171" s="75"/>
      <c r="O171" s="76"/>
      <c r="P171" s="88" t="s">
        <v>1309</v>
      </c>
      <c r="Q171" s="132" t="s">
        <v>738</v>
      </c>
      <c r="R171" s="135" t="s">
        <v>780</v>
      </c>
      <c r="S171" s="84"/>
      <c r="T171" s="84"/>
      <c r="U171" s="84"/>
      <c r="V171" s="84"/>
      <c r="W171" s="84"/>
      <c r="X171" s="84" t="s">
        <v>1296</v>
      </c>
      <c r="Y171" s="84" t="s">
        <v>1310</v>
      </c>
      <c r="Z171" s="84" t="s">
        <v>1311</v>
      </c>
      <c r="AA171" s="133" t="s">
        <v>1299</v>
      </c>
    </row>
    <row r="172" spans="2:27" ht="99.75" hidden="1" customHeight="1">
      <c r="B172" s="84" t="s">
        <v>1290</v>
      </c>
      <c r="C172" s="84" t="s">
        <v>1291</v>
      </c>
      <c r="D172" s="84" t="s">
        <v>1292</v>
      </c>
      <c r="E172" s="133">
        <v>2</v>
      </c>
      <c r="F172" s="77" t="s">
        <v>1312</v>
      </c>
      <c r="G172" s="77" t="s">
        <v>1313</v>
      </c>
      <c r="H172" s="75" t="s">
        <v>777</v>
      </c>
      <c r="I172" s="76">
        <v>7</v>
      </c>
      <c r="J172" s="77" t="s">
        <v>1062</v>
      </c>
      <c r="K172" s="76"/>
      <c r="L172" s="76"/>
      <c r="M172" s="86" t="s">
        <v>1314</v>
      </c>
      <c r="N172" s="86"/>
      <c r="O172" s="76"/>
      <c r="P172" s="75"/>
      <c r="Q172" s="200"/>
      <c r="R172" s="75"/>
      <c r="S172" s="240"/>
      <c r="T172" s="240"/>
      <c r="U172" s="240"/>
      <c r="V172" s="240"/>
      <c r="W172" s="240"/>
      <c r="X172" s="84" t="s">
        <v>1295</v>
      </c>
      <c r="Y172" s="86" t="s">
        <v>1315</v>
      </c>
      <c r="Z172" s="86" t="s">
        <v>1316</v>
      </c>
      <c r="AA172" s="133" t="s">
        <v>1317</v>
      </c>
    </row>
    <row r="173" spans="2:27" ht="99.75" hidden="1" customHeight="1">
      <c r="B173" s="84" t="s">
        <v>1290</v>
      </c>
      <c r="C173" s="84" t="s">
        <v>1291</v>
      </c>
      <c r="D173" s="84" t="s">
        <v>1292</v>
      </c>
      <c r="E173" s="133">
        <v>2</v>
      </c>
      <c r="F173" s="84" t="s">
        <v>907</v>
      </c>
      <c r="G173" s="84" t="s">
        <v>908</v>
      </c>
      <c r="H173" s="75" t="s">
        <v>766</v>
      </c>
      <c r="I173" s="76">
        <v>8</v>
      </c>
      <c r="J173" s="75" t="s">
        <v>693</v>
      </c>
      <c r="K173" s="87">
        <v>4</v>
      </c>
      <c r="L173" s="76"/>
      <c r="M173" s="84" t="s">
        <v>909</v>
      </c>
      <c r="N173" s="75"/>
      <c r="O173" s="76"/>
      <c r="P173" s="77"/>
      <c r="Q173" s="132" t="s">
        <v>738</v>
      </c>
      <c r="R173" s="135" t="s">
        <v>910</v>
      </c>
      <c r="S173" s="84"/>
      <c r="T173" s="84"/>
      <c r="U173" s="84"/>
      <c r="V173" s="84"/>
      <c r="W173" s="84"/>
      <c r="X173" s="84" t="s">
        <v>1295</v>
      </c>
      <c r="Y173" s="84" t="s">
        <v>1318</v>
      </c>
      <c r="Z173" s="84" t="s">
        <v>1319</v>
      </c>
      <c r="AA173" s="133" t="s">
        <v>1317</v>
      </c>
    </row>
    <row r="174" spans="2:27" ht="99.75" hidden="1" customHeight="1">
      <c r="B174" s="84" t="s">
        <v>1290</v>
      </c>
      <c r="C174" s="84" t="s">
        <v>1291</v>
      </c>
      <c r="D174" s="84" t="s">
        <v>1292</v>
      </c>
      <c r="E174" s="133">
        <v>2</v>
      </c>
      <c r="F174" s="84" t="s">
        <v>1320</v>
      </c>
      <c r="G174" s="84" t="s">
        <v>1321</v>
      </c>
      <c r="H174" s="75" t="s">
        <v>1322</v>
      </c>
      <c r="I174" s="76">
        <v>9</v>
      </c>
      <c r="J174" s="75" t="s">
        <v>693</v>
      </c>
      <c r="K174" s="76">
        <v>10</v>
      </c>
      <c r="L174" s="76"/>
      <c r="M174" s="86" t="s">
        <v>1323</v>
      </c>
      <c r="N174" s="75"/>
      <c r="O174" s="76"/>
      <c r="P174" s="77"/>
      <c r="Q174" s="132" t="s">
        <v>738</v>
      </c>
      <c r="R174" s="135" t="s">
        <v>1324</v>
      </c>
      <c r="S174" s="84"/>
      <c r="T174" s="84"/>
      <c r="U174" s="84"/>
      <c r="V174" s="84"/>
      <c r="W174" s="84"/>
      <c r="X174" s="84" t="s">
        <v>1295</v>
      </c>
      <c r="Y174" s="84" t="s">
        <v>1318</v>
      </c>
      <c r="Z174" s="84" t="s">
        <v>1325</v>
      </c>
      <c r="AA174" s="133" t="s">
        <v>1326</v>
      </c>
    </row>
    <row r="175" spans="2:27" ht="99.75" hidden="1" customHeight="1">
      <c r="B175" s="84" t="s">
        <v>1290</v>
      </c>
      <c r="C175" s="84" t="s">
        <v>1291</v>
      </c>
      <c r="D175" s="84" t="s">
        <v>1292</v>
      </c>
      <c r="E175" s="133">
        <v>2</v>
      </c>
      <c r="F175" s="84" t="s">
        <v>734</v>
      </c>
      <c r="G175" s="84" t="s">
        <v>735</v>
      </c>
      <c r="H175" s="75" t="s">
        <v>736</v>
      </c>
      <c r="I175" s="76">
        <v>10</v>
      </c>
      <c r="J175" s="75" t="s">
        <v>693</v>
      </c>
      <c r="K175" s="76">
        <v>10</v>
      </c>
      <c r="L175" s="76"/>
      <c r="M175" s="84" t="s">
        <v>1314</v>
      </c>
      <c r="N175" s="75"/>
      <c r="O175" s="76"/>
      <c r="P175" s="77"/>
      <c r="Q175" s="84" t="s">
        <v>738</v>
      </c>
      <c r="R175" s="84" t="s">
        <v>739</v>
      </c>
      <c r="S175" s="84"/>
      <c r="T175" s="84"/>
      <c r="U175" s="84"/>
      <c r="V175" s="84"/>
      <c r="W175" s="84"/>
      <c r="X175" s="84" t="s">
        <v>1295</v>
      </c>
      <c r="Y175" s="84" t="s">
        <v>1307</v>
      </c>
      <c r="Z175" s="84" t="s">
        <v>1327</v>
      </c>
      <c r="AA175" s="133" t="s">
        <v>703</v>
      </c>
    </row>
    <row r="176" spans="2:27" ht="99.75" hidden="1" customHeight="1">
      <c r="B176" s="84" t="s">
        <v>1290</v>
      </c>
      <c r="C176" s="84" t="s">
        <v>1291</v>
      </c>
      <c r="D176" s="84" t="s">
        <v>1292</v>
      </c>
      <c r="E176" s="133">
        <v>2</v>
      </c>
      <c r="F176" s="84" t="s">
        <v>788</v>
      </c>
      <c r="G176" s="84" t="s">
        <v>789</v>
      </c>
      <c r="H176" s="75" t="s">
        <v>736</v>
      </c>
      <c r="I176" s="76">
        <v>11</v>
      </c>
      <c r="J176" s="75" t="s">
        <v>693</v>
      </c>
      <c r="K176" s="76">
        <v>10</v>
      </c>
      <c r="L176" s="76"/>
      <c r="M176" s="84" t="s">
        <v>790</v>
      </c>
      <c r="N176" s="75"/>
      <c r="O176" s="76"/>
      <c r="P176" s="77"/>
      <c r="Q176" s="132" t="s">
        <v>738</v>
      </c>
      <c r="R176" s="135" t="s">
        <v>791</v>
      </c>
      <c r="S176" s="84"/>
      <c r="T176" s="84"/>
      <c r="U176" s="84"/>
      <c r="V176" s="84"/>
      <c r="W176" s="84"/>
      <c r="X176" s="84" t="s">
        <v>1295</v>
      </c>
      <c r="Y176" s="84" t="s">
        <v>1307</v>
      </c>
      <c r="Z176" s="84" t="s">
        <v>1328</v>
      </c>
      <c r="AA176" s="133" t="s">
        <v>703</v>
      </c>
    </row>
    <row r="177" spans="2:27" ht="99.75" hidden="1" customHeight="1">
      <c r="B177" s="84" t="s">
        <v>1290</v>
      </c>
      <c r="C177" s="84" t="s">
        <v>1291</v>
      </c>
      <c r="D177" s="84" t="s">
        <v>1292</v>
      </c>
      <c r="E177" s="133">
        <v>2</v>
      </c>
      <c r="F177" s="84" t="s">
        <v>743</v>
      </c>
      <c r="G177" s="84" t="s">
        <v>744</v>
      </c>
      <c r="H177" s="75" t="s">
        <v>745</v>
      </c>
      <c r="I177" s="76">
        <v>12</v>
      </c>
      <c r="J177" s="75" t="s">
        <v>746</v>
      </c>
      <c r="K177" s="76">
        <v>23</v>
      </c>
      <c r="L177" s="76">
        <v>6</v>
      </c>
      <c r="M177" s="84" t="s">
        <v>747</v>
      </c>
      <c r="N177" s="75"/>
      <c r="O177" s="76"/>
      <c r="P177" s="77"/>
      <c r="Q177" s="132" t="s">
        <v>738</v>
      </c>
      <c r="R177" s="241" t="s">
        <v>748</v>
      </c>
      <c r="S177" s="84"/>
      <c r="T177" s="84"/>
      <c r="U177" s="84"/>
      <c r="V177" s="84"/>
      <c r="W177" s="84"/>
      <c r="X177" s="84" t="s">
        <v>1295</v>
      </c>
      <c r="Y177" s="84" t="s">
        <v>1307</v>
      </c>
      <c r="Z177" s="84" t="s">
        <v>1329</v>
      </c>
      <c r="AA177" s="133" t="s">
        <v>703</v>
      </c>
    </row>
    <row r="178" spans="2:27" ht="99.75" hidden="1" customHeight="1">
      <c r="B178" s="84" t="s">
        <v>1290</v>
      </c>
      <c r="C178" s="84" t="s">
        <v>1291</v>
      </c>
      <c r="D178" s="84" t="s">
        <v>1292</v>
      </c>
      <c r="E178" s="133">
        <v>2</v>
      </c>
      <c r="F178" s="77" t="s">
        <v>795</v>
      </c>
      <c r="G178" s="77" t="s">
        <v>796</v>
      </c>
      <c r="H178" s="77" t="s">
        <v>797</v>
      </c>
      <c r="I178" s="76">
        <v>13</v>
      </c>
      <c r="J178" s="77" t="s">
        <v>693</v>
      </c>
      <c r="K178" s="76">
        <v>20</v>
      </c>
      <c r="L178" s="76"/>
      <c r="M178" s="86" t="s">
        <v>798</v>
      </c>
      <c r="N178" s="86"/>
      <c r="O178" s="76"/>
      <c r="P178" s="86" t="s">
        <v>1330</v>
      </c>
      <c r="Q178" s="88"/>
      <c r="R178" s="77"/>
      <c r="S178" s="76"/>
      <c r="T178" s="76"/>
      <c r="U178" s="76"/>
      <c r="V178" s="76"/>
      <c r="W178" s="76"/>
      <c r="X178" s="84" t="s">
        <v>1295</v>
      </c>
      <c r="Y178" s="84" t="s">
        <v>703</v>
      </c>
      <c r="Z178" s="84" t="s">
        <v>703</v>
      </c>
      <c r="AA178" s="221" t="s">
        <v>1331</v>
      </c>
    </row>
    <row r="179" spans="2:27" ht="99.75" hidden="1" customHeight="1">
      <c r="B179" s="84" t="s">
        <v>1290</v>
      </c>
      <c r="C179" s="84" t="s">
        <v>1291</v>
      </c>
      <c r="D179" s="84" t="s">
        <v>1292</v>
      </c>
      <c r="E179" s="133">
        <v>2</v>
      </c>
      <c r="F179" s="84" t="s">
        <v>803</v>
      </c>
      <c r="G179" s="84" t="s">
        <v>804</v>
      </c>
      <c r="H179" s="75" t="s">
        <v>805</v>
      </c>
      <c r="I179" s="76">
        <v>14</v>
      </c>
      <c r="J179" s="75" t="s">
        <v>693</v>
      </c>
      <c r="K179" s="76">
        <v>10</v>
      </c>
      <c r="L179" s="76"/>
      <c r="M179" s="86" t="s">
        <v>806</v>
      </c>
      <c r="N179" s="75"/>
      <c r="O179" s="76" t="s">
        <v>695</v>
      </c>
      <c r="P179" s="77"/>
      <c r="Q179" s="84"/>
      <c r="R179" s="84"/>
      <c r="S179" s="84"/>
      <c r="T179" s="84"/>
      <c r="U179" s="84"/>
      <c r="V179" s="84"/>
      <c r="W179" s="84"/>
      <c r="X179" s="84" t="s">
        <v>703</v>
      </c>
      <c r="Y179" s="84" t="s">
        <v>703</v>
      </c>
      <c r="Z179" s="84" t="s">
        <v>703</v>
      </c>
      <c r="AA179" s="133" t="s">
        <v>703</v>
      </c>
    </row>
    <row r="180" spans="2:27" ht="99.75" hidden="1" customHeight="1">
      <c r="B180" s="84" t="s">
        <v>1290</v>
      </c>
      <c r="C180" s="84" t="s">
        <v>1291</v>
      </c>
      <c r="D180" s="84" t="s">
        <v>1292</v>
      </c>
      <c r="E180" s="133">
        <v>2</v>
      </c>
      <c r="F180" s="84" t="s">
        <v>810</v>
      </c>
      <c r="G180" s="84" t="s">
        <v>811</v>
      </c>
      <c r="H180" s="75" t="s">
        <v>812</v>
      </c>
      <c r="I180" s="76">
        <v>15</v>
      </c>
      <c r="J180" s="75" t="s">
        <v>813</v>
      </c>
      <c r="K180" s="76">
        <v>23</v>
      </c>
      <c r="L180" s="76"/>
      <c r="M180" s="86" t="s">
        <v>814</v>
      </c>
      <c r="N180" s="75"/>
      <c r="O180" s="76"/>
      <c r="P180" s="77"/>
      <c r="Q180" s="84"/>
      <c r="R180" s="84"/>
      <c r="S180" s="84"/>
      <c r="T180" s="84"/>
      <c r="U180" s="84"/>
      <c r="V180" s="84"/>
      <c r="W180" s="84"/>
      <c r="X180" s="84" t="s">
        <v>703</v>
      </c>
      <c r="Y180" s="84" t="s">
        <v>703</v>
      </c>
      <c r="Z180" s="84" t="s">
        <v>703</v>
      </c>
      <c r="AA180" s="133" t="s">
        <v>703</v>
      </c>
    </row>
    <row r="181" spans="2:27" ht="99.75" hidden="1" customHeight="1">
      <c r="B181" s="86" t="s">
        <v>1332</v>
      </c>
      <c r="C181" s="86" t="s">
        <v>1333</v>
      </c>
      <c r="D181" s="86" t="s">
        <v>1334</v>
      </c>
      <c r="E181" s="76">
        <v>2</v>
      </c>
      <c r="F181" s="75" t="s">
        <v>690</v>
      </c>
      <c r="G181" s="75" t="s">
        <v>691</v>
      </c>
      <c r="H181" s="75" t="s">
        <v>868</v>
      </c>
      <c r="I181" s="76">
        <v>1</v>
      </c>
      <c r="J181" s="77" t="s">
        <v>693</v>
      </c>
      <c r="K181" s="76">
        <v>4</v>
      </c>
      <c r="L181" s="76"/>
      <c r="M181" s="86" t="s">
        <v>694</v>
      </c>
      <c r="N181" s="75"/>
      <c r="O181" s="76" t="s">
        <v>695</v>
      </c>
      <c r="P181" s="77"/>
      <c r="Q181" s="86" t="s">
        <v>818</v>
      </c>
      <c r="R181" s="86" t="s">
        <v>819</v>
      </c>
      <c r="S181" s="75"/>
      <c r="T181" s="75"/>
      <c r="U181" s="75"/>
      <c r="V181" s="75"/>
      <c r="W181" s="75"/>
      <c r="X181" s="84" t="s">
        <v>996</v>
      </c>
      <c r="Y181" s="86" t="s">
        <v>809</v>
      </c>
      <c r="Z181" s="86" t="s">
        <v>809</v>
      </c>
      <c r="AA181" s="221" t="s">
        <v>825</v>
      </c>
    </row>
    <row r="182" spans="2:27" ht="99.75" hidden="1" customHeight="1">
      <c r="B182" s="86" t="s">
        <v>1332</v>
      </c>
      <c r="C182" s="86" t="s">
        <v>1333</v>
      </c>
      <c r="D182" s="86" t="s">
        <v>1334</v>
      </c>
      <c r="E182" s="76">
        <v>2</v>
      </c>
      <c r="F182" s="75" t="s">
        <v>705</v>
      </c>
      <c r="G182" s="75" t="s">
        <v>706</v>
      </c>
      <c r="H182" s="75" t="s">
        <v>868</v>
      </c>
      <c r="I182" s="76">
        <v>2</v>
      </c>
      <c r="J182" s="77" t="s">
        <v>693</v>
      </c>
      <c r="K182" s="76">
        <v>30</v>
      </c>
      <c r="L182" s="76"/>
      <c r="M182" s="86" t="s">
        <v>707</v>
      </c>
      <c r="N182" s="75"/>
      <c r="O182" s="76" t="s">
        <v>695</v>
      </c>
      <c r="P182" s="77"/>
      <c r="Q182" s="86" t="s">
        <v>818</v>
      </c>
      <c r="R182" s="86" t="s">
        <v>819</v>
      </c>
      <c r="S182" s="75"/>
      <c r="T182" s="75"/>
      <c r="U182" s="75"/>
      <c r="V182" s="75"/>
      <c r="W182" s="75"/>
      <c r="X182" s="84" t="s">
        <v>996</v>
      </c>
      <c r="Y182" s="86" t="s">
        <v>1000</v>
      </c>
      <c r="Z182" s="86" t="s">
        <v>1283</v>
      </c>
      <c r="AA182" s="133" t="s">
        <v>809</v>
      </c>
    </row>
    <row r="183" spans="2:27" ht="99.75" hidden="1" customHeight="1">
      <c r="B183" s="86" t="s">
        <v>1332</v>
      </c>
      <c r="C183" s="86" t="s">
        <v>1333</v>
      </c>
      <c r="D183" s="86" t="s">
        <v>1334</v>
      </c>
      <c r="E183" s="133">
        <v>2</v>
      </c>
      <c r="F183" s="84" t="s">
        <v>715</v>
      </c>
      <c r="G183" s="84" t="s">
        <v>716</v>
      </c>
      <c r="H183" s="75" t="s">
        <v>880</v>
      </c>
      <c r="I183" s="76">
        <v>3</v>
      </c>
      <c r="J183" s="75" t="s">
        <v>875</v>
      </c>
      <c r="K183" s="76"/>
      <c r="L183" s="76"/>
      <c r="M183" s="84" t="s">
        <v>1002</v>
      </c>
      <c r="N183" s="75"/>
      <c r="O183" s="76" t="s">
        <v>695</v>
      </c>
      <c r="P183" s="77"/>
      <c r="Q183" s="132" t="s">
        <v>720</v>
      </c>
      <c r="R183" s="135" t="s">
        <v>721</v>
      </c>
      <c r="S183" s="75"/>
      <c r="T183" s="75"/>
      <c r="U183" s="75"/>
      <c r="V183" s="75"/>
      <c r="W183" s="75"/>
      <c r="X183" s="84" t="s">
        <v>996</v>
      </c>
      <c r="Y183" s="84" t="s">
        <v>1000</v>
      </c>
      <c r="Z183" s="84" t="s">
        <v>835</v>
      </c>
      <c r="AA183" s="133" t="s">
        <v>809</v>
      </c>
    </row>
    <row r="184" spans="2:27" ht="99.75" hidden="1" customHeight="1">
      <c r="B184" s="86" t="s">
        <v>1332</v>
      </c>
      <c r="C184" s="86" t="s">
        <v>1333</v>
      </c>
      <c r="D184" s="86" t="s">
        <v>1334</v>
      </c>
      <c r="E184" s="76">
        <v>2</v>
      </c>
      <c r="F184" s="84" t="s">
        <v>726</v>
      </c>
      <c r="G184" s="84" t="s">
        <v>727</v>
      </c>
      <c r="H184" s="75" t="s">
        <v>880</v>
      </c>
      <c r="I184" s="76">
        <v>4</v>
      </c>
      <c r="J184" s="75" t="s">
        <v>718</v>
      </c>
      <c r="K184" s="76"/>
      <c r="L184" s="76"/>
      <c r="M184" s="84" t="s">
        <v>1284</v>
      </c>
      <c r="N184" s="75"/>
      <c r="O184" s="76" t="s">
        <v>695</v>
      </c>
      <c r="P184" s="77"/>
      <c r="Q184" s="132" t="s">
        <v>720</v>
      </c>
      <c r="R184" s="86" t="s">
        <v>721</v>
      </c>
      <c r="S184" s="75"/>
      <c r="T184" s="75"/>
      <c r="U184" s="75"/>
      <c r="V184" s="75"/>
      <c r="W184" s="75"/>
      <c r="X184" s="84" t="s">
        <v>996</v>
      </c>
      <c r="Y184" s="84" t="s">
        <v>1285</v>
      </c>
      <c r="Z184" s="86" t="s">
        <v>1009</v>
      </c>
      <c r="AA184" s="133" t="s">
        <v>1010</v>
      </c>
    </row>
    <row r="185" spans="2:27" ht="99.75" hidden="1" customHeight="1">
      <c r="B185" s="86" t="s">
        <v>1332</v>
      </c>
      <c r="C185" s="86" t="s">
        <v>1333</v>
      </c>
      <c r="D185" s="86" t="s">
        <v>1334</v>
      </c>
      <c r="E185" s="76">
        <v>2</v>
      </c>
      <c r="F185" s="84" t="s">
        <v>788</v>
      </c>
      <c r="G185" s="84" t="s">
        <v>789</v>
      </c>
      <c r="H185" s="75" t="s">
        <v>736</v>
      </c>
      <c r="I185" s="76">
        <v>5</v>
      </c>
      <c r="J185" s="75" t="s">
        <v>693</v>
      </c>
      <c r="K185" s="76">
        <v>10</v>
      </c>
      <c r="L185" s="76"/>
      <c r="M185" s="84" t="s">
        <v>790</v>
      </c>
      <c r="N185" s="75"/>
      <c r="O185" s="76" t="s">
        <v>695</v>
      </c>
      <c r="P185" s="77"/>
      <c r="Q185" s="86" t="s">
        <v>720</v>
      </c>
      <c r="R185" s="86" t="s">
        <v>1286</v>
      </c>
      <c r="S185" s="75"/>
      <c r="T185" s="75"/>
      <c r="U185" s="75"/>
      <c r="V185" s="75"/>
      <c r="W185" s="75"/>
      <c r="X185" s="84" t="s">
        <v>996</v>
      </c>
      <c r="Y185" s="86" t="s">
        <v>1000</v>
      </c>
      <c r="Z185" s="86" t="s">
        <v>856</v>
      </c>
      <c r="AA185" s="133" t="s">
        <v>809</v>
      </c>
    </row>
    <row r="186" spans="2:27" ht="99.75" hidden="1" customHeight="1">
      <c r="B186" s="86" t="s">
        <v>1332</v>
      </c>
      <c r="C186" s="86" t="s">
        <v>1333</v>
      </c>
      <c r="D186" s="86" t="s">
        <v>1334</v>
      </c>
      <c r="E186" s="76">
        <v>2</v>
      </c>
      <c r="F186" s="75" t="s">
        <v>743</v>
      </c>
      <c r="G186" s="84" t="s">
        <v>744</v>
      </c>
      <c r="H186" s="75" t="s">
        <v>745</v>
      </c>
      <c r="I186" s="76">
        <v>6</v>
      </c>
      <c r="J186" s="75" t="s">
        <v>746</v>
      </c>
      <c r="K186" s="76">
        <v>23</v>
      </c>
      <c r="L186" s="76">
        <v>6</v>
      </c>
      <c r="M186" s="84" t="s">
        <v>747</v>
      </c>
      <c r="N186" s="75"/>
      <c r="O186" s="76" t="s">
        <v>695</v>
      </c>
      <c r="P186" s="77"/>
      <c r="Q186" s="75" t="s">
        <v>738</v>
      </c>
      <c r="R186" s="86" t="s">
        <v>748</v>
      </c>
      <c r="S186" s="75"/>
      <c r="T186" s="75"/>
      <c r="U186" s="75"/>
      <c r="V186" s="75"/>
      <c r="W186" s="75"/>
      <c r="X186" s="84" t="s">
        <v>996</v>
      </c>
      <c r="Y186" s="86" t="s">
        <v>1000</v>
      </c>
      <c r="Z186" s="163" t="s">
        <v>859</v>
      </c>
      <c r="AA186" s="133" t="s">
        <v>809</v>
      </c>
    </row>
    <row r="187" spans="2:27" ht="99.75" hidden="1" customHeight="1">
      <c r="B187" s="86" t="s">
        <v>1332</v>
      </c>
      <c r="C187" s="86" t="s">
        <v>1333</v>
      </c>
      <c r="D187" s="86" t="s">
        <v>1334</v>
      </c>
      <c r="E187" s="76">
        <v>2</v>
      </c>
      <c r="F187" s="75" t="s">
        <v>775</v>
      </c>
      <c r="G187" s="161" t="s">
        <v>776</v>
      </c>
      <c r="H187" s="75" t="s">
        <v>777</v>
      </c>
      <c r="I187" s="76">
        <v>7</v>
      </c>
      <c r="J187" s="75" t="s">
        <v>693</v>
      </c>
      <c r="K187" s="76">
        <v>3</v>
      </c>
      <c r="L187" s="76"/>
      <c r="M187" s="84" t="s">
        <v>778</v>
      </c>
      <c r="N187" s="75"/>
      <c r="O187" s="233"/>
      <c r="P187" s="88" t="s">
        <v>1289</v>
      </c>
      <c r="Q187" s="86" t="s">
        <v>738</v>
      </c>
      <c r="R187" s="86" t="s">
        <v>780</v>
      </c>
      <c r="S187" s="75"/>
      <c r="T187" s="75"/>
      <c r="U187" s="75"/>
      <c r="V187" s="75"/>
      <c r="W187" s="75"/>
      <c r="X187" s="84" t="s">
        <v>996</v>
      </c>
      <c r="Y187" s="86" t="s">
        <v>1000</v>
      </c>
      <c r="Z187" s="86" t="s">
        <v>850</v>
      </c>
      <c r="AA187" s="133" t="s">
        <v>809</v>
      </c>
    </row>
    <row r="188" spans="2:27" ht="99.75" hidden="1" customHeight="1">
      <c r="B188" s="211" t="s">
        <v>1332</v>
      </c>
      <c r="C188" s="211" t="s">
        <v>1333</v>
      </c>
      <c r="D188" s="211" t="s">
        <v>1334</v>
      </c>
      <c r="E188" s="87">
        <v>2</v>
      </c>
      <c r="F188" s="205" t="s">
        <v>752</v>
      </c>
      <c r="G188" s="205" t="s">
        <v>753</v>
      </c>
      <c r="H188" s="204" t="s">
        <v>777</v>
      </c>
      <c r="I188" s="87">
        <v>8</v>
      </c>
      <c r="J188" s="204" t="s">
        <v>693</v>
      </c>
      <c r="K188" s="87">
        <v>20</v>
      </c>
      <c r="L188" s="87"/>
      <c r="M188" s="205" t="s">
        <v>755</v>
      </c>
      <c r="N188" s="204"/>
      <c r="O188" s="87"/>
      <c r="P188" s="208" t="s">
        <v>1288</v>
      </c>
      <c r="Q188" s="210" t="s">
        <v>840</v>
      </c>
      <c r="R188" s="218" t="s">
        <v>841</v>
      </c>
      <c r="S188" s="204"/>
      <c r="T188" s="204"/>
      <c r="U188" s="204"/>
      <c r="V188" s="204"/>
      <c r="W188" s="204"/>
      <c r="X188" s="201" t="s">
        <v>996</v>
      </c>
      <c r="Y188" s="201" t="s">
        <v>1000</v>
      </c>
      <c r="Z188" s="220" t="s">
        <v>844</v>
      </c>
      <c r="AA188" s="209" t="s">
        <v>809</v>
      </c>
    </row>
    <row r="189" spans="2:27" ht="99.75" hidden="1" customHeight="1">
      <c r="B189" s="86" t="s">
        <v>1332</v>
      </c>
      <c r="C189" s="86" t="s">
        <v>1333</v>
      </c>
      <c r="D189" s="86" t="s">
        <v>1334</v>
      </c>
      <c r="E189" s="76">
        <v>2</v>
      </c>
      <c r="F189" s="84" t="s">
        <v>734</v>
      </c>
      <c r="G189" s="84" t="s">
        <v>735</v>
      </c>
      <c r="H189" s="75" t="s">
        <v>736</v>
      </c>
      <c r="I189" s="76">
        <v>9</v>
      </c>
      <c r="J189" s="75" t="s">
        <v>693</v>
      </c>
      <c r="K189" s="76">
        <v>10</v>
      </c>
      <c r="L189" s="76"/>
      <c r="M189" s="84" t="s">
        <v>737</v>
      </c>
      <c r="N189" s="75"/>
      <c r="O189" s="233"/>
      <c r="P189" s="77"/>
      <c r="Q189" s="86" t="s">
        <v>738</v>
      </c>
      <c r="R189" s="86" t="s">
        <v>739</v>
      </c>
      <c r="S189" s="75"/>
      <c r="T189" s="75"/>
      <c r="U189" s="75"/>
      <c r="V189" s="75"/>
      <c r="W189" s="75"/>
      <c r="X189" s="84" t="s">
        <v>996</v>
      </c>
      <c r="Y189" s="86" t="s">
        <v>1000</v>
      </c>
      <c r="Z189" s="86" t="s">
        <v>853</v>
      </c>
      <c r="AA189" s="133" t="s">
        <v>809</v>
      </c>
    </row>
    <row r="190" spans="2:27" ht="99.75" hidden="1" customHeight="1">
      <c r="B190" s="86" t="s">
        <v>1332</v>
      </c>
      <c r="C190" s="86" t="s">
        <v>1333</v>
      </c>
      <c r="D190" s="86" t="s">
        <v>1334</v>
      </c>
      <c r="E190" s="76">
        <v>2</v>
      </c>
      <c r="F190" s="75" t="s">
        <v>1028</v>
      </c>
      <c r="G190" s="75" t="s">
        <v>1029</v>
      </c>
      <c r="H190" s="75" t="s">
        <v>1030</v>
      </c>
      <c r="I190" s="76">
        <v>10</v>
      </c>
      <c r="J190" s="75" t="s">
        <v>693</v>
      </c>
      <c r="K190" s="76"/>
      <c r="L190" s="76"/>
      <c r="M190" s="86" t="s">
        <v>1031</v>
      </c>
      <c r="N190" s="75"/>
      <c r="O190" s="76"/>
      <c r="P190" s="77"/>
      <c r="Q190" s="75"/>
      <c r="R190" s="75"/>
      <c r="S190" s="75"/>
      <c r="T190" s="75"/>
      <c r="U190" s="75"/>
      <c r="V190" s="75"/>
      <c r="W190" s="75"/>
      <c r="X190" s="84" t="s">
        <v>996</v>
      </c>
      <c r="Y190" s="86" t="s">
        <v>1034</v>
      </c>
      <c r="Z190" s="86" t="s">
        <v>1035</v>
      </c>
      <c r="AA190" s="133" t="s">
        <v>1036</v>
      </c>
    </row>
    <row r="191" spans="2:27" ht="99.75" hidden="1" customHeight="1">
      <c r="B191" s="86" t="s">
        <v>1332</v>
      </c>
      <c r="C191" s="86" t="s">
        <v>1333</v>
      </c>
      <c r="D191" s="86" t="s">
        <v>1334</v>
      </c>
      <c r="E191" s="76">
        <v>2</v>
      </c>
      <c r="F191" s="77" t="s">
        <v>795</v>
      </c>
      <c r="G191" s="77" t="s">
        <v>796</v>
      </c>
      <c r="H191" s="77" t="s">
        <v>797</v>
      </c>
      <c r="I191" s="76">
        <v>11</v>
      </c>
      <c r="J191" s="77" t="s">
        <v>693</v>
      </c>
      <c r="K191" s="76">
        <v>20</v>
      </c>
      <c r="L191" s="76"/>
      <c r="M191" s="86" t="s">
        <v>798</v>
      </c>
      <c r="N191" s="86"/>
      <c r="O191" s="76"/>
      <c r="P191" s="86" t="s">
        <v>986</v>
      </c>
      <c r="Q191" s="88"/>
      <c r="R191" s="77"/>
      <c r="S191" s="76"/>
      <c r="T191" s="76"/>
      <c r="U191" s="76"/>
      <c r="V191" s="76"/>
      <c r="W191" s="76"/>
      <c r="X191" s="84" t="s">
        <v>996</v>
      </c>
      <c r="Y191" s="86" t="s">
        <v>809</v>
      </c>
      <c r="Z191" s="86" t="s">
        <v>809</v>
      </c>
      <c r="AA191" s="221" t="s">
        <v>1044</v>
      </c>
    </row>
    <row r="192" spans="2:27" ht="99.75" hidden="1" customHeight="1">
      <c r="B192" s="86" t="s">
        <v>1332</v>
      </c>
      <c r="C192" s="86" t="s">
        <v>1333</v>
      </c>
      <c r="D192" s="86" t="s">
        <v>1334</v>
      </c>
      <c r="E192" s="76">
        <v>2</v>
      </c>
      <c r="F192" s="84" t="s">
        <v>803</v>
      </c>
      <c r="G192" s="75" t="s">
        <v>804</v>
      </c>
      <c r="H192" s="75" t="s">
        <v>805</v>
      </c>
      <c r="I192" s="76">
        <v>12</v>
      </c>
      <c r="J192" s="75" t="s">
        <v>693</v>
      </c>
      <c r="K192" s="76">
        <v>10</v>
      </c>
      <c r="L192" s="76"/>
      <c r="M192" s="86" t="s">
        <v>806</v>
      </c>
      <c r="N192" s="75"/>
      <c r="O192" s="76" t="s">
        <v>695</v>
      </c>
      <c r="P192" s="77"/>
      <c r="Q192" s="75"/>
      <c r="R192" s="75"/>
      <c r="S192" s="75"/>
      <c r="T192" s="75"/>
      <c r="U192" s="75"/>
      <c r="V192" s="75"/>
      <c r="W192" s="75"/>
      <c r="X192" s="86" t="s">
        <v>809</v>
      </c>
      <c r="Y192" s="86" t="s">
        <v>809</v>
      </c>
      <c r="Z192" s="86" t="s">
        <v>809</v>
      </c>
      <c r="AA192" s="133" t="s">
        <v>809</v>
      </c>
    </row>
    <row r="193" spans="2:27" ht="99.75" hidden="1" customHeight="1">
      <c r="B193" s="86" t="s">
        <v>1332</v>
      </c>
      <c r="C193" s="86" t="s">
        <v>1333</v>
      </c>
      <c r="D193" s="86" t="s">
        <v>1334</v>
      </c>
      <c r="E193" s="76">
        <v>2</v>
      </c>
      <c r="F193" s="84" t="s">
        <v>810</v>
      </c>
      <c r="G193" s="75" t="s">
        <v>811</v>
      </c>
      <c r="H193" s="75" t="s">
        <v>812</v>
      </c>
      <c r="I193" s="76">
        <v>13</v>
      </c>
      <c r="J193" s="75" t="s">
        <v>813</v>
      </c>
      <c r="K193" s="76">
        <v>23</v>
      </c>
      <c r="L193" s="76"/>
      <c r="M193" s="86" t="s">
        <v>814</v>
      </c>
      <c r="N193" s="75"/>
      <c r="O193" s="76"/>
      <c r="P193" s="77"/>
      <c r="Q193" s="75"/>
      <c r="R193" s="75"/>
      <c r="S193" s="75"/>
      <c r="T193" s="75"/>
      <c r="U193" s="75"/>
      <c r="V193" s="75"/>
      <c r="W193" s="75"/>
      <c r="X193" s="86" t="s">
        <v>809</v>
      </c>
      <c r="Y193" s="86" t="s">
        <v>809</v>
      </c>
      <c r="Z193" s="86" t="s">
        <v>809</v>
      </c>
      <c r="AA193" s="133" t="s">
        <v>809</v>
      </c>
    </row>
    <row r="194" spans="2:27" ht="99.75" customHeight="1">
      <c r="B194" s="84" t="s">
        <v>1335</v>
      </c>
      <c r="C194" s="84" t="s">
        <v>1336</v>
      </c>
      <c r="D194" s="84" t="s">
        <v>1337</v>
      </c>
      <c r="E194" s="133">
        <v>2</v>
      </c>
      <c r="F194" s="84" t="s">
        <v>690</v>
      </c>
      <c r="G194" s="84" t="s">
        <v>691</v>
      </c>
      <c r="H194" s="75" t="s">
        <v>868</v>
      </c>
      <c r="I194" s="76">
        <v>1</v>
      </c>
      <c r="J194" s="77" t="s">
        <v>693</v>
      </c>
      <c r="K194" s="76">
        <v>4</v>
      </c>
      <c r="L194" s="76"/>
      <c r="M194" s="84" t="s">
        <v>694</v>
      </c>
      <c r="N194" s="75"/>
      <c r="O194" s="76" t="s">
        <v>695</v>
      </c>
      <c r="P194" s="77"/>
      <c r="Q194" s="132" t="s">
        <v>869</v>
      </c>
      <c r="R194" s="135" t="s">
        <v>870</v>
      </c>
      <c r="S194" s="75"/>
      <c r="T194" s="75"/>
      <c r="U194" s="75"/>
      <c r="V194" s="75"/>
      <c r="W194" s="75"/>
      <c r="X194" s="88" t="s">
        <v>1050</v>
      </c>
      <c r="Y194" s="84" t="s">
        <v>1051</v>
      </c>
      <c r="Z194" s="84" t="s">
        <v>1051</v>
      </c>
      <c r="AA194" s="133" t="s">
        <v>1052</v>
      </c>
    </row>
    <row r="195" spans="2:27" ht="99.75" customHeight="1">
      <c r="B195" s="84" t="s">
        <v>1335</v>
      </c>
      <c r="C195" s="84" t="s">
        <v>1336</v>
      </c>
      <c r="D195" s="84" t="s">
        <v>1337</v>
      </c>
      <c r="E195" s="133">
        <v>2</v>
      </c>
      <c r="F195" s="84" t="s">
        <v>705</v>
      </c>
      <c r="G195" s="84" t="s">
        <v>706</v>
      </c>
      <c r="H195" s="75" t="s">
        <v>868</v>
      </c>
      <c r="I195" s="76">
        <v>2</v>
      </c>
      <c r="J195" s="77" t="s">
        <v>693</v>
      </c>
      <c r="K195" s="76">
        <v>15</v>
      </c>
      <c r="L195" s="76"/>
      <c r="M195" s="84" t="s">
        <v>707</v>
      </c>
      <c r="N195" s="75"/>
      <c r="O195" s="76" t="s">
        <v>695</v>
      </c>
      <c r="P195" s="77"/>
      <c r="Q195" s="132" t="s">
        <v>869</v>
      </c>
      <c r="R195" s="135" t="s">
        <v>870</v>
      </c>
      <c r="S195" s="75"/>
      <c r="T195" s="75"/>
      <c r="U195" s="75"/>
      <c r="V195" s="75"/>
      <c r="W195" s="75"/>
      <c r="X195" s="88" t="s">
        <v>1050</v>
      </c>
      <c r="Y195" s="84" t="s">
        <v>1338</v>
      </c>
      <c r="Z195" s="84" t="s">
        <v>1339</v>
      </c>
      <c r="AA195" s="133" t="s">
        <v>1051</v>
      </c>
    </row>
    <row r="196" spans="2:27" ht="99.75" customHeight="1">
      <c r="B196" s="84" t="s">
        <v>1335</v>
      </c>
      <c r="C196" s="84" t="s">
        <v>1336</v>
      </c>
      <c r="D196" s="84" t="s">
        <v>1337</v>
      </c>
      <c r="E196" s="162">
        <v>2</v>
      </c>
      <c r="F196" s="84" t="s">
        <v>715</v>
      </c>
      <c r="G196" s="84" t="s">
        <v>716</v>
      </c>
      <c r="H196" s="75" t="s">
        <v>745</v>
      </c>
      <c r="I196" s="76">
        <v>3</v>
      </c>
      <c r="J196" s="75" t="s">
        <v>875</v>
      </c>
      <c r="K196" s="76"/>
      <c r="L196" s="76"/>
      <c r="M196" s="84" t="s">
        <v>876</v>
      </c>
      <c r="N196" s="75"/>
      <c r="O196" s="76" t="s">
        <v>695</v>
      </c>
      <c r="P196" s="77"/>
      <c r="Q196" s="132" t="s">
        <v>877</v>
      </c>
      <c r="R196" s="135" t="s">
        <v>721</v>
      </c>
      <c r="S196" s="75"/>
      <c r="T196" s="75"/>
      <c r="U196" s="75"/>
      <c r="V196" s="75"/>
      <c r="W196" s="75"/>
      <c r="X196" s="88" t="s">
        <v>1050</v>
      </c>
      <c r="Y196" s="163" t="s">
        <v>1055</v>
      </c>
      <c r="Z196" s="84" t="s">
        <v>1340</v>
      </c>
      <c r="AA196" s="133" t="s">
        <v>1051</v>
      </c>
    </row>
    <row r="197" spans="2:27" ht="99.75" customHeight="1">
      <c r="B197" s="84" t="s">
        <v>1335</v>
      </c>
      <c r="C197" s="84" t="s">
        <v>1336</v>
      </c>
      <c r="D197" s="84" t="s">
        <v>1337</v>
      </c>
      <c r="E197" s="162">
        <v>2</v>
      </c>
      <c r="F197" s="84" t="s">
        <v>726</v>
      </c>
      <c r="G197" s="84" t="s">
        <v>727</v>
      </c>
      <c r="H197" s="75" t="s">
        <v>880</v>
      </c>
      <c r="I197" s="76">
        <v>4</v>
      </c>
      <c r="J197" s="75" t="s">
        <v>718</v>
      </c>
      <c r="K197" s="76"/>
      <c r="L197" s="76"/>
      <c r="M197" s="84" t="s">
        <v>881</v>
      </c>
      <c r="N197" s="75"/>
      <c r="O197" s="76" t="s">
        <v>695</v>
      </c>
      <c r="P197" s="77"/>
      <c r="Q197" s="132" t="s">
        <v>877</v>
      </c>
      <c r="R197" s="135" t="s">
        <v>721</v>
      </c>
      <c r="S197" s="75"/>
      <c r="T197" s="75"/>
      <c r="U197" s="75"/>
      <c r="V197" s="75"/>
      <c r="W197" s="75"/>
      <c r="X197" s="88" t="s">
        <v>1050</v>
      </c>
      <c r="Y197" s="163" t="s">
        <v>1055</v>
      </c>
      <c r="Z197" s="84" t="s">
        <v>1341</v>
      </c>
      <c r="AA197" s="133" t="s">
        <v>1051</v>
      </c>
    </row>
    <row r="198" spans="2:27" ht="99.75" customHeight="1">
      <c r="B198" s="201" t="s">
        <v>1335</v>
      </c>
      <c r="C198" s="201" t="s">
        <v>1336</v>
      </c>
      <c r="D198" s="201" t="s">
        <v>1337</v>
      </c>
      <c r="E198" s="216">
        <v>2</v>
      </c>
      <c r="F198" s="217" t="s">
        <v>752</v>
      </c>
      <c r="G198" s="205" t="s">
        <v>753</v>
      </c>
      <c r="H198" s="204" t="s">
        <v>777</v>
      </c>
      <c r="I198" s="87">
        <v>5</v>
      </c>
      <c r="J198" s="204" t="s">
        <v>693</v>
      </c>
      <c r="K198" s="87">
        <v>20</v>
      </c>
      <c r="L198" s="87"/>
      <c r="M198" s="205" t="s">
        <v>755</v>
      </c>
      <c r="N198" s="204"/>
      <c r="O198" s="87"/>
      <c r="P198" s="208" t="s">
        <v>1058</v>
      </c>
      <c r="Q198" s="210" t="s">
        <v>840</v>
      </c>
      <c r="R198" s="218" t="s">
        <v>841</v>
      </c>
      <c r="S198" s="204"/>
      <c r="T198" s="204"/>
      <c r="U198" s="204"/>
      <c r="V198" s="204"/>
      <c r="W198" s="204"/>
      <c r="X198" s="208" t="s">
        <v>1050</v>
      </c>
      <c r="Y198" s="220" t="s">
        <v>1055</v>
      </c>
      <c r="Z198" s="201" t="s">
        <v>1342</v>
      </c>
      <c r="AA198" s="209" t="s">
        <v>1051</v>
      </c>
    </row>
    <row r="199" spans="2:27" ht="99.75" customHeight="1">
      <c r="B199" s="84" t="s">
        <v>1335</v>
      </c>
      <c r="C199" s="84" t="s">
        <v>1336</v>
      </c>
      <c r="D199" s="84" t="s">
        <v>1337</v>
      </c>
      <c r="E199" s="133">
        <v>2</v>
      </c>
      <c r="F199" s="198" t="s">
        <v>764</v>
      </c>
      <c r="G199" s="198" t="s">
        <v>765</v>
      </c>
      <c r="H199" s="75" t="s">
        <v>766</v>
      </c>
      <c r="I199" s="76">
        <v>6</v>
      </c>
      <c r="J199" s="75" t="s">
        <v>693</v>
      </c>
      <c r="K199" s="76">
        <v>4</v>
      </c>
      <c r="L199" s="76"/>
      <c r="M199" s="161" t="s">
        <v>767</v>
      </c>
      <c r="N199" s="75"/>
      <c r="O199" s="76"/>
      <c r="P199" s="77"/>
      <c r="Q199" s="197"/>
      <c r="R199" s="197"/>
      <c r="S199" s="132"/>
      <c r="T199" s="132"/>
      <c r="U199" s="132"/>
      <c r="V199" s="132"/>
      <c r="W199" s="75"/>
      <c r="X199" s="88" t="s">
        <v>1050</v>
      </c>
      <c r="Y199" s="86" t="s">
        <v>1051</v>
      </c>
      <c r="Z199" s="198" t="s">
        <v>1051</v>
      </c>
      <c r="AA199" s="199" t="s">
        <v>1060</v>
      </c>
    </row>
    <row r="200" spans="2:27" ht="99.75" customHeight="1">
      <c r="B200" s="84" t="s">
        <v>1335</v>
      </c>
      <c r="C200" s="84" t="s">
        <v>1336</v>
      </c>
      <c r="D200" s="84" t="s">
        <v>1337</v>
      </c>
      <c r="E200" s="133">
        <v>2</v>
      </c>
      <c r="F200" s="84" t="s">
        <v>888</v>
      </c>
      <c r="G200" s="84" t="s">
        <v>889</v>
      </c>
      <c r="H200" s="75" t="s">
        <v>890</v>
      </c>
      <c r="I200" s="76">
        <v>7</v>
      </c>
      <c r="J200" s="75" t="s">
        <v>693</v>
      </c>
      <c r="K200" s="76">
        <v>16</v>
      </c>
      <c r="L200" s="76"/>
      <c r="M200" s="84" t="s">
        <v>891</v>
      </c>
      <c r="N200" s="75"/>
      <c r="O200" s="76"/>
      <c r="P200" s="77"/>
      <c r="Q200" s="132" t="s">
        <v>892</v>
      </c>
      <c r="R200" s="135" t="s">
        <v>888</v>
      </c>
      <c r="S200" s="75"/>
      <c r="T200" s="75"/>
      <c r="U200" s="75"/>
      <c r="V200" s="75"/>
      <c r="W200" s="75"/>
      <c r="X200" s="88" t="s">
        <v>1050</v>
      </c>
      <c r="Y200" s="163" t="s">
        <v>1055</v>
      </c>
      <c r="Z200" s="84" t="s">
        <v>1061</v>
      </c>
      <c r="AA200" s="133" t="s">
        <v>1051</v>
      </c>
    </row>
    <row r="201" spans="2:27" ht="99.75" customHeight="1">
      <c r="B201" s="84" t="s">
        <v>1335</v>
      </c>
      <c r="C201" s="84" t="s">
        <v>1336</v>
      </c>
      <c r="D201" s="84" t="s">
        <v>1337</v>
      </c>
      <c r="E201" s="133">
        <v>2</v>
      </c>
      <c r="F201" s="84" t="s">
        <v>896</v>
      </c>
      <c r="G201" s="84" t="s">
        <v>897</v>
      </c>
      <c r="H201" s="75" t="s">
        <v>898</v>
      </c>
      <c r="I201" s="76">
        <v>8</v>
      </c>
      <c r="J201" s="75" t="s">
        <v>1062</v>
      </c>
      <c r="K201" s="76">
        <v>5</v>
      </c>
      <c r="L201" s="76"/>
      <c r="M201" s="86" t="s">
        <v>899</v>
      </c>
      <c r="N201" s="75"/>
      <c r="O201" s="76"/>
      <c r="P201" s="77"/>
      <c r="Q201" s="132"/>
      <c r="R201" s="135"/>
      <c r="S201" s="75"/>
      <c r="T201" s="75"/>
      <c r="U201" s="75"/>
      <c r="V201" s="75"/>
      <c r="W201" s="75"/>
      <c r="X201" s="88" t="s">
        <v>1050</v>
      </c>
      <c r="Y201" s="86" t="s">
        <v>1063</v>
      </c>
      <c r="Z201" s="86" t="s">
        <v>1064</v>
      </c>
      <c r="AA201" s="133" t="s">
        <v>1051</v>
      </c>
    </row>
    <row r="202" spans="2:27" ht="99.75" customHeight="1">
      <c r="B202" s="84" t="s">
        <v>1335</v>
      </c>
      <c r="C202" s="84" t="s">
        <v>1336</v>
      </c>
      <c r="D202" s="84" t="s">
        <v>1337</v>
      </c>
      <c r="E202" s="133">
        <v>2</v>
      </c>
      <c r="F202" s="84" t="s">
        <v>901</v>
      </c>
      <c r="G202" s="84" t="s">
        <v>902</v>
      </c>
      <c r="H202" s="75" t="s">
        <v>766</v>
      </c>
      <c r="I202" s="76">
        <v>9</v>
      </c>
      <c r="J202" s="75" t="s">
        <v>693</v>
      </c>
      <c r="K202" s="76">
        <v>4</v>
      </c>
      <c r="L202" s="76"/>
      <c r="M202" s="84" t="s">
        <v>903</v>
      </c>
      <c r="N202" s="75"/>
      <c r="O202" s="76"/>
      <c r="P202" s="77"/>
      <c r="Q202" s="84" t="s">
        <v>738</v>
      </c>
      <c r="R202" s="84" t="s">
        <v>904</v>
      </c>
      <c r="S202" s="75"/>
      <c r="T202" s="75"/>
      <c r="U202" s="75"/>
      <c r="V202" s="75"/>
      <c r="W202" s="75"/>
      <c r="X202" s="88" t="s">
        <v>1050</v>
      </c>
      <c r="Y202" s="86" t="s">
        <v>1065</v>
      </c>
      <c r="Z202" s="84" t="s">
        <v>1066</v>
      </c>
      <c r="AA202" s="133" t="s">
        <v>1051</v>
      </c>
    </row>
    <row r="203" spans="2:27" ht="99.75" customHeight="1">
      <c r="B203" s="84" t="s">
        <v>1335</v>
      </c>
      <c r="C203" s="84" t="s">
        <v>1336</v>
      </c>
      <c r="D203" s="84" t="s">
        <v>1337</v>
      </c>
      <c r="E203" s="133">
        <v>2</v>
      </c>
      <c r="F203" s="84" t="s">
        <v>907</v>
      </c>
      <c r="G203" s="84" t="s">
        <v>908</v>
      </c>
      <c r="H203" s="75" t="s">
        <v>766</v>
      </c>
      <c r="I203" s="76">
        <v>10</v>
      </c>
      <c r="J203" s="75" t="s">
        <v>693</v>
      </c>
      <c r="K203" s="76">
        <v>4</v>
      </c>
      <c r="L203" s="76"/>
      <c r="M203" s="84" t="s">
        <v>909</v>
      </c>
      <c r="N203" s="75"/>
      <c r="O203" s="76"/>
      <c r="P203" s="77"/>
      <c r="Q203" s="132" t="s">
        <v>738</v>
      </c>
      <c r="R203" s="135" t="s">
        <v>910</v>
      </c>
      <c r="S203" s="75"/>
      <c r="T203" s="75"/>
      <c r="U203" s="75"/>
      <c r="V203" s="75"/>
      <c r="W203" s="75"/>
      <c r="X203" s="88" t="s">
        <v>1050</v>
      </c>
      <c r="Y203" s="163" t="s">
        <v>1055</v>
      </c>
      <c r="Z203" s="84" t="s">
        <v>1067</v>
      </c>
      <c r="AA203" s="133" t="s">
        <v>1051</v>
      </c>
    </row>
    <row r="204" spans="2:27" ht="99.75" customHeight="1">
      <c r="B204" s="84" t="s">
        <v>1335</v>
      </c>
      <c r="C204" s="84" t="s">
        <v>1336</v>
      </c>
      <c r="D204" s="84" t="s">
        <v>1337</v>
      </c>
      <c r="E204" s="133">
        <v>2</v>
      </c>
      <c r="F204" s="84" t="s">
        <v>913</v>
      </c>
      <c r="G204" s="84" t="s">
        <v>914</v>
      </c>
      <c r="H204" s="75" t="s">
        <v>915</v>
      </c>
      <c r="I204" s="76">
        <v>11</v>
      </c>
      <c r="J204" s="75" t="s">
        <v>693</v>
      </c>
      <c r="K204" s="76">
        <v>4</v>
      </c>
      <c r="L204" s="76"/>
      <c r="M204" s="84" t="s">
        <v>916</v>
      </c>
      <c r="N204" s="75"/>
      <c r="O204" s="76"/>
      <c r="P204" s="77"/>
      <c r="Q204" s="132" t="s">
        <v>892</v>
      </c>
      <c r="R204" s="135" t="s">
        <v>917</v>
      </c>
      <c r="S204" s="75"/>
      <c r="T204" s="75"/>
      <c r="U204" s="75"/>
      <c r="V204" s="75"/>
      <c r="W204" s="75"/>
      <c r="X204" s="88" t="s">
        <v>1050</v>
      </c>
      <c r="Y204" s="86" t="s">
        <v>1068</v>
      </c>
      <c r="Z204" s="84" t="s">
        <v>1069</v>
      </c>
      <c r="AA204" s="133" t="s">
        <v>1051</v>
      </c>
    </row>
    <row r="205" spans="2:27" ht="99.75" customHeight="1">
      <c r="B205" s="84" t="s">
        <v>1335</v>
      </c>
      <c r="C205" s="84" t="s">
        <v>1336</v>
      </c>
      <c r="D205" s="84" t="s">
        <v>1337</v>
      </c>
      <c r="E205" s="133">
        <v>2</v>
      </c>
      <c r="F205" s="84" t="s">
        <v>920</v>
      </c>
      <c r="G205" s="84" t="s">
        <v>921</v>
      </c>
      <c r="H205" s="75" t="s">
        <v>922</v>
      </c>
      <c r="I205" s="76">
        <v>12</v>
      </c>
      <c r="J205" s="75" t="s">
        <v>693</v>
      </c>
      <c r="K205" s="76">
        <v>20</v>
      </c>
      <c r="L205" s="76"/>
      <c r="M205" s="84" t="s">
        <v>923</v>
      </c>
      <c r="N205" s="75"/>
      <c r="O205" s="76"/>
      <c r="P205" s="88" t="s">
        <v>1070</v>
      </c>
      <c r="Q205" s="132" t="s">
        <v>892</v>
      </c>
      <c r="R205" s="135" t="s">
        <v>925</v>
      </c>
      <c r="S205" s="75"/>
      <c r="T205" s="75"/>
      <c r="U205" s="88" t="s">
        <v>1051</v>
      </c>
      <c r="V205" s="75"/>
      <c r="W205" s="75"/>
      <c r="X205" s="88" t="s">
        <v>1050</v>
      </c>
      <c r="Y205" s="86" t="s">
        <v>1068</v>
      </c>
      <c r="Z205" s="84" t="s">
        <v>1072</v>
      </c>
      <c r="AA205" s="133" t="s">
        <v>1051</v>
      </c>
    </row>
    <row r="206" spans="2:27" ht="99.75" customHeight="1">
      <c r="B206" s="84" t="s">
        <v>1335</v>
      </c>
      <c r="C206" s="84" t="s">
        <v>1336</v>
      </c>
      <c r="D206" s="84" t="s">
        <v>1337</v>
      </c>
      <c r="E206" s="133">
        <v>2</v>
      </c>
      <c r="F206" s="160" t="s">
        <v>926</v>
      </c>
      <c r="G206" s="160" t="s">
        <v>927</v>
      </c>
      <c r="H206" s="75" t="s">
        <v>777</v>
      </c>
      <c r="I206" s="76">
        <v>13</v>
      </c>
      <c r="J206" s="75" t="s">
        <v>693</v>
      </c>
      <c r="K206" s="76">
        <v>3</v>
      </c>
      <c r="L206" s="76"/>
      <c r="M206" s="84" t="s">
        <v>928</v>
      </c>
      <c r="N206" s="75"/>
      <c r="O206" s="76"/>
      <c r="P206" s="88" t="s">
        <v>1073</v>
      </c>
      <c r="Q206" s="132" t="s">
        <v>738</v>
      </c>
      <c r="R206" s="219" t="s">
        <v>930</v>
      </c>
      <c r="S206" s="75"/>
      <c r="T206" s="75"/>
      <c r="U206" s="75"/>
      <c r="V206" s="75"/>
      <c r="W206" s="75"/>
      <c r="X206" s="88" t="s">
        <v>1050</v>
      </c>
      <c r="Y206" s="163" t="s">
        <v>1055</v>
      </c>
      <c r="Z206" s="84" t="s">
        <v>1074</v>
      </c>
      <c r="AA206" s="133" t="s">
        <v>1051</v>
      </c>
    </row>
    <row r="207" spans="2:27" ht="99.75" customHeight="1">
      <c r="B207" s="84" t="s">
        <v>1335</v>
      </c>
      <c r="C207" s="84" t="s">
        <v>1336</v>
      </c>
      <c r="D207" s="84" t="s">
        <v>1337</v>
      </c>
      <c r="E207" s="133">
        <v>2</v>
      </c>
      <c r="F207" s="161" t="s">
        <v>775</v>
      </c>
      <c r="G207" s="161" t="s">
        <v>776</v>
      </c>
      <c r="H207" s="75" t="s">
        <v>777</v>
      </c>
      <c r="I207" s="76">
        <v>14</v>
      </c>
      <c r="J207" s="75" t="s">
        <v>693</v>
      </c>
      <c r="K207" s="76">
        <v>3</v>
      </c>
      <c r="L207" s="76"/>
      <c r="M207" s="84" t="s">
        <v>778</v>
      </c>
      <c r="N207" s="75"/>
      <c r="O207" s="76"/>
      <c r="P207" s="88" t="s">
        <v>1073</v>
      </c>
      <c r="Q207" s="132" t="s">
        <v>738</v>
      </c>
      <c r="R207" s="135" t="s">
        <v>780</v>
      </c>
      <c r="S207" s="75"/>
      <c r="T207" s="75"/>
      <c r="U207" s="75"/>
      <c r="V207" s="75"/>
      <c r="W207" s="75"/>
      <c r="X207" s="88" t="s">
        <v>1050</v>
      </c>
      <c r="Y207" s="163" t="s">
        <v>1055</v>
      </c>
      <c r="Z207" s="84" t="s">
        <v>1075</v>
      </c>
      <c r="AA207" s="133" t="s">
        <v>1051</v>
      </c>
    </row>
    <row r="208" spans="2:27" ht="99.75" customHeight="1">
      <c r="B208" s="84" t="s">
        <v>1335</v>
      </c>
      <c r="C208" s="84" t="s">
        <v>1336</v>
      </c>
      <c r="D208" s="84" t="s">
        <v>1337</v>
      </c>
      <c r="E208" s="133">
        <v>2</v>
      </c>
      <c r="F208" s="84" t="s">
        <v>734</v>
      </c>
      <c r="G208" s="84" t="s">
        <v>735</v>
      </c>
      <c r="H208" s="75" t="s">
        <v>736</v>
      </c>
      <c r="I208" s="76">
        <v>15</v>
      </c>
      <c r="J208" s="75" t="s">
        <v>693</v>
      </c>
      <c r="K208" s="76">
        <v>10</v>
      </c>
      <c r="L208" s="76"/>
      <c r="M208" s="84" t="s">
        <v>737</v>
      </c>
      <c r="N208" s="75"/>
      <c r="O208" s="76"/>
      <c r="P208" s="77"/>
      <c r="Q208" s="132" t="s">
        <v>738</v>
      </c>
      <c r="R208" s="135" t="s">
        <v>739</v>
      </c>
      <c r="S208" s="75"/>
      <c r="T208" s="75"/>
      <c r="U208" s="75"/>
      <c r="V208" s="75"/>
      <c r="W208" s="75"/>
      <c r="X208" s="88" t="s">
        <v>1050</v>
      </c>
      <c r="Y208" s="163" t="s">
        <v>1055</v>
      </c>
      <c r="Z208" s="84" t="s">
        <v>1076</v>
      </c>
      <c r="AA208" s="133" t="s">
        <v>1051</v>
      </c>
    </row>
    <row r="209" spans="2:27" ht="99.75" customHeight="1">
      <c r="B209" s="84" t="s">
        <v>1335</v>
      </c>
      <c r="C209" s="84" t="s">
        <v>1336</v>
      </c>
      <c r="D209" s="84" t="s">
        <v>1337</v>
      </c>
      <c r="E209" s="162">
        <v>2</v>
      </c>
      <c r="F209" s="84" t="s">
        <v>788</v>
      </c>
      <c r="G209" s="84" t="s">
        <v>789</v>
      </c>
      <c r="H209" s="75" t="s">
        <v>736</v>
      </c>
      <c r="I209" s="76">
        <v>16</v>
      </c>
      <c r="J209" s="75" t="s">
        <v>693</v>
      </c>
      <c r="K209" s="76">
        <v>10</v>
      </c>
      <c r="L209" s="76"/>
      <c r="M209" s="84" t="s">
        <v>790</v>
      </c>
      <c r="N209" s="75"/>
      <c r="O209" s="76"/>
      <c r="P209" s="77"/>
      <c r="Q209" s="75" t="s">
        <v>738</v>
      </c>
      <c r="R209" s="75" t="s">
        <v>791</v>
      </c>
      <c r="S209" s="75"/>
      <c r="T209" s="75"/>
      <c r="U209" s="75"/>
      <c r="V209" s="75"/>
      <c r="W209" s="75"/>
      <c r="X209" s="88" t="s">
        <v>1050</v>
      </c>
      <c r="Y209" s="163" t="s">
        <v>1055</v>
      </c>
      <c r="Z209" s="195" t="s">
        <v>1077</v>
      </c>
      <c r="AA209" s="133" t="s">
        <v>1051</v>
      </c>
    </row>
    <row r="210" spans="2:27" ht="99.75" customHeight="1">
      <c r="B210" s="84" t="s">
        <v>1335</v>
      </c>
      <c r="C210" s="84" t="s">
        <v>1336</v>
      </c>
      <c r="D210" s="84" t="s">
        <v>1337</v>
      </c>
      <c r="E210" s="133">
        <v>2</v>
      </c>
      <c r="F210" s="160" t="s">
        <v>936</v>
      </c>
      <c r="G210" s="160" t="s">
        <v>937</v>
      </c>
      <c r="H210" s="75" t="s">
        <v>745</v>
      </c>
      <c r="I210" s="76">
        <v>17</v>
      </c>
      <c r="J210" s="75" t="s">
        <v>746</v>
      </c>
      <c r="K210" s="76">
        <v>23</v>
      </c>
      <c r="L210" s="76">
        <v>6</v>
      </c>
      <c r="M210" s="84" t="s">
        <v>938</v>
      </c>
      <c r="N210" s="75"/>
      <c r="O210" s="76"/>
      <c r="P210" s="77"/>
      <c r="Q210" s="132" t="s">
        <v>738</v>
      </c>
      <c r="R210" s="219" t="s">
        <v>939</v>
      </c>
      <c r="S210" s="75"/>
      <c r="T210" s="75"/>
      <c r="U210" s="75"/>
      <c r="V210" s="75"/>
      <c r="W210" s="75"/>
      <c r="X210" s="88" t="s">
        <v>1050</v>
      </c>
      <c r="Y210" s="86" t="s">
        <v>1078</v>
      </c>
      <c r="Z210" s="84" t="s">
        <v>1343</v>
      </c>
      <c r="AA210" s="133" t="s">
        <v>1080</v>
      </c>
    </row>
    <row r="211" spans="2:27" ht="99.75" customHeight="1">
      <c r="B211" s="84" t="s">
        <v>1335</v>
      </c>
      <c r="C211" s="84" t="s">
        <v>1336</v>
      </c>
      <c r="D211" s="84" t="s">
        <v>1337</v>
      </c>
      <c r="E211" s="133">
        <v>2</v>
      </c>
      <c r="F211" s="84" t="s">
        <v>743</v>
      </c>
      <c r="G211" s="84" t="s">
        <v>744</v>
      </c>
      <c r="H211" s="75" t="s">
        <v>745</v>
      </c>
      <c r="I211" s="76">
        <v>18</v>
      </c>
      <c r="J211" s="75" t="s">
        <v>746</v>
      </c>
      <c r="K211" s="76">
        <v>23</v>
      </c>
      <c r="L211" s="76">
        <v>6</v>
      </c>
      <c r="M211" s="84" t="s">
        <v>747</v>
      </c>
      <c r="N211" s="75"/>
      <c r="O211" s="76"/>
      <c r="P211" s="77"/>
      <c r="Q211" s="132" t="s">
        <v>738</v>
      </c>
      <c r="R211" s="135" t="s">
        <v>748</v>
      </c>
      <c r="S211" s="75"/>
      <c r="T211" s="75"/>
      <c r="U211" s="75"/>
      <c r="V211" s="75"/>
      <c r="W211" s="75"/>
      <c r="X211" s="88" t="s">
        <v>1050</v>
      </c>
      <c r="Y211" s="163" t="s">
        <v>1081</v>
      </c>
      <c r="Z211" s="84" t="s">
        <v>1082</v>
      </c>
      <c r="AA211" s="133" t="s">
        <v>1051</v>
      </c>
    </row>
    <row r="212" spans="2:27" ht="99.75" customHeight="1">
      <c r="B212" s="84" t="s">
        <v>1335</v>
      </c>
      <c r="C212" s="84" t="s">
        <v>1336</v>
      </c>
      <c r="D212" s="84" t="s">
        <v>1337</v>
      </c>
      <c r="E212" s="133">
        <v>2</v>
      </c>
      <c r="F212" s="160" t="s">
        <v>945</v>
      </c>
      <c r="G212" s="160" t="s">
        <v>946</v>
      </c>
      <c r="H212" s="75" t="s">
        <v>947</v>
      </c>
      <c r="I212" s="76">
        <v>19</v>
      </c>
      <c r="J212" s="75" t="s">
        <v>693</v>
      </c>
      <c r="K212" s="76">
        <v>4</v>
      </c>
      <c r="L212" s="76"/>
      <c r="M212" s="84" t="s">
        <v>948</v>
      </c>
      <c r="N212" s="75"/>
      <c r="O212" s="76"/>
      <c r="P212" s="88" t="s">
        <v>1083</v>
      </c>
      <c r="Q212" s="75" t="s">
        <v>892</v>
      </c>
      <c r="R212" s="75" t="s">
        <v>950</v>
      </c>
      <c r="S212" s="75"/>
      <c r="T212" s="75"/>
      <c r="U212" s="75"/>
      <c r="V212" s="75"/>
      <c r="W212" s="75"/>
      <c r="X212" s="88" t="s">
        <v>1050</v>
      </c>
      <c r="Y212" s="163" t="s">
        <v>1084</v>
      </c>
      <c r="Z212" s="86" t="s">
        <v>1085</v>
      </c>
      <c r="AA212" s="133" t="s">
        <v>1086</v>
      </c>
    </row>
    <row r="213" spans="2:27" ht="99.75" customHeight="1">
      <c r="B213" s="84" t="s">
        <v>1335</v>
      </c>
      <c r="C213" s="84" t="s">
        <v>1336</v>
      </c>
      <c r="D213" s="84" t="s">
        <v>1337</v>
      </c>
      <c r="E213" s="133">
        <v>2</v>
      </c>
      <c r="F213" s="160" t="s">
        <v>954</v>
      </c>
      <c r="G213" s="160" t="s">
        <v>955</v>
      </c>
      <c r="H213" s="75" t="s">
        <v>956</v>
      </c>
      <c r="I213" s="76">
        <v>20</v>
      </c>
      <c r="J213" s="75" t="s">
        <v>693</v>
      </c>
      <c r="K213" s="76"/>
      <c r="L213" s="76"/>
      <c r="M213" s="84" t="s">
        <v>957</v>
      </c>
      <c r="N213" s="75"/>
      <c r="O213" s="76"/>
      <c r="P213" s="77"/>
      <c r="Q213" s="86" t="s">
        <v>877</v>
      </c>
      <c r="R213" s="86" t="s">
        <v>958</v>
      </c>
      <c r="S213" s="75"/>
      <c r="T213" s="75"/>
      <c r="U213" s="75"/>
      <c r="V213" s="75"/>
      <c r="W213" s="75"/>
      <c r="X213" s="88" t="s">
        <v>1050</v>
      </c>
      <c r="Y213" s="163" t="s">
        <v>1055</v>
      </c>
      <c r="Z213" s="86" t="s">
        <v>1087</v>
      </c>
      <c r="AA213" s="133" t="s">
        <v>1051</v>
      </c>
    </row>
    <row r="214" spans="2:27" ht="99.75" customHeight="1">
      <c r="B214" s="84" t="s">
        <v>1335</v>
      </c>
      <c r="C214" s="84" t="s">
        <v>1336</v>
      </c>
      <c r="D214" s="84" t="s">
        <v>1337</v>
      </c>
      <c r="E214" s="133">
        <v>2</v>
      </c>
      <c r="F214" s="84" t="s">
        <v>962</v>
      </c>
      <c r="G214" s="84" t="s">
        <v>963</v>
      </c>
      <c r="H214" s="75" t="s">
        <v>947</v>
      </c>
      <c r="I214" s="76">
        <v>21</v>
      </c>
      <c r="J214" s="75" t="s">
        <v>693</v>
      </c>
      <c r="K214" s="76">
        <v>10</v>
      </c>
      <c r="L214" s="76"/>
      <c r="M214" s="84" t="s">
        <v>964</v>
      </c>
      <c r="N214" s="75"/>
      <c r="O214" s="76"/>
      <c r="P214" s="88" t="s">
        <v>1088</v>
      </c>
      <c r="Q214" s="132" t="s">
        <v>892</v>
      </c>
      <c r="R214" s="135" t="s">
        <v>962</v>
      </c>
      <c r="S214" s="75"/>
      <c r="T214" s="75"/>
      <c r="U214" s="75"/>
      <c r="V214" s="75"/>
      <c r="W214" s="75"/>
      <c r="X214" s="88" t="s">
        <v>1050</v>
      </c>
      <c r="Y214" s="163" t="s">
        <v>1084</v>
      </c>
      <c r="Z214" s="84" t="s">
        <v>1089</v>
      </c>
      <c r="AA214" s="133" t="s">
        <v>1086</v>
      </c>
    </row>
    <row r="215" spans="2:27" ht="99.75" customHeight="1">
      <c r="B215" s="84" t="s">
        <v>1335</v>
      </c>
      <c r="C215" s="84" t="s">
        <v>1336</v>
      </c>
      <c r="D215" s="84" t="s">
        <v>1337</v>
      </c>
      <c r="E215" s="133">
        <v>2</v>
      </c>
      <c r="F215" s="84" t="s">
        <v>967</v>
      </c>
      <c r="G215" s="84" t="s">
        <v>968</v>
      </c>
      <c r="H215" s="75" t="s">
        <v>969</v>
      </c>
      <c r="I215" s="76">
        <v>21</v>
      </c>
      <c r="J215" s="75" t="s">
        <v>693</v>
      </c>
      <c r="K215" s="76">
        <v>10</v>
      </c>
      <c r="L215" s="76"/>
      <c r="M215" s="84" t="s">
        <v>970</v>
      </c>
      <c r="N215" s="75"/>
      <c r="O215" s="76"/>
      <c r="P215" s="88" t="s">
        <v>1090</v>
      </c>
      <c r="Q215" s="132" t="s">
        <v>892</v>
      </c>
      <c r="R215" s="135" t="s">
        <v>967</v>
      </c>
      <c r="S215" s="75"/>
      <c r="T215" s="75"/>
      <c r="U215" s="75"/>
      <c r="V215" s="75"/>
      <c r="W215" s="75"/>
      <c r="X215" s="88" t="s">
        <v>1050</v>
      </c>
      <c r="Y215" s="163" t="s">
        <v>1055</v>
      </c>
      <c r="Z215" s="84" t="s">
        <v>1091</v>
      </c>
      <c r="AA215" s="133" t="s">
        <v>1051</v>
      </c>
    </row>
    <row r="216" spans="2:27" ht="99.75" customHeight="1">
      <c r="B216" s="84" t="s">
        <v>1335</v>
      </c>
      <c r="C216" s="84" t="s">
        <v>1336</v>
      </c>
      <c r="D216" s="84" t="s">
        <v>1337</v>
      </c>
      <c r="E216" s="133">
        <v>2</v>
      </c>
      <c r="F216" s="84" t="s">
        <v>973</v>
      </c>
      <c r="G216" s="84" t="s">
        <v>974</v>
      </c>
      <c r="H216" s="75" t="s">
        <v>975</v>
      </c>
      <c r="I216" s="76">
        <v>23</v>
      </c>
      <c r="J216" s="75" t="s">
        <v>693</v>
      </c>
      <c r="K216" s="76">
        <v>20</v>
      </c>
      <c r="L216" s="76"/>
      <c r="M216" s="84" t="s">
        <v>976</v>
      </c>
      <c r="N216" s="75"/>
      <c r="O216" s="76"/>
      <c r="P216" s="88"/>
      <c r="Q216" s="132" t="s">
        <v>892</v>
      </c>
      <c r="R216" s="135" t="s">
        <v>973</v>
      </c>
      <c r="S216" s="75"/>
      <c r="T216" s="75"/>
      <c r="U216" s="75"/>
      <c r="V216" s="75"/>
      <c r="W216" s="75"/>
      <c r="X216" s="88" t="s">
        <v>1050</v>
      </c>
      <c r="Y216" s="84" t="s">
        <v>1092</v>
      </c>
      <c r="Z216" s="84" t="s">
        <v>1093</v>
      </c>
      <c r="AA216" s="133" t="s">
        <v>1051</v>
      </c>
    </row>
    <row r="217" spans="2:27" ht="99.75" customHeight="1">
      <c r="B217" s="84" t="s">
        <v>1335</v>
      </c>
      <c r="C217" s="84" t="s">
        <v>1336</v>
      </c>
      <c r="D217" s="84" t="s">
        <v>1337</v>
      </c>
      <c r="E217" s="133">
        <v>2</v>
      </c>
      <c r="F217" s="84" t="s">
        <v>979</v>
      </c>
      <c r="G217" s="84" t="s">
        <v>980</v>
      </c>
      <c r="H217" s="75" t="s">
        <v>981</v>
      </c>
      <c r="I217" s="76">
        <v>24</v>
      </c>
      <c r="J217" s="75" t="s">
        <v>693</v>
      </c>
      <c r="K217" s="76">
        <v>20</v>
      </c>
      <c r="L217" s="76"/>
      <c r="M217" s="84" t="s">
        <v>982</v>
      </c>
      <c r="N217" s="75"/>
      <c r="O217" s="76"/>
      <c r="P217" s="88" t="s">
        <v>1094</v>
      </c>
      <c r="Q217" s="132" t="s">
        <v>892</v>
      </c>
      <c r="R217" s="135" t="s">
        <v>984</v>
      </c>
      <c r="S217" s="75"/>
      <c r="T217" s="75"/>
      <c r="U217" s="75"/>
      <c r="V217" s="75"/>
      <c r="W217" s="75"/>
      <c r="X217" s="88" t="s">
        <v>1050</v>
      </c>
      <c r="Y217" s="163" t="s">
        <v>1055</v>
      </c>
      <c r="Z217" s="84" t="s">
        <v>1095</v>
      </c>
      <c r="AA217" s="133" t="s">
        <v>1051</v>
      </c>
    </row>
    <row r="218" spans="2:27" ht="99.75" customHeight="1">
      <c r="B218" s="84" t="s">
        <v>1335</v>
      </c>
      <c r="C218" s="84" t="s">
        <v>1336</v>
      </c>
      <c r="D218" s="84" t="s">
        <v>1337</v>
      </c>
      <c r="E218" s="133">
        <v>2</v>
      </c>
      <c r="F218" s="77" t="s">
        <v>795</v>
      </c>
      <c r="G218" s="77" t="s">
        <v>796</v>
      </c>
      <c r="H218" s="77" t="s">
        <v>797</v>
      </c>
      <c r="I218" s="76">
        <v>25</v>
      </c>
      <c r="J218" s="77" t="s">
        <v>693</v>
      </c>
      <c r="K218" s="76">
        <v>20</v>
      </c>
      <c r="L218" s="76"/>
      <c r="M218" s="86" t="s">
        <v>798</v>
      </c>
      <c r="N218" s="86"/>
      <c r="O218" s="76"/>
      <c r="P218" s="86" t="s">
        <v>1096</v>
      </c>
      <c r="Q218" s="88"/>
      <c r="R218" s="77"/>
      <c r="S218" s="76"/>
      <c r="T218" s="76"/>
      <c r="U218" s="76"/>
      <c r="V218" s="76"/>
      <c r="W218" s="76"/>
      <c r="X218" s="88" t="s">
        <v>1050</v>
      </c>
      <c r="Y218" s="88" t="s">
        <v>1051</v>
      </c>
      <c r="Z218" s="88" t="s">
        <v>1051</v>
      </c>
      <c r="AA218" s="221" t="s">
        <v>1097</v>
      </c>
    </row>
    <row r="219" spans="2:27" ht="99.75" customHeight="1">
      <c r="B219" s="84" t="s">
        <v>1335</v>
      </c>
      <c r="C219" s="84" t="s">
        <v>1336</v>
      </c>
      <c r="D219" s="84" t="s">
        <v>1337</v>
      </c>
      <c r="E219" s="133">
        <v>2</v>
      </c>
      <c r="F219" s="84" t="s">
        <v>803</v>
      </c>
      <c r="G219" s="84" t="s">
        <v>804</v>
      </c>
      <c r="H219" s="75" t="s">
        <v>805</v>
      </c>
      <c r="I219" s="76">
        <v>26</v>
      </c>
      <c r="J219" s="75" t="s">
        <v>693</v>
      </c>
      <c r="K219" s="76">
        <v>10</v>
      </c>
      <c r="L219" s="76"/>
      <c r="M219" s="84" t="s">
        <v>806</v>
      </c>
      <c r="N219" s="75"/>
      <c r="O219" s="76" t="s">
        <v>695</v>
      </c>
      <c r="P219" s="77"/>
      <c r="Q219" s="84"/>
      <c r="R219" s="84"/>
      <c r="S219" s="75"/>
      <c r="T219" s="75"/>
      <c r="U219" s="75"/>
      <c r="V219" s="75"/>
      <c r="W219" s="75"/>
      <c r="X219" s="88" t="s">
        <v>1051</v>
      </c>
      <c r="Y219" s="88" t="s">
        <v>1051</v>
      </c>
      <c r="Z219" s="88" t="s">
        <v>1344</v>
      </c>
      <c r="AA219" s="133" t="s">
        <v>1051</v>
      </c>
    </row>
    <row r="220" spans="2:27" ht="99.75" customHeight="1">
      <c r="B220" s="84" t="s">
        <v>1335</v>
      </c>
      <c r="C220" s="84" t="s">
        <v>1336</v>
      </c>
      <c r="D220" s="84" t="s">
        <v>1337</v>
      </c>
      <c r="E220" s="133">
        <v>2</v>
      </c>
      <c r="F220" s="84" t="s">
        <v>810</v>
      </c>
      <c r="G220" s="84" t="s">
        <v>811</v>
      </c>
      <c r="H220" s="75" t="s">
        <v>812</v>
      </c>
      <c r="I220" s="76">
        <v>27</v>
      </c>
      <c r="J220" s="75" t="s">
        <v>813</v>
      </c>
      <c r="K220" s="76">
        <v>23</v>
      </c>
      <c r="L220" s="76"/>
      <c r="M220" s="84" t="s">
        <v>814</v>
      </c>
      <c r="N220" s="75"/>
      <c r="O220" s="76"/>
      <c r="P220" s="77"/>
      <c r="Q220" s="84"/>
      <c r="R220" s="84"/>
      <c r="S220" s="75"/>
      <c r="T220" s="75"/>
      <c r="U220" s="75"/>
      <c r="V220" s="75"/>
      <c r="W220" s="75"/>
      <c r="X220" s="88" t="s">
        <v>1051</v>
      </c>
      <c r="Y220" s="88" t="s">
        <v>1051</v>
      </c>
      <c r="Z220" s="88" t="s">
        <v>1051</v>
      </c>
      <c r="AA220" s="133" t="s">
        <v>1051</v>
      </c>
    </row>
    <row r="221" spans="2:27" ht="99.75" hidden="1" customHeight="1">
      <c r="B221" s="77" t="s">
        <v>1345</v>
      </c>
      <c r="C221" s="84" t="s">
        <v>1346</v>
      </c>
      <c r="D221" s="84" t="s">
        <v>1347</v>
      </c>
      <c r="E221" s="76">
        <v>2</v>
      </c>
      <c r="F221" s="75" t="s">
        <v>690</v>
      </c>
      <c r="G221" s="75" t="s">
        <v>691</v>
      </c>
      <c r="H221" s="75" t="s">
        <v>868</v>
      </c>
      <c r="I221" s="76">
        <v>1</v>
      </c>
      <c r="J221" s="75" t="s">
        <v>693</v>
      </c>
      <c r="K221" s="76">
        <v>4</v>
      </c>
      <c r="L221" s="76"/>
      <c r="M221" s="86" t="s">
        <v>694</v>
      </c>
      <c r="N221" s="75"/>
      <c r="O221" s="76" t="s">
        <v>695</v>
      </c>
      <c r="P221" s="77"/>
      <c r="Q221" s="86" t="s">
        <v>1348</v>
      </c>
      <c r="R221" s="86" t="s">
        <v>1349</v>
      </c>
      <c r="S221" s="75"/>
      <c r="T221" s="75"/>
      <c r="U221" s="75"/>
      <c r="V221" s="75"/>
      <c r="W221" s="75"/>
      <c r="X221" s="86" t="s">
        <v>1350</v>
      </c>
      <c r="Y221" s="86" t="s">
        <v>1051</v>
      </c>
      <c r="Z221" s="86" t="s">
        <v>1051</v>
      </c>
      <c r="AA221" s="133" t="s">
        <v>1052</v>
      </c>
    </row>
    <row r="222" spans="2:27" ht="99.75" hidden="1" customHeight="1">
      <c r="B222" s="77" t="s">
        <v>1345</v>
      </c>
      <c r="C222" s="84" t="s">
        <v>1346</v>
      </c>
      <c r="D222" s="84" t="s">
        <v>1347</v>
      </c>
      <c r="E222" s="76">
        <v>2</v>
      </c>
      <c r="F222" s="75" t="s">
        <v>705</v>
      </c>
      <c r="G222" s="75" t="s">
        <v>706</v>
      </c>
      <c r="H222" s="75" t="s">
        <v>868</v>
      </c>
      <c r="I222" s="76">
        <v>2</v>
      </c>
      <c r="J222" s="77" t="s">
        <v>693</v>
      </c>
      <c r="K222" s="76">
        <v>30</v>
      </c>
      <c r="L222" s="76"/>
      <c r="M222" s="86" t="s">
        <v>707</v>
      </c>
      <c r="N222" s="75"/>
      <c r="O222" s="76" t="s">
        <v>695</v>
      </c>
      <c r="P222" s="77"/>
      <c r="Q222" s="86" t="s">
        <v>1348</v>
      </c>
      <c r="R222" s="86" t="s">
        <v>1349</v>
      </c>
      <c r="S222" s="75"/>
      <c r="T222" s="75"/>
      <c r="U222" s="75"/>
      <c r="V222" s="75"/>
      <c r="W222" s="75"/>
      <c r="X222" s="86" t="s">
        <v>1350</v>
      </c>
      <c r="Y222" s="86" t="s">
        <v>1351</v>
      </c>
      <c r="Z222" s="86" t="s">
        <v>1259</v>
      </c>
      <c r="AA222" s="133" t="s">
        <v>1051</v>
      </c>
    </row>
    <row r="223" spans="2:27" ht="99.75" hidden="1" customHeight="1">
      <c r="B223" s="77" t="s">
        <v>1345</v>
      </c>
      <c r="C223" s="84" t="s">
        <v>1346</v>
      </c>
      <c r="D223" s="84" t="s">
        <v>1347</v>
      </c>
      <c r="E223" s="133">
        <v>2</v>
      </c>
      <c r="F223" s="84" t="s">
        <v>715</v>
      </c>
      <c r="G223" s="84" t="s">
        <v>716</v>
      </c>
      <c r="H223" s="75" t="s">
        <v>880</v>
      </c>
      <c r="I223" s="76">
        <v>3</v>
      </c>
      <c r="J223" s="75" t="s">
        <v>875</v>
      </c>
      <c r="K223" s="76"/>
      <c r="L223" s="76"/>
      <c r="M223" s="84" t="s">
        <v>1002</v>
      </c>
      <c r="N223" s="75"/>
      <c r="O223" s="76" t="s">
        <v>695</v>
      </c>
      <c r="P223" s="77"/>
      <c r="Q223" s="132" t="s">
        <v>738</v>
      </c>
      <c r="R223" s="135" t="s">
        <v>1261</v>
      </c>
      <c r="S223" s="75"/>
      <c r="T223" s="75"/>
      <c r="U223" s="75"/>
      <c r="V223" s="75"/>
      <c r="W223" s="75"/>
      <c r="X223" s="86" t="s">
        <v>1350</v>
      </c>
      <c r="Y223" s="86" t="s">
        <v>1351</v>
      </c>
      <c r="Z223" s="84" t="s">
        <v>1352</v>
      </c>
      <c r="AA223" s="133" t="s">
        <v>1051</v>
      </c>
    </row>
    <row r="224" spans="2:27" ht="99.75" hidden="1" customHeight="1">
      <c r="B224" s="77" t="s">
        <v>1345</v>
      </c>
      <c r="C224" s="84" t="s">
        <v>1346</v>
      </c>
      <c r="D224" s="84" t="s">
        <v>1347</v>
      </c>
      <c r="E224" s="76">
        <v>2</v>
      </c>
      <c r="F224" s="84" t="s">
        <v>734</v>
      </c>
      <c r="G224" s="84" t="s">
        <v>735</v>
      </c>
      <c r="H224" s="75" t="s">
        <v>736</v>
      </c>
      <c r="I224" s="76">
        <v>4</v>
      </c>
      <c r="J224" s="75" t="s">
        <v>693</v>
      </c>
      <c r="K224" s="76">
        <v>10</v>
      </c>
      <c r="L224" s="76"/>
      <c r="M224" s="84" t="s">
        <v>737</v>
      </c>
      <c r="N224" s="75"/>
      <c r="O224" s="76" t="s">
        <v>695</v>
      </c>
      <c r="P224" s="88"/>
      <c r="Q224" s="75" t="s">
        <v>738</v>
      </c>
      <c r="R224" s="75" t="s">
        <v>739</v>
      </c>
      <c r="S224" s="75"/>
      <c r="T224" s="75"/>
      <c r="U224" s="75"/>
      <c r="V224" s="75"/>
      <c r="W224" s="75"/>
      <c r="X224" s="86" t="s">
        <v>1350</v>
      </c>
      <c r="Y224" s="86" t="s">
        <v>1351</v>
      </c>
      <c r="Z224" s="86" t="s">
        <v>1353</v>
      </c>
      <c r="AA224" s="133" t="s">
        <v>1051</v>
      </c>
    </row>
    <row r="225" spans="2:27" ht="99.75" hidden="1" customHeight="1">
      <c r="B225" s="206" t="s">
        <v>1345</v>
      </c>
      <c r="C225" s="201" t="s">
        <v>1346</v>
      </c>
      <c r="D225" s="201" t="s">
        <v>1347</v>
      </c>
      <c r="E225" s="87">
        <v>2</v>
      </c>
      <c r="F225" s="242" t="s">
        <v>752</v>
      </c>
      <c r="G225" s="205" t="s">
        <v>753</v>
      </c>
      <c r="H225" s="204" t="s">
        <v>777</v>
      </c>
      <c r="I225" s="87">
        <v>5</v>
      </c>
      <c r="J225" s="204" t="s">
        <v>693</v>
      </c>
      <c r="K225" s="87">
        <v>20</v>
      </c>
      <c r="L225" s="87"/>
      <c r="M225" s="205" t="s">
        <v>755</v>
      </c>
      <c r="N225" s="204"/>
      <c r="O225" s="87"/>
      <c r="P225" s="208" t="s">
        <v>1354</v>
      </c>
      <c r="Q225" s="210" t="s">
        <v>840</v>
      </c>
      <c r="R225" s="211" t="s">
        <v>841</v>
      </c>
      <c r="S225" s="204"/>
      <c r="T225" s="204"/>
      <c r="U225" s="204"/>
      <c r="V225" s="204"/>
      <c r="W225" s="204"/>
      <c r="X225" s="211" t="s">
        <v>1350</v>
      </c>
      <c r="Y225" s="211" t="s">
        <v>1351</v>
      </c>
      <c r="Z225" s="211" t="s">
        <v>1355</v>
      </c>
      <c r="AA225" s="209" t="s">
        <v>1051</v>
      </c>
    </row>
    <row r="226" spans="2:27" ht="99.75" hidden="1" customHeight="1">
      <c r="B226" s="77" t="s">
        <v>1345</v>
      </c>
      <c r="C226" s="84" t="s">
        <v>1346</v>
      </c>
      <c r="D226" s="84" t="s">
        <v>1347</v>
      </c>
      <c r="E226" s="76">
        <v>2</v>
      </c>
      <c r="F226" s="75" t="s">
        <v>775</v>
      </c>
      <c r="G226" s="161" t="s">
        <v>776</v>
      </c>
      <c r="H226" s="75" t="s">
        <v>777</v>
      </c>
      <c r="I226" s="76">
        <v>6</v>
      </c>
      <c r="J226" s="75" t="s">
        <v>693</v>
      </c>
      <c r="K226" s="76">
        <v>3</v>
      </c>
      <c r="L226" s="76"/>
      <c r="M226" s="84" t="s">
        <v>778</v>
      </c>
      <c r="N226" s="75"/>
      <c r="O226" s="76"/>
      <c r="P226" s="86" t="s">
        <v>1356</v>
      </c>
      <c r="Q226" s="75" t="s">
        <v>738</v>
      </c>
      <c r="R226" s="75" t="s">
        <v>780</v>
      </c>
      <c r="S226" s="75"/>
      <c r="T226" s="75"/>
      <c r="U226" s="75"/>
      <c r="V226" s="75"/>
      <c r="W226" s="75"/>
      <c r="X226" s="86" t="s">
        <v>1350</v>
      </c>
      <c r="Y226" s="86" t="s">
        <v>1351</v>
      </c>
      <c r="Z226" s="86" t="s">
        <v>1357</v>
      </c>
      <c r="AA226" s="133" t="s">
        <v>1051</v>
      </c>
    </row>
    <row r="227" spans="2:27" ht="69.75" hidden="1" customHeight="1">
      <c r="B227" s="77" t="s">
        <v>1345</v>
      </c>
      <c r="C227" s="84" t="s">
        <v>1346</v>
      </c>
      <c r="D227" s="84" t="s">
        <v>1347</v>
      </c>
      <c r="E227" s="76">
        <v>2</v>
      </c>
      <c r="F227" s="84" t="s">
        <v>788</v>
      </c>
      <c r="G227" s="84" t="s">
        <v>789</v>
      </c>
      <c r="H227" s="75" t="s">
        <v>736</v>
      </c>
      <c r="I227" s="76">
        <v>7</v>
      </c>
      <c r="J227" s="75" t="s">
        <v>693</v>
      </c>
      <c r="K227" s="76">
        <v>10</v>
      </c>
      <c r="L227" s="76"/>
      <c r="M227" s="84" t="s">
        <v>790</v>
      </c>
      <c r="N227" s="75"/>
      <c r="O227" s="76"/>
      <c r="P227" s="77"/>
      <c r="Q227" s="75" t="s">
        <v>738</v>
      </c>
      <c r="R227" s="75" t="s">
        <v>791</v>
      </c>
      <c r="S227" s="75"/>
      <c r="T227" s="75"/>
      <c r="U227" s="75"/>
      <c r="V227" s="75"/>
      <c r="W227" s="75"/>
      <c r="X227" s="86" t="s">
        <v>1350</v>
      </c>
      <c r="Y227" s="86" t="s">
        <v>1351</v>
      </c>
      <c r="Z227" s="86" t="s">
        <v>1230</v>
      </c>
      <c r="AA227" s="133" t="s">
        <v>1051</v>
      </c>
    </row>
    <row r="228" spans="2:27" ht="69.75" hidden="1" customHeight="1">
      <c r="B228" s="77" t="s">
        <v>1345</v>
      </c>
      <c r="C228" s="84" t="s">
        <v>1346</v>
      </c>
      <c r="D228" s="84" t="s">
        <v>1347</v>
      </c>
      <c r="E228" s="76">
        <v>2</v>
      </c>
      <c r="F228" s="75" t="s">
        <v>743</v>
      </c>
      <c r="G228" s="84" t="s">
        <v>744</v>
      </c>
      <c r="H228" s="75" t="s">
        <v>745</v>
      </c>
      <c r="I228" s="76">
        <v>8</v>
      </c>
      <c r="J228" s="75" t="s">
        <v>746</v>
      </c>
      <c r="K228" s="76">
        <v>23</v>
      </c>
      <c r="L228" s="76">
        <v>6</v>
      </c>
      <c r="M228" s="84" t="s">
        <v>747</v>
      </c>
      <c r="N228" s="75"/>
      <c r="O228" s="76"/>
      <c r="P228" s="77"/>
      <c r="Q228" s="75" t="s">
        <v>738</v>
      </c>
      <c r="R228" s="75" t="s">
        <v>748</v>
      </c>
      <c r="S228" s="75"/>
      <c r="T228" s="75"/>
      <c r="U228" s="75"/>
      <c r="V228" s="75"/>
      <c r="W228" s="75"/>
      <c r="X228" s="86" t="s">
        <v>1350</v>
      </c>
      <c r="Y228" s="86" t="s">
        <v>1351</v>
      </c>
      <c r="Z228" s="86" t="s">
        <v>1233</v>
      </c>
      <c r="AA228" s="133" t="s">
        <v>1051</v>
      </c>
    </row>
    <row r="229" spans="2:27" ht="69.75" hidden="1" customHeight="1">
      <c r="B229" s="77" t="s">
        <v>1345</v>
      </c>
      <c r="C229" s="84" t="s">
        <v>1346</v>
      </c>
      <c r="D229" s="84" t="s">
        <v>1347</v>
      </c>
      <c r="E229" s="76">
        <v>2</v>
      </c>
      <c r="F229" s="77" t="s">
        <v>795</v>
      </c>
      <c r="G229" s="77" t="s">
        <v>796</v>
      </c>
      <c r="H229" s="77" t="s">
        <v>797</v>
      </c>
      <c r="I229" s="76">
        <v>9</v>
      </c>
      <c r="J229" s="77" t="s">
        <v>693</v>
      </c>
      <c r="K229" s="76">
        <v>20</v>
      </c>
      <c r="L229" s="76"/>
      <c r="M229" s="86" t="s">
        <v>798</v>
      </c>
      <c r="N229" s="86"/>
      <c r="O229" s="76"/>
      <c r="P229" s="86" t="s">
        <v>1096</v>
      </c>
      <c r="Q229" s="88"/>
      <c r="R229" s="77"/>
      <c r="S229" s="76"/>
      <c r="T229" s="76"/>
      <c r="U229" s="76"/>
      <c r="V229" s="76"/>
      <c r="W229" s="76"/>
      <c r="X229" s="86" t="s">
        <v>1350</v>
      </c>
      <c r="Y229" s="86" t="s">
        <v>1051</v>
      </c>
      <c r="Z229" s="86" t="s">
        <v>1051</v>
      </c>
      <c r="AA229" s="221" t="s">
        <v>1358</v>
      </c>
    </row>
    <row r="230" spans="2:27" ht="69.75" hidden="1" customHeight="1">
      <c r="B230" s="77" t="s">
        <v>1345</v>
      </c>
      <c r="C230" s="84" t="s">
        <v>1346</v>
      </c>
      <c r="D230" s="84" t="s">
        <v>1347</v>
      </c>
      <c r="E230" s="76">
        <v>2</v>
      </c>
      <c r="F230" s="84" t="s">
        <v>803</v>
      </c>
      <c r="G230" s="75" t="s">
        <v>804</v>
      </c>
      <c r="H230" s="75" t="s">
        <v>805</v>
      </c>
      <c r="I230" s="76">
        <v>10</v>
      </c>
      <c r="J230" s="75" t="s">
        <v>693</v>
      </c>
      <c r="K230" s="76">
        <v>10</v>
      </c>
      <c r="L230" s="76"/>
      <c r="M230" s="86" t="s">
        <v>806</v>
      </c>
      <c r="N230" s="75"/>
      <c r="O230" s="76" t="s">
        <v>695</v>
      </c>
      <c r="P230" s="77"/>
      <c r="Q230" s="75"/>
      <c r="R230" s="75"/>
      <c r="S230" s="75"/>
      <c r="T230" s="75"/>
      <c r="U230" s="75"/>
      <c r="V230" s="75"/>
      <c r="W230" s="75"/>
      <c r="X230" s="86" t="s">
        <v>1051</v>
      </c>
      <c r="Y230" s="86" t="s">
        <v>1051</v>
      </c>
      <c r="Z230" s="86" t="s">
        <v>1051</v>
      </c>
      <c r="AA230" s="133" t="s">
        <v>1051</v>
      </c>
    </row>
    <row r="231" spans="2:27" ht="69.75" hidden="1" customHeight="1">
      <c r="B231" s="77" t="s">
        <v>1345</v>
      </c>
      <c r="C231" s="84" t="s">
        <v>1346</v>
      </c>
      <c r="D231" s="84" t="s">
        <v>1347</v>
      </c>
      <c r="E231" s="76">
        <v>2</v>
      </c>
      <c r="F231" s="84" t="s">
        <v>810</v>
      </c>
      <c r="G231" s="75" t="s">
        <v>811</v>
      </c>
      <c r="H231" s="75" t="s">
        <v>812</v>
      </c>
      <c r="I231" s="76">
        <v>11</v>
      </c>
      <c r="J231" s="75" t="s">
        <v>813</v>
      </c>
      <c r="K231" s="76">
        <v>23</v>
      </c>
      <c r="L231" s="76"/>
      <c r="M231" s="86" t="s">
        <v>814</v>
      </c>
      <c r="N231" s="75"/>
      <c r="O231" s="76"/>
      <c r="P231" s="77"/>
      <c r="Q231" s="75"/>
      <c r="R231" s="75"/>
      <c r="S231" s="75"/>
      <c r="T231" s="75"/>
      <c r="U231" s="75"/>
      <c r="V231" s="75"/>
      <c r="W231" s="75"/>
      <c r="X231" s="86" t="s">
        <v>1051</v>
      </c>
      <c r="Y231" s="86" t="s">
        <v>1051</v>
      </c>
      <c r="Z231" s="86" t="s">
        <v>1051</v>
      </c>
      <c r="AA231" s="133" t="s">
        <v>1051</v>
      </c>
    </row>
    <row r="232" spans="2:27" ht="69.75" hidden="1" customHeight="1">
      <c r="B232" s="84" t="s">
        <v>1359</v>
      </c>
      <c r="C232" s="84" t="s">
        <v>1360</v>
      </c>
      <c r="D232" s="84" t="s">
        <v>1361</v>
      </c>
      <c r="E232" s="133">
        <v>2</v>
      </c>
      <c r="F232" s="84" t="s">
        <v>690</v>
      </c>
      <c r="G232" s="84" t="s">
        <v>691</v>
      </c>
      <c r="H232" s="75" t="s">
        <v>868</v>
      </c>
      <c r="I232" s="76">
        <v>1</v>
      </c>
      <c r="J232" s="75" t="s">
        <v>693</v>
      </c>
      <c r="K232" s="76">
        <v>4</v>
      </c>
      <c r="L232" s="76"/>
      <c r="M232" s="86" t="s">
        <v>694</v>
      </c>
      <c r="N232" s="75"/>
      <c r="O232" s="76" t="s">
        <v>695</v>
      </c>
      <c r="P232" s="77"/>
      <c r="Q232" s="132" t="s">
        <v>818</v>
      </c>
      <c r="R232" s="135" t="s">
        <v>819</v>
      </c>
      <c r="S232" s="75"/>
      <c r="T232" s="75"/>
      <c r="U232" s="75"/>
      <c r="V232" s="75"/>
      <c r="W232" s="75"/>
      <c r="X232" s="200" t="s">
        <v>1362</v>
      </c>
      <c r="Y232" s="86" t="s">
        <v>1363</v>
      </c>
      <c r="Z232" s="86" t="s">
        <v>1363</v>
      </c>
      <c r="AA232" s="133" t="s">
        <v>1364</v>
      </c>
    </row>
    <row r="233" spans="2:27" ht="69.75" hidden="1" customHeight="1">
      <c r="B233" s="84" t="s">
        <v>1359</v>
      </c>
      <c r="C233" s="84" t="s">
        <v>1360</v>
      </c>
      <c r="D233" s="84" t="s">
        <v>1361</v>
      </c>
      <c r="E233" s="133">
        <v>2</v>
      </c>
      <c r="F233" s="84" t="s">
        <v>705</v>
      </c>
      <c r="G233" s="84" t="s">
        <v>706</v>
      </c>
      <c r="H233" s="75" t="s">
        <v>868</v>
      </c>
      <c r="I233" s="76">
        <v>2</v>
      </c>
      <c r="J233" s="75" t="s">
        <v>693</v>
      </c>
      <c r="K233" s="76">
        <v>30</v>
      </c>
      <c r="L233" s="76"/>
      <c r="M233" s="86" t="s">
        <v>707</v>
      </c>
      <c r="N233" s="75"/>
      <c r="O233" s="76" t="s">
        <v>695</v>
      </c>
      <c r="P233" s="77"/>
      <c r="Q233" s="132" t="s">
        <v>818</v>
      </c>
      <c r="R233" s="135" t="s">
        <v>819</v>
      </c>
      <c r="S233" s="75"/>
      <c r="T233" s="75"/>
      <c r="U233" s="75"/>
      <c r="V233" s="75"/>
      <c r="W233" s="75"/>
      <c r="X233" s="200" t="s">
        <v>1362</v>
      </c>
      <c r="Y233" s="84" t="s">
        <v>1365</v>
      </c>
      <c r="Z233" s="84" t="s">
        <v>1366</v>
      </c>
      <c r="AA233" s="133" t="s">
        <v>1363</v>
      </c>
    </row>
    <row r="234" spans="2:27" ht="69.75" hidden="1" customHeight="1">
      <c r="B234" s="84" t="s">
        <v>1359</v>
      </c>
      <c r="C234" s="84" t="s">
        <v>1360</v>
      </c>
      <c r="D234" s="84" t="s">
        <v>1361</v>
      </c>
      <c r="E234" s="133">
        <v>2</v>
      </c>
      <c r="F234" s="84" t="s">
        <v>715</v>
      </c>
      <c r="G234" s="84" t="s">
        <v>716</v>
      </c>
      <c r="H234" s="75" t="s">
        <v>880</v>
      </c>
      <c r="I234" s="76">
        <v>3</v>
      </c>
      <c r="J234" s="75" t="s">
        <v>875</v>
      </c>
      <c r="K234" s="76"/>
      <c r="L234" s="76"/>
      <c r="M234" s="84" t="s">
        <v>1367</v>
      </c>
      <c r="N234" s="75"/>
      <c r="O234" s="76" t="s">
        <v>695</v>
      </c>
      <c r="P234" s="77"/>
      <c r="Q234" s="135" t="s">
        <v>720</v>
      </c>
      <c r="R234" s="135" t="s">
        <v>721</v>
      </c>
      <c r="S234" s="75"/>
      <c r="T234" s="75"/>
      <c r="U234" s="75"/>
      <c r="V234" s="75"/>
      <c r="W234" s="75"/>
      <c r="X234" s="200" t="s">
        <v>1362</v>
      </c>
      <c r="Y234" s="84" t="s">
        <v>1368</v>
      </c>
      <c r="Z234" s="84" t="s">
        <v>1369</v>
      </c>
      <c r="AA234" s="133" t="s">
        <v>1363</v>
      </c>
    </row>
    <row r="235" spans="2:27" ht="69.75" hidden="1" customHeight="1">
      <c r="B235" s="84" t="s">
        <v>1359</v>
      </c>
      <c r="C235" s="84" t="s">
        <v>1360</v>
      </c>
      <c r="D235" s="84" t="s">
        <v>1361</v>
      </c>
      <c r="E235" s="133">
        <v>2</v>
      </c>
      <c r="F235" s="84" t="s">
        <v>726</v>
      </c>
      <c r="G235" s="84" t="s">
        <v>727</v>
      </c>
      <c r="H235" s="75" t="s">
        <v>880</v>
      </c>
      <c r="I235" s="76">
        <v>4</v>
      </c>
      <c r="J235" s="75" t="s">
        <v>718</v>
      </c>
      <c r="K235" s="76"/>
      <c r="L235" s="76"/>
      <c r="M235" s="84" t="s">
        <v>1370</v>
      </c>
      <c r="N235" s="75"/>
      <c r="O235" s="76" t="s">
        <v>695</v>
      </c>
      <c r="P235" s="77"/>
      <c r="Q235" s="135" t="s">
        <v>720</v>
      </c>
      <c r="R235" s="135" t="s">
        <v>721</v>
      </c>
      <c r="S235" s="75"/>
      <c r="T235" s="75"/>
      <c r="U235" s="75"/>
      <c r="V235" s="75"/>
      <c r="W235" s="75"/>
      <c r="X235" s="200" t="s">
        <v>1362</v>
      </c>
      <c r="Y235" s="84" t="s">
        <v>1368</v>
      </c>
      <c r="Z235" s="84" t="s">
        <v>1371</v>
      </c>
      <c r="AA235" s="133" t="s">
        <v>1372</v>
      </c>
    </row>
    <row r="236" spans="2:27" ht="69.75" hidden="1" customHeight="1">
      <c r="B236" s="201" t="s">
        <v>1359</v>
      </c>
      <c r="C236" s="201" t="s">
        <v>1360</v>
      </c>
      <c r="D236" s="201" t="s">
        <v>1361</v>
      </c>
      <c r="E236" s="209">
        <v>2</v>
      </c>
      <c r="F236" s="205" t="s">
        <v>752</v>
      </c>
      <c r="G236" s="205" t="s">
        <v>753</v>
      </c>
      <c r="H236" s="204" t="s">
        <v>777</v>
      </c>
      <c r="I236" s="87">
        <v>5</v>
      </c>
      <c r="J236" s="204" t="s">
        <v>693</v>
      </c>
      <c r="K236" s="87">
        <v>20</v>
      </c>
      <c r="L236" s="87"/>
      <c r="M236" s="205" t="s">
        <v>755</v>
      </c>
      <c r="N236" s="204"/>
      <c r="O236" s="87"/>
      <c r="P236" s="208" t="s">
        <v>1373</v>
      </c>
      <c r="Q236" s="210" t="s">
        <v>840</v>
      </c>
      <c r="R236" s="218" t="s">
        <v>841</v>
      </c>
      <c r="S236" s="204"/>
      <c r="T236" s="204"/>
      <c r="U236" s="204"/>
      <c r="V236" s="204"/>
      <c r="W236" s="204"/>
      <c r="X236" s="243" t="s">
        <v>1362</v>
      </c>
      <c r="Y236" s="201" t="s">
        <v>1368</v>
      </c>
      <c r="Z236" s="243" t="s">
        <v>1374</v>
      </c>
      <c r="AA236" s="209" t="s">
        <v>1363</v>
      </c>
    </row>
    <row r="237" spans="2:27" ht="69.75" hidden="1" customHeight="1">
      <c r="B237" s="84" t="s">
        <v>1359</v>
      </c>
      <c r="C237" s="84" t="s">
        <v>1360</v>
      </c>
      <c r="D237" s="84" t="s">
        <v>1361</v>
      </c>
      <c r="E237" s="133">
        <v>2</v>
      </c>
      <c r="F237" s="84" t="s">
        <v>775</v>
      </c>
      <c r="G237" s="161" t="s">
        <v>776</v>
      </c>
      <c r="H237" s="75" t="s">
        <v>777</v>
      </c>
      <c r="I237" s="76">
        <v>6</v>
      </c>
      <c r="J237" s="75" t="s">
        <v>693</v>
      </c>
      <c r="K237" s="76">
        <v>3</v>
      </c>
      <c r="L237" s="76"/>
      <c r="M237" s="84" t="s">
        <v>778</v>
      </c>
      <c r="N237" s="75"/>
      <c r="O237" s="76"/>
      <c r="P237" s="88" t="s">
        <v>1375</v>
      </c>
      <c r="Q237" s="132" t="s">
        <v>738</v>
      </c>
      <c r="R237" s="135" t="s">
        <v>780</v>
      </c>
      <c r="S237" s="75"/>
      <c r="T237" s="75"/>
      <c r="U237" s="75"/>
      <c r="V237" s="75"/>
      <c r="W237" s="75"/>
      <c r="X237" s="200" t="s">
        <v>1362</v>
      </c>
      <c r="Y237" s="200" t="s">
        <v>1376</v>
      </c>
      <c r="Z237" s="200" t="s">
        <v>1377</v>
      </c>
      <c r="AA237" s="133" t="s">
        <v>1363</v>
      </c>
    </row>
    <row r="238" spans="2:27" ht="69.75" hidden="1" customHeight="1">
      <c r="B238" s="84" t="s">
        <v>1359</v>
      </c>
      <c r="C238" s="84" t="s">
        <v>1360</v>
      </c>
      <c r="D238" s="84" t="s">
        <v>1361</v>
      </c>
      <c r="E238" s="133">
        <v>2</v>
      </c>
      <c r="F238" s="84" t="s">
        <v>907</v>
      </c>
      <c r="G238" s="84" t="s">
        <v>908</v>
      </c>
      <c r="H238" s="75" t="s">
        <v>766</v>
      </c>
      <c r="I238" s="76">
        <v>7</v>
      </c>
      <c r="J238" s="75" t="s">
        <v>693</v>
      </c>
      <c r="K238" s="87">
        <v>4</v>
      </c>
      <c r="L238" s="76"/>
      <c r="M238" s="84" t="s">
        <v>909</v>
      </c>
      <c r="N238" s="75"/>
      <c r="O238" s="76"/>
      <c r="P238" s="77"/>
      <c r="Q238" s="132" t="s">
        <v>738</v>
      </c>
      <c r="R238" s="135" t="s">
        <v>910</v>
      </c>
      <c r="S238" s="75"/>
      <c r="T238" s="75"/>
      <c r="U238" s="75"/>
      <c r="V238" s="75"/>
      <c r="W238" s="75"/>
      <c r="X238" s="200" t="s">
        <v>1362</v>
      </c>
      <c r="Y238" s="84" t="s">
        <v>1378</v>
      </c>
      <c r="Z238" s="84" t="s">
        <v>1379</v>
      </c>
      <c r="AA238" s="133" t="s">
        <v>1380</v>
      </c>
    </row>
    <row r="239" spans="2:27" ht="69.75" hidden="1" customHeight="1">
      <c r="B239" s="84" t="s">
        <v>1359</v>
      </c>
      <c r="C239" s="84" t="s">
        <v>1360</v>
      </c>
      <c r="D239" s="84" t="s">
        <v>1361</v>
      </c>
      <c r="E239" s="133">
        <v>2</v>
      </c>
      <c r="F239" s="84" t="s">
        <v>734</v>
      </c>
      <c r="G239" s="84" t="s">
        <v>735</v>
      </c>
      <c r="H239" s="75" t="s">
        <v>736</v>
      </c>
      <c r="I239" s="76">
        <v>8</v>
      </c>
      <c r="J239" s="75" t="s">
        <v>693</v>
      </c>
      <c r="K239" s="76">
        <v>10</v>
      </c>
      <c r="L239" s="76"/>
      <c r="M239" s="84" t="s">
        <v>737</v>
      </c>
      <c r="N239" s="75"/>
      <c r="O239" s="76"/>
      <c r="P239" s="77"/>
      <c r="Q239" s="75" t="s">
        <v>738</v>
      </c>
      <c r="R239" s="75" t="s">
        <v>739</v>
      </c>
      <c r="S239" s="75"/>
      <c r="T239" s="75"/>
      <c r="U239" s="75"/>
      <c r="V239" s="75"/>
      <c r="W239" s="75"/>
      <c r="X239" s="200" t="s">
        <v>1362</v>
      </c>
      <c r="Y239" s="84" t="s">
        <v>1368</v>
      </c>
      <c r="Z239" s="163" t="s">
        <v>1381</v>
      </c>
      <c r="AA239" s="133" t="s">
        <v>1363</v>
      </c>
    </row>
    <row r="240" spans="2:27" ht="69.75" hidden="1" customHeight="1">
      <c r="B240" s="84" t="s">
        <v>1359</v>
      </c>
      <c r="C240" s="84" t="s">
        <v>1360</v>
      </c>
      <c r="D240" s="84" t="s">
        <v>1361</v>
      </c>
      <c r="E240" s="133">
        <v>2</v>
      </c>
      <c r="F240" s="84" t="s">
        <v>788</v>
      </c>
      <c r="G240" s="84" t="s">
        <v>789</v>
      </c>
      <c r="H240" s="75" t="s">
        <v>736</v>
      </c>
      <c r="I240" s="76">
        <v>9</v>
      </c>
      <c r="J240" s="75" t="s">
        <v>693</v>
      </c>
      <c r="K240" s="76">
        <v>10</v>
      </c>
      <c r="L240" s="76"/>
      <c r="M240" s="84" t="s">
        <v>790</v>
      </c>
      <c r="N240" s="75"/>
      <c r="O240" s="76"/>
      <c r="P240" s="77"/>
      <c r="Q240" s="75" t="s">
        <v>738</v>
      </c>
      <c r="R240" s="75" t="s">
        <v>791</v>
      </c>
      <c r="S240" s="75"/>
      <c r="T240" s="75"/>
      <c r="U240" s="75"/>
      <c r="V240" s="75"/>
      <c r="W240" s="75"/>
      <c r="X240" s="200" t="s">
        <v>1362</v>
      </c>
      <c r="Y240" s="84" t="s">
        <v>1368</v>
      </c>
      <c r="Z240" s="84" t="s">
        <v>1382</v>
      </c>
      <c r="AA240" s="133" t="s">
        <v>1363</v>
      </c>
    </row>
    <row r="241" spans="2:27" ht="69.75" hidden="1" customHeight="1">
      <c r="B241" s="84" t="s">
        <v>1359</v>
      </c>
      <c r="C241" s="84" t="s">
        <v>1360</v>
      </c>
      <c r="D241" s="84" t="s">
        <v>1361</v>
      </c>
      <c r="E241" s="133">
        <v>2</v>
      </c>
      <c r="F241" s="84" t="s">
        <v>743</v>
      </c>
      <c r="G241" s="84" t="s">
        <v>744</v>
      </c>
      <c r="H241" s="75" t="s">
        <v>745</v>
      </c>
      <c r="I241" s="76">
        <v>10</v>
      </c>
      <c r="J241" s="75" t="s">
        <v>746</v>
      </c>
      <c r="K241" s="76">
        <v>23</v>
      </c>
      <c r="L241" s="76">
        <v>6</v>
      </c>
      <c r="M241" s="84" t="s">
        <v>747</v>
      </c>
      <c r="N241" s="75"/>
      <c r="O241" s="76"/>
      <c r="P241" s="77"/>
      <c r="Q241" s="135" t="s">
        <v>738</v>
      </c>
      <c r="R241" s="135" t="s">
        <v>748</v>
      </c>
      <c r="S241" s="75"/>
      <c r="T241" s="75"/>
      <c r="U241" s="75"/>
      <c r="V241" s="75"/>
      <c r="W241" s="75"/>
      <c r="X241" s="200" t="s">
        <v>1362</v>
      </c>
      <c r="Y241" s="84" t="s">
        <v>1368</v>
      </c>
      <c r="Z241" s="200" t="s">
        <v>1383</v>
      </c>
      <c r="AA241" s="133" t="s">
        <v>1363</v>
      </c>
    </row>
    <row r="242" spans="2:27" ht="69.75" hidden="1" customHeight="1">
      <c r="B242" s="84" t="s">
        <v>1359</v>
      </c>
      <c r="C242" s="84" t="s">
        <v>1360</v>
      </c>
      <c r="D242" s="84" t="s">
        <v>1361</v>
      </c>
      <c r="E242" s="133">
        <v>2</v>
      </c>
      <c r="F242" s="77" t="s">
        <v>795</v>
      </c>
      <c r="G242" s="77" t="s">
        <v>796</v>
      </c>
      <c r="H242" s="75" t="s">
        <v>797</v>
      </c>
      <c r="I242" s="76">
        <v>11</v>
      </c>
      <c r="J242" s="75" t="s">
        <v>693</v>
      </c>
      <c r="K242" s="76">
        <v>20</v>
      </c>
      <c r="L242" s="76"/>
      <c r="M242" s="86" t="s">
        <v>798</v>
      </c>
      <c r="N242" s="75"/>
      <c r="O242" s="76"/>
      <c r="P242" s="88" t="s">
        <v>1384</v>
      </c>
      <c r="Q242" s="135"/>
      <c r="R242" s="135"/>
      <c r="S242" s="75"/>
      <c r="T242" s="75"/>
      <c r="U242" s="75"/>
      <c r="V242" s="75"/>
      <c r="W242" s="75"/>
      <c r="X242" s="200" t="s">
        <v>1362</v>
      </c>
      <c r="Y242" s="84" t="s">
        <v>1363</v>
      </c>
      <c r="Z242" s="84" t="s">
        <v>1363</v>
      </c>
      <c r="AA242" s="133" t="s">
        <v>1385</v>
      </c>
    </row>
    <row r="243" spans="2:27" ht="69.75" hidden="1" customHeight="1">
      <c r="B243" s="84" t="s">
        <v>1359</v>
      </c>
      <c r="C243" s="84" t="s">
        <v>1360</v>
      </c>
      <c r="D243" s="84" t="s">
        <v>1361</v>
      </c>
      <c r="E243" s="133">
        <v>2</v>
      </c>
      <c r="F243" s="84" t="s">
        <v>803</v>
      </c>
      <c r="G243" s="84" t="s">
        <v>804</v>
      </c>
      <c r="H243" s="75" t="s">
        <v>805</v>
      </c>
      <c r="I243" s="76">
        <v>12</v>
      </c>
      <c r="J243" s="75" t="s">
        <v>693</v>
      </c>
      <c r="K243" s="76">
        <v>10</v>
      </c>
      <c r="L243" s="76"/>
      <c r="M243" s="86" t="s">
        <v>806</v>
      </c>
      <c r="N243" s="75"/>
      <c r="O243" s="76" t="s">
        <v>695</v>
      </c>
      <c r="P243" s="77"/>
      <c r="Q243" s="135"/>
      <c r="R243" s="135"/>
      <c r="S243" s="75"/>
      <c r="T243" s="75"/>
      <c r="U243" s="75"/>
      <c r="V243" s="75"/>
      <c r="W243" s="75"/>
      <c r="X243" s="200" t="s">
        <v>1363</v>
      </c>
      <c r="Y243" s="84" t="s">
        <v>1363</v>
      </c>
      <c r="Z243" s="84" t="s">
        <v>1363</v>
      </c>
      <c r="AA243" s="133" t="s">
        <v>816</v>
      </c>
    </row>
    <row r="244" spans="2:27" ht="69.75" hidden="1" customHeight="1">
      <c r="B244" s="84" t="s">
        <v>1359</v>
      </c>
      <c r="C244" s="84" t="s">
        <v>1360</v>
      </c>
      <c r="D244" s="84" t="s">
        <v>1361</v>
      </c>
      <c r="E244" s="133">
        <v>2</v>
      </c>
      <c r="F244" s="84" t="s">
        <v>810</v>
      </c>
      <c r="G244" s="84" t="s">
        <v>811</v>
      </c>
      <c r="H244" s="75" t="s">
        <v>812</v>
      </c>
      <c r="I244" s="76">
        <v>13</v>
      </c>
      <c r="J244" s="75" t="s">
        <v>813</v>
      </c>
      <c r="K244" s="76">
        <v>23</v>
      </c>
      <c r="L244" s="76"/>
      <c r="M244" s="86" t="s">
        <v>814</v>
      </c>
      <c r="N244" s="75"/>
      <c r="O244" s="76"/>
      <c r="P244" s="77"/>
      <c r="Q244" s="135"/>
      <c r="R244" s="135"/>
      <c r="S244" s="75"/>
      <c r="T244" s="75"/>
      <c r="U244" s="75"/>
      <c r="V244" s="75"/>
      <c r="W244" s="75"/>
      <c r="X244" s="200" t="s">
        <v>1363</v>
      </c>
      <c r="Y244" s="84" t="s">
        <v>1363</v>
      </c>
      <c r="Z244" s="84" t="s">
        <v>1363</v>
      </c>
      <c r="AA244" s="133" t="s">
        <v>816</v>
      </c>
    </row>
    <row r="245" spans="2:27" ht="69.75" hidden="1" customHeight="1">
      <c r="B245" s="84" t="s">
        <v>1386</v>
      </c>
      <c r="C245" s="84" t="s">
        <v>1387</v>
      </c>
      <c r="D245" s="84" t="s">
        <v>1388</v>
      </c>
      <c r="E245" s="133">
        <v>0</v>
      </c>
      <c r="F245" s="84" t="s">
        <v>690</v>
      </c>
      <c r="G245" s="84" t="s">
        <v>691</v>
      </c>
      <c r="H245" s="75" t="s">
        <v>868</v>
      </c>
      <c r="I245" s="76">
        <v>1</v>
      </c>
      <c r="J245" s="75" t="s">
        <v>693</v>
      </c>
      <c r="K245" s="76">
        <v>4</v>
      </c>
      <c r="L245" s="76"/>
      <c r="M245" s="86" t="s">
        <v>694</v>
      </c>
      <c r="N245" s="75"/>
      <c r="O245" s="76" t="s">
        <v>695</v>
      </c>
      <c r="P245" s="77"/>
      <c r="Q245" s="135"/>
      <c r="R245" s="135"/>
      <c r="S245" s="75"/>
      <c r="T245" s="75"/>
      <c r="U245" s="75"/>
      <c r="V245" s="75"/>
      <c r="W245" s="75"/>
      <c r="X245" s="200" t="s">
        <v>1051</v>
      </c>
      <c r="Y245" s="84" t="s">
        <v>1051</v>
      </c>
      <c r="Z245" s="84" t="s">
        <v>1051</v>
      </c>
      <c r="AA245" s="133" t="s">
        <v>1051</v>
      </c>
    </row>
    <row r="246" spans="2:27" ht="69.75" hidden="1" customHeight="1">
      <c r="B246" s="84" t="s">
        <v>1386</v>
      </c>
      <c r="C246" s="84" t="s">
        <v>1387</v>
      </c>
      <c r="D246" s="84" t="s">
        <v>1388</v>
      </c>
      <c r="E246" s="133">
        <v>0</v>
      </c>
      <c r="F246" s="84" t="s">
        <v>705</v>
      </c>
      <c r="G246" s="84" t="s">
        <v>706</v>
      </c>
      <c r="H246" s="75" t="s">
        <v>868</v>
      </c>
      <c r="I246" s="76">
        <v>2</v>
      </c>
      <c r="J246" s="75" t="s">
        <v>693</v>
      </c>
      <c r="K246" s="76">
        <v>30</v>
      </c>
      <c r="L246" s="76"/>
      <c r="M246" s="86" t="s">
        <v>707</v>
      </c>
      <c r="N246" s="75"/>
      <c r="O246" s="76" t="s">
        <v>695</v>
      </c>
      <c r="P246" s="77"/>
      <c r="Q246" s="135"/>
      <c r="R246" s="135"/>
      <c r="S246" s="75"/>
      <c r="T246" s="75"/>
      <c r="U246" s="75"/>
      <c r="V246" s="75"/>
      <c r="W246" s="75"/>
      <c r="X246" s="200" t="s">
        <v>1051</v>
      </c>
      <c r="Y246" s="84" t="s">
        <v>1051</v>
      </c>
      <c r="Z246" s="84" t="s">
        <v>1051</v>
      </c>
      <c r="AA246" s="133" t="s">
        <v>1051</v>
      </c>
    </row>
    <row r="247" spans="2:27" ht="69.75" hidden="1" customHeight="1">
      <c r="B247" s="201" t="s">
        <v>1386</v>
      </c>
      <c r="C247" s="201" t="s">
        <v>1387</v>
      </c>
      <c r="D247" s="201" t="s">
        <v>1388</v>
      </c>
      <c r="E247" s="209">
        <v>0</v>
      </c>
      <c r="F247" s="201" t="s">
        <v>752</v>
      </c>
      <c r="G247" s="205" t="s">
        <v>753</v>
      </c>
      <c r="H247" s="204" t="s">
        <v>777</v>
      </c>
      <c r="I247" s="87">
        <v>3</v>
      </c>
      <c r="J247" s="204" t="s">
        <v>693</v>
      </c>
      <c r="K247" s="87">
        <v>20</v>
      </c>
      <c r="L247" s="87"/>
      <c r="M247" s="205" t="s">
        <v>755</v>
      </c>
      <c r="N247" s="204"/>
      <c r="O247" s="87" t="s">
        <v>695</v>
      </c>
      <c r="P247" s="206"/>
      <c r="Q247" s="218"/>
      <c r="R247" s="218"/>
      <c r="S247" s="204"/>
      <c r="T247" s="204"/>
      <c r="U247" s="204"/>
      <c r="V247" s="204"/>
      <c r="W247" s="204"/>
      <c r="X247" s="243" t="s">
        <v>1051</v>
      </c>
      <c r="Y247" s="201" t="s">
        <v>1051</v>
      </c>
      <c r="Z247" s="201" t="s">
        <v>1051</v>
      </c>
      <c r="AA247" s="209" t="s">
        <v>1051</v>
      </c>
    </row>
    <row r="248" spans="2:27" ht="69.75" hidden="1" customHeight="1">
      <c r="B248" s="84" t="s">
        <v>1386</v>
      </c>
      <c r="C248" s="84" t="s">
        <v>1387</v>
      </c>
      <c r="D248" s="84" t="s">
        <v>1388</v>
      </c>
      <c r="E248" s="133">
        <v>0</v>
      </c>
      <c r="F248" s="84" t="s">
        <v>715</v>
      </c>
      <c r="G248" s="84" t="s">
        <v>716</v>
      </c>
      <c r="H248" s="75" t="s">
        <v>880</v>
      </c>
      <c r="I248" s="76">
        <v>4</v>
      </c>
      <c r="J248" s="75" t="s">
        <v>875</v>
      </c>
      <c r="K248" s="76"/>
      <c r="L248" s="76"/>
      <c r="M248" s="86" t="s">
        <v>1389</v>
      </c>
      <c r="N248" s="75"/>
      <c r="O248" s="76" t="s">
        <v>695</v>
      </c>
      <c r="P248" s="77"/>
      <c r="Q248" s="135"/>
      <c r="R248" s="135"/>
      <c r="S248" s="75"/>
      <c r="T248" s="75"/>
      <c r="U248" s="75"/>
      <c r="V248" s="75"/>
      <c r="W248" s="75"/>
      <c r="X248" s="200" t="s">
        <v>1051</v>
      </c>
      <c r="Y248" s="84" t="s">
        <v>1051</v>
      </c>
      <c r="Z248" s="84" t="s">
        <v>1051</v>
      </c>
      <c r="AA248" s="133" t="s">
        <v>1051</v>
      </c>
    </row>
    <row r="249" spans="2:27" ht="69.75" hidden="1" customHeight="1">
      <c r="B249" s="84" t="s">
        <v>1386</v>
      </c>
      <c r="C249" s="84" t="s">
        <v>1387</v>
      </c>
      <c r="D249" s="84" t="s">
        <v>1388</v>
      </c>
      <c r="E249" s="133">
        <v>0</v>
      </c>
      <c r="F249" s="84" t="s">
        <v>726</v>
      </c>
      <c r="G249" s="84" t="s">
        <v>727</v>
      </c>
      <c r="H249" s="75" t="s">
        <v>880</v>
      </c>
      <c r="I249" s="76">
        <v>5</v>
      </c>
      <c r="J249" s="75" t="s">
        <v>718</v>
      </c>
      <c r="K249" s="76"/>
      <c r="L249" s="76"/>
      <c r="M249" s="86" t="s">
        <v>1390</v>
      </c>
      <c r="N249" s="75"/>
      <c r="O249" s="76" t="s">
        <v>695</v>
      </c>
      <c r="P249" s="77"/>
      <c r="Q249" s="135"/>
      <c r="R249" s="135"/>
      <c r="S249" s="75"/>
      <c r="T249" s="75"/>
      <c r="U249" s="75"/>
      <c r="V249" s="75"/>
      <c r="W249" s="75"/>
      <c r="X249" s="200" t="s">
        <v>1051</v>
      </c>
      <c r="Y249" s="84" t="s">
        <v>1051</v>
      </c>
      <c r="Z249" s="84" t="s">
        <v>1051</v>
      </c>
      <c r="AA249" s="133" t="s">
        <v>1051</v>
      </c>
    </row>
    <row r="250" spans="2:27" ht="69.75" hidden="1" customHeight="1">
      <c r="B250" s="84" t="s">
        <v>1386</v>
      </c>
      <c r="C250" s="84" t="s">
        <v>1387</v>
      </c>
      <c r="D250" s="84" t="s">
        <v>1388</v>
      </c>
      <c r="E250" s="133">
        <v>0</v>
      </c>
      <c r="F250" s="84" t="s">
        <v>1391</v>
      </c>
      <c r="G250" s="84" t="s">
        <v>1392</v>
      </c>
      <c r="H250" s="75" t="s">
        <v>1393</v>
      </c>
      <c r="I250" s="76">
        <v>6</v>
      </c>
      <c r="J250" s="75" t="s">
        <v>693</v>
      </c>
      <c r="K250" s="76">
        <v>4</v>
      </c>
      <c r="L250" s="76"/>
      <c r="M250" s="86" t="s">
        <v>1394</v>
      </c>
      <c r="N250" s="75" t="s">
        <v>1395</v>
      </c>
      <c r="O250" s="76"/>
      <c r="P250" s="77"/>
      <c r="Q250" s="135"/>
      <c r="R250" s="135"/>
      <c r="S250" s="75"/>
      <c r="T250" s="75"/>
      <c r="U250" s="75"/>
      <c r="V250" s="75"/>
      <c r="W250" s="75"/>
      <c r="X250" s="200" t="s">
        <v>1051</v>
      </c>
      <c r="Y250" s="84" t="s">
        <v>1051</v>
      </c>
      <c r="Z250" s="84" t="s">
        <v>1051</v>
      </c>
      <c r="AA250" s="133" t="s">
        <v>1051</v>
      </c>
    </row>
    <row r="251" spans="2:27" ht="69.75" hidden="1" customHeight="1">
      <c r="B251" s="84" t="s">
        <v>1386</v>
      </c>
      <c r="C251" s="84" t="s">
        <v>1387</v>
      </c>
      <c r="D251" s="84" t="s">
        <v>1388</v>
      </c>
      <c r="E251" s="133">
        <v>0</v>
      </c>
      <c r="F251" s="84" t="s">
        <v>1396</v>
      </c>
      <c r="G251" s="84" t="s">
        <v>1397</v>
      </c>
      <c r="H251" s="75" t="s">
        <v>1393</v>
      </c>
      <c r="I251" s="76">
        <v>7</v>
      </c>
      <c r="J251" s="75" t="s">
        <v>693</v>
      </c>
      <c r="K251" s="76">
        <v>11</v>
      </c>
      <c r="L251" s="76"/>
      <c r="M251" s="86" t="s">
        <v>1398</v>
      </c>
      <c r="N251" s="75" t="s">
        <v>1399</v>
      </c>
      <c r="O251" s="76"/>
      <c r="P251" s="77"/>
      <c r="Q251" s="135"/>
      <c r="R251" s="135"/>
      <c r="S251" s="75"/>
      <c r="T251" s="75"/>
      <c r="U251" s="75"/>
      <c r="V251" s="75"/>
      <c r="W251" s="75"/>
      <c r="X251" s="200" t="s">
        <v>1051</v>
      </c>
      <c r="Y251" s="84" t="s">
        <v>1051</v>
      </c>
      <c r="Z251" s="84" t="s">
        <v>1051</v>
      </c>
      <c r="AA251" s="133" t="s">
        <v>1051</v>
      </c>
    </row>
    <row r="252" spans="2:27" ht="69.75" hidden="1" customHeight="1">
      <c r="B252" s="84" t="s">
        <v>1386</v>
      </c>
      <c r="C252" s="84" t="s">
        <v>1387</v>
      </c>
      <c r="D252" s="84" t="s">
        <v>1388</v>
      </c>
      <c r="E252" s="133">
        <v>0</v>
      </c>
      <c r="F252" s="84" t="s">
        <v>1400</v>
      </c>
      <c r="G252" s="84" t="s">
        <v>1401</v>
      </c>
      <c r="H252" s="75" t="s">
        <v>1393</v>
      </c>
      <c r="I252" s="76">
        <v>8</v>
      </c>
      <c r="J252" s="75" t="s">
        <v>693</v>
      </c>
      <c r="K252" s="76">
        <v>15</v>
      </c>
      <c r="L252" s="76"/>
      <c r="M252" s="86" t="s">
        <v>1402</v>
      </c>
      <c r="N252" s="75" t="s">
        <v>1403</v>
      </c>
      <c r="O252" s="76"/>
      <c r="P252" s="77"/>
      <c r="Q252" s="135"/>
      <c r="R252" s="135"/>
      <c r="S252" s="75"/>
      <c r="T252" s="75"/>
      <c r="U252" s="75"/>
      <c r="V252" s="75"/>
      <c r="W252" s="75"/>
      <c r="X252" s="200" t="s">
        <v>1051</v>
      </c>
      <c r="Y252" s="84" t="s">
        <v>1051</v>
      </c>
      <c r="Z252" s="84" t="s">
        <v>1051</v>
      </c>
      <c r="AA252" s="133" t="s">
        <v>1051</v>
      </c>
    </row>
    <row r="253" spans="2:27" ht="69.75" hidden="1" customHeight="1">
      <c r="B253" s="84" t="s">
        <v>1386</v>
      </c>
      <c r="C253" s="84" t="s">
        <v>1387</v>
      </c>
      <c r="D253" s="84" t="s">
        <v>1388</v>
      </c>
      <c r="E253" s="199">
        <v>0</v>
      </c>
      <c r="F253" s="198" t="s">
        <v>1404</v>
      </c>
      <c r="G253" s="198" t="s">
        <v>1405</v>
      </c>
      <c r="H253" s="75" t="s">
        <v>797</v>
      </c>
      <c r="I253" s="76">
        <v>9</v>
      </c>
      <c r="J253" s="75" t="s">
        <v>693</v>
      </c>
      <c r="K253" s="76">
        <v>3</v>
      </c>
      <c r="L253" s="76"/>
      <c r="M253" s="86" t="s">
        <v>1406</v>
      </c>
      <c r="N253" s="75"/>
      <c r="O253" s="76"/>
      <c r="P253" s="88" t="s">
        <v>1407</v>
      </c>
      <c r="Q253" s="197"/>
      <c r="R253" s="197"/>
      <c r="S253" s="75"/>
      <c r="T253" s="75"/>
      <c r="U253" s="75"/>
      <c r="V253" s="75"/>
      <c r="W253" s="75"/>
      <c r="X253" s="200" t="s">
        <v>1408</v>
      </c>
      <c r="Y253" s="84" t="s">
        <v>1409</v>
      </c>
      <c r="Z253" s="84" t="s">
        <v>1410</v>
      </c>
      <c r="AA253" s="133" t="s">
        <v>1363</v>
      </c>
    </row>
    <row r="254" spans="2:27" ht="69.75" hidden="1" customHeight="1">
      <c r="B254" s="84" t="s">
        <v>1386</v>
      </c>
      <c r="C254" s="84" t="s">
        <v>1387</v>
      </c>
      <c r="D254" s="84" t="s">
        <v>1388</v>
      </c>
      <c r="E254" s="199">
        <v>0</v>
      </c>
      <c r="F254" s="198" t="s">
        <v>1411</v>
      </c>
      <c r="G254" s="198" t="s">
        <v>1412</v>
      </c>
      <c r="H254" s="75" t="s">
        <v>797</v>
      </c>
      <c r="I254" s="76">
        <v>10</v>
      </c>
      <c r="J254" s="75" t="s">
        <v>693</v>
      </c>
      <c r="K254" s="76">
        <v>3</v>
      </c>
      <c r="L254" s="76"/>
      <c r="M254" s="86" t="s">
        <v>1406</v>
      </c>
      <c r="N254" s="75"/>
      <c r="O254" s="76"/>
      <c r="P254" s="88" t="s">
        <v>1413</v>
      </c>
      <c r="Q254" s="197"/>
      <c r="R254" s="197"/>
      <c r="S254" s="75"/>
      <c r="T254" s="75"/>
      <c r="U254" s="75"/>
      <c r="V254" s="75"/>
      <c r="W254" s="75"/>
      <c r="X254" s="200" t="s">
        <v>1408</v>
      </c>
      <c r="Y254" s="84" t="s">
        <v>1414</v>
      </c>
      <c r="Z254" s="84" t="s">
        <v>1415</v>
      </c>
      <c r="AA254" s="133" t="s">
        <v>1363</v>
      </c>
    </row>
    <row r="255" spans="2:27" ht="69.75" hidden="1" customHeight="1">
      <c r="B255" s="84" t="s">
        <v>1386</v>
      </c>
      <c r="C255" s="84" t="s">
        <v>1387</v>
      </c>
      <c r="D255" s="84" t="s">
        <v>1388</v>
      </c>
      <c r="E255" s="199">
        <v>0</v>
      </c>
      <c r="F255" s="198" t="s">
        <v>1416</v>
      </c>
      <c r="G255" s="198" t="s">
        <v>1417</v>
      </c>
      <c r="H255" s="75" t="s">
        <v>1393</v>
      </c>
      <c r="I255" s="76">
        <v>11</v>
      </c>
      <c r="J255" s="75" t="s">
        <v>1062</v>
      </c>
      <c r="K255" s="76"/>
      <c r="L255" s="76"/>
      <c r="M255" s="86" t="s">
        <v>1418</v>
      </c>
      <c r="N255" s="75"/>
      <c r="O255" s="76"/>
      <c r="P255" s="77"/>
      <c r="Q255" s="197"/>
      <c r="R255" s="197"/>
      <c r="S255" s="75"/>
      <c r="T255" s="75"/>
      <c r="U255" s="75"/>
      <c r="V255" s="75"/>
      <c r="W255" s="75"/>
      <c r="X255" s="200" t="s">
        <v>1408</v>
      </c>
      <c r="Y255" s="84" t="s">
        <v>1409</v>
      </c>
      <c r="Z255" s="84" t="s">
        <v>1419</v>
      </c>
      <c r="AA255" s="133" t="s">
        <v>1363</v>
      </c>
    </row>
    <row r="256" spans="2:27" ht="69.75" hidden="1" customHeight="1">
      <c r="B256" s="198" t="s">
        <v>1386</v>
      </c>
      <c r="C256" s="198" t="s">
        <v>1387</v>
      </c>
      <c r="D256" s="84" t="s">
        <v>1388</v>
      </c>
      <c r="E256" s="199">
        <v>0</v>
      </c>
      <c r="F256" s="198" t="s">
        <v>1420</v>
      </c>
      <c r="G256" s="198" t="s">
        <v>1421</v>
      </c>
      <c r="H256" s="75" t="s">
        <v>1393</v>
      </c>
      <c r="I256" s="76">
        <v>12</v>
      </c>
      <c r="J256" s="75" t="s">
        <v>693</v>
      </c>
      <c r="K256" s="76">
        <v>20</v>
      </c>
      <c r="L256" s="76"/>
      <c r="M256" s="86" t="s">
        <v>1422</v>
      </c>
      <c r="N256" s="75" t="s">
        <v>1423</v>
      </c>
      <c r="O256" s="76"/>
      <c r="P256" s="77"/>
      <c r="Q256" s="197"/>
      <c r="R256" s="197"/>
      <c r="S256" s="75"/>
      <c r="T256" s="75"/>
      <c r="U256" s="75"/>
      <c r="V256" s="75"/>
      <c r="W256" s="75"/>
      <c r="X256" s="200" t="s">
        <v>1051</v>
      </c>
      <c r="Y256" s="198" t="s">
        <v>1051</v>
      </c>
      <c r="Z256" s="198" t="s">
        <v>1051</v>
      </c>
      <c r="AA256" s="199" t="s">
        <v>1051</v>
      </c>
    </row>
    <row r="257" spans="2:27" ht="69.75" hidden="1" customHeight="1">
      <c r="B257" s="198" t="s">
        <v>1386</v>
      </c>
      <c r="C257" s="198" t="s">
        <v>1387</v>
      </c>
      <c r="D257" s="84" t="s">
        <v>1388</v>
      </c>
      <c r="E257" s="199">
        <v>0</v>
      </c>
      <c r="F257" s="84" t="s">
        <v>803</v>
      </c>
      <c r="G257" s="198" t="s">
        <v>804</v>
      </c>
      <c r="H257" s="75" t="s">
        <v>805</v>
      </c>
      <c r="I257" s="76">
        <v>13</v>
      </c>
      <c r="J257" s="75" t="s">
        <v>693</v>
      </c>
      <c r="K257" s="76">
        <v>10</v>
      </c>
      <c r="L257" s="76"/>
      <c r="M257" s="86" t="s">
        <v>806</v>
      </c>
      <c r="N257" s="75" t="s">
        <v>1424</v>
      </c>
      <c r="O257" s="76" t="s">
        <v>695</v>
      </c>
      <c r="P257" s="77"/>
      <c r="Q257" s="197"/>
      <c r="R257" s="197"/>
      <c r="S257" s="75"/>
      <c r="T257" s="75"/>
      <c r="U257" s="75"/>
      <c r="V257" s="75"/>
      <c r="W257" s="75"/>
      <c r="X257" s="200" t="s">
        <v>1051</v>
      </c>
      <c r="Y257" s="198" t="s">
        <v>1051</v>
      </c>
      <c r="Z257" s="198" t="s">
        <v>1051</v>
      </c>
      <c r="AA257" s="199" t="s">
        <v>1051</v>
      </c>
    </row>
    <row r="258" spans="2:27" ht="69.75" hidden="1" customHeight="1">
      <c r="B258" s="198" t="s">
        <v>1386</v>
      </c>
      <c r="C258" s="198" t="s">
        <v>1387</v>
      </c>
      <c r="D258" s="84" t="s">
        <v>1388</v>
      </c>
      <c r="E258" s="199">
        <v>0</v>
      </c>
      <c r="F258" s="84" t="s">
        <v>810</v>
      </c>
      <c r="G258" s="198" t="s">
        <v>811</v>
      </c>
      <c r="H258" s="75" t="s">
        <v>812</v>
      </c>
      <c r="I258" s="76">
        <v>14</v>
      </c>
      <c r="J258" s="75" t="s">
        <v>813</v>
      </c>
      <c r="K258" s="76">
        <v>23</v>
      </c>
      <c r="L258" s="76"/>
      <c r="M258" s="86" t="s">
        <v>814</v>
      </c>
      <c r="N258" s="75" t="s">
        <v>1425</v>
      </c>
      <c r="O258" s="76"/>
      <c r="P258" s="77"/>
      <c r="Q258" s="197"/>
      <c r="R258" s="197"/>
      <c r="S258" s="75"/>
      <c r="T258" s="75"/>
      <c r="U258" s="75"/>
      <c r="V258" s="75"/>
      <c r="W258" s="75"/>
      <c r="X258" s="200" t="s">
        <v>1051</v>
      </c>
      <c r="Y258" s="198" t="s">
        <v>1051</v>
      </c>
      <c r="Z258" s="198" t="s">
        <v>1051</v>
      </c>
      <c r="AA258" s="199" t="s">
        <v>1051</v>
      </c>
    </row>
    <row r="259" spans="2:27" ht="69.75" customHeight="1"/>
    <row r="260" spans="2:27" ht="69.75" customHeight="1"/>
    <row r="261" spans="2:27" ht="69.75" customHeight="1"/>
    <row r="262" spans="2:27" ht="69.75" customHeight="1"/>
    <row r="263" spans="2:27" ht="69.75" customHeight="1"/>
    <row r="264" spans="2:27" ht="69.75" customHeight="1"/>
    <row r="265" spans="2:27" ht="69.75" customHeight="1"/>
    <row r="266" spans="2:27" ht="69.75" customHeight="1"/>
    <row r="267" spans="2:27" ht="69.75" customHeight="1"/>
    <row r="268" spans="2:27"/>
    <row r="269" spans="2:27"/>
    <row r="270" spans="2:27"/>
    <row r="271" spans="2:27"/>
    <row r="272" spans="2:27"/>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36"/>
    <row r="337"/>
    <row r="338"/>
    <row r="339"/>
    <row r="340"/>
    <row r="341"/>
    <row r="342"/>
    <row r="343"/>
    <row r="344"/>
    <row r="345"/>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54"/>
    <row r="555"/>
    <row r="556"/>
    <row r="557"/>
    <row r="558"/>
    <row r="559"/>
    <row r="560"/>
    <row r="561"/>
    <row r="562"/>
    <row r="563"/>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31"/>
    <row r="632"/>
    <row r="633"/>
    <row r="634"/>
    <row r="635"/>
    <row r="636"/>
    <row r="637"/>
    <row r="638"/>
    <row r="660"/>
    <row r="661"/>
    <row r="662"/>
    <row r="663"/>
    <row r="664"/>
    <row r="665"/>
    <row r="666"/>
    <row r="667"/>
    <row r="668"/>
    <row r="669"/>
    <row r="670"/>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sheetData>
  <sortState xmlns:xlrd2="http://schemas.microsoft.com/office/spreadsheetml/2017/richdata2" ref="B8:AA130">
    <sortCondition ref="C8:C130"/>
    <sortCondition ref="G8:G130"/>
  </sortState>
  <mergeCells count="8">
    <mergeCell ref="X5:AA5"/>
    <mergeCell ref="X6:AA6"/>
    <mergeCell ref="B5:P5"/>
    <mergeCell ref="B6:P6"/>
    <mergeCell ref="Q5:R5"/>
    <mergeCell ref="Q6:R6"/>
    <mergeCell ref="S6:V6"/>
    <mergeCell ref="S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49"/>
  <sheetViews>
    <sheetView showGridLines="0" workbookViewId="0">
      <selection activeCell="C4" sqref="C4"/>
    </sheetView>
  </sheetViews>
  <sheetFormatPr defaultRowHeight="15"/>
  <cols>
    <col min="2" max="2" width="39.28515625" style="89"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90" t="s">
        <v>1426</v>
      </c>
      <c r="C2" s="90" t="s">
        <v>665</v>
      </c>
      <c r="D2" s="90" t="s">
        <v>1427</v>
      </c>
      <c r="E2" s="90" t="s">
        <v>1428</v>
      </c>
      <c r="F2" s="90" t="s">
        <v>1429</v>
      </c>
      <c r="G2" s="90" t="s">
        <v>1430</v>
      </c>
      <c r="H2" s="91" t="s">
        <v>1431</v>
      </c>
      <c r="I2" s="104" t="s">
        <v>1432</v>
      </c>
    </row>
    <row r="3" spans="2:9" ht="39.75" customHeight="1">
      <c r="B3" s="77" t="s">
        <v>648</v>
      </c>
      <c r="C3" s="77" t="s">
        <v>649</v>
      </c>
      <c r="D3" s="77" t="s">
        <v>1433</v>
      </c>
      <c r="E3" s="77" t="s">
        <v>1434</v>
      </c>
      <c r="F3" s="77" t="s">
        <v>1433</v>
      </c>
      <c r="G3" s="77" t="s">
        <v>1435</v>
      </c>
      <c r="H3" s="88" t="s">
        <v>1436</v>
      </c>
      <c r="I3" s="88" t="s">
        <v>1437</v>
      </c>
    </row>
    <row r="4" spans="2:9" ht="39.75" customHeight="1">
      <c r="B4" s="77" t="s">
        <v>648</v>
      </c>
      <c r="C4" s="77" t="s">
        <v>649</v>
      </c>
      <c r="D4" s="77" t="s">
        <v>1433</v>
      </c>
      <c r="E4" s="77" t="s">
        <v>1434</v>
      </c>
      <c r="F4" s="77" t="s">
        <v>1438</v>
      </c>
      <c r="G4" s="77" t="s">
        <v>1439</v>
      </c>
      <c r="H4" s="88" t="s">
        <v>1440</v>
      </c>
      <c r="I4" s="88" t="s">
        <v>1441</v>
      </c>
    </row>
    <row r="5" spans="2:9" ht="39.75" customHeight="1">
      <c r="B5" s="77" t="s">
        <v>648</v>
      </c>
      <c r="C5" s="77" t="s">
        <v>649</v>
      </c>
      <c r="D5" s="77" t="s">
        <v>1433</v>
      </c>
      <c r="E5" s="77" t="s">
        <v>1434</v>
      </c>
      <c r="F5" s="77" t="s">
        <v>1438</v>
      </c>
      <c r="G5" s="77" t="s">
        <v>1442</v>
      </c>
      <c r="H5" s="88" t="s">
        <v>1443</v>
      </c>
      <c r="I5" s="88" t="s">
        <v>1441</v>
      </c>
    </row>
    <row r="6" spans="2:9" ht="39.75" customHeight="1">
      <c r="B6" s="77" t="s">
        <v>648</v>
      </c>
      <c r="C6" s="77" t="s">
        <v>649</v>
      </c>
      <c r="D6" s="77" t="s">
        <v>1444</v>
      </c>
      <c r="E6" s="77" t="s">
        <v>1445</v>
      </c>
      <c r="F6" s="134" t="s">
        <v>1444</v>
      </c>
      <c r="G6" s="77" t="s">
        <v>1446</v>
      </c>
      <c r="H6" s="88" t="s">
        <v>1447</v>
      </c>
      <c r="I6" s="88" t="s">
        <v>1437</v>
      </c>
    </row>
    <row r="7" spans="2:9" ht="39.75" customHeight="1">
      <c r="B7" s="83" t="s">
        <v>648</v>
      </c>
      <c r="C7" s="77" t="s">
        <v>649</v>
      </c>
      <c r="D7" s="83" t="s">
        <v>1448</v>
      </c>
      <c r="E7" s="83" t="s">
        <v>1449</v>
      </c>
      <c r="F7" s="83" t="s">
        <v>1448</v>
      </c>
      <c r="G7" s="83" t="s">
        <v>1450</v>
      </c>
      <c r="H7" s="92" t="s">
        <v>1451</v>
      </c>
      <c r="I7" s="88" t="s">
        <v>1437</v>
      </c>
    </row>
    <row r="8" spans="2:9" ht="39.75" customHeight="1">
      <c r="B8" s="83" t="s">
        <v>651</v>
      </c>
      <c r="C8" s="83" t="s">
        <v>652</v>
      </c>
      <c r="D8" s="83" t="s">
        <v>1448</v>
      </c>
      <c r="E8" s="83" t="s">
        <v>1449</v>
      </c>
      <c r="F8" s="83" t="s">
        <v>1448</v>
      </c>
      <c r="G8" s="83" t="s">
        <v>1452</v>
      </c>
      <c r="H8" s="92" t="s">
        <v>1453</v>
      </c>
      <c r="I8" s="88" t="s">
        <v>1437</v>
      </c>
    </row>
    <row r="9" spans="2:9" ht="39.75" customHeight="1">
      <c r="B9" s="83" t="s">
        <v>651</v>
      </c>
      <c r="C9" s="83" t="s">
        <v>652</v>
      </c>
      <c r="D9" s="83" t="s">
        <v>1448</v>
      </c>
      <c r="E9" s="83" t="s">
        <v>1450</v>
      </c>
      <c r="F9" s="83" t="s">
        <v>1454</v>
      </c>
      <c r="G9" s="83" t="s">
        <v>1455</v>
      </c>
      <c r="H9" s="92" t="s">
        <v>1456</v>
      </c>
      <c r="I9" s="88" t="s">
        <v>1437</v>
      </c>
    </row>
    <row r="10" spans="2:9" ht="39.75" customHeight="1">
      <c r="B10" s="83" t="s">
        <v>1211</v>
      </c>
      <c r="C10" s="83" t="s">
        <v>1213</v>
      </c>
      <c r="D10" s="83" t="s">
        <v>1444</v>
      </c>
      <c r="E10" s="77" t="s">
        <v>1445</v>
      </c>
      <c r="F10" s="134" t="s">
        <v>1444</v>
      </c>
      <c r="G10" s="77" t="s">
        <v>1446</v>
      </c>
      <c r="H10" s="88" t="s">
        <v>1447</v>
      </c>
      <c r="I10" s="88" t="s">
        <v>1437</v>
      </c>
    </row>
    <row r="11" spans="2:9" ht="39.75" customHeight="1">
      <c r="B11" s="83" t="s">
        <v>988</v>
      </c>
      <c r="C11" s="83" t="s">
        <v>990</v>
      </c>
      <c r="D11" s="83" t="s">
        <v>1444</v>
      </c>
      <c r="E11" s="77" t="s">
        <v>1445</v>
      </c>
      <c r="F11" s="134" t="s">
        <v>1444</v>
      </c>
      <c r="G11" s="77" t="s">
        <v>1446</v>
      </c>
      <c r="H11" s="88" t="s">
        <v>1447</v>
      </c>
      <c r="I11" s="88" t="s">
        <v>1437</v>
      </c>
    </row>
    <row r="12" spans="2:9" ht="39.75" customHeight="1">
      <c r="B12" s="83" t="s">
        <v>988</v>
      </c>
      <c r="C12" s="83" t="s">
        <v>990</v>
      </c>
      <c r="D12" s="83" t="s">
        <v>1448</v>
      </c>
      <c r="E12" s="83" t="s">
        <v>1449</v>
      </c>
      <c r="F12" s="83" t="s">
        <v>1448</v>
      </c>
      <c r="G12" s="83" t="s">
        <v>1450</v>
      </c>
      <c r="H12" s="92" t="s">
        <v>1457</v>
      </c>
      <c r="I12" s="88" t="s">
        <v>1437</v>
      </c>
    </row>
    <row r="13" spans="2:9" ht="39.75" customHeight="1">
      <c r="B13" s="83" t="s">
        <v>988</v>
      </c>
      <c r="C13" s="83" t="s">
        <v>990</v>
      </c>
      <c r="D13" s="83" t="s">
        <v>1448</v>
      </c>
      <c r="E13" s="83" t="s">
        <v>1450</v>
      </c>
      <c r="F13" s="134" t="s">
        <v>1444</v>
      </c>
      <c r="G13" s="77" t="s">
        <v>1446</v>
      </c>
      <c r="H13" s="92" t="s">
        <v>1458</v>
      </c>
      <c r="I13" s="88" t="s">
        <v>1437</v>
      </c>
    </row>
    <row r="14" spans="2:9" ht="39.75" customHeight="1">
      <c r="B14" s="83" t="s">
        <v>651</v>
      </c>
      <c r="C14" s="83" t="s">
        <v>652</v>
      </c>
      <c r="D14" s="83" t="s">
        <v>1454</v>
      </c>
      <c r="E14" s="83" t="s">
        <v>1459</v>
      </c>
      <c r="F14" s="83" t="s">
        <v>1454</v>
      </c>
      <c r="G14" s="83" t="s">
        <v>1455</v>
      </c>
      <c r="H14" s="92" t="s">
        <v>1460</v>
      </c>
      <c r="I14" s="88" t="s">
        <v>1437</v>
      </c>
    </row>
    <row r="15" spans="2:9">
      <c r="B15" s="83" t="s">
        <v>1098</v>
      </c>
      <c r="C15" s="79" t="s">
        <v>1100</v>
      </c>
      <c r="D15" s="83" t="s">
        <v>1461</v>
      </c>
      <c r="E15" s="83" t="s">
        <v>1462</v>
      </c>
      <c r="F15" s="83" t="s">
        <v>1461</v>
      </c>
      <c r="G15" s="83" t="s">
        <v>1463</v>
      </c>
      <c r="H15" s="92" t="s">
        <v>1464</v>
      </c>
      <c r="I15" s="88" t="s">
        <v>1441</v>
      </c>
    </row>
    <row r="16" spans="2:9" ht="45.75">
      <c r="B16" s="83" t="s">
        <v>1098</v>
      </c>
      <c r="C16" s="79" t="s">
        <v>1100</v>
      </c>
      <c r="D16" s="83" t="s">
        <v>1461</v>
      </c>
      <c r="E16" s="83" t="s">
        <v>1462</v>
      </c>
      <c r="F16" s="83" t="s">
        <v>1461</v>
      </c>
      <c r="G16" s="83" t="s">
        <v>1465</v>
      </c>
      <c r="H16" s="92" t="s">
        <v>1466</v>
      </c>
      <c r="I16" s="88" t="s">
        <v>1441</v>
      </c>
    </row>
    <row r="17" spans="2:9">
      <c r="B17" s="83" t="s">
        <v>1098</v>
      </c>
      <c r="C17" s="79" t="s">
        <v>1100</v>
      </c>
      <c r="D17" s="83" t="s">
        <v>1461</v>
      </c>
      <c r="E17" s="83" t="s">
        <v>1462</v>
      </c>
      <c r="F17" s="83" t="s">
        <v>1461</v>
      </c>
      <c r="G17" s="83" t="s">
        <v>1467</v>
      </c>
      <c r="H17" s="92" t="s">
        <v>1468</v>
      </c>
      <c r="I17" s="88" t="s">
        <v>1441</v>
      </c>
    </row>
    <row r="18" spans="2:9">
      <c r="B18" s="83" t="s">
        <v>1098</v>
      </c>
      <c r="C18" s="79" t="s">
        <v>1100</v>
      </c>
      <c r="D18" s="83" t="s">
        <v>1461</v>
      </c>
      <c r="E18" s="83" t="s">
        <v>1467</v>
      </c>
      <c r="F18" s="83" t="s">
        <v>1461</v>
      </c>
      <c r="G18" s="83" t="s">
        <v>1469</v>
      </c>
      <c r="H18" s="92" t="s">
        <v>1470</v>
      </c>
      <c r="I18" s="88" t="s">
        <v>1441</v>
      </c>
    </row>
    <row r="19" spans="2:9" ht="30.75">
      <c r="B19" s="83" t="s">
        <v>1098</v>
      </c>
      <c r="C19" s="79" t="s">
        <v>1100</v>
      </c>
      <c r="D19" s="83" t="s">
        <v>1444</v>
      </c>
      <c r="E19" s="83" t="s">
        <v>1445</v>
      </c>
      <c r="F19" s="83" t="s">
        <v>1444</v>
      </c>
      <c r="G19" s="83" t="s">
        <v>1471</v>
      </c>
      <c r="H19" s="92" t="s">
        <v>1472</v>
      </c>
      <c r="I19" s="103" t="s">
        <v>1437</v>
      </c>
    </row>
    <row r="20" spans="2:9" ht="30.75">
      <c r="B20" s="83" t="s">
        <v>1098</v>
      </c>
      <c r="C20" s="79" t="s">
        <v>1100</v>
      </c>
      <c r="D20" s="83" t="s">
        <v>1448</v>
      </c>
      <c r="E20" s="83" t="s">
        <v>1449</v>
      </c>
      <c r="F20" s="83" t="s">
        <v>1448</v>
      </c>
      <c r="G20" s="83" t="s">
        <v>1452</v>
      </c>
      <c r="H20" s="92" t="s">
        <v>1451</v>
      </c>
      <c r="I20" s="103" t="s">
        <v>1437</v>
      </c>
    </row>
    <row r="21" spans="2:9">
      <c r="B21" s="83" t="s">
        <v>1098</v>
      </c>
      <c r="C21" s="85" t="s">
        <v>1100</v>
      </c>
      <c r="D21" s="83" t="s">
        <v>1461</v>
      </c>
      <c r="E21" s="83" t="s">
        <v>1467</v>
      </c>
      <c r="F21" s="83" t="s">
        <v>1438</v>
      </c>
      <c r="G21" s="83" t="s">
        <v>1473</v>
      </c>
      <c r="H21" s="92" t="s">
        <v>1474</v>
      </c>
      <c r="I21" s="103" t="s">
        <v>1441</v>
      </c>
    </row>
    <row r="22" spans="2:9">
      <c r="B22"/>
      <c r="C22"/>
      <c r="D22"/>
      <c r="E22"/>
      <c r="F22"/>
    </row>
    <row r="23" spans="2:9">
      <c r="B23"/>
      <c r="C23"/>
      <c r="D23"/>
      <c r="E23"/>
      <c r="F23"/>
    </row>
    <row r="24" spans="2:9">
      <c r="B24"/>
      <c r="C24"/>
      <c r="D24"/>
      <c r="E24"/>
      <c r="F24"/>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15"/>
  <sheetViews>
    <sheetView showGridLines="0" workbookViewId="0">
      <selection activeCell="C3" sqref="C3"/>
    </sheetView>
  </sheetViews>
  <sheetFormatPr defaultRowHeight="15"/>
  <cols>
    <col min="2" max="2" width="44.7109375" customWidth="1"/>
    <col min="3" max="3" width="32.140625" customWidth="1"/>
    <col min="4" max="4" width="39" customWidth="1"/>
    <col min="5" max="5" width="74.5703125" customWidth="1"/>
    <col min="6" max="6" width="136" customWidth="1"/>
    <col min="7" max="7" width="44.42578125" customWidth="1"/>
    <col min="8" max="8" width="59.140625" customWidth="1"/>
  </cols>
  <sheetData>
    <row r="1" spans="2:8" ht="37.5" customHeight="1"/>
    <row r="2" spans="2:8" ht="39.75">
      <c r="B2" s="105" t="s">
        <v>663</v>
      </c>
      <c r="C2" s="105" t="s">
        <v>665</v>
      </c>
      <c r="D2" s="105" t="s">
        <v>1475</v>
      </c>
      <c r="E2" s="105" t="s">
        <v>1476</v>
      </c>
      <c r="F2" s="105" t="s">
        <v>1477</v>
      </c>
      <c r="G2" s="105" t="s">
        <v>1478</v>
      </c>
      <c r="H2" s="105" t="s">
        <v>1479</v>
      </c>
    </row>
    <row r="3" spans="2:8" ht="39.75" customHeight="1">
      <c r="B3" s="77" t="s">
        <v>648</v>
      </c>
      <c r="C3" s="77" t="s">
        <v>649</v>
      </c>
      <c r="D3" s="77" t="s">
        <v>1433</v>
      </c>
      <c r="E3" s="77" t="s">
        <v>1434</v>
      </c>
      <c r="F3" s="88" t="s">
        <v>1480</v>
      </c>
      <c r="G3" s="77" t="s">
        <v>1481</v>
      </c>
      <c r="H3" s="144" t="s">
        <v>1482</v>
      </c>
    </row>
    <row r="4" spans="2:8" ht="39.75" customHeight="1">
      <c r="B4" s="83" t="s">
        <v>648</v>
      </c>
      <c r="C4" s="77" t="s">
        <v>649</v>
      </c>
      <c r="D4" s="83" t="s">
        <v>1444</v>
      </c>
      <c r="E4" s="83" t="s">
        <v>1445</v>
      </c>
      <c r="F4" s="92" t="s">
        <v>1483</v>
      </c>
      <c r="G4" s="88" t="s">
        <v>1484</v>
      </c>
      <c r="H4" s="88" t="s">
        <v>1485</v>
      </c>
    </row>
    <row r="5" spans="2:8" ht="39.75" customHeight="1">
      <c r="B5" s="83" t="s">
        <v>648</v>
      </c>
      <c r="C5" s="77" t="s">
        <v>649</v>
      </c>
      <c r="D5" s="83" t="s">
        <v>1448</v>
      </c>
      <c r="E5" s="83" t="s">
        <v>1449</v>
      </c>
      <c r="F5" s="92" t="s">
        <v>1486</v>
      </c>
      <c r="G5" s="77" t="s">
        <v>1487</v>
      </c>
      <c r="H5" s="88" t="s">
        <v>1488</v>
      </c>
    </row>
    <row r="6" spans="2:8" ht="39.75" customHeight="1">
      <c r="B6" s="83" t="s">
        <v>651</v>
      </c>
      <c r="C6" s="83" t="s">
        <v>652</v>
      </c>
      <c r="D6" s="83" t="s">
        <v>1454</v>
      </c>
      <c r="E6" s="83" t="s">
        <v>1459</v>
      </c>
      <c r="F6" s="92" t="s">
        <v>1489</v>
      </c>
      <c r="G6" s="88" t="s">
        <v>1490</v>
      </c>
      <c r="H6" s="88" t="s">
        <v>1491</v>
      </c>
    </row>
    <row r="7" spans="2:8" ht="39.75" customHeight="1">
      <c r="B7" s="83" t="s">
        <v>651</v>
      </c>
      <c r="C7" s="83" t="s">
        <v>652</v>
      </c>
      <c r="D7" s="83" t="s">
        <v>1448</v>
      </c>
      <c r="E7" s="83" t="s">
        <v>1449</v>
      </c>
      <c r="F7" s="92" t="s">
        <v>1492</v>
      </c>
      <c r="G7" s="88" t="s">
        <v>1493</v>
      </c>
      <c r="H7" s="88" t="s">
        <v>1494</v>
      </c>
    </row>
    <row r="8" spans="2:8" ht="39.75" customHeight="1">
      <c r="B8" s="83" t="s">
        <v>1211</v>
      </c>
      <c r="C8" s="83" t="s">
        <v>1213</v>
      </c>
      <c r="D8" s="83" t="s">
        <v>1444</v>
      </c>
      <c r="E8" s="77" t="s">
        <v>1445</v>
      </c>
      <c r="F8" s="92" t="s">
        <v>1495</v>
      </c>
      <c r="G8" s="92" t="s">
        <v>1496</v>
      </c>
      <c r="H8" s="92" t="s">
        <v>1497</v>
      </c>
    </row>
    <row r="9" spans="2:8" ht="39.75" customHeight="1">
      <c r="B9" s="83" t="s">
        <v>988</v>
      </c>
      <c r="C9" s="83" t="s">
        <v>990</v>
      </c>
      <c r="D9" s="83" t="s">
        <v>1444</v>
      </c>
      <c r="E9" s="77" t="s">
        <v>1445</v>
      </c>
      <c r="F9" s="92" t="s">
        <v>1498</v>
      </c>
      <c r="G9" s="143" t="s">
        <v>1499</v>
      </c>
      <c r="H9" s="92" t="s">
        <v>1500</v>
      </c>
    </row>
    <row r="10" spans="2:8" ht="39.75" customHeight="1">
      <c r="B10" s="83" t="s">
        <v>988</v>
      </c>
      <c r="C10" s="83" t="s">
        <v>990</v>
      </c>
      <c r="D10" s="83" t="s">
        <v>1448</v>
      </c>
      <c r="E10" s="83" t="s">
        <v>1449</v>
      </c>
      <c r="F10" s="92" t="s">
        <v>1501</v>
      </c>
      <c r="G10" s="143" t="s">
        <v>1502</v>
      </c>
      <c r="H10" s="92" t="s">
        <v>1503</v>
      </c>
    </row>
    <row r="11" spans="2:8" ht="30.75">
      <c r="B11" s="83" t="s">
        <v>1098</v>
      </c>
      <c r="C11" s="157" t="s">
        <v>1100</v>
      </c>
      <c r="D11" s="83" t="s">
        <v>1461</v>
      </c>
      <c r="E11" s="83" t="s">
        <v>1465</v>
      </c>
      <c r="F11" s="92" t="s">
        <v>1504</v>
      </c>
      <c r="G11" s="83" t="s">
        <v>1505</v>
      </c>
      <c r="H11" s="92" t="s">
        <v>1506</v>
      </c>
    </row>
    <row r="12" spans="2:8" ht="76.5">
      <c r="B12" s="83" t="s">
        <v>1098</v>
      </c>
      <c r="C12" s="157" t="s">
        <v>1100</v>
      </c>
      <c r="D12" s="83" t="s">
        <v>1461</v>
      </c>
      <c r="E12" s="83" t="s">
        <v>1463</v>
      </c>
      <c r="F12" s="92" t="s">
        <v>1507</v>
      </c>
      <c r="G12" s="77" t="s">
        <v>1508</v>
      </c>
      <c r="H12" s="88" t="s">
        <v>1509</v>
      </c>
    </row>
    <row r="13" spans="2:8" ht="30.75">
      <c r="B13" s="83" t="s">
        <v>1098</v>
      </c>
      <c r="C13" s="157" t="s">
        <v>1100</v>
      </c>
      <c r="D13" s="83" t="s">
        <v>1461</v>
      </c>
      <c r="E13" s="83" t="s">
        <v>1462</v>
      </c>
      <c r="F13" s="92" t="s">
        <v>1510</v>
      </c>
      <c r="G13" s="83"/>
      <c r="H13" s="83"/>
    </row>
    <row r="14" spans="2:8" ht="91.5">
      <c r="B14" s="83" t="s">
        <v>1098</v>
      </c>
      <c r="C14" s="223" t="s">
        <v>1100</v>
      </c>
      <c r="D14" s="83" t="s">
        <v>1444</v>
      </c>
      <c r="E14" s="83" t="s">
        <v>1445</v>
      </c>
      <c r="F14" s="92" t="s">
        <v>1511</v>
      </c>
      <c r="G14" s="88" t="s">
        <v>1484</v>
      </c>
      <c r="H14" s="88" t="s">
        <v>1485</v>
      </c>
    </row>
    <row r="15" spans="2:8" ht="409.6">
      <c r="B15" s="83" t="s">
        <v>1098</v>
      </c>
      <c r="C15" s="223" t="s">
        <v>1100</v>
      </c>
      <c r="D15" s="83" t="s">
        <v>1448</v>
      </c>
      <c r="E15" s="83" t="s">
        <v>1449</v>
      </c>
      <c r="F15" s="92" t="s">
        <v>1512</v>
      </c>
      <c r="G15" s="88" t="s">
        <v>1493</v>
      </c>
      <c r="H15" s="88" t="s">
        <v>1494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15" workbookViewId="0">
      <selection activeCell="C17" sqref="C17:C18"/>
    </sheetView>
  </sheetViews>
  <sheetFormatPr defaultRowHeight="15"/>
  <cols>
    <col min="2" max="2" width="14" style="94" customWidth="1"/>
    <col min="3" max="3" width="35.42578125" customWidth="1"/>
    <col min="4" max="4" width="40.140625" style="24" customWidth="1"/>
    <col min="5" max="5" width="73.7109375" customWidth="1"/>
  </cols>
  <sheetData>
    <row r="1" spans="2:5" ht="45.75" customHeight="1"/>
    <row r="2" spans="2:5" ht="39.75" customHeight="1">
      <c r="B2" s="95" t="s">
        <v>1513</v>
      </c>
      <c r="C2" s="96" t="s">
        <v>1514</v>
      </c>
      <c r="D2" s="96" t="s">
        <v>1028</v>
      </c>
      <c r="E2" s="97" t="s">
        <v>1515</v>
      </c>
    </row>
    <row r="3" spans="2:5" ht="39.75" customHeight="1">
      <c r="B3" s="164">
        <v>1</v>
      </c>
      <c r="C3" s="98" t="s">
        <v>1516</v>
      </c>
      <c r="D3" s="99" t="s">
        <v>1517</v>
      </c>
      <c r="E3" s="98"/>
    </row>
    <row r="4" spans="2:5" ht="39.75" customHeight="1">
      <c r="B4" s="164">
        <v>2</v>
      </c>
      <c r="C4" s="98" t="s">
        <v>1518</v>
      </c>
      <c r="D4" s="99" t="s">
        <v>1519</v>
      </c>
      <c r="E4" s="98"/>
    </row>
    <row r="5" spans="2:5" ht="39.75" customHeight="1">
      <c r="B5" s="164">
        <v>3</v>
      </c>
      <c r="C5" s="98" t="s">
        <v>1520</v>
      </c>
      <c r="D5" s="99" t="s">
        <v>1521</v>
      </c>
      <c r="E5" s="98"/>
    </row>
    <row r="6" spans="2:5" ht="39.75" customHeight="1">
      <c r="B6" s="164">
        <v>4</v>
      </c>
      <c r="C6" s="99" t="s">
        <v>1522</v>
      </c>
      <c r="D6" s="99" t="s">
        <v>1523</v>
      </c>
      <c r="E6" s="98"/>
    </row>
    <row r="7" spans="2:5" ht="39.75" customHeight="1">
      <c r="B7" s="165">
        <v>5</v>
      </c>
      <c r="C7" s="99" t="s">
        <v>1524</v>
      </c>
      <c r="D7" s="99" t="s">
        <v>1523</v>
      </c>
      <c r="E7" s="98"/>
    </row>
    <row r="8" spans="2:5" ht="39.75" customHeight="1">
      <c r="B8" s="165">
        <v>6</v>
      </c>
      <c r="C8" s="99" t="s">
        <v>1525</v>
      </c>
      <c r="D8" s="99" t="s">
        <v>1526</v>
      </c>
      <c r="E8" s="172" t="s">
        <v>1527</v>
      </c>
    </row>
    <row r="9" spans="2:5" ht="39.75" customHeight="1">
      <c r="B9" s="165">
        <v>7</v>
      </c>
      <c r="C9" s="98" t="s">
        <v>1528</v>
      </c>
      <c r="D9" s="99" t="s">
        <v>1529</v>
      </c>
      <c r="E9" s="98" t="s">
        <v>1530</v>
      </c>
    </row>
    <row r="10" spans="2:5" ht="39.75" customHeight="1">
      <c r="B10" s="164">
        <v>8</v>
      </c>
      <c r="C10" s="98" t="s">
        <v>1531</v>
      </c>
      <c r="D10" s="99" t="s">
        <v>1532</v>
      </c>
      <c r="E10" s="98"/>
    </row>
    <row r="11" spans="2:5" ht="39.75" customHeight="1">
      <c r="B11" s="165">
        <v>9</v>
      </c>
      <c r="C11" s="98" t="s">
        <v>1533</v>
      </c>
      <c r="D11" s="99" t="s">
        <v>1534</v>
      </c>
      <c r="E11" s="98"/>
    </row>
    <row r="12" spans="2:5" ht="39.75" customHeight="1">
      <c r="B12" s="164">
        <v>10</v>
      </c>
      <c r="C12" s="99" t="s">
        <v>1535</v>
      </c>
      <c r="D12" s="99" t="s">
        <v>1536</v>
      </c>
      <c r="E12" s="98"/>
    </row>
    <row r="13" spans="2:5" ht="39.75" customHeight="1">
      <c r="B13" s="165">
        <v>11</v>
      </c>
      <c r="C13" s="98" t="s">
        <v>1537</v>
      </c>
      <c r="D13" s="99" t="s">
        <v>1538</v>
      </c>
      <c r="E13" s="98"/>
    </row>
    <row r="14" spans="2:5" ht="39.75" customHeight="1">
      <c r="B14" s="165">
        <v>12</v>
      </c>
      <c r="C14" s="98" t="s">
        <v>1539</v>
      </c>
      <c r="D14" s="99" t="s">
        <v>1540</v>
      </c>
      <c r="E14" s="98"/>
    </row>
    <row r="15" spans="2:5" ht="39.75" customHeight="1">
      <c r="B15" s="165">
        <v>13</v>
      </c>
      <c r="C15" s="98" t="s">
        <v>1541</v>
      </c>
      <c r="D15" s="99" t="s">
        <v>1542</v>
      </c>
      <c r="E15" s="98"/>
    </row>
    <row r="16" spans="2:5" ht="39.75" customHeight="1">
      <c r="B16" s="166">
        <v>14</v>
      </c>
      <c r="C16" s="100" t="s">
        <v>1543</v>
      </c>
      <c r="D16" s="99" t="s">
        <v>1544</v>
      </c>
      <c r="E16" s="98"/>
    </row>
    <row r="17" spans="2:5" ht="39.75" customHeight="1">
      <c r="B17" s="165">
        <v>15</v>
      </c>
      <c r="C17" s="98" t="s">
        <v>1545</v>
      </c>
      <c r="D17" s="99" t="s">
        <v>1546</v>
      </c>
      <c r="E17" s="98"/>
    </row>
    <row r="18" spans="2:5" ht="39.75" customHeight="1">
      <c r="B18" s="165">
        <v>16</v>
      </c>
      <c r="C18" s="98" t="s">
        <v>1547</v>
      </c>
      <c r="D18" s="99" t="s">
        <v>1548</v>
      </c>
      <c r="E18" s="98"/>
    </row>
    <row r="19" spans="2:5" ht="39.75" customHeight="1">
      <c r="B19" s="165">
        <v>17</v>
      </c>
      <c r="C19" s="98" t="s">
        <v>1549</v>
      </c>
      <c r="D19" s="99" t="s">
        <v>1550</v>
      </c>
      <c r="E19" s="98"/>
    </row>
    <row r="20" spans="2:5" ht="39.75" customHeight="1">
      <c r="B20" s="166">
        <v>18</v>
      </c>
      <c r="C20" s="100" t="s">
        <v>1551</v>
      </c>
      <c r="D20" s="101" t="s">
        <v>1552</v>
      </c>
      <c r="E20" s="100"/>
    </row>
    <row r="21" spans="2:5" ht="39.75" customHeight="1">
      <c r="B21" s="166">
        <v>19</v>
      </c>
      <c r="C21" s="100" t="s">
        <v>1553</v>
      </c>
      <c r="D21" s="101" t="s">
        <v>1554</v>
      </c>
      <c r="E21" s="100" t="s">
        <v>1555</v>
      </c>
    </row>
    <row r="22" spans="2:5" ht="39.75" customHeight="1">
      <c r="B22" s="165">
        <v>20</v>
      </c>
      <c r="C22" s="98" t="s">
        <v>1556</v>
      </c>
      <c r="D22" s="99" t="s">
        <v>1557</v>
      </c>
      <c r="E22" s="98" t="s">
        <v>1558</v>
      </c>
    </row>
    <row r="23" spans="2:5" ht="39.75" customHeight="1">
      <c r="B23" s="165">
        <v>21</v>
      </c>
      <c r="C23" s="98" t="s">
        <v>1559</v>
      </c>
      <c r="D23" s="99" t="s">
        <v>1560</v>
      </c>
      <c r="E23" s="98" t="s">
        <v>1561</v>
      </c>
    </row>
  </sheetData>
  <conditionalFormatting sqref="D3:D23">
    <cfRule type="cellIs" dxfId="304"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W36"/>
  <sheetViews>
    <sheetView showGridLines="0" workbookViewId="0">
      <selection activeCell="H15" sqref="H15"/>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15.28515625" customWidth="1"/>
    <col min="22" max="22" width="14" customWidth="1"/>
    <col min="23" max="23" width="28" customWidth="1"/>
  </cols>
  <sheetData>
    <row r="1" spans="2:23" ht="38.25" customHeight="1"/>
    <row r="2" spans="2:23">
      <c r="B2" s="102" t="s">
        <v>1562</v>
      </c>
      <c r="C2" s="102" t="s">
        <v>1563</v>
      </c>
      <c r="D2" s="102" t="s">
        <v>1564</v>
      </c>
      <c r="E2" s="102" t="s">
        <v>1565</v>
      </c>
      <c r="F2" s="102" t="s">
        <v>1566</v>
      </c>
      <c r="G2" s="102" t="s">
        <v>1567</v>
      </c>
      <c r="H2" s="102" t="s">
        <v>1568</v>
      </c>
      <c r="I2" s="102" t="s">
        <v>691</v>
      </c>
      <c r="J2" s="102" t="s">
        <v>706</v>
      </c>
      <c r="K2" s="102" t="s">
        <v>716</v>
      </c>
      <c r="L2" s="102" t="s">
        <v>727</v>
      </c>
      <c r="M2" s="102" t="s">
        <v>753</v>
      </c>
      <c r="N2" s="102" t="s">
        <v>789</v>
      </c>
      <c r="O2" s="102" t="s">
        <v>744</v>
      </c>
      <c r="P2" s="102" t="s">
        <v>765</v>
      </c>
      <c r="Q2" s="102" t="s">
        <v>776</v>
      </c>
      <c r="R2" s="102" t="s">
        <v>735</v>
      </c>
      <c r="S2" s="102" t="s">
        <v>1029</v>
      </c>
      <c r="T2" s="102" t="s">
        <v>1038</v>
      </c>
      <c r="U2" s="102" t="s">
        <v>796</v>
      </c>
      <c r="V2" s="102" t="s">
        <v>804</v>
      </c>
      <c r="W2" s="102" t="s">
        <v>811</v>
      </c>
    </row>
    <row r="3" spans="2:23">
      <c r="B3" s="147" t="s">
        <v>1516</v>
      </c>
      <c r="C3" s="103">
        <v>1</v>
      </c>
      <c r="D3" s="103" t="s">
        <v>1569</v>
      </c>
      <c r="E3" s="122">
        <v>45484</v>
      </c>
      <c r="F3" s="103">
        <v>1</v>
      </c>
      <c r="G3" s="123">
        <v>1</v>
      </c>
      <c r="H3" s="103">
        <v>1904015</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c r="V3" s="103" t="s">
        <v>1570</v>
      </c>
      <c r="W3" s="103" t="s">
        <v>1570</v>
      </c>
    </row>
    <row r="4" spans="2:23">
      <c r="B4" s="147" t="s">
        <v>1518</v>
      </c>
      <c r="C4" s="103">
        <v>2</v>
      </c>
      <c r="D4" s="103" t="s">
        <v>1571</v>
      </c>
      <c r="E4" s="122">
        <v>45484</v>
      </c>
      <c r="F4" s="103">
        <v>1</v>
      </c>
      <c r="G4" s="123">
        <v>1</v>
      </c>
      <c r="H4" s="103" t="s">
        <v>1572</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c r="V4" s="103" t="s">
        <v>1570</v>
      </c>
      <c r="W4" s="103" t="s">
        <v>1570</v>
      </c>
    </row>
    <row r="5" spans="2:23">
      <c r="B5" s="147" t="s">
        <v>1520</v>
      </c>
      <c r="C5" s="103">
        <v>3</v>
      </c>
      <c r="D5" s="103" t="s">
        <v>1573</v>
      </c>
      <c r="E5" s="122">
        <v>45484</v>
      </c>
      <c r="F5" s="103">
        <v>1</v>
      </c>
      <c r="G5" s="123">
        <v>1</v>
      </c>
      <c r="H5" s="103" t="s">
        <v>1572</v>
      </c>
      <c r="I5" s="103">
        <v>0</v>
      </c>
      <c r="J5" s="103">
        <v>0</v>
      </c>
      <c r="K5" s="103">
        <v>0</v>
      </c>
      <c r="L5" s="103">
        <v>0</v>
      </c>
      <c r="M5" s="103" t="s">
        <v>1570</v>
      </c>
      <c r="N5" s="103">
        <v>0</v>
      </c>
      <c r="O5" s="103" t="s">
        <v>1570</v>
      </c>
      <c r="P5" s="103" t="s">
        <v>1570</v>
      </c>
      <c r="Q5" s="103" t="s">
        <v>1570</v>
      </c>
      <c r="R5" s="103" t="s">
        <v>1570</v>
      </c>
      <c r="S5" s="103" t="s">
        <v>1570</v>
      </c>
      <c r="T5" s="103" t="s">
        <v>1570</v>
      </c>
      <c r="U5" s="103" t="s">
        <v>1570</v>
      </c>
      <c r="V5" s="103">
        <v>0</v>
      </c>
      <c r="W5" s="103" t="s">
        <v>1570</v>
      </c>
    </row>
    <row r="6" spans="2:23">
      <c r="B6" s="93" t="s">
        <v>1522</v>
      </c>
      <c r="C6" s="103">
        <v>4</v>
      </c>
      <c r="D6" s="103" t="s">
        <v>1574</v>
      </c>
      <c r="E6" s="122" t="s">
        <v>1570</v>
      </c>
      <c r="F6" s="103">
        <v>1</v>
      </c>
      <c r="G6" s="103" t="s">
        <v>1570</v>
      </c>
      <c r="H6" s="103"/>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c r="V6" s="103" t="s">
        <v>1570</v>
      </c>
      <c r="W6" s="103" t="s">
        <v>1570</v>
      </c>
    </row>
    <row r="7" spans="2:23">
      <c r="B7" s="93" t="s">
        <v>1524</v>
      </c>
      <c r="C7" s="103">
        <v>5</v>
      </c>
      <c r="D7" s="103" t="s">
        <v>1574</v>
      </c>
      <c r="E7" s="122" t="s">
        <v>1570</v>
      </c>
      <c r="F7" s="103">
        <v>1</v>
      </c>
      <c r="G7" s="103" t="s">
        <v>1570</v>
      </c>
      <c r="H7" s="103"/>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c r="V7" s="103" t="s">
        <v>1570</v>
      </c>
      <c r="W7" s="103" t="s">
        <v>1570</v>
      </c>
    </row>
    <row r="8" spans="2:23">
      <c r="B8" s="178" t="s">
        <v>1525</v>
      </c>
      <c r="C8" s="103">
        <v>6</v>
      </c>
      <c r="D8" s="103" t="s">
        <v>1575</v>
      </c>
      <c r="E8" s="122">
        <v>45484</v>
      </c>
      <c r="F8" s="103">
        <v>1</v>
      </c>
      <c r="G8" s="151" cm="1">
        <f t="array" ref="G8">SUMPRODUCT(--(I8:W8&gt;0))/COUNTA(I8:W8)</f>
        <v>0.8666666666666667</v>
      </c>
      <c r="H8" s="103" t="s">
        <v>1572</v>
      </c>
      <c r="I8" s="103">
        <v>2</v>
      </c>
      <c r="J8" s="103">
        <v>30</v>
      </c>
      <c r="K8" s="103">
        <v>1</v>
      </c>
      <c r="L8" s="103">
        <v>1</v>
      </c>
      <c r="M8" s="103" t="s">
        <v>1576</v>
      </c>
      <c r="N8" s="103">
        <v>10</v>
      </c>
      <c r="O8" s="103">
        <v>8</v>
      </c>
      <c r="P8" s="103" t="s">
        <v>1576</v>
      </c>
      <c r="Q8" s="103">
        <v>3</v>
      </c>
      <c r="R8" s="103">
        <v>10</v>
      </c>
      <c r="S8" s="103">
        <v>0</v>
      </c>
      <c r="T8" s="103">
        <v>0</v>
      </c>
      <c r="U8" s="103">
        <v>2</v>
      </c>
      <c r="V8" s="103">
        <v>10</v>
      </c>
      <c r="W8" s="103">
        <v>23</v>
      </c>
    </row>
    <row r="9" spans="2:23">
      <c r="B9" s="147" t="s">
        <v>1528</v>
      </c>
      <c r="C9" s="103">
        <v>7</v>
      </c>
      <c r="D9" s="103" t="s">
        <v>1577</v>
      </c>
      <c r="E9" s="122">
        <v>45484</v>
      </c>
      <c r="F9" s="103">
        <v>1</v>
      </c>
      <c r="G9" s="151" cm="1">
        <f t="array" aca="1" ref="G9" ca="1">SUMPRODUCT(--(I9:W9&lt;=I26:W26))/COUNTA(I9:W9)</f>
        <v>0.8666666666666667</v>
      </c>
      <c r="H9" s="103" t="s">
        <v>1572</v>
      </c>
      <c r="I9" s="103">
        <v>2</v>
      </c>
      <c r="J9" s="103">
        <v>30</v>
      </c>
      <c r="K9" s="103">
        <v>11</v>
      </c>
      <c r="L9" s="103">
        <v>2</v>
      </c>
      <c r="M9" s="103" t="s">
        <v>1576</v>
      </c>
      <c r="N9" s="103">
        <v>10</v>
      </c>
      <c r="O9" s="103">
        <v>16</v>
      </c>
      <c r="P9" s="103" t="s">
        <v>1576</v>
      </c>
      <c r="Q9" s="103">
        <v>3</v>
      </c>
      <c r="R9" s="103">
        <v>10</v>
      </c>
      <c r="S9" s="103">
        <v>50</v>
      </c>
      <c r="T9" s="103">
        <v>30</v>
      </c>
      <c r="U9" s="103">
        <v>2</v>
      </c>
      <c r="V9" s="103">
        <v>10</v>
      </c>
      <c r="W9" s="103">
        <v>23</v>
      </c>
    </row>
    <row r="10" spans="2:23">
      <c r="B10" s="147" t="s">
        <v>1531</v>
      </c>
      <c r="C10" s="103">
        <v>8</v>
      </c>
      <c r="D10" s="103" t="s">
        <v>1578</v>
      </c>
      <c r="E10" s="122">
        <v>45484</v>
      </c>
      <c r="F10" s="103">
        <v>1</v>
      </c>
      <c r="G10" s="103" t="s">
        <v>1570</v>
      </c>
      <c r="H10" s="103" t="s">
        <v>1572</v>
      </c>
      <c r="I10" s="103">
        <v>31</v>
      </c>
      <c r="J10" s="103">
        <v>8.9040020000000002E+21</v>
      </c>
      <c r="K10" s="103">
        <v>1</v>
      </c>
      <c r="L10" s="103">
        <v>1</v>
      </c>
      <c r="M10" s="122" t="s">
        <v>1576</v>
      </c>
      <c r="N10" s="122">
        <v>45484</v>
      </c>
      <c r="O10" s="122" t="s">
        <v>1572</v>
      </c>
      <c r="P10" s="103" t="s">
        <v>1576</v>
      </c>
      <c r="Q10" s="122">
        <v>124</v>
      </c>
      <c r="R10" s="123">
        <v>45236</v>
      </c>
      <c r="S10" s="122"/>
      <c r="T10" s="151"/>
      <c r="U10" s="103" t="s">
        <v>1579</v>
      </c>
      <c r="V10" s="122">
        <v>45484</v>
      </c>
      <c r="W10" s="103" t="s">
        <v>1580</v>
      </c>
    </row>
    <row r="11" spans="2:23">
      <c r="B11" s="147" t="s">
        <v>1533</v>
      </c>
      <c r="C11" s="103">
        <v>9</v>
      </c>
      <c r="D11" s="103" t="s">
        <v>1581</v>
      </c>
      <c r="E11" s="122">
        <v>45484</v>
      </c>
      <c r="F11" s="103">
        <v>1</v>
      </c>
      <c r="G11" s="103" t="s">
        <v>1570</v>
      </c>
      <c r="H11" s="103" t="s">
        <v>1572</v>
      </c>
      <c r="I11" s="103">
        <v>31</v>
      </c>
      <c r="J11" s="103">
        <v>8.9040020000000002E+21</v>
      </c>
      <c r="K11" s="103">
        <v>1</v>
      </c>
      <c r="L11" s="103">
        <v>1</v>
      </c>
      <c r="M11" s="122" t="s">
        <v>1576</v>
      </c>
      <c r="N11" s="122">
        <v>45484</v>
      </c>
      <c r="O11" s="122" t="s">
        <v>1582</v>
      </c>
      <c r="P11" s="103" t="s">
        <v>1576</v>
      </c>
      <c r="Q11" s="122">
        <v>124</v>
      </c>
      <c r="R11" s="122">
        <v>45236</v>
      </c>
      <c r="S11" s="122"/>
      <c r="T11" s="122"/>
      <c r="U11" s="103" t="s">
        <v>1579</v>
      </c>
      <c r="V11" s="122">
        <v>45484</v>
      </c>
      <c r="W11" s="103" t="s">
        <v>1583</v>
      </c>
    </row>
    <row r="12" spans="2:23">
      <c r="B12" s="170" t="s">
        <v>1535</v>
      </c>
      <c r="C12" s="103">
        <v>10</v>
      </c>
      <c r="D12" s="103" t="s">
        <v>1584</v>
      </c>
      <c r="E12" s="122">
        <v>45484</v>
      </c>
      <c r="F12" s="103">
        <v>1</v>
      </c>
      <c r="G12" s="103" t="s">
        <v>1570</v>
      </c>
      <c r="H12" s="103" t="s">
        <v>1572</v>
      </c>
      <c r="I12" s="103">
        <v>31</v>
      </c>
      <c r="J12" s="103">
        <v>2.3970100776801999E+29</v>
      </c>
      <c r="K12" s="103">
        <v>20240151007</v>
      </c>
      <c r="L12" s="103">
        <v>64</v>
      </c>
      <c r="M12" s="122" t="s">
        <v>1576</v>
      </c>
      <c r="N12" s="122">
        <v>45484</v>
      </c>
      <c r="O12" s="123">
        <v>125000000000000</v>
      </c>
      <c r="P12" s="122" t="s">
        <v>1576</v>
      </c>
      <c r="Q12" s="122">
        <v>985</v>
      </c>
      <c r="R12" s="123">
        <v>45496</v>
      </c>
      <c r="S12" s="122" t="s">
        <v>1585</v>
      </c>
      <c r="T12" s="151" t="s">
        <v>1586</v>
      </c>
      <c r="U12" s="103" t="s">
        <v>1587</v>
      </c>
      <c r="V12" s="122">
        <v>45484</v>
      </c>
      <c r="W12" s="103" t="s">
        <v>1580</v>
      </c>
    </row>
    <row r="13" spans="2:23">
      <c r="B13" s="147" t="s">
        <v>1537</v>
      </c>
      <c r="C13" s="103">
        <v>11</v>
      </c>
      <c r="D13" s="103" t="s">
        <v>1588</v>
      </c>
      <c r="E13" s="122">
        <v>45484</v>
      </c>
      <c r="F13" s="103">
        <v>1</v>
      </c>
      <c r="G13" s="103" t="s">
        <v>1570</v>
      </c>
      <c r="H13" s="103" t="s">
        <v>1572</v>
      </c>
      <c r="I13" s="103">
        <v>31</v>
      </c>
      <c r="J13" s="103">
        <v>2.3970100776801999E+29</v>
      </c>
      <c r="K13" s="103">
        <v>20240151007</v>
      </c>
      <c r="L13" s="103">
        <v>64</v>
      </c>
      <c r="M13" s="122" t="s">
        <v>1576</v>
      </c>
      <c r="N13" s="122">
        <v>45484</v>
      </c>
      <c r="O13" s="122" t="s">
        <v>1589</v>
      </c>
      <c r="P13" s="122" t="s">
        <v>1576</v>
      </c>
      <c r="Q13" s="122">
        <v>985</v>
      </c>
      <c r="R13" s="122">
        <v>45496</v>
      </c>
      <c r="S13" s="122" t="s">
        <v>1585</v>
      </c>
      <c r="T13" s="122" t="s">
        <v>1586</v>
      </c>
      <c r="U13" s="103" t="s">
        <v>1587</v>
      </c>
      <c r="V13" s="122">
        <v>45484</v>
      </c>
      <c r="W13" s="103" t="s">
        <v>1590</v>
      </c>
    </row>
    <row r="14" spans="2:23">
      <c r="B14" s="147" t="s">
        <v>1539</v>
      </c>
      <c r="C14" s="103">
        <v>12</v>
      </c>
      <c r="D14" s="103" t="s">
        <v>1591</v>
      </c>
      <c r="E14" s="122">
        <v>45484</v>
      </c>
      <c r="F14" s="103">
        <v>1</v>
      </c>
      <c r="G14" s="103">
        <v>0.86666699999999997</v>
      </c>
      <c r="H14" s="103" t="s">
        <v>1572</v>
      </c>
      <c r="I14" s="103">
        <v>0</v>
      </c>
      <c r="J14" s="103">
        <v>0</v>
      </c>
      <c r="K14" s="103">
        <v>0</v>
      </c>
      <c r="L14" s="103">
        <v>0</v>
      </c>
      <c r="M14" s="103">
        <v>1904015</v>
      </c>
      <c r="N14" s="103">
        <v>0</v>
      </c>
      <c r="O14" s="103">
        <v>0</v>
      </c>
      <c r="P14" s="103">
        <v>1904015</v>
      </c>
      <c r="Q14" s="103">
        <v>0</v>
      </c>
      <c r="R14" s="103">
        <v>0</v>
      </c>
      <c r="S14" s="103">
        <v>0</v>
      </c>
      <c r="T14" s="103">
        <v>0</v>
      </c>
      <c r="U14" s="103">
        <v>0</v>
      </c>
      <c r="V14" s="103">
        <v>0</v>
      </c>
      <c r="W14" s="103">
        <v>0</v>
      </c>
    </row>
    <row r="15" spans="2:23">
      <c r="B15" s="147" t="s">
        <v>1541</v>
      </c>
      <c r="C15" s="103">
        <v>13</v>
      </c>
      <c r="D15" s="103" t="s">
        <v>1592</v>
      </c>
      <c r="E15" s="122">
        <v>45484</v>
      </c>
      <c r="F15" s="103">
        <v>1</v>
      </c>
      <c r="G15" s="123">
        <v>1</v>
      </c>
      <c r="H15" s="103" t="s">
        <v>1572</v>
      </c>
      <c r="I15" s="103" t="s">
        <v>1570</v>
      </c>
      <c r="J15" s="103" t="s">
        <v>1570</v>
      </c>
      <c r="K15" s="103" t="s">
        <v>1570</v>
      </c>
      <c r="L15" s="93" t="s">
        <v>1570</v>
      </c>
      <c r="M15" s="93" t="s">
        <v>1570</v>
      </c>
      <c r="N15" s="103">
        <v>0</v>
      </c>
      <c r="O15" s="93" t="s">
        <v>1570</v>
      </c>
      <c r="P15" s="93" t="s">
        <v>1570</v>
      </c>
      <c r="Q15" s="93" t="s">
        <v>1570</v>
      </c>
      <c r="R15" s="103">
        <v>0</v>
      </c>
      <c r="S15" s="103" t="s">
        <v>1570</v>
      </c>
      <c r="T15" s="103" t="s">
        <v>1570</v>
      </c>
      <c r="U15" s="103" t="s">
        <v>1570</v>
      </c>
      <c r="V15" s="103" t="s">
        <v>1570</v>
      </c>
      <c r="W15" s="103" t="s">
        <v>1570</v>
      </c>
    </row>
    <row r="16" spans="2:23">
      <c r="B16" s="147" t="s">
        <v>1543</v>
      </c>
      <c r="C16" s="103">
        <v>14</v>
      </c>
      <c r="D16" s="103" t="s">
        <v>1593</v>
      </c>
      <c r="E16" s="122">
        <v>45484</v>
      </c>
      <c r="F16" s="103">
        <v>1</v>
      </c>
      <c r="G16" s="123">
        <v>1</v>
      </c>
      <c r="H16" s="103" t="s">
        <v>1572</v>
      </c>
      <c r="I16" s="103">
        <v>0</v>
      </c>
      <c r="J16" s="103">
        <v>0</v>
      </c>
      <c r="K16" s="103" t="s">
        <v>1570</v>
      </c>
      <c r="L16" s="103" t="s">
        <v>1570</v>
      </c>
      <c r="M16" s="93">
        <v>0</v>
      </c>
      <c r="N16" s="103" t="s">
        <v>1570</v>
      </c>
      <c r="O16" s="103" t="s">
        <v>1570</v>
      </c>
      <c r="P16" s="103" t="s">
        <v>1570</v>
      </c>
      <c r="Q16" s="93">
        <v>0</v>
      </c>
      <c r="R16" s="103" t="s">
        <v>1570</v>
      </c>
      <c r="S16" s="103" t="s">
        <v>1570</v>
      </c>
      <c r="T16" s="103" t="s">
        <v>1570</v>
      </c>
      <c r="U16" s="103">
        <v>0</v>
      </c>
      <c r="V16" s="103" t="s">
        <v>1570</v>
      </c>
      <c r="W16" s="103" t="s">
        <v>1570</v>
      </c>
    </row>
    <row r="17" spans="2:23">
      <c r="B17" s="181" t="s">
        <v>1545</v>
      </c>
      <c r="C17" s="103">
        <v>15</v>
      </c>
      <c r="D17" s="103" t="s">
        <v>1594</v>
      </c>
      <c r="E17" s="122">
        <v>45484</v>
      </c>
      <c r="F17" s="103">
        <v>1</v>
      </c>
      <c r="G17" s="123">
        <v>1</v>
      </c>
      <c r="H17" s="103" t="s">
        <v>1572</v>
      </c>
      <c r="I17" s="103" t="s">
        <v>1570</v>
      </c>
      <c r="J17" s="103" t="s">
        <v>1570</v>
      </c>
      <c r="K17" s="103" t="s">
        <v>1570</v>
      </c>
      <c r="L17" s="103" t="s">
        <v>1570</v>
      </c>
      <c r="M17" s="103" t="s">
        <v>1570</v>
      </c>
      <c r="N17" s="103" t="s">
        <v>1570</v>
      </c>
      <c r="O17" s="103" t="s">
        <v>1570</v>
      </c>
      <c r="P17" s="103" t="s">
        <v>1570</v>
      </c>
      <c r="Q17" s="103" t="s">
        <v>1570</v>
      </c>
      <c r="R17" s="103" t="s">
        <v>1570</v>
      </c>
      <c r="S17" s="103" t="s">
        <v>1570</v>
      </c>
      <c r="T17" s="103" t="s">
        <v>1570</v>
      </c>
      <c r="U17" s="103" t="s">
        <v>1570</v>
      </c>
      <c r="V17" s="103" t="s">
        <v>1570</v>
      </c>
      <c r="W17" s="103" t="s">
        <v>1570</v>
      </c>
    </row>
    <row r="18" spans="2:23">
      <c r="B18" s="181" t="s">
        <v>1547</v>
      </c>
      <c r="C18" s="103">
        <v>16</v>
      </c>
      <c r="D18" s="103" t="s">
        <v>1594</v>
      </c>
      <c r="E18" s="122">
        <v>45484</v>
      </c>
      <c r="F18" s="103">
        <v>1</v>
      </c>
      <c r="G18" s="123">
        <v>1</v>
      </c>
      <c r="H18" s="103" t="s">
        <v>1572</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c r="V18" s="103" t="s">
        <v>1570</v>
      </c>
      <c r="W18" s="103" t="s">
        <v>1570</v>
      </c>
    </row>
    <row r="19" spans="2:23">
      <c r="B19" s="147" t="s">
        <v>1553</v>
      </c>
      <c r="C19" s="103">
        <v>19</v>
      </c>
      <c r="D19" s="103" t="s">
        <v>1595</v>
      </c>
      <c r="E19" s="122">
        <v>45484</v>
      </c>
      <c r="F19" s="103">
        <v>1</v>
      </c>
      <c r="G19" s="123" cm="1">
        <f t="array" aca="1" ref="G19" ca="1">SUMPRODUCT(--(ISNUMBER((SEARCH(I25:W25,I19:W19)))))/COUNTA(I19:W19)</f>
        <v>1</v>
      </c>
      <c r="H19" s="103" t="s">
        <v>1572</v>
      </c>
      <c r="I19" s="103" t="s">
        <v>1596</v>
      </c>
      <c r="J19" s="103" t="s">
        <v>1596</v>
      </c>
      <c r="K19" s="103" t="s">
        <v>1597</v>
      </c>
      <c r="L19" s="103" t="s">
        <v>1597</v>
      </c>
      <c r="M19" s="103" t="s">
        <v>1596</v>
      </c>
      <c r="N19" s="103" t="s">
        <v>1596</v>
      </c>
      <c r="O19" s="103" t="s">
        <v>1598</v>
      </c>
      <c r="P19" s="103" t="s">
        <v>1596</v>
      </c>
      <c r="Q19" s="103" t="s">
        <v>1596</v>
      </c>
      <c r="R19" s="103" t="s">
        <v>1596</v>
      </c>
      <c r="S19" s="103" t="s">
        <v>1596</v>
      </c>
      <c r="T19" s="103" t="s">
        <v>1596</v>
      </c>
      <c r="U19" s="103" t="s">
        <v>1596</v>
      </c>
      <c r="V19" s="103" t="s">
        <v>1596</v>
      </c>
      <c r="W19" s="103" t="s">
        <v>1599</v>
      </c>
    </row>
    <row r="20" spans="2:23">
      <c r="B20" s="147" t="s">
        <v>1556</v>
      </c>
      <c r="C20" s="103">
        <v>20</v>
      </c>
      <c r="D20" s="103"/>
      <c r="E20" s="122">
        <v>45464</v>
      </c>
      <c r="F20" s="103">
        <v>1</v>
      </c>
      <c r="G20" s="103" cm="1">
        <f t="array" ref="G20">SUM(IF(I2:W2 = I24:W24, 1, 0))/ COUNTA(I2:W2)</f>
        <v>1</v>
      </c>
      <c r="H20" s="103"/>
      <c r="I20" s="103"/>
      <c r="J20" s="103"/>
      <c r="K20" s="103"/>
      <c r="L20" s="103"/>
      <c r="M20" s="103"/>
      <c r="N20" s="103"/>
      <c r="O20" s="103"/>
      <c r="P20" s="103"/>
      <c r="Q20" s="103"/>
      <c r="R20" s="103"/>
      <c r="S20" s="103"/>
      <c r="T20" s="103"/>
      <c r="U20" s="103"/>
      <c r="V20" s="103"/>
      <c r="W20" s="103"/>
    </row>
    <row r="21" spans="2:23">
      <c r="B21" s="171" t="s">
        <v>1559</v>
      </c>
      <c r="C21" s="103">
        <v>21</v>
      </c>
      <c r="D21" s="103"/>
      <c r="E21" s="122"/>
      <c r="F21" s="103"/>
      <c r="G21" s="103" cm="1">
        <f t="array" aca="1" ref="G21" ca="1">SUM(IF(IF(G3:G20="null",1,G3:G20)=1,1,0))/COUNT(IF(G3:G20="null",1,1))</f>
        <v>0.83333333333333337</v>
      </c>
      <c r="H21" s="103"/>
      <c r="I21" s="103"/>
      <c r="J21" s="103"/>
      <c r="K21" s="103"/>
      <c r="L21" s="103"/>
      <c r="M21" s="103"/>
      <c r="N21" s="103"/>
      <c r="O21" s="103"/>
      <c r="P21" s="103"/>
      <c r="Q21" s="103"/>
      <c r="R21" s="103"/>
      <c r="S21" s="103"/>
      <c r="T21" s="103"/>
      <c r="U21" s="103"/>
      <c r="V21" s="103"/>
      <c r="W21" s="103"/>
    </row>
    <row r="22" spans="2:23">
      <c r="B22" s="103"/>
      <c r="C22" s="103"/>
      <c r="D22" s="103"/>
      <c r="E22" s="122"/>
      <c r="F22" s="103"/>
      <c r="G22" s="103"/>
      <c r="H22" s="103"/>
      <c r="I22" s="103"/>
      <c r="J22" s="103"/>
      <c r="K22" s="103"/>
      <c r="L22" s="103"/>
      <c r="M22" s="103"/>
      <c r="N22" s="103"/>
      <c r="O22" s="103"/>
      <c r="P22" s="103"/>
      <c r="Q22" s="103"/>
      <c r="R22" s="103"/>
      <c r="S22" s="103"/>
      <c r="T22" s="103"/>
    </row>
    <row r="23" spans="2:23">
      <c r="B23" s="112" t="s">
        <v>1600</v>
      </c>
    </row>
    <row r="24" spans="2:23">
      <c r="B24" s="113" t="s">
        <v>1601</v>
      </c>
      <c r="C24" s="114" t="s">
        <v>1563</v>
      </c>
      <c r="D24" s="114" t="s">
        <v>1564</v>
      </c>
      <c r="E24" s="114" t="s">
        <v>1565</v>
      </c>
      <c r="F24" s="114" t="s">
        <v>1566</v>
      </c>
      <c r="G24" s="114" t="s">
        <v>1567</v>
      </c>
      <c r="H24" s="114" t="s">
        <v>1568</v>
      </c>
      <c r="I24" s="141" t="str" cm="1">
        <f t="array" ref="I24:W24">TRANSPOSE(_xlfn.SORTBY(_xlfn._xlws.FILTER(Table2[NOME FÍSICO CAMPO],Table2[NOME FÍSICO TABELA]="current_account_transaction"), _xlfn._xlws.FILTER(Table2[ORDEM], Table2[NOME FÍSICO TABELA]="current_account_transaction"), 1))</f>
        <v>bank_id</v>
      </c>
      <c r="J24" s="141" t="str">
        <v>contract_id</v>
      </c>
      <c r="K24" s="141" t="str">
        <v>order_number</v>
      </c>
      <c r="L24" s="141" t="str">
        <v>order_number_stage</v>
      </c>
      <c r="M24" s="141" t="str">
        <v>transaction_type_code</v>
      </c>
      <c r="N24" s="141" t="str">
        <v>transaction_execution_date</v>
      </c>
      <c r="O24" s="141" t="str">
        <v>amount</v>
      </c>
      <c r="P24" s="141" t="str">
        <v>financial_flow_indicator</v>
      </c>
      <c r="Q24" s="141" t="str">
        <v>currency_code</v>
      </c>
      <c r="R24" s="141" t="str">
        <v>transaction_date</v>
      </c>
      <c r="S24" s="141" t="str">
        <v>description</v>
      </c>
      <c r="T24" s="142" t="str">
        <v>comment</v>
      </c>
      <c r="U24" s="142" t="str">
        <v>source_code</v>
      </c>
      <c r="V24" s="142" t="str">
        <v>data_date_part</v>
      </c>
      <c r="W24" s="142" t="str">
        <v>data_timestamp_part</v>
      </c>
    </row>
    <row r="25" spans="2:23">
      <c r="B25" s="106" t="s">
        <v>1602</v>
      </c>
      <c r="C25" s="119">
        <v>21</v>
      </c>
      <c r="D25" s="108" t="s">
        <v>1603</v>
      </c>
      <c r="E25" s="107" t="s">
        <v>1604</v>
      </c>
      <c r="F25" s="107" t="s">
        <v>1051</v>
      </c>
      <c r="G25" s="107" t="s">
        <v>1051</v>
      </c>
      <c r="H25" s="107" t="s">
        <v>1051</v>
      </c>
      <c r="I25" s="107" t="str" cm="1">
        <f t="array" aca="1" ref="I25:W26" ca="1">TRANSPOSE(_xlfn.SORTBY(_xlfn._xlws.FILTER(IF(Table2[FORMATO]:Table2[COMP_ CAMPO]&lt;&gt;"",Table2[FORMATO]:Table2[COMP_ CAMPO],9999999),Table2[NOME FÍSICO TABELA]="current_account_transaction"), _xlfn._xlws.FILTER(Table2[ORDEM], Table2[NOME FÍSICO TABELA]="current_account_transaction"), 1))</f>
        <v>STRING</v>
      </c>
      <c r="J25" s="107" t="str">
        <f ca="1"/>
        <v>STRING</v>
      </c>
      <c r="K25" s="107" t="str">
        <f ca="1"/>
        <v>BIGINT</v>
      </c>
      <c r="L25" s="107" t="str">
        <f ca="1"/>
        <v>BIGINT</v>
      </c>
      <c r="M25" s="107" t="str">
        <f ca="1"/>
        <v>STRING</v>
      </c>
      <c r="N25" s="107" t="str">
        <f ca="1"/>
        <v>STRING</v>
      </c>
      <c r="O25" s="107" t="str">
        <f ca="1"/>
        <v>DECIMAL</v>
      </c>
      <c r="P25" s="107" t="str">
        <f ca="1"/>
        <v>STRING</v>
      </c>
      <c r="Q25" s="107" t="str">
        <f ca="1"/>
        <v>STRING</v>
      </c>
      <c r="R25" s="107" t="str">
        <f ca="1"/>
        <v>STRING</v>
      </c>
      <c r="S25" s="107" t="str">
        <f ca="1"/>
        <v>STRING</v>
      </c>
      <c r="T25" s="107" t="str">
        <f ca="1"/>
        <v>STRING</v>
      </c>
      <c r="U25" s="107" t="str">
        <f ca="1"/>
        <v>STRING</v>
      </c>
      <c r="V25" s="107" t="str">
        <f ca="1"/>
        <v>STRING</v>
      </c>
      <c r="W25" s="118" t="str">
        <f ca="1"/>
        <v>TIMESTAMP</v>
      </c>
    </row>
    <row r="26" spans="2:23">
      <c r="B26" s="106" t="s">
        <v>1605</v>
      </c>
      <c r="C26" s="119">
        <v>7</v>
      </c>
      <c r="D26" s="108" t="s">
        <v>1603</v>
      </c>
      <c r="E26" s="107" t="s">
        <v>1604</v>
      </c>
      <c r="F26" s="107" t="s">
        <v>1051</v>
      </c>
      <c r="G26" s="107" t="s">
        <v>1051</v>
      </c>
      <c r="H26" s="107" t="s">
        <v>1051</v>
      </c>
      <c r="I26" s="119">
        <f ca="1"/>
        <v>3</v>
      </c>
      <c r="J26" s="119">
        <f ca="1"/>
        <v>30</v>
      </c>
      <c r="K26" s="119">
        <f ca="1"/>
        <v>9999999</v>
      </c>
      <c r="L26" s="119">
        <f ca="1"/>
        <v>9999999</v>
      </c>
      <c r="M26" s="119">
        <f ca="1"/>
        <v>20</v>
      </c>
      <c r="N26" s="119">
        <f ca="1"/>
        <v>10</v>
      </c>
      <c r="O26" s="119">
        <f ca="1"/>
        <v>23</v>
      </c>
      <c r="P26" s="119">
        <f ca="1"/>
        <v>4</v>
      </c>
      <c r="Q26" s="119">
        <f ca="1"/>
        <v>3</v>
      </c>
      <c r="R26" s="119">
        <f ca="1"/>
        <v>10</v>
      </c>
      <c r="S26" s="119">
        <f ca="1"/>
        <v>9999999</v>
      </c>
      <c r="T26" s="119">
        <f ca="1"/>
        <v>9999999</v>
      </c>
      <c r="U26" s="107">
        <f ca="1"/>
        <v>3</v>
      </c>
      <c r="V26" s="107">
        <f ca="1"/>
        <v>10</v>
      </c>
      <c r="W26" s="118">
        <f ca="1"/>
        <v>23</v>
      </c>
    </row>
    <row r="29" spans="2:23">
      <c r="B29" s="129" t="s">
        <v>1606</v>
      </c>
    </row>
    <row r="30" spans="2:23">
      <c r="B30" s="138" t="s">
        <v>1607</v>
      </c>
      <c r="C30" s="138" t="s">
        <v>1608</v>
      </c>
      <c r="D30" s="139" t="s">
        <v>1609</v>
      </c>
      <c r="E30" s="138" t="s">
        <v>1610</v>
      </c>
      <c r="F30" s="138" t="s">
        <v>1611</v>
      </c>
      <c r="I30" s="194"/>
    </row>
    <row r="31" spans="2:23" ht="75" customHeight="1">
      <c r="B31" s="136" t="s">
        <v>1612</v>
      </c>
      <c r="C31" s="88" t="s">
        <v>753</v>
      </c>
      <c r="D31" s="88" t="s">
        <v>1613</v>
      </c>
      <c r="E31" s="88" t="s">
        <v>1614</v>
      </c>
      <c r="F31" s="137" t="s">
        <v>1615</v>
      </c>
      <c r="I31" s="193"/>
    </row>
    <row r="32" spans="2:23" ht="79.5" customHeight="1">
      <c r="B32" s="140" t="s">
        <v>1612</v>
      </c>
      <c r="C32" s="92" t="s">
        <v>765</v>
      </c>
      <c r="D32" s="88" t="s">
        <v>1616</v>
      </c>
      <c r="E32" s="88" t="s">
        <v>1614</v>
      </c>
      <c r="F32" s="137" t="s">
        <v>1617</v>
      </c>
      <c r="I32" s="193"/>
    </row>
    <row r="33" spans="1:6" ht="30.75">
      <c r="B33" s="140" t="s">
        <v>1618</v>
      </c>
      <c r="C33" s="92" t="s">
        <v>1029</v>
      </c>
      <c r="D33" s="92" t="s">
        <v>1619</v>
      </c>
      <c r="E33" s="88" t="s">
        <v>1620</v>
      </c>
      <c r="F33" s="82" t="s">
        <v>1617</v>
      </c>
    </row>
    <row r="34" spans="1:6" ht="30.75">
      <c r="A34" t="s">
        <v>6</v>
      </c>
      <c r="B34" s="140" t="s">
        <v>1618</v>
      </c>
      <c r="C34" s="92" t="s">
        <v>1038</v>
      </c>
      <c r="D34" s="92" t="s">
        <v>1621</v>
      </c>
      <c r="E34" s="88" t="s">
        <v>1622</v>
      </c>
      <c r="F34" s="82" t="s">
        <v>1617</v>
      </c>
    </row>
    <row r="35" spans="1:6" ht="76.5">
      <c r="B35" s="140" t="s">
        <v>1623</v>
      </c>
      <c r="C35" s="88" t="s">
        <v>753</v>
      </c>
      <c r="D35" s="88" t="s">
        <v>1613</v>
      </c>
      <c r="E35" s="88" t="s">
        <v>1614</v>
      </c>
      <c r="F35" s="82" t="s">
        <v>1617</v>
      </c>
    </row>
    <row r="36" spans="1:6" ht="76.5">
      <c r="B36" s="140" t="s">
        <v>1623</v>
      </c>
      <c r="C36" s="92" t="s">
        <v>765</v>
      </c>
      <c r="D36" s="88" t="s">
        <v>1616</v>
      </c>
      <c r="E36" s="88" t="s">
        <v>1614</v>
      </c>
      <c r="F36" s="137" t="s">
        <v>1617</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2"/>
  <sheetViews>
    <sheetView showGridLines="0" workbookViewId="0">
      <selection activeCell="G8" sqref="G8"/>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94" t="s">
        <v>1601</v>
      </c>
      <c r="C2" s="94" t="s">
        <v>1563</v>
      </c>
      <c r="D2" s="94" t="s">
        <v>1564</v>
      </c>
      <c r="E2" s="94" t="s">
        <v>1565</v>
      </c>
      <c r="F2" s="94" t="s">
        <v>1566</v>
      </c>
      <c r="G2" s="94" t="s">
        <v>1567</v>
      </c>
      <c r="H2" s="94" t="s">
        <v>1568</v>
      </c>
      <c r="I2" s="94" t="s">
        <v>691</v>
      </c>
      <c r="J2" s="94" t="s">
        <v>706</v>
      </c>
      <c r="K2" s="94" t="s">
        <v>716</v>
      </c>
      <c r="L2" s="94" t="s">
        <v>727</v>
      </c>
      <c r="M2" s="94" t="s">
        <v>753</v>
      </c>
      <c r="N2" s="94" t="s">
        <v>765</v>
      </c>
      <c r="O2" s="94" t="s">
        <v>776</v>
      </c>
      <c r="P2" s="94" t="s">
        <v>735</v>
      </c>
      <c r="Q2" s="94" t="s">
        <v>789</v>
      </c>
      <c r="R2" s="94" t="s">
        <v>744</v>
      </c>
      <c r="S2" s="94" t="s">
        <v>796</v>
      </c>
      <c r="T2" s="94" t="s">
        <v>804</v>
      </c>
      <c r="U2" s="94" t="s">
        <v>811</v>
      </c>
    </row>
    <row r="3" spans="2:21">
      <c r="B3" s="147" t="s">
        <v>1516</v>
      </c>
      <c r="C3" s="103">
        <v>1</v>
      </c>
      <c r="D3" s="103" t="s">
        <v>1624</v>
      </c>
      <c r="E3" s="122">
        <v>45433</v>
      </c>
      <c r="F3" s="103">
        <v>1</v>
      </c>
      <c r="G3" s="151">
        <v>1</v>
      </c>
      <c r="H3" s="173" t="s">
        <v>1625</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row>
    <row r="4" spans="2:21">
      <c r="B4" s="147" t="s">
        <v>1518</v>
      </c>
      <c r="C4" s="103">
        <v>2</v>
      </c>
      <c r="D4" s="103" t="s">
        <v>1626</v>
      </c>
      <c r="E4" s="122">
        <v>45433</v>
      </c>
      <c r="F4" s="103">
        <v>1</v>
      </c>
      <c r="G4" s="151">
        <v>1</v>
      </c>
      <c r="H4" s="103" t="s">
        <v>1582</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row>
    <row r="5" spans="2:21">
      <c r="B5" s="147" t="s">
        <v>1520</v>
      </c>
      <c r="C5" s="103">
        <v>3</v>
      </c>
      <c r="D5" s="103" t="s">
        <v>1627</v>
      </c>
      <c r="E5" s="122">
        <v>45433</v>
      </c>
      <c r="F5" s="103">
        <v>1</v>
      </c>
      <c r="G5" s="151">
        <v>0.8</v>
      </c>
      <c r="H5" s="103">
        <v>194</v>
      </c>
      <c r="I5" s="103">
        <v>0</v>
      </c>
      <c r="J5" s="103">
        <v>0</v>
      </c>
      <c r="K5" s="103">
        <v>0</v>
      </c>
      <c r="L5" s="103">
        <v>0</v>
      </c>
      <c r="M5" s="103">
        <v>194</v>
      </c>
      <c r="N5" s="103" t="s">
        <v>1570</v>
      </c>
      <c r="O5" s="103" t="s">
        <v>1570</v>
      </c>
      <c r="P5" s="103" t="s">
        <v>1570</v>
      </c>
      <c r="Q5" s="103" t="s">
        <v>1570</v>
      </c>
      <c r="R5" s="103" t="s">
        <v>1570</v>
      </c>
      <c r="S5" s="103" t="s">
        <v>1570</v>
      </c>
      <c r="T5" s="103" t="s">
        <v>1570</v>
      </c>
      <c r="U5" s="103" t="s">
        <v>1570</v>
      </c>
    </row>
    <row r="6" spans="2:21">
      <c r="B6" s="93" t="s">
        <v>1522</v>
      </c>
      <c r="C6" s="103">
        <v>4</v>
      </c>
      <c r="D6" s="103" t="s">
        <v>1627</v>
      </c>
      <c r="E6" s="122">
        <v>45433</v>
      </c>
      <c r="F6" s="103">
        <v>1</v>
      </c>
      <c r="G6" s="179" t="s">
        <v>1570</v>
      </c>
      <c r="H6" s="103"/>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row>
    <row r="7" spans="2:21">
      <c r="B7" s="93" t="s">
        <v>1524</v>
      </c>
      <c r="C7" s="103">
        <v>5</v>
      </c>
      <c r="D7" s="103" t="s">
        <v>1627</v>
      </c>
      <c r="E7" s="122">
        <v>45433</v>
      </c>
      <c r="F7" s="103">
        <v>1</v>
      </c>
      <c r="G7" s="179" t="s">
        <v>1570</v>
      </c>
      <c r="H7" s="103"/>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row>
    <row r="8" spans="2:21">
      <c r="B8" s="178" t="s">
        <v>1525</v>
      </c>
      <c r="C8" s="103">
        <v>6</v>
      </c>
      <c r="D8" s="103" t="s">
        <v>1628</v>
      </c>
      <c r="E8" s="122">
        <v>45433</v>
      </c>
      <c r="F8" s="103">
        <v>1</v>
      </c>
      <c r="G8" s="151" cm="1">
        <f t="array" ref="G8">SUMPRODUCT(--(I8:U8&gt;0))/COUNTA(I8:U8)</f>
        <v>1</v>
      </c>
      <c r="H8" s="103" t="s">
        <v>1582</v>
      </c>
      <c r="I8" s="103">
        <v>2</v>
      </c>
      <c r="J8" s="103">
        <v>30</v>
      </c>
      <c r="K8" s="103">
        <v>1</v>
      </c>
      <c r="L8" s="103">
        <v>1</v>
      </c>
      <c r="M8" s="103" t="s">
        <v>1576</v>
      </c>
      <c r="N8" s="103" t="s">
        <v>1576</v>
      </c>
      <c r="O8" s="103">
        <v>3</v>
      </c>
      <c r="P8" s="103">
        <v>10</v>
      </c>
      <c r="Q8" s="103">
        <v>10</v>
      </c>
      <c r="R8" s="103">
        <v>8</v>
      </c>
      <c r="S8" s="103">
        <v>2</v>
      </c>
      <c r="T8" s="103">
        <v>10</v>
      </c>
      <c r="U8" s="103">
        <v>23</v>
      </c>
    </row>
    <row r="9" spans="2:21">
      <c r="B9" s="147" t="s">
        <v>1528</v>
      </c>
      <c r="C9" s="103">
        <v>7</v>
      </c>
      <c r="D9" s="103" t="s">
        <v>1629</v>
      </c>
      <c r="E9" s="122">
        <v>45433</v>
      </c>
      <c r="F9" s="103">
        <v>1</v>
      </c>
      <c r="G9" s="151" cm="1">
        <f t="array" aca="1" ref="G9" ca="1">SUMPRODUCT(--(I9:U9&lt;=I26:U26))/COUNTA(I26:U26)</f>
        <v>1</v>
      </c>
      <c r="H9" s="103" t="s">
        <v>1582</v>
      </c>
      <c r="I9" s="103">
        <v>2</v>
      </c>
      <c r="J9" s="103">
        <v>30</v>
      </c>
      <c r="K9" s="103">
        <v>4</v>
      </c>
      <c r="L9" s="103">
        <v>1</v>
      </c>
      <c r="M9" s="103"/>
      <c r="N9" s="103"/>
      <c r="O9" s="103">
        <v>3</v>
      </c>
      <c r="P9" s="103">
        <v>10</v>
      </c>
      <c r="Q9" s="103">
        <v>10</v>
      </c>
      <c r="R9" s="103">
        <v>12</v>
      </c>
      <c r="S9" s="103">
        <v>2</v>
      </c>
      <c r="T9" s="103">
        <v>10</v>
      </c>
      <c r="U9" s="103">
        <v>23</v>
      </c>
    </row>
    <row r="10" spans="2:21">
      <c r="B10" s="147" t="s">
        <v>1531</v>
      </c>
      <c r="C10" s="103">
        <v>8</v>
      </c>
      <c r="D10" s="103" t="s">
        <v>1630</v>
      </c>
      <c r="E10" s="122">
        <v>45433</v>
      </c>
      <c r="F10" s="103">
        <v>1</v>
      </c>
      <c r="G10" s="179" t="s">
        <v>1570</v>
      </c>
      <c r="H10" s="103" t="s">
        <v>1582</v>
      </c>
      <c r="I10" s="103">
        <v>31</v>
      </c>
      <c r="J10" s="103">
        <v>3.1007493209106897E+26</v>
      </c>
      <c r="K10" s="103">
        <v>1</v>
      </c>
      <c r="L10" s="103">
        <v>1</v>
      </c>
      <c r="M10" s="103" t="s">
        <v>1576</v>
      </c>
      <c r="N10" s="103" t="s">
        <v>1576</v>
      </c>
      <c r="O10" s="103">
        <v>978</v>
      </c>
      <c r="P10" s="122">
        <v>45429</v>
      </c>
      <c r="Q10" s="122">
        <v>45433</v>
      </c>
      <c r="R10" s="103" t="s">
        <v>1631</v>
      </c>
      <c r="S10" s="103" t="s">
        <v>1632</v>
      </c>
      <c r="T10" s="122">
        <v>45433</v>
      </c>
      <c r="U10" s="103" t="s">
        <v>1633</v>
      </c>
    </row>
    <row r="11" spans="2:21">
      <c r="B11" s="147" t="s">
        <v>1533</v>
      </c>
      <c r="C11" s="103">
        <v>9</v>
      </c>
      <c r="D11" s="103" t="s">
        <v>1634</v>
      </c>
      <c r="E11" s="122">
        <v>45433</v>
      </c>
      <c r="F11" s="103">
        <v>1</v>
      </c>
      <c r="G11" s="179" t="s">
        <v>1570</v>
      </c>
      <c r="H11" s="103" t="s">
        <v>1582</v>
      </c>
      <c r="I11" s="103">
        <v>31</v>
      </c>
      <c r="J11" s="103">
        <v>3.1007493209106897E+26</v>
      </c>
      <c r="K11" s="103">
        <v>1</v>
      </c>
      <c r="L11" s="103">
        <v>1</v>
      </c>
      <c r="M11" s="103" t="s">
        <v>1576</v>
      </c>
      <c r="N11" s="103" t="s">
        <v>1576</v>
      </c>
      <c r="O11" s="103">
        <v>978</v>
      </c>
      <c r="P11" s="122">
        <v>45429</v>
      </c>
      <c r="Q11" s="122">
        <v>45433</v>
      </c>
      <c r="R11" s="103" t="s">
        <v>1631</v>
      </c>
      <c r="S11" s="103" t="s">
        <v>1632</v>
      </c>
      <c r="T11" s="122">
        <v>45433</v>
      </c>
      <c r="U11" s="103" t="s">
        <v>1635</v>
      </c>
    </row>
    <row r="12" spans="2:21">
      <c r="B12" s="170" t="s">
        <v>1535</v>
      </c>
      <c r="C12" s="103">
        <v>10</v>
      </c>
      <c r="D12" s="103" t="s">
        <v>1636</v>
      </c>
      <c r="E12" s="122">
        <v>45433</v>
      </c>
      <c r="F12" s="103">
        <v>1</v>
      </c>
      <c r="G12" s="179" t="s">
        <v>1570</v>
      </c>
      <c r="H12" s="103" t="s">
        <v>1582</v>
      </c>
      <c r="I12" s="103">
        <v>31</v>
      </c>
      <c r="J12" s="103">
        <v>5.1760000102709099E+29</v>
      </c>
      <c r="K12" s="103">
        <v>9380</v>
      </c>
      <c r="L12" s="103">
        <v>8</v>
      </c>
      <c r="M12" s="103" t="s">
        <v>1576</v>
      </c>
      <c r="N12" s="103" t="s">
        <v>1576</v>
      </c>
      <c r="O12" s="122">
        <v>978</v>
      </c>
      <c r="P12" s="122">
        <v>45433</v>
      </c>
      <c r="Q12" s="122">
        <v>45433</v>
      </c>
      <c r="R12" s="123">
        <v>91644620000</v>
      </c>
      <c r="S12" s="122" t="s">
        <v>1632</v>
      </c>
      <c r="T12" s="122">
        <v>45433</v>
      </c>
      <c r="U12" s="103" t="s">
        <v>1633</v>
      </c>
    </row>
    <row r="13" spans="2:21">
      <c r="B13" s="147" t="s">
        <v>1537</v>
      </c>
      <c r="C13" s="103">
        <v>11</v>
      </c>
      <c r="D13" s="103" t="s">
        <v>1637</v>
      </c>
      <c r="E13" s="122">
        <v>45433</v>
      </c>
      <c r="F13" s="103">
        <v>1</v>
      </c>
      <c r="G13" s="179" t="s">
        <v>1570</v>
      </c>
      <c r="H13" s="103" t="s">
        <v>1582</v>
      </c>
      <c r="I13" s="103">
        <v>31</v>
      </c>
      <c r="J13" s="103">
        <v>5.1760000102709099E+29</v>
      </c>
      <c r="K13" s="103">
        <v>9380</v>
      </c>
      <c r="L13" s="103">
        <v>8</v>
      </c>
      <c r="M13" s="103" t="s">
        <v>1576</v>
      </c>
      <c r="N13" s="103" t="s">
        <v>1576</v>
      </c>
      <c r="O13" s="122">
        <v>978</v>
      </c>
      <c r="P13" s="122">
        <v>45433</v>
      </c>
      <c r="Q13" s="122">
        <v>45433</v>
      </c>
      <c r="R13" s="123">
        <v>91644620000</v>
      </c>
      <c r="S13" s="122" t="s">
        <v>1632</v>
      </c>
      <c r="T13" s="122">
        <v>45433</v>
      </c>
      <c r="U13" s="103" t="s">
        <v>1638</v>
      </c>
    </row>
    <row r="14" spans="2:21">
      <c r="B14" s="147" t="s">
        <v>1539</v>
      </c>
      <c r="C14" s="103">
        <v>12</v>
      </c>
      <c r="D14" s="103" t="s">
        <v>1639</v>
      </c>
      <c r="E14" s="122">
        <v>45433</v>
      </c>
      <c r="F14" s="103">
        <v>1</v>
      </c>
      <c r="G14" s="151">
        <v>0.85</v>
      </c>
      <c r="H14" s="103" t="s">
        <v>1582</v>
      </c>
      <c r="I14" s="103">
        <v>0</v>
      </c>
      <c r="J14" s="103">
        <v>0</v>
      </c>
      <c r="K14" s="103">
        <v>0</v>
      </c>
      <c r="L14" s="103">
        <v>0</v>
      </c>
      <c r="M14" s="103">
        <v>194</v>
      </c>
      <c r="N14" s="103">
        <v>194</v>
      </c>
      <c r="O14" s="103">
        <v>0</v>
      </c>
      <c r="P14" s="103">
        <v>0</v>
      </c>
      <c r="Q14" s="123">
        <v>0</v>
      </c>
      <c r="R14" s="123">
        <v>0</v>
      </c>
      <c r="S14" s="103">
        <v>0</v>
      </c>
      <c r="T14" s="103">
        <v>0</v>
      </c>
      <c r="U14" s="103">
        <v>0</v>
      </c>
    </row>
    <row r="15" spans="2:21">
      <c r="B15" s="147" t="s">
        <v>1541</v>
      </c>
      <c r="C15" s="103">
        <v>13</v>
      </c>
      <c r="D15" s="103" t="s">
        <v>1640</v>
      </c>
      <c r="E15" s="122">
        <v>45433</v>
      </c>
      <c r="F15" s="103">
        <v>1</v>
      </c>
      <c r="G15" s="151">
        <v>1</v>
      </c>
      <c r="H15" s="103" t="s">
        <v>1582</v>
      </c>
      <c r="I15" s="103" t="s">
        <v>1570</v>
      </c>
      <c r="J15" s="103" t="s">
        <v>1570</v>
      </c>
      <c r="K15" s="103" t="s">
        <v>1570</v>
      </c>
      <c r="L15" s="103" t="s">
        <v>1570</v>
      </c>
      <c r="M15" s="103" t="s">
        <v>1570</v>
      </c>
      <c r="N15" s="103" t="s">
        <v>1570</v>
      </c>
      <c r="O15" s="122" t="s">
        <v>1570</v>
      </c>
      <c r="P15" s="103">
        <v>0</v>
      </c>
      <c r="Q15" s="103">
        <v>0</v>
      </c>
      <c r="R15" s="103" t="s">
        <v>1570</v>
      </c>
      <c r="S15" s="122" t="s">
        <v>1570</v>
      </c>
      <c r="T15" s="122" t="s">
        <v>1570</v>
      </c>
      <c r="U15" s="103" t="s">
        <v>1570</v>
      </c>
    </row>
    <row r="16" spans="2:21">
      <c r="B16" s="147" t="s">
        <v>1543</v>
      </c>
      <c r="C16" s="103">
        <v>14</v>
      </c>
      <c r="D16" s="103" t="s">
        <v>1641</v>
      </c>
      <c r="E16" s="122">
        <v>45433</v>
      </c>
      <c r="F16" s="103">
        <v>1</v>
      </c>
      <c r="G16" s="151">
        <v>1</v>
      </c>
      <c r="H16" s="103" t="s">
        <v>1582</v>
      </c>
      <c r="I16" s="103">
        <v>0</v>
      </c>
      <c r="J16" s="103">
        <v>0</v>
      </c>
      <c r="K16" s="103" t="s">
        <v>1570</v>
      </c>
      <c r="L16" s="103" t="s">
        <v>1570</v>
      </c>
      <c r="M16" s="103">
        <v>0</v>
      </c>
      <c r="N16" s="103" t="s">
        <v>1570</v>
      </c>
      <c r="O16" s="103">
        <v>0</v>
      </c>
      <c r="P16" s="103" t="s">
        <v>1570</v>
      </c>
      <c r="Q16" s="103" t="s">
        <v>1570</v>
      </c>
      <c r="R16" s="103" t="s">
        <v>1570</v>
      </c>
      <c r="S16" s="103">
        <v>0</v>
      </c>
      <c r="T16" s="103" t="s">
        <v>1570</v>
      </c>
      <c r="U16" s="103" t="s">
        <v>1570</v>
      </c>
    </row>
    <row r="17" spans="2:21">
      <c r="B17" s="181" t="s">
        <v>1545</v>
      </c>
      <c r="C17" s="103">
        <v>15</v>
      </c>
      <c r="D17" s="103" t="s">
        <v>1642</v>
      </c>
      <c r="E17" s="122">
        <v>45433</v>
      </c>
      <c r="F17" s="103">
        <v>1</v>
      </c>
      <c r="G17" s="151">
        <v>1</v>
      </c>
      <c r="H17" s="103" t="s">
        <v>1582</v>
      </c>
      <c r="I17" s="103" t="s">
        <v>1570</v>
      </c>
      <c r="J17" s="103" t="s">
        <v>1570</v>
      </c>
      <c r="K17" s="103" t="s">
        <v>1570</v>
      </c>
      <c r="L17" s="103" t="s">
        <v>1570</v>
      </c>
      <c r="M17" s="103" t="s">
        <v>1570</v>
      </c>
      <c r="N17" s="103" t="s">
        <v>1570</v>
      </c>
      <c r="O17" s="93" t="s">
        <v>1570</v>
      </c>
      <c r="P17" s="93" t="s">
        <v>1570</v>
      </c>
      <c r="Q17" s="93" t="s">
        <v>1570</v>
      </c>
      <c r="R17" s="103" t="s">
        <v>1570</v>
      </c>
      <c r="S17" s="103" t="s">
        <v>1570</v>
      </c>
      <c r="T17" s="103" t="s">
        <v>1570</v>
      </c>
      <c r="U17" s="103" t="s">
        <v>1570</v>
      </c>
    </row>
    <row r="18" spans="2:21">
      <c r="B18" s="181" t="s">
        <v>1547</v>
      </c>
      <c r="C18" s="103">
        <v>16</v>
      </c>
      <c r="D18" s="103" t="s">
        <v>1642</v>
      </c>
      <c r="E18" s="122">
        <v>45433</v>
      </c>
      <c r="F18" s="103">
        <v>1</v>
      </c>
      <c r="G18" s="151">
        <v>1</v>
      </c>
      <c r="H18" s="103" t="s">
        <v>1582</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row>
    <row r="19" spans="2:21">
      <c r="B19" s="147" t="s">
        <v>1553</v>
      </c>
      <c r="C19" s="103">
        <v>19</v>
      </c>
      <c r="D19" s="103" t="s">
        <v>1643</v>
      </c>
      <c r="E19" s="122">
        <v>45433</v>
      </c>
      <c r="F19" s="103">
        <v>1</v>
      </c>
      <c r="G19" s="151" cm="1">
        <f t="array" aca="1" ref="G19" ca="1">SUMPRODUCT(--(ISNUMBER((SEARCH(I25:U25,I19:U19)))))/COUNTA(I19:U19)</f>
        <v>1</v>
      </c>
      <c r="H19" s="103" t="s">
        <v>1582</v>
      </c>
      <c r="I19" s="103" t="s">
        <v>1596</v>
      </c>
      <c r="J19" s="103" t="s">
        <v>1596</v>
      </c>
      <c r="K19" s="103" t="s">
        <v>1597</v>
      </c>
      <c r="L19" s="103" t="s">
        <v>1597</v>
      </c>
      <c r="M19" s="103" t="s">
        <v>1596</v>
      </c>
      <c r="N19" s="103" t="s">
        <v>1596</v>
      </c>
      <c r="O19" s="103" t="s">
        <v>1596</v>
      </c>
      <c r="P19" s="103" t="s">
        <v>1596</v>
      </c>
      <c r="Q19" s="103" t="s">
        <v>1596</v>
      </c>
      <c r="R19" s="103" t="s">
        <v>1598</v>
      </c>
      <c r="S19" s="103" t="s">
        <v>1596</v>
      </c>
      <c r="T19" s="103" t="s">
        <v>1596</v>
      </c>
      <c r="U19" s="103" t="s">
        <v>1599</v>
      </c>
    </row>
    <row r="20" spans="2:21">
      <c r="B20" s="147" t="s">
        <v>1556</v>
      </c>
      <c r="C20" s="148">
        <v>20</v>
      </c>
      <c r="D20" s="103" t="s">
        <v>1643</v>
      </c>
      <c r="E20" s="122">
        <v>45433</v>
      </c>
      <c r="F20" s="103">
        <v>1</v>
      </c>
      <c r="G20" s="151" cm="1">
        <f t="array" ref="G20">SUM(IF(I2:U2 = I24:U24, 1, 0))/ COUNTA(I2:U2)</f>
        <v>1</v>
      </c>
      <c r="H20" s="103" t="s">
        <v>1582</v>
      </c>
      <c r="I20" s="103" t="s">
        <v>1570</v>
      </c>
      <c r="J20" s="103" t="s">
        <v>1570</v>
      </c>
      <c r="K20" s="103" t="s">
        <v>1570</v>
      </c>
      <c r="L20" s="103" t="s">
        <v>1570</v>
      </c>
      <c r="M20" s="103" t="s">
        <v>1570</v>
      </c>
      <c r="N20" s="103" t="s">
        <v>1570</v>
      </c>
      <c r="O20" s="103" t="s">
        <v>1570</v>
      </c>
      <c r="P20" s="103" t="s">
        <v>1570</v>
      </c>
      <c r="Q20" s="103" t="s">
        <v>1570</v>
      </c>
      <c r="R20" s="103" t="s">
        <v>1570</v>
      </c>
      <c r="S20" s="103" t="s">
        <v>1570</v>
      </c>
      <c r="T20" s="103" t="s">
        <v>1570</v>
      </c>
      <c r="U20" s="103" t="s">
        <v>1570</v>
      </c>
    </row>
    <row r="21" spans="2:21">
      <c r="B21" s="171" t="s">
        <v>1559</v>
      </c>
      <c r="C21" s="149">
        <v>21</v>
      </c>
      <c r="D21" s="103" t="s">
        <v>1643</v>
      </c>
      <c r="E21" s="122">
        <v>45433</v>
      </c>
      <c r="F21" s="103">
        <v>1</v>
      </c>
      <c r="G21" s="151" cm="1">
        <f t="array" aca="1" ref="G21" ca="1">SUM(IF(IF(G3:G20="null",1,G3:G20)=1,1,0))/COUNT(IF(G3:G20="null",1,1))</f>
        <v>0.88888888888888884</v>
      </c>
      <c r="H21" s="103"/>
      <c r="I21" s="103" t="s">
        <v>1570</v>
      </c>
      <c r="J21" s="103" t="s">
        <v>1570</v>
      </c>
      <c r="K21" s="103" t="s">
        <v>1570</v>
      </c>
      <c r="L21" s="103" t="s">
        <v>1570</v>
      </c>
      <c r="M21" s="103" t="s">
        <v>1570</v>
      </c>
      <c r="N21" s="103" t="s">
        <v>1570</v>
      </c>
      <c r="O21" s="103" t="s">
        <v>1570</v>
      </c>
      <c r="P21" s="103" t="s">
        <v>1570</v>
      </c>
      <c r="Q21" s="103" t="s">
        <v>1570</v>
      </c>
      <c r="R21" s="103" t="s">
        <v>1570</v>
      </c>
      <c r="S21" s="103" t="s">
        <v>1570</v>
      </c>
      <c r="T21" s="103" t="s">
        <v>1570</v>
      </c>
      <c r="U21" s="103" t="s">
        <v>1570</v>
      </c>
    </row>
    <row r="23" spans="2:21">
      <c r="B23" s="121" t="s">
        <v>1600</v>
      </c>
    </row>
    <row r="24" spans="2:21">
      <c r="B24" s="109" t="s">
        <v>1601</v>
      </c>
      <c r="C24" s="110" t="s">
        <v>1563</v>
      </c>
      <c r="D24" s="110" t="s">
        <v>1564</v>
      </c>
      <c r="E24" s="110" t="s">
        <v>1565</v>
      </c>
      <c r="F24" s="117" t="s">
        <v>1566</v>
      </c>
      <c r="G24" s="117" t="s">
        <v>1567</v>
      </c>
      <c r="H24" s="117" t="s">
        <v>1568</v>
      </c>
      <c r="I24" s="117" t="str" cm="1">
        <f t="array" ref="I24:U24">TRANSPOSE(_xlfn.SORTBY(_xlfn._xlws.FILTER(Table2[NOME FÍSICO CAMPO],Table2[NOME FÍSICO TABELA]="bills_promissory_notes_transaction"), _xlfn._xlws.FILTER(Table2[ORDEM], Table2[NOME FÍSICO TABELA]="bills_promissory_notes_transaction"), 1))</f>
        <v>bank_id</v>
      </c>
      <c r="J24" s="117" t="str">
        <v>contract_id</v>
      </c>
      <c r="K24" s="117" t="str">
        <v>order_number</v>
      </c>
      <c r="L24" s="117" t="str">
        <v>order_number_stage</v>
      </c>
      <c r="M24" s="117" t="str">
        <v>transaction_type_code</v>
      </c>
      <c r="N24" s="117" t="str">
        <v>financial_flow_indicator</v>
      </c>
      <c r="O24" s="117" t="str">
        <v>currency_code</v>
      </c>
      <c r="P24" s="117" t="str">
        <v>transaction_date</v>
      </c>
      <c r="Q24" s="117" t="str">
        <v>transaction_execution_date</v>
      </c>
      <c r="R24" s="117" t="str">
        <v>amount</v>
      </c>
      <c r="S24" s="117" t="str">
        <v>source_code</v>
      </c>
      <c r="T24" s="117" t="str">
        <v>data_date_part</v>
      </c>
      <c r="U24" s="111" t="str">
        <v>data_timestamp_part</v>
      </c>
    </row>
    <row r="25" spans="2:21">
      <c r="B25" s="124" t="s">
        <v>1602</v>
      </c>
      <c r="C25" s="119">
        <v>21</v>
      </c>
      <c r="D25" s="125" t="s">
        <v>1603</v>
      </c>
      <c r="E25" s="119" t="s">
        <v>1604</v>
      </c>
      <c r="F25" s="119" t="s">
        <v>1051</v>
      </c>
      <c r="G25" s="119" t="s">
        <v>1051</v>
      </c>
      <c r="H25" s="119" t="s">
        <v>1051</v>
      </c>
      <c r="I25" s="119"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9" t="str">
        <f ca="1"/>
        <v>STRING</v>
      </c>
      <c r="K25" s="119" t="str">
        <f ca="1"/>
        <v>BIGINT</v>
      </c>
      <c r="L25" s="119" t="str">
        <f ca="1"/>
        <v>BIGINT</v>
      </c>
      <c r="M25" s="119" t="str">
        <f ca="1"/>
        <v>STRING</v>
      </c>
      <c r="N25" s="127" t="str">
        <f ca="1"/>
        <v>STRING</v>
      </c>
      <c r="O25" s="119" t="str">
        <f ca="1"/>
        <v>STRING</v>
      </c>
      <c r="P25" s="119" t="str">
        <f ca="1"/>
        <v>STRING</v>
      </c>
      <c r="Q25" s="119" t="str">
        <f ca="1"/>
        <v>STRING</v>
      </c>
      <c r="R25" s="119" t="str">
        <f ca="1"/>
        <v>DECIMAL</v>
      </c>
      <c r="S25" s="119" t="str">
        <f ca="1"/>
        <v>STRING</v>
      </c>
      <c r="T25" s="119" t="str">
        <f ca="1"/>
        <v>STRING</v>
      </c>
      <c r="U25" s="118" t="str">
        <f ca="1"/>
        <v>TIMESTAMP</v>
      </c>
    </row>
    <row r="26" spans="2:21">
      <c r="B26" s="126" t="s">
        <v>1605</v>
      </c>
      <c r="C26" s="127">
        <v>7</v>
      </c>
      <c r="D26" s="128" t="s">
        <v>1603</v>
      </c>
      <c r="E26" s="127" t="s">
        <v>1604</v>
      </c>
      <c r="F26" s="127" t="s">
        <v>1051</v>
      </c>
      <c r="G26" s="127" t="s">
        <v>1051</v>
      </c>
      <c r="H26" s="127" t="s">
        <v>1051</v>
      </c>
      <c r="I26" s="127">
        <f ca="1"/>
        <v>3</v>
      </c>
      <c r="J26" s="127">
        <f ca="1"/>
        <v>30</v>
      </c>
      <c r="K26" s="127">
        <f ca="1"/>
        <v>9999999</v>
      </c>
      <c r="L26" s="127">
        <f ca="1"/>
        <v>9999999</v>
      </c>
      <c r="M26" s="127">
        <f ca="1"/>
        <v>20</v>
      </c>
      <c r="N26" s="127">
        <f ca="1"/>
        <v>9999999</v>
      </c>
      <c r="O26" s="127">
        <f ca="1"/>
        <v>3</v>
      </c>
      <c r="P26" s="127">
        <f ca="1"/>
        <v>10</v>
      </c>
      <c r="Q26" s="127">
        <f ca="1"/>
        <v>10</v>
      </c>
      <c r="R26" s="127">
        <f ca="1"/>
        <v>23</v>
      </c>
      <c r="S26" s="127">
        <f ca="1"/>
        <v>3</v>
      </c>
      <c r="T26" s="127">
        <f ca="1"/>
        <v>10</v>
      </c>
      <c r="U26" s="120">
        <f ca="1"/>
        <v>23</v>
      </c>
    </row>
    <row r="28" spans="2:21">
      <c r="B28" s="129" t="s">
        <v>1606</v>
      </c>
    </row>
    <row r="29" spans="2:21">
      <c r="B29" s="130" t="s">
        <v>1607</v>
      </c>
      <c r="C29" s="130" t="s">
        <v>1608</v>
      </c>
      <c r="D29" s="131" t="s">
        <v>1609</v>
      </c>
      <c r="E29" s="130" t="s">
        <v>1610</v>
      </c>
      <c r="F29" s="130" t="s">
        <v>1611</v>
      </c>
    </row>
    <row r="30" spans="2:21" ht="76.5">
      <c r="B30" s="174" t="s">
        <v>1612</v>
      </c>
      <c r="C30" s="174" t="s">
        <v>765</v>
      </c>
      <c r="D30" s="92" t="s">
        <v>1644</v>
      </c>
      <c r="E30" s="175" t="s">
        <v>1645</v>
      </c>
      <c r="F30" s="174" t="s">
        <v>1617</v>
      </c>
    </row>
    <row r="31" spans="2:21" ht="76.5">
      <c r="B31" s="78" t="s">
        <v>1612</v>
      </c>
      <c r="C31" s="78" t="s">
        <v>753</v>
      </c>
      <c r="D31" s="88" t="s">
        <v>1646</v>
      </c>
      <c r="E31" s="175" t="s">
        <v>1645</v>
      </c>
      <c r="F31" s="78" t="s">
        <v>1617</v>
      </c>
    </row>
    <row r="32" spans="2:21" ht="76.5">
      <c r="B32" s="192" t="s">
        <v>1647</v>
      </c>
      <c r="C32" s="192" t="s">
        <v>753</v>
      </c>
      <c r="D32" s="88" t="s">
        <v>1646</v>
      </c>
      <c r="E32" s="180" t="s">
        <v>1645</v>
      </c>
      <c r="F32" s="192" t="s">
        <v>1617</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U57"/>
  <sheetViews>
    <sheetView showGridLines="0" topLeftCell="A4" workbookViewId="0">
      <selection activeCell="J31" sqref="J31"/>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02" t="s">
        <v>1562</v>
      </c>
      <c r="C2" s="102" t="s">
        <v>1563</v>
      </c>
      <c r="D2" s="102" t="s">
        <v>1564</v>
      </c>
      <c r="E2" s="102" t="s">
        <v>1565</v>
      </c>
      <c r="F2" s="102" t="s">
        <v>1566</v>
      </c>
      <c r="G2" s="102" t="s">
        <v>1567</v>
      </c>
      <c r="H2" s="102" t="s">
        <v>1568</v>
      </c>
      <c r="I2" s="102" t="s">
        <v>691</v>
      </c>
      <c r="J2" s="102" t="s">
        <v>706</v>
      </c>
      <c r="K2" s="102" t="s">
        <v>716</v>
      </c>
      <c r="L2" s="102" t="s">
        <v>727</v>
      </c>
      <c r="M2" s="102" t="s">
        <v>753</v>
      </c>
      <c r="N2" s="115" t="s">
        <v>735</v>
      </c>
      <c r="O2" s="102" t="s">
        <v>744</v>
      </c>
      <c r="P2" s="102" t="s">
        <v>765</v>
      </c>
      <c r="Q2" s="102" t="s">
        <v>776</v>
      </c>
      <c r="R2" s="102" t="s">
        <v>789</v>
      </c>
      <c r="S2" s="102" t="s">
        <v>796</v>
      </c>
      <c r="T2" s="102" t="s">
        <v>804</v>
      </c>
      <c r="U2" s="102" t="s">
        <v>811</v>
      </c>
    </row>
    <row r="3" spans="2:21">
      <c r="B3" s="147" t="s">
        <v>1516</v>
      </c>
      <c r="C3" s="103">
        <v>1</v>
      </c>
      <c r="D3" s="103" t="s">
        <v>1648</v>
      </c>
      <c r="E3" s="122">
        <v>45438</v>
      </c>
      <c r="F3" s="103">
        <v>1</v>
      </c>
      <c r="G3" s="182">
        <v>1</v>
      </c>
      <c r="H3" s="176">
        <v>301</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row>
    <row r="4" spans="2:21">
      <c r="B4" s="147" t="s">
        <v>1518</v>
      </c>
      <c r="C4" s="103">
        <v>2</v>
      </c>
      <c r="D4" s="103" t="s">
        <v>1649</v>
      </c>
      <c r="E4" s="122">
        <v>45438</v>
      </c>
      <c r="F4" s="103">
        <v>1</v>
      </c>
      <c r="G4" s="103">
        <v>1</v>
      </c>
      <c r="H4" s="123" t="s">
        <v>1572</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row>
    <row r="5" spans="2:21">
      <c r="B5" s="147" t="s">
        <v>1520</v>
      </c>
      <c r="C5" s="103">
        <v>3</v>
      </c>
      <c r="D5" s="103" t="s">
        <v>1650</v>
      </c>
      <c r="E5" s="122">
        <v>45438</v>
      </c>
      <c r="F5" s="103">
        <v>1</v>
      </c>
      <c r="G5" s="103" t="s">
        <v>1651</v>
      </c>
      <c r="H5" s="176">
        <v>301</v>
      </c>
      <c r="I5" s="103">
        <v>0</v>
      </c>
      <c r="J5" s="103">
        <v>0</v>
      </c>
      <c r="K5" s="103">
        <v>0</v>
      </c>
      <c r="L5" s="103">
        <v>0</v>
      </c>
      <c r="M5" s="103">
        <v>301</v>
      </c>
      <c r="N5" s="103">
        <v>0</v>
      </c>
      <c r="O5" s="103">
        <v>0</v>
      </c>
      <c r="P5" s="103" t="s">
        <v>1570</v>
      </c>
      <c r="Q5" s="103" t="s">
        <v>1570</v>
      </c>
      <c r="R5" s="103" t="s">
        <v>1570</v>
      </c>
      <c r="S5" s="103" t="s">
        <v>1570</v>
      </c>
      <c r="T5" s="103">
        <v>0</v>
      </c>
      <c r="U5" s="103" t="s">
        <v>1570</v>
      </c>
    </row>
    <row r="6" spans="2:21">
      <c r="B6" s="147" t="s">
        <v>1522</v>
      </c>
      <c r="C6" s="148">
        <v>4</v>
      </c>
      <c r="D6" s="103" t="s">
        <v>1650</v>
      </c>
      <c r="E6" s="122">
        <v>45438</v>
      </c>
      <c r="F6" s="103">
        <v>1</v>
      </c>
      <c r="G6" s="103" t="s">
        <v>1570</v>
      </c>
      <c r="H6" s="123"/>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row>
    <row r="7" spans="2:21">
      <c r="B7" s="147" t="s">
        <v>1524</v>
      </c>
      <c r="C7" s="148">
        <v>5</v>
      </c>
      <c r="D7" s="103" t="s">
        <v>1650</v>
      </c>
      <c r="E7" s="122">
        <v>45438</v>
      </c>
      <c r="F7" s="103">
        <v>1</v>
      </c>
      <c r="G7" s="103" t="s">
        <v>1570</v>
      </c>
      <c r="H7" s="123"/>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row>
    <row r="8" spans="2:21">
      <c r="B8" s="170" t="s">
        <v>1525</v>
      </c>
      <c r="C8" s="103">
        <v>6</v>
      </c>
      <c r="D8" s="103" t="s">
        <v>1652</v>
      </c>
      <c r="E8" s="122">
        <v>45438</v>
      </c>
      <c r="F8" s="103">
        <v>1</v>
      </c>
      <c r="G8" s="151" cm="1">
        <f t="array" ref="G8">SUMPRODUCT(--(I8:U8&gt;0))/COUNTA(I8:U8)</f>
        <v>1</v>
      </c>
      <c r="H8" s="123" t="s">
        <v>1572</v>
      </c>
      <c r="I8" s="103">
        <v>2</v>
      </c>
      <c r="J8" s="103">
        <v>15</v>
      </c>
      <c r="K8" s="103">
        <v>1</v>
      </c>
      <c r="L8" s="103">
        <v>1</v>
      </c>
      <c r="M8" s="103" t="s">
        <v>1576</v>
      </c>
      <c r="N8" s="103">
        <v>10</v>
      </c>
      <c r="O8" s="103">
        <v>8</v>
      </c>
      <c r="P8" s="103" t="s">
        <v>1576</v>
      </c>
      <c r="Q8" s="103">
        <v>3</v>
      </c>
      <c r="R8" s="103">
        <v>10</v>
      </c>
      <c r="S8" s="103">
        <v>2</v>
      </c>
      <c r="T8" s="103">
        <v>10</v>
      </c>
      <c r="U8" s="103">
        <v>23</v>
      </c>
    </row>
    <row r="9" spans="2:21">
      <c r="B9" s="147" t="s">
        <v>1528</v>
      </c>
      <c r="C9" s="103">
        <v>7</v>
      </c>
      <c r="D9" s="103" t="s">
        <v>1653</v>
      </c>
      <c r="E9" s="122">
        <v>45438</v>
      </c>
      <c r="F9" s="103">
        <v>1</v>
      </c>
      <c r="G9" s="151" cm="1">
        <f t="array" aca="1" ref="G9" ca="1">SUMPRODUCT(--(I9:U9&lt;=I26:U26))/COUNTA(I26:U26)</f>
        <v>0.84615384615384615</v>
      </c>
      <c r="H9" s="123" t="s">
        <v>1572</v>
      </c>
      <c r="I9" s="103">
        <v>2</v>
      </c>
      <c r="J9" s="103">
        <v>30</v>
      </c>
      <c r="K9" s="103">
        <v>5</v>
      </c>
      <c r="L9" s="103">
        <v>1</v>
      </c>
      <c r="M9" s="103" t="s">
        <v>1576</v>
      </c>
      <c r="N9" s="103">
        <v>10</v>
      </c>
      <c r="O9" s="103">
        <v>15</v>
      </c>
      <c r="P9" s="103" t="s">
        <v>1576</v>
      </c>
      <c r="Q9" s="103">
        <v>3</v>
      </c>
      <c r="R9" s="103">
        <v>10</v>
      </c>
      <c r="S9" s="103">
        <v>2</v>
      </c>
      <c r="T9" s="103">
        <v>10</v>
      </c>
      <c r="U9" s="103">
        <v>23</v>
      </c>
    </row>
    <row r="10" spans="2:21">
      <c r="B10" s="147" t="s">
        <v>1531</v>
      </c>
      <c r="C10" s="103">
        <v>8</v>
      </c>
      <c r="D10" s="103" t="s">
        <v>1654</v>
      </c>
      <c r="E10" s="122">
        <v>45438</v>
      </c>
      <c r="F10" s="103">
        <v>1</v>
      </c>
      <c r="G10" s="103" t="s">
        <v>1570</v>
      </c>
      <c r="H10" s="123" t="s">
        <v>1572</v>
      </c>
      <c r="I10" s="103">
        <v>31</v>
      </c>
      <c r="J10" s="103">
        <v>3.1111200102900002E+26</v>
      </c>
      <c r="K10" s="103">
        <v>1</v>
      </c>
      <c r="L10" s="103">
        <v>1</v>
      </c>
      <c r="M10" s="103" t="s">
        <v>1576</v>
      </c>
      <c r="N10" s="122">
        <v>45482</v>
      </c>
      <c r="O10" s="123" t="s">
        <v>1572</v>
      </c>
      <c r="P10" s="122" t="s">
        <v>1576</v>
      </c>
      <c r="Q10" s="122">
        <v>978</v>
      </c>
      <c r="R10" s="151">
        <v>45482</v>
      </c>
      <c r="S10" s="123" t="s">
        <v>12</v>
      </c>
      <c r="T10" s="122">
        <v>45484</v>
      </c>
      <c r="U10" s="122" t="s">
        <v>1655</v>
      </c>
    </row>
    <row r="11" spans="2:21">
      <c r="B11" s="147" t="s">
        <v>1533</v>
      </c>
      <c r="C11" s="103">
        <v>9</v>
      </c>
      <c r="D11" s="103" t="s">
        <v>1656</v>
      </c>
      <c r="E11" s="122">
        <v>45438</v>
      </c>
      <c r="F11" s="103">
        <v>1</v>
      </c>
      <c r="G11" s="103" t="s">
        <v>1570</v>
      </c>
      <c r="H11" s="123" t="s">
        <v>1572</v>
      </c>
      <c r="I11" s="103">
        <v>31</v>
      </c>
      <c r="J11" s="103">
        <v>162304848000110</v>
      </c>
      <c r="K11" s="103">
        <v>1</v>
      </c>
      <c r="L11" s="103">
        <v>1</v>
      </c>
      <c r="M11" s="103" t="s">
        <v>1576</v>
      </c>
      <c r="N11" s="122">
        <v>45482</v>
      </c>
      <c r="O11" s="103">
        <v>0</v>
      </c>
      <c r="P11" s="122" t="s">
        <v>1576</v>
      </c>
      <c r="Q11" s="122">
        <v>978</v>
      </c>
      <c r="R11" s="122">
        <v>45482</v>
      </c>
      <c r="S11" s="123" t="s">
        <v>12</v>
      </c>
      <c r="T11" s="122">
        <v>45484</v>
      </c>
      <c r="U11" s="122" t="s">
        <v>1657</v>
      </c>
    </row>
    <row r="12" spans="2:21">
      <c r="B12" s="170" t="s">
        <v>1535</v>
      </c>
      <c r="C12" s="103">
        <v>10</v>
      </c>
      <c r="D12" s="103" t="s">
        <v>1658</v>
      </c>
      <c r="E12" s="122">
        <v>45438</v>
      </c>
      <c r="F12" s="103">
        <v>1</v>
      </c>
      <c r="G12" s="103" t="s">
        <v>1570</v>
      </c>
      <c r="H12" s="123" t="s">
        <v>1572</v>
      </c>
      <c r="I12" s="103">
        <v>31</v>
      </c>
      <c r="J12" s="103">
        <v>962304890433650</v>
      </c>
      <c r="K12" s="103">
        <v>99999</v>
      </c>
      <c r="L12" s="103">
        <v>1</v>
      </c>
      <c r="M12" s="103" t="s">
        <v>1576</v>
      </c>
      <c r="N12" s="122">
        <v>45485</v>
      </c>
      <c r="O12" s="196">
        <v>11779599000000</v>
      </c>
      <c r="P12" s="122" t="s">
        <v>1576</v>
      </c>
      <c r="Q12" s="123">
        <v>978</v>
      </c>
      <c r="R12" s="123">
        <v>45485</v>
      </c>
      <c r="S12" s="122" t="s">
        <v>1579</v>
      </c>
      <c r="T12" s="122">
        <v>45484</v>
      </c>
      <c r="U12" s="122" t="s">
        <v>1655</v>
      </c>
    </row>
    <row r="13" spans="2:21">
      <c r="B13" s="147" t="s">
        <v>1537</v>
      </c>
      <c r="C13" s="103">
        <v>11</v>
      </c>
      <c r="D13" s="103" t="s">
        <v>1659</v>
      </c>
      <c r="E13" s="122">
        <v>45438</v>
      </c>
      <c r="F13" s="103">
        <v>1</v>
      </c>
      <c r="G13" s="103" t="s">
        <v>1570</v>
      </c>
      <c r="H13" s="123" t="s">
        <v>1572</v>
      </c>
      <c r="I13" s="103">
        <v>31</v>
      </c>
      <c r="J13" s="103">
        <v>3.1163151302899999E+26</v>
      </c>
      <c r="K13" s="103">
        <v>99999</v>
      </c>
      <c r="L13" s="103">
        <v>1</v>
      </c>
      <c r="M13" s="103" t="s">
        <v>1576</v>
      </c>
      <c r="N13" s="122">
        <v>45485</v>
      </c>
      <c r="O13" s="122" t="s">
        <v>1660</v>
      </c>
      <c r="P13" s="122" t="s">
        <v>1576</v>
      </c>
      <c r="Q13" s="122">
        <v>978</v>
      </c>
      <c r="R13" s="122">
        <v>45485</v>
      </c>
      <c r="S13" s="122" t="s">
        <v>1579</v>
      </c>
      <c r="T13" s="122">
        <v>45484</v>
      </c>
      <c r="U13" s="122" t="s">
        <v>1661</v>
      </c>
    </row>
    <row r="14" spans="2:21">
      <c r="B14" s="147" t="s">
        <v>1539</v>
      </c>
      <c r="C14" s="103">
        <v>12</v>
      </c>
      <c r="D14" s="103" t="s">
        <v>1662</v>
      </c>
      <c r="E14" s="122">
        <v>45438</v>
      </c>
      <c r="F14" s="103">
        <v>1</v>
      </c>
      <c r="G14" s="103" t="s">
        <v>1663</v>
      </c>
      <c r="H14" s="123" t="s">
        <v>1572</v>
      </c>
      <c r="I14" s="103">
        <v>0</v>
      </c>
      <c r="J14" s="103">
        <v>0</v>
      </c>
      <c r="K14" s="103">
        <v>0</v>
      </c>
      <c r="L14" s="103">
        <v>0</v>
      </c>
      <c r="M14" s="103">
        <v>301</v>
      </c>
      <c r="N14" s="103">
        <v>0</v>
      </c>
      <c r="O14" s="103">
        <v>0</v>
      </c>
      <c r="P14" s="103">
        <v>301</v>
      </c>
      <c r="Q14" s="123">
        <v>0</v>
      </c>
      <c r="R14" s="123">
        <v>0</v>
      </c>
      <c r="S14" s="103">
        <v>0</v>
      </c>
      <c r="T14" s="103">
        <v>0</v>
      </c>
      <c r="U14" s="103">
        <v>0</v>
      </c>
    </row>
    <row r="15" spans="2:21">
      <c r="B15" s="147" t="s">
        <v>1541</v>
      </c>
      <c r="C15" s="103">
        <v>13</v>
      </c>
      <c r="D15" s="103" t="s">
        <v>1664</v>
      </c>
      <c r="E15" s="122">
        <v>45438</v>
      </c>
      <c r="F15" s="103">
        <v>1</v>
      </c>
      <c r="G15" s="151">
        <v>1</v>
      </c>
      <c r="H15" s="123" t="s">
        <v>1572</v>
      </c>
      <c r="I15" s="103" t="s">
        <v>1570</v>
      </c>
      <c r="J15" s="103" t="s">
        <v>1570</v>
      </c>
      <c r="K15" s="103" t="s">
        <v>1570</v>
      </c>
      <c r="L15" s="103" t="s">
        <v>1570</v>
      </c>
      <c r="M15" s="103" t="s">
        <v>1570</v>
      </c>
      <c r="N15" s="103">
        <v>0</v>
      </c>
      <c r="O15" s="122" t="s">
        <v>1570</v>
      </c>
      <c r="P15" s="122" t="s">
        <v>1570</v>
      </c>
      <c r="Q15" s="122" t="s">
        <v>1570</v>
      </c>
      <c r="R15" s="103">
        <v>0</v>
      </c>
      <c r="S15" s="122" t="s">
        <v>1570</v>
      </c>
      <c r="T15" s="122" t="s">
        <v>1570</v>
      </c>
      <c r="U15" s="103" t="s">
        <v>1570</v>
      </c>
    </row>
    <row r="16" spans="2:21" s="4" customFormat="1">
      <c r="B16" s="181" t="s">
        <v>1543</v>
      </c>
      <c r="C16" s="167">
        <v>14</v>
      </c>
      <c r="D16" s="167" t="s">
        <v>1665</v>
      </c>
      <c r="E16" s="122">
        <v>45438</v>
      </c>
      <c r="F16" s="167">
        <v>1</v>
      </c>
      <c r="G16" s="183">
        <v>1</v>
      </c>
      <c r="H16" s="123" t="s">
        <v>1572</v>
      </c>
      <c r="I16" s="167">
        <v>0</v>
      </c>
      <c r="J16" s="167">
        <v>0</v>
      </c>
      <c r="K16" s="167" t="s">
        <v>1570</v>
      </c>
      <c r="L16" s="167" t="s">
        <v>1570</v>
      </c>
      <c r="M16" s="167">
        <v>0</v>
      </c>
      <c r="N16" s="167" t="s">
        <v>1570</v>
      </c>
      <c r="O16" s="167" t="s">
        <v>1570</v>
      </c>
      <c r="P16" s="167" t="s">
        <v>1570</v>
      </c>
      <c r="Q16" s="167">
        <v>0</v>
      </c>
      <c r="R16" s="167" t="s">
        <v>1570</v>
      </c>
      <c r="S16" s="167">
        <v>0</v>
      </c>
      <c r="T16" s="167" t="s">
        <v>1570</v>
      </c>
      <c r="U16" s="167" t="s">
        <v>1570</v>
      </c>
    </row>
    <row r="17" spans="2:21">
      <c r="B17" s="181" t="s">
        <v>1545</v>
      </c>
      <c r="C17" s="103">
        <v>15</v>
      </c>
      <c r="D17" s="167" t="s">
        <v>1666</v>
      </c>
      <c r="E17" s="122">
        <v>45438</v>
      </c>
      <c r="F17" s="103">
        <v>1</v>
      </c>
      <c r="G17" s="103" t="s">
        <v>1572</v>
      </c>
      <c r="H17" s="176">
        <v>301000000</v>
      </c>
      <c r="I17" s="103" t="s">
        <v>1570</v>
      </c>
      <c r="J17" s="103" t="s">
        <v>1570</v>
      </c>
      <c r="K17" s="103" t="s">
        <v>1570</v>
      </c>
      <c r="L17" s="103" t="s">
        <v>1570</v>
      </c>
      <c r="M17" s="103" t="s">
        <v>1570</v>
      </c>
      <c r="N17" s="103" t="s">
        <v>1570</v>
      </c>
      <c r="O17" s="93" t="s">
        <v>1570</v>
      </c>
      <c r="P17" s="93" t="s">
        <v>1570</v>
      </c>
      <c r="Q17" s="93" t="s">
        <v>1570</v>
      </c>
      <c r="R17" s="103" t="s">
        <v>1570</v>
      </c>
      <c r="S17" s="103" t="s">
        <v>1570</v>
      </c>
      <c r="T17" s="103" t="s">
        <v>1570</v>
      </c>
      <c r="U17" s="103" t="s">
        <v>1570</v>
      </c>
    </row>
    <row r="18" spans="2:21">
      <c r="B18" s="181" t="s">
        <v>1547</v>
      </c>
      <c r="C18" s="103">
        <v>16</v>
      </c>
      <c r="D18" s="167" t="s">
        <v>1666</v>
      </c>
      <c r="E18" s="122">
        <v>45438</v>
      </c>
      <c r="F18" s="103">
        <v>1</v>
      </c>
      <c r="G18" s="103" t="s">
        <v>1572</v>
      </c>
      <c r="H18" s="176">
        <v>301000000</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row>
    <row r="19" spans="2:21">
      <c r="B19" s="147" t="s">
        <v>1553</v>
      </c>
      <c r="C19" s="103">
        <v>19</v>
      </c>
      <c r="D19" s="103" t="s">
        <v>1667</v>
      </c>
      <c r="E19" s="122">
        <v>45438</v>
      </c>
      <c r="F19" s="103">
        <v>1</v>
      </c>
      <c r="G19" s="151" cm="1">
        <f t="array" aca="1" ref="G19" ca="1">SUMPRODUCT(--(ISNUMBER((SEARCH(I25:U25,I19:U19)))))/COUNTA(I19:U19)</f>
        <v>0.84615384615384615</v>
      </c>
      <c r="H19" s="123" t="s">
        <v>1572</v>
      </c>
      <c r="I19" s="103" t="s">
        <v>1596</v>
      </c>
      <c r="J19" s="103" t="s">
        <v>1596</v>
      </c>
      <c r="K19" s="103" t="s">
        <v>1597</v>
      </c>
      <c r="L19" s="103" t="s">
        <v>1597</v>
      </c>
      <c r="M19" s="103" t="s">
        <v>1596</v>
      </c>
      <c r="N19" s="103" t="s">
        <v>1596</v>
      </c>
      <c r="O19" s="103" t="s">
        <v>1598</v>
      </c>
      <c r="P19" s="103" t="s">
        <v>1596</v>
      </c>
      <c r="Q19" s="103" t="s">
        <v>1596</v>
      </c>
      <c r="R19" s="103" t="s">
        <v>1596</v>
      </c>
      <c r="S19" s="103" t="s">
        <v>1596</v>
      </c>
      <c r="T19" s="103" t="s">
        <v>1596</v>
      </c>
      <c r="U19" s="103" t="s">
        <v>1599</v>
      </c>
    </row>
    <row r="20" spans="2:21">
      <c r="B20" s="147" t="s">
        <v>1556</v>
      </c>
      <c r="C20" s="148">
        <v>20</v>
      </c>
      <c r="D20" s="103" t="s">
        <v>1667</v>
      </c>
      <c r="E20" s="122">
        <v>45438</v>
      </c>
      <c r="F20" s="103">
        <v>1</v>
      </c>
      <c r="G20" s="151" cm="1">
        <f t="array" ref="G20">SUM(IF(I2:U2 = I24:U24, 1, 0))/ COUNTA(I2:U2)</f>
        <v>0.76923076923076927</v>
      </c>
      <c r="H20" s="123" t="s">
        <v>1582</v>
      </c>
      <c r="I20" s="103" t="s">
        <v>1570</v>
      </c>
      <c r="J20" s="103" t="s">
        <v>1570</v>
      </c>
      <c r="K20" s="103" t="s">
        <v>1570</v>
      </c>
      <c r="L20" s="103" t="s">
        <v>1570</v>
      </c>
      <c r="M20" s="103" t="s">
        <v>1570</v>
      </c>
      <c r="N20" s="103" t="s">
        <v>1570</v>
      </c>
      <c r="O20" s="103" t="s">
        <v>1570</v>
      </c>
      <c r="P20" s="103" t="s">
        <v>1570</v>
      </c>
      <c r="Q20" s="103" t="s">
        <v>1570</v>
      </c>
      <c r="R20" s="103" t="s">
        <v>1570</v>
      </c>
      <c r="S20" s="103" t="s">
        <v>1570</v>
      </c>
      <c r="T20" s="103" t="s">
        <v>1570</v>
      </c>
      <c r="U20" s="103" t="s">
        <v>1570</v>
      </c>
    </row>
    <row r="21" spans="2:21">
      <c r="B21" s="171" t="s">
        <v>1559</v>
      </c>
      <c r="C21" s="149">
        <v>21</v>
      </c>
      <c r="D21" s="103" t="s">
        <v>1667</v>
      </c>
      <c r="E21" s="122">
        <v>45438</v>
      </c>
      <c r="F21" s="103">
        <v>1</v>
      </c>
      <c r="G21" s="103" cm="1">
        <f t="array" aca="1" ref="G21" ca="1">SUM(IF(IF(G3:G20="null",1,G3:G20)=1,1,0))/COUNT(IF(G3:G20="null",1,1))</f>
        <v>0.61111111111111116</v>
      </c>
      <c r="H21" s="123" t="s">
        <v>1582</v>
      </c>
      <c r="I21" s="103" t="s">
        <v>1570</v>
      </c>
      <c r="J21" s="103" t="s">
        <v>1570</v>
      </c>
      <c r="K21" s="103" t="s">
        <v>1570</v>
      </c>
      <c r="L21" s="103" t="s">
        <v>1570</v>
      </c>
      <c r="M21" s="103" t="s">
        <v>1570</v>
      </c>
      <c r="N21" s="103" t="s">
        <v>1570</v>
      </c>
      <c r="O21" s="103" t="s">
        <v>1570</v>
      </c>
      <c r="P21" s="103" t="s">
        <v>1570</v>
      </c>
      <c r="Q21" s="103" t="s">
        <v>1570</v>
      </c>
      <c r="R21" s="103" t="s">
        <v>1570</v>
      </c>
      <c r="S21" s="103" t="s">
        <v>1570</v>
      </c>
      <c r="T21" s="103" t="s">
        <v>1570</v>
      </c>
      <c r="U21" s="103" t="s">
        <v>1570</v>
      </c>
    </row>
    <row r="23" spans="2:21">
      <c r="B23" s="121" t="s">
        <v>1600</v>
      </c>
    </row>
    <row r="24" spans="2:21">
      <c r="B24" s="113" t="s">
        <v>1601</v>
      </c>
      <c r="C24" s="114" t="s">
        <v>1563</v>
      </c>
      <c r="D24" s="114" t="s">
        <v>1564</v>
      </c>
      <c r="E24" s="114" t="s">
        <v>1565</v>
      </c>
      <c r="F24" s="114" t="s">
        <v>1566</v>
      </c>
      <c r="G24" s="114" t="s">
        <v>1567</v>
      </c>
      <c r="H24" s="114" t="s">
        <v>1568</v>
      </c>
      <c r="I24" s="115" t="str" cm="1">
        <f t="array" ref="I24:U24">TRANSPOSE(_xlfn.SORTBY(_xlfn._xlws.FILTER(Table2[NOME FÍSICO CAMPO],Table2[NOME FÍSICO TABELA]="bank_guarantee_transaction"), _xlfn._xlws.FILTER(Table2[ORDEM], Table2[NOME FÍSICO TABELA]="bank_guarantee_transaction"), 1))</f>
        <v>bank_id</v>
      </c>
      <c r="J24" s="115" t="str">
        <v>contract_id</v>
      </c>
      <c r="K24" s="115" t="str">
        <v>order_number</v>
      </c>
      <c r="L24" s="115" t="str">
        <v>order_number_stage</v>
      </c>
      <c r="M24" s="115" t="str">
        <v>transaction_date</v>
      </c>
      <c r="N24" s="115" t="str">
        <v>amount</v>
      </c>
      <c r="O24" s="115" t="str">
        <v>transaction_type_code</v>
      </c>
      <c r="P24" s="115" t="str">
        <v>financial_flow_indicator</v>
      </c>
      <c r="Q24" s="115" t="str">
        <v>currency_code</v>
      </c>
      <c r="R24" s="115" t="str">
        <v>transaction_execution_date</v>
      </c>
      <c r="S24" s="115" t="str">
        <v>source_code</v>
      </c>
      <c r="T24" s="115" t="str">
        <v>data_date_part</v>
      </c>
      <c r="U24" s="116" t="str">
        <v>data_timestamp_part</v>
      </c>
    </row>
    <row r="25" spans="2:21">
      <c r="B25" s="106" t="s">
        <v>1602</v>
      </c>
      <c r="C25" s="119">
        <v>21</v>
      </c>
      <c r="D25" s="108" t="s">
        <v>1603</v>
      </c>
      <c r="E25" s="107" t="s">
        <v>1604</v>
      </c>
      <c r="F25" s="107" t="s">
        <v>1051</v>
      </c>
      <c r="G25" s="107" t="s">
        <v>1051</v>
      </c>
      <c r="H25" s="107" t="s">
        <v>1051</v>
      </c>
      <c r="I25" s="107" t="str" cm="1">
        <f t="array" aca="1" ref="I25:U26" ca="1">TRANSPOSE(_xlfn.SORTBY(_xlfn._xlws.FILTER(IF(Table2[FORMATO]:Table2[COMP_ CAMPO]&lt;&gt;"",Table2[FORMATO]:Table2[COMP_ CAMPO],9999999),Table2[NOME FÍSICO TABELA]="bank_guarantee_transaction"), _xlfn._xlws.FILTER(Table2[ORDEM], Table2[NOME FÍSICO TABELA]="bank_guarantee_transaction"), 1))</f>
        <v>STRING</v>
      </c>
      <c r="J25" s="107" t="str">
        <f ca="1"/>
        <v>STRING</v>
      </c>
      <c r="K25" s="107" t="str">
        <f ca="1"/>
        <v>BIGINT</v>
      </c>
      <c r="L25" s="107" t="str">
        <f ca="1"/>
        <v>BIGINT</v>
      </c>
      <c r="M25" s="107" t="str">
        <f ca="1"/>
        <v>STRING</v>
      </c>
      <c r="N25" s="107" t="str">
        <f ca="1"/>
        <v>DECIMAL</v>
      </c>
      <c r="O25" s="107" t="str">
        <f ca="1"/>
        <v>STRING</v>
      </c>
      <c r="P25" s="107" t="str">
        <f ca="1"/>
        <v>STRING</v>
      </c>
      <c r="Q25" s="107" t="str">
        <f ca="1"/>
        <v>STRING</v>
      </c>
      <c r="R25" s="107" t="str">
        <f ca="1"/>
        <v>STRING</v>
      </c>
      <c r="S25" s="107" t="str">
        <f ca="1"/>
        <v>STRING</v>
      </c>
      <c r="T25" s="107" t="str">
        <f ca="1"/>
        <v>STRING</v>
      </c>
      <c r="U25" s="118" t="str">
        <f ca="1"/>
        <v>TIMESTAMP</v>
      </c>
    </row>
    <row r="26" spans="2:21">
      <c r="B26" s="106" t="s">
        <v>1605</v>
      </c>
      <c r="C26" s="119">
        <v>7</v>
      </c>
      <c r="D26" s="108" t="s">
        <v>1603</v>
      </c>
      <c r="E26" s="107" t="s">
        <v>1604</v>
      </c>
      <c r="F26" s="107" t="s">
        <v>1051</v>
      </c>
      <c r="G26" s="107" t="s">
        <v>1051</v>
      </c>
      <c r="H26" s="107" t="s">
        <v>1051</v>
      </c>
      <c r="I26" s="119">
        <f ca="1"/>
        <v>3</v>
      </c>
      <c r="J26" s="119">
        <f ca="1"/>
        <v>30</v>
      </c>
      <c r="K26" s="119">
        <f ca="1"/>
        <v>9999999</v>
      </c>
      <c r="L26" s="119">
        <f ca="1"/>
        <v>9999999</v>
      </c>
      <c r="M26" s="119">
        <f ca="1"/>
        <v>10</v>
      </c>
      <c r="N26" s="119">
        <f ca="1"/>
        <v>23</v>
      </c>
      <c r="O26" s="119">
        <f ca="1"/>
        <v>20</v>
      </c>
      <c r="P26" s="119">
        <f ca="1"/>
        <v>4</v>
      </c>
      <c r="Q26" s="119">
        <f ca="1"/>
        <v>3</v>
      </c>
      <c r="R26" s="119">
        <f ca="1"/>
        <v>10</v>
      </c>
      <c r="S26" s="119">
        <f ca="1"/>
        <v>3</v>
      </c>
      <c r="T26" s="119">
        <f ca="1"/>
        <v>10</v>
      </c>
      <c r="U26" s="120">
        <f ca="1"/>
        <v>23</v>
      </c>
    </row>
    <row r="28" spans="2:21">
      <c r="B28" s="129" t="s">
        <v>1606</v>
      </c>
    </row>
    <row r="29" spans="2:21">
      <c r="B29" s="138" t="s">
        <v>1607</v>
      </c>
      <c r="C29" s="138" t="s">
        <v>1608</v>
      </c>
      <c r="D29" s="139" t="s">
        <v>1609</v>
      </c>
      <c r="E29" s="138" t="s">
        <v>1610</v>
      </c>
      <c r="F29" s="138" t="s">
        <v>1611</v>
      </c>
    </row>
    <row r="30" spans="2:21" ht="60.75">
      <c r="B30" s="136" t="s">
        <v>1647</v>
      </c>
      <c r="C30" s="88" t="s">
        <v>753</v>
      </c>
      <c r="D30" s="88" t="s">
        <v>1668</v>
      </c>
      <c r="E30" s="88" t="s">
        <v>1669</v>
      </c>
      <c r="F30" s="137" t="s">
        <v>1617</v>
      </c>
    </row>
    <row r="31" spans="2:21" ht="60.75">
      <c r="B31" s="136" t="s">
        <v>1612</v>
      </c>
      <c r="C31" s="88" t="s">
        <v>753</v>
      </c>
      <c r="D31" s="88" t="s">
        <v>1668</v>
      </c>
      <c r="E31" s="88" t="s">
        <v>1669</v>
      </c>
      <c r="F31" s="137" t="s">
        <v>1617</v>
      </c>
    </row>
    <row r="32" spans="2:21" ht="30.75">
      <c r="B32" s="136" t="s">
        <v>1612</v>
      </c>
      <c r="C32" s="88" t="s">
        <v>765</v>
      </c>
      <c r="D32" s="88" t="s">
        <v>1670</v>
      </c>
      <c r="E32" s="88" t="s">
        <v>1669</v>
      </c>
      <c r="F32" s="137" t="s">
        <v>1617</v>
      </c>
    </row>
    <row r="33" spans="2:20" ht="60.75">
      <c r="B33" s="136" t="s">
        <v>1671</v>
      </c>
      <c r="C33" s="88" t="s">
        <v>753</v>
      </c>
      <c r="D33" s="88" t="s">
        <v>1668</v>
      </c>
      <c r="E33" s="88" t="s">
        <v>1669</v>
      </c>
      <c r="F33" s="137" t="s">
        <v>1617</v>
      </c>
    </row>
    <row r="34" spans="2:20" ht="60.75">
      <c r="B34" s="136" t="s">
        <v>1672</v>
      </c>
      <c r="C34" s="88" t="s">
        <v>753</v>
      </c>
      <c r="D34" s="88" t="s">
        <v>1668</v>
      </c>
      <c r="E34" s="88" t="s">
        <v>1669</v>
      </c>
      <c r="F34" s="137" t="s">
        <v>1617</v>
      </c>
    </row>
    <row r="35" spans="2:20" ht="30.75">
      <c r="B35" s="140" t="s">
        <v>1623</v>
      </c>
      <c r="C35" s="92" t="s">
        <v>765</v>
      </c>
      <c r="D35" s="88" t="s">
        <v>1670</v>
      </c>
      <c r="E35" s="88" t="s">
        <v>1669</v>
      </c>
      <c r="F35" s="137" t="s">
        <v>1617</v>
      </c>
    </row>
    <row r="36" spans="2:20" s="4" customFormat="1" ht="30.75">
      <c r="B36" s="140" t="s">
        <v>1623</v>
      </c>
      <c r="C36" s="92" t="s">
        <v>753</v>
      </c>
      <c r="D36" s="88" t="s">
        <v>1670</v>
      </c>
      <c r="E36" s="88" t="s">
        <v>1669</v>
      </c>
      <c r="F36" s="82" t="s">
        <v>1617</v>
      </c>
    </row>
    <row r="37" spans="2:20">
      <c r="B37" s="140" t="s">
        <v>1673</v>
      </c>
      <c r="C37" s="92"/>
      <c r="D37" s="92"/>
      <c r="E37" s="92"/>
      <c r="F37" s="82"/>
      <c r="H37" s="146"/>
    </row>
    <row r="38" spans="2:20">
      <c r="E38" s="145"/>
      <c r="G38" s="146"/>
    </row>
    <row r="39" spans="2:20">
      <c r="E39" s="145"/>
    </row>
    <row r="40" spans="2:20">
      <c r="E40" s="145"/>
      <c r="G40" s="146"/>
    </row>
    <row r="41" spans="2:20">
      <c r="E41" s="145"/>
    </row>
    <row r="42" spans="2:20">
      <c r="D42" s="145"/>
      <c r="E42" s="145"/>
      <c r="F42" s="146"/>
    </row>
    <row r="43" spans="2:20">
      <c r="E43" s="145"/>
      <c r="P43" s="145"/>
      <c r="Q43" s="145"/>
      <c r="R43" s="146"/>
      <c r="T43" s="145"/>
    </row>
    <row r="44" spans="2:20">
      <c r="E44" s="145"/>
      <c r="P44" s="145"/>
      <c r="Q44" s="145"/>
      <c r="T44" s="145"/>
    </row>
    <row r="45" spans="2:20">
      <c r="E45" s="145"/>
      <c r="P45" s="145"/>
      <c r="Q45" s="145"/>
      <c r="R45" s="146"/>
      <c r="T45" s="145"/>
    </row>
    <row r="46" spans="2:20">
      <c r="E46" s="145"/>
      <c r="P46" s="145"/>
      <c r="Q46" s="145"/>
      <c r="T46" s="145"/>
    </row>
    <row r="47" spans="2:20">
      <c r="E47" s="145"/>
      <c r="G47" s="146"/>
    </row>
    <row r="48" spans="2:20">
      <c r="E48" s="145"/>
      <c r="G48" s="146"/>
      <c r="P48" s="24"/>
      <c r="Q48" s="24"/>
    </row>
    <row r="49" spans="5:7">
      <c r="E49" s="145"/>
      <c r="G49" s="146"/>
    </row>
    <row r="50" spans="5:7">
      <c r="E50" s="145"/>
      <c r="G50" s="146"/>
    </row>
    <row r="51" spans="5:7">
      <c r="E51" s="145"/>
      <c r="G51" s="146"/>
    </row>
    <row r="52" spans="5:7">
      <c r="E52" s="145"/>
      <c r="G52" s="146"/>
    </row>
    <row r="53" spans="5:7">
      <c r="E53" s="145"/>
      <c r="G53" s="146"/>
    </row>
    <row r="54" spans="5:7">
      <c r="E54" s="145"/>
      <c r="G54" s="146"/>
    </row>
    <row r="55" spans="5:7">
      <c r="E55" s="145"/>
    </row>
    <row r="56" spans="5:7">
      <c r="E56" s="145"/>
    </row>
    <row r="57" spans="5:7">
      <c r="E57" s="145"/>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Z48"/>
  <sheetViews>
    <sheetView showGridLines="0" topLeftCell="A14" workbookViewId="0">
      <selection activeCell="A31" sqref="A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02" t="s">
        <v>1562</v>
      </c>
      <c r="C2" s="102" t="s">
        <v>1563</v>
      </c>
      <c r="D2" s="102" t="s">
        <v>1564</v>
      </c>
      <c r="E2" s="102" t="s">
        <v>1565</v>
      </c>
      <c r="F2" s="102" t="s">
        <v>1566</v>
      </c>
      <c r="G2" s="102" t="s">
        <v>1567</v>
      </c>
      <c r="H2" s="102" t="s">
        <v>1568</v>
      </c>
      <c r="I2" s="102" t="s">
        <v>691</v>
      </c>
      <c r="J2" s="102" t="s">
        <v>706</v>
      </c>
      <c r="K2" s="102" t="s">
        <v>716</v>
      </c>
      <c r="L2" s="102" t="s">
        <v>727</v>
      </c>
      <c r="M2" s="102" t="s">
        <v>789</v>
      </c>
      <c r="N2" s="102" t="s">
        <v>744</v>
      </c>
      <c r="O2" s="102" t="s">
        <v>753</v>
      </c>
      <c r="P2" s="102" t="s">
        <v>765</v>
      </c>
      <c r="Q2" s="102" t="s">
        <v>776</v>
      </c>
      <c r="R2" s="102" t="s">
        <v>735</v>
      </c>
      <c r="S2" s="102" t="s">
        <v>1029</v>
      </c>
      <c r="T2" s="102" t="s">
        <v>796</v>
      </c>
      <c r="U2" s="102" t="s">
        <v>804</v>
      </c>
      <c r="V2" s="102" t="s">
        <v>811</v>
      </c>
    </row>
    <row r="3" spans="2:22">
      <c r="B3" s="147" t="s">
        <v>1516</v>
      </c>
      <c r="C3" s="103">
        <v>1</v>
      </c>
      <c r="D3" s="103" t="s">
        <v>1674</v>
      </c>
      <c r="E3" s="122">
        <v>45460</v>
      </c>
      <c r="F3" s="103">
        <v>1</v>
      </c>
      <c r="G3" s="123">
        <v>1</v>
      </c>
      <c r="H3" s="176" t="s">
        <v>1675</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c r="V3" s="103" t="s">
        <v>1570</v>
      </c>
    </row>
    <row r="4" spans="2:22">
      <c r="B4" s="147" t="s">
        <v>1518</v>
      </c>
      <c r="C4" s="103">
        <v>2</v>
      </c>
      <c r="D4" s="103" t="s">
        <v>1676</v>
      </c>
      <c r="E4" s="122">
        <v>45460</v>
      </c>
      <c r="F4" s="103">
        <v>1</v>
      </c>
      <c r="G4" s="123">
        <v>1</v>
      </c>
      <c r="H4" s="103" t="s">
        <v>1582</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c r="V4" s="103" t="s">
        <v>1570</v>
      </c>
    </row>
    <row r="5" spans="2:22">
      <c r="B5" s="147" t="s">
        <v>1520</v>
      </c>
      <c r="C5" s="103">
        <v>3</v>
      </c>
      <c r="D5" s="103" t="s">
        <v>1677</v>
      </c>
      <c r="E5" s="122">
        <v>45460</v>
      </c>
      <c r="F5" s="103">
        <v>1</v>
      </c>
      <c r="G5" s="123">
        <v>1</v>
      </c>
      <c r="H5" s="103" t="s">
        <v>1582</v>
      </c>
      <c r="I5" s="103">
        <v>0</v>
      </c>
      <c r="J5" s="103">
        <v>0</v>
      </c>
      <c r="K5" s="103">
        <v>0</v>
      </c>
      <c r="L5" s="103">
        <v>0</v>
      </c>
      <c r="M5" s="103">
        <v>0</v>
      </c>
      <c r="N5" s="103" t="s">
        <v>1570</v>
      </c>
      <c r="O5" s="103" t="s">
        <v>1570</v>
      </c>
      <c r="P5" s="103" t="s">
        <v>1570</v>
      </c>
      <c r="Q5" s="103" t="s">
        <v>1570</v>
      </c>
      <c r="R5" s="103" t="s">
        <v>1570</v>
      </c>
      <c r="S5" s="103" t="s">
        <v>1570</v>
      </c>
      <c r="T5" s="103" t="s">
        <v>1570</v>
      </c>
      <c r="U5" s="103">
        <v>0</v>
      </c>
      <c r="V5" s="103" t="s">
        <v>1570</v>
      </c>
    </row>
    <row r="6" spans="2:22">
      <c r="B6" s="93" t="s">
        <v>1522</v>
      </c>
      <c r="C6" s="103">
        <v>4</v>
      </c>
      <c r="D6" s="103" t="s">
        <v>1677</v>
      </c>
      <c r="E6" s="122">
        <v>45460</v>
      </c>
      <c r="F6" s="103">
        <v>1</v>
      </c>
      <c r="G6" s="103" t="s">
        <v>1570</v>
      </c>
      <c r="H6" s="103"/>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c r="V6" s="103" t="s">
        <v>1570</v>
      </c>
    </row>
    <row r="7" spans="2:22">
      <c r="B7" s="93" t="s">
        <v>1524</v>
      </c>
      <c r="C7" s="103">
        <v>5</v>
      </c>
      <c r="D7" s="103" t="s">
        <v>1677</v>
      </c>
      <c r="E7" s="122">
        <v>45460</v>
      </c>
      <c r="F7" s="103">
        <v>1</v>
      </c>
      <c r="G7" s="103" t="s">
        <v>1570</v>
      </c>
      <c r="H7" s="103"/>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c r="V7" s="103" t="s">
        <v>1570</v>
      </c>
    </row>
    <row r="8" spans="2:22">
      <c r="B8" s="147" t="s">
        <v>1525</v>
      </c>
      <c r="C8" s="103">
        <v>6</v>
      </c>
      <c r="D8" s="103" t="s">
        <v>1678</v>
      </c>
      <c r="E8" s="122">
        <v>45460</v>
      </c>
      <c r="F8" s="103">
        <v>1</v>
      </c>
      <c r="G8" s="151" cm="1">
        <f t="array" ref="G8">SUMPRODUCT(--(I8:V8&gt;0))/COUNTA(I8:V8)</f>
        <v>1</v>
      </c>
      <c r="H8" s="103" t="s">
        <v>1582</v>
      </c>
      <c r="I8" s="103">
        <v>2</v>
      </c>
      <c r="J8" s="103">
        <v>30</v>
      </c>
      <c r="K8" s="103">
        <v>1</v>
      </c>
      <c r="L8" s="103">
        <v>1</v>
      </c>
      <c r="M8" s="103">
        <v>10</v>
      </c>
      <c r="N8" s="103">
        <v>4</v>
      </c>
      <c r="O8" s="103" t="s">
        <v>1576</v>
      </c>
      <c r="P8" s="103" t="s">
        <v>1576</v>
      </c>
      <c r="Q8" s="103">
        <v>3</v>
      </c>
      <c r="R8" s="103">
        <v>10</v>
      </c>
      <c r="S8" s="103">
        <v>10</v>
      </c>
      <c r="T8" s="103">
        <v>2</v>
      </c>
      <c r="U8" s="103">
        <v>10</v>
      </c>
      <c r="V8" s="103">
        <v>23</v>
      </c>
    </row>
    <row r="9" spans="2:22">
      <c r="B9" s="147" t="s">
        <v>1528</v>
      </c>
      <c r="C9" s="103">
        <v>7</v>
      </c>
      <c r="D9" s="103" t="s">
        <v>1679</v>
      </c>
      <c r="E9" s="122">
        <v>45460</v>
      </c>
      <c r="F9" s="103">
        <v>1</v>
      </c>
      <c r="G9" s="151" cm="1">
        <f t="array" aca="1" ref="G9" ca="1">SUMPRODUCT(--(I9:V9&lt;=I26:V26))/COUNTA(I9:V9)</f>
        <v>1</v>
      </c>
      <c r="H9" s="103" t="s">
        <v>1582</v>
      </c>
      <c r="I9" s="103">
        <v>2</v>
      </c>
      <c r="J9" s="103">
        <v>30</v>
      </c>
      <c r="K9" s="103">
        <v>5</v>
      </c>
      <c r="L9" s="103">
        <v>1</v>
      </c>
      <c r="M9" s="103">
        <v>10</v>
      </c>
      <c r="N9" s="103">
        <v>9</v>
      </c>
      <c r="O9" s="103"/>
      <c r="P9" s="103" t="s">
        <v>1576</v>
      </c>
      <c r="Q9" s="103">
        <v>3</v>
      </c>
      <c r="R9" s="103">
        <v>10</v>
      </c>
      <c r="S9" s="103">
        <v>10</v>
      </c>
      <c r="T9" s="103">
        <v>2</v>
      </c>
      <c r="U9" s="103">
        <v>10</v>
      </c>
      <c r="V9" s="103">
        <v>23</v>
      </c>
    </row>
    <row r="10" spans="2:22">
      <c r="B10" s="147" t="s">
        <v>1531</v>
      </c>
      <c r="C10" s="103">
        <v>8</v>
      </c>
      <c r="D10" s="103" t="s">
        <v>1680</v>
      </c>
      <c r="E10" s="122">
        <v>45460</v>
      </c>
      <c r="F10" s="103">
        <v>1</v>
      </c>
      <c r="G10" s="103" t="s">
        <v>1570</v>
      </c>
      <c r="H10" s="103" t="s">
        <v>1582</v>
      </c>
      <c r="I10" s="103">
        <v>31</v>
      </c>
      <c r="J10" s="103">
        <v>3.0247299999999998E+22</v>
      </c>
      <c r="K10" s="103">
        <v>1</v>
      </c>
      <c r="L10" s="103">
        <v>1</v>
      </c>
      <c r="M10" s="122">
        <v>45460</v>
      </c>
      <c r="N10" s="123" t="s">
        <v>1681</v>
      </c>
      <c r="O10" s="103" t="s">
        <v>1576</v>
      </c>
      <c r="P10" s="103" t="s">
        <v>1576</v>
      </c>
      <c r="Q10" s="122">
        <v>124</v>
      </c>
      <c r="R10" s="122">
        <v>45457</v>
      </c>
      <c r="S10" s="122">
        <v>45457</v>
      </c>
      <c r="T10" s="103" t="s">
        <v>1579</v>
      </c>
      <c r="U10" s="122">
        <v>45460</v>
      </c>
      <c r="V10" s="103" t="s">
        <v>1682</v>
      </c>
    </row>
    <row r="11" spans="2:22">
      <c r="B11" s="147" t="s">
        <v>1533</v>
      </c>
      <c r="C11" s="103">
        <v>9</v>
      </c>
      <c r="D11" s="103" t="s">
        <v>1683</v>
      </c>
      <c r="E11" s="122">
        <v>45460</v>
      </c>
      <c r="F11" s="103">
        <v>1</v>
      </c>
      <c r="G11" s="103" t="s">
        <v>1570</v>
      </c>
      <c r="H11" s="103" t="s">
        <v>1582</v>
      </c>
      <c r="I11" s="103">
        <v>31</v>
      </c>
      <c r="J11" s="103">
        <v>3.0247299999999998E+22</v>
      </c>
      <c r="K11" s="103">
        <v>1</v>
      </c>
      <c r="L11" s="103">
        <v>1</v>
      </c>
      <c r="M11" s="122">
        <v>45460</v>
      </c>
      <c r="N11" s="103" t="s">
        <v>1681</v>
      </c>
      <c r="O11" s="103" t="s">
        <v>1576</v>
      </c>
      <c r="P11" s="103" t="s">
        <v>1576</v>
      </c>
      <c r="Q11" s="122">
        <v>124</v>
      </c>
      <c r="R11" s="122">
        <v>45457</v>
      </c>
      <c r="S11" s="122">
        <v>45457</v>
      </c>
      <c r="T11" s="103" t="s">
        <v>1579</v>
      </c>
      <c r="U11" s="122">
        <v>45460</v>
      </c>
      <c r="V11" s="103" t="s">
        <v>1684</v>
      </c>
    </row>
    <row r="12" spans="2:22">
      <c r="B12" s="147" t="s">
        <v>1535</v>
      </c>
      <c r="C12" s="103">
        <v>10</v>
      </c>
      <c r="D12" s="103" t="s">
        <v>1685</v>
      </c>
      <c r="E12" s="122">
        <v>45460</v>
      </c>
      <c r="F12" s="103">
        <v>1</v>
      </c>
      <c r="G12" s="103" t="s">
        <v>1570</v>
      </c>
      <c r="H12" s="103" t="s">
        <v>1582</v>
      </c>
      <c r="I12" s="103">
        <v>31</v>
      </c>
      <c r="J12" s="103">
        <v>2.1070404296302001E+29</v>
      </c>
      <c r="K12" s="103">
        <v>99999</v>
      </c>
      <c r="L12" s="103">
        <v>1</v>
      </c>
      <c r="M12" s="122">
        <v>45460</v>
      </c>
      <c r="N12" s="103" t="s">
        <v>1686</v>
      </c>
      <c r="O12" s="103" t="s">
        <v>1576</v>
      </c>
      <c r="P12" s="122" t="s">
        <v>1576</v>
      </c>
      <c r="Q12" s="122">
        <v>978</v>
      </c>
      <c r="R12" s="123">
        <v>45462</v>
      </c>
      <c r="S12" s="123">
        <v>45462</v>
      </c>
      <c r="T12" s="122" t="s">
        <v>1579</v>
      </c>
      <c r="U12" s="122">
        <v>45460</v>
      </c>
      <c r="V12" s="103" t="s">
        <v>1682</v>
      </c>
    </row>
    <row r="13" spans="2:22">
      <c r="B13" s="147" t="s">
        <v>1537</v>
      </c>
      <c r="C13" s="103">
        <v>11</v>
      </c>
      <c r="D13" s="103" t="s">
        <v>1687</v>
      </c>
      <c r="E13" s="122">
        <v>45460</v>
      </c>
      <c r="F13" s="103">
        <v>1</v>
      </c>
      <c r="G13" s="103" t="s">
        <v>1570</v>
      </c>
      <c r="H13" s="103" t="s">
        <v>1582</v>
      </c>
      <c r="I13" s="103">
        <v>31</v>
      </c>
      <c r="J13" s="103">
        <v>2.1070404296302001E+29</v>
      </c>
      <c r="K13" s="103">
        <v>99999</v>
      </c>
      <c r="L13" s="103">
        <v>1</v>
      </c>
      <c r="M13" s="122">
        <v>45460</v>
      </c>
      <c r="N13" s="122" t="s">
        <v>1688</v>
      </c>
      <c r="O13" s="103" t="s">
        <v>1576</v>
      </c>
      <c r="P13" s="122" t="s">
        <v>1576</v>
      </c>
      <c r="Q13" s="122">
        <v>978</v>
      </c>
      <c r="R13" s="122">
        <v>45462</v>
      </c>
      <c r="S13" s="122">
        <v>45462</v>
      </c>
      <c r="T13" s="122" t="s">
        <v>1579</v>
      </c>
      <c r="U13" s="122">
        <v>45460</v>
      </c>
      <c r="V13" s="103" t="s">
        <v>1689</v>
      </c>
    </row>
    <row r="14" spans="2:22">
      <c r="B14" s="147" t="s">
        <v>1539</v>
      </c>
      <c r="C14" s="103">
        <v>12</v>
      </c>
      <c r="D14" s="103" t="s">
        <v>1690</v>
      </c>
      <c r="E14" s="122">
        <v>45460</v>
      </c>
      <c r="F14" s="103">
        <v>1</v>
      </c>
      <c r="G14" s="123" t="s">
        <v>1691</v>
      </c>
      <c r="H14" s="103" t="s">
        <v>1582</v>
      </c>
      <c r="I14" s="103">
        <v>0</v>
      </c>
      <c r="J14" s="103">
        <v>0</v>
      </c>
      <c r="K14" s="103">
        <v>0</v>
      </c>
      <c r="L14" s="103">
        <v>0</v>
      </c>
      <c r="M14" s="103">
        <v>0</v>
      </c>
      <c r="N14" s="103">
        <v>0</v>
      </c>
      <c r="O14" s="173">
        <v>95421</v>
      </c>
      <c r="P14" s="176">
        <v>95421</v>
      </c>
      <c r="Q14" s="103">
        <v>0</v>
      </c>
      <c r="R14" s="123">
        <v>0</v>
      </c>
      <c r="S14" s="123">
        <v>0</v>
      </c>
      <c r="T14" s="103">
        <v>0</v>
      </c>
      <c r="U14" s="103">
        <v>0</v>
      </c>
      <c r="V14" s="103">
        <v>0</v>
      </c>
    </row>
    <row r="15" spans="2:22">
      <c r="B15" s="147" t="s">
        <v>1541</v>
      </c>
      <c r="C15" s="103">
        <v>13</v>
      </c>
      <c r="D15" s="103" t="s">
        <v>1692</v>
      </c>
      <c r="E15" s="122">
        <v>45460</v>
      </c>
      <c r="F15" s="103">
        <v>1</v>
      </c>
      <c r="G15" s="123">
        <v>1</v>
      </c>
      <c r="H15" s="103" t="s">
        <v>1582</v>
      </c>
      <c r="I15" s="103" t="s">
        <v>1570</v>
      </c>
      <c r="J15" s="103" t="s">
        <v>1570</v>
      </c>
      <c r="K15" s="103" t="s">
        <v>1570</v>
      </c>
      <c r="L15" s="122" t="s">
        <v>1570</v>
      </c>
      <c r="M15" s="103">
        <v>0</v>
      </c>
      <c r="N15" s="122" t="s">
        <v>1570</v>
      </c>
      <c r="O15" s="103" t="s">
        <v>1570</v>
      </c>
      <c r="P15" s="122" t="s">
        <v>1570</v>
      </c>
      <c r="Q15" s="122" t="s">
        <v>1570</v>
      </c>
      <c r="R15" s="103">
        <v>0</v>
      </c>
      <c r="S15" s="103" t="s">
        <v>1570</v>
      </c>
      <c r="T15" s="122" t="s">
        <v>1570</v>
      </c>
      <c r="U15" s="122" t="s">
        <v>1570</v>
      </c>
      <c r="V15" s="103" t="s">
        <v>1570</v>
      </c>
    </row>
    <row r="16" spans="2:22">
      <c r="B16" s="147" t="s">
        <v>1543</v>
      </c>
      <c r="C16" s="103">
        <v>14</v>
      </c>
      <c r="D16" s="103" t="s">
        <v>1693</v>
      </c>
      <c r="E16" s="122">
        <v>45460</v>
      </c>
      <c r="F16" s="103">
        <v>1</v>
      </c>
      <c r="G16" s="123">
        <v>1</v>
      </c>
      <c r="H16" s="103" t="s">
        <v>1582</v>
      </c>
      <c r="I16" s="103">
        <v>0</v>
      </c>
      <c r="J16" s="103">
        <v>0</v>
      </c>
      <c r="K16" s="103" t="s">
        <v>1570</v>
      </c>
      <c r="L16" s="103" t="s">
        <v>1570</v>
      </c>
      <c r="M16" s="103" t="s">
        <v>1570</v>
      </c>
      <c r="N16" s="103" t="s">
        <v>1570</v>
      </c>
      <c r="O16" s="103">
        <v>0</v>
      </c>
      <c r="P16" s="103" t="s">
        <v>1570</v>
      </c>
      <c r="Q16" s="103">
        <v>0</v>
      </c>
      <c r="R16" s="103" t="s">
        <v>1570</v>
      </c>
      <c r="S16" s="103" t="s">
        <v>1570</v>
      </c>
      <c r="T16" s="103" t="s">
        <v>1570</v>
      </c>
      <c r="U16" s="103" t="s">
        <v>1570</v>
      </c>
      <c r="V16" s="103" t="s">
        <v>1570</v>
      </c>
    </row>
    <row r="17" spans="2:22">
      <c r="B17" s="181" t="s">
        <v>1545</v>
      </c>
      <c r="C17" s="103">
        <v>15</v>
      </c>
      <c r="D17" s="103" t="s">
        <v>1694</v>
      </c>
      <c r="E17" s="122">
        <v>45460</v>
      </c>
      <c r="F17" s="103">
        <v>1</v>
      </c>
      <c r="G17" s="123">
        <v>1</v>
      </c>
      <c r="H17" s="103" t="s">
        <v>1582</v>
      </c>
      <c r="I17" s="103" t="s">
        <v>1570</v>
      </c>
      <c r="J17" s="103" t="s">
        <v>1570</v>
      </c>
      <c r="K17" s="103" t="s">
        <v>1570</v>
      </c>
      <c r="L17" s="103" t="s">
        <v>1570</v>
      </c>
      <c r="M17" s="103" t="s">
        <v>1570</v>
      </c>
      <c r="N17" s="103" t="s">
        <v>1570</v>
      </c>
      <c r="O17" s="103" t="s">
        <v>1570</v>
      </c>
      <c r="P17" s="103" t="s">
        <v>1570</v>
      </c>
      <c r="Q17" s="103" t="s">
        <v>1570</v>
      </c>
      <c r="R17" s="103" t="s">
        <v>1570</v>
      </c>
      <c r="S17" s="103" t="s">
        <v>1570</v>
      </c>
      <c r="T17" s="103" t="s">
        <v>1570</v>
      </c>
      <c r="U17" s="103" t="s">
        <v>1570</v>
      </c>
      <c r="V17" s="103" t="s">
        <v>1570</v>
      </c>
    </row>
    <row r="18" spans="2:22">
      <c r="B18" s="181" t="s">
        <v>1547</v>
      </c>
      <c r="C18" s="103">
        <v>16</v>
      </c>
      <c r="D18" s="103" t="s">
        <v>1694</v>
      </c>
      <c r="E18" s="122">
        <v>45460</v>
      </c>
      <c r="F18" s="103">
        <v>1</v>
      </c>
      <c r="G18" s="123">
        <v>1</v>
      </c>
      <c r="H18" s="103" t="s">
        <v>1582</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c r="V18" s="103" t="s">
        <v>1570</v>
      </c>
    </row>
    <row r="19" spans="2:22">
      <c r="B19" s="147" t="s">
        <v>1553</v>
      </c>
      <c r="C19" s="103">
        <v>19</v>
      </c>
      <c r="D19" s="103" t="s">
        <v>1695</v>
      </c>
      <c r="E19" s="122">
        <v>45460</v>
      </c>
      <c r="F19" s="103">
        <v>1</v>
      </c>
      <c r="G19" s="123" cm="1">
        <f t="array" aca="1" ref="G19" ca="1">SUMPRODUCT(--(ISNUMBER((SEARCH(I25:V25,I19:V19)))))/COUNTA(I19:V19)</f>
        <v>0.7857142857142857</v>
      </c>
      <c r="H19" s="103" t="s">
        <v>1582</v>
      </c>
      <c r="I19" s="103" t="s">
        <v>1596</v>
      </c>
      <c r="J19" s="103" t="s">
        <v>1596</v>
      </c>
      <c r="K19" s="103" t="s">
        <v>1596</v>
      </c>
      <c r="L19" s="103" t="s">
        <v>1596</v>
      </c>
      <c r="M19" s="103" t="s">
        <v>1596</v>
      </c>
      <c r="N19" s="103" t="s">
        <v>1596</v>
      </c>
      <c r="O19" s="103" t="s">
        <v>1596</v>
      </c>
      <c r="P19" s="103" t="s">
        <v>1596</v>
      </c>
      <c r="Q19" s="103" t="s">
        <v>1596</v>
      </c>
      <c r="R19" s="103" t="s">
        <v>1596</v>
      </c>
      <c r="S19" s="103" t="s">
        <v>1596</v>
      </c>
      <c r="T19" s="103" t="s">
        <v>1596</v>
      </c>
      <c r="U19" s="103" t="s">
        <v>1596</v>
      </c>
      <c r="V19" s="103" t="s">
        <v>1599</v>
      </c>
    </row>
    <row r="20" spans="2:22">
      <c r="B20" s="147" t="s">
        <v>1556</v>
      </c>
      <c r="C20" s="103">
        <v>20</v>
      </c>
      <c r="D20" s="103" t="s">
        <v>1695</v>
      </c>
      <c r="E20" s="122">
        <v>45460</v>
      </c>
      <c r="F20" s="103">
        <v>1</v>
      </c>
      <c r="G20" s="123" cm="1">
        <f t="array" ref="G20">SUM(IF(I2:V2 = I24:V24, 1, 0))/ COUNTA(I2:V2)</f>
        <v>1</v>
      </c>
      <c r="H20" s="103" t="s">
        <v>1582</v>
      </c>
      <c r="I20" s="103" t="s">
        <v>1570</v>
      </c>
      <c r="J20" s="103" t="s">
        <v>1570</v>
      </c>
      <c r="K20" s="103" t="s">
        <v>1570</v>
      </c>
      <c r="L20" s="103" t="s">
        <v>1570</v>
      </c>
      <c r="M20" s="103" t="s">
        <v>1570</v>
      </c>
      <c r="N20" s="103" t="s">
        <v>1570</v>
      </c>
      <c r="O20" s="103" t="s">
        <v>1570</v>
      </c>
      <c r="P20" s="103" t="s">
        <v>1570</v>
      </c>
      <c r="Q20" s="103" t="s">
        <v>1570</v>
      </c>
      <c r="R20" s="103" t="s">
        <v>1570</v>
      </c>
      <c r="S20" s="103" t="s">
        <v>1570</v>
      </c>
      <c r="T20" s="103" t="s">
        <v>1570</v>
      </c>
      <c r="U20" s="103" t="s">
        <v>1570</v>
      </c>
      <c r="V20" s="103" t="s">
        <v>1570</v>
      </c>
    </row>
    <row r="21" spans="2:22">
      <c r="B21" s="171" t="s">
        <v>1559</v>
      </c>
      <c r="C21" s="103">
        <v>21</v>
      </c>
      <c r="D21" s="103" t="s">
        <v>1695</v>
      </c>
      <c r="E21" s="122">
        <v>45460</v>
      </c>
      <c r="F21" s="103">
        <v>1</v>
      </c>
      <c r="G21" s="123" cm="1">
        <f t="array" aca="1" ref="G21" ca="1">SUM(IF(IF(G3:G20="null",1,G3:G20)=1,1,0))/COUNT(IF(G3:G20="null",1,1))</f>
        <v>0.88888888888888884</v>
      </c>
      <c r="H21" s="103"/>
      <c r="I21" s="103" t="s">
        <v>1570</v>
      </c>
      <c r="J21" s="103" t="s">
        <v>1570</v>
      </c>
      <c r="K21" s="103" t="s">
        <v>1570</v>
      </c>
      <c r="L21" s="103" t="s">
        <v>1570</v>
      </c>
      <c r="M21" s="103">
        <v>0</v>
      </c>
      <c r="N21" s="103" t="s">
        <v>1570</v>
      </c>
      <c r="O21" s="103" t="s">
        <v>1570</v>
      </c>
      <c r="P21" s="103" t="s">
        <v>1570</v>
      </c>
      <c r="Q21" s="103" t="s">
        <v>1570</v>
      </c>
      <c r="R21" s="103">
        <v>0</v>
      </c>
      <c r="S21" s="103" t="s">
        <v>1570</v>
      </c>
      <c r="T21" s="103" t="s">
        <v>1570</v>
      </c>
      <c r="U21" s="103" t="s">
        <v>1570</v>
      </c>
      <c r="V21" s="103" t="s">
        <v>1570</v>
      </c>
    </row>
    <row r="23" spans="2:22">
      <c r="B23" s="112" t="s">
        <v>1600</v>
      </c>
    </row>
    <row r="24" spans="2:22">
      <c r="B24" s="113" t="s">
        <v>1601</v>
      </c>
      <c r="C24" s="114" t="s">
        <v>1563</v>
      </c>
      <c r="D24" s="114" t="s">
        <v>1564</v>
      </c>
      <c r="E24" s="114" t="s">
        <v>1565</v>
      </c>
      <c r="F24" s="114" t="s">
        <v>1566</v>
      </c>
      <c r="G24" s="114" t="s">
        <v>1567</v>
      </c>
      <c r="H24" s="114" t="s">
        <v>1568</v>
      </c>
      <c r="I24" s="115" t="str" cm="1">
        <f t="array" ref="I24:V24">TRANSPOSE(_xlfn.SORTBY(_xlfn._xlws.FILTER(Table2[NOME FÍSICO CAMPO],Table2[NOME FÍSICO TABELA]="incomesaving_account_transaction"), _xlfn._xlws.FILTER(Table2[ORDEM], Table2[NOME FÍSICO TABELA]="incomesaving_account_transaction"), 1))</f>
        <v>bank_id</v>
      </c>
      <c r="J24" s="115" t="str">
        <v>contract_id</v>
      </c>
      <c r="K24" s="115" t="str">
        <v>order_number</v>
      </c>
      <c r="L24" s="115" t="str">
        <v>order_number_stage</v>
      </c>
      <c r="M24" s="115" t="str">
        <v>transaction_execution_date</v>
      </c>
      <c r="N24" s="115" t="str">
        <v>amount</v>
      </c>
      <c r="O24" s="115" t="str">
        <v>transaction_type_code</v>
      </c>
      <c r="P24" s="115" t="str">
        <v>financial_flow_indicator</v>
      </c>
      <c r="Q24" s="115" t="str">
        <v>currency_code</v>
      </c>
      <c r="R24" s="115" t="str">
        <v>transaction_date</v>
      </c>
      <c r="S24" s="115" t="str">
        <v>description</v>
      </c>
      <c r="T24" s="186" t="str">
        <v>source_code</v>
      </c>
      <c r="U24" s="115" t="str">
        <v>data_date_part</v>
      </c>
      <c r="V24" s="116" t="str">
        <v>data_timestamp_part</v>
      </c>
    </row>
    <row r="25" spans="2:22">
      <c r="B25" s="106" t="s">
        <v>1602</v>
      </c>
      <c r="C25" s="119">
        <v>21</v>
      </c>
      <c r="D25" s="108" t="s">
        <v>1603</v>
      </c>
      <c r="E25" s="107" t="s">
        <v>1604</v>
      </c>
      <c r="F25" s="107" t="s">
        <v>1051</v>
      </c>
      <c r="G25" s="107" t="s">
        <v>1051</v>
      </c>
      <c r="H25" s="107" t="s">
        <v>1051</v>
      </c>
      <c r="I25" s="107" t="str" cm="1">
        <f t="array" aca="1" ref="I25:V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7" t="str">
        <f ca="1"/>
        <v>STRING</v>
      </c>
      <c r="K25" s="107" t="str">
        <f ca="1"/>
        <v>BIGINT</v>
      </c>
      <c r="L25" s="107" t="str">
        <f ca="1"/>
        <v>BIGINT</v>
      </c>
      <c r="M25" s="107" t="str">
        <f ca="1"/>
        <v>STRING</v>
      </c>
      <c r="N25" s="107" t="str">
        <f ca="1"/>
        <v>DECIMAL</v>
      </c>
      <c r="O25" s="107" t="str">
        <f ca="1"/>
        <v>STRING</v>
      </c>
      <c r="P25" s="107" t="str">
        <f ca="1"/>
        <v>STRING</v>
      </c>
      <c r="Q25" s="107" t="str">
        <f ca="1"/>
        <v>STRING</v>
      </c>
      <c r="R25" s="107" t="str">
        <f ca="1"/>
        <v>STRING</v>
      </c>
      <c r="S25" s="107" t="str">
        <f ca="1"/>
        <v>STRING</v>
      </c>
      <c r="T25" s="107" t="str">
        <f ca="1"/>
        <v>STRING</v>
      </c>
      <c r="U25" s="107" t="str">
        <f ca="1"/>
        <v>STRING</v>
      </c>
      <c r="V25" s="118" t="str">
        <f ca="1"/>
        <v>TIMESTAMP</v>
      </c>
    </row>
    <row r="26" spans="2:22">
      <c r="B26" s="106" t="s">
        <v>1605</v>
      </c>
      <c r="C26" s="119">
        <v>7</v>
      </c>
      <c r="D26" s="108" t="s">
        <v>1603</v>
      </c>
      <c r="E26" s="107" t="s">
        <v>1604</v>
      </c>
      <c r="F26" s="107" t="s">
        <v>1051</v>
      </c>
      <c r="G26" s="107" t="s">
        <v>1051</v>
      </c>
      <c r="H26" s="107" t="s">
        <v>1051</v>
      </c>
      <c r="I26" s="119">
        <f ca="1"/>
        <v>3</v>
      </c>
      <c r="J26" s="119">
        <f ca="1"/>
        <v>30</v>
      </c>
      <c r="K26" s="119">
        <f ca="1"/>
        <v>9999999</v>
      </c>
      <c r="L26" s="119">
        <f ca="1"/>
        <v>9999999</v>
      </c>
      <c r="M26" s="119">
        <f ca="1"/>
        <v>10</v>
      </c>
      <c r="N26" s="119">
        <f ca="1"/>
        <v>23</v>
      </c>
      <c r="O26" s="119">
        <f ca="1"/>
        <v>20</v>
      </c>
      <c r="P26" s="119">
        <f ca="1"/>
        <v>4</v>
      </c>
      <c r="Q26" s="119">
        <f ca="1"/>
        <v>10</v>
      </c>
      <c r="R26" s="119">
        <f ca="1"/>
        <v>10</v>
      </c>
      <c r="S26" s="119">
        <f ca="1"/>
        <v>9999999</v>
      </c>
      <c r="T26" s="119">
        <f ca="1"/>
        <v>3</v>
      </c>
      <c r="U26" s="119">
        <f ca="1"/>
        <v>10</v>
      </c>
      <c r="V26" s="120">
        <f ca="1"/>
        <v>23</v>
      </c>
    </row>
    <row r="29" spans="2:22">
      <c r="B29" s="129" t="s">
        <v>1606</v>
      </c>
    </row>
    <row r="30" spans="2:22">
      <c r="B30" s="138" t="s">
        <v>1607</v>
      </c>
      <c r="C30" s="138" t="s">
        <v>1608</v>
      </c>
      <c r="D30" s="139" t="s">
        <v>1609</v>
      </c>
      <c r="E30" s="138" t="s">
        <v>1610</v>
      </c>
      <c r="F30" s="138" t="s">
        <v>1611</v>
      </c>
    </row>
    <row r="31" spans="2:22" ht="60.75">
      <c r="B31" s="184" t="s">
        <v>1612</v>
      </c>
      <c r="C31" s="88" t="s">
        <v>765</v>
      </c>
      <c r="D31" s="92" t="s">
        <v>1644</v>
      </c>
      <c r="E31" s="185" t="s">
        <v>1696</v>
      </c>
      <c r="F31" s="137" t="s">
        <v>1617</v>
      </c>
      <c r="G31" s="146"/>
    </row>
    <row r="32" spans="2:22" ht="60.75">
      <c r="B32" s="80" t="s">
        <v>1612</v>
      </c>
      <c r="C32" s="92" t="s">
        <v>753</v>
      </c>
      <c r="D32" s="88" t="s">
        <v>1646</v>
      </c>
      <c r="E32" s="185" t="s">
        <v>1696</v>
      </c>
      <c r="F32" s="82" t="s">
        <v>1617</v>
      </c>
    </row>
    <row r="33" spans="4:26">
      <c r="D33" s="145"/>
      <c r="F33" s="146"/>
    </row>
    <row r="34" spans="4:26">
      <c r="D34" s="145"/>
    </row>
    <row r="35" spans="4:26">
      <c r="D35" s="145"/>
    </row>
    <row r="36" spans="4:26">
      <c r="D36" s="145"/>
    </row>
    <row r="37" spans="4:26">
      <c r="D37" s="145"/>
    </row>
    <row r="38" spans="4:26">
      <c r="D38" s="145"/>
      <c r="O38" s="145"/>
    </row>
    <row r="39" spans="4:26">
      <c r="D39" s="145"/>
      <c r="O39" s="145"/>
    </row>
    <row r="40" spans="4:26">
      <c r="D40" s="145"/>
    </row>
    <row r="41" spans="4:26">
      <c r="D41" s="145"/>
      <c r="F41" s="146"/>
      <c r="O41" s="24"/>
      <c r="Z41" s="145"/>
    </row>
    <row r="42" spans="4:26">
      <c r="D42" s="145"/>
      <c r="F42" s="146"/>
      <c r="Z42" s="145"/>
    </row>
    <row r="43" spans="4:26">
      <c r="D43" s="145"/>
      <c r="F43" s="146"/>
      <c r="Z43" s="145"/>
    </row>
    <row r="44" spans="4:26">
      <c r="D44" s="145"/>
      <c r="F44" s="146"/>
      <c r="Z44" s="145"/>
    </row>
    <row r="45" spans="4:26">
      <c r="D45" s="145"/>
      <c r="F45" s="146"/>
    </row>
    <row r="46" spans="4:26">
      <c r="D46" s="145"/>
      <c r="F46" s="146"/>
    </row>
    <row r="47" spans="4:26">
      <c r="D47" s="145"/>
      <c r="F47" s="146"/>
    </row>
    <row r="48" spans="4:26">
      <c r="D48" s="145"/>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D1" workbookViewId="0">
      <selection activeCell="G20" sqref="G20"/>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02" t="s">
        <v>1562</v>
      </c>
      <c r="C2" s="102" t="s">
        <v>1563</v>
      </c>
      <c r="D2" s="102" t="s">
        <v>1564</v>
      </c>
      <c r="E2" s="102" t="s">
        <v>1565</v>
      </c>
      <c r="F2" s="102" t="s">
        <v>1566</v>
      </c>
      <c r="G2" s="102" t="s">
        <v>1567</v>
      </c>
      <c r="H2" s="102" t="s">
        <v>1568</v>
      </c>
      <c r="I2" s="153" t="s">
        <v>691</v>
      </c>
      <c r="J2" s="153" t="s">
        <v>706</v>
      </c>
      <c r="K2" s="153" t="s">
        <v>716</v>
      </c>
      <c r="L2" s="153" t="s">
        <v>727</v>
      </c>
      <c r="M2" s="187" t="s">
        <v>753</v>
      </c>
      <c r="N2" s="187" t="s">
        <v>735</v>
      </c>
      <c r="O2" s="187" t="s">
        <v>744</v>
      </c>
      <c r="P2" s="153" t="s">
        <v>1135</v>
      </c>
      <c r="Q2" s="153" t="s">
        <v>1142</v>
      </c>
      <c r="R2" s="153" t="s">
        <v>765</v>
      </c>
      <c r="S2" s="153" t="s">
        <v>1150</v>
      </c>
      <c r="T2" s="153" t="s">
        <v>1158</v>
      </c>
      <c r="U2" s="153" t="s">
        <v>1163</v>
      </c>
      <c r="V2" s="153" t="s">
        <v>1174</v>
      </c>
      <c r="W2" s="153" t="s">
        <v>908</v>
      </c>
      <c r="X2" s="153" t="s">
        <v>1182</v>
      </c>
      <c r="Y2" s="153" t="s">
        <v>776</v>
      </c>
      <c r="Z2" s="187" t="s">
        <v>789</v>
      </c>
      <c r="AA2" s="153" t="s">
        <v>1197</v>
      </c>
      <c r="AB2" s="153" t="s">
        <v>796</v>
      </c>
      <c r="AC2" s="153" t="s">
        <v>804</v>
      </c>
      <c r="AD2" s="153" t="s">
        <v>811</v>
      </c>
    </row>
    <row r="3" spans="2:30">
      <c r="B3" s="147" t="s">
        <v>1516</v>
      </c>
      <c r="C3" s="103">
        <v>1</v>
      </c>
      <c r="D3" s="103" t="s">
        <v>1697</v>
      </c>
      <c r="E3" s="122">
        <v>45390</v>
      </c>
      <c r="F3" s="103">
        <v>1</v>
      </c>
      <c r="G3" s="123">
        <v>1</v>
      </c>
      <c r="H3" s="123">
        <v>3277</v>
      </c>
      <c r="I3" s="152" t="s">
        <v>1570</v>
      </c>
      <c r="J3" s="152" t="s">
        <v>1570</v>
      </c>
      <c r="K3" s="152" t="s">
        <v>1570</v>
      </c>
      <c r="L3" s="152" t="s">
        <v>1570</v>
      </c>
      <c r="M3" s="188" t="s">
        <v>1570</v>
      </c>
      <c r="N3" s="188" t="s">
        <v>1570</v>
      </c>
      <c r="O3" s="188" t="s">
        <v>1570</v>
      </c>
      <c r="P3" s="152" t="s">
        <v>1570</v>
      </c>
      <c r="Q3" s="152" t="s">
        <v>1570</v>
      </c>
      <c r="R3" s="152" t="s">
        <v>1570</v>
      </c>
      <c r="S3" s="152" t="s">
        <v>1570</v>
      </c>
      <c r="T3" s="152" t="s">
        <v>1570</v>
      </c>
      <c r="U3" s="152" t="s">
        <v>1570</v>
      </c>
      <c r="V3" s="152" t="s">
        <v>1570</v>
      </c>
      <c r="W3" s="152" t="s">
        <v>1570</v>
      </c>
      <c r="X3" s="152" t="s">
        <v>1570</v>
      </c>
      <c r="Y3" s="152" t="s">
        <v>1570</v>
      </c>
      <c r="Z3" s="188" t="s">
        <v>1570</v>
      </c>
      <c r="AA3" s="152" t="s">
        <v>1570</v>
      </c>
      <c r="AB3" s="152" t="s">
        <v>1570</v>
      </c>
      <c r="AC3" s="152" t="s">
        <v>1570</v>
      </c>
      <c r="AD3" s="152" t="s">
        <v>1570</v>
      </c>
    </row>
    <row r="4" spans="2:30">
      <c r="B4" s="147" t="s">
        <v>1518</v>
      </c>
      <c r="C4" s="103">
        <v>2</v>
      </c>
      <c r="D4" s="103" t="s">
        <v>1698</v>
      </c>
      <c r="E4" s="122">
        <v>45390</v>
      </c>
      <c r="F4" s="103">
        <v>1</v>
      </c>
      <c r="G4" s="123">
        <v>1</v>
      </c>
      <c r="H4" s="103" t="s">
        <v>1572</v>
      </c>
      <c r="I4" s="152" t="s">
        <v>1570</v>
      </c>
      <c r="J4" s="152" t="s">
        <v>1570</v>
      </c>
      <c r="K4" s="152" t="s">
        <v>1570</v>
      </c>
      <c r="L4" s="152" t="s">
        <v>1570</v>
      </c>
      <c r="M4" s="188" t="s">
        <v>1570</v>
      </c>
      <c r="N4" s="188" t="s">
        <v>1570</v>
      </c>
      <c r="O4" s="188" t="s">
        <v>1570</v>
      </c>
      <c r="P4" s="152" t="s">
        <v>1570</v>
      </c>
      <c r="Q4" s="152" t="s">
        <v>1570</v>
      </c>
      <c r="R4" s="152" t="s">
        <v>1570</v>
      </c>
      <c r="S4" s="152" t="s">
        <v>1570</v>
      </c>
      <c r="T4" s="152" t="s">
        <v>1570</v>
      </c>
      <c r="U4" s="152" t="s">
        <v>1570</v>
      </c>
      <c r="V4" s="152" t="s">
        <v>1570</v>
      </c>
      <c r="W4" s="152" t="s">
        <v>1570</v>
      </c>
      <c r="X4" s="152" t="s">
        <v>1570</v>
      </c>
      <c r="Y4" s="152" t="s">
        <v>1570</v>
      </c>
      <c r="Z4" s="188" t="s">
        <v>1570</v>
      </c>
      <c r="AA4" s="152" t="s">
        <v>1570</v>
      </c>
      <c r="AB4" s="152" t="s">
        <v>1570</v>
      </c>
      <c r="AC4" s="152" t="s">
        <v>1570</v>
      </c>
      <c r="AD4" s="152" t="s">
        <v>1570</v>
      </c>
    </row>
    <row r="5" spans="2:30">
      <c r="B5" s="147" t="s">
        <v>1520</v>
      </c>
      <c r="C5" s="103">
        <v>3</v>
      </c>
      <c r="D5" s="103" t="s">
        <v>1699</v>
      </c>
      <c r="E5" s="122">
        <v>45390</v>
      </c>
      <c r="F5" s="103">
        <v>1</v>
      </c>
      <c r="G5" s="103">
        <v>0.42857099999999998</v>
      </c>
      <c r="H5" s="123">
        <v>6</v>
      </c>
      <c r="I5" s="152" t="s">
        <v>1700</v>
      </c>
      <c r="J5" s="152" t="s">
        <v>1700</v>
      </c>
      <c r="K5" s="152" t="s">
        <v>1701</v>
      </c>
      <c r="L5" s="152" t="s">
        <v>1701</v>
      </c>
      <c r="M5" s="188" t="s">
        <v>1570</v>
      </c>
      <c r="N5" s="188" t="s">
        <v>1570</v>
      </c>
      <c r="O5" s="188" t="s">
        <v>1570</v>
      </c>
      <c r="P5" s="152" t="s">
        <v>1701</v>
      </c>
      <c r="Q5" s="152" t="s">
        <v>1701</v>
      </c>
      <c r="R5" s="152" t="s">
        <v>1570</v>
      </c>
      <c r="S5" s="152" t="s">
        <v>1570</v>
      </c>
      <c r="T5" s="152" t="s">
        <v>1570</v>
      </c>
      <c r="U5" s="152" t="s">
        <v>1570</v>
      </c>
      <c r="V5" s="152" t="s">
        <v>1570</v>
      </c>
      <c r="W5" s="152" t="s">
        <v>1570</v>
      </c>
      <c r="X5" s="152" t="s">
        <v>1570</v>
      </c>
      <c r="Y5" s="152" t="s">
        <v>1570</v>
      </c>
      <c r="Z5" s="188" t="s">
        <v>1570</v>
      </c>
      <c r="AA5" s="152" t="s">
        <v>1570</v>
      </c>
      <c r="AB5" s="152" t="s">
        <v>1570</v>
      </c>
      <c r="AC5" s="152" t="s">
        <v>1701</v>
      </c>
      <c r="AD5" s="152" t="s">
        <v>1570</v>
      </c>
    </row>
    <row r="6" spans="2:30">
      <c r="B6" s="93" t="s">
        <v>1522</v>
      </c>
      <c r="C6" s="103">
        <v>4</v>
      </c>
      <c r="D6" s="103" t="s">
        <v>1699</v>
      </c>
      <c r="E6" s="122">
        <v>45390</v>
      </c>
      <c r="F6" s="103">
        <v>1</v>
      </c>
      <c r="G6" s="103" t="s">
        <v>1570</v>
      </c>
      <c r="H6" s="103"/>
      <c r="I6" s="152" t="s">
        <v>1570</v>
      </c>
      <c r="J6" s="152" t="s">
        <v>1570</v>
      </c>
      <c r="K6" s="152" t="s">
        <v>1570</v>
      </c>
      <c r="L6" s="152" t="s">
        <v>1570</v>
      </c>
      <c r="M6" s="188" t="s">
        <v>1570</v>
      </c>
      <c r="N6" s="188" t="s">
        <v>1570</v>
      </c>
      <c r="O6" s="188" t="s">
        <v>1570</v>
      </c>
      <c r="P6" s="152" t="s">
        <v>1570</v>
      </c>
      <c r="Q6" s="152" t="s">
        <v>1570</v>
      </c>
      <c r="R6" s="152" t="s">
        <v>1570</v>
      </c>
      <c r="S6" s="152" t="s">
        <v>1570</v>
      </c>
      <c r="T6" s="152" t="s">
        <v>1570</v>
      </c>
      <c r="U6" s="152" t="s">
        <v>1570</v>
      </c>
      <c r="V6" s="152" t="s">
        <v>1570</v>
      </c>
      <c r="W6" s="152" t="s">
        <v>1570</v>
      </c>
      <c r="X6" s="152" t="s">
        <v>1570</v>
      </c>
      <c r="Y6" s="152" t="s">
        <v>1570</v>
      </c>
      <c r="Z6" s="188" t="s">
        <v>1570</v>
      </c>
      <c r="AA6" s="152" t="s">
        <v>1570</v>
      </c>
      <c r="AB6" s="152" t="s">
        <v>1570</v>
      </c>
      <c r="AC6" s="152" t="s">
        <v>1570</v>
      </c>
      <c r="AD6" s="152" t="s">
        <v>1570</v>
      </c>
    </row>
    <row r="7" spans="2:30">
      <c r="B7" s="93" t="s">
        <v>1524</v>
      </c>
      <c r="C7" s="103">
        <v>5</v>
      </c>
      <c r="D7" s="103" t="s">
        <v>1699</v>
      </c>
      <c r="E7" s="122">
        <v>45390</v>
      </c>
      <c r="F7" s="103">
        <v>1</v>
      </c>
      <c r="G7" s="103" t="s">
        <v>1570</v>
      </c>
      <c r="H7" s="103"/>
      <c r="I7" s="152" t="s">
        <v>1570</v>
      </c>
      <c r="J7" s="152" t="s">
        <v>1570</v>
      </c>
      <c r="K7" s="152" t="s">
        <v>1570</v>
      </c>
      <c r="L7" s="152" t="s">
        <v>1570</v>
      </c>
      <c r="M7" s="188" t="s">
        <v>1570</v>
      </c>
      <c r="N7" s="188" t="s">
        <v>1570</v>
      </c>
      <c r="O7" s="188" t="s">
        <v>1570</v>
      </c>
      <c r="P7" s="152" t="s">
        <v>1570</v>
      </c>
      <c r="Q7" s="152" t="s">
        <v>1570</v>
      </c>
      <c r="R7" s="152" t="s">
        <v>1570</v>
      </c>
      <c r="S7" s="152" t="s">
        <v>1570</v>
      </c>
      <c r="T7" s="152" t="s">
        <v>1570</v>
      </c>
      <c r="U7" s="152" t="s">
        <v>1570</v>
      </c>
      <c r="V7" s="152" t="s">
        <v>1570</v>
      </c>
      <c r="W7" s="152" t="s">
        <v>1570</v>
      </c>
      <c r="X7" s="152" t="s">
        <v>1570</v>
      </c>
      <c r="Y7" s="152" t="s">
        <v>1570</v>
      </c>
      <c r="Z7" s="188" t="s">
        <v>1570</v>
      </c>
      <c r="AA7" s="152" t="s">
        <v>1570</v>
      </c>
      <c r="AB7" s="152" t="s">
        <v>1570</v>
      </c>
      <c r="AC7" s="152" t="s">
        <v>1570</v>
      </c>
      <c r="AD7" s="152" t="s">
        <v>1570</v>
      </c>
    </row>
    <row r="8" spans="2:30">
      <c r="B8" s="178" t="s">
        <v>1525</v>
      </c>
      <c r="C8" s="103">
        <v>6</v>
      </c>
      <c r="D8" s="103" t="s">
        <v>1702</v>
      </c>
      <c r="E8" s="122">
        <v>45390</v>
      </c>
      <c r="F8" s="103">
        <v>1</v>
      </c>
      <c r="G8" s="103" cm="1">
        <f t="array" ref="G8">SUMPRODUCT(--(I8:AD8&gt;0))/COUNTA(I8:AD8)</f>
        <v>1</v>
      </c>
      <c r="H8" s="103" t="s">
        <v>1572</v>
      </c>
      <c r="I8" s="103">
        <v>2</v>
      </c>
      <c r="J8" s="103">
        <v>30</v>
      </c>
      <c r="K8" s="103">
        <v>13</v>
      </c>
      <c r="L8" s="103">
        <v>1</v>
      </c>
      <c r="M8" s="148" t="s">
        <v>1576</v>
      </c>
      <c r="N8" s="148">
        <v>19</v>
      </c>
      <c r="O8" s="148">
        <v>8</v>
      </c>
      <c r="P8" s="103">
        <v>2</v>
      </c>
      <c r="Q8" s="103">
        <v>11</v>
      </c>
      <c r="R8" s="103" t="s">
        <v>1576</v>
      </c>
      <c r="S8" s="103">
        <v>10</v>
      </c>
      <c r="T8" s="103">
        <v>2</v>
      </c>
      <c r="U8" s="103">
        <v>30</v>
      </c>
      <c r="V8" s="103">
        <v>34</v>
      </c>
      <c r="W8" s="103">
        <v>1</v>
      </c>
      <c r="X8" s="103">
        <v>1</v>
      </c>
      <c r="Y8" s="103">
        <v>3</v>
      </c>
      <c r="Z8" s="148">
        <v>19</v>
      </c>
      <c r="AA8" s="103">
        <v>1</v>
      </c>
      <c r="AB8" s="103">
        <v>2</v>
      </c>
      <c r="AC8" s="103">
        <v>10</v>
      </c>
      <c r="AD8" s="103">
        <v>23</v>
      </c>
    </row>
    <row r="9" spans="2:30">
      <c r="B9" s="147" t="s">
        <v>1528</v>
      </c>
      <c r="C9" s="103">
        <v>7</v>
      </c>
      <c r="D9" s="103" t="s">
        <v>1703</v>
      </c>
      <c r="E9" s="122">
        <v>45390</v>
      </c>
      <c r="F9" s="103">
        <v>1</v>
      </c>
      <c r="G9" s="167" cm="1">
        <f t="array" aca="1" ref="G9" ca="1">SUMPRODUCT(--(I9:AD9&lt;=I26:AD26))/COUNTA(I9:AD9)</f>
        <v>0.81818181818181823</v>
      </c>
      <c r="H9" s="103" t="s">
        <v>1572</v>
      </c>
      <c r="I9" s="103">
        <v>2</v>
      </c>
      <c r="J9" s="103">
        <v>30</v>
      </c>
      <c r="K9" s="103">
        <v>13</v>
      </c>
      <c r="L9" s="103">
        <v>1</v>
      </c>
      <c r="M9" s="148" t="s">
        <v>1576</v>
      </c>
      <c r="N9" s="148">
        <v>19</v>
      </c>
      <c r="O9" s="148">
        <v>14</v>
      </c>
      <c r="P9" s="103">
        <v>2</v>
      </c>
      <c r="Q9" s="103">
        <v>11</v>
      </c>
      <c r="R9" s="103" t="s">
        <v>1576</v>
      </c>
      <c r="S9" s="103">
        <v>10</v>
      </c>
      <c r="T9" s="103">
        <v>2</v>
      </c>
      <c r="U9" s="103">
        <v>30</v>
      </c>
      <c r="V9" s="103">
        <v>34</v>
      </c>
      <c r="W9" s="103">
        <v>1</v>
      </c>
      <c r="X9" s="103">
        <v>1</v>
      </c>
      <c r="Y9" s="103">
        <v>3</v>
      </c>
      <c r="Z9" s="148">
        <v>19</v>
      </c>
      <c r="AA9" s="103">
        <v>13</v>
      </c>
      <c r="AB9" s="103">
        <v>2</v>
      </c>
      <c r="AC9" s="103">
        <v>10</v>
      </c>
      <c r="AD9" s="103">
        <v>23</v>
      </c>
    </row>
    <row r="10" spans="2:30">
      <c r="B10" s="147" t="s">
        <v>1531</v>
      </c>
      <c r="C10" s="103">
        <v>8</v>
      </c>
      <c r="D10" s="103" t="s">
        <v>1704</v>
      </c>
      <c r="E10" s="122">
        <v>45390</v>
      </c>
      <c r="F10" s="103">
        <v>1</v>
      </c>
      <c r="G10" s="152" t="s">
        <v>1570</v>
      </c>
      <c r="H10" s="103" t="s">
        <v>1572</v>
      </c>
      <c r="I10" s="152" t="s">
        <v>1705</v>
      </c>
      <c r="J10" s="152" t="s">
        <v>1706</v>
      </c>
      <c r="K10" s="152" t="s">
        <v>1707</v>
      </c>
      <c r="L10" s="152" t="s">
        <v>1708</v>
      </c>
      <c r="M10" s="188" t="s">
        <v>1576</v>
      </c>
      <c r="N10" s="191">
        <v>45322</v>
      </c>
      <c r="O10" s="188" t="s">
        <v>1709</v>
      </c>
      <c r="P10" s="152" t="s">
        <v>1705</v>
      </c>
      <c r="Q10" s="152" t="s">
        <v>1710</v>
      </c>
      <c r="R10" s="152" t="s">
        <v>1576</v>
      </c>
      <c r="S10" s="152" t="s">
        <v>1711</v>
      </c>
      <c r="T10" s="152" t="s">
        <v>1712</v>
      </c>
      <c r="U10" s="152" t="s">
        <v>1713</v>
      </c>
      <c r="V10" s="152" t="s">
        <v>1714</v>
      </c>
      <c r="W10" s="103">
        <v>0</v>
      </c>
      <c r="X10" s="152" t="s">
        <v>1701</v>
      </c>
      <c r="Y10" s="152" t="s">
        <v>1715</v>
      </c>
      <c r="Z10" s="188" t="s">
        <v>1716</v>
      </c>
      <c r="AA10" s="152" t="s">
        <v>1701</v>
      </c>
      <c r="AB10" s="152" t="s">
        <v>1717</v>
      </c>
      <c r="AC10" s="152" t="s">
        <v>1718</v>
      </c>
      <c r="AD10" s="152" t="s">
        <v>1719</v>
      </c>
    </row>
    <row r="11" spans="2:30">
      <c r="B11" s="147" t="s">
        <v>1533</v>
      </c>
      <c r="C11" s="103">
        <v>9</v>
      </c>
      <c r="D11" s="103" t="s">
        <v>1720</v>
      </c>
      <c r="E11" s="122">
        <v>45390</v>
      </c>
      <c r="F11" s="103">
        <v>1</v>
      </c>
      <c r="G11" s="103" t="s">
        <v>1570</v>
      </c>
      <c r="H11" s="103" t="s">
        <v>1572</v>
      </c>
      <c r="I11" s="152" t="s">
        <v>1705</v>
      </c>
      <c r="J11" s="152" t="s">
        <v>1706</v>
      </c>
      <c r="K11" s="152" t="s">
        <v>1707</v>
      </c>
      <c r="L11" s="152" t="s">
        <v>1708</v>
      </c>
      <c r="M11" s="188" t="s">
        <v>1576</v>
      </c>
      <c r="N11" s="191">
        <v>45322</v>
      </c>
      <c r="O11" s="188" t="s">
        <v>1681</v>
      </c>
      <c r="P11" s="152" t="s">
        <v>1705</v>
      </c>
      <c r="Q11" s="152" t="s">
        <v>1710</v>
      </c>
      <c r="R11" s="152" t="s">
        <v>1576</v>
      </c>
      <c r="S11" s="152" t="s">
        <v>1711</v>
      </c>
      <c r="T11" s="152" t="s">
        <v>1712</v>
      </c>
      <c r="U11" s="152" t="s">
        <v>1713</v>
      </c>
      <c r="V11" s="152" t="s">
        <v>1714</v>
      </c>
      <c r="W11" s="103">
        <v>0</v>
      </c>
      <c r="X11" s="152" t="s">
        <v>1701</v>
      </c>
      <c r="Y11" s="152" t="s">
        <v>1715</v>
      </c>
      <c r="Z11" s="188" t="s">
        <v>1716</v>
      </c>
      <c r="AA11" s="152" t="s">
        <v>1701</v>
      </c>
      <c r="AB11" s="152" t="s">
        <v>1717</v>
      </c>
      <c r="AC11" s="152" t="s">
        <v>1718</v>
      </c>
      <c r="AD11" s="152" t="s">
        <v>1721</v>
      </c>
    </row>
    <row r="12" spans="2:30">
      <c r="B12" s="170" t="s">
        <v>1535</v>
      </c>
      <c r="C12" s="103">
        <v>10</v>
      </c>
      <c r="D12" s="103" t="s">
        <v>1722</v>
      </c>
      <c r="E12" s="122">
        <v>45390</v>
      </c>
      <c r="F12" s="103">
        <v>1</v>
      </c>
      <c r="G12" s="103" t="s">
        <v>1570</v>
      </c>
      <c r="H12" s="103" t="s">
        <v>1572</v>
      </c>
      <c r="I12" s="152" t="s">
        <v>1705</v>
      </c>
      <c r="J12" s="152" t="s">
        <v>1723</v>
      </c>
      <c r="K12" s="152" t="s">
        <v>1724</v>
      </c>
      <c r="L12" s="152" t="s">
        <v>1708</v>
      </c>
      <c r="M12" s="188" t="s">
        <v>1576</v>
      </c>
      <c r="N12" s="191">
        <v>45391</v>
      </c>
      <c r="O12" s="188" t="s">
        <v>1725</v>
      </c>
      <c r="P12" s="152" t="s">
        <v>1705</v>
      </c>
      <c r="Q12" s="152" t="s">
        <v>1726</v>
      </c>
      <c r="R12" s="152" t="s">
        <v>1576</v>
      </c>
      <c r="S12" s="152" t="s">
        <v>1727</v>
      </c>
      <c r="T12" s="152" t="s">
        <v>1712</v>
      </c>
      <c r="U12" s="152" t="s">
        <v>1728</v>
      </c>
      <c r="V12" s="152" t="s">
        <v>1729</v>
      </c>
      <c r="W12" s="103">
        <v>1</v>
      </c>
      <c r="X12" s="152" t="s">
        <v>1708</v>
      </c>
      <c r="Y12" s="152" t="s">
        <v>1730</v>
      </c>
      <c r="Z12" s="188" t="s">
        <v>1731</v>
      </c>
      <c r="AA12" s="152" t="s">
        <v>1732</v>
      </c>
      <c r="AB12" s="152" t="s">
        <v>1717</v>
      </c>
      <c r="AC12" s="152" t="s">
        <v>1718</v>
      </c>
      <c r="AD12" s="152" t="s">
        <v>1719</v>
      </c>
    </row>
    <row r="13" spans="2:30">
      <c r="B13" s="147" t="s">
        <v>1537</v>
      </c>
      <c r="C13" s="103">
        <v>11</v>
      </c>
      <c r="D13" s="103" t="s">
        <v>1733</v>
      </c>
      <c r="E13" s="122">
        <v>45390</v>
      </c>
      <c r="F13" s="103">
        <v>1</v>
      </c>
      <c r="G13" s="103" t="s">
        <v>1570</v>
      </c>
      <c r="H13" s="103" t="s">
        <v>1572</v>
      </c>
      <c r="I13" s="152" t="s">
        <v>1705</v>
      </c>
      <c r="J13" s="152" t="s">
        <v>1723</v>
      </c>
      <c r="K13" s="152" t="s">
        <v>1724</v>
      </c>
      <c r="L13" s="152" t="s">
        <v>1708</v>
      </c>
      <c r="M13" s="188" t="s">
        <v>1576</v>
      </c>
      <c r="N13" s="191">
        <v>45391</v>
      </c>
      <c r="O13" s="188" t="s">
        <v>1734</v>
      </c>
      <c r="P13" s="152" t="s">
        <v>1705</v>
      </c>
      <c r="Q13" s="152" t="s">
        <v>1726</v>
      </c>
      <c r="R13" s="152" t="s">
        <v>1576</v>
      </c>
      <c r="S13" s="152" t="s">
        <v>1727</v>
      </c>
      <c r="T13" s="152" t="s">
        <v>1712</v>
      </c>
      <c r="U13" s="152" t="s">
        <v>1728</v>
      </c>
      <c r="V13" s="152" t="s">
        <v>1729</v>
      </c>
      <c r="W13" s="103">
        <v>1</v>
      </c>
      <c r="X13" s="152" t="s">
        <v>1708</v>
      </c>
      <c r="Y13" s="152" t="s">
        <v>1730</v>
      </c>
      <c r="Z13" s="188" t="s">
        <v>1731</v>
      </c>
      <c r="AA13" s="152" t="s">
        <v>1732</v>
      </c>
      <c r="AB13" s="152" t="s">
        <v>1717</v>
      </c>
      <c r="AC13" s="152" t="s">
        <v>1718</v>
      </c>
      <c r="AD13" s="152" t="s">
        <v>1735</v>
      </c>
    </row>
    <row r="14" spans="2:30">
      <c r="B14" s="147" t="s">
        <v>1539</v>
      </c>
      <c r="C14" s="103">
        <v>12</v>
      </c>
      <c r="D14" s="103" t="s">
        <v>1736</v>
      </c>
      <c r="E14" s="122">
        <v>45390</v>
      </c>
      <c r="F14" s="103">
        <v>1</v>
      </c>
      <c r="G14" s="103">
        <v>0.40909099999999998</v>
      </c>
      <c r="H14" s="103" t="s">
        <v>1572</v>
      </c>
      <c r="I14" s="152" t="s">
        <v>1700</v>
      </c>
      <c r="J14" s="152" t="s">
        <v>1700</v>
      </c>
      <c r="K14" s="152" t="s">
        <v>1701</v>
      </c>
      <c r="L14" s="152" t="s">
        <v>1701</v>
      </c>
      <c r="M14" s="188" t="s">
        <v>1737</v>
      </c>
      <c r="N14" s="188" t="s">
        <v>1701</v>
      </c>
      <c r="O14" s="188" t="s">
        <v>1701</v>
      </c>
      <c r="P14" s="152" t="s">
        <v>1701</v>
      </c>
      <c r="Q14" s="152" t="s">
        <v>1701</v>
      </c>
      <c r="R14" s="152" t="s">
        <v>1737</v>
      </c>
      <c r="S14" s="152" t="s">
        <v>1701</v>
      </c>
      <c r="T14" s="152" t="s">
        <v>1701</v>
      </c>
      <c r="U14" s="152" t="s">
        <v>1738</v>
      </c>
      <c r="V14" s="152" t="s">
        <v>1738</v>
      </c>
      <c r="W14" s="103">
        <v>0</v>
      </c>
      <c r="X14" s="152" t="s">
        <v>1701</v>
      </c>
      <c r="Y14" s="152" t="s">
        <v>1701</v>
      </c>
      <c r="Z14" s="188" t="s">
        <v>1701</v>
      </c>
      <c r="AA14" s="152" t="s">
        <v>1701</v>
      </c>
      <c r="AB14" s="152" t="s">
        <v>1701</v>
      </c>
      <c r="AC14" s="152" t="s">
        <v>1701</v>
      </c>
      <c r="AD14" s="152" t="s">
        <v>1701</v>
      </c>
    </row>
    <row r="15" spans="2:30">
      <c r="B15" s="147" t="s">
        <v>1541</v>
      </c>
      <c r="C15" s="103">
        <v>13</v>
      </c>
      <c r="D15" s="103" t="s">
        <v>1739</v>
      </c>
      <c r="E15" s="122">
        <v>45390</v>
      </c>
      <c r="F15" s="103">
        <v>1</v>
      </c>
      <c r="G15" s="123">
        <v>1</v>
      </c>
      <c r="H15" s="103" t="s">
        <v>1572</v>
      </c>
      <c r="I15" s="152" t="s">
        <v>1570</v>
      </c>
      <c r="J15" s="154" t="s">
        <v>1570</v>
      </c>
      <c r="K15" s="152" t="s">
        <v>1570</v>
      </c>
      <c r="L15" s="152" t="s">
        <v>1570</v>
      </c>
      <c r="M15" s="189" t="s">
        <v>1570</v>
      </c>
      <c r="N15" s="189" t="s">
        <v>1701</v>
      </c>
      <c r="O15" s="188" t="s">
        <v>1570</v>
      </c>
      <c r="P15" s="154" t="s">
        <v>1570</v>
      </c>
      <c r="Q15" s="152" t="s">
        <v>1570</v>
      </c>
      <c r="R15" s="154" t="s">
        <v>1570</v>
      </c>
      <c r="S15" s="154" t="s">
        <v>1570</v>
      </c>
      <c r="T15" s="152" t="s">
        <v>1570</v>
      </c>
      <c r="U15" s="152" t="s">
        <v>1570</v>
      </c>
      <c r="V15" s="152" t="s">
        <v>1570</v>
      </c>
      <c r="W15" s="152" t="s">
        <v>1570</v>
      </c>
      <c r="X15" s="152" t="s">
        <v>1570</v>
      </c>
      <c r="Y15" s="152" t="s">
        <v>1570</v>
      </c>
      <c r="Z15" s="189" t="s">
        <v>1701</v>
      </c>
      <c r="AA15" s="152" t="s">
        <v>1570</v>
      </c>
      <c r="AB15" s="152" t="s">
        <v>1570</v>
      </c>
      <c r="AC15" s="152" t="s">
        <v>1570</v>
      </c>
      <c r="AD15" s="152" t="s">
        <v>1570</v>
      </c>
    </row>
    <row r="16" spans="2:30">
      <c r="B16" s="147" t="s">
        <v>1543</v>
      </c>
      <c r="C16" s="103">
        <v>14</v>
      </c>
      <c r="D16" s="103" t="s">
        <v>1740</v>
      </c>
      <c r="E16" s="122">
        <v>45390</v>
      </c>
      <c r="F16" s="103">
        <v>1</v>
      </c>
      <c r="G16" s="123">
        <v>1</v>
      </c>
      <c r="H16" s="103" t="s">
        <v>1572</v>
      </c>
      <c r="I16" s="152" t="s">
        <v>1701</v>
      </c>
      <c r="J16" s="152" t="s">
        <v>1701</v>
      </c>
      <c r="K16" s="152" t="s">
        <v>1570</v>
      </c>
      <c r="L16" s="152" t="s">
        <v>1570</v>
      </c>
      <c r="M16" s="188" t="s">
        <v>1701</v>
      </c>
      <c r="N16" s="189" t="s">
        <v>1570</v>
      </c>
      <c r="O16" s="188" t="s">
        <v>1570</v>
      </c>
      <c r="P16" s="154" t="s">
        <v>1701</v>
      </c>
      <c r="Q16" s="152" t="s">
        <v>1701</v>
      </c>
      <c r="R16" s="152" t="s">
        <v>1570</v>
      </c>
      <c r="S16" s="154" t="s">
        <v>1701</v>
      </c>
      <c r="T16" s="152" t="s">
        <v>1701</v>
      </c>
      <c r="U16" s="152" t="s">
        <v>1701</v>
      </c>
      <c r="V16" s="152" t="s">
        <v>1701</v>
      </c>
      <c r="W16" s="152" t="s">
        <v>1570</v>
      </c>
      <c r="X16" s="152" t="s">
        <v>1570</v>
      </c>
      <c r="Y16" s="152" t="s">
        <v>1701</v>
      </c>
      <c r="Z16" s="189" t="s">
        <v>1570</v>
      </c>
      <c r="AA16" s="152" t="s">
        <v>1701</v>
      </c>
      <c r="AB16" s="152" t="s">
        <v>1701</v>
      </c>
      <c r="AC16" s="152" t="s">
        <v>1570</v>
      </c>
      <c r="AD16" s="152" t="s">
        <v>1570</v>
      </c>
    </row>
    <row r="17" spans="2:30">
      <c r="B17" s="181" t="s">
        <v>1545</v>
      </c>
      <c r="C17" s="103">
        <v>15</v>
      </c>
      <c r="D17" s="103" t="s">
        <v>1741</v>
      </c>
      <c r="E17" s="122">
        <v>45390</v>
      </c>
      <c r="F17" s="103">
        <v>1</v>
      </c>
      <c r="G17" s="103">
        <v>1</v>
      </c>
      <c r="H17" s="123">
        <v>6000000</v>
      </c>
      <c r="I17" s="152" t="s">
        <v>1570</v>
      </c>
      <c r="J17" s="152" t="s">
        <v>1570</v>
      </c>
      <c r="K17" s="152" t="s">
        <v>1570</v>
      </c>
      <c r="L17" s="152" t="s">
        <v>1570</v>
      </c>
      <c r="M17" s="188" t="s">
        <v>1570</v>
      </c>
      <c r="N17" s="188" t="s">
        <v>1570</v>
      </c>
      <c r="O17" s="188" t="s">
        <v>1570</v>
      </c>
      <c r="P17" s="152" t="s">
        <v>1570</v>
      </c>
      <c r="Q17" s="152" t="s">
        <v>1570</v>
      </c>
      <c r="R17" s="152" t="s">
        <v>1570</v>
      </c>
      <c r="S17" s="152" t="s">
        <v>1570</v>
      </c>
      <c r="T17" s="152" t="s">
        <v>1570</v>
      </c>
      <c r="U17" s="152" t="s">
        <v>1570</v>
      </c>
      <c r="V17" s="152" t="s">
        <v>1570</v>
      </c>
      <c r="W17" s="154" t="s">
        <v>1570</v>
      </c>
      <c r="X17" s="154" t="s">
        <v>1570</v>
      </c>
      <c r="Y17" s="152" t="s">
        <v>1570</v>
      </c>
      <c r="Z17" s="188" t="s">
        <v>1570</v>
      </c>
      <c r="AA17" s="152" t="s">
        <v>1570</v>
      </c>
      <c r="AB17" s="152" t="s">
        <v>1570</v>
      </c>
      <c r="AC17" s="152" t="s">
        <v>1570</v>
      </c>
      <c r="AD17" s="152" t="s">
        <v>1570</v>
      </c>
    </row>
    <row r="18" spans="2:30">
      <c r="B18" s="181" t="s">
        <v>1547</v>
      </c>
      <c r="C18" s="103">
        <v>16</v>
      </c>
      <c r="D18" s="103" t="s">
        <v>1741</v>
      </c>
      <c r="E18" s="122">
        <v>45390</v>
      </c>
      <c r="F18" s="103">
        <v>1</v>
      </c>
      <c r="G18" s="103">
        <v>1</v>
      </c>
      <c r="H18" s="123">
        <v>6000000</v>
      </c>
      <c r="I18" s="152" t="s">
        <v>1570</v>
      </c>
      <c r="J18" s="152" t="s">
        <v>1570</v>
      </c>
      <c r="K18" s="152" t="s">
        <v>1570</v>
      </c>
      <c r="L18" s="152" t="s">
        <v>1570</v>
      </c>
      <c r="M18" s="188" t="s">
        <v>1570</v>
      </c>
      <c r="N18" s="188" t="s">
        <v>1570</v>
      </c>
      <c r="O18" s="188" t="s">
        <v>1570</v>
      </c>
      <c r="P18" s="152" t="s">
        <v>1570</v>
      </c>
      <c r="Q18" s="152" t="s">
        <v>1570</v>
      </c>
      <c r="R18" s="152" t="s">
        <v>1570</v>
      </c>
      <c r="S18" s="152" t="s">
        <v>1570</v>
      </c>
      <c r="T18" s="152" t="s">
        <v>1570</v>
      </c>
      <c r="U18" s="152" t="s">
        <v>1570</v>
      </c>
      <c r="V18" s="152" t="s">
        <v>1570</v>
      </c>
      <c r="W18" s="154" t="s">
        <v>1570</v>
      </c>
      <c r="X18" s="154" t="s">
        <v>1570</v>
      </c>
      <c r="Y18" s="152" t="s">
        <v>1570</v>
      </c>
      <c r="Z18" s="188" t="s">
        <v>1570</v>
      </c>
      <c r="AA18" s="152" t="s">
        <v>1570</v>
      </c>
      <c r="AB18" s="152" t="s">
        <v>1570</v>
      </c>
      <c r="AC18" s="152" t="s">
        <v>1570</v>
      </c>
      <c r="AD18" s="152" t="s">
        <v>1570</v>
      </c>
    </row>
    <row r="19" spans="2:30">
      <c r="B19" s="147" t="s">
        <v>1553</v>
      </c>
      <c r="C19" s="103">
        <v>19</v>
      </c>
      <c r="D19" s="103" t="s">
        <v>1742</v>
      </c>
      <c r="E19" s="122">
        <v>45390</v>
      </c>
      <c r="F19" s="103">
        <v>1</v>
      </c>
      <c r="G19" s="152" cm="1">
        <f t="array" aca="1" ref="G19" ca="1">SUMPRODUCT(--(ISNUMBER((SEARCH(I25:AD25,I19:AD19)))))/COUNTA(I19:AD19)</f>
        <v>1</v>
      </c>
      <c r="H19" s="103" t="s">
        <v>1572</v>
      </c>
      <c r="I19" s="152" t="s">
        <v>1596</v>
      </c>
      <c r="J19" s="152" t="s">
        <v>1596</v>
      </c>
      <c r="K19" s="152" t="s">
        <v>1597</v>
      </c>
      <c r="L19" s="152" t="s">
        <v>1597</v>
      </c>
      <c r="M19" s="188" t="s">
        <v>1596</v>
      </c>
      <c r="N19" s="188" t="s">
        <v>1596</v>
      </c>
      <c r="O19" s="188" t="s">
        <v>1598</v>
      </c>
      <c r="P19" s="152" t="s">
        <v>1596</v>
      </c>
      <c r="Q19" s="152" t="s">
        <v>1596</v>
      </c>
      <c r="R19" s="152" t="s">
        <v>1596</v>
      </c>
      <c r="S19" s="152" t="s">
        <v>1596</v>
      </c>
      <c r="T19" s="152" t="s">
        <v>1596</v>
      </c>
      <c r="U19" s="152" t="s">
        <v>1596</v>
      </c>
      <c r="V19" s="152" t="s">
        <v>1596</v>
      </c>
      <c r="W19" s="152" t="s">
        <v>1596</v>
      </c>
      <c r="X19" s="152" t="s">
        <v>1596</v>
      </c>
      <c r="Y19" s="152" t="s">
        <v>1596</v>
      </c>
      <c r="Z19" s="188" t="s">
        <v>1596</v>
      </c>
      <c r="AA19" s="152" t="s">
        <v>1596</v>
      </c>
      <c r="AB19" s="152" t="s">
        <v>1596</v>
      </c>
      <c r="AC19" s="152" t="s">
        <v>1596</v>
      </c>
      <c r="AD19" s="152" t="s">
        <v>1599</v>
      </c>
    </row>
    <row r="20" spans="2:30">
      <c r="B20" s="147" t="s">
        <v>1556</v>
      </c>
      <c r="C20" s="103">
        <v>20</v>
      </c>
      <c r="D20" s="103" t="s">
        <v>1742</v>
      </c>
      <c r="E20" s="122">
        <v>45390</v>
      </c>
      <c r="F20" s="103">
        <v>1</v>
      </c>
      <c r="G20" s="152" cm="1">
        <f t="array" ref="G20">SUM(IF(I2:AD2 = I24:AD24, 1, 0))/ COUNTA(I2:AD2)</f>
        <v>1</v>
      </c>
      <c r="H20" s="103"/>
      <c r="I20" s="152"/>
      <c r="J20" s="152"/>
      <c r="K20" s="152"/>
      <c r="L20" s="152"/>
      <c r="M20" s="188"/>
      <c r="N20" s="188"/>
      <c r="O20" s="188"/>
      <c r="P20" s="152"/>
      <c r="Q20" s="152"/>
      <c r="R20" s="152"/>
      <c r="S20" s="152"/>
      <c r="T20" s="152"/>
      <c r="U20" s="152"/>
      <c r="V20" s="152"/>
      <c r="W20" s="152"/>
      <c r="X20" s="152"/>
      <c r="Y20" s="152"/>
      <c r="Z20" s="188"/>
      <c r="AA20" s="152"/>
      <c r="AB20" s="152"/>
      <c r="AC20" s="152"/>
      <c r="AD20" s="152"/>
    </row>
    <row r="21" spans="2:30">
      <c r="B21" s="171" t="s">
        <v>1559</v>
      </c>
      <c r="C21" s="103">
        <v>21</v>
      </c>
      <c r="D21" s="103" t="s">
        <v>1742</v>
      </c>
      <c r="E21" s="122">
        <v>45390</v>
      </c>
      <c r="F21" s="103">
        <v>1</v>
      </c>
      <c r="G21" s="103" cm="1">
        <f t="array" aca="1" ref="G21" ca="1">SUM(IF(IF(G3:G20="null",1,G3:G20)=1,1,0))/COUNT(IF(G3:G20="null",1,1))</f>
        <v>0.83333333333333337</v>
      </c>
      <c r="H21" s="103"/>
      <c r="I21" s="152"/>
      <c r="J21" s="152"/>
      <c r="K21" s="152"/>
      <c r="L21" s="152"/>
      <c r="M21" s="190"/>
      <c r="N21" s="190"/>
      <c r="O21" s="190"/>
      <c r="P21" s="152"/>
      <c r="Q21" s="152"/>
      <c r="R21" s="152"/>
      <c r="S21" s="152"/>
      <c r="T21" s="152"/>
      <c r="U21" s="152"/>
      <c r="V21" s="152"/>
      <c r="W21" s="152"/>
      <c r="X21" s="152"/>
      <c r="Y21" s="152"/>
      <c r="Z21" s="190"/>
      <c r="AA21" s="152"/>
      <c r="AB21" s="152"/>
      <c r="AC21" s="152"/>
      <c r="AD21" s="152"/>
    </row>
    <row r="22" spans="2:30">
      <c r="B22" s="103"/>
      <c r="C22" s="103"/>
      <c r="D22" s="103"/>
      <c r="E22" s="122"/>
      <c r="F22" s="103"/>
      <c r="G22" s="103"/>
      <c r="H22" s="103"/>
      <c r="I22" s="103"/>
      <c r="J22" s="103"/>
      <c r="K22" s="103"/>
      <c r="L22" s="103"/>
      <c r="M22" s="103"/>
      <c r="N22" s="103"/>
      <c r="O22" s="103"/>
      <c r="P22" s="103"/>
      <c r="Q22" s="103"/>
      <c r="R22" s="103"/>
      <c r="S22" s="103"/>
      <c r="T22" s="103"/>
      <c r="U22" s="103"/>
      <c r="V22" s="103"/>
      <c r="W22" s="103"/>
    </row>
    <row r="23" spans="2:30">
      <c r="B23" s="112" t="s">
        <v>1600</v>
      </c>
    </row>
    <row r="24" spans="2:30">
      <c r="B24" s="113" t="s">
        <v>1601</v>
      </c>
      <c r="C24" s="114" t="s">
        <v>1563</v>
      </c>
      <c r="D24" s="114" t="s">
        <v>1564</v>
      </c>
      <c r="E24" s="114" t="s">
        <v>1565</v>
      </c>
      <c r="F24" s="114" t="s">
        <v>1566</v>
      </c>
      <c r="G24" s="114" t="s">
        <v>1567</v>
      </c>
      <c r="H24" s="114" t="s">
        <v>1568</v>
      </c>
      <c r="I24" s="141" t="str" cm="1">
        <f t="array" ref="I24:AD24">TRANSPOSE(_xlfn.SORTBY(_xlfn._xlws.FILTER(Table2[NOME FÍSICO CAMPO],Table2[NOME FÍSICO TABELA]="factoring_transaction"), _xlfn._xlws.FILTER(Table2[ORDEM], Table2[NOME FÍSICO TABELA]="factoring_transaction"), 1))</f>
        <v>bank_id</v>
      </c>
      <c r="J24" s="141" t="str">
        <v>contract_id</v>
      </c>
      <c r="K24" s="141" t="str">
        <v>order_number</v>
      </c>
      <c r="L24" s="141" t="str">
        <v>order_number_stage</v>
      </c>
      <c r="M24" s="141" t="str">
        <v>transaction_type_code</v>
      </c>
      <c r="N24" s="141" t="str">
        <v>transaction_date</v>
      </c>
      <c r="O24" s="141" t="str">
        <v>amount</v>
      </c>
      <c r="P24" s="141" t="str">
        <v>process_bank_id</v>
      </c>
      <c r="Q24" s="141" t="str">
        <v>process_id</v>
      </c>
      <c r="R24" s="141" t="str">
        <v>financial_flow_indicator</v>
      </c>
      <c r="S24" s="141" t="str">
        <v>party_id</v>
      </c>
      <c r="T24" s="141" t="str">
        <v>party_current_account_bank_id</v>
      </c>
      <c r="U24" s="141" t="str">
        <v>party_cur_account_contract_id</v>
      </c>
      <c r="V24" s="141" t="str">
        <v>party_current_account_iban</v>
      </c>
      <c r="W24" s="142" t="str">
        <v>chargeback_indicator</v>
      </c>
      <c r="X24" s="142" t="str">
        <v>billing_indicator</v>
      </c>
      <c r="Y24" s="142" t="str">
        <v>currency_code</v>
      </c>
      <c r="Z24" s="142" t="str">
        <v>transaction_execution_date</v>
      </c>
      <c r="AA24" s="142" t="str">
        <v>billing_document_id</v>
      </c>
      <c r="AB24" s="142" t="str">
        <v>source_code</v>
      </c>
      <c r="AC24" s="142" t="str">
        <v>data_date_part</v>
      </c>
      <c r="AD24" s="155" t="str">
        <v>data_timestamp_part</v>
      </c>
    </row>
    <row r="25" spans="2:30">
      <c r="B25" s="106" t="s">
        <v>1602</v>
      </c>
      <c r="C25" s="119">
        <v>21</v>
      </c>
      <c r="D25" s="108" t="s">
        <v>1603</v>
      </c>
      <c r="E25" s="107" t="s">
        <v>1604</v>
      </c>
      <c r="F25" s="107" t="s">
        <v>1051</v>
      </c>
      <c r="G25" s="107" t="s">
        <v>1051</v>
      </c>
      <c r="H25" s="107" t="s">
        <v>1051</v>
      </c>
      <c r="I25" s="107"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7" t="str">
        <f ca="1"/>
        <v>STRING</v>
      </c>
      <c r="K25" s="107" t="str">
        <f ca="1"/>
        <v>BIGINT</v>
      </c>
      <c r="L25" s="107" t="str">
        <f ca="1"/>
        <v>BIGINT</v>
      </c>
      <c r="M25" s="107" t="str">
        <f ca="1"/>
        <v>STRING</v>
      </c>
      <c r="N25" s="107" t="str">
        <f ca="1"/>
        <v>STRING</v>
      </c>
      <c r="O25" s="107" t="str">
        <f ca="1"/>
        <v>DECIMAL</v>
      </c>
      <c r="P25" s="107" t="str">
        <f ca="1"/>
        <v>STRING</v>
      </c>
      <c r="Q25" s="107" t="str">
        <f ca="1"/>
        <v>STRING</v>
      </c>
      <c r="R25" s="107" t="str">
        <f ca="1"/>
        <v>STRING</v>
      </c>
      <c r="S25" s="107" t="str">
        <f ca="1"/>
        <v>STRING</v>
      </c>
      <c r="T25" s="107" t="str">
        <f ca="1"/>
        <v>STRING</v>
      </c>
      <c r="U25" s="107" t="str">
        <f ca="1"/>
        <v>STRING</v>
      </c>
      <c r="V25" s="107" t="str">
        <f ca="1"/>
        <v>STRING</v>
      </c>
      <c r="W25" s="107" t="str">
        <f ca="1"/>
        <v>STRING</v>
      </c>
      <c r="X25" s="107" t="str">
        <f ca="1"/>
        <v>STRING</v>
      </c>
      <c r="Y25" s="107" t="str">
        <f ca="1"/>
        <v>STRING</v>
      </c>
      <c r="Z25" s="150" t="str">
        <f ca="1"/>
        <v>STRING</v>
      </c>
      <c r="AA25" s="107" t="str">
        <f ca="1"/>
        <v>STRING</v>
      </c>
      <c r="AB25" s="107" t="str">
        <f ca="1"/>
        <v>STRING</v>
      </c>
      <c r="AC25" s="107" t="str">
        <f ca="1"/>
        <v>STRING</v>
      </c>
      <c r="AD25" s="118" t="str">
        <f ca="1"/>
        <v>TIMESTAMP</v>
      </c>
    </row>
    <row r="26" spans="2:30">
      <c r="B26" s="106" t="s">
        <v>1605</v>
      </c>
      <c r="C26" s="119">
        <v>7</v>
      </c>
      <c r="D26" s="108" t="s">
        <v>1603</v>
      </c>
      <c r="E26" s="107" t="s">
        <v>1604</v>
      </c>
      <c r="F26" s="107" t="s">
        <v>1051</v>
      </c>
      <c r="G26" s="107" t="s">
        <v>1051</v>
      </c>
      <c r="H26" s="107" t="s">
        <v>1051</v>
      </c>
      <c r="I26" s="119">
        <f ca="1"/>
        <v>3</v>
      </c>
      <c r="J26" s="119">
        <f ca="1"/>
        <v>30</v>
      </c>
      <c r="K26" s="119">
        <f ca="1"/>
        <v>9999999</v>
      </c>
      <c r="L26" s="119">
        <f ca="1"/>
        <v>9999999</v>
      </c>
      <c r="M26" s="119">
        <f ca="1"/>
        <v>20</v>
      </c>
      <c r="N26" s="119">
        <f ca="1"/>
        <v>10</v>
      </c>
      <c r="O26" s="119">
        <f ca="1"/>
        <v>23</v>
      </c>
      <c r="P26" s="119">
        <f ca="1"/>
        <v>3</v>
      </c>
      <c r="Q26" s="119">
        <f ca="1"/>
        <v>15</v>
      </c>
      <c r="R26" s="119">
        <f ca="1"/>
        <v>4</v>
      </c>
      <c r="S26" s="119">
        <f ca="1"/>
        <v>10</v>
      </c>
      <c r="T26" s="119">
        <f ca="1"/>
        <v>3</v>
      </c>
      <c r="U26" s="119">
        <f ca="1"/>
        <v>30</v>
      </c>
      <c r="V26" s="119">
        <f ca="1"/>
        <v>34</v>
      </c>
      <c r="W26" s="119">
        <f ca="1"/>
        <v>4</v>
      </c>
      <c r="X26" s="119">
        <f ca="1"/>
        <v>4</v>
      </c>
      <c r="Y26" s="119">
        <f ca="1"/>
        <v>3</v>
      </c>
      <c r="Z26" s="119">
        <f ca="1"/>
        <v>10</v>
      </c>
      <c r="AA26" s="119">
        <f ca="1"/>
        <v>20</v>
      </c>
      <c r="AB26" s="119">
        <f ca="1"/>
        <v>3</v>
      </c>
      <c r="AC26" s="119">
        <f ca="1"/>
        <v>10</v>
      </c>
      <c r="AD26" s="120">
        <f ca="1"/>
        <v>23</v>
      </c>
    </row>
    <row r="29" spans="2:30">
      <c r="B29" s="129" t="s">
        <v>1606</v>
      </c>
    </row>
    <row r="30" spans="2:30">
      <c r="B30" s="138" t="s">
        <v>1607</v>
      </c>
      <c r="C30" s="138" t="s">
        <v>1608</v>
      </c>
      <c r="D30" s="139" t="s">
        <v>1609</v>
      </c>
      <c r="E30" s="138" t="s">
        <v>1610</v>
      </c>
      <c r="F30" s="138" t="s">
        <v>1611</v>
      </c>
    </row>
    <row r="31" spans="2:30" ht="76.5">
      <c r="B31" s="136" t="s">
        <v>1612</v>
      </c>
      <c r="C31" s="168" t="s">
        <v>691</v>
      </c>
      <c r="D31" s="177" t="s">
        <v>1743</v>
      </c>
      <c r="E31" s="168" t="s">
        <v>1744</v>
      </c>
      <c r="F31" s="169" t="s">
        <v>1617</v>
      </c>
    </row>
    <row r="32" spans="2:30" ht="69.75" customHeight="1">
      <c r="B32" s="136" t="s">
        <v>1612</v>
      </c>
      <c r="C32" s="168" t="s">
        <v>706</v>
      </c>
      <c r="D32" s="177" t="s">
        <v>1745</v>
      </c>
      <c r="E32" s="168" t="s">
        <v>1744</v>
      </c>
      <c r="F32" s="169" t="s">
        <v>1617</v>
      </c>
    </row>
    <row r="33" spans="2:9" ht="69.75" customHeight="1">
      <c r="B33" s="136" t="s">
        <v>1612</v>
      </c>
      <c r="C33" s="168" t="s">
        <v>1135</v>
      </c>
      <c r="D33" s="168" t="s">
        <v>1746</v>
      </c>
      <c r="E33" s="168" t="s">
        <v>1747</v>
      </c>
      <c r="F33" s="169" t="s">
        <v>1617</v>
      </c>
      <c r="H33" s="156"/>
    </row>
    <row r="34" spans="2:9" ht="69.75" customHeight="1">
      <c r="B34" s="136" t="s">
        <v>1612</v>
      </c>
      <c r="C34" s="168" t="s">
        <v>1142</v>
      </c>
      <c r="D34" s="168" t="s">
        <v>1746</v>
      </c>
      <c r="E34" s="168" t="s">
        <v>1747</v>
      </c>
      <c r="F34" s="169" t="s">
        <v>1617</v>
      </c>
    </row>
    <row r="35" spans="2:9" ht="60.75">
      <c r="B35" s="140" t="s">
        <v>1612</v>
      </c>
      <c r="C35" s="92" t="s">
        <v>753</v>
      </c>
      <c r="D35" s="88" t="s">
        <v>1646</v>
      </c>
      <c r="E35" s="88" t="s">
        <v>1748</v>
      </c>
      <c r="F35" s="82" t="s">
        <v>1617</v>
      </c>
      <c r="H35" s="156"/>
      <c r="I35" s="156"/>
    </row>
    <row r="36" spans="2:9" ht="60.75">
      <c r="B36" s="140" t="s">
        <v>1612</v>
      </c>
      <c r="C36" s="92" t="s">
        <v>765</v>
      </c>
      <c r="D36" s="88" t="s">
        <v>1644</v>
      </c>
      <c r="E36" s="88" t="s">
        <v>1748</v>
      </c>
      <c r="F36" s="82" t="s">
        <v>1617</v>
      </c>
      <c r="H36" s="156"/>
      <c r="I36" s="156"/>
    </row>
    <row r="37" spans="2:9" ht="30.75">
      <c r="B37" s="140" t="s">
        <v>1612</v>
      </c>
      <c r="C37" s="88" t="s">
        <v>1150</v>
      </c>
      <c r="D37" s="88" t="s">
        <v>1749</v>
      </c>
      <c r="E37" s="88" t="s">
        <v>1747</v>
      </c>
      <c r="F37" s="137" t="s">
        <v>1617</v>
      </c>
      <c r="H37" s="156"/>
      <c r="I37" s="156"/>
    </row>
    <row r="38" spans="2:9" ht="45.75">
      <c r="B38" s="140" t="s">
        <v>1612</v>
      </c>
      <c r="C38" s="88" t="s">
        <v>1158</v>
      </c>
      <c r="D38" s="177" t="s">
        <v>1750</v>
      </c>
      <c r="E38" s="88" t="s">
        <v>1747</v>
      </c>
      <c r="F38" s="215" t="s">
        <v>1617</v>
      </c>
      <c r="H38" s="156"/>
    </row>
    <row r="39" spans="2:9" ht="76.5">
      <c r="B39" s="140" t="s">
        <v>1612</v>
      </c>
      <c r="C39" s="88" t="s">
        <v>1163</v>
      </c>
      <c r="D39" s="177" t="s">
        <v>1751</v>
      </c>
      <c r="E39" s="88" t="s">
        <v>1752</v>
      </c>
      <c r="F39" s="215" t="s">
        <v>1753</v>
      </c>
    </row>
    <row r="40" spans="2:9" ht="76.5">
      <c r="B40" s="140" t="s">
        <v>1612</v>
      </c>
      <c r="C40" s="88" t="s">
        <v>1174</v>
      </c>
      <c r="D40" s="177" t="s">
        <v>1751</v>
      </c>
      <c r="E40" s="88" t="s">
        <v>1754</v>
      </c>
      <c r="F40" s="215" t="s">
        <v>1617</v>
      </c>
    </row>
    <row r="41" spans="2:9" ht="45.75">
      <c r="B41" s="140" t="s">
        <v>1612</v>
      </c>
      <c r="C41" s="92" t="s">
        <v>908</v>
      </c>
      <c r="D41" s="88" t="s">
        <v>1755</v>
      </c>
      <c r="E41" s="88" t="s">
        <v>1747</v>
      </c>
      <c r="F41" s="82" t="s">
        <v>1617</v>
      </c>
    </row>
    <row r="42" spans="2:9" ht="45.75">
      <c r="B42" s="140" t="s">
        <v>1612</v>
      </c>
      <c r="C42" s="92" t="s">
        <v>1182</v>
      </c>
      <c r="D42" s="92" t="s">
        <v>1755</v>
      </c>
      <c r="E42" s="92" t="s">
        <v>1747</v>
      </c>
      <c r="F42" s="82" t="s">
        <v>1617</v>
      </c>
    </row>
    <row r="43" spans="2:9" ht="45.75">
      <c r="B43" s="140" t="s">
        <v>1612</v>
      </c>
      <c r="C43" s="92" t="s">
        <v>1197</v>
      </c>
      <c r="D43" s="92" t="s">
        <v>1756</v>
      </c>
      <c r="E43" s="92" t="s">
        <v>1747</v>
      </c>
      <c r="F43" s="82" t="s">
        <v>1617</v>
      </c>
    </row>
    <row r="44" spans="2:9" ht="76.5">
      <c r="B44" s="212" t="s">
        <v>1647</v>
      </c>
      <c r="C44" s="213" t="s">
        <v>691</v>
      </c>
      <c r="D44" s="143" t="s">
        <v>1743</v>
      </c>
      <c r="E44" s="213" t="s">
        <v>1744</v>
      </c>
      <c r="F44" s="214" t="s">
        <v>1617</v>
      </c>
    </row>
    <row r="45" spans="2:9" ht="76.5">
      <c r="B45" s="212" t="s">
        <v>1647</v>
      </c>
      <c r="C45" s="213" t="s">
        <v>706</v>
      </c>
      <c r="D45" s="143" t="s">
        <v>1745</v>
      </c>
      <c r="E45" s="213" t="s">
        <v>1744</v>
      </c>
      <c r="F45" s="214" t="s">
        <v>1617</v>
      </c>
    </row>
    <row r="46" spans="2:9" ht="60.75">
      <c r="B46" s="212" t="s">
        <v>1647</v>
      </c>
      <c r="C46" s="213" t="s">
        <v>1135</v>
      </c>
      <c r="D46" s="213" t="s">
        <v>1746</v>
      </c>
      <c r="E46" s="213" t="s">
        <v>1747</v>
      </c>
      <c r="F46" s="214" t="s">
        <v>1617</v>
      </c>
    </row>
    <row r="47" spans="2:9" ht="60.75">
      <c r="B47" s="212" t="s">
        <v>1647</v>
      </c>
      <c r="C47" s="213" t="s">
        <v>1142</v>
      </c>
      <c r="D47" s="213" t="s">
        <v>1746</v>
      </c>
      <c r="E47" s="213" t="s">
        <v>1747</v>
      </c>
      <c r="F47" s="214" t="s">
        <v>1617</v>
      </c>
    </row>
    <row r="48" spans="2:9" ht="76.5">
      <c r="B48" s="140" t="s">
        <v>1623</v>
      </c>
      <c r="C48" s="92" t="s">
        <v>765</v>
      </c>
      <c r="D48" s="92" t="s">
        <v>1616</v>
      </c>
      <c r="E48" s="92" t="s">
        <v>1748</v>
      </c>
      <c r="F48" s="82" t="s">
        <v>1617</v>
      </c>
    </row>
    <row r="49" spans="2:6" ht="60.75">
      <c r="B49" s="140" t="s">
        <v>1623</v>
      </c>
      <c r="C49" s="92" t="s">
        <v>753</v>
      </c>
      <c r="D49" s="92" t="s">
        <v>1646</v>
      </c>
      <c r="E49" s="92" t="s">
        <v>1748</v>
      </c>
      <c r="F49" s="82" t="s">
        <v>1617</v>
      </c>
    </row>
    <row r="51" spans="2:6" ht="168" customHeight="1"/>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I37"/>
  <sheetViews>
    <sheetView showGridLines="0" topLeftCell="A33" workbookViewId="0">
      <selection activeCell="D35" sqref="D35"/>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2" t="s">
        <v>1562</v>
      </c>
      <c r="C2" s="102" t="s">
        <v>1563</v>
      </c>
      <c r="D2" s="102" t="s">
        <v>1564</v>
      </c>
      <c r="E2" s="102" t="s">
        <v>1565</v>
      </c>
      <c r="F2" s="102" t="s">
        <v>1566</v>
      </c>
      <c r="G2" s="102" t="s">
        <v>1567</v>
      </c>
      <c r="H2" s="102" t="s">
        <v>1568</v>
      </c>
      <c r="I2" s="102" t="s">
        <v>691</v>
      </c>
      <c r="J2" s="102" t="s">
        <v>706</v>
      </c>
      <c r="K2" s="102" t="s">
        <v>716</v>
      </c>
      <c r="L2" s="102" t="s">
        <v>727</v>
      </c>
      <c r="M2" s="102" t="s">
        <v>753</v>
      </c>
      <c r="N2" s="102" t="s">
        <v>765</v>
      </c>
      <c r="O2" s="102" t="s">
        <v>889</v>
      </c>
      <c r="P2" s="102" t="s">
        <v>897</v>
      </c>
      <c r="Q2" s="102" t="s">
        <v>902</v>
      </c>
      <c r="R2" s="102" t="s">
        <v>908</v>
      </c>
      <c r="S2" s="102" t="s">
        <v>914</v>
      </c>
      <c r="T2" s="102" t="s">
        <v>921</v>
      </c>
      <c r="U2" s="102" t="s">
        <v>927</v>
      </c>
      <c r="V2" s="102" t="s">
        <v>776</v>
      </c>
      <c r="W2" s="102" t="s">
        <v>735</v>
      </c>
      <c r="X2" s="102" t="s">
        <v>789</v>
      </c>
      <c r="Y2" s="102" t="s">
        <v>937</v>
      </c>
      <c r="Z2" s="102" t="s">
        <v>744</v>
      </c>
      <c r="AA2" s="102" t="s">
        <v>946</v>
      </c>
      <c r="AB2" s="102" t="s">
        <v>955</v>
      </c>
      <c r="AC2" s="102" t="s">
        <v>963</v>
      </c>
      <c r="AD2" s="102" t="s">
        <v>968</v>
      </c>
      <c r="AE2" s="102" t="s">
        <v>974</v>
      </c>
      <c r="AF2" s="102" t="s">
        <v>980</v>
      </c>
      <c r="AG2" s="102" t="s">
        <v>796</v>
      </c>
      <c r="AH2" s="102" t="s">
        <v>804</v>
      </c>
      <c r="AI2" s="102" t="s">
        <v>811</v>
      </c>
    </row>
    <row r="3" spans="2:35">
      <c r="B3" s="147" t="s">
        <v>1516</v>
      </c>
      <c r="C3" s="103">
        <v>1</v>
      </c>
      <c r="D3" s="103" t="s">
        <v>1757</v>
      </c>
      <c r="E3" s="122">
        <v>45490</v>
      </c>
      <c r="F3" s="103">
        <v>2</v>
      </c>
      <c r="G3" s="151">
        <v>1</v>
      </c>
      <c r="H3" s="229">
        <v>48533</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c r="V3" s="103" t="s">
        <v>1570</v>
      </c>
      <c r="W3" s="103" t="s">
        <v>1570</v>
      </c>
      <c r="X3" s="103" t="s">
        <v>1570</v>
      </c>
      <c r="Y3" s="103" t="s">
        <v>1570</v>
      </c>
      <c r="Z3" s="103" t="s">
        <v>1570</v>
      </c>
      <c r="AA3" s="103" t="s">
        <v>1570</v>
      </c>
      <c r="AB3" s="103" t="s">
        <v>1570</v>
      </c>
      <c r="AC3" s="103" t="s">
        <v>1570</v>
      </c>
      <c r="AD3" s="103" t="s">
        <v>1570</v>
      </c>
      <c r="AE3" s="103" t="s">
        <v>1570</v>
      </c>
      <c r="AF3" s="103" t="s">
        <v>1570</v>
      </c>
      <c r="AG3" s="103" t="s">
        <v>1570</v>
      </c>
      <c r="AH3" s="103" t="s">
        <v>1570</v>
      </c>
      <c r="AI3" s="103" t="s">
        <v>1570</v>
      </c>
    </row>
    <row r="4" spans="2:35">
      <c r="B4" s="147" t="s">
        <v>1518</v>
      </c>
      <c r="C4" s="103">
        <v>2</v>
      </c>
      <c r="D4" s="103" t="s">
        <v>1758</v>
      </c>
      <c r="E4" s="122">
        <v>45490</v>
      </c>
      <c r="F4" s="103">
        <v>2</v>
      </c>
      <c r="G4" s="151">
        <v>1</v>
      </c>
      <c r="H4" s="226">
        <v>0</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c r="V4" s="103" t="s">
        <v>1570</v>
      </c>
      <c r="W4" s="103" t="s">
        <v>1570</v>
      </c>
      <c r="X4" s="103" t="s">
        <v>1570</v>
      </c>
      <c r="Y4" s="103" t="s">
        <v>1570</v>
      </c>
      <c r="Z4" s="103" t="s">
        <v>1570</v>
      </c>
      <c r="AA4" s="103" t="s">
        <v>1570</v>
      </c>
      <c r="AB4" s="103" t="s">
        <v>1570</v>
      </c>
      <c r="AC4" s="103" t="s">
        <v>1570</v>
      </c>
      <c r="AD4" s="103" t="s">
        <v>1570</v>
      </c>
      <c r="AE4" s="103" t="s">
        <v>1570</v>
      </c>
      <c r="AF4" s="103" t="s">
        <v>1570</v>
      </c>
      <c r="AG4" s="103" t="s">
        <v>1570</v>
      </c>
      <c r="AH4" s="103" t="s">
        <v>1570</v>
      </c>
      <c r="AI4" s="103" t="s">
        <v>1570</v>
      </c>
    </row>
    <row r="5" spans="2:35">
      <c r="B5" s="147" t="s">
        <v>1520</v>
      </c>
      <c r="C5" s="103">
        <v>3</v>
      </c>
      <c r="D5" s="103" t="s">
        <v>1759</v>
      </c>
      <c r="E5" s="122">
        <v>45490</v>
      </c>
      <c r="F5" s="103">
        <v>2</v>
      </c>
      <c r="G5" s="151">
        <v>1</v>
      </c>
      <c r="H5" s="226">
        <v>0</v>
      </c>
      <c r="I5" s="103">
        <v>0</v>
      </c>
      <c r="J5" s="103">
        <v>0</v>
      </c>
      <c r="K5" s="103">
        <v>0</v>
      </c>
      <c r="L5" s="103">
        <v>0</v>
      </c>
      <c r="M5" s="103" t="s">
        <v>1570</v>
      </c>
      <c r="N5" s="103" t="s">
        <v>1570</v>
      </c>
      <c r="O5" s="103" t="s">
        <v>1570</v>
      </c>
      <c r="P5" s="103" t="s">
        <v>1570</v>
      </c>
      <c r="Q5" s="103" t="s">
        <v>1570</v>
      </c>
      <c r="R5" s="103" t="s">
        <v>1570</v>
      </c>
      <c r="S5" s="103" t="s">
        <v>1570</v>
      </c>
      <c r="T5" s="103" t="s">
        <v>1570</v>
      </c>
      <c r="U5" s="103" t="s">
        <v>1570</v>
      </c>
      <c r="V5" s="103" t="s">
        <v>1570</v>
      </c>
      <c r="W5" s="103" t="s">
        <v>1570</v>
      </c>
      <c r="X5" s="103" t="s">
        <v>1570</v>
      </c>
      <c r="Y5" s="103" t="s">
        <v>1570</v>
      </c>
      <c r="Z5" s="103" t="s">
        <v>1570</v>
      </c>
      <c r="AA5" s="103" t="s">
        <v>1570</v>
      </c>
      <c r="AB5" s="103" t="s">
        <v>1570</v>
      </c>
      <c r="AC5" s="103" t="s">
        <v>1570</v>
      </c>
      <c r="AD5" s="103" t="s">
        <v>1570</v>
      </c>
      <c r="AE5" s="103" t="s">
        <v>1570</v>
      </c>
      <c r="AF5" s="103" t="s">
        <v>1570</v>
      </c>
      <c r="AG5" s="103" t="s">
        <v>1570</v>
      </c>
      <c r="AH5" s="103">
        <v>0</v>
      </c>
      <c r="AI5" s="103" t="s">
        <v>1570</v>
      </c>
    </row>
    <row r="6" spans="2:35">
      <c r="B6" s="93" t="s">
        <v>1522</v>
      </c>
      <c r="C6" s="103">
        <v>4</v>
      </c>
      <c r="D6" s="103" t="s">
        <v>1574</v>
      </c>
      <c r="E6" s="122" t="s">
        <v>1570</v>
      </c>
      <c r="F6" s="103">
        <v>2</v>
      </c>
      <c r="G6" s="103" t="s">
        <v>1570</v>
      </c>
      <c r="H6" s="103" t="s">
        <v>1570</v>
      </c>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c r="V6" s="103" t="s">
        <v>1570</v>
      </c>
      <c r="W6" s="103" t="s">
        <v>1570</v>
      </c>
      <c r="X6" s="103" t="s">
        <v>1570</v>
      </c>
      <c r="Y6" s="103" t="s">
        <v>1570</v>
      </c>
      <c r="Z6" s="103" t="s">
        <v>1570</v>
      </c>
      <c r="AA6" s="103" t="s">
        <v>1570</v>
      </c>
      <c r="AB6" s="103" t="s">
        <v>1570</v>
      </c>
      <c r="AC6" s="103" t="s">
        <v>1570</v>
      </c>
      <c r="AD6" s="103" t="s">
        <v>1570</v>
      </c>
      <c r="AE6" s="103" t="s">
        <v>1570</v>
      </c>
      <c r="AF6" s="103" t="s">
        <v>1570</v>
      </c>
      <c r="AG6" s="103" t="s">
        <v>1570</v>
      </c>
      <c r="AH6" s="103" t="s">
        <v>1570</v>
      </c>
      <c r="AI6" s="103" t="s">
        <v>1570</v>
      </c>
    </row>
    <row r="7" spans="2:35">
      <c r="B7" s="93" t="s">
        <v>1524</v>
      </c>
      <c r="C7" s="103">
        <v>5</v>
      </c>
      <c r="D7" s="103" t="s">
        <v>1574</v>
      </c>
      <c r="E7" s="122" t="s">
        <v>1570</v>
      </c>
      <c r="F7" s="103">
        <v>2</v>
      </c>
      <c r="G7" s="103" t="s">
        <v>1570</v>
      </c>
      <c r="H7" s="103" t="s">
        <v>1570</v>
      </c>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c r="V7" s="103" t="s">
        <v>1570</v>
      </c>
      <c r="W7" s="103" t="s">
        <v>1570</v>
      </c>
      <c r="X7" s="103" t="s">
        <v>1570</v>
      </c>
      <c r="Y7" s="103" t="s">
        <v>1570</v>
      </c>
      <c r="Z7" s="103" t="s">
        <v>1570</v>
      </c>
      <c r="AA7" s="103" t="s">
        <v>1570</v>
      </c>
      <c r="AB7" s="103" t="s">
        <v>1570</v>
      </c>
      <c r="AC7" s="103" t="s">
        <v>1570</v>
      </c>
      <c r="AD7" s="103" t="s">
        <v>1570</v>
      </c>
      <c r="AE7" s="103" t="s">
        <v>1570</v>
      </c>
      <c r="AF7" s="103" t="s">
        <v>1570</v>
      </c>
      <c r="AG7" s="103" t="s">
        <v>1570</v>
      </c>
      <c r="AH7" s="103" t="s">
        <v>1570</v>
      </c>
      <c r="AI7" s="103" t="s">
        <v>1570</v>
      </c>
    </row>
    <row r="8" spans="2:35">
      <c r="B8" s="178" t="s">
        <v>1525</v>
      </c>
      <c r="C8" s="103">
        <v>6</v>
      </c>
      <c r="D8" s="103" t="s">
        <v>1760</v>
      </c>
      <c r="E8" s="122">
        <v>45490</v>
      </c>
      <c r="F8" s="103">
        <v>2</v>
      </c>
      <c r="G8" s="151" cm="1">
        <f t="array" ref="G8">SUMPRODUCT(--(I8:AH8&gt;0))/COUNTA(I8:AH8)</f>
        <v>1</v>
      </c>
      <c r="H8" s="226">
        <v>0</v>
      </c>
      <c r="I8" s="103">
        <v>2</v>
      </c>
      <c r="J8" s="103">
        <v>15</v>
      </c>
      <c r="K8" s="103">
        <v>2</v>
      </c>
      <c r="L8" s="103">
        <v>9</v>
      </c>
      <c r="M8" s="103" t="s">
        <v>1576</v>
      </c>
      <c r="N8" s="103">
        <v>1</v>
      </c>
      <c r="O8" s="103">
        <v>16</v>
      </c>
      <c r="P8" s="103">
        <v>1</v>
      </c>
      <c r="Q8" s="103">
        <v>1</v>
      </c>
      <c r="R8" s="103">
        <v>1</v>
      </c>
      <c r="S8" s="103">
        <v>1</v>
      </c>
      <c r="T8" s="103">
        <v>2</v>
      </c>
      <c r="U8" s="103">
        <v>2</v>
      </c>
      <c r="V8" s="103">
        <v>3</v>
      </c>
      <c r="W8" s="103">
        <v>10</v>
      </c>
      <c r="X8" s="103">
        <v>10</v>
      </c>
      <c r="Y8" s="103">
        <v>8</v>
      </c>
      <c r="Z8" s="103">
        <v>8</v>
      </c>
      <c r="AA8" s="103">
        <v>1</v>
      </c>
      <c r="AB8" s="103">
        <v>1</v>
      </c>
      <c r="AC8" s="103">
        <v>4</v>
      </c>
      <c r="AD8" s="103">
        <v>4</v>
      </c>
      <c r="AE8" s="103">
        <v>7</v>
      </c>
      <c r="AF8" s="103">
        <v>1</v>
      </c>
      <c r="AG8" s="103">
        <v>2</v>
      </c>
      <c r="AH8" s="103">
        <v>10</v>
      </c>
      <c r="AI8" s="103">
        <v>23</v>
      </c>
    </row>
    <row r="9" spans="2:35">
      <c r="B9" s="147" t="s">
        <v>1528</v>
      </c>
      <c r="C9" s="103">
        <v>7</v>
      </c>
      <c r="D9" s="103" t="s">
        <v>1761</v>
      </c>
      <c r="E9" s="122">
        <v>45490</v>
      </c>
      <c r="F9" s="103">
        <v>2</v>
      </c>
      <c r="G9" s="151" cm="1">
        <f t="array" aca="1" ref="G9" ca="1">SUMPRODUCT(--(I9:AH9&lt;=I26:AH26))/COUNTA(I9:AH9)</f>
        <v>0.96153846153846156</v>
      </c>
      <c r="H9" s="226">
        <v>0</v>
      </c>
      <c r="I9" s="103">
        <v>2</v>
      </c>
      <c r="J9" s="103">
        <v>15</v>
      </c>
      <c r="K9" s="103">
        <v>2</v>
      </c>
      <c r="L9" s="103">
        <v>9</v>
      </c>
      <c r="M9" s="103" t="s">
        <v>1576</v>
      </c>
      <c r="N9" s="103">
        <v>1</v>
      </c>
      <c r="O9" s="103">
        <v>16</v>
      </c>
      <c r="P9" s="103">
        <v>1</v>
      </c>
      <c r="Q9" s="103">
        <v>1</v>
      </c>
      <c r="R9" s="103">
        <v>1</v>
      </c>
      <c r="S9" s="103">
        <v>1</v>
      </c>
      <c r="T9" s="103">
        <v>2</v>
      </c>
      <c r="U9" s="103">
        <v>3</v>
      </c>
      <c r="V9" s="103">
        <v>3</v>
      </c>
      <c r="W9" s="103">
        <v>10</v>
      </c>
      <c r="X9" s="103">
        <v>10</v>
      </c>
      <c r="Y9" s="103">
        <v>12</v>
      </c>
      <c r="Z9" s="103">
        <v>12</v>
      </c>
      <c r="AA9" s="103">
        <v>3</v>
      </c>
      <c r="AB9" s="103">
        <v>40</v>
      </c>
      <c r="AC9" s="103">
        <v>10</v>
      </c>
      <c r="AD9" s="103">
        <v>10</v>
      </c>
      <c r="AE9" s="103">
        <v>7</v>
      </c>
      <c r="AF9" s="103">
        <v>4</v>
      </c>
      <c r="AG9" s="103">
        <v>2</v>
      </c>
      <c r="AH9" s="103">
        <v>10</v>
      </c>
      <c r="AI9" s="103">
        <v>23</v>
      </c>
    </row>
    <row r="10" spans="2:35">
      <c r="B10" s="147" t="s">
        <v>1531</v>
      </c>
      <c r="C10" s="103">
        <v>8</v>
      </c>
      <c r="D10" s="103" t="s">
        <v>1762</v>
      </c>
      <c r="E10" s="122">
        <v>45490</v>
      </c>
      <c r="F10" s="103">
        <v>2</v>
      </c>
      <c r="G10" s="103" t="s">
        <v>1570</v>
      </c>
      <c r="H10" s="226">
        <v>0</v>
      </c>
      <c r="I10" s="103">
        <v>31</v>
      </c>
      <c r="J10" s="103">
        <v>3163579860010</v>
      </c>
      <c r="K10" s="103">
        <v>24</v>
      </c>
      <c r="L10" s="103">
        <v>699719160</v>
      </c>
      <c r="M10" s="122" t="s">
        <v>1576</v>
      </c>
      <c r="N10" s="226">
        <v>1</v>
      </c>
      <c r="O10" s="103">
        <v>4293430451900100</v>
      </c>
      <c r="P10" s="103">
        <v>0</v>
      </c>
      <c r="Q10" s="103">
        <v>0</v>
      </c>
      <c r="R10" s="103">
        <v>0</v>
      </c>
      <c r="S10" s="103">
        <v>0</v>
      </c>
      <c r="T10" s="151">
        <v>0</v>
      </c>
      <c r="U10" s="103">
        <v>156</v>
      </c>
      <c r="V10" s="122">
        <v>978</v>
      </c>
      <c r="W10" s="122">
        <v>45244</v>
      </c>
      <c r="X10" s="151">
        <v>45244</v>
      </c>
      <c r="Y10" s="123">
        <v>-6070000000</v>
      </c>
      <c r="Z10" s="123">
        <v>-6070000000</v>
      </c>
      <c r="AA10" s="103">
        <v>0</v>
      </c>
      <c r="AB10" s="103">
        <v>0</v>
      </c>
      <c r="AC10" s="103" t="e">
        <v>#N/A</v>
      </c>
      <c r="AD10" s="103" t="e">
        <v>#N/A</v>
      </c>
      <c r="AE10" s="103">
        <v>12</v>
      </c>
      <c r="AF10" s="103">
        <v>0</v>
      </c>
      <c r="AG10" s="122" t="s">
        <v>1763</v>
      </c>
      <c r="AH10" s="122">
        <v>45490</v>
      </c>
      <c r="AI10" s="103" t="s">
        <v>1764</v>
      </c>
    </row>
    <row r="11" spans="2:35">
      <c r="B11" s="147" t="s">
        <v>1533</v>
      </c>
      <c r="C11" s="103">
        <v>9</v>
      </c>
      <c r="D11" s="103" t="s">
        <v>1765</v>
      </c>
      <c r="E11" s="122">
        <v>45490</v>
      </c>
      <c r="F11" s="103">
        <v>2</v>
      </c>
      <c r="G11" s="103" t="s">
        <v>1570</v>
      </c>
      <c r="H11" s="226">
        <v>0</v>
      </c>
      <c r="I11" s="103">
        <v>31</v>
      </c>
      <c r="J11" s="103">
        <v>3163579860010</v>
      </c>
      <c r="K11" s="103">
        <v>24</v>
      </c>
      <c r="L11" s="103">
        <v>699719160</v>
      </c>
      <c r="M11" s="122" t="s">
        <v>1576</v>
      </c>
      <c r="N11" s="226">
        <v>1</v>
      </c>
      <c r="O11" s="122">
        <v>4293430451900100</v>
      </c>
      <c r="P11" s="103" t="s">
        <v>1766</v>
      </c>
      <c r="Q11" s="103">
        <v>0</v>
      </c>
      <c r="R11" s="103">
        <v>0</v>
      </c>
      <c r="S11" s="103">
        <v>0</v>
      </c>
      <c r="T11" s="103">
        <v>0</v>
      </c>
      <c r="U11" s="103">
        <v>32</v>
      </c>
      <c r="V11" s="122">
        <v>978</v>
      </c>
      <c r="W11" s="122">
        <v>45244</v>
      </c>
      <c r="X11" s="122">
        <v>45244</v>
      </c>
      <c r="Y11" s="103" t="s">
        <v>1767</v>
      </c>
      <c r="Z11" s="103" t="s">
        <v>1767</v>
      </c>
      <c r="AA11" s="103">
        <v>0</v>
      </c>
      <c r="AB11" s="103">
        <v>0</v>
      </c>
      <c r="AC11" s="103" t="e">
        <v>#N/A</v>
      </c>
      <c r="AD11" s="103" t="e">
        <v>#N/A</v>
      </c>
      <c r="AE11" s="103">
        <v>12</v>
      </c>
      <c r="AF11" s="103">
        <v>0</v>
      </c>
      <c r="AG11" s="122" t="s">
        <v>1763</v>
      </c>
      <c r="AH11" s="122">
        <v>45490</v>
      </c>
      <c r="AI11" s="103" t="s">
        <v>1768</v>
      </c>
    </row>
    <row r="12" spans="2:35">
      <c r="B12" s="170" t="s">
        <v>1535</v>
      </c>
      <c r="C12" s="103">
        <v>10</v>
      </c>
      <c r="D12" s="103" t="s">
        <v>1769</v>
      </c>
      <c r="E12" s="122">
        <v>45490</v>
      </c>
      <c r="F12" s="103">
        <v>2</v>
      </c>
      <c r="G12" s="103" t="s">
        <v>1570</v>
      </c>
      <c r="H12" s="226">
        <v>0</v>
      </c>
      <c r="I12" s="103">
        <v>31</v>
      </c>
      <c r="J12" s="103">
        <v>5131650050010</v>
      </c>
      <c r="K12" s="103">
        <v>24</v>
      </c>
      <c r="L12" s="103">
        <v>700670715</v>
      </c>
      <c r="M12" s="122" t="s">
        <v>1576</v>
      </c>
      <c r="N12" s="226">
        <v>1</v>
      </c>
      <c r="O12" s="123">
        <v>5166320258618250</v>
      </c>
      <c r="P12" s="103">
        <v>8</v>
      </c>
      <c r="Q12" s="103">
        <v>0</v>
      </c>
      <c r="R12" s="103">
        <v>1</v>
      </c>
      <c r="S12" s="103">
        <v>1</v>
      </c>
      <c r="T12" s="151">
        <v>87</v>
      </c>
      <c r="U12" s="103">
        <v>986</v>
      </c>
      <c r="V12" s="122">
        <v>978</v>
      </c>
      <c r="W12" s="122">
        <v>45491</v>
      </c>
      <c r="X12" s="151">
        <v>45491</v>
      </c>
      <c r="Y12" s="123">
        <v>3790000000</v>
      </c>
      <c r="Z12" s="123">
        <v>3000000000</v>
      </c>
      <c r="AA12" s="103">
        <v>97</v>
      </c>
      <c r="AB12" s="103" t="s">
        <v>1770</v>
      </c>
      <c r="AC12" s="103">
        <v>940806</v>
      </c>
      <c r="AD12" s="103">
        <v>1526454</v>
      </c>
      <c r="AE12" s="103">
        <v>552409</v>
      </c>
      <c r="AF12" s="103">
        <v>9402</v>
      </c>
      <c r="AG12" s="122" t="s">
        <v>1763</v>
      </c>
      <c r="AH12" s="122">
        <v>45490</v>
      </c>
      <c r="AI12" s="103" t="s">
        <v>1764</v>
      </c>
    </row>
    <row r="13" spans="2:35">
      <c r="B13" s="147" t="s">
        <v>1537</v>
      </c>
      <c r="C13" s="103">
        <v>11</v>
      </c>
      <c r="D13" s="103" t="s">
        <v>1771</v>
      </c>
      <c r="E13" s="122">
        <v>45490</v>
      </c>
      <c r="F13" s="103">
        <v>2</v>
      </c>
      <c r="G13" s="103" t="s">
        <v>1570</v>
      </c>
      <c r="H13" s="226">
        <v>0</v>
      </c>
      <c r="I13" s="103">
        <v>31</v>
      </c>
      <c r="J13" s="103">
        <v>5131650050010</v>
      </c>
      <c r="K13" s="103">
        <v>24</v>
      </c>
      <c r="L13" s="103">
        <v>700670715</v>
      </c>
      <c r="M13" s="122" t="s">
        <v>1576</v>
      </c>
      <c r="N13" s="226">
        <v>1</v>
      </c>
      <c r="O13" s="122">
        <v>5166320258618250</v>
      </c>
      <c r="P13" s="103" t="s">
        <v>1772</v>
      </c>
      <c r="Q13" s="103">
        <v>0</v>
      </c>
      <c r="R13" s="103">
        <v>1</v>
      </c>
      <c r="S13" s="103">
        <v>1</v>
      </c>
      <c r="T13" s="103">
        <v>87</v>
      </c>
      <c r="U13" s="103">
        <v>986</v>
      </c>
      <c r="V13" s="122">
        <v>978</v>
      </c>
      <c r="W13" s="122">
        <v>45491</v>
      </c>
      <c r="X13" s="122">
        <v>45491</v>
      </c>
      <c r="Y13" s="103" t="s">
        <v>1773</v>
      </c>
      <c r="Z13" s="103" t="s">
        <v>1773</v>
      </c>
      <c r="AA13" s="103">
        <v>703</v>
      </c>
      <c r="AB13" s="103" t="s">
        <v>1770</v>
      </c>
      <c r="AC13" s="103">
        <v>940806</v>
      </c>
      <c r="AD13" s="103">
        <v>1526454</v>
      </c>
      <c r="AE13" s="103">
        <v>552409</v>
      </c>
      <c r="AF13" s="103">
        <v>9402</v>
      </c>
      <c r="AG13" s="122" t="s">
        <v>1763</v>
      </c>
      <c r="AH13" s="122">
        <v>45490</v>
      </c>
      <c r="AI13" s="103" t="s">
        <v>1774</v>
      </c>
    </row>
    <row r="14" spans="2:35">
      <c r="B14" s="147" t="s">
        <v>1539</v>
      </c>
      <c r="C14" s="103">
        <v>12</v>
      </c>
      <c r="D14" s="103" t="s">
        <v>1775</v>
      </c>
      <c r="E14" s="122">
        <v>45490</v>
      </c>
      <c r="F14" s="103">
        <v>2</v>
      </c>
      <c r="G14" s="151">
        <v>0.81</v>
      </c>
      <c r="H14" s="226">
        <v>0</v>
      </c>
      <c r="I14" s="103">
        <v>0</v>
      </c>
      <c r="J14" s="103">
        <v>0</v>
      </c>
      <c r="K14" s="103">
        <v>0</v>
      </c>
      <c r="L14" s="103">
        <v>0</v>
      </c>
      <c r="M14" s="103">
        <v>48533</v>
      </c>
      <c r="N14" s="103">
        <v>0</v>
      </c>
      <c r="O14" s="103">
        <v>0</v>
      </c>
      <c r="P14" s="103">
        <v>0</v>
      </c>
      <c r="Q14" s="103">
        <v>0</v>
      </c>
      <c r="R14" s="103">
        <v>0</v>
      </c>
      <c r="S14" s="103">
        <v>19</v>
      </c>
      <c r="T14" s="103">
        <v>19</v>
      </c>
      <c r="U14" s="103">
        <v>0</v>
      </c>
      <c r="V14" s="103">
        <v>0</v>
      </c>
      <c r="W14" s="103">
        <v>0</v>
      </c>
      <c r="X14" s="103">
        <v>0</v>
      </c>
      <c r="Y14" s="103">
        <v>0</v>
      </c>
      <c r="Z14" s="103">
        <v>0</v>
      </c>
      <c r="AA14" s="103">
        <v>0</v>
      </c>
      <c r="AB14" s="103">
        <v>0</v>
      </c>
      <c r="AC14" s="103">
        <v>0</v>
      </c>
      <c r="AD14" s="103">
        <v>0</v>
      </c>
      <c r="AE14" s="103">
        <v>18351</v>
      </c>
      <c r="AF14" s="103">
        <v>0</v>
      </c>
      <c r="AG14" s="103">
        <v>0</v>
      </c>
      <c r="AH14" s="103">
        <v>0</v>
      </c>
      <c r="AI14" s="103">
        <v>0</v>
      </c>
    </row>
    <row r="15" spans="2:35">
      <c r="B15" s="147" t="s">
        <v>1541</v>
      </c>
      <c r="C15" s="103">
        <v>13</v>
      </c>
      <c r="D15" s="103" t="s">
        <v>1776</v>
      </c>
      <c r="E15" s="122">
        <v>45490</v>
      </c>
      <c r="F15" s="103">
        <v>2</v>
      </c>
      <c r="G15" s="151">
        <v>1</v>
      </c>
      <c r="H15" s="226">
        <v>0</v>
      </c>
      <c r="I15" s="103" t="s">
        <v>1570</v>
      </c>
      <c r="J15" s="103" t="s">
        <v>1570</v>
      </c>
      <c r="K15" s="103" t="s">
        <v>1570</v>
      </c>
      <c r="L15" s="93" t="s">
        <v>1570</v>
      </c>
      <c r="M15" s="93" t="s">
        <v>1570</v>
      </c>
      <c r="N15" s="103" t="s">
        <v>1570</v>
      </c>
      <c r="O15" s="93" t="s">
        <v>1570</v>
      </c>
      <c r="P15" s="93" t="s">
        <v>1570</v>
      </c>
      <c r="Q15" s="93" t="s">
        <v>1570</v>
      </c>
      <c r="R15" s="103" t="s">
        <v>1570</v>
      </c>
      <c r="S15" s="103" t="s">
        <v>1570</v>
      </c>
      <c r="T15" s="103" t="s">
        <v>1570</v>
      </c>
      <c r="U15" s="103" t="s">
        <v>1570</v>
      </c>
      <c r="V15" s="103" t="s">
        <v>1570</v>
      </c>
      <c r="W15" s="103">
        <v>0</v>
      </c>
      <c r="X15" s="103">
        <v>0</v>
      </c>
      <c r="Y15" s="103" t="s">
        <v>1570</v>
      </c>
      <c r="Z15" s="103" t="s">
        <v>1570</v>
      </c>
      <c r="AA15" s="103" t="s">
        <v>1570</v>
      </c>
      <c r="AB15" s="103" t="s">
        <v>1570</v>
      </c>
      <c r="AC15" s="103" t="s">
        <v>1570</v>
      </c>
      <c r="AD15" s="103" t="s">
        <v>1570</v>
      </c>
      <c r="AE15" s="103" t="s">
        <v>1570</v>
      </c>
      <c r="AF15" s="103" t="s">
        <v>1570</v>
      </c>
      <c r="AG15" s="103" t="s">
        <v>1570</v>
      </c>
      <c r="AH15" s="103" t="s">
        <v>1570</v>
      </c>
      <c r="AI15" s="103" t="s">
        <v>1570</v>
      </c>
    </row>
    <row r="16" spans="2:35">
      <c r="B16" s="147" t="s">
        <v>1543</v>
      </c>
      <c r="C16" s="103">
        <v>14</v>
      </c>
      <c r="D16" s="103" t="s">
        <v>1777</v>
      </c>
      <c r="E16" s="122">
        <v>45490</v>
      </c>
      <c r="F16" s="103">
        <v>2</v>
      </c>
      <c r="G16" s="151">
        <v>1</v>
      </c>
      <c r="H16" s="226">
        <v>0</v>
      </c>
      <c r="I16" s="103">
        <v>0</v>
      </c>
      <c r="J16" s="103">
        <v>0</v>
      </c>
      <c r="K16" s="103" t="s">
        <v>1570</v>
      </c>
      <c r="L16" s="103" t="s">
        <v>1570</v>
      </c>
      <c r="M16" s="93">
        <v>0</v>
      </c>
      <c r="N16" s="103" t="s">
        <v>1570</v>
      </c>
      <c r="O16" s="103" t="s">
        <v>1570</v>
      </c>
      <c r="P16" s="103" t="s">
        <v>1570</v>
      </c>
      <c r="Q16" s="93" t="s">
        <v>1570</v>
      </c>
      <c r="R16" s="103" t="s">
        <v>1570</v>
      </c>
      <c r="S16" s="103" t="s">
        <v>1570</v>
      </c>
      <c r="T16" s="103">
        <v>0</v>
      </c>
      <c r="U16" s="103">
        <v>0</v>
      </c>
      <c r="V16" s="103">
        <v>0</v>
      </c>
      <c r="W16" s="103" t="s">
        <v>1570</v>
      </c>
      <c r="X16" s="103" t="s">
        <v>1570</v>
      </c>
      <c r="Y16" s="103" t="s">
        <v>1570</v>
      </c>
      <c r="Z16" s="103" t="s">
        <v>1570</v>
      </c>
      <c r="AA16" s="103">
        <v>0</v>
      </c>
      <c r="AB16" s="103" t="s">
        <v>1570</v>
      </c>
      <c r="AC16" s="103">
        <v>0</v>
      </c>
      <c r="AD16" s="103">
        <v>0</v>
      </c>
      <c r="AE16" s="103">
        <v>0</v>
      </c>
      <c r="AF16" s="103">
        <v>0</v>
      </c>
      <c r="AG16" s="103">
        <v>0</v>
      </c>
      <c r="AH16" s="103" t="s">
        <v>1570</v>
      </c>
      <c r="AI16" s="103" t="s">
        <v>1570</v>
      </c>
    </row>
    <row r="17" spans="2:35">
      <c r="B17" s="181" t="s">
        <v>1545</v>
      </c>
      <c r="C17" s="103">
        <v>15</v>
      </c>
      <c r="D17" s="103" t="s">
        <v>1778</v>
      </c>
      <c r="E17" s="122">
        <v>45490</v>
      </c>
      <c r="F17" s="103">
        <v>2</v>
      </c>
      <c r="G17" s="151">
        <v>1</v>
      </c>
      <c r="H17" s="226">
        <v>0</v>
      </c>
      <c r="I17" s="103" t="s">
        <v>1570</v>
      </c>
      <c r="J17" s="103" t="s">
        <v>1570</v>
      </c>
      <c r="K17" s="103" t="s">
        <v>1570</v>
      </c>
      <c r="L17" s="103" t="s">
        <v>1570</v>
      </c>
      <c r="M17" s="103" t="s">
        <v>1570</v>
      </c>
      <c r="N17" s="103" t="s">
        <v>1570</v>
      </c>
      <c r="O17" s="103" t="s">
        <v>1570</v>
      </c>
      <c r="P17" s="103" t="s">
        <v>1570</v>
      </c>
      <c r="Q17" s="103" t="s">
        <v>1570</v>
      </c>
      <c r="R17" s="103" t="s">
        <v>1570</v>
      </c>
      <c r="S17" s="103" t="s">
        <v>1570</v>
      </c>
      <c r="T17" s="103" t="s">
        <v>1570</v>
      </c>
      <c r="U17" s="103" t="s">
        <v>1570</v>
      </c>
      <c r="V17" s="103" t="s">
        <v>1570</v>
      </c>
      <c r="W17" s="103" t="s">
        <v>1570</v>
      </c>
      <c r="X17" s="103" t="s">
        <v>1570</v>
      </c>
      <c r="Y17" s="103" t="s">
        <v>1570</v>
      </c>
      <c r="Z17" s="103" t="s">
        <v>1570</v>
      </c>
      <c r="AA17" s="103" t="s">
        <v>1570</v>
      </c>
      <c r="AB17" s="103" t="s">
        <v>1570</v>
      </c>
      <c r="AC17" s="103" t="s">
        <v>1570</v>
      </c>
      <c r="AD17" s="103" t="s">
        <v>1570</v>
      </c>
      <c r="AE17" s="103" t="s">
        <v>1570</v>
      </c>
      <c r="AF17" s="103" t="s">
        <v>1570</v>
      </c>
      <c r="AG17" s="103" t="s">
        <v>1570</v>
      </c>
      <c r="AH17" s="103" t="s">
        <v>1570</v>
      </c>
      <c r="AI17" s="103" t="s">
        <v>1570</v>
      </c>
    </row>
    <row r="18" spans="2:35">
      <c r="B18" s="181" t="s">
        <v>1547</v>
      </c>
      <c r="C18" s="103">
        <v>16</v>
      </c>
      <c r="D18" s="103" t="s">
        <v>1778</v>
      </c>
      <c r="E18" s="122">
        <v>45490</v>
      </c>
      <c r="F18" s="103">
        <v>2</v>
      </c>
      <c r="G18" s="151">
        <v>1</v>
      </c>
      <c r="H18" s="226">
        <v>0</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c r="V18" s="103" t="s">
        <v>1570</v>
      </c>
      <c r="W18" s="103" t="s">
        <v>1570</v>
      </c>
      <c r="X18" s="103" t="s">
        <v>1570</v>
      </c>
      <c r="Y18" s="103" t="s">
        <v>1570</v>
      </c>
      <c r="Z18" s="103" t="s">
        <v>1570</v>
      </c>
      <c r="AA18" s="103" t="s">
        <v>1570</v>
      </c>
      <c r="AB18" s="103" t="s">
        <v>1570</v>
      </c>
      <c r="AC18" s="103" t="s">
        <v>1570</v>
      </c>
      <c r="AD18" s="103" t="s">
        <v>1570</v>
      </c>
      <c r="AE18" s="103" t="s">
        <v>1570</v>
      </c>
      <c r="AF18" s="103" t="s">
        <v>1570</v>
      </c>
      <c r="AG18" s="103" t="s">
        <v>1570</v>
      </c>
      <c r="AH18" s="103" t="s">
        <v>1570</v>
      </c>
      <c r="AI18" s="103" t="s">
        <v>1570</v>
      </c>
    </row>
    <row r="19" spans="2:35">
      <c r="B19" s="147" t="s">
        <v>1553</v>
      </c>
      <c r="C19" s="103">
        <v>19</v>
      </c>
      <c r="D19" s="103" t="s">
        <v>1779</v>
      </c>
      <c r="E19" s="122">
        <v>45490</v>
      </c>
      <c r="F19" s="103">
        <v>2</v>
      </c>
      <c r="G19" s="151" cm="1">
        <f t="array" aca="1" ref="G19" ca="1">SUMPRODUCT(--(ISNUMBER((SEARCH(I25:AI25,I19:AI19)))))/COUNTA(I19:AI19)</f>
        <v>1</v>
      </c>
      <c r="H19" s="226">
        <v>0</v>
      </c>
      <c r="I19" s="103" t="s">
        <v>1596</v>
      </c>
      <c r="J19" s="103" t="s">
        <v>1596</v>
      </c>
      <c r="K19" s="103" t="s">
        <v>1780</v>
      </c>
      <c r="L19" s="103" t="s">
        <v>1597</v>
      </c>
      <c r="M19" s="103" t="s">
        <v>1596</v>
      </c>
      <c r="N19" s="103" t="s">
        <v>1596</v>
      </c>
      <c r="O19" s="103" t="s">
        <v>1596</v>
      </c>
      <c r="P19" s="103" t="s">
        <v>1781</v>
      </c>
      <c r="Q19" s="103" t="s">
        <v>1596</v>
      </c>
      <c r="R19" s="103" t="s">
        <v>1596</v>
      </c>
      <c r="S19" s="103" t="s">
        <v>1596</v>
      </c>
      <c r="T19" s="103" t="s">
        <v>1596</v>
      </c>
      <c r="U19" s="103" t="s">
        <v>1596</v>
      </c>
      <c r="V19" s="103" t="s">
        <v>1596</v>
      </c>
      <c r="W19" s="103" t="s">
        <v>1596</v>
      </c>
      <c r="X19" s="103" t="s">
        <v>1596</v>
      </c>
      <c r="Y19" s="103" t="s">
        <v>1598</v>
      </c>
      <c r="Z19" s="103" t="s">
        <v>1598</v>
      </c>
      <c r="AA19" s="103" t="s">
        <v>1596</v>
      </c>
      <c r="AB19" s="103" t="s">
        <v>1596</v>
      </c>
      <c r="AC19" s="103" t="s">
        <v>1596</v>
      </c>
      <c r="AD19" s="103" t="s">
        <v>1596</v>
      </c>
      <c r="AE19" s="103" t="s">
        <v>1596</v>
      </c>
      <c r="AF19" s="103" t="s">
        <v>1596</v>
      </c>
      <c r="AG19" s="103" t="s">
        <v>1596</v>
      </c>
      <c r="AH19" s="103" t="s">
        <v>1596</v>
      </c>
      <c r="AI19" s="103" t="s">
        <v>1599</v>
      </c>
    </row>
    <row r="20" spans="2:35">
      <c r="B20" s="147" t="s">
        <v>1556</v>
      </c>
      <c r="C20" s="103">
        <v>20</v>
      </c>
      <c r="D20" s="103" t="s">
        <v>1782</v>
      </c>
      <c r="E20" s="122">
        <v>45490</v>
      </c>
      <c r="F20" s="103">
        <v>1</v>
      </c>
      <c r="G20" s="151" cm="1">
        <f t="array" ref="G20">SUM(IF(I2:AH2 = I24:AH24, 1, 0))/ COUNTA(I2:AH2)</f>
        <v>1</v>
      </c>
      <c r="H20" s="226" t="s">
        <v>1570</v>
      </c>
      <c r="I20" s="226" t="s">
        <v>1570</v>
      </c>
      <c r="J20" s="226" t="s">
        <v>1570</v>
      </c>
      <c r="K20" s="226" t="s">
        <v>1570</v>
      </c>
      <c r="L20" s="226" t="s">
        <v>1570</v>
      </c>
      <c r="M20" s="226" t="s">
        <v>1570</v>
      </c>
      <c r="N20" s="226" t="s">
        <v>1570</v>
      </c>
      <c r="O20" s="226" t="s">
        <v>1570</v>
      </c>
      <c r="P20" s="226" t="s">
        <v>1570</v>
      </c>
      <c r="Q20" s="226" t="s">
        <v>1570</v>
      </c>
      <c r="R20" s="226" t="s">
        <v>1570</v>
      </c>
      <c r="S20" s="226" t="s">
        <v>1570</v>
      </c>
      <c r="T20" s="226" t="s">
        <v>1570</v>
      </c>
      <c r="U20" s="226" t="s">
        <v>1570</v>
      </c>
      <c r="V20" s="226" t="s">
        <v>1570</v>
      </c>
      <c r="W20" s="226" t="s">
        <v>1570</v>
      </c>
      <c r="X20" s="226" t="s">
        <v>1570</v>
      </c>
      <c r="Y20" s="226" t="s">
        <v>1570</v>
      </c>
      <c r="Z20" s="226" t="s">
        <v>1570</v>
      </c>
      <c r="AA20" s="226" t="s">
        <v>1570</v>
      </c>
      <c r="AB20" s="226" t="s">
        <v>1570</v>
      </c>
      <c r="AC20" s="226" t="s">
        <v>1570</v>
      </c>
      <c r="AD20" s="226" t="s">
        <v>1570</v>
      </c>
      <c r="AE20" s="226" t="s">
        <v>1570</v>
      </c>
      <c r="AF20" s="226" t="s">
        <v>1570</v>
      </c>
      <c r="AG20" s="226" t="s">
        <v>1570</v>
      </c>
      <c r="AH20" s="226" t="s">
        <v>1570</v>
      </c>
      <c r="AI20" s="226" t="s">
        <v>1570</v>
      </c>
    </row>
    <row r="21" spans="2:35">
      <c r="B21" s="171" t="s">
        <v>1559</v>
      </c>
      <c r="C21" s="103">
        <v>21</v>
      </c>
      <c r="D21" s="103" t="s">
        <v>1783</v>
      </c>
      <c r="E21" s="122">
        <v>45490</v>
      </c>
      <c r="F21" s="103">
        <v>1</v>
      </c>
      <c r="G21" s="151" cm="1">
        <f t="array" aca="1" ref="G21" ca="1">SUM(IF(IF(G3:G20="null",1,G3:G20)=1,1,0))/COUNT(IF(G3:G20="null",1,1))</f>
        <v>0.88888888888888884</v>
      </c>
      <c r="H21" s="226" t="s">
        <v>1570</v>
      </c>
      <c r="I21" s="226" t="s">
        <v>1570</v>
      </c>
      <c r="J21" s="226" t="s">
        <v>1570</v>
      </c>
      <c r="K21" s="226" t="s">
        <v>1570</v>
      </c>
      <c r="L21" s="226" t="s">
        <v>1570</v>
      </c>
      <c r="M21" s="226" t="s">
        <v>1570</v>
      </c>
      <c r="N21" s="226" t="s">
        <v>1570</v>
      </c>
      <c r="O21" s="226" t="s">
        <v>1570</v>
      </c>
      <c r="P21" s="226" t="s">
        <v>1570</v>
      </c>
      <c r="Q21" s="226" t="s">
        <v>1570</v>
      </c>
      <c r="R21" s="226" t="s">
        <v>1570</v>
      </c>
      <c r="S21" s="226" t="s">
        <v>1570</v>
      </c>
      <c r="T21" s="226" t="s">
        <v>1570</v>
      </c>
      <c r="U21" s="226" t="s">
        <v>1570</v>
      </c>
      <c r="V21" s="226" t="s">
        <v>1570</v>
      </c>
      <c r="W21" s="226" t="s">
        <v>1570</v>
      </c>
      <c r="X21" s="226" t="s">
        <v>1570</v>
      </c>
      <c r="Y21" s="226" t="s">
        <v>1570</v>
      </c>
      <c r="Z21" s="226" t="s">
        <v>1570</v>
      </c>
      <c r="AA21" s="226" t="s">
        <v>1570</v>
      </c>
      <c r="AB21" s="226" t="s">
        <v>1570</v>
      </c>
      <c r="AC21" s="226" t="s">
        <v>1570</v>
      </c>
      <c r="AD21" s="226" t="s">
        <v>1570</v>
      </c>
      <c r="AE21" s="226" t="s">
        <v>1570</v>
      </c>
      <c r="AF21" s="226" t="s">
        <v>1570</v>
      </c>
      <c r="AG21" s="226" t="s">
        <v>1570</v>
      </c>
      <c r="AH21" s="226" t="s">
        <v>1570</v>
      </c>
      <c r="AI21" s="226" t="s">
        <v>1570</v>
      </c>
    </row>
    <row r="22" spans="2:35">
      <c r="B22" s="103"/>
      <c r="C22" s="103"/>
      <c r="D22" s="103"/>
      <c r="E22" s="122"/>
      <c r="F22" s="103"/>
      <c r="G22" s="103"/>
      <c r="H22" s="103"/>
      <c r="I22" s="103"/>
      <c r="J22" s="103"/>
      <c r="K22" s="103"/>
      <c r="L22" s="103"/>
      <c r="M22" s="103"/>
      <c r="N22" s="103"/>
      <c r="O22" s="103"/>
      <c r="P22" s="103"/>
      <c r="Q22" s="103"/>
      <c r="R22" s="103"/>
      <c r="S22" s="103"/>
      <c r="T22" s="103"/>
    </row>
    <row r="23" spans="2:35">
      <c r="B23" s="112" t="s">
        <v>1600</v>
      </c>
    </row>
    <row r="24" spans="2:35">
      <c r="B24" s="113" t="s">
        <v>1601</v>
      </c>
      <c r="C24" s="114" t="s">
        <v>1563</v>
      </c>
      <c r="D24" s="114" t="s">
        <v>1564</v>
      </c>
      <c r="E24" s="114" t="s">
        <v>1565</v>
      </c>
      <c r="F24" s="114" t="s">
        <v>1566</v>
      </c>
      <c r="G24" s="114" t="s">
        <v>1567</v>
      </c>
      <c r="H24" s="114" t="s">
        <v>1568</v>
      </c>
      <c r="I24" s="115" t="str" cm="1">
        <f t="array" ref="I24:AI24">TRANSPOSE(_xlfn.SORTBY(_xlfn._xlws.FILTER(Table2[NOME FÍSICO CAMPO],Table2[NOME FÍSICO TABELA]="prepaid_card_account_transaction"), _xlfn._xlws.FILTER(Table2[ORDEM], Table2[NOME FÍSICO TABELA]="prepaid_card_account_transaction"), 1))</f>
        <v>bank_id</v>
      </c>
      <c r="J24" s="115" t="str">
        <v>contract_id</v>
      </c>
      <c r="K24" s="115" t="str">
        <v>order_number</v>
      </c>
      <c r="L24" s="115" t="str">
        <v>order_number_stage</v>
      </c>
      <c r="M24" s="115" t="str">
        <v>transaction_type_code</v>
      </c>
      <c r="N24" s="115" t="str">
        <v>financial_flow_indicator</v>
      </c>
      <c r="O24" s="115" t="str">
        <v>card_number</v>
      </c>
      <c r="P24" s="115" t="str">
        <v>beneficiary_order_number</v>
      </c>
      <c r="Q24" s="115" t="str">
        <v>recurring_transaction_indicator</v>
      </c>
      <c r="R24" s="115" t="str">
        <v>chargeback_indicator</v>
      </c>
      <c r="S24" s="115" t="str">
        <v>card_presence_indicator</v>
      </c>
      <c r="T24" s="186" t="str">
        <v>authentication_type_code</v>
      </c>
      <c r="U24" s="186" t="str">
        <v>original_currency_code</v>
      </c>
      <c r="V24" s="186" t="str">
        <v>currency_code</v>
      </c>
      <c r="W24" s="186" t="str">
        <v>transaction_date</v>
      </c>
      <c r="X24" s="224" t="str">
        <v>transaction_execution_date</v>
      </c>
      <c r="Y24" s="224" t="str">
        <v>original_amount</v>
      </c>
      <c r="Z24" s="224" t="str">
        <v>amount</v>
      </c>
      <c r="AA24" s="224" t="str">
        <v>terminal_organization_id</v>
      </c>
      <c r="AB24" s="224" t="str">
        <v>terminal_description</v>
      </c>
      <c r="AC24" s="224" t="str">
        <v>atm_terminal_id</v>
      </c>
      <c r="AD24" s="224" t="str">
        <v>pos_terminal_id</v>
      </c>
      <c r="AE24" s="224" t="str">
        <v>merchant_id</v>
      </c>
      <c r="AF24" s="224" t="str">
        <v>merchant_type_code</v>
      </c>
      <c r="AG24" s="224" t="str">
        <v>source_code</v>
      </c>
      <c r="AH24" s="225" t="str">
        <v>data_date_part</v>
      </c>
      <c r="AI24" s="225" t="str">
        <v>data_timestamp_part</v>
      </c>
    </row>
    <row r="25" spans="2:35">
      <c r="B25" s="106" t="s">
        <v>1602</v>
      </c>
      <c r="C25" s="119">
        <v>21</v>
      </c>
      <c r="D25" s="108" t="s">
        <v>1603</v>
      </c>
      <c r="E25" s="107" t="s">
        <v>1604</v>
      </c>
      <c r="F25" s="107" t="s">
        <v>1051</v>
      </c>
      <c r="G25" s="107" t="s">
        <v>1051</v>
      </c>
      <c r="H25" s="107" t="s">
        <v>1051</v>
      </c>
      <c r="I25" s="107" t="str" cm="1">
        <f t="array" aca="1" ref="I25:AI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7" t="str">
        <f ca="1"/>
        <v>STRING</v>
      </c>
      <c r="K25" s="107" t="str">
        <f ca="1"/>
        <v>BIG INT</v>
      </c>
      <c r="L25" s="107" t="str">
        <f ca="1"/>
        <v>BIGINT</v>
      </c>
      <c r="M25" s="107" t="str">
        <f ca="1"/>
        <v>STRING</v>
      </c>
      <c r="N25" s="107" t="str">
        <f ca="1"/>
        <v>STRING</v>
      </c>
      <c r="O25" s="107" t="str">
        <f ca="1"/>
        <v>STRING</v>
      </c>
      <c r="P25" s="107" t="str">
        <f ca="1"/>
        <v>INT</v>
      </c>
      <c r="Q25" s="107" t="str">
        <f ca="1"/>
        <v>STRING</v>
      </c>
      <c r="R25" s="107" t="str">
        <f ca="1"/>
        <v>STRING</v>
      </c>
      <c r="S25" s="107" t="str">
        <f ca="1"/>
        <v>STRING</v>
      </c>
      <c r="T25" s="107" t="str">
        <f ca="1"/>
        <v>STRING</v>
      </c>
      <c r="U25" s="107" t="str">
        <f ca="1"/>
        <v>STRING</v>
      </c>
      <c r="V25" s="107" t="str">
        <f ca="1"/>
        <v>STRING</v>
      </c>
      <c r="W25" s="107" t="str">
        <f ca="1"/>
        <v>STRING</v>
      </c>
      <c r="X25" s="107" t="str">
        <f ca="1"/>
        <v>STRING</v>
      </c>
      <c r="Y25" s="107" t="str">
        <f ca="1"/>
        <v>DECIMAL</v>
      </c>
      <c r="Z25" s="107" t="str">
        <f ca="1"/>
        <v>DECIMAL</v>
      </c>
      <c r="AA25" s="107" t="str">
        <f ca="1"/>
        <v>STRING</v>
      </c>
      <c r="AB25" s="107" t="str">
        <f ca="1"/>
        <v>STRING</v>
      </c>
      <c r="AC25" s="107" t="str">
        <f ca="1"/>
        <v>STRING</v>
      </c>
      <c r="AD25" s="107" t="str">
        <f ca="1"/>
        <v>STRING</v>
      </c>
      <c r="AE25" s="107" t="str">
        <f ca="1"/>
        <v>STRING</v>
      </c>
      <c r="AF25" s="107" t="str">
        <f ca="1"/>
        <v>STRING</v>
      </c>
      <c r="AG25" s="107" t="str">
        <f ca="1"/>
        <v>STRING</v>
      </c>
      <c r="AH25" s="118" t="str">
        <f ca="1"/>
        <v>STRING</v>
      </c>
      <c r="AI25" s="118" t="str">
        <f ca="1"/>
        <v>TIMESTAMP</v>
      </c>
    </row>
    <row r="26" spans="2:35">
      <c r="B26" s="106" t="s">
        <v>1605</v>
      </c>
      <c r="C26" s="119">
        <v>7</v>
      </c>
      <c r="D26" s="108" t="s">
        <v>1603</v>
      </c>
      <c r="E26" s="107" t="s">
        <v>1604</v>
      </c>
      <c r="F26" s="107" t="s">
        <v>1051</v>
      </c>
      <c r="G26" s="107" t="s">
        <v>1051</v>
      </c>
      <c r="H26" s="107" t="s">
        <v>1051</v>
      </c>
      <c r="I26" s="119">
        <f ca="1"/>
        <v>4</v>
      </c>
      <c r="J26" s="119">
        <f ca="1"/>
        <v>15</v>
      </c>
      <c r="K26" s="119">
        <f ca="1"/>
        <v>9999999</v>
      </c>
      <c r="L26" s="119">
        <f ca="1"/>
        <v>9999999</v>
      </c>
      <c r="M26" s="119">
        <f ca="1"/>
        <v>20</v>
      </c>
      <c r="N26" s="119">
        <f ca="1"/>
        <v>4</v>
      </c>
      <c r="O26" s="119">
        <f ca="1"/>
        <v>16</v>
      </c>
      <c r="P26" s="119">
        <f ca="1"/>
        <v>5</v>
      </c>
      <c r="Q26" s="119">
        <f ca="1"/>
        <v>4</v>
      </c>
      <c r="R26" s="119">
        <f ca="1"/>
        <v>4</v>
      </c>
      <c r="S26" s="119">
        <f ca="1"/>
        <v>4</v>
      </c>
      <c r="T26" s="119">
        <f ca="1"/>
        <v>20</v>
      </c>
      <c r="U26" s="119">
        <f ca="1"/>
        <v>3</v>
      </c>
      <c r="V26" s="119">
        <f ca="1"/>
        <v>3</v>
      </c>
      <c r="W26" s="119">
        <f ca="1"/>
        <v>10</v>
      </c>
      <c r="X26" s="119">
        <f ca="1"/>
        <v>10</v>
      </c>
      <c r="Y26" s="119">
        <f ca="1"/>
        <v>23</v>
      </c>
      <c r="Z26" s="119">
        <f ca="1"/>
        <v>23</v>
      </c>
      <c r="AA26" s="119">
        <f ca="1"/>
        <v>4</v>
      </c>
      <c r="AB26" s="119">
        <f ca="1"/>
        <v>9999999</v>
      </c>
      <c r="AC26" s="119">
        <f ca="1"/>
        <v>10</v>
      </c>
      <c r="AD26" s="119">
        <f ca="1"/>
        <v>10</v>
      </c>
      <c r="AE26" s="119">
        <f ca="1"/>
        <v>20</v>
      </c>
      <c r="AF26" s="119">
        <f ca="1"/>
        <v>20</v>
      </c>
      <c r="AG26" s="119">
        <f ca="1"/>
        <v>20</v>
      </c>
      <c r="AH26" s="120">
        <f ca="1"/>
        <v>10</v>
      </c>
      <c r="AI26" s="120">
        <f ca="1"/>
        <v>23</v>
      </c>
    </row>
    <row r="29" spans="2:35">
      <c r="B29" s="129" t="s">
        <v>1606</v>
      </c>
    </row>
    <row r="30" spans="2:35">
      <c r="B30" s="138" t="s">
        <v>1607</v>
      </c>
      <c r="C30" s="138" t="s">
        <v>1608</v>
      </c>
      <c r="D30" s="139" t="s">
        <v>1609</v>
      </c>
      <c r="E30" s="138" t="s">
        <v>1610</v>
      </c>
      <c r="F30" s="138" t="s">
        <v>1611</v>
      </c>
      <c r="I30" s="194"/>
    </row>
    <row r="31" spans="2:35" ht="75" customHeight="1">
      <c r="B31" s="136" t="s">
        <v>1623</v>
      </c>
      <c r="C31" s="88" t="s">
        <v>753</v>
      </c>
      <c r="D31" s="88" t="s">
        <v>1784</v>
      </c>
      <c r="E31" s="88" t="s">
        <v>1785</v>
      </c>
      <c r="F31" s="137" t="s">
        <v>1615</v>
      </c>
      <c r="I31" s="193"/>
    </row>
    <row r="32" spans="2:35" ht="45.75">
      <c r="B32" s="140" t="s">
        <v>1612</v>
      </c>
      <c r="C32" s="88" t="s">
        <v>753</v>
      </c>
      <c r="D32" s="88" t="s">
        <v>1784</v>
      </c>
      <c r="E32" s="88" t="s">
        <v>1785</v>
      </c>
      <c r="F32" s="82" t="s">
        <v>1617</v>
      </c>
    </row>
    <row r="33" spans="2:8" ht="60.75">
      <c r="B33" s="140" t="s">
        <v>1612</v>
      </c>
      <c r="C33" s="227" t="s">
        <v>914</v>
      </c>
      <c r="D33" s="92" t="s">
        <v>1786</v>
      </c>
      <c r="E33" s="92" t="s">
        <v>1787</v>
      </c>
      <c r="F33" s="81" t="s">
        <v>1753</v>
      </c>
    </row>
    <row r="34" spans="2:8" ht="60.75">
      <c r="B34" s="140" t="s">
        <v>1612</v>
      </c>
      <c r="C34" s="92" t="s">
        <v>921</v>
      </c>
      <c r="D34" s="92" t="s">
        <v>1786</v>
      </c>
      <c r="E34" s="92" t="s">
        <v>1787</v>
      </c>
      <c r="F34" s="81" t="s">
        <v>1753</v>
      </c>
    </row>
    <row r="35" spans="2:8" ht="91.5">
      <c r="B35" s="140" t="s">
        <v>1612</v>
      </c>
      <c r="C35" s="92" t="s">
        <v>974</v>
      </c>
      <c r="D35" s="92" t="s">
        <v>1788</v>
      </c>
      <c r="E35" s="92" t="s">
        <v>1789</v>
      </c>
      <c r="F35" s="81" t="s">
        <v>1753</v>
      </c>
    </row>
    <row r="37" spans="2:8">
      <c r="H37" s="24"/>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theme="8" tint="0.59999389629810485"/>
  </sheetPr>
  <dimension ref="B1:AI37"/>
  <sheetViews>
    <sheetView showGridLines="0" tabSelected="1" topLeftCell="A32" workbookViewId="0">
      <selection activeCell="S12" sqref="S12"/>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2" t="s">
        <v>1562</v>
      </c>
      <c r="C2" s="102" t="s">
        <v>1563</v>
      </c>
      <c r="D2" s="102" t="s">
        <v>1564</v>
      </c>
      <c r="E2" s="102" t="s">
        <v>1565</v>
      </c>
      <c r="F2" s="102" t="s">
        <v>1566</v>
      </c>
      <c r="G2" s="102" t="s">
        <v>1567</v>
      </c>
      <c r="H2" s="102" t="s">
        <v>1568</v>
      </c>
      <c r="I2" s="102" t="s">
        <v>691</v>
      </c>
      <c r="J2" s="102" t="s">
        <v>706</v>
      </c>
      <c r="K2" s="102" t="s">
        <v>716</v>
      </c>
      <c r="L2" s="102" t="s">
        <v>727</v>
      </c>
      <c r="M2" s="102" t="s">
        <v>753</v>
      </c>
      <c r="N2" s="102" t="s">
        <v>765</v>
      </c>
      <c r="O2" s="102" t="s">
        <v>889</v>
      </c>
      <c r="P2" s="102" t="s">
        <v>897</v>
      </c>
      <c r="Q2" s="102" t="s">
        <v>902</v>
      </c>
      <c r="R2" s="102" t="s">
        <v>908</v>
      </c>
      <c r="S2" s="102" t="s">
        <v>914</v>
      </c>
      <c r="T2" s="102" t="s">
        <v>921</v>
      </c>
      <c r="U2" s="102" t="s">
        <v>927</v>
      </c>
      <c r="V2" s="102" t="s">
        <v>776</v>
      </c>
      <c r="W2" s="102" t="s">
        <v>735</v>
      </c>
      <c r="X2" s="102" t="s">
        <v>789</v>
      </c>
      <c r="Y2" s="102" t="s">
        <v>937</v>
      </c>
      <c r="Z2" s="102" t="s">
        <v>744</v>
      </c>
      <c r="AA2" s="102" t="s">
        <v>946</v>
      </c>
      <c r="AB2" s="102" t="s">
        <v>955</v>
      </c>
      <c r="AC2" s="102" t="s">
        <v>963</v>
      </c>
      <c r="AD2" s="102" t="s">
        <v>968</v>
      </c>
      <c r="AE2" s="102" t="s">
        <v>974</v>
      </c>
      <c r="AF2" s="102" t="s">
        <v>980</v>
      </c>
      <c r="AG2" s="102" t="s">
        <v>796</v>
      </c>
      <c r="AH2" s="102" t="s">
        <v>804</v>
      </c>
      <c r="AI2" s="102" t="s">
        <v>811</v>
      </c>
    </row>
    <row r="3" spans="2:35">
      <c r="B3" s="147" t="s">
        <v>1516</v>
      </c>
      <c r="C3" s="103">
        <v>1</v>
      </c>
      <c r="D3" s="103" t="s">
        <v>1790</v>
      </c>
      <c r="E3" s="122">
        <v>45490</v>
      </c>
      <c r="F3" s="103">
        <v>2</v>
      </c>
      <c r="G3" s="151">
        <v>1</v>
      </c>
      <c r="H3" s="226">
        <v>1099875</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c r="V3" s="103" t="s">
        <v>1570</v>
      </c>
      <c r="W3" s="103" t="s">
        <v>1570</v>
      </c>
      <c r="X3" s="103" t="s">
        <v>1570</v>
      </c>
      <c r="Y3" s="103" t="s">
        <v>1570</v>
      </c>
      <c r="Z3" s="103" t="s">
        <v>1570</v>
      </c>
      <c r="AA3" s="103" t="s">
        <v>1570</v>
      </c>
      <c r="AB3" s="103" t="s">
        <v>1570</v>
      </c>
      <c r="AC3" s="103" t="s">
        <v>1570</v>
      </c>
      <c r="AD3" s="103" t="s">
        <v>1570</v>
      </c>
      <c r="AE3" s="103" t="s">
        <v>1570</v>
      </c>
      <c r="AF3" s="103" t="s">
        <v>1570</v>
      </c>
      <c r="AG3" s="103" t="s">
        <v>1570</v>
      </c>
      <c r="AH3" s="103" t="s">
        <v>1570</v>
      </c>
      <c r="AI3" s="103" t="s">
        <v>1570</v>
      </c>
    </row>
    <row r="4" spans="2:35">
      <c r="B4" s="147" t="s">
        <v>1518</v>
      </c>
      <c r="C4" s="103">
        <v>2</v>
      </c>
      <c r="D4" s="103" t="s">
        <v>1791</v>
      </c>
      <c r="E4" s="122">
        <v>45490</v>
      </c>
      <c r="F4" s="103">
        <v>2</v>
      </c>
      <c r="G4" s="151">
        <v>1</v>
      </c>
      <c r="H4" s="226">
        <v>0</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c r="V4" s="103" t="s">
        <v>1570</v>
      </c>
      <c r="W4" s="103" t="s">
        <v>1570</v>
      </c>
      <c r="X4" s="103" t="s">
        <v>1570</v>
      </c>
      <c r="Y4" s="103" t="s">
        <v>1570</v>
      </c>
      <c r="Z4" s="103" t="s">
        <v>1570</v>
      </c>
      <c r="AA4" s="103" t="s">
        <v>1570</v>
      </c>
      <c r="AB4" s="103" t="s">
        <v>1570</v>
      </c>
      <c r="AC4" s="103" t="s">
        <v>1570</v>
      </c>
      <c r="AD4" s="103" t="s">
        <v>1570</v>
      </c>
      <c r="AE4" s="103" t="s">
        <v>1570</v>
      </c>
      <c r="AF4" s="103" t="s">
        <v>1570</v>
      </c>
      <c r="AG4" s="103" t="s">
        <v>1570</v>
      </c>
      <c r="AH4" s="103" t="s">
        <v>1570</v>
      </c>
      <c r="AI4" s="103" t="s">
        <v>1570</v>
      </c>
    </row>
    <row r="5" spans="2:35">
      <c r="B5" s="147" t="s">
        <v>1520</v>
      </c>
      <c r="C5" s="103">
        <v>3</v>
      </c>
      <c r="D5" s="103" t="s">
        <v>1792</v>
      </c>
      <c r="E5" s="122">
        <v>45490</v>
      </c>
      <c r="F5" s="103">
        <v>2</v>
      </c>
      <c r="G5" s="151">
        <v>1</v>
      </c>
      <c r="H5" s="226">
        <v>0</v>
      </c>
      <c r="I5" s="103">
        <v>0</v>
      </c>
      <c r="J5" s="103">
        <v>0</v>
      </c>
      <c r="K5" s="103">
        <v>0</v>
      </c>
      <c r="L5" s="103">
        <v>0</v>
      </c>
      <c r="M5" s="103" t="s">
        <v>1570</v>
      </c>
      <c r="N5" s="103" t="s">
        <v>1570</v>
      </c>
      <c r="O5" s="103" t="s">
        <v>1570</v>
      </c>
      <c r="P5" s="103" t="s">
        <v>1570</v>
      </c>
      <c r="Q5" s="103" t="s">
        <v>1570</v>
      </c>
      <c r="R5" s="103" t="s">
        <v>1570</v>
      </c>
      <c r="S5" s="103" t="s">
        <v>1570</v>
      </c>
      <c r="T5" s="103" t="s">
        <v>1570</v>
      </c>
      <c r="U5" s="103" t="s">
        <v>1570</v>
      </c>
      <c r="V5" s="103" t="s">
        <v>1570</v>
      </c>
      <c r="W5" s="103" t="s">
        <v>1570</v>
      </c>
      <c r="X5" s="103" t="s">
        <v>1570</v>
      </c>
      <c r="Y5" s="103" t="s">
        <v>1570</v>
      </c>
      <c r="Z5" s="103" t="s">
        <v>1570</v>
      </c>
      <c r="AA5" s="103" t="s">
        <v>1570</v>
      </c>
      <c r="AB5" s="103" t="s">
        <v>1570</v>
      </c>
      <c r="AC5" s="103" t="s">
        <v>1570</v>
      </c>
      <c r="AD5" s="103" t="s">
        <v>1570</v>
      </c>
      <c r="AE5" s="103" t="s">
        <v>1570</v>
      </c>
      <c r="AF5" s="103" t="s">
        <v>1570</v>
      </c>
      <c r="AG5" s="103" t="s">
        <v>1570</v>
      </c>
      <c r="AH5" s="103">
        <v>0</v>
      </c>
      <c r="AI5" s="103" t="s">
        <v>1570</v>
      </c>
    </row>
    <row r="6" spans="2:35">
      <c r="B6" s="93" t="s">
        <v>1522</v>
      </c>
      <c r="C6" s="103">
        <v>4</v>
      </c>
      <c r="D6" s="103" t="s">
        <v>1574</v>
      </c>
      <c r="E6" s="122" t="s">
        <v>1570</v>
      </c>
      <c r="F6" s="103">
        <v>2</v>
      </c>
      <c r="G6" s="103" t="s">
        <v>1570</v>
      </c>
      <c r="H6" s="103" t="s">
        <v>1570</v>
      </c>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c r="V6" s="103" t="s">
        <v>1570</v>
      </c>
      <c r="W6" s="103" t="s">
        <v>1570</v>
      </c>
      <c r="X6" s="103" t="s">
        <v>1570</v>
      </c>
      <c r="Y6" s="103" t="s">
        <v>1570</v>
      </c>
      <c r="Z6" s="103" t="s">
        <v>1570</v>
      </c>
      <c r="AA6" s="103" t="s">
        <v>1570</v>
      </c>
      <c r="AB6" s="103" t="s">
        <v>1570</v>
      </c>
      <c r="AC6" s="103" t="s">
        <v>1570</v>
      </c>
      <c r="AD6" s="103" t="s">
        <v>1570</v>
      </c>
      <c r="AE6" s="103" t="s">
        <v>1570</v>
      </c>
      <c r="AF6" s="103" t="s">
        <v>1570</v>
      </c>
      <c r="AG6" s="103" t="s">
        <v>1570</v>
      </c>
      <c r="AH6" s="103" t="s">
        <v>1570</v>
      </c>
      <c r="AI6" s="103" t="s">
        <v>1570</v>
      </c>
    </row>
    <row r="7" spans="2:35">
      <c r="B7" s="93" t="s">
        <v>1524</v>
      </c>
      <c r="C7" s="103">
        <v>5</v>
      </c>
      <c r="D7" s="103" t="s">
        <v>1574</v>
      </c>
      <c r="E7" s="122" t="s">
        <v>1570</v>
      </c>
      <c r="F7" s="103">
        <v>2</v>
      </c>
      <c r="G7" s="103" t="s">
        <v>1570</v>
      </c>
      <c r="H7" s="103" t="s">
        <v>1570</v>
      </c>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c r="V7" s="103" t="s">
        <v>1570</v>
      </c>
      <c r="W7" s="103" t="s">
        <v>1570</v>
      </c>
      <c r="X7" s="103" t="s">
        <v>1570</v>
      </c>
      <c r="Y7" s="103" t="s">
        <v>1570</v>
      </c>
      <c r="Z7" s="103" t="s">
        <v>1570</v>
      </c>
      <c r="AA7" s="103" t="s">
        <v>1570</v>
      </c>
      <c r="AB7" s="103" t="s">
        <v>1570</v>
      </c>
      <c r="AC7" s="103" t="s">
        <v>1570</v>
      </c>
      <c r="AD7" s="103" t="s">
        <v>1570</v>
      </c>
      <c r="AE7" s="103" t="s">
        <v>1570</v>
      </c>
      <c r="AF7" s="103" t="s">
        <v>1570</v>
      </c>
      <c r="AG7" s="103" t="s">
        <v>1570</v>
      </c>
      <c r="AH7" s="103" t="s">
        <v>1570</v>
      </c>
      <c r="AI7" s="103" t="s">
        <v>1570</v>
      </c>
    </row>
    <row r="8" spans="2:35">
      <c r="B8" s="178" t="s">
        <v>1525</v>
      </c>
      <c r="C8" s="103">
        <v>6</v>
      </c>
      <c r="D8" s="103" t="s">
        <v>1793</v>
      </c>
      <c r="E8" s="122">
        <v>45490</v>
      </c>
      <c r="F8" s="103">
        <v>2</v>
      </c>
      <c r="G8" s="151" cm="1">
        <f t="array" ref="G8">SUMPRODUCT(--(I8:AH8&gt;0))/COUNTA(I8:AH8)</f>
        <v>1</v>
      </c>
      <c r="H8" s="226">
        <v>0</v>
      </c>
      <c r="I8" s="103">
        <v>2</v>
      </c>
      <c r="J8" s="103">
        <v>15</v>
      </c>
      <c r="K8" s="103">
        <v>2</v>
      </c>
      <c r="L8" s="103">
        <v>9</v>
      </c>
      <c r="M8" s="103" t="s">
        <v>1576</v>
      </c>
      <c r="N8" s="103">
        <v>1</v>
      </c>
      <c r="O8" s="103">
        <v>16</v>
      </c>
      <c r="P8" s="103">
        <v>1</v>
      </c>
      <c r="Q8" s="103">
        <v>1</v>
      </c>
      <c r="R8" s="103">
        <v>1</v>
      </c>
      <c r="S8" s="103">
        <v>1</v>
      </c>
      <c r="T8" s="103">
        <v>2</v>
      </c>
      <c r="U8" s="103">
        <v>1</v>
      </c>
      <c r="V8" s="103">
        <v>3</v>
      </c>
      <c r="W8" s="103">
        <v>1</v>
      </c>
      <c r="X8" s="103">
        <v>1</v>
      </c>
      <c r="Y8" s="103">
        <v>8</v>
      </c>
      <c r="Z8" s="103">
        <v>8</v>
      </c>
      <c r="AA8" s="103">
        <v>1</v>
      </c>
      <c r="AB8" s="103">
        <v>1</v>
      </c>
      <c r="AC8" s="103">
        <v>4</v>
      </c>
      <c r="AD8" s="103">
        <v>4</v>
      </c>
      <c r="AE8" s="103">
        <v>1</v>
      </c>
      <c r="AF8" s="103">
        <v>7</v>
      </c>
      <c r="AG8" s="103">
        <v>2</v>
      </c>
      <c r="AH8" s="103">
        <v>10</v>
      </c>
      <c r="AI8" s="103">
        <v>23</v>
      </c>
    </row>
    <row r="9" spans="2:35">
      <c r="B9" s="147" t="s">
        <v>1528</v>
      </c>
      <c r="C9" s="103">
        <v>7</v>
      </c>
      <c r="D9" s="103" t="s">
        <v>1794</v>
      </c>
      <c r="E9" s="122">
        <v>45490</v>
      </c>
      <c r="F9" s="103">
        <v>2</v>
      </c>
      <c r="G9" s="151" cm="1">
        <f t="array" aca="1" ref="G9" ca="1">SUMPRODUCT(--(I9:AH9&lt;=I26:AH26))/COUNTA(I9:AH9)</f>
        <v>0.96153846153846156</v>
      </c>
      <c r="H9" s="226">
        <v>0</v>
      </c>
      <c r="I9" s="103">
        <v>2</v>
      </c>
      <c r="J9" s="103">
        <v>15</v>
      </c>
      <c r="K9" s="103">
        <v>2</v>
      </c>
      <c r="L9" s="103">
        <v>9</v>
      </c>
      <c r="M9" s="103" t="s">
        <v>1576</v>
      </c>
      <c r="N9" s="103">
        <v>1</v>
      </c>
      <c r="O9" s="103">
        <v>16</v>
      </c>
      <c r="P9" s="103">
        <v>3</v>
      </c>
      <c r="Q9" s="103">
        <v>1</v>
      </c>
      <c r="R9" s="103">
        <v>1</v>
      </c>
      <c r="S9" s="103">
        <v>1</v>
      </c>
      <c r="T9" s="103">
        <v>2</v>
      </c>
      <c r="U9" s="103">
        <v>3</v>
      </c>
      <c r="V9" s="103">
        <v>3</v>
      </c>
      <c r="W9" s="103">
        <v>10</v>
      </c>
      <c r="X9" s="103">
        <v>10</v>
      </c>
      <c r="Y9" s="103">
        <v>15</v>
      </c>
      <c r="Z9" s="103">
        <v>13</v>
      </c>
      <c r="AA9" s="103">
        <v>4</v>
      </c>
      <c r="AB9" s="103">
        <v>40</v>
      </c>
      <c r="AC9" s="103">
        <v>10</v>
      </c>
      <c r="AD9" s="103">
        <v>10</v>
      </c>
      <c r="AE9" s="103">
        <v>4</v>
      </c>
      <c r="AF9" s="103">
        <v>7</v>
      </c>
      <c r="AG9" s="103">
        <v>2</v>
      </c>
      <c r="AH9" s="103">
        <v>10</v>
      </c>
      <c r="AI9" s="103">
        <v>23</v>
      </c>
    </row>
    <row r="10" spans="2:35">
      <c r="B10" s="147" t="s">
        <v>1531</v>
      </c>
      <c r="C10" s="103">
        <v>8</v>
      </c>
      <c r="D10" s="103" t="s">
        <v>1795</v>
      </c>
      <c r="E10" s="122">
        <v>45490</v>
      </c>
      <c r="F10" s="103">
        <v>2</v>
      </c>
      <c r="G10" s="103" t="s">
        <v>1570</v>
      </c>
      <c r="H10" s="226">
        <v>0</v>
      </c>
      <c r="I10" s="103">
        <v>31</v>
      </c>
      <c r="J10" s="103">
        <v>1100751730010</v>
      </c>
      <c r="K10" s="103">
        <v>24</v>
      </c>
      <c r="L10" s="103">
        <v>699490255</v>
      </c>
      <c r="M10" s="122" t="s">
        <v>1576</v>
      </c>
      <c r="N10" s="226">
        <v>1</v>
      </c>
      <c r="O10" s="103">
        <v>4008110051813620</v>
      </c>
      <c r="P10" s="103">
        <v>0</v>
      </c>
      <c r="Q10" s="103">
        <v>0</v>
      </c>
      <c r="R10" s="103">
        <v>0</v>
      </c>
      <c r="S10" s="103">
        <v>0</v>
      </c>
      <c r="T10" s="151">
        <v>0</v>
      </c>
      <c r="U10" s="103">
        <v>124</v>
      </c>
      <c r="V10" s="122">
        <v>978</v>
      </c>
      <c r="W10" s="103">
        <v>0</v>
      </c>
      <c r="X10" s="151">
        <v>0</v>
      </c>
      <c r="Y10" s="123">
        <v>-1600000000000</v>
      </c>
      <c r="Z10" s="123">
        <v>-9990000000</v>
      </c>
      <c r="AA10" s="103" t="e">
        <v>#N/A</v>
      </c>
      <c r="AB10" s="103" t="s">
        <v>1796</v>
      </c>
      <c r="AC10" s="103" t="e">
        <v>#N/A</v>
      </c>
      <c r="AD10" s="103" t="e">
        <v>#N/A</v>
      </c>
      <c r="AE10" s="103">
        <v>0</v>
      </c>
      <c r="AF10" s="103">
        <v>12</v>
      </c>
      <c r="AG10" s="122" t="s">
        <v>1763</v>
      </c>
      <c r="AH10" s="122">
        <v>45490</v>
      </c>
      <c r="AI10" s="103" t="s">
        <v>1797</v>
      </c>
    </row>
    <row r="11" spans="2:35">
      <c r="B11" s="147" t="s">
        <v>1533</v>
      </c>
      <c r="C11" s="103">
        <v>9</v>
      </c>
      <c r="D11" s="103" t="s">
        <v>1798</v>
      </c>
      <c r="E11" s="122">
        <v>45490</v>
      </c>
      <c r="F11" s="103">
        <v>2</v>
      </c>
      <c r="G11" s="103" t="s">
        <v>1570</v>
      </c>
      <c r="H11" s="226">
        <v>0</v>
      </c>
      <c r="I11" s="103">
        <v>31</v>
      </c>
      <c r="J11" s="103">
        <v>1100751730010</v>
      </c>
      <c r="K11" s="103">
        <v>24</v>
      </c>
      <c r="L11" s="103">
        <v>699490255</v>
      </c>
      <c r="M11" s="122" t="s">
        <v>1576</v>
      </c>
      <c r="N11" s="226">
        <v>1</v>
      </c>
      <c r="O11" s="122">
        <v>4008110051813620</v>
      </c>
      <c r="P11" s="103" t="s">
        <v>1766</v>
      </c>
      <c r="Q11" s="103">
        <v>0</v>
      </c>
      <c r="R11" s="103">
        <v>0</v>
      </c>
      <c r="S11" s="103">
        <v>0</v>
      </c>
      <c r="T11" s="103"/>
      <c r="U11" s="103">
        <v>8</v>
      </c>
      <c r="V11" s="122">
        <v>978</v>
      </c>
      <c r="W11" s="103" t="s">
        <v>1799</v>
      </c>
      <c r="X11" s="103" t="s">
        <v>1799</v>
      </c>
      <c r="Y11" s="103" t="s">
        <v>1800</v>
      </c>
      <c r="Z11" s="103" t="s">
        <v>1800</v>
      </c>
      <c r="AA11" s="103">
        <v>0</v>
      </c>
      <c r="AB11" s="103" t="s">
        <v>1796</v>
      </c>
      <c r="AC11" s="103" t="e">
        <v>#N/A</v>
      </c>
      <c r="AD11" s="103" t="e">
        <v>#N/A</v>
      </c>
      <c r="AE11" s="103">
        <v>12</v>
      </c>
      <c r="AF11" s="103">
        <v>0</v>
      </c>
      <c r="AG11" s="122" t="s">
        <v>1763</v>
      </c>
      <c r="AH11" s="122">
        <v>45490</v>
      </c>
      <c r="AI11" s="103" t="s">
        <v>1801</v>
      </c>
    </row>
    <row r="12" spans="2:35">
      <c r="B12" s="170" t="s">
        <v>1535</v>
      </c>
      <c r="C12" s="103">
        <v>10</v>
      </c>
      <c r="D12" s="103" t="s">
        <v>1802</v>
      </c>
      <c r="E12" s="122">
        <v>45490</v>
      </c>
      <c r="F12" s="103">
        <v>2</v>
      </c>
      <c r="G12" s="103" t="s">
        <v>1570</v>
      </c>
      <c r="H12" s="226">
        <v>0</v>
      </c>
      <c r="I12" s="103">
        <v>31</v>
      </c>
      <c r="J12" s="103">
        <v>5131650650010</v>
      </c>
      <c r="K12" s="103">
        <v>24</v>
      </c>
      <c r="L12" s="103">
        <v>700670832</v>
      </c>
      <c r="M12" s="122" t="s">
        <v>1576</v>
      </c>
      <c r="N12" s="226">
        <v>1</v>
      </c>
      <c r="O12" s="123">
        <v>5890770069588380</v>
      </c>
      <c r="P12" s="103">
        <v>320</v>
      </c>
      <c r="Q12" s="103">
        <v>1</v>
      </c>
      <c r="R12" s="103">
        <v>1</v>
      </c>
      <c r="S12" s="103">
        <v>1</v>
      </c>
      <c r="T12" s="151" t="s">
        <v>1803</v>
      </c>
      <c r="U12" s="103">
        <v>986</v>
      </c>
      <c r="V12" s="122">
        <v>978</v>
      </c>
      <c r="W12" s="122">
        <v>45491</v>
      </c>
      <c r="X12" s="151">
        <v>45491</v>
      </c>
      <c r="Y12" s="123">
        <v>15416610000000</v>
      </c>
      <c r="Z12" s="123">
        <v>108509000000</v>
      </c>
      <c r="AA12" s="103">
        <v>98</v>
      </c>
      <c r="AB12" s="103" t="s">
        <v>1804</v>
      </c>
      <c r="AC12" s="103">
        <v>999903</v>
      </c>
      <c r="AD12" s="103">
        <v>1527947</v>
      </c>
      <c r="AE12" s="103">
        <v>9406</v>
      </c>
      <c r="AF12" s="103">
        <v>552429</v>
      </c>
      <c r="AG12" s="122" t="s">
        <v>1763</v>
      </c>
      <c r="AH12" s="122">
        <v>45490</v>
      </c>
      <c r="AI12" s="103" t="s">
        <v>1797</v>
      </c>
    </row>
    <row r="13" spans="2:35">
      <c r="B13" s="147" t="s">
        <v>1537</v>
      </c>
      <c r="C13" s="103">
        <v>11</v>
      </c>
      <c r="D13" s="103" t="s">
        <v>1805</v>
      </c>
      <c r="E13" s="122">
        <v>45490</v>
      </c>
      <c r="F13" s="103">
        <v>2</v>
      </c>
      <c r="G13" s="103" t="s">
        <v>1570</v>
      </c>
      <c r="H13" s="226">
        <v>0</v>
      </c>
      <c r="I13" s="103">
        <v>31</v>
      </c>
      <c r="J13" s="103">
        <v>5131650650010</v>
      </c>
      <c r="K13" s="103">
        <v>24</v>
      </c>
      <c r="L13" s="103">
        <v>700670832</v>
      </c>
      <c r="M13" s="122" t="s">
        <v>1576</v>
      </c>
      <c r="N13" s="226">
        <v>1</v>
      </c>
      <c r="O13" s="122">
        <v>5890770069588380</v>
      </c>
      <c r="P13" s="103" t="s">
        <v>1806</v>
      </c>
      <c r="Q13" s="103">
        <v>1</v>
      </c>
      <c r="R13" s="103">
        <v>1</v>
      </c>
      <c r="S13" s="103">
        <v>1</v>
      </c>
      <c r="T13" s="103" t="s">
        <v>1803</v>
      </c>
      <c r="U13" s="103">
        <v>986</v>
      </c>
      <c r="V13" s="122">
        <v>978</v>
      </c>
      <c r="W13" s="122">
        <v>45491</v>
      </c>
      <c r="X13" s="122">
        <v>45491</v>
      </c>
      <c r="Y13" s="103" t="s">
        <v>1807</v>
      </c>
      <c r="Z13" s="103" t="s">
        <v>1807</v>
      </c>
      <c r="AA13" s="103">
        <v>781</v>
      </c>
      <c r="AB13" s="103" t="s">
        <v>1804</v>
      </c>
      <c r="AC13" s="103">
        <v>999903</v>
      </c>
      <c r="AD13" s="103">
        <v>1527947</v>
      </c>
      <c r="AE13" s="103">
        <v>552429</v>
      </c>
      <c r="AF13" s="103">
        <v>9405</v>
      </c>
      <c r="AG13" s="122" t="s">
        <v>1763</v>
      </c>
      <c r="AH13" s="122">
        <v>45490</v>
      </c>
      <c r="AI13" s="103" t="s">
        <v>1808</v>
      </c>
    </row>
    <row r="14" spans="2:35">
      <c r="B14" s="147" t="s">
        <v>1539</v>
      </c>
      <c r="C14" s="103">
        <v>12</v>
      </c>
      <c r="D14" s="103" t="s">
        <v>1809</v>
      </c>
      <c r="E14" s="122">
        <v>45490</v>
      </c>
      <c r="F14" s="103">
        <v>2</v>
      </c>
      <c r="G14" s="151">
        <v>0.81</v>
      </c>
      <c r="H14" s="226">
        <v>0</v>
      </c>
      <c r="I14" s="103">
        <v>0</v>
      </c>
      <c r="J14" s="103">
        <v>0</v>
      </c>
      <c r="K14" s="103">
        <v>0</v>
      </c>
      <c r="L14" s="103">
        <v>0</v>
      </c>
      <c r="M14" s="103">
        <v>1099875</v>
      </c>
      <c r="N14" s="103">
        <v>0</v>
      </c>
      <c r="O14" s="103">
        <v>0</v>
      </c>
      <c r="P14" s="103">
        <v>0</v>
      </c>
      <c r="Q14" s="103">
        <v>0</v>
      </c>
      <c r="R14" s="103">
        <v>0</v>
      </c>
      <c r="S14" s="103">
        <v>1052</v>
      </c>
      <c r="T14" s="103">
        <v>1052</v>
      </c>
      <c r="U14" s="103">
        <v>0</v>
      </c>
      <c r="V14" s="103">
        <v>0</v>
      </c>
      <c r="W14" s="103">
        <v>0</v>
      </c>
      <c r="X14" s="103">
        <v>0</v>
      </c>
      <c r="Y14" s="103">
        <v>0</v>
      </c>
      <c r="Z14" s="103">
        <v>0</v>
      </c>
      <c r="AA14" s="103">
        <v>0</v>
      </c>
      <c r="AB14" s="103">
        <v>0</v>
      </c>
      <c r="AC14" s="103">
        <v>0</v>
      </c>
      <c r="AD14" s="103">
        <v>79416</v>
      </c>
      <c r="AE14" s="103">
        <v>0</v>
      </c>
      <c r="AF14" s="103">
        <v>703828</v>
      </c>
      <c r="AG14" s="103">
        <v>0</v>
      </c>
      <c r="AH14" s="103">
        <v>0</v>
      </c>
      <c r="AI14" s="103">
        <v>0</v>
      </c>
    </row>
    <row r="15" spans="2:35">
      <c r="B15" s="147" t="s">
        <v>1541</v>
      </c>
      <c r="C15" s="103">
        <v>13</v>
      </c>
      <c r="D15" s="103" t="s">
        <v>1810</v>
      </c>
      <c r="E15" s="122">
        <v>45490</v>
      </c>
      <c r="F15" s="103">
        <v>2</v>
      </c>
      <c r="G15" s="151">
        <v>1</v>
      </c>
      <c r="H15" s="226">
        <v>0</v>
      </c>
      <c r="I15" s="103" t="s">
        <v>1570</v>
      </c>
      <c r="J15" s="103" t="s">
        <v>1570</v>
      </c>
      <c r="K15" s="103" t="s">
        <v>1570</v>
      </c>
      <c r="L15" s="93" t="s">
        <v>1570</v>
      </c>
      <c r="M15" s="93" t="s">
        <v>1570</v>
      </c>
      <c r="N15" s="103" t="s">
        <v>1570</v>
      </c>
      <c r="O15" s="93" t="s">
        <v>1570</v>
      </c>
      <c r="P15" s="93" t="s">
        <v>1570</v>
      </c>
      <c r="Q15" s="93" t="s">
        <v>1570</v>
      </c>
      <c r="R15" s="103" t="s">
        <v>1570</v>
      </c>
      <c r="S15" s="103" t="s">
        <v>1570</v>
      </c>
      <c r="T15" s="103" t="s">
        <v>1570</v>
      </c>
      <c r="U15" s="103" t="s">
        <v>1570</v>
      </c>
      <c r="V15" s="103" t="s">
        <v>1570</v>
      </c>
      <c r="W15" s="103">
        <v>0</v>
      </c>
      <c r="X15" s="103">
        <v>0</v>
      </c>
      <c r="Y15" s="103" t="s">
        <v>1570</v>
      </c>
      <c r="Z15" s="103" t="s">
        <v>1570</v>
      </c>
      <c r="AA15" s="103" t="s">
        <v>1570</v>
      </c>
      <c r="AB15" s="103" t="s">
        <v>1570</v>
      </c>
      <c r="AC15" s="103" t="s">
        <v>1570</v>
      </c>
      <c r="AD15" s="103" t="s">
        <v>1570</v>
      </c>
      <c r="AE15" s="103" t="s">
        <v>1570</v>
      </c>
      <c r="AF15" s="103" t="s">
        <v>1570</v>
      </c>
      <c r="AG15" s="103" t="s">
        <v>1570</v>
      </c>
      <c r="AH15" s="103" t="s">
        <v>1570</v>
      </c>
      <c r="AI15" s="103" t="s">
        <v>1570</v>
      </c>
    </row>
    <row r="16" spans="2:35">
      <c r="B16" s="147" t="s">
        <v>1543</v>
      </c>
      <c r="C16" s="103">
        <v>14</v>
      </c>
      <c r="D16" s="103" t="s">
        <v>1811</v>
      </c>
      <c r="E16" s="122">
        <v>45490</v>
      </c>
      <c r="F16" s="103">
        <v>2</v>
      </c>
      <c r="G16" s="151">
        <v>1</v>
      </c>
      <c r="H16" s="226">
        <v>0</v>
      </c>
      <c r="I16" s="103">
        <v>0</v>
      </c>
      <c r="J16" s="103">
        <v>0</v>
      </c>
      <c r="K16" s="103" t="s">
        <v>1570</v>
      </c>
      <c r="L16" s="103" t="s">
        <v>1570</v>
      </c>
      <c r="M16" s="93">
        <v>0</v>
      </c>
      <c r="N16" s="103" t="s">
        <v>1570</v>
      </c>
      <c r="O16" s="103" t="s">
        <v>1570</v>
      </c>
      <c r="P16" s="103" t="s">
        <v>1570</v>
      </c>
      <c r="Q16" s="93" t="s">
        <v>1570</v>
      </c>
      <c r="R16" s="103" t="s">
        <v>1570</v>
      </c>
      <c r="S16" s="103" t="s">
        <v>1570</v>
      </c>
      <c r="T16" s="103">
        <v>0</v>
      </c>
      <c r="U16" s="103">
        <v>0</v>
      </c>
      <c r="V16" s="103">
        <v>0</v>
      </c>
      <c r="W16" s="103" t="s">
        <v>1570</v>
      </c>
      <c r="X16" s="103" t="s">
        <v>1570</v>
      </c>
      <c r="Y16" s="103" t="s">
        <v>1570</v>
      </c>
      <c r="Z16" s="103" t="s">
        <v>1570</v>
      </c>
      <c r="AA16" s="103">
        <v>0</v>
      </c>
      <c r="AB16" s="103" t="s">
        <v>1570</v>
      </c>
      <c r="AC16" s="103">
        <v>0</v>
      </c>
      <c r="AD16" s="103">
        <v>0</v>
      </c>
      <c r="AE16" s="103">
        <v>0</v>
      </c>
      <c r="AF16" s="103">
        <v>0</v>
      </c>
      <c r="AG16" s="103">
        <v>0</v>
      </c>
      <c r="AH16" s="103" t="s">
        <v>1570</v>
      </c>
      <c r="AI16" s="103" t="s">
        <v>1570</v>
      </c>
    </row>
    <row r="17" spans="2:35">
      <c r="B17" s="181" t="s">
        <v>1545</v>
      </c>
      <c r="C17" s="103">
        <v>15</v>
      </c>
      <c r="D17" s="103" t="s">
        <v>1812</v>
      </c>
      <c r="E17" s="122">
        <v>45490</v>
      </c>
      <c r="F17" s="103">
        <v>2</v>
      </c>
      <c r="G17" s="151">
        <v>1</v>
      </c>
      <c r="H17" s="226">
        <v>0</v>
      </c>
      <c r="I17" s="103" t="s">
        <v>1570</v>
      </c>
      <c r="J17" s="103" t="s">
        <v>1570</v>
      </c>
      <c r="K17" s="103" t="s">
        <v>1570</v>
      </c>
      <c r="L17" s="103" t="s">
        <v>1570</v>
      </c>
      <c r="M17" s="103" t="s">
        <v>1570</v>
      </c>
      <c r="N17" s="103" t="s">
        <v>1570</v>
      </c>
      <c r="O17" s="103" t="s">
        <v>1570</v>
      </c>
      <c r="P17" s="103" t="s">
        <v>1570</v>
      </c>
      <c r="Q17" s="103" t="s">
        <v>1570</v>
      </c>
      <c r="R17" s="103" t="s">
        <v>1570</v>
      </c>
      <c r="S17" s="103" t="s">
        <v>1570</v>
      </c>
      <c r="T17" s="103" t="s">
        <v>1570</v>
      </c>
      <c r="U17" s="103" t="s">
        <v>1570</v>
      </c>
      <c r="V17" s="103" t="s">
        <v>1570</v>
      </c>
      <c r="W17" s="103" t="s">
        <v>1570</v>
      </c>
      <c r="X17" s="103" t="s">
        <v>1570</v>
      </c>
      <c r="Y17" s="103" t="s">
        <v>1570</v>
      </c>
      <c r="Z17" s="103" t="s">
        <v>1570</v>
      </c>
      <c r="AA17" s="103" t="s">
        <v>1570</v>
      </c>
      <c r="AB17" s="103" t="s">
        <v>1570</v>
      </c>
      <c r="AC17" s="103" t="s">
        <v>1570</v>
      </c>
      <c r="AD17" s="103" t="s">
        <v>1570</v>
      </c>
      <c r="AE17" s="103" t="s">
        <v>1570</v>
      </c>
      <c r="AF17" s="103" t="s">
        <v>1570</v>
      </c>
      <c r="AG17" s="103" t="s">
        <v>1570</v>
      </c>
      <c r="AH17" s="103" t="s">
        <v>1570</v>
      </c>
      <c r="AI17" s="103" t="s">
        <v>1570</v>
      </c>
    </row>
    <row r="18" spans="2:35">
      <c r="B18" s="181" t="s">
        <v>1547</v>
      </c>
      <c r="C18" s="103">
        <v>16</v>
      </c>
      <c r="D18" s="103" t="s">
        <v>1812</v>
      </c>
      <c r="E18" s="122">
        <v>45490</v>
      </c>
      <c r="F18" s="103">
        <v>2</v>
      </c>
      <c r="G18" s="151">
        <v>1</v>
      </c>
      <c r="H18" s="226">
        <v>0</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c r="V18" s="103" t="s">
        <v>1570</v>
      </c>
      <c r="W18" s="103" t="s">
        <v>1570</v>
      </c>
      <c r="X18" s="103" t="s">
        <v>1570</v>
      </c>
      <c r="Y18" s="103" t="s">
        <v>1570</v>
      </c>
      <c r="Z18" s="103" t="s">
        <v>1570</v>
      </c>
      <c r="AA18" s="103" t="s">
        <v>1570</v>
      </c>
      <c r="AB18" s="103" t="s">
        <v>1570</v>
      </c>
      <c r="AC18" s="103" t="s">
        <v>1570</v>
      </c>
      <c r="AD18" s="103" t="s">
        <v>1570</v>
      </c>
      <c r="AE18" s="103" t="s">
        <v>1570</v>
      </c>
      <c r="AF18" s="103" t="s">
        <v>1570</v>
      </c>
      <c r="AG18" s="103" t="s">
        <v>1570</v>
      </c>
      <c r="AH18" s="103" t="s">
        <v>1570</v>
      </c>
      <c r="AI18" s="103" t="s">
        <v>1570</v>
      </c>
    </row>
    <row r="19" spans="2:35">
      <c r="B19" s="147" t="s">
        <v>1553</v>
      </c>
      <c r="C19" s="103">
        <v>19</v>
      </c>
      <c r="D19" s="103" t="s">
        <v>1813</v>
      </c>
      <c r="E19" s="122">
        <v>45490</v>
      </c>
      <c r="F19" s="103">
        <v>2</v>
      </c>
      <c r="G19" s="151" cm="1">
        <f t="array" aca="1" ref="G19" ca="1">SUMPRODUCT(--(ISNUMBER((SEARCH(I25:AI25,I19:AI19)))))/COUNTA(I19:AI19)</f>
        <v>1</v>
      </c>
      <c r="H19" s="226">
        <v>0</v>
      </c>
      <c r="I19" s="103" t="s">
        <v>1596</v>
      </c>
      <c r="J19" s="103" t="s">
        <v>1596</v>
      </c>
      <c r="K19" s="103" t="s">
        <v>1780</v>
      </c>
      <c r="L19" s="103" t="s">
        <v>1597</v>
      </c>
      <c r="M19" s="103" t="s">
        <v>1596</v>
      </c>
      <c r="N19" s="103" t="s">
        <v>1596</v>
      </c>
      <c r="O19" s="103" t="s">
        <v>1596</v>
      </c>
      <c r="P19" s="103" t="s">
        <v>1781</v>
      </c>
      <c r="Q19" s="103" t="s">
        <v>1596</v>
      </c>
      <c r="R19" s="103" t="s">
        <v>1596</v>
      </c>
      <c r="S19" s="103" t="s">
        <v>1596</v>
      </c>
      <c r="T19" s="103" t="s">
        <v>1596</v>
      </c>
      <c r="U19" s="103" t="s">
        <v>1596</v>
      </c>
      <c r="V19" s="103" t="s">
        <v>1596</v>
      </c>
      <c r="W19" s="103" t="s">
        <v>1596</v>
      </c>
      <c r="X19" s="103" t="s">
        <v>1596</v>
      </c>
      <c r="Y19" s="103" t="s">
        <v>1598</v>
      </c>
      <c r="Z19" s="103" t="s">
        <v>1598</v>
      </c>
      <c r="AA19" s="103" t="s">
        <v>1596</v>
      </c>
      <c r="AB19" s="103" t="s">
        <v>1596</v>
      </c>
      <c r="AC19" s="103" t="s">
        <v>1596</v>
      </c>
      <c r="AD19" s="103" t="s">
        <v>1596</v>
      </c>
      <c r="AE19" s="103" t="s">
        <v>1596</v>
      </c>
      <c r="AF19" s="103" t="s">
        <v>1596</v>
      </c>
      <c r="AG19" s="103" t="s">
        <v>1596</v>
      </c>
      <c r="AH19" s="103" t="s">
        <v>1596</v>
      </c>
      <c r="AI19" s="103" t="s">
        <v>1599</v>
      </c>
    </row>
    <row r="20" spans="2:35">
      <c r="B20" s="147" t="s">
        <v>1556</v>
      </c>
      <c r="C20" s="103">
        <v>20</v>
      </c>
      <c r="D20" s="103" t="s">
        <v>1814</v>
      </c>
      <c r="E20" s="122">
        <v>45490</v>
      </c>
      <c r="F20" s="103">
        <v>1</v>
      </c>
      <c r="G20" s="151" cm="1">
        <f t="array" ref="G20">SUM(IF(I2:AH2 = I24:AH24, 1, 0))/ COUNTA(I2:AH2)</f>
        <v>1</v>
      </c>
      <c r="H20" s="226" t="s">
        <v>1570</v>
      </c>
      <c r="I20" s="226" t="s">
        <v>1570</v>
      </c>
      <c r="J20" s="226" t="s">
        <v>1570</v>
      </c>
      <c r="K20" s="226" t="s">
        <v>1570</v>
      </c>
      <c r="L20" s="226" t="s">
        <v>1570</v>
      </c>
      <c r="M20" s="226" t="s">
        <v>1570</v>
      </c>
      <c r="N20" s="226" t="s">
        <v>1570</v>
      </c>
      <c r="O20" s="226" t="s">
        <v>1570</v>
      </c>
      <c r="P20" s="226" t="s">
        <v>1570</v>
      </c>
      <c r="Q20" s="226" t="s">
        <v>1570</v>
      </c>
      <c r="R20" s="226" t="s">
        <v>1570</v>
      </c>
      <c r="S20" s="226" t="s">
        <v>1570</v>
      </c>
      <c r="T20" s="226" t="s">
        <v>1570</v>
      </c>
      <c r="U20" s="226" t="s">
        <v>1570</v>
      </c>
      <c r="V20" s="226" t="s">
        <v>1570</v>
      </c>
      <c r="W20" s="226" t="s">
        <v>1570</v>
      </c>
      <c r="X20" s="226" t="s">
        <v>1570</v>
      </c>
      <c r="Y20" s="226" t="s">
        <v>1570</v>
      </c>
      <c r="Z20" s="226" t="s">
        <v>1570</v>
      </c>
      <c r="AA20" s="226" t="s">
        <v>1570</v>
      </c>
      <c r="AB20" s="226" t="s">
        <v>1570</v>
      </c>
      <c r="AC20" s="226" t="s">
        <v>1570</v>
      </c>
      <c r="AD20" s="226" t="s">
        <v>1570</v>
      </c>
      <c r="AE20" s="226" t="s">
        <v>1570</v>
      </c>
      <c r="AF20" s="226" t="s">
        <v>1570</v>
      </c>
      <c r="AG20" s="226" t="s">
        <v>1570</v>
      </c>
      <c r="AH20" s="226" t="s">
        <v>1570</v>
      </c>
      <c r="AI20" s="226" t="s">
        <v>1570</v>
      </c>
    </row>
    <row r="21" spans="2:35">
      <c r="B21" s="171" t="s">
        <v>1559</v>
      </c>
      <c r="C21" s="103">
        <v>21</v>
      </c>
      <c r="D21" s="103" t="s">
        <v>1814</v>
      </c>
      <c r="E21" s="122">
        <v>45490</v>
      </c>
      <c r="F21" s="103"/>
      <c r="G21" s="151" cm="1">
        <f t="array" aca="1" ref="G21" ca="1">SUM(IF(IF(G3:G20="null",1,G3:G20)=1,1,0))/COUNT(IF(G3:G20="null",1,1))</f>
        <v>0.88888888888888884</v>
      </c>
      <c r="H21" s="226" t="s">
        <v>1570</v>
      </c>
      <c r="I21" s="226" t="s">
        <v>1570</v>
      </c>
      <c r="J21" s="226" t="s">
        <v>1570</v>
      </c>
      <c r="K21" s="226" t="s">
        <v>1570</v>
      </c>
      <c r="L21" s="226" t="s">
        <v>1570</v>
      </c>
      <c r="M21" s="226" t="s">
        <v>1570</v>
      </c>
      <c r="N21" s="226" t="s">
        <v>1570</v>
      </c>
      <c r="O21" s="226" t="s">
        <v>1570</v>
      </c>
      <c r="P21" s="226" t="s">
        <v>1570</v>
      </c>
      <c r="Q21" s="226" t="s">
        <v>1570</v>
      </c>
      <c r="R21" s="226" t="s">
        <v>1570</v>
      </c>
      <c r="S21" s="226" t="s">
        <v>1570</v>
      </c>
      <c r="T21" s="226" t="s">
        <v>1570</v>
      </c>
      <c r="U21" s="226" t="s">
        <v>1570</v>
      </c>
      <c r="V21" s="226" t="s">
        <v>1570</v>
      </c>
      <c r="W21" s="226" t="s">
        <v>1570</v>
      </c>
      <c r="X21" s="226" t="s">
        <v>1570</v>
      </c>
      <c r="Y21" s="226" t="s">
        <v>1570</v>
      </c>
      <c r="Z21" s="226" t="s">
        <v>1570</v>
      </c>
      <c r="AA21" s="226" t="s">
        <v>1570</v>
      </c>
      <c r="AB21" s="226" t="s">
        <v>1570</v>
      </c>
      <c r="AC21" s="226" t="s">
        <v>1570</v>
      </c>
      <c r="AD21" s="226" t="s">
        <v>1570</v>
      </c>
      <c r="AE21" s="226" t="s">
        <v>1570</v>
      </c>
      <c r="AF21" s="226" t="s">
        <v>1570</v>
      </c>
      <c r="AG21" s="226" t="s">
        <v>1570</v>
      </c>
      <c r="AH21" s="226" t="s">
        <v>1570</v>
      </c>
      <c r="AI21" s="226" t="s">
        <v>1570</v>
      </c>
    </row>
    <row r="22" spans="2:35">
      <c r="B22" s="103"/>
      <c r="C22" s="103"/>
      <c r="D22" s="103"/>
      <c r="E22" s="122"/>
      <c r="F22" s="103"/>
      <c r="G22" s="103"/>
      <c r="H22" s="103"/>
      <c r="I22" s="103"/>
      <c r="J22" s="103"/>
      <c r="K22" s="103"/>
      <c r="L22" s="103"/>
      <c r="M22" s="103"/>
      <c r="N22" s="103"/>
      <c r="O22" s="103"/>
      <c r="P22" s="103"/>
      <c r="Q22" s="103"/>
      <c r="R22" s="103"/>
      <c r="S22" s="103"/>
      <c r="T22" s="103"/>
    </row>
    <row r="23" spans="2:35">
      <c r="B23" s="112" t="s">
        <v>1600</v>
      </c>
    </row>
    <row r="24" spans="2:35">
      <c r="B24" s="113" t="s">
        <v>1601</v>
      </c>
      <c r="C24" s="114" t="s">
        <v>1563</v>
      </c>
      <c r="D24" s="114" t="s">
        <v>1564</v>
      </c>
      <c r="E24" s="114" t="s">
        <v>1565</v>
      </c>
      <c r="F24" s="114" t="s">
        <v>1566</v>
      </c>
      <c r="G24" s="114" t="s">
        <v>1567</v>
      </c>
      <c r="H24" s="114" t="s">
        <v>1568</v>
      </c>
      <c r="I24" s="115" t="str" cm="1">
        <f t="array" ref="I24:AI24">TRANSPOSE(_xlfn.SORTBY(_xlfn._xlws.FILTER(Table2[NOME FÍSICO CAMPO],Table2[NOME FÍSICO TABELA]="debit_card_account_transaction"), _xlfn._xlws.FILTER(Table2[ORDEM], Table2[NOME FÍSICO TABELA]="debit_card_account_transaction"), 1))</f>
        <v>bank_id</v>
      </c>
      <c r="J24" s="115" t="str">
        <v>contract_id</v>
      </c>
      <c r="K24" s="115" t="str">
        <v>order_number</v>
      </c>
      <c r="L24" s="115" t="str">
        <v>order_number_stage</v>
      </c>
      <c r="M24" s="115" t="str">
        <v>transaction_type_code</v>
      </c>
      <c r="N24" s="115" t="str">
        <v>financial_flow_indicator</v>
      </c>
      <c r="O24" s="115" t="str">
        <v>card_number</v>
      </c>
      <c r="P24" s="115" t="str">
        <v>beneficiary_order_number</v>
      </c>
      <c r="Q24" s="115" t="str">
        <v>recurring_transaction_indicator</v>
      </c>
      <c r="R24" s="115" t="str">
        <v>chargeback_indicator</v>
      </c>
      <c r="S24" s="115" t="str">
        <v>card_presence_indicator</v>
      </c>
      <c r="T24" s="186" t="str">
        <v>authentication_type_code</v>
      </c>
      <c r="U24" s="186" t="str">
        <v>original_currency_code</v>
      </c>
      <c r="V24" s="186" t="str">
        <v>currency_code</v>
      </c>
      <c r="W24" s="186" t="str">
        <v>transaction_date</v>
      </c>
      <c r="X24" s="224" t="str">
        <v>transaction_execution_date</v>
      </c>
      <c r="Y24" s="224" t="str">
        <v>original_amount</v>
      </c>
      <c r="Z24" s="224" t="str">
        <v>amount</v>
      </c>
      <c r="AA24" s="224" t="str">
        <v>terminal_organization_id</v>
      </c>
      <c r="AB24" s="224" t="str">
        <v>terminal_description</v>
      </c>
      <c r="AC24" s="224" t="str">
        <v>atm_terminal_id</v>
      </c>
      <c r="AD24" s="224" t="str">
        <v>pos_terminal_id</v>
      </c>
      <c r="AE24" s="224" t="str">
        <v>merchant_id</v>
      </c>
      <c r="AF24" s="224" t="str">
        <v>merchant_type_code</v>
      </c>
      <c r="AG24" s="224" t="str">
        <v>source_code</v>
      </c>
      <c r="AH24" s="225" t="str">
        <v>data_date_part</v>
      </c>
      <c r="AI24" s="225" t="str">
        <v>data_timestamp_part</v>
      </c>
    </row>
    <row r="25" spans="2:35">
      <c r="B25" s="106" t="s">
        <v>1602</v>
      </c>
      <c r="C25" s="119">
        <v>21</v>
      </c>
      <c r="D25" s="108" t="s">
        <v>1603</v>
      </c>
      <c r="E25" s="107" t="s">
        <v>1604</v>
      </c>
      <c r="F25" s="107" t="s">
        <v>1051</v>
      </c>
      <c r="G25" s="107" t="s">
        <v>1051</v>
      </c>
      <c r="H25" s="107" t="s">
        <v>1051</v>
      </c>
      <c r="I25" s="107" t="str" cm="1">
        <f t="array" aca="1" ref="I25:AI26" ca="1">TRANSPOSE(_xlfn.SORTBY(_xlfn._xlws.FILTER(IF(Table2[FORMATO]:Table2[COMP_ CAMPO]&lt;&gt;"",Table2[FORMATO]:Table2[COMP_ CAMPO],9999999),Table2[NOME FÍSICO TABELA]="debit_card_account_transaction"), _xlfn._xlws.FILTER(Table2[ORDEM], Table2[NOME FÍSICO TABELA]="debit_card_account_transaction"), 1))</f>
        <v>STRING</v>
      </c>
      <c r="J25" s="107" t="str">
        <f ca="1"/>
        <v>STRING</v>
      </c>
      <c r="K25" s="107" t="str">
        <f ca="1"/>
        <v>BIG INT</v>
      </c>
      <c r="L25" s="107" t="str">
        <f ca="1"/>
        <v>BIGINT</v>
      </c>
      <c r="M25" s="107" t="str">
        <f ca="1"/>
        <v>STRING</v>
      </c>
      <c r="N25" s="107" t="str">
        <f ca="1"/>
        <v>STRING</v>
      </c>
      <c r="O25" s="107" t="str">
        <f ca="1"/>
        <v>STRING</v>
      </c>
      <c r="P25" s="107" t="str">
        <f ca="1"/>
        <v>INT</v>
      </c>
      <c r="Q25" s="107" t="str">
        <f ca="1"/>
        <v>STRING</v>
      </c>
      <c r="R25" s="107" t="str">
        <f ca="1"/>
        <v>STRING</v>
      </c>
      <c r="S25" s="107" t="str">
        <f ca="1"/>
        <v>STRING</v>
      </c>
      <c r="T25" s="107" t="str">
        <f ca="1"/>
        <v>STRING</v>
      </c>
      <c r="U25" s="107" t="str">
        <f ca="1"/>
        <v>STRING</v>
      </c>
      <c r="V25" s="107" t="str">
        <f ca="1"/>
        <v>STRING</v>
      </c>
      <c r="W25" s="107" t="str">
        <f ca="1"/>
        <v>STRING</v>
      </c>
      <c r="X25" s="107" t="str">
        <f ca="1"/>
        <v>STRING</v>
      </c>
      <c r="Y25" s="107" t="str">
        <f ca="1"/>
        <v>DECIMAL</v>
      </c>
      <c r="Z25" s="107" t="str">
        <f ca="1"/>
        <v>DECIMAL</v>
      </c>
      <c r="AA25" s="107" t="str">
        <f ca="1"/>
        <v>STRING</v>
      </c>
      <c r="AB25" s="107" t="str">
        <f ca="1"/>
        <v>STRING</v>
      </c>
      <c r="AC25" s="107" t="str">
        <f ca="1"/>
        <v>STRING</v>
      </c>
      <c r="AD25" s="107" t="str">
        <f ca="1"/>
        <v>STRING</v>
      </c>
      <c r="AE25" s="107" t="str">
        <f ca="1"/>
        <v>STRING</v>
      </c>
      <c r="AF25" s="107" t="str">
        <f ca="1"/>
        <v>STRING</v>
      </c>
      <c r="AG25" s="107" t="str">
        <f ca="1"/>
        <v>STRING</v>
      </c>
      <c r="AH25" s="118" t="str">
        <f ca="1"/>
        <v>STRING</v>
      </c>
      <c r="AI25" s="118" t="str">
        <f ca="1"/>
        <v>TIMESTAMP</v>
      </c>
    </row>
    <row r="26" spans="2:35">
      <c r="B26" s="106" t="s">
        <v>1605</v>
      </c>
      <c r="C26" s="119">
        <v>7</v>
      </c>
      <c r="D26" s="108" t="s">
        <v>1603</v>
      </c>
      <c r="E26" s="107" t="s">
        <v>1604</v>
      </c>
      <c r="F26" s="107" t="s">
        <v>1051</v>
      </c>
      <c r="G26" s="107" t="s">
        <v>1051</v>
      </c>
      <c r="H26" s="107" t="s">
        <v>1051</v>
      </c>
      <c r="I26" s="119">
        <f ca="1"/>
        <v>4</v>
      </c>
      <c r="J26" s="119">
        <f ca="1"/>
        <v>15</v>
      </c>
      <c r="K26" s="119">
        <f ca="1"/>
        <v>9999999</v>
      </c>
      <c r="L26" s="119">
        <f ca="1"/>
        <v>9999999</v>
      </c>
      <c r="M26" s="119">
        <f ca="1"/>
        <v>20</v>
      </c>
      <c r="N26" s="119">
        <f ca="1"/>
        <v>4</v>
      </c>
      <c r="O26" s="119">
        <f ca="1"/>
        <v>16</v>
      </c>
      <c r="P26" s="119">
        <f ca="1"/>
        <v>5</v>
      </c>
      <c r="Q26" s="119">
        <f ca="1"/>
        <v>4</v>
      </c>
      <c r="R26" s="119">
        <f ca="1"/>
        <v>4</v>
      </c>
      <c r="S26" s="119">
        <f ca="1"/>
        <v>4</v>
      </c>
      <c r="T26" s="119">
        <f ca="1"/>
        <v>20</v>
      </c>
      <c r="U26" s="119">
        <f ca="1"/>
        <v>3</v>
      </c>
      <c r="V26" s="119">
        <f ca="1"/>
        <v>3</v>
      </c>
      <c r="W26" s="119">
        <f ca="1"/>
        <v>10</v>
      </c>
      <c r="X26" s="119">
        <f ca="1"/>
        <v>10</v>
      </c>
      <c r="Y26" s="119">
        <f ca="1"/>
        <v>23</v>
      </c>
      <c r="Z26" s="119">
        <f ca="1"/>
        <v>23</v>
      </c>
      <c r="AA26" s="119">
        <f ca="1"/>
        <v>4</v>
      </c>
      <c r="AB26" s="119">
        <f ca="1"/>
        <v>9999999</v>
      </c>
      <c r="AC26" s="119">
        <f ca="1"/>
        <v>10</v>
      </c>
      <c r="AD26" s="119">
        <f ca="1"/>
        <v>10</v>
      </c>
      <c r="AE26" s="119">
        <f ca="1"/>
        <v>20</v>
      </c>
      <c r="AF26" s="119">
        <f ca="1"/>
        <v>20</v>
      </c>
      <c r="AG26" s="119">
        <f ca="1"/>
        <v>20</v>
      </c>
      <c r="AH26" s="120">
        <f ca="1"/>
        <v>10</v>
      </c>
      <c r="AI26" s="120">
        <f ca="1"/>
        <v>23</v>
      </c>
    </row>
    <row r="29" spans="2:35">
      <c r="B29" s="129" t="s">
        <v>1606</v>
      </c>
    </row>
    <row r="30" spans="2:35">
      <c r="B30" s="138" t="s">
        <v>1607</v>
      </c>
      <c r="C30" s="138" t="s">
        <v>1608</v>
      </c>
      <c r="D30" s="139" t="s">
        <v>1609</v>
      </c>
      <c r="E30" s="138" t="s">
        <v>1610</v>
      </c>
      <c r="F30" s="138" t="s">
        <v>1611</v>
      </c>
      <c r="I30" s="194"/>
    </row>
    <row r="31" spans="2:35" ht="75" customHeight="1">
      <c r="B31" s="136" t="s">
        <v>1623</v>
      </c>
      <c r="C31" s="88" t="s">
        <v>753</v>
      </c>
      <c r="D31" s="88" t="s">
        <v>1784</v>
      </c>
      <c r="E31" s="88" t="s">
        <v>1815</v>
      </c>
      <c r="F31" s="137" t="s">
        <v>1617</v>
      </c>
      <c r="I31" s="193"/>
    </row>
    <row r="32" spans="2:35" ht="45.75">
      <c r="B32" s="140" t="s">
        <v>1612</v>
      </c>
      <c r="C32" s="88" t="s">
        <v>753</v>
      </c>
      <c r="D32" s="88" t="s">
        <v>1784</v>
      </c>
      <c r="E32" s="88" t="s">
        <v>1815</v>
      </c>
      <c r="F32" s="82" t="s">
        <v>1617</v>
      </c>
    </row>
    <row r="33" spans="2:6" ht="76.5">
      <c r="B33" s="140" t="s">
        <v>1612</v>
      </c>
      <c r="C33" s="92" t="s">
        <v>921</v>
      </c>
      <c r="D33" s="92" t="s">
        <v>1816</v>
      </c>
      <c r="E33" s="92" t="s">
        <v>1817</v>
      </c>
      <c r="F33" s="81" t="s">
        <v>1753</v>
      </c>
    </row>
    <row r="34" spans="2:6" ht="76.5">
      <c r="B34" s="140" t="s">
        <v>1612</v>
      </c>
      <c r="C34" s="92" t="s">
        <v>914</v>
      </c>
      <c r="D34" s="92" t="s">
        <v>1816</v>
      </c>
      <c r="E34" s="92" t="s">
        <v>1817</v>
      </c>
      <c r="F34" s="81" t="s">
        <v>1753</v>
      </c>
    </row>
    <row r="35" spans="2:6" ht="30.75">
      <c r="B35" s="248" t="s">
        <v>1612</v>
      </c>
      <c r="C35" s="245" t="s">
        <v>968</v>
      </c>
      <c r="D35" s="245" t="s">
        <v>1818</v>
      </c>
      <c r="E35" s="245" t="s">
        <v>1819</v>
      </c>
      <c r="F35" s="250" t="s">
        <v>1617</v>
      </c>
    </row>
    <row r="36" spans="2:6" ht="45.75">
      <c r="B36" s="140"/>
      <c r="C36" s="92" t="s">
        <v>980</v>
      </c>
      <c r="D36" s="245" t="s">
        <v>1820</v>
      </c>
      <c r="E36" s="92" t="s">
        <v>1821</v>
      </c>
      <c r="F36" s="81"/>
    </row>
    <row r="37" spans="2:6" ht="91.5">
      <c r="B37" s="246"/>
      <c r="C37" s="247" t="s">
        <v>974</v>
      </c>
      <c r="D37" s="92" t="s">
        <v>1788</v>
      </c>
      <c r="E37" s="247" t="s">
        <v>1822</v>
      </c>
      <c r="F37" s="249"/>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FFFF00"/>
  </sheetPr>
  <dimension ref="B1:AI40"/>
  <sheetViews>
    <sheetView showGridLines="0" topLeftCell="AD9" workbookViewId="0">
      <selection activeCell="H14" sqref="H14:AI14"/>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102" t="s">
        <v>1562</v>
      </c>
      <c r="C2" s="102" t="s">
        <v>1563</v>
      </c>
      <c r="D2" s="102" t="s">
        <v>1564</v>
      </c>
      <c r="E2" s="102" t="s">
        <v>1565</v>
      </c>
      <c r="F2" s="102" t="s">
        <v>1566</v>
      </c>
      <c r="G2" s="102" t="s">
        <v>1567</v>
      </c>
      <c r="H2" s="102" t="s">
        <v>1568</v>
      </c>
      <c r="I2" s="102" t="s">
        <v>691</v>
      </c>
      <c r="J2" s="102" t="s">
        <v>706</v>
      </c>
      <c r="K2" s="102" t="s">
        <v>716</v>
      </c>
      <c r="L2" s="102" t="s">
        <v>727</v>
      </c>
      <c r="M2" s="102" t="s">
        <v>753</v>
      </c>
      <c r="N2" s="115" t="s">
        <v>765</v>
      </c>
      <c r="O2" s="102" t="s">
        <v>889</v>
      </c>
      <c r="P2" s="102" t="s">
        <v>897</v>
      </c>
      <c r="Q2" s="102" t="s">
        <v>902</v>
      </c>
      <c r="R2" s="102" t="s">
        <v>908</v>
      </c>
      <c r="S2" s="102" t="s">
        <v>914</v>
      </c>
      <c r="T2" s="102" t="s">
        <v>921</v>
      </c>
      <c r="U2" s="102" t="s">
        <v>927</v>
      </c>
      <c r="V2" s="102" t="s">
        <v>776</v>
      </c>
      <c r="W2" s="102" t="s">
        <v>735</v>
      </c>
      <c r="X2" s="102" t="s">
        <v>789</v>
      </c>
      <c r="Y2" s="102" t="s">
        <v>937</v>
      </c>
      <c r="Z2" s="102" t="s">
        <v>744</v>
      </c>
      <c r="AA2" s="102" t="s">
        <v>946</v>
      </c>
      <c r="AB2" s="102" t="s">
        <v>955</v>
      </c>
      <c r="AC2" s="102" t="s">
        <v>963</v>
      </c>
      <c r="AD2" s="102" t="s">
        <v>968</v>
      </c>
      <c r="AE2" s="102" t="s">
        <v>974</v>
      </c>
      <c r="AF2" s="102" t="s">
        <v>980</v>
      </c>
      <c r="AG2" s="102" t="s">
        <v>796</v>
      </c>
      <c r="AH2" s="102" t="s">
        <v>804</v>
      </c>
      <c r="AI2" s="102" t="s">
        <v>811</v>
      </c>
    </row>
    <row r="3" spans="2:35">
      <c r="B3" s="147" t="s">
        <v>1516</v>
      </c>
      <c r="C3" s="103">
        <v>1</v>
      </c>
      <c r="D3" s="103" t="s">
        <v>1823</v>
      </c>
      <c r="E3" s="122">
        <v>45492</v>
      </c>
      <c r="F3" s="103">
        <v>1</v>
      </c>
      <c r="G3" s="123">
        <v>1</v>
      </c>
      <c r="H3" s="176">
        <v>4011121</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c r="V3" s="103" t="s">
        <v>1570</v>
      </c>
      <c r="W3" s="103" t="s">
        <v>1570</v>
      </c>
      <c r="X3" s="103" t="s">
        <v>1570</v>
      </c>
      <c r="Y3" s="103" t="s">
        <v>1570</v>
      </c>
      <c r="Z3" s="103" t="s">
        <v>1570</v>
      </c>
      <c r="AA3" s="103" t="s">
        <v>1570</v>
      </c>
      <c r="AB3" s="103" t="s">
        <v>1570</v>
      </c>
      <c r="AC3" s="103" t="s">
        <v>1570</v>
      </c>
      <c r="AD3" s="103" t="s">
        <v>1570</v>
      </c>
      <c r="AE3" s="103" t="s">
        <v>1570</v>
      </c>
      <c r="AF3" s="103" t="s">
        <v>1570</v>
      </c>
      <c r="AG3" s="103" t="s">
        <v>1570</v>
      </c>
      <c r="AH3" s="103" t="s">
        <v>1570</v>
      </c>
      <c r="AI3" s="103" t="s">
        <v>1570</v>
      </c>
    </row>
    <row r="4" spans="2:35">
      <c r="B4" s="147" t="s">
        <v>1518</v>
      </c>
      <c r="C4" s="103">
        <v>2</v>
      </c>
      <c r="D4" s="103" t="s">
        <v>1824</v>
      </c>
      <c r="E4" s="122">
        <v>45492</v>
      </c>
      <c r="F4" s="103">
        <v>1</v>
      </c>
      <c r="G4" s="123">
        <v>1</v>
      </c>
      <c r="H4" s="182">
        <v>0</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c r="V4" s="103" t="s">
        <v>1570</v>
      </c>
      <c r="W4" s="103" t="s">
        <v>1570</v>
      </c>
      <c r="X4" s="103" t="s">
        <v>1570</v>
      </c>
      <c r="Y4" s="103" t="s">
        <v>1570</v>
      </c>
      <c r="Z4" s="103" t="s">
        <v>1570</v>
      </c>
      <c r="AA4" s="103" t="s">
        <v>1570</v>
      </c>
      <c r="AB4" s="103" t="s">
        <v>1570</v>
      </c>
      <c r="AC4" s="103" t="s">
        <v>1570</v>
      </c>
      <c r="AD4" s="103" t="s">
        <v>1570</v>
      </c>
      <c r="AE4" s="103" t="s">
        <v>1570</v>
      </c>
      <c r="AF4" s="103" t="s">
        <v>1570</v>
      </c>
      <c r="AG4" s="103" t="s">
        <v>1570</v>
      </c>
      <c r="AH4" s="103" t="s">
        <v>1570</v>
      </c>
      <c r="AI4" s="103" t="s">
        <v>1570</v>
      </c>
    </row>
    <row r="5" spans="2:35">
      <c r="B5" s="147" t="s">
        <v>1520</v>
      </c>
      <c r="C5" s="103">
        <v>3</v>
      </c>
      <c r="D5" s="103" t="s">
        <v>1825</v>
      </c>
      <c r="E5" s="122">
        <v>45492</v>
      </c>
      <c r="F5" s="103">
        <v>1</v>
      </c>
      <c r="G5" s="123">
        <v>1</v>
      </c>
      <c r="H5" s="182">
        <v>0</v>
      </c>
      <c r="I5" s="103">
        <v>0</v>
      </c>
      <c r="J5" s="103">
        <v>0</v>
      </c>
      <c r="K5" s="103">
        <v>0</v>
      </c>
      <c r="L5" s="103">
        <v>0</v>
      </c>
      <c r="M5" s="103" t="s">
        <v>1570</v>
      </c>
      <c r="N5" s="103" t="s">
        <v>1570</v>
      </c>
      <c r="O5" s="103" t="s">
        <v>1570</v>
      </c>
      <c r="P5" s="103" t="s">
        <v>1570</v>
      </c>
      <c r="Q5" s="103" t="s">
        <v>1570</v>
      </c>
      <c r="R5" s="103" t="s">
        <v>1570</v>
      </c>
      <c r="S5" s="103" t="s">
        <v>1570</v>
      </c>
      <c r="T5" s="103" t="s">
        <v>1570</v>
      </c>
      <c r="U5" s="103" t="s">
        <v>1570</v>
      </c>
      <c r="V5" s="103" t="s">
        <v>1570</v>
      </c>
      <c r="W5" s="103" t="s">
        <v>1570</v>
      </c>
      <c r="X5" s="103" t="s">
        <v>1570</v>
      </c>
      <c r="Y5" s="103" t="s">
        <v>1570</v>
      </c>
      <c r="Z5" s="103" t="s">
        <v>1570</v>
      </c>
      <c r="AA5" s="103" t="s">
        <v>1570</v>
      </c>
      <c r="AB5" s="103" t="s">
        <v>1570</v>
      </c>
      <c r="AC5" s="103" t="s">
        <v>1570</v>
      </c>
      <c r="AD5" s="103" t="s">
        <v>1570</v>
      </c>
      <c r="AE5" s="103" t="s">
        <v>1570</v>
      </c>
      <c r="AF5" s="103" t="s">
        <v>1570</v>
      </c>
      <c r="AG5" s="103" t="s">
        <v>1570</v>
      </c>
      <c r="AH5" s="103">
        <v>0</v>
      </c>
      <c r="AI5" s="103" t="s">
        <v>1570</v>
      </c>
    </row>
    <row r="6" spans="2:35">
      <c r="B6" s="93" t="s">
        <v>1522</v>
      </c>
      <c r="C6" s="103">
        <v>4</v>
      </c>
      <c r="D6" s="103" t="s">
        <v>1574</v>
      </c>
      <c r="E6" s="122" t="s">
        <v>1570</v>
      </c>
      <c r="F6" s="103">
        <v>1</v>
      </c>
      <c r="G6" s="151" t="s">
        <v>1570</v>
      </c>
      <c r="H6" s="182">
        <v>0</v>
      </c>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c r="V6" s="103" t="s">
        <v>1570</v>
      </c>
      <c r="W6" s="103" t="s">
        <v>1570</v>
      </c>
      <c r="X6" s="103" t="s">
        <v>1570</v>
      </c>
      <c r="Y6" s="103" t="s">
        <v>1570</v>
      </c>
      <c r="Z6" s="103" t="s">
        <v>1570</v>
      </c>
      <c r="AA6" s="103" t="s">
        <v>1570</v>
      </c>
      <c r="AB6" s="103" t="s">
        <v>1570</v>
      </c>
      <c r="AC6" s="103" t="s">
        <v>1570</v>
      </c>
      <c r="AD6" s="103" t="s">
        <v>1570</v>
      </c>
      <c r="AE6" s="103" t="s">
        <v>1570</v>
      </c>
      <c r="AF6" s="103" t="s">
        <v>1570</v>
      </c>
      <c r="AG6" s="103" t="s">
        <v>1570</v>
      </c>
      <c r="AH6" s="103" t="s">
        <v>1570</v>
      </c>
      <c r="AI6" s="103" t="s">
        <v>1570</v>
      </c>
    </row>
    <row r="7" spans="2:35">
      <c r="B7" s="93" t="s">
        <v>1524</v>
      </c>
      <c r="C7" s="103">
        <v>5</v>
      </c>
      <c r="D7" s="103" t="s">
        <v>1574</v>
      </c>
      <c r="E7" s="122" t="s">
        <v>1570</v>
      </c>
      <c r="F7" s="103">
        <v>1</v>
      </c>
      <c r="G7" s="151" t="s">
        <v>1570</v>
      </c>
      <c r="H7" s="182">
        <v>0</v>
      </c>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c r="V7" s="103" t="s">
        <v>1570</v>
      </c>
      <c r="W7" s="103" t="s">
        <v>1570</v>
      </c>
      <c r="X7" s="103" t="s">
        <v>1570</v>
      </c>
      <c r="Y7" s="103" t="s">
        <v>1570</v>
      </c>
      <c r="Z7" s="103" t="s">
        <v>1570</v>
      </c>
      <c r="AA7" s="103" t="s">
        <v>1570</v>
      </c>
      <c r="AB7" s="103" t="s">
        <v>1570</v>
      </c>
      <c r="AC7" s="103" t="s">
        <v>1570</v>
      </c>
      <c r="AD7" s="103" t="s">
        <v>1570</v>
      </c>
      <c r="AE7" s="103" t="s">
        <v>1570</v>
      </c>
      <c r="AF7" s="103" t="s">
        <v>1570</v>
      </c>
      <c r="AG7" s="103" t="s">
        <v>1570</v>
      </c>
      <c r="AH7" s="103" t="s">
        <v>1570</v>
      </c>
      <c r="AI7" s="103" t="s">
        <v>1570</v>
      </c>
    </row>
    <row r="8" spans="2:35">
      <c r="B8" s="178" t="s">
        <v>1525</v>
      </c>
      <c r="C8" s="103">
        <v>6</v>
      </c>
      <c r="D8" s="103" t="s">
        <v>1826</v>
      </c>
      <c r="E8" s="122">
        <v>45492</v>
      </c>
      <c r="F8" s="103">
        <v>1</v>
      </c>
      <c r="G8" s="151" cm="1">
        <f t="array" ref="G8">SUMPRODUCT(--(I8:AI8&gt;0))/COUNTA(I8:AI8)</f>
        <v>1</v>
      </c>
      <c r="H8" s="182">
        <v>0</v>
      </c>
      <c r="I8" s="103">
        <v>2</v>
      </c>
      <c r="J8" s="103">
        <v>30</v>
      </c>
      <c r="K8" s="103">
        <v>1</v>
      </c>
      <c r="L8" s="103">
        <v>1</v>
      </c>
      <c r="M8" s="103">
        <v>3</v>
      </c>
      <c r="N8" s="103">
        <v>1</v>
      </c>
      <c r="O8" s="103">
        <v>4</v>
      </c>
      <c r="P8" s="103">
        <v>3</v>
      </c>
      <c r="Q8" s="103">
        <v>1</v>
      </c>
      <c r="R8" s="103">
        <v>1</v>
      </c>
      <c r="S8" s="103">
        <v>1</v>
      </c>
      <c r="T8" s="103">
        <v>2</v>
      </c>
      <c r="U8" s="103">
        <v>1</v>
      </c>
      <c r="V8" s="103">
        <v>3</v>
      </c>
      <c r="W8" s="103">
        <v>1</v>
      </c>
      <c r="X8" s="103">
        <v>1</v>
      </c>
      <c r="Y8" s="103">
        <v>1</v>
      </c>
      <c r="Z8" s="103">
        <v>1</v>
      </c>
      <c r="AA8" s="103">
        <v>1</v>
      </c>
      <c r="AB8" s="103">
        <v>4</v>
      </c>
      <c r="AC8" s="103">
        <v>4</v>
      </c>
      <c r="AD8" s="103">
        <v>1</v>
      </c>
      <c r="AE8" s="103">
        <v>4</v>
      </c>
      <c r="AF8" s="103">
        <v>4</v>
      </c>
      <c r="AG8" s="103">
        <v>2</v>
      </c>
      <c r="AH8" s="103">
        <v>10</v>
      </c>
      <c r="AI8" s="103">
        <v>23</v>
      </c>
    </row>
    <row r="9" spans="2:35">
      <c r="B9" s="147" t="s">
        <v>1528</v>
      </c>
      <c r="C9" s="103">
        <v>7</v>
      </c>
      <c r="D9" s="103" t="s">
        <v>1827</v>
      </c>
      <c r="E9" s="122">
        <v>45492</v>
      </c>
      <c r="F9" s="103">
        <v>1</v>
      </c>
      <c r="G9" s="151" cm="1">
        <f t="array" aca="1" ref="G9" ca="1">SUMPRODUCT(--(I9:AI9&lt;=I26:AI26))/COUNTA(I9:AI9)</f>
        <v>0.96296296296296291</v>
      </c>
      <c r="H9" s="182">
        <v>0</v>
      </c>
      <c r="I9" s="103">
        <v>2</v>
      </c>
      <c r="J9" s="103">
        <v>30</v>
      </c>
      <c r="K9" s="103">
        <v>11</v>
      </c>
      <c r="L9" s="103">
        <v>9</v>
      </c>
      <c r="M9" s="103">
        <v>3</v>
      </c>
      <c r="N9" s="103">
        <v>4</v>
      </c>
      <c r="O9" s="103">
        <v>16</v>
      </c>
      <c r="P9" s="103">
        <v>5</v>
      </c>
      <c r="Q9" s="103">
        <v>1</v>
      </c>
      <c r="R9" s="103">
        <v>1</v>
      </c>
      <c r="S9" s="103">
        <v>4</v>
      </c>
      <c r="T9" s="103">
        <v>4</v>
      </c>
      <c r="U9" s="103">
        <v>3</v>
      </c>
      <c r="V9" s="103">
        <v>3</v>
      </c>
      <c r="W9" s="103">
        <v>10</v>
      </c>
      <c r="X9" s="103">
        <v>10</v>
      </c>
      <c r="Y9" s="103">
        <v>8</v>
      </c>
      <c r="Z9" s="103">
        <v>6</v>
      </c>
      <c r="AA9" s="103">
        <v>4</v>
      </c>
      <c r="AB9" s="103">
        <v>10</v>
      </c>
      <c r="AC9" s="103">
        <v>10</v>
      </c>
      <c r="AD9" s="103">
        <v>4</v>
      </c>
      <c r="AE9" s="103">
        <v>7</v>
      </c>
      <c r="AF9" s="103">
        <v>40</v>
      </c>
      <c r="AG9" s="103">
        <v>2</v>
      </c>
      <c r="AH9" s="103">
        <v>10</v>
      </c>
      <c r="AI9" s="103">
        <v>23</v>
      </c>
    </row>
    <row r="10" spans="2:35">
      <c r="B10" s="147" t="s">
        <v>1531</v>
      </c>
      <c r="C10" s="103">
        <v>8</v>
      </c>
      <c r="D10" s="103" t="s">
        <v>1828</v>
      </c>
      <c r="E10" s="122">
        <v>45492</v>
      </c>
      <c r="F10" s="103">
        <v>1</v>
      </c>
      <c r="G10" s="151" t="s">
        <v>1570</v>
      </c>
      <c r="H10" s="182">
        <v>0</v>
      </c>
      <c r="I10" s="103">
        <v>31</v>
      </c>
      <c r="J10" s="103">
        <v>3.1101216902910999E+26</v>
      </c>
      <c r="K10" s="103">
        <v>1</v>
      </c>
      <c r="L10" s="103">
        <v>1</v>
      </c>
      <c r="M10" s="122" t="s">
        <v>1829</v>
      </c>
      <c r="N10" s="122" t="e">
        <v>#N/A</v>
      </c>
      <c r="O10" s="226" t="e">
        <v>#N/A</v>
      </c>
      <c r="P10" s="103" t="e">
        <v>#N/A</v>
      </c>
      <c r="Q10" s="103">
        <v>0</v>
      </c>
      <c r="R10" s="103">
        <v>0</v>
      </c>
      <c r="S10" s="103" t="e">
        <v>#N/A</v>
      </c>
      <c r="T10" s="103" t="e">
        <v>#N/A</v>
      </c>
      <c r="U10" s="151">
        <v>12</v>
      </c>
      <c r="V10" s="103">
        <v>978</v>
      </c>
      <c r="W10" s="122">
        <v>0</v>
      </c>
      <c r="X10" s="103">
        <v>0</v>
      </c>
      <c r="Y10" s="151">
        <v>-735947</v>
      </c>
      <c r="Z10" s="123">
        <v>-56106</v>
      </c>
      <c r="AA10" s="103" t="e">
        <v>#N/A</v>
      </c>
      <c r="AB10" s="103" t="e">
        <v>#N/A</v>
      </c>
      <c r="AC10" s="103" t="e">
        <v>#N/A</v>
      </c>
      <c r="AD10" s="103" t="e">
        <v>#N/A</v>
      </c>
      <c r="AE10" s="103" t="e">
        <v>#N/A</v>
      </c>
      <c r="AF10" s="103" t="s">
        <v>1830</v>
      </c>
      <c r="AG10" s="103" t="s">
        <v>1763</v>
      </c>
      <c r="AH10" s="122">
        <v>45492</v>
      </c>
      <c r="AI10" s="103" t="s">
        <v>1831</v>
      </c>
    </row>
    <row r="11" spans="2:35">
      <c r="B11" s="147" t="s">
        <v>1533</v>
      </c>
      <c r="C11" s="103">
        <v>9</v>
      </c>
      <c r="D11" s="103" t="s">
        <v>1832</v>
      </c>
      <c r="E11" s="122">
        <v>45492</v>
      </c>
      <c r="F11" s="103">
        <v>1</v>
      </c>
      <c r="G11" s="151" t="s">
        <v>1570</v>
      </c>
      <c r="H11" s="182">
        <v>0</v>
      </c>
      <c r="I11" s="103">
        <v>31</v>
      </c>
      <c r="J11" s="103">
        <v>3.1101216902910999E+26</v>
      </c>
      <c r="K11" s="103">
        <v>1</v>
      </c>
      <c r="L11" s="103">
        <v>1</v>
      </c>
      <c r="M11" s="122" t="s">
        <v>1829</v>
      </c>
      <c r="N11" s="122" t="e">
        <v>#N/A</v>
      </c>
      <c r="O11" s="226" t="e">
        <v>#N/A</v>
      </c>
      <c r="P11" s="122" t="e">
        <v>#N/A</v>
      </c>
      <c r="Q11" s="103">
        <v>0</v>
      </c>
      <c r="R11" s="103">
        <v>0</v>
      </c>
      <c r="S11" s="103" t="e">
        <v>#N/A</v>
      </c>
      <c r="T11" s="103"/>
      <c r="U11" s="103">
        <v>12</v>
      </c>
      <c r="V11" s="103">
        <v>978</v>
      </c>
      <c r="W11" s="122" t="s">
        <v>1799</v>
      </c>
      <c r="X11" s="103" t="s">
        <v>1799</v>
      </c>
      <c r="Y11" s="103" t="s">
        <v>1800</v>
      </c>
      <c r="Z11" s="103" t="s">
        <v>1800</v>
      </c>
      <c r="AA11" s="103" t="e">
        <v>#N/A</v>
      </c>
      <c r="AB11" s="103" t="e">
        <v>#N/A</v>
      </c>
      <c r="AC11" s="103"/>
      <c r="AD11" s="103" t="e">
        <v>#N/A</v>
      </c>
      <c r="AE11" s="103"/>
      <c r="AF11" s="103" t="s">
        <v>1830</v>
      </c>
      <c r="AG11" s="103" t="s">
        <v>1763</v>
      </c>
      <c r="AH11" s="122">
        <v>45492</v>
      </c>
      <c r="AI11" s="103" t="s">
        <v>1833</v>
      </c>
    </row>
    <row r="12" spans="2:35">
      <c r="B12" s="170" t="s">
        <v>1535</v>
      </c>
      <c r="C12" s="103">
        <v>10</v>
      </c>
      <c r="D12" s="103" t="s">
        <v>1834</v>
      </c>
      <c r="E12" s="122">
        <v>45492</v>
      </c>
      <c r="F12" s="103">
        <v>1</v>
      </c>
      <c r="G12" s="151" t="s">
        <v>1570</v>
      </c>
      <c r="H12" s="182">
        <v>0</v>
      </c>
      <c r="I12" s="103">
        <v>31</v>
      </c>
      <c r="J12" s="103">
        <v>5.1316787200099999E+27</v>
      </c>
      <c r="K12" s="103">
        <v>20240146925</v>
      </c>
      <c r="L12" s="103">
        <v>709260808</v>
      </c>
      <c r="M12" s="122" t="s">
        <v>1829</v>
      </c>
      <c r="N12" s="122">
        <v>1</v>
      </c>
      <c r="O12" s="226">
        <v>5890770069588380</v>
      </c>
      <c r="P12" s="123" t="s">
        <v>1835</v>
      </c>
      <c r="Q12" s="103">
        <v>1</v>
      </c>
      <c r="R12" s="103">
        <v>1</v>
      </c>
      <c r="S12" s="103">
        <v>1</v>
      </c>
      <c r="T12" s="103" t="s">
        <v>1803</v>
      </c>
      <c r="U12" s="151" t="s">
        <v>1836</v>
      </c>
      <c r="V12" s="103" t="s">
        <v>1836</v>
      </c>
      <c r="W12" s="122">
        <v>45495</v>
      </c>
      <c r="X12" s="122">
        <v>45495</v>
      </c>
      <c r="Y12" s="151">
        <v>37546300</v>
      </c>
      <c r="Z12" s="123">
        <v>211866</v>
      </c>
      <c r="AA12" s="103">
        <v>98</v>
      </c>
      <c r="AB12" s="103">
        <v>999903</v>
      </c>
      <c r="AC12" s="103">
        <v>1528707</v>
      </c>
      <c r="AD12" s="103">
        <v>9406</v>
      </c>
      <c r="AE12" s="103">
        <v>552429</v>
      </c>
      <c r="AF12" s="103" t="s">
        <v>1837</v>
      </c>
      <c r="AG12" s="103" t="s">
        <v>1587</v>
      </c>
      <c r="AH12" s="122">
        <v>45492</v>
      </c>
      <c r="AI12" s="103" t="s">
        <v>1831</v>
      </c>
    </row>
    <row r="13" spans="2:35">
      <c r="B13" s="147" t="s">
        <v>1537</v>
      </c>
      <c r="C13" s="103">
        <v>11</v>
      </c>
      <c r="D13" s="103" t="s">
        <v>1838</v>
      </c>
      <c r="E13" s="122">
        <v>45492</v>
      </c>
      <c r="F13" s="103">
        <v>1</v>
      </c>
      <c r="G13" s="151" t="s">
        <v>1570</v>
      </c>
      <c r="H13" s="182">
        <v>0</v>
      </c>
      <c r="I13" s="103">
        <v>31</v>
      </c>
      <c r="J13" s="103">
        <v>5.1316787200099999E+27</v>
      </c>
      <c r="K13" s="103">
        <v>20240146925</v>
      </c>
      <c r="L13" s="103">
        <v>709260808</v>
      </c>
      <c r="M13" s="122" t="s">
        <v>1829</v>
      </c>
      <c r="N13" s="122">
        <v>1</v>
      </c>
      <c r="O13" s="226">
        <v>5890770069588380</v>
      </c>
      <c r="P13" s="122" t="s">
        <v>1835</v>
      </c>
      <c r="Q13" s="103">
        <v>1</v>
      </c>
      <c r="R13" s="103">
        <v>1</v>
      </c>
      <c r="S13" s="103">
        <v>1</v>
      </c>
      <c r="T13" s="103" t="s">
        <v>1803</v>
      </c>
      <c r="U13" s="103" t="s">
        <v>1836</v>
      </c>
      <c r="V13" s="103" t="s">
        <v>1836</v>
      </c>
      <c r="W13" s="122">
        <v>45495</v>
      </c>
      <c r="X13" s="122">
        <v>45495</v>
      </c>
      <c r="Y13" s="103" t="s">
        <v>1839</v>
      </c>
      <c r="Z13" s="103" t="s">
        <v>1840</v>
      </c>
      <c r="AA13" s="103">
        <v>98</v>
      </c>
      <c r="AB13" s="103">
        <v>999903</v>
      </c>
      <c r="AC13" s="103">
        <v>1528707</v>
      </c>
      <c r="AD13" s="103">
        <v>9406</v>
      </c>
      <c r="AE13" s="103">
        <v>552429</v>
      </c>
      <c r="AF13" s="103" t="s">
        <v>1837</v>
      </c>
      <c r="AG13" s="103" t="s">
        <v>1587</v>
      </c>
      <c r="AH13" s="122">
        <v>45492</v>
      </c>
      <c r="AI13" s="103" t="s">
        <v>1841</v>
      </c>
    </row>
    <row r="14" spans="2:35">
      <c r="B14" s="147" t="s">
        <v>1539</v>
      </c>
      <c r="C14" s="103">
        <v>12</v>
      </c>
      <c r="D14" s="103" t="s">
        <v>1842</v>
      </c>
      <c r="E14" s="122">
        <v>45492</v>
      </c>
      <c r="F14" s="103">
        <v>1</v>
      </c>
      <c r="G14" s="103">
        <v>0.66666700000000001</v>
      </c>
      <c r="H14" s="182" t="s">
        <v>1572</v>
      </c>
      <c r="I14" s="103">
        <v>0</v>
      </c>
      <c r="J14" s="103">
        <v>0</v>
      </c>
      <c r="K14" s="103">
        <v>0</v>
      </c>
      <c r="L14" s="103">
        <v>0</v>
      </c>
      <c r="M14" s="103">
        <v>4011089</v>
      </c>
      <c r="N14" s="103">
        <v>78274</v>
      </c>
      <c r="O14" s="103">
        <v>0</v>
      </c>
      <c r="P14" s="103">
        <v>0</v>
      </c>
      <c r="Q14" s="103">
        <v>0</v>
      </c>
      <c r="R14" s="103">
        <v>17538</v>
      </c>
      <c r="S14" s="103">
        <v>72615</v>
      </c>
      <c r="T14" s="103">
        <v>72615</v>
      </c>
      <c r="U14" s="103">
        <v>0</v>
      </c>
      <c r="V14" s="103">
        <v>0</v>
      </c>
      <c r="W14" s="103">
        <v>0</v>
      </c>
      <c r="X14" s="103">
        <v>0</v>
      </c>
      <c r="Y14" s="103">
        <v>464053</v>
      </c>
      <c r="Z14" s="103">
        <v>446515</v>
      </c>
      <c r="AA14" s="103">
        <v>0</v>
      </c>
      <c r="AB14" s="103">
        <v>0</v>
      </c>
      <c r="AC14" s="103">
        <v>248334</v>
      </c>
      <c r="AD14" s="103">
        <v>0</v>
      </c>
      <c r="AE14" s="103">
        <v>1033832</v>
      </c>
      <c r="AF14" s="103">
        <v>0</v>
      </c>
      <c r="AG14" s="103">
        <v>0</v>
      </c>
      <c r="AH14" s="103">
        <v>0</v>
      </c>
      <c r="AI14" s="103">
        <v>0</v>
      </c>
    </row>
    <row r="15" spans="2:35">
      <c r="B15" s="147" t="s">
        <v>1541</v>
      </c>
      <c r="C15" s="103">
        <v>13</v>
      </c>
      <c r="D15" s="103" t="s">
        <v>1843</v>
      </c>
      <c r="E15" s="122">
        <v>45492</v>
      </c>
      <c r="F15" s="103">
        <v>1</v>
      </c>
      <c r="G15" s="123">
        <v>1</v>
      </c>
      <c r="H15" s="182">
        <v>0</v>
      </c>
      <c r="I15" s="103" t="s">
        <v>1570</v>
      </c>
      <c r="J15" s="103" t="s">
        <v>1570</v>
      </c>
      <c r="K15" s="103" t="s">
        <v>1570</v>
      </c>
      <c r="L15" s="93" t="s">
        <v>1570</v>
      </c>
      <c r="M15" s="93" t="s">
        <v>1570</v>
      </c>
      <c r="N15" s="93" t="s">
        <v>1570</v>
      </c>
      <c r="O15" s="103" t="s">
        <v>1570</v>
      </c>
      <c r="P15" s="93" t="s">
        <v>1570</v>
      </c>
      <c r="Q15" s="93" t="s">
        <v>1570</v>
      </c>
      <c r="R15" s="93" t="s">
        <v>1570</v>
      </c>
      <c r="S15" s="103" t="s">
        <v>1570</v>
      </c>
      <c r="T15" s="103" t="s">
        <v>1570</v>
      </c>
      <c r="U15" s="103" t="s">
        <v>1570</v>
      </c>
      <c r="V15" s="103" t="s">
        <v>1570</v>
      </c>
      <c r="W15" s="103">
        <v>0</v>
      </c>
      <c r="X15" s="103">
        <v>0</v>
      </c>
      <c r="Y15" s="103" t="s">
        <v>1570</v>
      </c>
      <c r="Z15" s="103" t="s">
        <v>1570</v>
      </c>
      <c r="AA15" s="103" t="s">
        <v>1570</v>
      </c>
      <c r="AB15" s="103" t="s">
        <v>1570</v>
      </c>
      <c r="AC15" s="103" t="s">
        <v>1570</v>
      </c>
      <c r="AD15" s="103" t="s">
        <v>1570</v>
      </c>
      <c r="AE15" s="103" t="s">
        <v>1570</v>
      </c>
      <c r="AF15" s="103" t="s">
        <v>1570</v>
      </c>
      <c r="AG15" s="103" t="s">
        <v>1570</v>
      </c>
      <c r="AH15" s="103" t="s">
        <v>1570</v>
      </c>
      <c r="AI15" s="103" t="s">
        <v>1570</v>
      </c>
    </row>
    <row r="16" spans="2:35">
      <c r="B16" s="147" t="s">
        <v>1543</v>
      </c>
      <c r="C16" s="103">
        <v>14</v>
      </c>
      <c r="D16" s="103" t="s">
        <v>1844</v>
      </c>
      <c r="E16" s="122">
        <v>45492</v>
      </c>
      <c r="F16" s="103">
        <v>1</v>
      </c>
      <c r="G16" s="123">
        <v>1</v>
      </c>
      <c r="H16" s="182">
        <v>0</v>
      </c>
      <c r="I16" s="103">
        <v>0</v>
      </c>
      <c r="J16" s="103">
        <v>0</v>
      </c>
      <c r="K16" s="103" t="s">
        <v>1570</v>
      </c>
      <c r="L16" s="103" t="s">
        <v>1570</v>
      </c>
      <c r="M16" s="93">
        <v>0</v>
      </c>
      <c r="N16" s="93" t="s">
        <v>1570</v>
      </c>
      <c r="O16" s="103" t="s">
        <v>1570</v>
      </c>
      <c r="P16" s="103" t="s">
        <v>1570</v>
      </c>
      <c r="Q16" s="103" t="s">
        <v>1570</v>
      </c>
      <c r="R16" s="93" t="s">
        <v>1570</v>
      </c>
      <c r="S16" s="103" t="s">
        <v>1570</v>
      </c>
      <c r="T16" s="103">
        <v>0</v>
      </c>
      <c r="U16" s="103">
        <v>0</v>
      </c>
      <c r="V16" s="103">
        <v>0</v>
      </c>
      <c r="W16" s="103" t="s">
        <v>1570</v>
      </c>
      <c r="X16" s="103" t="s">
        <v>1570</v>
      </c>
      <c r="Y16" s="103" t="s">
        <v>1570</v>
      </c>
      <c r="Z16" s="103" t="s">
        <v>1570</v>
      </c>
      <c r="AA16" s="103">
        <v>0</v>
      </c>
      <c r="AB16" s="103">
        <v>0</v>
      </c>
      <c r="AC16" s="103">
        <v>0</v>
      </c>
      <c r="AD16" s="103">
        <v>0</v>
      </c>
      <c r="AE16" s="103">
        <v>0</v>
      </c>
      <c r="AF16" s="103" t="s">
        <v>1570</v>
      </c>
      <c r="AG16" s="103">
        <v>0</v>
      </c>
      <c r="AH16" s="103" t="s">
        <v>1570</v>
      </c>
      <c r="AI16" s="103" t="s">
        <v>1570</v>
      </c>
    </row>
    <row r="17" spans="2:35">
      <c r="B17" s="181" t="s">
        <v>1545</v>
      </c>
      <c r="C17" s="103">
        <v>15</v>
      </c>
      <c r="D17" s="103" t="s">
        <v>1845</v>
      </c>
      <c r="E17" s="122">
        <v>45492</v>
      </c>
      <c r="F17" s="103">
        <v>1</v>
      </c>
      <c r="G17" s="123">
        <v>1</v>
      </c>
      <c r="H17" s="182">
        <v>0</v>
      </c>
      <c r="I17" s="103" t="s">
        <v>1570</v>
      </c>
      <c r="J17" s="103" t="s">
        <v>1570</v>
      </c>
      <c r="K17" s="103" t="s">
        <v>1570</v>
      </c>
      <c r="L17" s="103" t="s">
        <v>1570</v>
      </c>
      <c r="M17" s="103" t="s">
        <v>1570</v>
      </c>
      <c r="N17" s="103" t="s">
        <v>1570</v>
      </c>
      <c r="O17" s="103" t="s">
        <v>1570</v>
      </c>
      <c r="P17" s="103" t="s">
        <v>1570</v>
      </c>
      <c r="Q17" s="103" t="s">
        <v>1570</v>
      </c>
      <c r="R17" s="103" t="s">
        <v>1570</v>
      </c>
      <c r="S17" s="103" t="s">
        <v>1570</v>
      </c>
      <c r="T17" s="103" t="s">
        <v>1570</v>
      </c>
      <c r="U17" s="103" t="s">
        <v>1570</v>
      </c>
      <c r="V17" s="103" t="s">
        <v>1570</v>
      </c>
      <c r="W17" s="103" t="s">
        <v>1570</v>
      </c>
      <c r="X17" s="103" t="s">
        <v>1570</v>
      </c>
      <c r="Y17" s="103" t="s">
        <v>1570</v>
      </c>
      <c r="Z17" s="103" t="s">
        <v>1570</v>
      </c>
      <c r="AA17" s="103" t="s">
        <v>1570</v>
      </c>
      <c r="AB17" s="103" t="s">
        <v>1570</v>
      </c>
      <c r="AC17" s="103" t="s">
        <v>1570</v>
      </c>
      <c r="AD17" s="103" t="s">
        <v>1570</v>
      </c>
      <c r="AE17" s="103" t="s">
        <v>1570</v>
      </c>
      <c r="AF17" s="103" t="s">
        <v>1570</v>
      </c>
      <c r="AG17" s="103" t="s">
        <v>1570</v>
      </c>
      <c r="AH17" s="103" t="s">
        <v>1570</v>
      </c>
      <c r="AI17" s="103" t="s">
        <v>1570</v>
      </c>
    </row>
    <row r="18" spans="2:35">
      <c r="B18" s="181" t="s">
        <v>1547</v>
      </c>
      <c r="C18" s="103">
        <v>16</v>
      </c>
      <c r="D18" s="103" t="s">
        <v>1845</v>
      </c>
      <c r="E18" s="122">
        <v>45492</v>
      </c>
      <c r="F18" s="103">
        <v>1</v>
      </c>
      <c r="G18" s="123">
        <v>1</v>
      </c>
      <c r="H18" s="182">
        <v>0</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c r="V18" s="103" t="s">
        <v>1570</v>
      </c>
      <c r="W18" s="103" t="s">
        <v>1570</v>
      </c>
      <c r="X18" s="103" t="s">
        <v>1570</v>
      </c>
      <c r="Y18" s="103" t="s">
        <v>1570</v>
      </c>
      <c r="Z18" s="103" t="s">
        <v>1570</v>
      </c>
      <c r="AA18" s="103" t="s">
        <v>1570</v>
      </c>
      <c r="AB18" s="103" t="s">
        <v>1570</v>
      </c>
      <c r="AC18" s="103" t="s">
        <v>1570</v>
      </c>
      <c r="AD18" s="103" t="s">
        <v>1570</v>
      </c>
      <c r="AE18" s="103" t="s">
        <v>1570</v>
      </c>
      <c r="AF18" s="103" t="s">
        <v>1570</v>
      </c>
      <c r="AG18" s="103" t="s">
        <v>1570</v>
      </c>
      <c r="AH18" s="103" t="s">
        <v>1570</v>
      </c>
      <c r="AI18" s="103" t="s">
        <v>1570</v>
      </c>
    </row>
    <row r="19" spans="2:35">
      <c r="B19" s="147" t="s">
        <v>1553</v>
      </c>
      <c r="C19" s="103">
        <v>19</v>
      </c>
      <c r="D19" s="103" t="s">
        <v>1846</v>
      </c>
      <c r="E19" s="122">
        <v>45492</v>
      </c>
      <c r="F19" s="103">
        <v>1</v>
      </c>
      <c r="G19" s="151" cm="1">
        <f t="array" aca="1" ref="G19" ca="1">SUMPRODUCT(--(ISNUMBER((SEARCH(I25:AI25,I19:AI19)))))/COUNTA(I19:AI19)</f>
        <v>0.96296296296296291</v>
      </c>
      <c r="H19" s="182">
        <v>0</v>
      </c>
      <c r="I19" s="103" t="s">
        <v>1596</v>
      </c>
      <c r="J19" s="103" t="s">
        <v>1596</v>
      </c>
      <c r="K19" s="103" t="s">
        <v>1780</v>
      </c>
      <c r="L19" s="103" t="s">
        <v>1597</v>
      </c>
      <c r="M19" s="103" t="s">
        <v>1596</v>
      </c>
      <c r="N19" s="103" t="s">
        <v>1596</v>
      </c>
      <c r="O19" s="103" t="s">
        <v>1596</v>
      </c>
      <c r="P19" s="103" t="s">
        <v>1596</v>
      </c>
      <c r="Q19" s="103" t="s">
        <v>1596</v>
      </c>
      <c r="R19" s="103" t="s">
        <v>1596</v>
      </c>
      <c r="S19" s="103" t="s">
        <v>1596</v>
      </c>
      <c r="T19" s="103" t="s">
        <v>1596</v>
      </c>
      <c r="U19" s="103" t="s">
        <v>1596</v>
      </c>
      <c r="V19" s="103" t="s">
        <v>1596</v>
      </c>
      <c r="W19" s="103" t="s">
        <v>1596</v>
      </c>
      <c r="X19" s="103" t="s">
        <v>1596</v>
      </c>
      <c r="Y19" s="103" t="s">
        <v>1847</v>
      </c>
      <c r="Z19" s="103" t="s">
        <v>1847</v>
      </c>
      <c r="AA19" s="103" t="s">
        <v>1596</v>
      </c>
      <c r="AB19" s="103" t="s">
        <v>1596</v>
      </c>
      <c r="AC19" s="103" t="s">
        <v>1596</v>
      </c>
      <c r="AD19" s="103" t="s">
        <v>1596</v>
      </c>
      <c r="AE19" s="103" t="s">
        <v>1596</v>
      </c>
      <c r="AF19" s="103" t="s">
        <v>1596</v>
      </c>
      <c r="AG19" s="103" t="s">
        <v>1596</v>
      </c>
      <c r="AH19" s="103" t="s">
        <v>1596</v>
      </c>
      <c r="AI19" s="103" t="s">
        <v>1599</v>
      </c>
    </row>
    <row r="20" spans="2:35">
      <c r="B20" s="147" t="s">
        <v>1556</v>
      </c>
      <c r="C20" s="103">
        <v>20</v>
      </c>
      <c r="D20" s="103"/>
      <c r="E20" s="122"/>
      <c r="F20" s="103"/>
      <c r="G20" s="151" cm="1">
        <f t="array" ref="G20">SUM(IF(I2:AI2 = I24:AI24, 1, 0))/ COUNTA(I2:AI2)</f>
        <v>1</v>
      </c>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row>
    <row r="21" spans="2:35">
      <c r="B21" s="171" t="s">
        <v>1559</v>
      </c>
      <c r="C21" s="103">
        <v>21</v>
      </c>
      <c r="D21" s="103"/>
      <c r="E21" s="122"/>
      <c r="F21" s="103"/>
      <c r="G21" s="103" cm="1">
        <f t="array" aca="1" ref="G21" ca="1">SUM(IF(IF(G3:G20="null",1,G3:G20)=1,1,0))/COUNT(IF(G3:G20="null",1,1))</f>
        <v>0.83333333333333337</v>
      </c>
      <c r="H21" s="103"/>
      <c r="I21" s="103"/>
      <c r="J21" s="103"/>
      <c r="K21" s="103"/>
      <c r="L21" s="103"/>
      <c r="M21" s="103"/>
      <c r="N21" s="103"/>
      <c r="O21" s="103"/>
      <c r="P21" s="103"/>
      <c r="Q21" s="103"/>
      <c r="R21" s="103"/>
      <c r="S21" s="103"/>
      <c r="T21" s="103"/>
      <c r="U21" s="103"/>
      <c r="V21" s="103"/>
      <c r="W21" s="103"/>
      <c r="X21" s="103"/>
      <c r="Y21" s="103"/>
      <c r="Z21" s="103"/>
      <c r="AA21" s="103"/>
      <c r="AB21" s="103"/>
      <c r="AC21" s="103"/>
      <c r="AD21" s="103"/>
      <c r="AE21" s="103"/>
      <c r="AF21" s="103"/>
      <c r="AG21" s="103"/>
      <c r="AH21" s="103"/>
      <c r="AI21" s="103"/>
    </row>
    <row r="22" spans="2:35">
      <c r="B22" s="103"/>
      <c r="C22" s="103"/>
      <c r="D22" s="103"/>
      <c r="E22" s="122"/>
      <c r="F22" s="103"/>
      <c r="G22" s="103"/>
      <c r="H22" s="103"/>
      <c r="I22" s="103"/>
      <c r="J22" s="103"/>
      <c r="K22" s="103"/>
      <c r="L22" s="103"/>
      <c r="M22" s="103"/>
      <c r="N22" s="103"/>
      <c r="O22" s="103"/>
      <c r="P22" s="103"/>
      <c r="Q22" s="103"/>
      <c r="R22" s="103"/>
      <c r="S22" s="103"/>
      <c r="T22" s="103"/>
      <c r="U22" s="103"/>
    </row>
    <row r="23" spans="2:35">
      <c r="B23" s="112" t="s">
        <v>1600</v>
      </c>
    </row>
    <row r="24" spans="2:35">
      <c r="B24" s="113" t="s">
        <v>1601</v>
      </c>
      <c r="C24" s="114" t="s">
        <v>1563</v>
      </c>
      <c r="D24" s="114" t="s">
        <v>1564</v>
      </c>
      <c r="E24" s="114" t="s">
        <v>1565</v>
      </c>
      <c r="F24" s="114" t="s">
        <v>1566</v>
      </c>
      <c r="G24" s="114" t="s">
        <v>1567</v>
      </c>
      <c r="H24" s="114" t="s">
        <v>1568</v>
      </c>
      <c r="I24" s="115" t="str" cm="1">
        <f t="array" ref="I24:AI24">TRANSPOSE(_xlfn.SORTBY(_xlfn._xlws.FILTER(Table2[NOME FÍSICO CAMPO],Table2[NOME FÍSICO TABELA]="credit_card_account_plan_transaction"), _xlfn._xlws.FILTER(Table2[ORDEM], Table2[NOME FÍSICO TABELA]="credit_card_account_plan_transaction"), 1))</f>
        <v>bank_id</v>
      </c>
      <c r="J24" s="115" t="str">
        <v>contract_id</v>
      </c>
      <c r="K24" s="115" t="str">
        <v>order_number</v>
      </c>
      <c r="L24" s="115" t="str">
        <v>order_number_stage</v>
      </c>
      <c r="M24" s="115" t="str">
        <v>transaction_type_code</v>
      </c>
      <c r="N24" s="115" t="str">
        <v>financial_flow_indicator</v>
      </c>
      <c r="O24" s="115" t="str">
        <v>card_number</v>
      </c>
      <c r="P24" s="115" t="str">
        <v>beneficiary_order_number</v>
      </c>
      <c r="Q24" s="115" t="str">
        <v>recurring_transaction_indicator</v>
      </c>
      <c r="R24" s="115" t="str">
        <v>chargeback_indicator</v>
      </c>
      <c r="S24" s="115" t="str">
        <v>card_presence_indicator</v>
      </c>
      <c r="T24" s="115" t="str">
        <v>authentication_type_code</v>
      </c>
      <c r="U24" s="186" t="str">
        <v>original_currency_code</v>
      </c>
      <c r="V24" s="186" t="str">
        <v>currency_code</v>
      </c>
      <c r="W24" s="186" t="str">
        <v>transaction_date</v>
      </c>
      <c r="X24" s="186" t="str">
        <v>transaction_execution_date</v>
      </c>
      <c r="Y24" s="224" t="str">
        <v>original_amount</v>
      </c>
      <c r="Z24" s="224" t="str">
        <v>amount</v>
      </c>
      <c r="AA24" s="224" t="str">
        <v>terminal_organization_id</v>
      </c>
      <c r="AB24" s="224" t="str">
        <v>terminal_description</v>
      </c>
      <c r="AC24" s="224" t="str">
        <v>atm_terminal_id</v>
      </c>
      <c r="AD24" s="224" t="str">
        <v>pos_terminal_id</v>
      </c>
      <c r="AE24" s="224" t="str">
        <v>merchant_id</v>
      </c>
      <c r="AF24" s="224" t="str">
        <v>merchant_type_code</v>
      </c>
      <c r="AG24" s="224" t="str">
        <v>source_code</v>
      </c>
      <c r="AH24" s="224" t="str">
        <v>data_date_part</v>
      </c>
      <c r="AI24" s="225" t="str">
        <v>data_timestamp_part</v>
      </c>
    </row>
    <row r="25" spans="2:35">
      <c r="B25" s="106" t="s">
        <v>1602</v>
      </c>
      <c r="C25" s="119">
        <v>21</v>
      </c>
      <c r="D25" s="108" t="s">
        <v>1603</v>
      </c>
      <c r="E25" s="107" t="s">
        <v>1604</v>
      </c>
      <c r="F25" s="107" t="s">
        <v>1051</v>
      </c>
      <c r="G25" s="107" t="s">
        <v>1051</v>
      </c>
      <c r="H25" s="107" t="s">
        <v>1051</v>
      </c>
      <c r="I25" s="107" t="str" cm="1">
        <f t="array" aca="1" ref="I25:AI26" ca="1">TRANSPOSE(_xlfn.SORTBY(_xlfn._xlws.FILTER(IF(Table2[FORMATO]:Table2[COMP_ CAMPO]&lt;&gt;"",Table2[FORMATO]:Table2[COMP_ CAMPO],9999999),Table2[NOME FÍSICO TABELA]="credit_card_account_plan_transaction"), _xlfn._xlws.FILTER(Table2[ORDEM], Table2[NOME FÍSICO TABELA]="credit_card_account_plan_transaction"), 1))</f>
        <v>STRING</v>
      </c>
      <c r="J25" s="107" t="str">
        <f ca="1"/>
        <v>STRING</v>
      </c>
      <c r="K25" s="107" t="str">
        <f ca="1"/>
        <v>BIG INT</v>
      </c>
      <c r="L25" s="107" t="str">
        <f ca="1"/>
        <v>BIGINT</v>
      </c>
      <c r="M25" s="107" t="str">
        <f ca="1"/>
        <v>STRING</v>
      </c>
      <c r="N25" s="107" t="str">
        <f ca="1"/>
        <v>STRING</v>
      </c>
      <c r="O25" s="107" t="str">
        <f ca="1"/>
        <v>STRING</v>
      </c>
      <c r="P25" s="107" t="str">
        <f ca="1"/>
        <v>STRING</v>
      </c>
      <c r="Q25" s="107" t="str">
        <f ca="1"/>
        <v>STRING</v>
      </c>
      <c r="R25" s="107" t="str">
        <f ca="1"/>
        <v>STRING</v>
      </c>
      <c r="S25" s="107" t="str">
        <f ca="1"/>
        <v>STRING</v>
      </c>
      <c r="T25" s="107" t="str">
        <f ca="1"/>
        <v>STRING</v>
      </c>
      <c r="U25" s="107" t="str">
        <f ca="1"/>
        <v>STRING</v>
      </c>
      <c r="V25" s="107" t="str">
        <f ca="1"/>
        <v>STRING</v>
      </c>
      <c r="W25" s="107" t="str">
        <f ca="1"/>
        <v>STRING</v>
      </c>
      <c r="X25" s="107" t="str">
        <f ca="1"/>
        <v>STRING</v>
      </c>
      <c r="Y25" s="107" t="str">
        <f ca="1"/>
        <v>STRING</v>
      </c>
      <c r="Z25" s="107" t="str">
        <f ca="1"/>
        <v>DECIMAL</v>
      </c>
      <c r="AA25" s="107" t="str">
        <f ca="1"/>
        <v>STRING</v>
      </c>
      <c r="AB25" s="107" t="str">
        <f ca="1"/>
        <v>STRING</v>
      </c>
      <c r="AC25" s="107" t="str">
        <f ca="1"/>
        <v>STRING</v>
      </c>
      <c r="AD25" s="107" t="str">
        <f ca="1"/>
        <v>STRING</v>
      </c>
      <c r="AE25" s="107" t="str">
        <f ca="1"/>
        <v>STRING</v>
      </c>
      <c r="AF25" s="107" t="str">
        <f ca="1"/>
        <v>STRING</v>
      </c>
      <c r="AG25" s="107" t="str">
        <f ca="1"/>
        <v>STRING</v>
      </c>
      <c r="AH25" s="107" t="str">
        <f ca="1"/>
        <v>STRING</v>
      </c>
      <c r="AI25" s="118" t="str">
        <f ca="1"/>
        <v>TIMESTAMP</v>
      </c>
    </row>
    <row r="26" spans="2:35" s="102" customFormat="1">
      <c r="B26" s="124" t="s">
        <v>1605</v>
      </c>
      <c r="C26" s="119">
        <v>7</v>
      </c>
      <c r="D26" s="125" t="s">
        <v>1603</v>
      </c>
      <c r="E26" s="119" t="s">
        <v>1604</v>
      </c>
      <c r="F26" s="119" t="s">
        <v>1051</v>
      </c>
      <c r="G26" s="119" t="s">
        <v>1051</v>
      </c>
      <c r="H26" s="119" t="s">
        <v>1051</v>
      </c>
      <c r="I26" s="119">
        <f ca="1"/>
        <v>4</v>
      </c>
      <c r="J26" s="119">
        <f ca="1"/>
        <v>30</v>
      </c>
      <c r="K26" s="119">
        <f ca="1"/>
        <v>9999999</v>
      </c>
      <c r="L26" s="119">
        <f ca="1"/>
        <v>9999999</v>
      </c>
      <c r="M26" s="119">
        <f ca="1"/>
        <v>20</v>
      </c>
      <c r="N26" s="119">
        <f ca="1"/>
        <v>4</v>
      </c>
      <c r="O26" s="119">
        <f ca="1"/>
        <v>16</v>
      </c>
      <c r="P26" s="119">
        <f ca="1"/>
        <v>5</v>
      </c>
      <c r="Q26" s="119">
        <f ca="1"/>
        <v>4</v>
      </c>
      <c r="R26" s="119">
        <f ca="1"/>
        <v>4</v>
      </c>
      <c r="S26" s="119">
        <f ca="1"/>
        <v>4</v>
      </c>
      <c r="T26" s="119">
        <f ca="1"/>
        <v>20</v>
      </c>
      <c r="U26" s="119">
        <f ca="1"/>
        <v>5</v>
      </c>
      <c r="V26" s="119">
        <f ca="1"/>
        <v>3</v>
      </c>
      <c r="W26" s="119">
        <f ca="1"/>
        <v>10</v>
      </c>
      <c r="X26" s="119">
        <f ca="1"/>
        <v>10</v>
      </c>
      <c r="Y26" s="119">
        <f ca="1"/>
        <v>9999999</v>
      </c>
      <c r="Z26" s="119">
        <f ca="1"/>
        <v>23</v>
      </c>
      <c r="AA26" s="119">
        <f ca="1"/>
        <v>4</v>
      </c>
      <c r="AB26" s="119">
        <f ca="1"/>
        <v>9999999</v>
      </c>
      <c r="AC26" s="119">
        <f ca="1"/>
        <v>10</v>
      </c>
      <c r="AD26" s="119">
        <f ca="1"/>
        <v>10</v>
      </c>
      <c r="AE26" s="119">
        <f ca="1"/>
        <v>20</v>
      </c>
      <c r="AF26" s="119">
        <f ca="1"/>
        <v>20</v>
      </c>
      <c r="AG26" s="119">
        <f ca="1"/>
        <v>20</v>
      </c>
      <c r="AH26" s="119">
        <f ca="1"/>
        <v>10</v>
      </c>
      <c r="AI26" s="120">
        <f ca="1"/>
        <v>23</v>
      </c>
    </row>
    <row r="29" spans="2:35">
      <c r="B29" s="129" t="s">
        <v>1606</v>
      </c>
    </row>
    <row r="30" spans="2:35">
      <c r="B30" s="138" t="s">
        <v>1607</v>
      </c>
      <c r="C30" s="138" t="s">
        <v>1608</v>
      </c>
      <c r="D30" s="139" t="s">
        <v>1609</v>
      </c>
      <c r="E30" s="138" t="s">
        <v>1610</v>
      </c>
      <c r="F30" s="138" t="s">
        <v>1611</v>
      </c>
      <c r="I30" s="194"/>
    </row>
    <row r="31" spans="2:35" ht="30.75">
      <c r="B31" s="244" t="s">
        <v>1623</v>
      </c>
      <c r="C31" s="227" t="s">
        <v>1848</v>
      </c>
      <c r="D31" s="227" t="s">
        <v>1849</v>
      </c>
      <c r="E31" s="245" t="s">
        <v>1850</v>
      </c>
      <c r="F31" s="228"/>
      <c r="I31" s="194"/>
    </row>
    <row r="32" spans="2:35" ht="76.5">
      <c r="B32" s="136" t="s">
        <v>1612</v>
      </c>
      <c r="C32" s="88" t="s">
        <v>753</v>
      </c>
      <c r="D32" s="88" t="s">
        <v>1613</v>
      </c>
      <c r="E32" s="88" t="s">
        <v>1851</v>
      </c>
      <c r="F32" s="137" t="s">
        <v>1615</v>
      </c>
      <c r="I32" s="194"/>
    </row>
    <row r="33" spans="2:9" ht="60.75">
      <c r="B33" s="136" t="s">
        <v>1612</v>
      </c>
      <c r="C33" s="227" t="s">
        <v>765</v>
      </c>
      <c r="D33" s="227" t="s">
        <v>1852</v>
      </c>
      <c r="E33" s="227" t="s">
        <v>1853</v>
      </c>
      <c r="F33" s="228"/>
      <c r="I33" s="194"/>
    </row>
    <row r="34" spans="2:9" ht="30.75">
      <c r="B34" s="136" t="s">
        <v>1612</v>
      </c>
      <c r="C34" s="227" t="s">
        <v>1854</v>
      </c>
      <c r="D34" s="227" t="s">
        <v>1855</v>
      </c>
      <c r="E34" s="227" t="s">
        <v>1856</v>
      </c>
      <c r="F34" s="228"/>
      <c r="I34" s="194"/>
    </row>
    <row r="35" spans="2:9" ht="75" customHeight="1">
      <c r="B35" s="140" t="s">
        <v>1612</v>
      </c>
      <c r="C35" s="92" t="s">
        <v>914</v>
      </c>
      <c r="D35" s="92" t="s">
        <v>1857</v>
      </c>
      <c r="E35" s="92" t="s">
        <v>1858</v>
      </c>
      <c r="F35" s="81" t="s">
        <v>1753</v>
      </c>
      <c r="I35" s="193"/>
    </row>
    <row r="36" spans="2:9" ht="121.5">
      <c r="B36" s="140" t="s">
        <v>1612</v>
      </c>
      <c r="C36" s="92" t="s">
        <v>921</v>
      </c>
      <c r="D36" s="92" t="s">
        <v>1857</v>
      </c>
      <c r="E36" s="92" t="s">
        <v>1858</v>
      </c>
      <c r="F36" s="81" t="s">
        <v>1753</v>
      </c>
    </row>
    <row r="37" spans="2:9" ht="60.75">
      <c r="B37" s="140" t="s">
        <v>1612</v>
      </c>
      <c r="C37" s="92" t="s">
        <v>937</v>
      </c>
      <c r="D37" s="92" t="s">
        <v>1859</v>
      </c>
      <c r="E37" s="92" t="s">
        <v>1860</v>
      </c>
      <c r="F37" s="82" t="s">
        <v>1617</v>
      </c>
    </row>
    <row r="38" spans="2:9" ht="30.75">
      <c r="B38" s="140" t="s">
        <v>1612</v>
      </c>
      <c r="C38" s="92" t="s">
        <v>744</v>
      </c>
      <c r="D38" s="227" t="s">
        <v>1861</v>
      </c>
      <c r="E38" s="227" t="s">
        <v>1862</v>
      </c>
      <c r="F38" s="228"/>
    </row>
    <row r="39" spans="2:9" ht="76.5">
      <c r="B39" s="140" t="s">
        <v>1612</v>
      </c>
      <c r="C39" s="92" t="s">
        <v>968</v>
      </c>
      <c r="D39" s="92" t="s">
        <v>1863</v>
      </c>
      <c r="E39" s="92" t="s">
        <v>1864</v>
      </c>
      <c r="F39" s="81" t="s">
        <v>1753</v>
      </c>
    </row>
    <row r="40" spans="2:9" ht="121.5">
      <c r="B40" s="140" t="s">
        <v>1612</v>
      </c>
      <c r="C40" s="92" t="s">
        <v>974</v>
      </c>
      <c r="D40" s="92" t="s">
        <v>1857</v>
      </c>
      <c r="E40" s="92" t="s">
        <v>1865</v>
      </c>
      <c r="F40" s="81" t="s">
        <v>1753</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98C8A2DE-22EF-470A-866B-0B33A403C07D}"/>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Soares de Sousa Leite</cp:lastModifiedBy>
  <cp:revision/>
  <dcterms:created xsi:type="dcterms:W3CDTF">2023-01-24T18:52:31Z</dcterms:created>
  <dcterms:modified xsi:type="dcterms:W3CDTF">2024-08-01T19:57:45Z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