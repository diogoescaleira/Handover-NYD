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2.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6.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7.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8.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9.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20.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1.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2.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3.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4.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5.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6.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7.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40271" documentId="8_{19CE6A5D-BE45-46F6-A037-86AFD692B522}" xr6:coauthVersionLast="47" xr6:coauthVersionMax="47" xr10:uidLastSave="{A1A7F8D9-A952-4D99-8C9E-671DB89FE9F4}"/>
  <bookViews>
    <workbookView xWindow="-120" yWindow="-120" windowWidth="29040" windowHeight="15840" tabRatio="636" activeTab="2" xr2:uid="{00000000-000D-0000-FFFF-FFFF00000000}"/>
  </bookViews>
  <sheets>
    <sheet name="Capa" sheetId="1" r:id="rId1"/>
    <sheet name="Lista" sheetId="38" r:id="rId2"/>
    <sheet name="Tabelas" sheetId="8" r:id="rId3"/>
    <sheet name="Restrições de Universo" sheetId="42" r:id="rId4"/>
    <sheet name="Regras de Cruzamento" sheetId="43" r:id="rId5"/>
    <sheet name="Descrição Testes" sheetId="44" r:id="rId6"/>
    <sheet name="bills_promissory_notes_contract" sheetId="45" r:id="rId7"/>
    <sheet name="current_account" sheetId="55" r:id="rId8"/>
    <sheet name="bank_guarantee" sheetId="53" r:id="rId9"/>
    <sheet name="confirming_contract" sheetId="52" r:id="rId10"/>
    <sheet name="incomesaving_account" sheetId="54"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 sheetId="63" r:id="rId21"/>
    <sheet name="credit_card_account" sheetId="61" r:id="rId22"/>
    <sheet name="debit_card_account" sheetId="62" r:id="rId23"/>
    <sheet name="prepaid_card_account" sheetId="65" r:id="rId24"/>
    <sheet name="credit_card_account_plan" sheetId="64" r:id="rId25"/>
    <sheet name="loan" sheetId="66" r:id="rId26"/>
    <sheet name="saving_account" sheetId="67" r:id="rId27"/>
  </sheets>
  <externalReferences>
    <externalReference r:id="rId28"/>
    <externalReference r:id="rId29"/>
    <externalReference r:id="rId30"/>
    <externalReference r:id="rId31"/>
    <externalReference r:id="rId32"/>
    <externalReference r:id="rId33"/>
    <externalReference r:id="rId34"/>
    <externalReference r:id="rId35"/>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Tabelas!$B$5:$AC$6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67" l="1" a="1"/>
  <c r="G8" i="67"/>
  <c r="G8" i="66" a="1"/>
  <c r="G8" i="66"/>
  <c r="G8" i="64" a="1"/>
  <c r="G8" i="64"/>
  <c r="G8" i="65" a="1"/>
  <c r="G8" i="65"/>
  <c r="G8" i="55" a="1"/>
  <c r="G8" i="55"/>
  <c r="G8" i="45" a="1"/>
  <c r="G8" i="45"/>
  <c r="G22" i="55" a="1"/>
  <c r="G22" i="55"/>
  <c r="I27" i="67" a="1"/>
  <c r="G9" i="67" s="1" a="1"/>
  <c r="G9" i="67" s="1"/>
  <c r="I26" i="67" a="1"/>
  <c r="I26" i="67" s="1"/>
  <c r="G22" i="67" s="1" a="1"/>
  <c r="G22" i="67" s="1"/>
  <c r="I27" i="66" a="1"/>
  <c r="I27" i="66" s="1"/>
  <c r="I26" i="66" a="1"/>
  <c r="I26" i="66" s="1"/>
  <c r="G22" i="66" s="1" a="1"/>
  <c r="G22" i="66" s="1"/>
  <c r="G8" i="52" a="1"/>
  <c r="G8" i="52"/>
  <c r="L32" i="64"/>
  <c r="K35" i="64"/>
  <c r="L34" i="64"/>
  <c r="L31" i="64"/>
  <c r="M32" i="64" s="1"/>
  <c r="G8" i="59" a="1"/>
  <c r="G8" i="59"/>
  <c r="G8" i="62" a="1"/>
  <c r="G8" i="62"/>
  <c r="G8" i="63" a="1"/>
  <c r="G8" i="63"/>
  <c r="G8" i="60" a="1"/>
  <c r="G8" i="60"/>
  <c r="G8" i="61" a="1"/>
  <c r="G8" i="61"/>
  <c r="I24" i="62" a="1"/>
  <c r="I24" i="62" s="1"/>
  <c r="G20" i="62" s="1" a="1"/>
  <c r="G20" i="62" s="1"/>
  <c r="I25" i="61" a="1"/>
  <c r="I25" i="61" s="1"/>
  <c r="G19" i="61" s="1" a="1"/>
  <c r="G19" i="61" s="1"/>
  <c r="I24" i="61" a="1"/>
  <c r="I24" i="61" s="1"/>
  <c r="G20" i="61" s="1" a="1"/>
  <c r="G20" i="61" s="1"/>
  <c r="I25" i="62" a="1"/>
  <c r="G9" i="62" s="1" a="1"/>
  <c r="G9" i="62" s="1"/>
  <c r="I24" i="65" a="1"/>
  <c r="I24" i="65" s="1"/>
  <c r="G19" i="65" s="1" a="1"/>
  <c r="G19" i="65" s="1"/>
  <c r="I25" i="65" a="1"/>
  <c r="G9" i="65" s="1" a="1"/>
  <c r="G9" i="65" s="1"/>
  <c r="I24" i="64" a="1"/>
  <c r="I24" i="64" s="1"/>
  <c r="I25" i="64" a="1"/>
  <c r="G9" i="64" s="1" a="1"/>
  <c r="G9" i="64" s="1"/>
  <c r="I25" i="63" a="1"/>
  <c r="I25" i="63" s="1"/>
  <c r="I24" i="63" a="1"/>
  <c r="I24" i="63"/>
  <c r="G20" i="63" s="1" a="1"/>
  <c r="G20" i="63" s="1"/>
  <c r="I25" i="53" a="1"/>
  <c r="I25" i="53" s="1"/>
  <c r="G22" i="53" s="1" a="1"/>
  <c r="G22" i="53" s="1"/>
  <c r="I25" i="60" a="1"/>
  <c r="I25" i="60" s="1"/>
  <c r="I24" i="60" a="1"/>
  <c r="I24" i="60" s="1"/>
  <c r="G20" i="60" s="1" a="1"/>
  <c r="G20" i="60" s="1"/>
  <c r="I25" i="59" a="1"/>
  <c r="I25" i="59" s="1"/>
  <c r="I24" i="59" a="1"/>
  <c r="I24" i="59" s="1"/>
  <c r="G20" i="59" s="1" a="1"/>
  <c r="G20" i="59" s="1"/>
  <c r="G8" i="57" a="1"/>
  <c r="G8" i="57"/>
  <c r="I25" i="57" a="1"/>
  <c r="I25" i="57" s="1"/>
  <c r="G19" i="57" s="1" a="1"/>
  <c r="G19" i="57" s="1"/>
  <c r="I24" i="57" a="1"/>
  <c r="I24" i="57" s="1"/>
  <c r="G20" i="57" s="1" a="1"/>
  <c r="G20" i="57" s="1"/>
  <c r="G8" i="48" a="1"/>
  <c r="G8" i="48"/>
  <c r="G8" i="54" a="1"/>
  <c r="G8" i="54"/>
  <c r="G8" i="47" a="1"/>
  <c r="G8" i="47"/>
  <c r="G8" i="51" a="1"/>
  <c r="G8" i="51"/>
  <c r="G6" i="46" a="1"/>
  <c r="G6" i="46"/>
  <c r="I27" i="45" a="1"/>
  <c r="G9" i="45" s="1" a="1"/>
  <c r="G9" i="45" s="1"/>
  <c r="I26" i="45" a="1"/>
  <c r="I26" i="45" s="1"/>
  <c r="G22" i="45" s="1" a="1"/>
  <c r="G22" i="45" s="1"/>
  <c r="I24" i="48" a="1"/>
  <c r="I24" i="48" s="1"/>
  <c r="G20" i="48" s="1" a="1"/>
  <c r="G20" i="48" s="1"/>
  <c r="I26" i="47" a="1"/>
  <c r="I26" i="47" s="1"/>
  <c r="G20" i="47" s="1" a="1"/>
  <c r="G20" i="47" s="1"/>
  <c r="I23" i="50" a="1"/>
  <c r="I23" i="50" s="1"/>
  <c r="G18" i="50" s="1" a="1"/>
  <c r="G18" i="50" s="1"/>
  <c r="I23" i="46" a="1"/>
  <c r="I23" i="46"/>
  <c r="I26" i="52" a="1"/>
  <c r="I26" i="52" s="1"/>
  <c r="G22" i="52" s="1" a="1"/>
  <c r="G22" i="52" s="1"/>
  <c r="I27" i="52" a="1"/>
  <c r="I27" i="52" s="1"/>
  <c r="I26" i="53" a="1"/>
  <c r="I26" i="53" s="1"/>
  <c r="G6" i="50" a="1"/>
  <c r="G6" i="50"/>
  <c r="I24" i="46" a="1"/>
  <c r="I24" i="46"/>
  <c r="I27" i="47" a="1"/>
  <c r="I27" i="47" s="1"/>
  <c r="G19" i="47" s="1" a="1"/>
  <c r="G19" i="47" s="1"/>
  <c r="I27" i="54" a="1"/>
  <c r="I27" i="54"/>
  <c r="G22" i="54" s="1" a="1"/>
  <c r="G22" i="54" s="1"/>
  <c r="I25" i="51" a="1"/>
  <c r="G9" i="51" s="1" a="1"/>
  <c r="G9" i="51" s="1"/>
  <c r="I24" i="51" a="1"/>
  <c r="I24" i="51"/>
  <c r="G20" i="51" s="1" a="1"/>
  <c r="G20" i="51" s="1"/>
  <c r="I28" i="56" a="1"/>
  <c r="I28" i="56"/>
  <c r="I28" i="54" a="1"/>
  <c r="I28" i="54"/>
  <c r="G21" i="54" s="1" a="1"/>
  <c r="G21" i="54" s="1"/>
  <c r="I27" i="55" a="1"/>
  <c r="G9" i="55" s="1" a="1"/>
  <c r="G9" i="55" s="1"/>
  <c r="I25" i="48" a="1"/>
  <c r="I25" i="48"/>
  <c r="G19" i="48" s="1" a="1"/>
  <c r="G19" i="48" s="1"/>
  <c r="I24" i="50" a="1"/>
  <c r="I24" i="50" s="1"/>
  <c r="G17" i="50" s="1" a="1"/>
  <c r="G17" i="50" s="1"/>
  <c r="I25" i="51" l="1"/>
  <c r="G19" i="51" s="1" a="1"/>
  <c r="G19" i="51" s="1"/>
  <c r="I25" i="62"/>
  <c r="I25" i="64"/>
  <c r="I27" i="67"/>
  <c r="G21" i="67" s="1" a="1"/>
  <c r="G21" i="67" s="1"/>
  <c r="G23" i="67" s="1" a="1"/>
  <c r="G23" i="67" s="1"/>
  <c r="I27" i="55"/>
  <c r="G21" i="55" s="1" a="1"/>
  <c r="G21" i="55" s="1"/>
  <c r="G23" i="55" s="1" a="1"/>
  <c r="G23" i="55" s="1"/>
  <c r="I27" i="45"/>
  <c r="G21" i="45" s="1" a="1"/>
  <c r="G21" i="45" s="1"/>
  <c r="I25" i="65"/>
  <c r="G21" i="66" a="1"/>
  <c r="G21" i="66" s="1"/>
  <c r="G9" i="66" a="1"/>
  <c r="G9" i="66" s="1"/>
  <c r="G20" i="64" a="1"/>
  <c r="G20" i="64" s="1"/>
  <c r="G19" i="64" a="1"/>
  <c r="G19" i="64" s="1"/>
  <c r="G23" i="45" a="1"/>
  <c r="G23" i="45" s="1"/>
  <c r="G20" i="65" a="1"/>
  <c r="G20" i="65" s="1"/>
  <c r="G19" i="59" a="1"/>
  <c r="G19" i="59" s="1"/>
  <c r="G21" i="59" s="1" a="1"/>
  <c r="G21" i="59" s="1"/>
  <c r="G9" i="59" a="1"/>
  <c r="G9" i="59" s="1"/>
  <c r="G21" i="65" a="1"/>
  <c r="G21" i="65" s="1"/>
  <c r="G19" i="62" a="1"/>
  <c r="G19" i="62" s="1"/>
  <c r="G21" i="62" s="1" a="1"/>
  <c r="G21" i="62" s="1"/>
  <c r="G19" i="63" a="1"/>
  <c r="G19" i="63" s="1"/>
  <c r="G9" i="63" a="1"/>
  <c r="G9" i="63" s="1"/>
  <c r="G19" i="60" a="1"/>
  <c r="G19" i="60" s="1"/>
  <c r="G9" i="60" a="1"/>
  <c r="G9" i="60" s="1"/>
  <c r="G21" i="60" s="1" a="1"/>
  <c r="G21" i="60" s="1"/>
  <c r="G9" i="61" a="1"/>
  <c r="G9" i="61" s="1"/>
  <c r="G21" i="61" s="1" a="1"/>
  <c r="G21" i="61" s="1"/>
  <c r="G9" i="57" a="1"/>
  <c r="G9" i="57" s="1"/>
  <c r="G21" i="57" s="1" a="1"/>
  <c r="G21" i="57" s="1"/>
  <c r="G9" i="48" a="1"/>
  <c r="G9" i="48" s="1"/>
  <c r="G21" i="48" s="1" a="1"/>
  <c r="G21" i="48" s="1"/>
  <c r="G9" i="54" a="1"/>
  <c r="G9" i="54" s="1"/>
  <c r="G23" i="54" s="1" a="1"/>
  <c r="G23" i="54" s="1"/>
  <c r="G18" i="46" a="1"/>
  <c r="G18" i="46" s="1"/>
  <c r="G17" i="46" a="1"/>
  <c r="G17" i="46" s="1"/>
  <c r="G7" i="46" a="1"/>
  <c r="G7" i="46" s="1"/>
  <c r="G9" i="47" a="1"/>
  <c r="G9" i="47" s="1"/>
  <c r="G21" i="47" s="1" a="1"/>
  <c r="G21" i="47" s="1"/>
  <c r="G21" i="51" a="1"/>
  <c r="G21" i="51" s="1"/>
  <c r="G9" i="52" a="1"/>
  <c r="G9" i="52" s="1"/>
  <c r="G21" i="52" a="1"/>
  <c r="G21" i="52" s="1"/>
  <c r="G7" i="50" a="1"/>
  <c r="G7" i="50" s="1"/>
  <c r="G19" i="50" s="1" a="1"/>
  <c r="G19" i="50" s="1"/>
  <c r="G23" i="53" a="1"/>
  <c r="G23" i="53" s="1"/>
  <c r="G21" i="64" l="1" a="1"/>
  <c r="G21" i="64" s="1"/>
  <c r="G21" i="63" a="1"/>
  <c r="G21" i="63" s="1"/>
  <c r="G23" i="52" a="1"/>
  <c r="G23" i="52" s="1"/>
  <c r="G19" i="46" a="1"/>
  <c r="G19" i="46" s="1"/>
  <c r="G23" i="66" a="1"/>
  <c r="G23" i="66" s="1"/>
  <c r="G25" i="56" a="1"/>
  <c r="G25"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7"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83"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<sst xmlns="http://schemas.openxmlformats.org/spreadsheetml/2006/main" count="19808" uniqueCount="3460">
  <si>
    <t>Modelo Comum de Dados - Contratos</t>
  </si>
  <si>
    <t>SCHEMA</t>
  </si>
  <si>
    <t>TABELA</t>
  </si>
  <si>
    <t>DESCRIÇÃO</t>
  </si>
  <si>
    <t>common_contracts_bankguarantees</t>
  </si>
  <si>
    <t>bank_guarantee</t>
  </si>
  <si>
    <t>Contains the information about the main contract of a bank guarantee.</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</si>
  <si>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</si>
  <si>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</si>
  <si>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</si>
  <si>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</si>
  <si>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</si>
  <si>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</si>
  <si>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</si>
  <si>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</si>
  <si>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</si>
  <si>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</si>
  <si>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</si>
  <si>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</si>
  <si>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</si>
  <si>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</si>
  <si>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</si>
  <si>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</si>
  <si>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</si>
  <si>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</si>
  <si>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</si>
  <si>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</si>
  <si>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</si>
  <si>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</si>
  <si>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</si>
  <si>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</si>
  <si>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</si>
  <si>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</si>
  <si>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</si>
  <si>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</si>
  <si>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</si>
  <si>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</si>
  <si>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</si>
  <si>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</si>
  <si>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</si>
  <si>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</si>
  <si>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</si>
  <si>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</si>
  <si>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</si>
  <si>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</si>
  <si>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</si>
  <si>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</si>
  <si>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</si>
  <si>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</si>
  <si>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</si>
  <si>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</si>
  <si>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</si>
  <si>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</si>
  <si>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</si>
  <si>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</si>
  <si>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</si>
  <si>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</si>
  <si>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</si>
  <si>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</si>
  <si>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</si>
  <si>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</si>
  <si>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</si>
  <si>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</si>
  <si>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</si>
  <si>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</si>
  <si>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</si>
  <si>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</si>
  <si>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</si>
  <si>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</si>
  <si>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</si>
  <si>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</si>
  <si>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</si>
  <si>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</si>
  <si>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</si>
  <si>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</si>
  <si>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</si>
  <si>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</si>
  <si>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</si>
  <si>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</si>
  <si>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</si>
  <si>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</si>
  <si>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</si>
  <si>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</si>
  <si>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</si>
  <si>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</si>
  <si>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</si>
  <si>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</si>
  <si>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</si>
  <si>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</si>
  <si>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</si>
  <si>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</si>
  <si>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</si>
  <si>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</si>
  <si>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</si>
  <si>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</si>
  <si>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</si>
  <si>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</si>
  <si>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</si>
  <si>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</si>
  <si>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</si>
  <si>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</si>
  <si>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</si>
  <si>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</si>
  <si>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</si>
  <si>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</si>
  <si>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</si>
  <si>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</si>
  <si>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</si>
  <si>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</si>
  <si>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</si>
  <si>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</si>
  <si>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</si>
  <si>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</si>
  <si>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</si>
  <si>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</si>
  <si>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</si>
  <si>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</si>
  <si>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</si>
  <si>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</si>
  <si>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</si>
  <si>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</si>
  <si>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</si>
  <si>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</si>
  <si>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</si>
  <si>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</si>
  <si>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</si>
  <si>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</si>
  <si>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</si>
  <si>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</si>
  <si>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</si>
  <si>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</si>
  <si>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</si>
  <si>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</si>
  <si>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</si>
  <si>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</si>
  <si>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</si>
  <si>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</si>
  <si>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</si>
  <si>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</si>
  <si>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</si>
  <si>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</si>
  <si>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</si>
  <si>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</si>
  <si>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</si>
  <si>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</si>
  <si>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</si>
  <si>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GENERAL_CONVERTER
LITIGATION_PRODUCT</t>
  </si>
  <si>
    <t>N\A
N\A
N\A
CDM_VALUE
N\A</t>
  </si>
  <si>
    <t xml:space="preserve">SELECT GENERAL_CONVERTER.CDM_VALUE
WHERE BG_CONTR_BATCH.CDSITUAC = 'NR' AND BG_CONTR_BATCH.CODSPROD != '550' AND GENERAL_CONVERTER.CODE CATEGORY = 'BANK_ID' AND GENERAL_CONVERTER.SOURCE_CODE = 'BG' AND GENERAL_CONVERTER.SOURCE_VALUE = ''
SELECT GENERAL_CONVERTER.CDM_VALUE
WHERE INTERFACE_DCT01.DCYR8101_CSITCTA  IN ( '0', '1', '2', '3', '7', '8' ) AND INTERFACE_DCT01.DCYR8101_DINICONT = '0001-01-01' AND LITIGATION_PRODUCT.SOURCE_PRODUCT_ID = '029' ANDLITIGATION_PRODUCT.SOURCE_SUBPRODUCT_ID = '213' AND LITIGATION_PRODUCT.SOURCE_CODE = 'BG' AND GENERAL_CONVERTER.CODE CATEGORY = 'BANK_ID' AND GENERAL_CONVERTER.SOURCE_CODE = 'DC' AND GENERAL_CONVERTER.SOURCE_VALUE = ''
SELECT GENERAL_CONVERTER.CDM_VALUE
WHERE TCT09_OPERCN.ISITUAC = '1' AND LITIGATION_PRODUCT.SOURCE_PRODUCT_ID = '029' AND LITIGATION_PRODUCT.SOURCE_SUBPRODUCT_ID = '213' AND LITIGATION_PRODUCT.SOURCE_CODE = 'BG' AND GENERAL_CONVERTER.CODE CATEGORY = 'BANK_ID' AND GENERAL_CONVERTER.SOURCE_CODE = 'TC' AND GENERAL_CONVERTER.SOURCE_VALUE = ''
</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</si>
  <si>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</si>
  <si>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</si>
  <si>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</si>
  <si>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</si>
  <si>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</si>
  <si>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</si>
  <si>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</si>
  <si>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</si>
  <si>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TCT09_OPERCN
BG_CONTR_BATCH
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</si>
  <si>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</si>
  <si>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LITIGATION_PRODUCT.SOURCE_PRODUCT_ID = '029' AND LITIGATION_PRODUCT.SOURCE_SUBPRODUCT_ID = '213' AND LITIGATION_PRODUCT.SOURCE_CODE = 'BG'
SELECT CONCAT( TCT09_OPERCN.CKBALCAO, TCT09_OPERCN.CKNUMCTA, TCT09_OPERCN.ZDEPOSIT )
WHERE TCT09_OPERCN.ISITUAC = '1' AND LITIGATION_PRODUCT.SOURCE_PRODUCT_ID = '029' AN DLITIGATION_PRODUCT.SOURCE_SUBPRODUCT_ID = '213' AND LITIGATION_PRODUCT.SOURCE_CODE = 'BG' </t>
  </si>
  <si>
    <t>BG - Garantias Prestadas -&gt; TA - Tabelas Gerais
DC - Contas a Vista
TC - Terminal Contencioso</t>
  </si>
  <si>
    <t>BG_CONTR_BATCH -&gt; COINT_CTOLOC_P
DCYR8101
TCT09_OPERCN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</si>
  <si>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</si>
  <si>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</si>
  <si>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</si>
  <si>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</si>
  <si>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</si>
  <si>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</si>
  <si>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</si>
  <si>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
N\A; ?
N\A; ?</t>
  </si>
  <si>
    <t>CURATED_INTERNAL_MAINFRAME_AVALES
CURATED_INTERNAL_MAINFRAME_CONTAS
CURATED_INTERNAL_MAINFRAME_CONTENCIOSO
OPERATIONS_COMMON_REFERENCEDATA
OPERATIONS_COMMON_REFERENCEDATA_CORE</t>
  </si>
  <si>
    <t>SELECT GENERAL_CONVERTER.CDM_VALUE
WHERE BG_CONTR_BATCH.CDSITUAC = 'NR' AND BG_CONTR_BATCH.CODSPROD != '550' AND GENERAL_CONVERTER.CODE CATEGORY = 'PRODUCT_FAMILY_ID' AND GENERAL_CONVERTER.SOURCE_CODE = 'BG'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'PRODUCT_FAMILY_ID' AND GENERAL_CONVERTER.SOURCE_CODE = 'BG' AND GENERAL_CONVERTER.SOURCE_VALUE = ''
SELECT GENERAL_CONVERTER.CDM_VALUE
WHERE TCT09_OPERCN.ISITUAC = '1' AND LITIGATION_PRODUCT.SOURCE_PRODUCT_ID = '029' AND LITIGATION_PRODUCT.SOURCE_SUBPRODUCT_ID = '213' AND LITIGATION_PRODUCT.SOURCE_CODE = 'BG' AND GENERAL_CONVERTER.CODE CATEGORY = 'PRODUCT_FAMILY_ID' AND GENERAL_CONVERTER.SOURCE_CODE = 'BG' AND GENERAL_CONVERTER.SOURCE_VALUE = ''</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</si>
  <si>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</si>
  <si>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</si>
  <si>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</si>
  <si>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</si>
  <si>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</si>
  <si>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</si>
  <si>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</si>
  <si>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</si>
  <si>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</si>
  <si>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LITIGATION_PRODUCT.SOURCE_PRODUCT_ID = '029' AND LITIGATION_PRODUCT.SOURCE_SUBPRODUCT_ID = '213' AND LITIGATION_PRODUCT.SOURCE_CODE = 'BG'
SELECT IF( TRIM( TCT09_OPERCN.CKPRODUT  ) = '', NULL, TCT09_OPERCN.CKPRODUT  )
WHERE TCT09_OPERCN.ISITUAC = '1' AND LITIGATION_PRODUCT.SOURCE_PRODUCT_ID = '029' AND LITIGATION_PRODUCT.SOURCE_SUBPRODUCT_ID = '213' AND LITIGATION_PRODUCT.SOURCE_CODE = 'BG' </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</si>
  <si>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</si>
  <si>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</si>
  <si>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</si>
  <si>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</si>
  <si>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</si>
  <si>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</si>
  <si>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</si>
  <si>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</si>
  <si>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</si>
  <si>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LITIGATION_PRODUCT.SOURCE_PRODUCT_ID = '029' AND LITIGATION_PRODUCT.SOURCE_SUBPRODUCT_ID = '213' AND LITIGATION_PRODUCT.SOURCE_CODE = 'BG'
SELECT IF( TRIM( TCT09_OPERCN.CKSUBPRO ) = '', NULL, TCT09_OPERCN.CKSUBPRO )
WHERE TCT09_OPERCN.ISITUAC = '1' AND LITIGATION_PRODUCT.SOURCE_PRODUCT_ID = '029' AND LITIGATION_PRODUCT.SOURCE_SUBPRODUCT_ID = '213' AND 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</si>
  <si>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</si>
  <si>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</si>
  <si>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</si>
  <si>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</si>
  <si>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</si>
  <si>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</si>
  <si>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</si>
  <si>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TCT09_OPERCN
BG_CONTR_BATCH
GENERAL_CONVERTER
LITIGATION_PRODUCT</t>
  </si>
  <si>
    <t>N\A
N\A
N\A
N\A
CDM_VALUE
N\A</t>
  </si>
  <si>
    <t xml:space="preserve">SELECT GENERAL_CONVERTER.CDM_VALUE
WHERE BG_CONTR_BATCH.CDSITUAC = 'NR' AND BG_CONTR_BATCH.CODSPROD != '550' AND REL_CONTRATOS.RCC_CORELCC = '040' AND REL_CONTRATOS.RCC_FEVENCIM = '9999-12-31' AND GENERAL_CONVERTER.CODE CATEGORY = 'BANK_ID' AND GENERAL_CONVERTER.SOURCE_CODE = 'DC'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'BANK_ID' AND GENERAL_CONVERTER.SOURCE_CODE = 'DC' AND GENERAL_CONVERTER.SOURCE_VALUE = '#N/A'
SELECT GENERAL_CONVERTER.CDM_VALUE
WHERE TCT09_OPERCN.ISITUAC = '1' AND LITIGATION_PRODUCT.SOURCE_PRODUCT_ID = '029' AND LITIGATION_PRODUCT.SOURCE_SUBPRODUCT_ID = '213' AND LITIGATION_PRODUCT.SOURCE_CODE = 'BG'  AND GENERAL_CONVERTER.CODE CATEGORY = 'BANK_ID' AND GENERAL_CONVERTER.SOURCE_CODE = 'DC' AND GENERAL_CONVERTER.SOURCE_VALUE = '' </t>
  </si>
  <si>
    <t>"31"
"#N/A"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</si>
  <si>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</si>
  <si>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</si>
  <si>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</si>
  <si>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</si>
  <si>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</si>
  <si>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</si>
  <si>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</si>
  <si>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'#N/A'
WHERE INTERFACE_DCT01.DCYR8101_CSITCTA  IN ( '0', '1', '2', '3', '7', '8' ) AND INTERFACE_DCT01.DCYR8101_DINICONT = '0001-01-01' AND LITIGATION_PRODUCT.SOURCE_PRODUCT_ID = '029' AND LITIGATION_PRODUCT.SOURCE_SUBPRODUCT_ID = '213' AND LITIGATION_PRODUCT.SOURCE_CODE = 'BG'
SELECT IF( TRIM( CONCAT( TCT09_OPERCN.CKBALDO, TCT09_OPERCN.CKCTADO ) ) = '', NULL, CONCAT( TCT09_OPERCN.CKBALDO, TCT09_OPERCN.CKCTADO, '000000000000000' ) )
WHERE TCT09_OPERCN.ISITUAC = '1' AND LITIGATION_PRODUCT.SOURCE_PRODUCT_ID = '029' AND LITIGATION_PRODUCT.SOURCE_SUBPRODUCT_ID = '213' AND LITIGATION_PRODUCT.SOURCE_CODE = 'BG' </t>
  </si>
  <si>
    <t>REL_CONTRATOS -&gt; COINT_LOC_CP
N\A
TCT09_OPERCN</t>
  </si>
  <si>
    <t>CONCAT( IDCENTRE, IDPRODRE, IDCONTRRE ) -&gt; CONCAT( IDCENT_L, IDCONT_L, "000000000000000" )
N\A
CONCAT( CKBALDO, CKCTADO, "000000000000000" )</t>
  </si>
  <si>
    <t>N\A -&gt; N\A
"#N/A"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</si>
  <si>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</si>
  <si>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</si>
  <si>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</si>
  <si>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</si>
  <si>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</si>
  <si>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</si>
  <si>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</si>
  <si>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TCT09_OPERCN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</si>
  <si>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</si>
  <si>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LITIGATION_PRODUCT.SOURCE_PRODUCT_ID = '029' AND LITIGATION_PRODUCT.SOURCE_SUBPRODUCT_ID = '213' AND LITIGATION_PRODUCT.SOURCE_CODE = 'BG'
SELECT IF( TRIM( TCT09_OPERCN.DCONTRAT) = '', NULL, CAST( TCT09_OPERCN.DCONTRATAS STRING ) )
WHERE TCT09_OPERCN.ISITUAC = '1' AND LITIGATION_PRODUCT.SOURCE_PRODUCT_ID = '029' AND LITIGATION_PRODUCT.SOURCE_SUBPRODUCT_ID = '213' AND LITIGATION_PRODUCT.SOURCE_CODE = 'BG' </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</si>
  <si>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</si>
  <si>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</si>
  <si>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</si>
  <si>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</si>
  <si>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</si>
  <si>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</si>
  <si>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</si>
  <si>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</si>
  <si>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LITIGATION_PRODUCT</t>
  </si>
  <si>
    <t>FECVENCIG, FECVENCI
N\A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</si>
  <si>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'9999-12-31'
WHERE INTERFACE_DCT01.DCYR8101_CSITCTA  IN ( '0', '1', '2', '3', '7', '8' ) AND INTERFACE_DCT01.DCYR8101_DINICONT = '0001-01-01' AND LITIGATION_PRODUCT.SOURCE_PRODUCT_ID = '029' AND LITIGATION_PRODUCT.SOURCE_SUBPRODUCT_ID = '213' AND LITIGATION_PRODUCT.SOURCE_CODE = 'BG'
SELECT IF( TRIM( TCT09_OPERCN.DVENCIM ) = '', NULL, CAST(TCT09_OPERCN.DVENCIM AS STRING ) )
WHERE TCT09_OPERCN.ISITUAC = '1' AND LITIGATION_PRODUCT.SOURCE_PRODUCT_ID = '029' AND LITIGATION_PRODUCT.SOURCE_SUBPRODUCT_ID = '213' AND LITIGATION_PRODUCT.SOURCE_CODE = 'BG' </t>
  </si>
  <si>
    <t>BG_CONTRATO_ONL || BG_CONTRATO_ONL
N\A
TCT09_OPERCN</t>
  </si>
  <si>
    <t>FECVENCIG || FECVENCI
N\A
DVENCIM</t>
  </si>
  <si>
    <t>N\A || N\A
"9999-12-31"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</si>
  <si>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</si>
  <si>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</si>
  <si>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</si>
  <si>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</si>
  <si>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</si>
  <si>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</si>
  <si>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</si>
  <si>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</si>
  <si>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
TCT09_OPERCN
BG_CONTR_BATCH
LITIGATION_PRODUCT</t>
  </si>
  <si>
    <t>CMOEDA
DCYR8101_CMOEDA
CMOEDALF
N\A
N\A</t>
  </si>
  <si>
    <t xml:space="preserve">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LITIGATION_PRODUCT.SOURCE_PRODUCT_ID = '029' AND LITIGATION_PRODUCT.SOURCE_SUBPRODUCT_ID = '213' AND LITIGATION_PRODUCT.SOURCE_CODE = 'BG'
SELECT IF( TRIM( TCT09_OPERCN.CMOEDALF ) = '', NULL, TCT09_OPERCN.CMOEDALF )
WHERE TCT09_OPERCN.ISITUAC = '1' AND LITIGATION_PRODUCT.SOURCE_PRODUCT_ID = '029' AND LITIGATION_PRODUCT.SOURCE_SUBPRODUCT_ID = '213' AND LITIGATION_PRODUCT.SOURCE_CODE = 'BG' </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</si>
  <si>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</si>
  <si>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</si>
  <si>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</si>
  <si>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</si>
  <si>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</si>
  <si>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</si>
  <si>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</si>
  <si>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</si>
  <si>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</si>
  <si>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LITIGATION_PRODUCT.SOURCE_PRODUCT_ID = '029' AND LITIGATION_PRODUCT.SOURCE_SUBPRODUCT_ID = '213' AND LITIGATION_PRODUCT.SOURCE_CODE = 'BG'
SELECT '1'
WHERE TCT09_OPERCN.ISITUAC = '1' AND LITIGATION_PRODUCT.SOURCE_PRODUCT_ID = '029' AND LITIGATION_PRODUCT.SOURCE_SUBPRODUCT_ID = '213' AND 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</si>
  <si>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</si>
  <si>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</si>
  <si>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</si>
  <si>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</si>
  <si>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</si>
  <si>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</si>
  <si>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</si>
  <si>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TCT09_OPERCN
BG_CONTR_BATCH
LITIGATION_PRODUCT</t>
  </si>
  <si>
    <t>BGOP_IMPOMVTO
N\A
N\A
N\A
N\A</t>
  </si>
  <si>
    <t xml:space="preserve">SELECT CAST( BG_OPERACION.BGOP_IMPOMVTO AS DECIMAL( 23, 6 ) )
WHERE BG_CONTR_BATCH.CDSITUAC = 'NR'  AND BG_CONTR_BATCH.CODSPROD != '550' AND BGOP_CODOPBS = '004' AND BGOP_CODOPBA = '015'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</si>
  <si>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N\A
N\A</t>
  </si>
  <si>
    <t>IMPOMVTO
N\A
N\A</t>
  </si>
  <si>
    <t>N\A
"0.00"
"0.00"</t>
  </si>
  <si>
    <t>Current Authorized Amount</t>
  </si>
  <si>
    <t>current_authorized_amount</t>
  </si>
  <si>
    <t>Current amount that can be used as credit. In this case, it represents the total amount of the bank guarantee that can be used.</t>
  </si>
  <si>
    <t>BG_CTR_ONL_POSI
BG_OPERACION
INTERFACE_DCT01
TCT09_OPERCN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</si>
  <si>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</si>
  <si>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</si>
  <si>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 BG_CTR_ONL_POSI
N\A
N\A</t>
  </si>
  <si>
    <t>IMPOMVTO || ( - ( IMPORCOA - DEBEDIA1 + HABERDIA1 - DEBEDIA2 + HABEDIA2 ) )
N\A
N\A</t>
  </si>
  <si>
    <t>N\A || N\A
"0.00"
"0.00"</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</si>
  <si>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</si>
  <si>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</si>
  <si>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</si>
  <si>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</si>
  <si>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</si>
  <si>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</si>
  <si>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</si>
  <si>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</si>
  <si>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</si>
  <si>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</si>
  <si>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</si>
  <si>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</si>
  <si>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</si>
  <si>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</si>
  <si>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TCT09_OPERCN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</si>
  <si>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</si>
  <si>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TCT01_POSDIVID.MCAPITALD AS DECIMAL( 23, 6 ) )
WHERE TCT09_OPERCN.ISITUAC = '1' AND LITIGATION_PRODUCT.SOURCE_PRODUCT_ID = '029' AND LITIGATION_PRODUCT.SOURCE_SUBPRODUCT_ID = '213' AND 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</si>
  <si>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</si>
  <si>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</si>
  <si>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</si>
  <si>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</si>
  <si>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</si>
  <si>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</si>
  <si>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</si>
  <si>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</si>
  <si>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</si>
  <si>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</si>
  <si>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</si>
  <si>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SELECT IF( TRIM( BG_CONTR_BATCH.CDSITUAC ) = '', NULL, GENERAL_CONVERTER.CDM_VALUE )
WHERE BG_CONTR_BATCH.CDSITUAC = 'NR' AND BG_CONTR_BATCH.CODSPROD != '550' AND GENERAL_CONVERTER.CODE CATEGORY = 'CONTRACT_STATUS' AND GENERAL_CONVERTER.SOURCE_CODE = 'BG' AND GENERAL_CONVERTER.SOURCE_VALUE = BG_CONTR_BATCH.CDSITUAC 
SELECT IF( TRIM( INTERFACE_DCT01.DCYR8101_CSITCTA) = '', NULL, GENERAL_CONVERTER.CDM_VALUE )
WHERE INTERFACE_DCT01.DCYR8101_CSITCTA  IN ( '0', '1', '2', '3', '7', '8' ) AND INTERFACE_DCT01.DCYR8101_DINICONT = '0001-01-01' AND LITIGATION_PRODUCT.SOURCE_PRODUCT_ID = '029' AND LITIGATION_PRODUCT.SOURCE_SUBPRODUCT_ID = '213' AND LITIGATION_PRODUCT.SOURCE_CODE = 'BG' AND GENERAL_CONVERTER.CODE CATEGORY = 'CONTRACT_STATUS' AND GENERAL_CONVERTER.SOURCE_CODE = 'DC' AND GENERAL_CONVERTER.SOURCE_VALUE = INTERFACE_DCT01.DCYR8101_CSITCTA
SELECT IF( TRIM( TCT09_OPERCN.ISITUAC) = '', NULL, GENERAL_CONVERTER.CDM_VALUE )
WHERE TCT09_OPERCN.ISITUAC = '1' AND LITIGATION_PRODUCT.SOURCE_PRODUCT_ID = '029' AND LITIGATION_PRODUCT.SOURCE_SUBPRODUCT_ID = '213' AND LITIGATION_PRODUCT.SOURCE_CODE = 'BG' AND GENERAL_CONVERTER.CODE CATEGORY = 'CONTRACT_STATUS' AND GENERAL_CONVERTER.SOURCE_CODE = 'TC' AND GENERAL_CONVERTER.SOURCE_VALUE = TCT09_OPERCN.ISITUAC</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</si>
  <si>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</si>
  <si>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</si>
  <si>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</si>
  <si>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</si>
  <si>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</si>
  <si>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</si>
  <si>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</si>
  <si>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CANALOPE
N\A
N\A
CDM_VALUE
N\A</t>
  </si>
  <si>
    <t>SELECT BG_CONTR_BATCH.CANALOPE
WHERE BG_CONTR_BATCH.CDSITUAC = 'NR' AND BG_CONTR_BATCH.CODSPROD != '550' AND GENERAL_CONVERTER.CODE CATEGORY = 'OPENING_CHANNEL' AND GENERAL_CONVERTER.SOURCE_CODE = 'BG' AND GENERAL_CONVERTER.SOURCE_VALUE = 'BRANCH'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'213' AND LITIGATION_PRODUCT.SOURCE_CODE = 'BG' AND GENERAL_CONVERTER.CODE CATEGORY = 'OPENING_CHANNEL' AND GENERAL_CONVERTER.SOURCE_CODE = 'TC' AND GENERAL_CONVERTER.SOURCE_VALUE = 'BRANCH'</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</si>
  <si>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</si>
  <si>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</si>
  <si>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</si>
  <si>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</si>
  <si>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</si>
  <si>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</si>
  <si>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</si>
  <si>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</si>
  <si>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LITIGATION_PRODUCT.SOURCE_PRODUCT_ID = '029' AND LITIGATION_PRODUCT.SOURCE_SUBPRODUCT_ID = '213' AND LITIGATION_PRODUCT.SOURCE_CODE = 'BG'
SELECT 'TC'
WHERE TCT09_OPERCN.ISITUAC = '1' AND LITIGATION_PRODUCT.SOURCE_PRODUCT_ID = '029' AND LITIGATION_PRODUCT.SOURCE_SUBPRODUCT_ID = '213' AND 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</si>
  <si>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</si>
  <si>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</si>
  <si>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</si>
  <si>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</si>
  <si>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</si>
  <si>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</si>
  <si>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</si>
  <si>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LITIGATION_PRODUCT.SOURCE_PRODUCT_ID = '029' AND LITIGATION_PRODUCT.SOURCE_SUBPRODUCT_ID = '213' AND LITIGATION_PRODUCT.SOURCE_CODE = 'BG'
SELECT TCT09_OPERCN.DATA_DATE_PART
WHERE TCT09_OPERCN.ISITUAC = '1' AND LITIGATION_PRODUCT.SOURCE_PRODUCT_ID = '029' AND LITIGATION_PRODUCT.SOURCE_SUBPRODUCT_ID = '213' AND 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</si>
  <si>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</si>
  <si>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</si>
  <si>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</si>
  <si>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</si>
  <si>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</si>
  <si>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</si>
  <si>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</si>
  <si>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LITIGATION_PRODUCT.SOURCE_PRODUCT_ID = '029' AND LITIGATION_PRODUCT.SOURCE_SUBPRODUCT_ID = '213' AND LITIGATION_PRODUCT.SOURCE_CODE = 'BG'
SELECT NOW()
WHERE TCT09_OPERCN.ISITUAC = '1' AND LITIGATION_PRODUCT.SOURCE_PRODUCT_ID = '029' AND LITIGATION_PRODUCT.SOURCE_SUBPRODUCT_ID = '213' AND 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</si>
  <si>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</si>
  <si>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</si>
  <si>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</si>
  <si>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</si>
  <si>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GENERAL_CONVERTER</t>
  </si>
  <si>
    <t>N\A
CDM_VALUE</t>
  </si>
  <si>
    <t>SELECT GENERAL_CONVERTER.CDM_VALUE
WHERE CONTRACTS.STATUSID IN ( 5, 6 ) AND GENERAL_CONVERTER.CODE CATEGORY = 'BANK_ID' AND GENERAL_CONVERTER.SOURCE_CODE = 'LC' AND GENERAL_CONVERTER.SOURCE_VALUE = ''</t>
  </si>
  <si>
    <t>N\A</t>
  </si>
  <si>
    <t>LC - Cofres Aluguer</t>
  </si>
  <si>
    <t>"31"</t>
  </si>
  <si>
    <t>CURATED_INTERNAL_COFRESALUGUER</t>
  </si>
  <si>
    <t>CONTRACTS</t>
  </si>
  <si>
    <t>CONTRACTNUMBER</t>
  </si>
  <si>
    <t>SELECT CONCAT( '0000', SUBSTRING( CONTRACTS.CONTRACTNUMBER, 5, 11 ), '000000000000000' )
WHERE CONTRACTS.STATUSID IN ( 5, 6 )</t>
  </si>
  <si>
    <t>OSUSR_RA0_CONTRACT4</t>
  </si>
  <si>
    <t>CONCAT( "0000", CONTRACTNUMBER(5, 11) , "000000000000000" )</t>
  </si>
  <si>
    <t>Bank Vault ID</t>
  </si>
  <si>
    <t>bank_vault_id</t>
  </si>
  <si>
    <t>Identifies the physical bank vault within the branch to which it belongs to.</t>
  </si>
  <si>
    <t>VAULTS</t>
  </si>
  <si>
    <t>VAULTNUMBER</t>
  </si>
  <si>
    <t>SELECT IF( TRIM( CONTRACTS.VAULTNUMBER ) = '', NULL, CONTRACTS.VAULTNUMBER )
WHERE CONTRACTS.STATUSID IN ( 5, 6 )</t>
  </si>
  <si>
    <t>OSUSR_RA0_VAULTS</t>
  </si>
  <si>
    <t>Product Type:
N\A;  N\A</t>
  </si>
  <si>
    <t>SELECT GENERAL_CONVERTER.CDM_VALUE
WHERE CONTRACTS.STATUSID IN ( 5, 6 )  AND GENERAL_CONVERTER.CODE CATEGORY = 'PRODUCT_FAMILY_ID' AND GENERAL_CONVERTER.SOURCE_CODE = 'LC' AND GENERAL_CONVERTER.SOURCE_VALUE = ''</t>
  </si>
  <si>
    <t>Product Lvl 1:
TAT91_TABELAS - CTABELA 925; CURATED_INTERNAL_MAINFRAME_ESTRUTURAIS.TAT91_TABELAS - TAYD91C0_CTABELA 925</t>
  </si>
  <si>
    <t>PRODUCT</t>
  </si>
  <si>
    <t>SELECT IF( TRIM( CONTRACTS.PRODUCT  ) = '', NULL, CONTRACTS.PRODUCT )
WHERE CONTRACTS.STATUSID IN ( 5, 6 )</t>
  </si>
  <si>
    <t>Product Lvl 2:
TAT91_TABELAS - CTABELA 925; CURATED_INTERNAL_MAINFRAME_ESTRUTURAIS.TAT91_TABELAS - TAYD91C0_CTABELA 925</t>
  </si>
  <si>
    <t>SUBPRODUCT</t>
  </si>
  <si>
    <t>SELECT IF( TRIM( CONTRACTS.SUBPRODUCT ) = '', NULL ,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</si>
  <si>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</si>
  <si>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</si>
  <si>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</si>
  <si>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</si>
  <si>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</si>
  <si>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</si>
  <si>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</si>
  <si>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</si>
  <si>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</si>
  <si>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t>SELECT IF( TRIM( VAULTS.CENTROID ) = '', NULL, CAST( VAULTS.CENTROID AS STRING ) )
WHERE CONTRACTS.STATUSID IN ( 5, 6 )</t>
  </si>
  <si>
    <t>CENTROID</t>
  </si>
  <si>
    <t>Bank identifier (internal Santander’s company identification code) that is related to the current account contract that anchors the bank vault contract.</t>
  </si>
  <si>
    <t>Account ID</t>
  </si>
  <si>
    <t>SELECT GENERAL_CONVERTER.CDM_VALUE
WHERE CONTRACTS.STATUSID IN ( 5, 6 ) AND GENERAL_CONVERTER.CODE CATEGORY = 'BANK_ID' AND GENERAL_CONVERTER.SOURCE_CODE = 'DC' AND GENERAL_CONVERTER.SOURCE_VALUE = ''</t>
  </si>
  <si>
    <t>Contract identifier of the current account that anchors the bank vault.</t>
  </si>
  <si>
    <t>DOACCOUNT</t>
  </si>
  <si>
    <t>SELECT IF( TRIM( CONTRACTS.DOACCOUNT ) = '', NULL, CONCAT( CONTRACTS.DOACCOUNT, '000000000000000' ) )
WHERE CONTRACTS.STATUSID IN ( 5, 6 )</t>
  </si>
  <si>
    <t>CONCAT( DOACCOUNT, '000000000000000' )</t>
  </si>
  <si>
    <t>INITIALDATE</t>
  </si>
  <si>
    <t>SELECT IF( TRIM( CONTRACTS.INITIALDATE ) = '', NULL, CAST( SUSBTRING( CONTRACTS.INITIALDATE, 1, 10 ) AS STRING ) )
WHERE CONTRACTS.STATUSID IN ( 5, 6 )</t>
  </si>
  <si>
    <t>ENDDATE</t>
  </si>
  <si>
    <t>SELECT IF( TRIM( CONTRACTS.ENDDATE ) = '', NULL, CAST( SUBSTRING( CONTRACTS.ENDDATE, 1, 10 ) AS STRING ) )
WHERE CONTRACTS.STATUSID IN ( 5, 6 )</t>
  </si>
  <si>
    <t>Currency:
TAT91_TABELAS - CTABELA 206; CURATED_INTERNAL_MAINFRAME_ESTRUTURAIS.TAT91_TABELAS - TAYD91C0_CTABELA 206</t>
  </si>
  <si>
    <t>Currency</t>
  </si>
  <si>
    <t>CURATED_INTERNAL_COFRESALUGUER
CURATED_INTERNAL_MAINFRAME_CONTAS</t>
  </si>
  <si>
    <t>CONTRACTS
INTERFACE_DCT01</t>
  </si>
  <si>
    <t>N\A
DCYR8101_CMOEDA</t>
  </si>
  <si>
    <t>SELECT IF( TRIM( DCYR8101_CMOEDA ) = '', NULL, INTERFACE_DCT01.DCYR8101_CMOEDA )
WHERE CONTRACTS.STATUSID IN ( 5, 6 )</t>
  </si>
  <si>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</si>
  <si>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</si>
  <si>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</si>
  <si>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</si>
  <si>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</si>
  <si>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</si>
  <si>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</si>
  <si>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</si>
  <si>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</si>
  <si>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</si>
  <si>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t>SELECT IF( TRIM( PAYMENTS.EFFECTIVEPAYMENTDATE ) = '', NULL, CAST( SUBSTRING( PAYMENTS.EFFECTIVEPAYMENTDATE, 1, 10 ) AS STRING ) )
WHERE CONTRACTS.STATUSID IN ( 5, 6 ) AND PAYMENTS.PAYMENTTYPEID = 3 AND PAYMENTS.PAYMENTSTATUSID = 3 AND MAX( PAYMENTS.EFFECTIVEPAYMENTDATE ) AND MAX(PAYMENTS.PAYMENTDATE )</t>
  </si>
  <si>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</si>
  <si>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</si>
  <si>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</si>
  <si>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</si>
  <si>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</si>
  <si>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</si>
  <si>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</si>
  <si>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</si>
  <si>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Security Deposit Payment Date</t>
  </si>
  <si>
    <t>security_deposit_payment_date</t>
  </si>
  <si>
    <t>The date in which the client payed the security deposit (a value that can be used by Santander if the client damages the bank vault) for the bank vault.</t>
  </si>
  <si>
    <t>PAYMENTS</t>
  </si>
  <si>
    <t>SELECT IF( TRIM( PAYMENTS.EFFECTIVEPAYMENTDATE  ) = '', NULL, CAST( SUBSTRING( PAYMENTS.EFFECTIVEPAYMENTDATE, 1, 10 )  AS STRING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</si>
  <si>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</si>
  <si>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</si>
  <si>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</si>
  <si>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</si>
  <si>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Contract Status:
OSUSR_AIQ_CONTRACT; CURATED_INTERNAL_COFRESALUGUER.CONTRACTSTATUS;</t>
  </si>
  <si>
    <t>SELECT CAST( CONTRACTS.STATUSID AS STRING) IF( TRIM( CONTRACTS.STATUSID ) = '', NULL, GENERAL_CONVERTER.CDM_VALUE )
WHERE CONTRACTS.STATUSID IN ( 5, 6 ) AND GENERAL_CONVERTER.CODE CATEGORY = 'CONTRACT_STATUS' AND GENERAL_CONVERTER.SOURCE_CODE = 'LC' AND GENERAL_CONVERTER.SOURCE_VALUE = CONTRACTS.STATUSID</t>
  </si>
  <si>
    <t>STATUSID</t>
  </si>
  <si>
    <t>Contract Opening Channel:
N\A; N\A</t>
  </si>
  <si>
    <t>SELECT GENERAL_CONVERTER.CDM_VALUE
WHERE CONTRACTS.STATUSID IN ( 5, 6 ) AND GENERAL_CONVERTER.CODE CATEGORY = 'CONTRACT_STATUS' AND GENERAL_CONVERTER.SOURCE_CODE = 'LC' AND GENERAL_CONVERTER.SOURCE_VALUE = ''</t>
  </si>
  <si>
    <t>NA</t>
  </si>
  <si>
    <t>"Branch"</t>
  </si>
  <si>
    <t>Source:
N\A; N\A</t>
  </si>
  <si>
    <t>SELECT 'LC'
WHERE CONTRACTS.STATUSID IN ( 5, 6 )</t>
  </si>
  <si>
    <t>"LC"</t>
  </si>
  <si>
    <t>SELECT CONTRACTS.DATA_DATE_PART
WHERE CONTRACTS.STATUSID IN ( 5, 6 )</t>
  </si>
  <si>
    <t>SELECT NOW()
WHERE CONTRACTS.STATUSID IN ( 5, 6 )</t>
  </si>
  <si>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</si>
  <si>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</si>
  <si>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</si>
  <si>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</si>
  <si>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</si>
  <si>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</si>
  <si>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</si>
  <si>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</si>
  <si>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t>SELECT VISITS.ID
FROM CONTRACTS.STATUS IN ( 5, 6 )</t>
  </si>
  <si>
    <t>OSUSR_RA0_VISITS</t>
  </si>
  <si>
    <t>ID</t>
  </si>
  <si>
    <t>Ext Inf - Safe Visit Inf - ID</t>
  </si>
  <si>
    <t>Safe Deposit Boxes Access
Safe Deposit Boxes Access</t>
  </si>
  <si>
    <t>Contract ID
Contract Number</t>
  </si>
  <si>
    <t>SELECT GENERAL_CONVERTER.CDM_VALUE
FROM CONTRACTS.STATUS IN ( 5, 6 ) AND GENERAL_CONVERTER.CODE CATEGORY = 'BANK_ID' AND GENERAL_CONVERTER.SOURCE_CODE = 'LC' AND CMD800_GENERAL_CONVERTER.SOURCE_VALUE = ''</t>
  </si>
  <si>
    <t>Contract identifier of the bank vault that was visited.</t>
  </si>
  <si>
    <t xml:space="preserve"> CURATED_INTERNAL_COFRESALUGUER</t>
  </si>
  <si>
    <t>SELECT IF( TRIM( CONCAT( SUBSTRING( CONTRACTS.CONTRACTNUMBER, 5, 11 ) ) ) = '', NULL, CONCAT( '0000', SUBSTRING( CONTRACTS.CONTRACTNUMBER, 5, 11 ), '000000000000000' ) )
FROM CONTRACTS.STATUS IN ( 5, 6 )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</si>
  <si>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</si>
  <si>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</si>
  <si>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</si>
  <si>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</si>
  <si>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</si>
  <si>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</si>
  <si>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</si>
  <si>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CURATED_INTERNAL_COFRESALUGUER</t>
  </si>
  <si>
    <t>CONTRACTS
VISITS
USER_INTERNAL</t>
  </si>
  <si>
    <t>N\A
N\A
USERNAME</t>
  </si>
  <si>
    <t>SELECT IF( TRIM( USER_INTERNAL.USERNAME ) = '', NULL, USER_INTERNAL.USERNAME )
FROM CONTRACTS.STATUS IN ( 5, 6 ) AND VISITS.INITIALUSERID = USER_INTERNAL.ID</t>
  </si>
  <si>
    <t>OSSYS_USER</t>
  </si>
  <si>
    <t>LC - Cofres Aluguer -&gt; Outsystems</t>
  </si>
  <si>
    <t>OSUSR_RA0_VISITS -&gt; OSSYS_USER</t>
  </si>
  <si>
    <t>INITIALUSERID -&gt; USERNAME</t>
  </si>
  <si>
    <t>Visit End Employee ID</t>
  </si>
  <si>
    <t>visit_end_employee_id</t>
  </si>
  <si>
    <t>Identifier of the employee that ended the the bank vault visit. Depending on the type of visit to the vault the field may not be applicable.</t>
  </si>
  <si>
    <t>SELECT IF( TRIM( USER_INTERNAL.USERNAME ) = '', NULL, USER_INTERNAL.USERNAME )
FROM CONTRACTS.STATUS IN ( 5, 6 ) AND VISITS.FINALUSERID = USER_INTERNAL.ID</t>
  </si>
  <si>
    <t>FINALALUSERID -&gt; USERNAME</t>
  </si>
  <si>
    <t>Start Datetime</t>
  </si>
  <si>
    <t>start_datetime</t>
  </si>
  <si>
    <t>Ext Inf - Safe Visit Inf - Date</t>
  </si>
  <si>
    <t>Start date of the client's access to the bank vault.</t>
  </si>
  <si>
    <t>Start Time</t>
  </si>
  <si>
    <t xml:space="preserve">
N\A
INITIALDATE</t>
  </si>
  <si>
    <t>SELECT IF( TRIM( VISITS.INITIALDATE ) = '', NULL, CAST( SUBSTRING( VISITS.INITIALDATE, 1, 10 ) AS STRING ) )
FROM CONTRACTS.STATUS IN ( 5, 6 )</t>
  </si>
  <si>
    <t>End Datetime</t>
  </si>
  <si>
    <t>end_datetime</t>
  </si>
  <si>
    <t>End date of the client's access to the bank vault.</t>
  </si>
  <si>
    <t>End Time</t>
  </si>
  <si>
    <t>N\A
ENDDATE</t>
  </si>
  <si>
    <t>SELECT IF( TRIM( VISITS.ENDDATE ) = '', NULL, CAST( SUBSTRING( VISITS.ENDDATE , 1, 10 ) AS STRING ) )
FROM CONTRACTS.STATUS IN ( 5, 6 )</t>
  </si>
  <si>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</si>
  <si>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</si>
  <si>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</si>
  <si>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</si>
  <si>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</si>
  <si>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</si>
  <si>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</si>
  <si>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t>SELECT IF( TRIM( VISITS.VISITTYPEID ) = '', NULL, VISITS.VISITTYPEID )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</si>
  <si>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</si>
  <si>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</si>
  <si>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</si>
  <si>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</si>
  <si>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</si>
  <si>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</si>
  <si>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</si>
  <si>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</si>
  <si>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</si>
  <si>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</si>
  <si>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</si>
  <si>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</si>
  <si>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Bill &amp; Promissory Note Contract</t>
  </si>
  <si>
    <t>CURATED_INTERNAL_MAINFRAME_EFEITOS
CURATED_INTERNAL_MAINFRAME_CONTENCIOSO
OPERATIONS_COMMON_REFERENCEDATA_CORE</t>
  </si>
  <si>
    <t>EFT02_CRTEFT
TCT09_OPERCN
GENERAL_CONVERTER</t>
  </si>
  <si>
    <t>N\A
N\A
CDM_VALUE</t>
  </si>
  <si>
    <t>SELECT GENERAL_CONVERTER.CDM_VALUE
WHERE EFT02_CRTEFT.CSITEF IN ( 'CO', 'VE', 'IR' ) OR ( EFT02_CRTEFT.CSITEF = 'CT' AND TCT09_OPERCN.CKBALCAO IS NOT NULL ) AND GENERAL_CONVERTER.CODE CATEGORY = 'BANK_ID' AND GENERAL_CONVERTER.SOURCE_CODE = 'EF' AND GENERAL_CONVERTER.SOURCE_VALUE = ''</t>
  </si>
  <si>
    <t>EF - Efeitos</t>
  </si>
  <si>
    <t>CURATED_INTERNAL_MAINFRAME_EFEITOS
CURATED_INTERNAL_MAINFRAME_CONTENCIOSO</t>
  </si>
  <si>
    <t>EFT02_CRTEFT
TCT09_OPERCN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</si>
  <si>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</si>
  <si>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</si>
  <si>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</si>
  <si>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</si>
  <si>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</si>
  <si>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SELECT GENERAL_CONVERTER.CDM_VALUE
WHERE EFT02_CRTEFT.CSITEF IN ( 'CO', 'VE', 'IR' ) OR ( EFT02_CRTEFT.CSITEF = 'CT' AND TCT09_OPERCN.CKBALCAO IS NOT NULL ) AND GENERAL_CONVERTER.CODE CATEGORY = 'PRODUCT_FAMILY_ID' AND GENERAL_CONVERTER.SOURCE_CODE = 'EF' AND GENERAL_CONVERTER.SOURCE_VALUE = ''</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</si>
  <si>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</si>
  <si>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</si>
  <si>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</si>
  <si>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</si>
  <si>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IF( TRIM( EFT01_CONTEFTO.CKPRODUT ) = '', NULL, EFT01_CONTEFTO.CKPRODUT )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</si>
  <si>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</si>
  <si>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</si>
  <si>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</si>
  <si>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</si>
  <si>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</si>
  <si>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</si>
  <si>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</si>
  <si>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GENERAL_CONVERTER.CDM_VALUE
WHERE EFT02_CRTEFT.CSITEF IN ( 'CO', 'VE', 'IR' ) OR ( EFT02_CRTEFT.CSITEF = 'CT' AND TCT09_OPERCN.CKBALCAO IS NOT NULL ) AND GENERAL_CONVERTER.CODE CATEGORY = 'BANK_ID' AND GENERAL_CONVERTER.SOURCE_CODE = 'DC' AND GENERAL_CONVERTER.SOURCE_VALUE = ''</t>
  </si>
  <si>
    <t>EF - Efeitos || TC - Terminal Contencioso</t>
  </si>
  <si>
    <t>N\A || N\A</t>
  </si>
  <si>
    <t>"31" || "31"</t>
  </si>
  <si>
    <t>Contract identifier of the main current account that anchors the bill or promissory note contract.</t>
  </si>
  <si>
    <t>EFT01_CONTEFTO 
EFT02_CRTEFT
TCT09_OPERCN</t>
  </si>
  <si>
    <t>CKBALDO, CKCTADO
N\A
CKBALDO, CKCTADO</t>
  </si>
  <si>
    <t>SELECT IF( TCT09_OPERCN.CKBALCAO IS NULL,
    IF( TRIM( CONCAT( EFT01_CONTEFTO .CKBALDO, EFT01_CONTEFTO .CKCTADO ) ) = '', 
        NULL, 
        CONCAT( EFT01_CONTEFTO .CKBALDO, EFT01_CONTEFTO .CKCTADO, '000000000000000' ) ),
    IF( TRIM( CONCAT( TCT09_OPERCN.CKBALDO, TCT09_OPERCN.CKCTADO ) ) = '',
        NULL,
        CONCAT( TCT09_OPERCN.CKBALDO, TCT09_OPERCN.CKCTADO , '000000000000000' ) )
WHERE EFT02_CRTEFT.CSITEF IN ( 'CO', 'VE', 'IR' ) OR ( EFT02_CRTEFT.CSITEF = 'CT' AND TCT09_OPERCN.CKBALCAO IS NOT NULL ) AND TCT09_OPERCN.ISITUAC =  1</t>
  </si>
  <si>
    <t>EFT01_CONTEFTO || TCT09_OPERCN</t>
  </si>
  <si>
    <t>CONCAT( CKBALDO, CKCTADO, "000000000000000" ) || 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</si>
  <si>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</si>
  <si>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</si>
  <si>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</si>
  <si>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</si>
  <si>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</si>
  <si>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</si>
  <si>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</si>
  <si>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TCT09_OPERCN.CKBALCAO IS NOT NULL ) </t>
  </si>
  <si>
    <t>CONCAT( CKBALCAO, CKNUMCTA )</t>
  </si>
  <si>
    <t>DCONTRAT
N\A</t>
  </si>
  <si>
    <t xml:space="preserve">SELECT IF( TRIM( EFT02_CRTEFT.DCONTRAT ) = '', NULL, CAST( EFT02_CRTEFT.DCONTRAT AS STRING ) )
WHERE EFT02_CRTEFT.CSITEF IN ( 'CO', 'VE', 'IR' ) OR ( EFT02_CRTEFT.CSITEF = 'CT' AND TCT09_OPERCN.CKBALCAO IS NOT NULL ) </t>
  </si>
  <si>
    <t>DCONTRAT</t>
  </si>
  <si>
    <t>DDVENCIM
DVENCIM</t>
  </si>
  <si>
    <t xml:space="preserve">SELECT IF( TCT09_OPERCN.CKBALCAO IS NULL, 
    IF( TRIM( EFT02_CRTEFT.DDVENCIM ) = '', 
        NULL, 
        CAST( EFT02_CRTEFT.DDVENCIM AS STRING ) ),
    IF( TRIM( TCT09_OPERCN.DVENCIM) = '', 
        NULL, 
        CAST( TCT09_OPERCN.DVENCIMAS STRING ) )
WHERE EFT02_CRTEFT.CSITEF IN ( 'CO', 'VE', 'IR' ) OR ( EFT02_CRTEFT.CSITEF = 'CT' AND TCT09_OPERCN.CKBALCAO IS NOT NULL ) </t>
  </si>
  <si>
    <t>EFT02_CRTEFT || TCT09_OPERCN</t>
  </si>
  <si>
    <t>DDVENCIM || DVENCIM</t>
  </si>
  <si>
    <t>Contract Static
Balances</t>
  </si>
  <si>
    <t>CMOEDA
N\A
N\A</t>
  </si>
  <si>
    <t xml:space="preserve">SELECT IF( TRIM( EFT01_CONTEFTO .CMOEDA ) = '', NULL, EFT01_CONTEFTO .CMOEDA )
WHERE EFT02_CRTEFT.CSITEF IN ( 'CO', 'VE', 'IR' ) OR ( EFT02_CRTEFT.CSITEF = 'CT' AND TCT09_OPERCN.CKBALCAO IS NOT NULL ) </t>
  </si>
  <si>
    <t>SELECT IF( TCT09_OPERCN.CKBALCAO IS NULL, '0', '1' )
WHERE EFT02_CRTEFT.CSITEF IN ( 'CO', 'VE', 'IR' ) OR ( EFT02_CRTEFT.CSITEF = 'CT' AND TCT09_OPERCN.CKBALCAO IS NOT NULL )</t>
  </si>
  <si>
    <t>"0" || "1"</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</si>
  <si>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</si>
  <si>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</si>
  <si>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</si>
  <si>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</si>
  <si>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</si>
  <si>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</si>
  <si>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</si>
  <si>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</si>
  <si>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</si>
  <si>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</si>
  <si>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</si>
  <si>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</si>
  <si>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</si>
  <si>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</si>
  <si>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</si>
  <si>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</si>
  <si>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
WHERE EFT02_CRTEFT.CSITEF IN ( 'CO', 'VE', 'IR' ) OR ( EFT02_CRTEFT.CSITEF = 'CT' AND TCT09_OPERCN.CKBALCAO IS NOT NULL )</t>
  </si>
  <si>
    <t>EF - Efeitos || EF - Efeitos || TC - Terminal Contencioso</t>
  </si>
  <si>
    <t>EFT02_CRTEFT || N\A || N\A</t>
  </si>
  <si>
    <t>MCAPITAL - MENTPARC || N\A || N\A</t>
  </si>
  <si>
    <t>N\A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</si>
  <si>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</si>
  <si>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
WHERE EFT02_CRTEFT.CSITEF IN ( 'CO', 'VE', 'IR' ) OR ( EFT02_CRTEFT.CSITEF = 'CT' AND TCT09_OPERCN.CKBALCAO IS NOT NULL )</t>
  </si>
  <si>
    <t>N\A || "0.00"´||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</si>
  <si>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</si>
  <si>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</si>
  <si>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</si>
  <si>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TCT09_OPERCN.MCAPITALD ) AS DECIMAL( 23, 6 ) )
WHERE EFT02_CRTEFT.CSITEF IN ( 'CO', 'VE', 'IR' ) OR ( EFT02_CRTEFT.CSITEF = 'CT' AND TCT09_OPERCN.CKBALCAO IS NOT NULL ) AND TCT09_OPERCN.ISITUAC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</si>
  <si>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</si>
  <si>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</si>
  <si>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</si>
  <si>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</si>
  <si>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</si>
  <si>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</si>
  <si>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</si>
  <si>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TCT09_OPERCN.CKBALCAO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</si>
  <si>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</si>
  <si>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</si>
  <si>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</si>
  <si>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</si>
  <si>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</si>
  <si>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TCT09_OPERCN.CKBALCAO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</si>
  <si>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</si>
  <si>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</si>
  <si>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</si>
  <si>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</si>
  <si>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TCT09_OPERCN</t>
  </si>
  <si>
    <t>MENTPARC
N\A</t>
  </si>
  <si>
    <t>SELECT CAST( EFT02_CRTEFT.MENTPARC AS DECIMAL( 23, 6 ) )
WHERE EFT02_CRTEFT.CSITEF IN ( 'CO', 'VE', 'IR' ) OR ( EFT02_CRTEFT.CSITEF = 'CT' AND TCT09_OPERCN.CKBALCAO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</si>
  <si>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</si>
  <si>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</si>
  <si>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</si>
  <si>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</si>
  <si>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</si>
  <si>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TCT09_OPERCN.CKBALCAO IS NULL, CAST( 0.00 AS DECIMAL( 23, 6 ) ), CAST( TCT09_OPERCN.MCAPITALC AS DECIMAL( 23, 6 ) ) )
WHERE EFT02_CRTEFT.CSITEF IN ( 'CO', 'VE', 'IR' ) OR ( EFT02_CRTEFT.CSITEF = 'CT' AND TCT09_OPERCN.CKBALCAO IS NOT NULL ) AND TCT09_OPERCN.ISITUAC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</si>
  <si>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</si>
  <si>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</si>
  <si>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</si>
  <si>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</si>
  <si>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</si>
  <si>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</si>
  <si>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</si>
  <si>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</si>
  <si>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</si>
  <si>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t>SELECT IF( EFT05_CESPEFT.CKBALCAO IS NOT NULL, 
    IF( TRIM( EFT05_CESPEFT.CINDEX  ) != '', 
        'REF', 
        'FIX' ), 
    IF( EFT01_CONTEFTO.CKPRODUT != '092',
        'REF',
        '#N/A' )
WHERE EFT02_CRTEFT.CSITEF IN ( 'CO', 'VE', 'IR' ) OR ( EFT02_CRTEFT.CSITEF = 'CT' AND TCT09_OPERCN.CKBALCAO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</si>
  <si>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</si>
  <si>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</si>
  <si>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</si>
  <si>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</si>
  <si>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</si>
  <si>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</si>
  <si>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Initial 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</si>
  <si>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</si>
  <si>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TCT09_OPERCN.CKBALCAO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</si>
  <si>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</si>
  <si>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</si>
  <si>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</si>
  <si>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</si>
  <si>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</si>
  <si>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</si>
  <si>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</si>
  <si>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</si>
  <si>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TCT09_OPERCN.CKBALCAO IS NOT NULL ) AND EFT02_CRTEFT.DCONTRAT BETWEEN TO_DATE( EFT05_CESPEFT.DINICIO ) AND TO_DATE( EFT05_CESPEFT.DFIM )</t>
  </si>
  <si>
    <t>N\A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</si>
  <si>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</si>
  <si>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</si>
  <si>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</si>
  <si>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</si>
  <si>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</si>
  <si>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</si>
  <si>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TCT09_OPERCN.CKBALCAO IS NOT NULL ) AND EFT02_CRTEFT.DCONTRAT BETWEEN TO_DATE( EFT05_CESPEFT.DINICIO ) AND TO_DATE( EFT05_CESPEFT.DFIM )</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</si>
  <si>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</si>
  <si>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</si>
  <si>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</si>
  <si>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</si>
  <si>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</si>
  <si>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</si>
  <si>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</si>
  <si>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</si>
  <si>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</si>
  <si>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IF( EFT01_CONTEFTO.CKPRODUT != '092',
        EFT02_CRTEFT.TKCONTR,
        0.00 ) ) AS DECIMAL(23, 6)
WHERE EFT02_CRTEFT.CSITEF IN ( 'CO', 'VE', 'IR' ) OR ( EFT02_CRTEFT.CSITEF = 'CT' AND TCT09_OPERCN.CKBALCAO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</si>
  <si>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</si>
  <si>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</si>
  <si>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</si>
  <si>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</si>
  <si>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</si>
  <si>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</si>
  <si>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GENERAL_CONVERTER.CDM_VALUE )
WHERE EFT02_CRTEFT.CSITEF IN ( 'CO', 'VE', 'IR' ) OR ( EFT02_CRTEFT.CSITEF = 'CT' AND TCT09_OPERCN.CKBALCAO IS NOT NULL )  AND GENERAL_CONVERTER.CODE CATEGORY = 'CONTRACT_STATUS' AND GENERAL_CONVERTER.SOURCE_CODE = 'EF' AND GENERAL_CONVERTER.SOURCE_VALUE = EFT02_CRTEFT.CSITEF</t>
  </si>
  <si>
    <t>CSITEF</t>
  </si>
  <si>
    <t>SELECT CONVERTER.CDM_VALUE
WHERE EFT02_CRTEFT.CSITEF IN ( 'CO', 'VE', 'IR' ) OR ( EFT02_CRTEFT.CSITEF = 'CT' AND TCT09_OPERCN.CKBALCAO IS NOT NULL )  AND GENERAL_CONVERTER.CODE CATEGORY = 'OPENING_CHANNEL' AND GENERAL_CONVERTER.SOURCE_CODE = 'EF' AND GENERAL_CONVERTER.SOURCE_VALUE = 'BRANCH'</t>
  </si>
  <si>
    <t>Source:
N\A || N\A; N\A || N\A</t>
  </si>
  <si>
    <t>SELECT IF( TCT09_OPERCN.CKBALCAO IS NULL, 'EF', 'TC' )
WHERE EFT02_CRTEFT.CSITEF IN ( 'CO', 'VE', 'IR' ) OR ( EFT02_CRTEFT.CSITEF = 'CT' AND TCT09_OPERCN.CKBALCAO IS NOT NULL ) AND TCT09_OPERCN.ISITUAC =  1</t>
  </si>
  <si>
    <t xml:space="preserve"> </t>
  </si>
  <si>
    <t>"EF" || "TC"</t>
  </si>
  <si>
    <t>Balance Datetime</t>
  </si>
  <si>
    <t>DATA_DATE_PART
N\A</t>
  </si>
  <si>
    <t>SELECT EFT02_CRTEFT.DATA_DATE_PART
WHERE EFT02_CRTEFT.CSITEF IN ( 'CO', 'VE', 'IR' ) OR ( EFT02_CRTEFT.CSITEF = 'CT' AND TCT09_OPERCN.CKBALCAO IS NOT NULL )</t>
  </si>
  <si>
    <t>SELECT NOW()
WHERE EFT02_CRTEFT.CSITEF IN ( 'CO', 'VE', 'IR' ) OR ( EFT02_CRTEFT.CSITEF = 'CT' AND TCT09_OPERCN.CKBALCAO IS NOT NULL )</t>
  </si>
  <si>
    <t>Bill &amp; Promissory Note Process</t>
  </si>
  <si>
    <t>CURATED_INTERNAL_MAINFRAME_EFEITOS
OPERATIONS_COMMON_REFERENCEDATA_CORE</t>
  </si>
  <si>
    <t>EFT01_CONTEFTO
GENERAL_CONVERTER</t>
  </si>
  <si>
    <t>SELECT GENERAL_CONVERTER.CDM_VALUE
WHERE EFT01_CONTEFTO.CSITEF = 0 AND GENERAL_CONVERTER.CODE CATEGORY = 'BANK_ID' AND GENERAL_CONVERTER.SOURCE_CODE = 'EF' AND GENERAL_CONVERTER.SOURCE_VALUE = ''</t>
  </si>
  <si>
    <t>Identifier of the bills &amp; promissory notes process.</t>
  </si>
  <si>
    <t>CURATED_INTERNAL_MAINFRAME_EFEITOS</t>
  </si>
  <si>
    <t>CKBALCAO, CKNUMCTA</t>
  </si>
  <si>
    <t>SELECT CONCAT( EFT01_CONTEFTO.CKBALCAO, EFT01_CONTEFTO.CKNUMCTA )
WHERE EFT01_CONTEFTO.CSITEF = 0</t>
  </si>
  <si>
    <t>SELECT GENERAL_CONVERTER.CDM_VALUE
WHERE EFT01_CONTEFTO.CSITEF = 0 AND GENERAL_CONVERTER.CODE CATEGORY = 'PRODUCT_FAMILY_ID' AND GENERAL_CONVERTER.SOURCE_CODE = 'EF' AND GENERAL_CONVERTER.SOURCE_VALUE = ''</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</si>
  <si>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</si>
  <si>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</si>
  <si>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</si>
  <si>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</si>
  <si>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GENERAL_CONVERTER.CDM_VALUE
WHERE EFT01_CONTEFTO.CSITEF = 0 AND GENERAL_CONVERTER.CODE CATEGORY = 'BANK_ID' AND GENERAL_CONVERTER.SOURCE_CODE = 'DC' AND GENERAL_CONVERTER.SOURCE_VALUE = ''</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</si>
  <si>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</si>
  <si>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</si>
  <si>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</si>
  <si>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CONCAT( CKBALDO, CKCTADO, "000000000000000" )</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</si>
  <si>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</si>
  <si>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</si>
  <si>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</si>
  <si>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</si>
  <si>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</si>
  <si>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</si>
  <si>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</si>
  <si>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</si>
  <si>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</si>
  <si>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</si>
  <si>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</si>
  <si>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</si>
  <si>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</si>
  <si>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</si>
  <si>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GENERAL_CONVERTER.CDM_VALUE )
WHERE EFT01_CONTEFTO.CSITEF = 0 AND GENERAL_CONVERTER.CODE CATEGORY = 'CONTRACT_STATUS' AND GENERAL_CONVERTER.SOURCE_CODE = 'EF' AND GENERAL_CONVERTER.SOURCE_VALUE = EFT01_CONTEFTO.CSITCEF</t>
  </si>
  <si>
    <t>CSITCEF</t>
  </si>
  <si>
    <t>Process Opening Channel Code</t>
  </si>
  <si>
    <t>process_opening_channel_code</t>
  </si>
  <si>
    <t>Identifier of the opening channel of the process.</t>
  </si>
  <si>
    <t>Process Opening Channel:
N\A; N\A</t>
  </si>
  <si>
    <t>SELECT GENERAL_CONVERTER.CDM_VALUE
WHERE EFT01_CONTEFTO.CSITEF = 0 AND GENERAL_CONVERTER.CODE CATEGORY = 'OPENING_CHANNEL' AND GENERAL_CONVERTER.SOURCE_CODE = 'EF' AND GENERAL_CONVERTER.SOURCE_VALUE = 'BRANCH'</t>
  </si>
  <si>
    <t>DATA_DATE_PART</t>
  </si>
  <si>
    <t>SELECT EFT01_CONTEFTO.DATA_DATE_PART
WHERE EFT01_CONTEFTO.CSITEF = 0</t>
  </si>
  <si>
    <t>SELECT NOW()
WHERE EFT01_CONTEFTO.CSITEF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</si>
  <si>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</si>
  <si>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</si>
  <si>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</si>
  <si>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</si>
  <si>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GENERAL_CONVERTER
LITIGATION_PRODUCT</t>
  </si>
  <si>
    <t>SELECT GENERAL_CONVERTER.CDM_VALUE
WHERE FCT03_FACTURA.CSITFCT IN ( 'I', 'S', 'K', 'A' ) AND GENERAL_CONVERTER.CODE CATEGORY = 'BANK_ID' AND GENERAL_CONVERTER.SOURCE_CODE = 'FC' AND GENERAL_CONVERTER.SOURCE_VALUE = ''
SELECT GENERAL_CONVERTER.CDM_VALUE
WHERE FCT01_CTACONF.CSITCTA = '0' AND GENERAL_CONVERTER.CODE CATEGORY = 'BANK_ID'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'BANK_ID' AND GENERAL_CONVERTER.SOURCE_CODE = 'DC' AND GENERAL_CONVERTER.SOURCE_VALUE = ''
SELECT GENERAL_CONVERTER.CDM_VALUE
WHERE TCT09_OPERCN.ISITUAC = '1' AND AND LITIGATION_PRODUCT.SOURCE_PRODUCT_ID = '029' AND LITIGATION_PRODUCT.SOURCE_SUBPRODUCT_ID = '287' AND  LITIGATION_PRODUCT.SOURCE_CODE = 'FC' AND GENERAL_CONVERTER.CODE CATEGORY = 'BANK_ID' AND GENERAL_CONVERTER.SOURCE_CODE = 'TC' AND GENERAL_CONVERTER.SOURCE_VALUE = ''</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</si>
  <si>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</si>
  <si>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</si>
  <si>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</si>
  <si>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LITIGATION_PRODUCT</t>
  </si>
  <si>
    <t>CKBALCAO, CKNUMCTA, ZSEQFACT
CKBALCAO, CKNUMCTA
DCYR8101_CKBALCAO, DCYR8101_CKNUMCTA
CKBALCAO, CKNUMCTA, ZDEPOSIT
N\A</t>
  </si>
  <si>
    <t>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 '0', '1', '2', '3', '7', '8' ) AND DCYR8101_DINICONT !=  '0001-01-01' AND LITIGATION_PRODUCT.SOURCE_PRODUCT_ID = '029' AND LITIGATION_PRODUCT.SOURCE_SUBPRODUCT_ID = '287' AND  LITIGATION_PRODUCT.SOURCE_CODE = 'FC'
SELECT CONCAT( TCT09_OPERCN.CKBALCAO, TCT09_OPERCN.CKNUMCTA, TCT09_OPERCN.ZDEPOSIT )
WHERE TCT09_OPERCN.ISITUAC = '1' AND AND LITIGATION_PRODUCT.SOURCE_PRODUCT_ID = '029' AND LITIGATION_PRODUCT.SOURCE_SUBPRODUCT_ID = '287'</t>
  </si>
  <si>
    <t>FCT03_FACTURA
FCT01_CTACONF
DCYR8101
TCT09_OPERCN</t>
  </si>
  <si>
    <t>CONCAT( CKBALCAO, CKNUMCTA, "10", LPAD(ZSEQFACT, 9, '0'),  "0000" )
CONCAT( CKBALCAO, CKNUMCTA, "000000000000000" )
CONCAT (CKBALCAO, CKNUMCTA, "000000000000000" )
CONCAT ( CKBALCAO, CKNUMCTA, ZDEPOSIT )</t>
  </si>
  <si>
    <t>Product Type:
N\A; N\A
N\A; N\A
N\A; N\A
N\A; N\A</t>
  </si>
  <si>
    <t>SELECT GENERAL_CONVERTER.CDM_VALUE
WHERE FCT03_FACTURA.CSITFCT IN ( 'I', 'S', 'K', 'A' ) AND GENERAL_CONVERTER.CODE CATEGORY = 'PRODUCT_FAMILY_ID' AND GENERAL_CONVERTER.SOURCE_CODE = 'FC' AND GENERAL_CONVERTER.SOURCE_VALUE = ''
SELECT GENERAL_CONVERTER.CDM_VALUE
WHERE FCT03_FACTURA.CSITFCT IN ( 'I', 'S', 'K', 'A' ) AND GENERAL_CONVERTER.CODE CATEGORY = 'PRODUCT_FAMILY_ID'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LITIGATION_SUBPRODUCT.SOURCE_CODE = 'FC' AND GENERAL_CONVERTER.CODE CATEGORY = 'PRODUCT_FAMILY_ID' AND GENERAL_CONVERTER.SOURCE_CODE = 'FC' AND GENERAL_CONVERTER.SOURCE_VALUE = ''
SELECT GENERAL_CONVERTER.CDM_VALUE
WHERE TCT09_OPERCN.ISITUAC = '1' AND AND LITIGATION_PRODUCT.SOURCE_PRODUCT_ID = '029' AND LITIGATION_PRODUCT.SOURCE_SUBPRODUCT_ID = '287' AND  LITIGATION_SUBPRODUCT.SOURCE_CODE = 'FC' AND GENERAL_CONVERTER.CODE CATEGORY = 'PRODUCT_FAMILY_ID' AND GENERAL_CONVERTER.SOURCE_CODE = 'FC' AND GENERAL_CONVERTER.SOURCE_VALUE = ''</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</si>
  <si>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</si>
  <si>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</si>
  <si>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 '0', '1', '2', '3', '7', '8' ) AND DCYR8101_DINICONT !=  '0001-01-01' AND LITIGATION_PRODUCT.SOURCE_PRODUCT_ID = '029' AND LITIGATION_PRODUCT.SOURCE_SUBPRODUCT_ID = '287' AND  LITIGATION_PRODUCT.SOURCE_CODE = 'FC'
SELECT IF( TRIM( TCT09_OPERCN.CKPRODUT ) = '', NULL, TCT09_OPERCN.CKPRODUT )
WHERE TCT09_OPERCN.ISITUAC = '1' AND AND LITIGATION_PRODUCT.SOURCE_PRODUCT_ID = '029' AND LITIGATION_PRODUCT.SOURCE_SUBPRODUCT_ID = '287'</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</si>
  <si>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</si>
  <si>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</si>
  <si>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</si>
  <si>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</si>
  <si>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 '0', '1', '2', '3', '7', '8' ) AND DCYR8101_DINICONT !=  '0001-01-01' AND LITIGATION_PRODUCT.SOURCE_PRODUCT_ID = '029' AND LITIGATION_PRODUCT.SOURCE_SUBPRODUCT_ID = '287' AND  LITIGATION_PRODUCT.SOURCE_CODE = 'FC'
SELECT IF( TRIM( TCT09_OPERCN.CKSUBPROD ) = '', NULL, TCT09_OPERCN.CKSUBPROD )
WHERE TCT09_OPERCN.ISITUAC = '1' AND AND LITIGATION_PRODUCT.SOURCE_PRODUCT_ID = '029' AND LITIGATION_PRODUCT.SOURCE_SUBPRODUCT_ID = '287'</t>
  </si>
  <si>
    <t>CKSUBPRO
CKSUBPRO
CKSUBPRO
CKSUBPRO</t>
  </si>
  <si>
    <t>Bank identifier (internal Santander’s company identification code) that is related to the current account contract which anchors the confirming contract.</t>
  </si>
  <si>
    <t>SELECT GENERAL_CONVERTER.CDM_VALUE
WHERE FCT03_FACTURA.CSITFCT IN ( 'I', 'S', 'K', 'A' ) AND GENERAL_CONVERTER.CODE CATEGORY = 'BANK_ID' AND GENERAL_CONVERTER.SOURCE_CODE = 'DC' AND GENERAL_CONVERTER.SOURCE_VALUE = ''
SELECT GENERAL_CONVERTER.CDM_VALUE
WHERE FCT01_CTACONF.CSITCTA = '0' AND GENERAL_CONVERTER.CODE CATEGORY = 'BANK_ID' AND GENERAL_CONVERTER.SOURCE_CODE = 'DC'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'DC'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'DC' AND GENERAL_CONVERTER.SOURCE_VALUE = ''</t>
  </si>
  <si>
    <t>"31"
"31"
"#N/A"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</si>
  <si>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</si>
  <si>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</si>
  <si>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LITIGATION_PRODUCT</t>
  </si>
  <si>
    <t>CKBALCAO, CKNUMCTA
N\A
N\A
N\A
N\A
N\A</t>
  </si>
  <si>
    <t>SELECT IF( TRIM( CONCAT( DCT15_RELCTA.CKBALCAO, dct15.CKNUMCTA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'#NA'
WHERE INTERFACE_DCT01.DCYR8101_CSITCTA IN ( '0', '1', '2', '3', '7', '8' ) AND DCYR8101_DINICONT !=  '0001-01-01' AND LITIGATION_PRODUCT.SOURCE_PRODUCT_ID = '029' AND LITIGATION_PRODUCT.SOURCE_SUBPRODUCT_ID = '287' AND  LITIGATION_PRODUCT.SOURCE_CODE = 'FC'
SELECT IF( TRIM( CONCAT( TCT09_OPERCN.CKBALDO , TCT09_OPERCN.CKCTADO) ) = '', NULL, CONCAT( TCT09_OPERCN.CKBALDO , TCT09_OPERCN.CKCTADO, '000000000000000' ) )
WHERE TCT09_OPERCN.ISITUAC = '1' AND AND LITIGATION_PRODUCT.SOURCE_PRODUCT_ID = '029' AND LITIGATION_PRODUCT.SOURCE_SUBPRODUCT_ID = '287'</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</si>
  <si>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</si>
  <si>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</si>
  <si>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</si>
  <si>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"#N/A"
N\A</t>
  </si>
  <si>
    <t>Identifier of the confirming process bank to which the confirming invoice is associated to.</t>
  </si>
  <si>
    <t xml:space="preserve">SELECT GENERAL_CONVERTER.CDM_VALUE
WHERE FCT03_FACTURA.CSITFCT IN ( 'I', 'S', 'K', 'A' ) AND GENERAL_CONVERTER.CODE CATEGORY = 'BANK_ID' AND GENERAL_CONVERTER.SOURCE_CODE = 'FC' AND GENERAL_CONVERTER.SOURCE_VALUE = ''
SELECT GENERAL_CONVERTER.CDM_VALUE
WHERE FCT01_CTACONF.CSITCTA = '0'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'FC'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'FC' AND GENERAL_CONVERTER.SOURCE_VALUE = '#N/A'
</t>
  </si>
  <si>
    <t>"31"
"31"
"#N/A"
"#N/A"</t>
  </si>
  <si>
    <t>Identifier of the process associated with the confirming's contract.</t>
  </si>
  <si>
    <t>CKBALCAO, CKNUMCTA
CKBALCAO, CKNUMCTA
N\A
N\A
N\A</t>
  </si>
  <si>
    <t>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</si>
  <si>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FCT01_CTACONF
N\A
N\A</t>
  </si>
  <si>
    <t>CONCAT( CKBALCAO, CKNUMCTA )
CONCAT( CKBALCAO, CKNUMCTA )
N\A
N\A</t>
  </si>
  <si>
    <t>N\A
N\A
"#N/A"
"#N/A"</t>
  </si>
  <si>
    <t>DTRATAM
DABERT
DCYR8101_DABERTUR 
DCONTRAT
N\A</t>
  </si>
  <si>
    <t>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 '0', '1', '2', '3', '7', '8' ) AND DCYR8101_DINICONT !=  '0001-01-01' AND LITIGATION_PRODUCT.SOURCE_PRODUCT_ID = '029' AND LITIGATION_PRODUCT.SOURCE_SUBPRODUCT_ID = '287' AND  LITIGATION_PRODUCT.SOURCE_CODE = 'FC'
SELECT IF( TRIM( TCT09_OPERCN.DCONTRAT ) = '', NULL, CAST( TCT09_OPERCN.DCONTRAT AS STRING ) )
WHERE TCT09_OPERCN.ISITUAC = '1' AND AND LITIGATION_PRODUCT.SOURCE_PRODUCT_ID = '029' AND LITIGATION_PRODUCT.SOURCE_SUBPRODUCT_ID = '287'</t>
  </si>
  <si>
    <t>DTRATAM 
DABERT
DABERTUR
DCONTRAT</t>
  </si>
  <si>
    <t>DVENCIME
N\A
N\A
DVENCIM 
N\A</t>
  </si>
  <si>
    <t>SELECT IF( TRIM( FCT03_FACTURA.DVENCIME ) = '', NULL, CAST( FCT03_FACTURA.DVENCIME AS STRING ) )
WHERE FCT03_FACTURA.CSITFCT IN ( 'I', 'S', 'K', 'A' )
SELECT '9999-12-31'
WHERE FCT01_CTACONF.CSITCTA = '0'
SELECT  '9999-12-31'
WHERE INTERFACE_DCT01.DCYR8101_CSITCTA IN ( '0', '1', '2', '3', '7', '8' ) AND DCYR8101_DINICONT !=  '0001-01-01' AND LITIGATION_PRODUCT.SOURCE_PRODUCT_ID = '029' AND LITIGATION_PRODUCT.SOURCE_SUBPRODUCT_ID = '287' AND  LITIGATION_PRODUCT.SOURCE_CODE = 'FC'
SELECT IF( TRIM( TCT09_OPERCN.DVENCIM ) = '', NULL, CAST( TCT09_OPERCN.DVENCIM AS STRING ) )
WHERE TCT09_OPERCN.ISITUAC = '1' AND AND LITIGATION_PRODUCT.SOURCE_PRODUCT_ID = '029' AND LITIGATION_PRODUCT.SOURCE_SUBPRODUCT_ID = '287'</t>
  </si>
  <si>
    <t>FCT03_FACTURA
N\A
N\A
TCT09_OPERCN</t>
  </si>
  <si>
    <t>DVENCIME
N\A
N\A
DVENCIM</t>
  </si>
  <si>
    <t>N\A
"9999-12-31"
"9999-12-31"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</si>
  <si>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</si>
  <si>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</si>
  <si>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</si>
  <si>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CMOEDA
CMOEDA
DCYR8101_CMOEDA
CMOEDALF
N\A</t>
  </si>
  <si>
    <t>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 '0', '1', '2', '3', '7', '8' ) AND DCYR8101_DINICONT !=  '0001-01-01' AND LITIGATION_PRODUCT.SOURCE_PRODUCT_ID = '029' AND LITIGATION_PRODUCT.SOURCE_SUBPRODUCT_ID = '287' AND  LITIGATION_PRODUCT.SOURCE_CODE = 'FC'
SELECT IF( TRIM( TCT09_OPERCN.CMOEDALF ) = '', NULL, TCT09_OPERCN.CMOEDALF )
WHERE TCT09_OPERCN.ISITUAC = '1' AND AND LITIGATION_PRODUCT.SOURCE_PRODUCT_ID = '029' AND LITIGATION_PRODUCT.SOURCE_SUBPRODUCT_ID = '287'</t>
  </si>
  <si>
    <t>FC - Confirming
FC - Confirming
DC - Contas a Vista
TC - Terminal Contencioso -&gt; TA - Tabelas Gerais</t>
  </si>
  <si>
    <t>FCT03_FACTURA
FCT01_CTACONF
DCYR8101
TCT09_OPERCN -&gt;  TAT91_TABELAS</t>
  </si>
  <si>
    <t>CMOEDA
CMOEDA
CMOEDA
CMOEDALF -&gt; CELEMTAB</t>
  </si>
  <si>
    <t>N\A
N\A
N\A
N\A -&gt; N\A</t>
  </si>
  <si>
    <t>SELECT '0'
WHERE FCT03_FACTURA.CSITFCT IN ( 'I', 'S', 'K', 'A' ) 
SELECT '0'
WHERE FCT01_CTACONF.CSITCTA = '0'
SELECT '0'
WHERE INTERFACE_DCT01.DCYR8101_CSITCTA IN ( '0', '1', '2', '3', '7', '8' ) AND DCYR8101_DINICONT !=  '0001-01-01' AND LITIGATION_PRODUCT.SOURCE_PRODUCT_ID = '029' AND LITIGATION_PRODUCT.SOURCE_SUBPRODUCT_ID = '287' AND  LITIGATION_PRODUCT.SOURCE_CODE = 'FC'
SELECT '1'
WHERE TCT09_OPERCN.ISITUAC = '1' AND AND LITIGATION_PRODUCT.SOURCE_PRODUCT_ID = '029' AND LITIGATION_PRODUCT.SOURCE_SUBPRODUCT_ID = '287'</t>
  </si>
  <si>
    <t>"0"
"0"
"0"
"1"</t>
  </si>
  <si>
    <t>Current total amount that can be used as credit. This value, in confirming, currently has to be used all at once.</t>
  </si>
  <si>
    <t>MONTANTE
MLIMCART 
N\A
N\A
N\A</t>
  </si>
  <si>
    <t>SELECT CAST( FCT03_FACTURA.MONTANTE AS DECIMAL( 23, 6 ) )
WHERE FCT03_FACTURA.CSITFCT IN ( 'I', 'S', 'K', 'A' ) 
SELECT CAST( FCT01_CTACONF.MLIMCART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</si>
  <si>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MONTANTE
MLIMCART
N\A
N\A</t>
  </si>
  <si>
    <t>N\A
N\A
"0.00"
"0.00"</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</si>
  <si>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</si>
  <si>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</si>
  <si>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</si>
  <si>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</si>
  <si>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TCT09_OPERCN
LITIGATION_PRODUCT</t>
  </si>
  <si>
    <t>MONTANTE, MFINANC
MONTANTE 
N\A
N\A
N\A</t>
  </si>
  <si>
    <t>SELECT CAST( IF( FCT03_FACTURA.MFINANC  &gt; 0.00, 0.00, FCT03_FACTURA.MONTANTE ) AS DECIMAL( 23, 6 ) )
WHERE FCT03_FACTURA.CSITFCT IN ( 'I', 'S', 'K', 'A' ) 
SELECT CASE
    WHEN CARTEIRAS.MONTANTE IS NULL THEN CAST( 0.00 AS DECIMAL( 23, 6 ) )
    ELSE CAST( - CARTEIRAS.MONTANTE AS DECIMAL( 23, 6 ) )
WHERE FCT01_CTACONF.CSITCTA = '0' AND CARTEIRAS.ICYR0N00_CGRUPOIC = '78'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</si>
  <si>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 - Confirming
IC - Interface Contabilística
DC - Contas a Vista
TC - Terminal Contencioso</t>
  </si>
  <si>
    <t>FCT03_FACTURA || N\A
FC - GEYRN000 Carteira IC C78 || FC - GEYRN000 Carteira IC C78
N\A
N\A</t>
  </si>
  <si>
    <t>MONTANTE || N\A
(- MONTANTE )|| N\A
N\A
N\A</t>
  </si>
  <si>
    <t>N\A || "0.00"
N\A || "0.00"
"0.00"
"0.00"</t>
  </si>
  <si>
    <t>The principal amount which has been used but has not reach its maturity date and is yet to be repaid. This field only applies to bills or pormissory notes, it does not apply to lines.</t>
  </si>
  <si>
    <t>?
CURATED_INTERNAL_MAINFRAME_CONFIRMING
CURATED_INTERNAL_MAINFRAME_CONTAS 
CURATED_INTERNAL_MAINFRAME_CONTENCIOSO
OPERATIONS_COMMON_REFERENCEDATA_CORE</t>
  </si>
  <si>
    <t>?
FCT01_CTACONF
INTERFACE_DCT01
TCT09_OPERCN
LITIGATION_PRODUCT</t>
  </si>
  <si>
    <t>?
N\A
N\A
N\A
N\A</t>
  </si>
  <si>
    <t xml:space="preserve">
?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</si>
  <si>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FCT03_FACTURA || (1)FCT03_FACTURA + (2)FCT16_MOVIDEV
N\A
N\A
N\A</t>
  </si>
  <si>
    <t>MONTANTE - MSLDCOBR || (1)MONTANTE - (2)MACUMUL
N\A
N\A
N\A</t>
  </si>
  <si>
    <t>N\A || N\A
"0.00"
"0.00"
"0.00"</t>
  </si>
  <si>
    <t>N\A
N\A
DCYR8101_MSALDO 
N\A
N\A</t>
  </si>
  <si>
    <t>SELECT CAST( 0.00 AS DECIMAL( 23, 6 ) )
WHERE FCT03_FACTURA.CSITFCT IN ( 'I', 'S', 'K', 'A' ) 
SELECT CAST( 0.00 AS DECIMAL( 23, 6 ) )
WHERE FCT01_CTACONF.CSITCTA = '0'
SELECT CAST( - INTERFACE_DCT01.DCYR8101_MSALDO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</si>
  <si>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</si>
  <si>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</si>
  <si>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</si>
  <si>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</si>
  <si>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LITIGATION_PRODUCT</t>
  </si>
  <si>
    <t>N\A
N\A
N\A
N\A
MCAPITALD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</si>
  <si>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CAST(TCT01_POSDIVID.MCAPITALD AS DECIMAL( 23, 6 ) )
WHERE TCT09_OPERCN.ISITUAC = '1' AND AND LITIGATION_PRODUCT.SOURCE_PRODUCT_ID = '029' AND LITIGATION_PRODUCT.SOURCE_SUBPRODUCT_ID = '287'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</si>
  <si>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</si>
  <si>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</si>
  <si>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</si>
  <si>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</si>
  <si>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</si>
  <si>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</si>
  <si>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</si>
  <si>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SELECT IF( TRIM( FCT03_FACTURA.DVENCIME ) = '', NULL, CAST( FCT03_FACTURA.DVENCIME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</si>
  <si>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N\A
N\A
N\A</t>
  </si>
  <si>
    <t>DVENCIME
N\A
N\A
N\A</t>
  </si>
  <si>
    <t>N\A
"#N/A"
"#N/A"
"#N/A"</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</si>
  <si>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</si>
  <si>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</si>
  <si>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</si>
  <si>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</si>
  <si>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SELECT IF( TRIM( FCT03_FACTURA.DCOBRA ) = '', NULL, CAST( FCT03_FACTURA.DCOBRA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</si>
  <si>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</si>
  <si>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</si>
  <si>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</si>
  <si>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SELECT CAST( FCT03_FACTURA.MSLDCOBR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</si>
  <si>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MSLDCOBR
N\A
N\A
N\A</t>
  </si>
  <si>
    <t>N\A
"0.00"
"0.00"
"0.00"</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</si>
  <si>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</si>
  <si>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</si>
  <si>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TCT01_POSDIVID.MCAPITALC AS DECIMAL( 23, 6 ) )
WHERE TCT09_OPERCN.ISITUAC = '1' AND AND LITIGATION_PRODUCT.SOURCE_PRODUCT_ID = '029' AND LITIGATION_PRODUCT.SOURCE_SUBPRODUCT_ID = '287'</t>
  </si>
  <si>
    <t>N\A
N\A
N\A
MCAPITALC</t>
  </si>
  <si>
    <t>Last Advance Annulment Indicator</t>
  </si>
  <si>
    <t>last_advance_annulment_indicator</t>
  </si>
  <si>
    <t>Indicates if the last advance, represented in last advance date, was annulled and the amount was returned to Santander.</t>
  </si>
  <si>
    <t>Annulation Indicator</t>
  </si>
  <si>
    <t>CURATED_INTERNAL_MAINFRAME_CONFIRMING
CURATED_INTERNAL_MAINFRAME_CONFIRMING
CURATED_INTERNAL_MAINFRAME_CONFIRMING
CURATED_INTERNAL_MAINFRAME_CONTAS 
CURATED_INTERNAL_MAINFRAME_CONTENCIOSO
OPERATIONS_COMMON_REFERENCEDATA_CORE</t>
  </si>
  <si>
    <t>FCT03_FACTURA
FCT12_ANULFIN
FCT01_CTACONF
INTERFACE_DCT01
TCT09_OPERCN
LITIGATION_PRODUCT</t>
  </si>
  <si>
    <t>N\A
N\A
N\A
N\A
N\A
N\A</t>
  </si>
  <si>
    <t>SELECT CASE
    WHEN FCT12_ANULFIN.ZSEQFCT IS NOT NULL AND FCT12_ANULFIN.DTFINANC = FCT03_FACTURA.DTFINANC THEN '1'
    ELSE '0'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</si>
  <si>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</si>
  <si>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</si>
  <si>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</si>
  <si>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</si>
  <si>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</si>
  <si>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</si>
  <si>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SELECT IF( TRIM( FCT03_FACTURA.DPAGAM) = '', NULL, CAST( FCT03_FACTURA.DPAGAMAS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</si>
  <si>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</si>
  <si>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</si>
  <si>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</si>
  <si>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</si>
  <si>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</si>
  <si>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SELECT IF( TRIM( FCT03_FACTURA.DFINANC  ) = '', NULL, CAST( FCT03_FACTURA.DFINANC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</si>
  <si>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</si>
  <si>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</si>
  <si>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</si>
  <si>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</si>
  <si>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</si>
  <si>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</si>
  <si>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</si>
  <si>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</si>
  <si>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</si>
  <si>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</si>
  <si>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</si>
  <si>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</si>
  <si>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SELECT CAST( FCT03_FACTURA.MFINANC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LITIGATION_PRODUCT.SOURCE_CODE = 'FC'
SELECT CAST( 0.00 AS DECIMAL( 23, 6 ) )
WHERE TCT09_OPERCN.ISITUAC = '1' AND AND LITIGATION_PRODUCT.SOURCE_PRODUCT_ID = '029' AND LITIGATION_SUBPRODUCT.SOURCE_PRODUCT_ID = '287'</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</si>
  <si>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</si>
  <si>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</si>
  <si>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t>
  </si>
  <si>
    <t xml:space="preserve">SELECT IF( FCT03_FACTURA.CTXFINAN !=  ' ', 'REF', 'FIX'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</si>
  <si>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CTXFINAN
N\A
N\A
N\A</t>
  </si>
  <si>
    <t>N\A
"Fixed"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</si>
  <si>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</si>
  <si>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</si>
  <si>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</si>
  <si>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FCT03_FACTURA.CENCRGF ) = '', NULL, FCT03_FACTURA.CENCRGF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</si>
  <si>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</si>
  <si>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</si>
  <si>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</si>
  <si>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</si>
  <si>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</si>
  <si>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</si>
  <si>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</si>
  <si>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</si>
  <si>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</si>
  <si>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</si>
  <si>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</si>
  <si>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TXSPRDFIN
N\A
N\A
N\A</t>
  </si>
  <si>
    <t>N\A
"0.00"
"NULL"
"NULL"</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</si>
  <si>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</si>
  <si>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</si>
  <si>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</si>
  <si>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</si>
  <si>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</si>
  <si>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</si>
  <si>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GENERAL_CONVERTER.CDM_VALUE )
WHERE FCT03_FACTURA.CSITFCT IN ( 'I', 'S', 'K', 'A' ) AND GENERAL_CONVERTER.CODE CATEGORY = 'CONTRACT_STATUS' AND GENERAL_CONVERTER.SOURCE_CODE = 'FC' AND GENERAL_CONVERTER.SOURCE_VALUE = FCT03_FACTURA.CSITFCT  
SELECT IF( TRIM( FCT01_CTACONF.CSITCTA ) = '', NULL, GENERAL_CONVERTER.CDM_VALUE )
WHERE FCT01_CTACONF.CSITCTA = '0' AND GENERAL_CONVERTER.CODE CATEGORY = 'CONTRACT_STATUS' AND GENERAL_CONVERTER.SOURCE_CODE = 'FC' AND GENERAL_CONVERTER.SOURCE_VALUE = FCT01_CTACONF.CSITCTA 
SELECT IF( TRIM( INTERFACE_DCT01.DCYR8101_CSITCTA ) = '', NULL,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'CONTRACT_STATUS' AND GENERAL_CONVERTER.SOURCE_CODE = 'DC' AND GENERAL_CONVERTER.SOURCE_VALUE = INTERFACE_DCT01.DCYR8101_CSITCTA 
SELECT IF( TRIM( TCT09_OPERCN.ISITUAC ) = '', NULL, GENERAL_CONVERTER.CDM_VALUE )
WHERE TCT09_OPERCN.ISITUAC = '1' AND   LITIGATION_PRODUCT.SOURCE_PRODUCT_ID = '029' AND LITIGATION_PRODUCT.SOURCE_SUBPRODUCT_ID = '287' AND  LITIGATION_PRODUCT.SOURCE_CODE = 'FC' AND GENERAL_CONVERTER.CODE CATEGORY = 'CONTRACT_STATUS' AND GENERAL_CONVERTER.SOURCE_CODE = 'TC' AND GENERAL_CONVERTER.SOURCE_VALUE = TCT09_OPERCN.ISITUAC
</t>
  </si>
  <si>
    <t>CSITFCT
CSITCTA
CSITCTA
ISITUAC</t>
  </si>
  <si>
    <t>Contract Opening Channel:
N\A; N\A
N\A; N\A
N\A; N\A
N\A; N\A</t>
  </si>
  <si>
    <t>SELECT GENERAL_CONVERTER.CDM_VALUE
WHERE FCT03_FACTURA.CSITFCT IN ( 'I', 'S', 'K', 'A' ) AND GENERAL_CONVERTER.CODE CATEGORY = 'OPENING_CHANNEL' AND GENERAL_CONVERTER.SOURCE_CODE = 'FC' AND GENERAL_CONVERTER.SOURCE_VALUE = 'ONLINE'
SELECT IF( ( CASE
    WHEN TRIM( FCT01_CTACONF.CKPRODUT ) = '' OR TRIM(FCT01_CTACONF.CKSUBPRO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 GENERAL_CONVERTER.SOURCE_VALUE = 'BRANCH' OR GENERAL_CONVERTER.SOURCE_VALUE = 'BACKOFFICE'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'287' AND GENERAL_CONVERTER.CODE CATEGORY = 'OPENING_CHANNEL' AND GENERAL_CONVERTER.SOURCE_CODE = 'TC' AND GENERAL_CONVERTER.SOURCE_VALUE = 'BRANCH'</t>
  </si>
  <si>
    <t>"Online"
"Branch || "Backoffice"
"Branch"
"Branch"</t>
  </si>
  <si>
    <t>Source:
N\A; N\A
N\A; N\A
N\A; N\A
N\A; N\A</t>
  </si>
  <si>
    <t>SELECT 'FC'
WHERE FCT03_FACTURA.CSITFCT IN ( 'I', 'S', 'K', 'A' ) 
SELECT 'FC'
WHERE FCT01_CTACONF.CSITCTA = '0'
SELECT 'DC'
WHERE INTERFACE_DCT01.DCYR8101_CSITCTA IN ( '0', '1', '2', '3', '7', '8' ) AND DCYR8101_DINICONT !=  '0001-01-01' AND LITIGATION_PRODUCT.SOURCE_PRODUCT_ID = '029' AND LITIGATION_PRODUCT.SOURCE_SUBPRODUCT_ID = '287' AND  LITIGATION_PRODUCT.SOURCE_CODE = 'FC'
SELECT 'TC'
WHERE TCT09_OPERCN.ISITUAC = '1' AND LITIGATION_PRODUCT.SOURCE_PRODUCT_ID = '029' AND LITIGATION_PRODUCT.SOURCE_SUBPRODUCT_ID = '287'</t>
  </si>
  <si>
    <t>"FC"
"FC"
"DC"
"TC"</t>
  </si>
  <si>
    <t>DATA_DATE_PART
DATA_DATE_PART
DATA_DATE_PART
DATA_DATE_PART
N\A</t>
  </si>
  <si>
    <t>SELECT FCT03_FACTURA.DATA_DATE_PART
WHERE FCT03_FACTURA.CSITFCT IN ( 'I', 'S', 'K', 'A' ) 
SELECT FCT01_CTACONF.DATA_DATE_PART
WHERE FCT01_CTACONF.CSITCTA = '0'
SELECT INTERFACE_DCT01.DATA_DATE_PART
WHERE INTERFACE_DCT01.DCYR8101_CSITCTA IN ( '0', '1', '2', '3', '7', '8' ) AND DCYR8101_DINICONT !=  '0001-01-01' AND LITIGATION_PRODUCT.SOURCE_PRODUCT_ID = '029' AND LITIGATION_PRODUCT.SOURCE_SUBPRODUCT_ID = '287' AND  LITIGATION_SUBPRODUCT.SOURCE_CODE = 'FC'
SELECT INTERFACE_DCT01.DATA_DATE_PART
WHERE TCT09_OPERCN.ISITUAC = '1' AND AND LITIGATION_PRODUCT.SOURCE_PRODUCT_ID = '029' AND LITIGATION_PRODUCT.SOURCE_SUBPRODUCT_ID = '287'</t>
  </si>
  <si>
    <t>SELECT NOW()
WHERE FCT03_FACTURA.CSITFCT IN ( 'I', 'S', 'K', 'A' ) 
SELECT NOW()
WHERE FCT01_CTACONF.CSITCTA = '0'
SELECT NOW()
WHERE INTERFACE_DCT01.DCYR8101_CSITCTA IN ( '0', '1', '2', '3', '7', '8' ) AND DCYR8101_DINICONT !=  '0001-01-01' AND LITIGATION_PRODUCT.SOURCE_PRODUCT_ID = '029' AND LITIGATION_PRODUCT.SOURCE_SUBPRODUCT_ID = '287' AND  LITIGATION_SUBPRODUCT.SOURCE_CODE = 'FC'
SELECT NOW()
WHERE TCT09_OPERCN.ISITUAC = '1' AND AND LITIGATION_PRODUCT.SOURCE_PRODUCT_ID = '029' AND LITIGATION_PRODUCT.SOURCE_SUBPRODUCT_ID = '287'</t>
  </si>
  <si>
    <t>Confirming Process</t>
  </si>
  <si>
    <t>CURATED_INTERNAL_MAINFRAME_CONFIRMING
OPERATIONS_COMMON_REFERENCEDATA_CORE</t>
  </si>
  <si>
    <t>FCT01_CTACONF
GENERAL_CONVERTER</t>
  </si>
  <si>
    <t>SELECT GENERAL_CONVERTER.CDM_VALUE
WHERE FCT01_CTACONF.CSITCTA = '0' AND GENERAL_CONVERTER.CODE CATEGORY = 'PRODUCT_FAMILY_ID' AND GENERAL_CONVERTER.SOURCE_CODE = 'FC' AND GENERAL_CONVERTER.SOURCE_VALUE = ''</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</si>
  <si>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</si>
  <si>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</si>
  <si>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</si>
  <si>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</si>
  <si>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</si>
  <si>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</si>
  <si>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GENERAL_CONVERTER.CDM_VALUE
WHERE FCT01_CTACONF.CSITCTA = '0' AND GENERAL_CONVERTER.CODE CATEGORY = 'BANK_ID' AND GENERAL_CONVERTER.SOURCE_CODE = 'FC' AND GENERAL_CONVERTER.SOURCE_VALUE = ''</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</si>
  <si>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</si>
  <si>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</si>
  <si>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</si>
  <si>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GENERAL_CONVERTER.CDM_VALUE
WHERE FCT01_CTACONF.CSITCTA = '0' AND GENERAL_CONVERTER.CODE CATEGORY = 'PRODUCT_FAMILY_ID' AND GENERAL_CONVERTER.SOURCE_CODE = 'DC' AND GENERAL_CONVERTER.SOURCE_VALUE = ''</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</si>
  <si>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</si>
  <si>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</si>
  <si>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</si>
  <si>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</si>
  <si>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</si>
  <si>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</si>
  <si>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</si>
  <si>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</si>
  <si>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</si>
  <si>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</si>
  <si>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</si>
  <si>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</si>
  <si>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</si>
  <si>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</si>
  <si>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</si>
  <si>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</si>
  <si>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</si>
  <si>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</si>
  <si>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</si>
  <si>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</si>
  <si>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 xml:space="preserve">SELECT IF( TRIM( FCT01_CTACONF.CSITCTA ) = '', NULL, GENERAL_CONVERTER.CDM_VALUE)
WHERE FCT01_CTACONF.CSITCTA = '0'  AND GENERAL_CONVERTER.CODE CATEGORY = 'CONTRACT_STATUS' AND GENERAL_CONVERTER.SOURCE_CODE = 'FC' AND GENERAL_CONVERTER.SOURCE_VALUE = FCT01_CTACONF.CSITCTA </t>
  </si>
  <si>
    <t>CSITCTA</t>
  </si>
  <si>
    <t xml:space="preserve">SELECT IF( ( CASE 
    WHEN TRIM( FCT01_CTACONF.CKPRODUT ) = '' OR TRIM( 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(GENERAL_CONVERTER.SOURCE_VALUE = 'BRANCH' OR GENERAL_CONVERTER.SOURCE_VALUE = 'BACKOFFICE' ) </t>
  </si>
  <si>
    <t>"Branch" || "Backoffice"</t>
  </si>
  <si>
    <t xml:space="preserve">SELECT FCT01_CTACONF.DATA_DATE_PART
WHERE FCT01_CTACONF.CSITCTA = '0' </t>
  </si>
  <si>
    <t xml:space="preserve">SELECT NOW()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</si>
  <si>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</si>
  <si>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</si>
  <si>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</si>
  <si>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</si>
  <si>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</si>
  <si>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</si>
  <si>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</si>
  <si>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</si>
  <si>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</si>
  <si>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</si>
  <si>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</si>
  <si>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</si>
  <si>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</si>
  <si>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</si>
  <si>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</si>
  <si>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</si>
  <si>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</si>
  <si>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</si>
  <si>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</si>
  <si>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</si>
  <si>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</si>
  <si>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</si>
  <si>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</si>
  <si>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</si>
  <si>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</si>
  <si>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</si>
  <si>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CL001_INTERV_CTO.CEMPRESA
WHERE CL001_INTERV_CTO.DFIM_RELACAO = '9999-12-31'</t>
  </si>
  <si>
    <t>DLK - Datalake OnPrem</t>
  </si>
  <si>
    <t>CBALCAO, CNUMECTA, ZDEPOSIT</t>
  </si>
  <si>
    <t>SELECT CONCAT( CL001_INTERV_CTO.CBALCAO, CL001_INTERV_CTO.CNUMECTA, CL001_INTERV_CTO.ZDEPOSIT )
WHERE CL001_INTERV_CTO.DFIM_RELACAO = '9999-12-31'</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</si>
  <si>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</si>
  <si>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</si>
  <si>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</si>
  <si>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</si>
  <si>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</si>
  <si>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</si>
  <si>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</si>
  <si>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</si>
  <si>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CL001_INTERV_CTO.ZCLIENTE
WHERE CL001_INTERV_CTO.DFIM_RELACAO = '9999-12-31'</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</si>
  <si>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</si>
  <si>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</si>
  <si>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</si>
  <si>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</si>
  <si>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</si>
  <si>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</si>
  <si>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</si>
  <si>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</si>
  <si>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</si>
  <si>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CL001_INTERV_CTO.CRELACAO_CL_CNT
WHERE CL001_INTERV_CTO.DFIM_RELACAO = '9999-12-31'</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</si>
  <si>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</si>
  <si>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</si>
  <si>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</si>
  <si>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</si>
  <si>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</si>
  <si>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</si>
  <si>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</si>
  <si>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CL001_INTERV_CTO.CSEQUENCIA_REL AS INT )
WHERE CL001_INTERV_CTO.DFIM_RELACAO = '9999-12-31'</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</si>
  <si>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</si>
  <si>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</si>
  <si>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</si>
  <si>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</si>
  <si>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</si>
  <si>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</si>
  <si>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</si>
  <si>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TRIM( CL001_INTERV_CTO.DINI_RELACAO ) = '',  NULL, CAST( CL001_INTERV_CTO.VAS STDINI_RELACAO STRING ) )
WHERE CL001_INTERV_CTO.DFIM_RELACAO = '9999-12-31'</t>
  </si>
  <si>
    <t>DINI_RELACAO</t>
  </si>
  <si>
    <t>REF_DATE</t>
  </si>
  <si>
    <t>SELECT CL001_INTERV_CTO.REF_DATE
WHERE CL001_INTERV_CTO.DFIM_RELACAO = '9999-12-31'</t>
  </si>
  <si>
    <t>SELECT NOW()
WHERE CL001_INTERV_CTO.DFIM_RELACAO = '9999-12-31'</t>
  </si>
  <si>
    <t>Credit Card</t>
  </si>
  <si>
    <t>credit_card</t>
  </si>
  <si>
    <t>Card Number</t>
  </si>
  <si>
    <t>card_number</t>
  </si>
  <si>
    <t>Ext Inf - Con Inf - Value</t>
  </si>
  <si>
    <t>Physic card number.</t>
  </si>
  <si>
    <t>Contracts - Cards</t>
  </si>
  <si>
    <t>CURATED_INTERNAL_MAINFRAME_CARTOES
CURATED_INTERNAL_MAINFRAME_ESTRUTURAIS</t>
  </si>
  <si>
    <t>CRT09_TBTARJET
TAT91_TABELAS</t>
  </si>
  <si>
    <t>PAN
N\A</t>
  </si>
  <si>
    <t xml:space="preserve">SELECT CRT09_TBTARJET.PAN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</si>
  <si>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 - Cartões</t>
  </si>
  <si>
    <t>CRT09_TBTARJET</t>
  </si>
  <si>
    <t>PAN</t>
  </si>
  <si>
    <t>Main Card Account Bank ID</t>
  </si>
  <si>
    <t>main_card_account_bank_id</t>
  </si>
  <si>
    <t>Identifier of the card account's bank that is associated to the physical credit card.</t>
  </si>
  <si>
    <t>CURATED_INTERNAL_MAINFRAME_CARTOES
CURATED_INTERNAL_MAINFRAME_ESTRUTURAIS
OPERATIONS_COMMON_REFERENCEDATA_CORE
OPERATIONS_COMMON_REFERENCEDATA_CORE</t>
  </si>
  <si>
    <t>CRT09_TBTARJET
TAT91_TABELAS
GENERAL_CONVERTER
LITIGATION_PRODUCT</t>
  </si>
  <si>
    <t>N\A
N\A
CDM_VALUE
N\A</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</si>
  <si>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GENERAL_CONVERTER.CODE CATEGORY = 'BANK_ID' AND GENERAL_CONVERTER.SOURCE_CODE = 'CR' AND GENERAL_CONVERTER.SOURCE_VALUE = ''</t>
  </si>
  <si>
    <t>Main Card Account Contract ID</t>
  </si>
  <si>
    <t>main_card_account_contract_id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</si>
  <si>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</si>
  <si>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</si>
  <si>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</si>
  <si>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</si>
  <si>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t xml:space="preserve">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</si>
  <si>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</si>
  <si>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</si>
  <si>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</si>
  <si>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</si>
  <si>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CRT09_TBTARJET
CRT08
TAT91_TABELAS</t>
  </si>
  <si>
    <t>N\A
NUMBENCTA
N\A</t>
  </si>
  <si>
    <t xml:space="preserve">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</si>
  <si>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NUMBENCTA - 1</t>
  </si>
  <si>
    <t>Card Activation Date</t>
  </si>
  <si>
    <t>card_activation_date</t>
  </si>
  <si>
    <t>The date the physic credit card was activated.</t>
  </si>
  <si>
    <t>Activation Date</t>
  </si>
  <si>
    <t>FECAUSER
N\A</t>
  </si>
  <si>
    <t xml:space="preserve">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</si>
  <si>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FECACUSER</t>
  </si>
  <si>
    <t>Card Expiration Date</t>
  </si>
  <si>
    <t>card_expiration_date</t>
  </si>
  <si>
    <t>The expiration date of the physic credit card.</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</si>
  <si>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</si>
  <si>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</si>
  <si>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</si>
  <si>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</si>
  <si>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</si>
  <si>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</si>
  <si>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</si>
  <si>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</si>
  <si>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</si>
  <si>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</si>
  <si>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</si>
  <si>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</si>
  <si>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</si>
  <si>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</si>
  <si>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</si>
  <si>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</si>
  <si>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</si>
  <si>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</si>
  <si>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</si>
  <si>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</si>
  <si>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LAUDNCBEN</t>
  </si>
  <si>
    <t>Card Status Code</t>
  </si>
  <si>
    <t>card_status_code</t>
  </si>
  <si>
    <t>Status of the physic credit card.</t>
  </si>
  <si>
    <t>Card Status:
TAT91 - CTABELA 568; CURATED_INTERNAL_MAINFRAME_ESTRUTURAIS.TAT91_TABELAS - TAYD91C0_CTABELA 568</t>
  </si>
  <si>
    <t>Card Status</t>
  </si>
  <si>
    <t>CURATED_INTERNAL_MAINFRAME_CARTOES
CURATED_INTERNAL_MAINFRAME_ESTRUTURAIS
OPERATIONS_COMMON_REFERENCEDATA
OPERATIONS_COMMON_REFERENCEDATA</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</si>
  <si>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GENERAL_CONVERTER.CODE CATEGORY = 'CARD_STATUS' AND GENERAL_CONVERTER.SOURCE_CODE = 'CR' AND GENERAL_CONVERTER.SOURCE_VALUE = CRT09_TBTARJET.INDSITTAR </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</si>
  <si>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</si>
  <si>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</si>
  <si>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 xml:space="preserve">SELECT NOW()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</si>
  <si>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Credit Card Account</t>
  </si>
  <si>
    <t>credit_card_account</t>
  </si>
  <si>
    <t>CURATED_INTERNAL_MAINFRAME_CARTOES
CURATED_INTERNAL_MAINFRAME_ESTRUTURAIS
OPERATIONS_COMMON_REFERENCEDATA_CORE</t>
  </si>
  <si>
    <t>CRT07_TBCTATAR
TAT91_TABELAS
GENERAL_CONVERTER</t>
  </si>
  <si>
    <t>SELECT GENERAL_CONVERTER.CDM_VALUE
WHERE CRT07_TBCTATAR.FECBAJA = 0 AND TAT91_TABELAS.TAYD91C0_CTABELA = '593' AND ( SUBSTRING( TAT91_TABELAS.TAYD91C0_NELEMC08, 1, 1 ) = '1' OR SUBSTRING( TAT91_TABELAS.TAYD91C0_NELEMC08, 1, 1 ) = '3' ) AND GENERAL_CONVERTER.CODE CATEGORY = 'BANK_ID' AND GENERAL_CONVERTER.SOURCE_CODE = 'CR' AND GENERAL_CONVERTER.SOURCE_VALUE = ''</t>
  </si>
  <si>
    <t>Card Account ID</t>
  </si>
  <si>
    <t>card_account_id</t>
  </si>
  <si>
    <t>Identifier of the card account.</t>
  </si>
  <si>
    <t>CRT07_TBCTATAR
TAT91_TABELAS</t>
  </si>
  <si>
    <t>SELECT CONCAT(CRT07_TBCTATAR.CKBALCAO, CRT07_TBCTATAR.CKNUMCTA)
WHERE CRT07_TBCTATAR.FECBAJA = 0 AND TAT91_TABELAS.TAYD91C0_CTABELA = '593' AND ( SUBSTRING( TAT91_TABELAS.TAYD91C0_NELEMC08, 1, 1 ) = '1' OR SUBSTRING( TAT91_TABELAS.TAYD91C0_NELEMC08, 1, 1 ) = '3' )</t>
  </si>
  <si>
    <t>SELECT GENERAL_CONVERTER.CDM_VALUE
WHERE CRT07_TBCTATAR.FECBAJA = 0 AND TAT91_TABELAS.TAYD91C0_CTABELA = '593' AND ( SUBSTRING( TAT91_TABELAS.TAYD91C0_NELEMC08, 1, 1 ) = '1' OR SUBSTRING( TAT91_TABELAS.TAYD91C0_NELEMC08, 1, 1 ) = '3' ) AND GENERAL_CONVERTER.CODE CATEGORY = 'PRODUCT_FAMILY_ID' AND GENERAL_CONVERTER.SOURCE_CODE = 'CR' AND GENERAL_CONVERTER.SOURCE_VALUE = ''</t>
  </si>
  <si>
    <t>Product Lvl 1:
TAT91 - CTABELA 593</t>
  </si>
  <si>
    <t>CRT07_TBCTATAR
CRT50_TBPARBIN
TAT91_TABELAS</t>
  </si>
  <si>
    <t>N\A
CRT50DL_CKPRODUT
N\A</t>
  </si>
  <si>
    <t>SELECT IF( TRIM( CRT50_TBPARBIN.CRT50DL_CKPRODUT ) = '', NULL, TRIM( CRT50_TBPARBIN.CRT50DL_CKPRODUT ) )
WHERE CRT07_TBCTATAR.FECBAJA = 0 AND TAT91_TABELAS.TAYD91C0_CTABELA = '593' AND ( SUBSTRING( TAT91_TABELAS.TAYD91C0_NELEMC08, 1, 1 ) = '1' OR SUBSTRING( TAT91_TABELAS.TAYD91C0_NELEMC08, 1, 1 ) = '3' )</t>
  </si>
  <si>
    <t>CRT50_TBPARBIN</t>
  </si>
  <si>
    <t>Product Lvl 2:
TAT91 - CTABELA 593</t>
  </si>
  <si>
    <t>N\A
CRT50DL_CKSUBPRO
N\A</t>
  </si>
  <si>
    <t>SELECT IF( TRIM( CRT50_TBPARBIN.CRT50DL_CKSUBPRO ) = '', NULL, TRIM( CRT50_TBPARBIN.CRT50DL_CKSUBPRO ) )
WHERE CRT07_TBCTATAR.FECBAJA = 0 AND TAT91_TABELAS.TAYD91C0_CTABELA = '593' AND ( SUBSTRING( TAT91_TABELAS.TAYD91C0_NELEMC08, 1, 1 ) = '1' OR SUBSTRING( TAT91_TABELAS.TAYD91C0_NELEMC08, 1, 1 ) = '3' )</t>
  </si>
  <si>
    <t>Bank identifier (internal Santander’s company identification code) that is related to the current account contract which anchors the card account.</t>
  </si>
  <si>
    <t>SELECT GENERAL_CONVERTER.CDM_VALUE
WHERE CRT07_TBCTATAR.FECBAJA = 0 AND TAT91_TABELAS.TAYD91C0_CTABELA = '593' AND ( SUBSTRING( TAT91_TABELAS.TAYD91C0_NELEMC08, 1, 1 ) = '1' OR SUBSTRING( TAT91_TABELAS.TAYD91C0_NELEMC08, 1, 1 ) = '3' ) AND GENERAL_CONVERTER.CODE CATEGORY = 'BANK_ID' AND GENERAL_CONVERTER.SOURCE_CODE = 'DC' AND GENERAL_CONVERTER.SOURCE_VALUE = ''</t>
  </si>
  <si>
    <t>Contract identifier of the current account that anchors the card account.</t>
  </si>
  <si>
    <t>CRT07_TBCTATAR
CRTA8_TBBENAUX
TAT91_TABELAS</t>
  </si>
  <si>
    <t>N\A
DADOSVAR1
N\A</t>
  </si>
  <si>
    <t>SELECT IF( TRIM( CRTA8_TBBENAUX.DADOSVAR1 ) = '', NULL, CONCAT( CRTA8_TBBENAUX.DADOSVAR1, '000000000000000' ) )
WHERE CRT07_TBCTATAR.FECBAJA = 0 AND TAT91_TABELAS.TAYD91C0_CTABELA = '593' AND ( SUBSTRING( TAT91_TABELAS.TAYD91C0_NELEMC08, 1, 1 ) = '1' OR SUBSTRING( TAT91_TABELAS.TAYD91C0_NELEMC08, 1, 1 ) = '3' )</t>
  </si>
  <si>
    <t>CRTA8_TBBENAUX</t>
  </si>
  <si>
    <t>CONCAT( DADOSVAR1, "000000000000000" )</t>
  </si>
  <si>
    <t>Date in which the client opened and formalised the card account.</t>
  </si>
  <si>
    <t>FECALTA
N\A</t>
  </si>
  <si>
    <t>SELECT IF( TRIM( CRT07_TBCTATAR.FECALTA ) = '', NULL, CONCAT( SUBSTRING( CRT07_TBCTATAR.FECALTA, 1, 4 ), '-', SUBSTRING( CRT07_TBCTATAR.FECALTA, 5, 2 ), '-', SUBSTRING( CRT07_TBCTATAR.FECALTA, 7, 2 ) ) )
WHERE CRT07_TBCTATAR.FECBAJA = 0 AND TAT91_TABELAS.TAYD91C0_CTABELA = '593' AND ( SUBSTRING( TAT91_TABELAS.TAYD91C0_NELEMC08, 1, 1 ) = '1' OR SUBSTRING( TAT91_TABELAS.TAYD91C0_NELEMC08, 1, 1 ) = '3' )</t>
  </si>
  <si>
    <t>FECALTA</t>
  </si>
  <si>
    <t>Current maturity date of the card account. The value is always '9999-12-31'.</t>
  </si>
  <si>
    <t>SELECT '9999-12-31'
WHERE CRT07_TBCTATAR.FECBAJA = 0 AND TAT91_TABELAS.TAYD91C0_CTABELA = '593' AND ( SUBSTRING( TAT91_TABELAS.TAYD91C0_NELEMC08, 1, 1 ) = '1' OR SUBSTRING( TAT91_TABELAS.TAYD91C0_NELEMC08, 1, 1 ) = '3' )</t>
  </si>
  <si>
    <t>Ext Inf - Crd Fin Inf - Code</t>
  </si>
  <si>
    <t>Identifier of the card account's currency.</t>
  </si>
  <si>
    <t>Currency:
TAT91 - CTABELA 206</t>
  </si>
  <si>
    <t>CLAMONEUR
N\A</t>
  </si>
  <si>
    <t>SELECT IF( TRIM( CRT07_TBCTATAR.CLAMONEUR ) = '', NULL, TRIM( CRT07_TBCTATAR.CLAMONEUR ) )
WHERE CRT07_TBCTATAR.FECBAJA = 0 AND TAT91_TABELAS.TAYD91C0_CTABELA = '593' AND ( SUBSTRING( TAT91_TABELAS.TAYD91C0_NELEMC08, 1, 1 ) = '1' OR SUBSTRING( TAT91_TABELAS.TAYD91C0_NELEMC08, 1, 1 ) = '3' )</t>
  </si>
  <si>
    <t>CLAMONEUR</t>
  </si>
  <si>
    <t>Card Account Status Code</t>
  </si>
  <si>
    <t>card_account_status_code</t>
  </si>
  <si>
    <t>Identifier of the card account status.</t>
  </si>
  <si>
    <t>Identifica o estado da conta cartão.</t>
  </si>
  <si>
    <t>Contract Status:
TAT91 - CTABELA 592</t>
  </si>
  <si>
    <t>CURATED_INTERNAL_MAINFRAME_CARTOES
CURATED_INTERNAL_MAINFRAME_ESTRUTURAIS
OPERATIONS_COMMON_REFERENCEDATA</t>
  </si>
  <si>
    <t>SELECT IF( TRIM( CRT07_TBCTATAR.BLOQUEACT ) = '', NULL, GENERAL_CONVERTER.CDM_VALUE )
WHERE CRT07_TBCTATAR.FECBAJA = 0  AND GENERAL_CONVERTER.CODE CATEGORY = 'CONTRACT_STATUS' AND GENERAL_CONVERTER.SOURCE_CODE = 'CR' AND GENERAL_CONVERTER.SOURCE_VALUE = CRT07_TBCTATAR.BLOQUEACT</t>
  </si>
  <si>
    <t>BLOQUEACT</t>
  </si>
  <si>
    <t>SELECT CRT07_TBCTATAR.DATA_DATE_PART
WHERE CRT07_TBCTATAR.FECBAJA = 0 AND TAT91_TABELAS.TAYD91C0_CTABELA = '593' AND ( SUBSTRING( TAT91_TABELAS.TAYD91C0_NELEMC08, 1, 1 ) = '1' OR SUBSTRING( TAT91_TABELAS.TAYD91C0_NELEMC08, 1, 1 ) = '3' )</t>
  </si>
  <si>
    <t>SELECT NOW()
WHERE CRT07_TBCTATAR.FECBAJA = 0 AND TAT91_TABELAS.TAYD91C0_CTABELA = '593' AND ( SUBSTRING( TAT91_TABELAS.TAYD91C0_NELEMC08, 1, 1 ) = '1' OR SUBSTRING( TAT91_TABELAS.TAYD91C0_NELEMC08, 1, 1 ) = '3' )</t>
  </si>
  <si>
    <t>Credit Card Account Plan</t>
  </si>
  <si>
    <t>credit_card_account_plan</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</si>
  <si>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</si>
  <si>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GENERAL_CONVERTER
LITIGATION_PRODUCT</t>
  </si>
  <si>
    <t>SELECT GENERAL_CONVERTER.CDM_VALUE
WHERE CRT63_ADESECL.CESTADO = 'C' AND GENERAL_CONVERTER.CODE CATEGORY = 'BANK_ID' AND GENERAL_CONVERTER.SOURCE_CODE = 'CR' AND GENERAL_CONVERTER.SOURCE_VALUE = ''</t>
  </si>
  <si>
    <t>CR - Cartões
CR - Cartões
DC - Contas a Vista
TC - Terminal Contencioso</t>
  </si>
  <si>
    <t xml:space="preserve">CKBALCAO, CKNUMCTA
ZPLANO
</t>
  </si>
  <si>
    <t xml:space="preserve">SELECT CONCAT( CRT07_TBCTATAR.CKBALCAO, CRT07_TBCTATAR.CKNUMCTA, '0000000', 'P', LPAD( CRT63_ADESECL.ZPLANO, 3, '0' ), '0001' )
WHERE CRT63_ADESECL.CESTADO = 'C' </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</si>
  <si>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</si>
  <si>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(CKBALCAO, CKNUMCTA, "000000000000000" )
CONCAT ( CKBALCAO, CKNUMCTA, ZDEPOSIT )</t>
  </si>
  <si>
    <t>Product Type:
N\A
N\A
N\A
N\A</t>
  </si>
  <si>
    <t>SELECT GENERAL_CONVERTER.CDM_VALUE
WHERE CRT63_ADESECL.CESTADO = 'C' AND GENERAL_CONVERTER.CODE CATEGORY = 'PRODUCT_FAMILY_ID' AND GENERAL_CONVERTER.SOURCE_CODE = 'CR' AND GENERAL_CONVERTER.SOURCE_VALUE = ''</t>
  </si>
  <si>
    <t>Product Lvl 1:
TAT91 - CTABELA 593
TAT91 - CTABELA 593
TAT91 - CTABELA 925
TAT91 - CTABELA 925</t>
  </si>
  <si>
    <t>CURATED_INTERNAL_MAINFRAME_CARTOES
CURATED_INTERNAL_MAINFRAME_CARTOES
CURATED_INTERNAL_MAINFRAME_CARTOES
CURATED_INTERNAL_MAINFRAME_CONTAS
CURATED_INTERNAL_MAINFRAME_CONTENCIOSO
OPERATIONS_COMMON_REFERENCEDATA_CORE
OPERATIONS_COMMON_REFERENCEDATA_CORE</t>
  </si>
  <si>
    <t>CRT07_TBCTATAR
CRT63_ADESECL
CRT50_TBPARBIN
INTERFACE_DCT01
TCT09_OPERCN
GENERAL_CONVERTER
LITIGATION_PRODUCT</t>
  </si>
  <si>
    <t xml:space="preserve">N\A
N\A
CRT50DL_CKPRODUT </t>
  </si>
  <si>
    <t xml:space="preserve">SELECT IF( TRIM( CRT50_TBPARBIN.CRT50DL_CKPRODUT ) = '', NULL, CRT50_TBPARBIN.CRT50DL_CKPRODUT )
WHERE CRT63_ADESECL.CESTADO = 'C' </t>
  </si>
  <si>
    <t>CRT50_TBPARBIN
CRT50_TBPARBIN
DCYR8101
TCT09_OPERCN</t>
  </si>
  <si>
    <t>Product Lvl 2:
TAT91 - CTABELA 593
TAT91 - CTABELA 593
TAT91 - CTABELA 925
TAT91 - CTABELA 925</t>
  </si>
  <si>
    <t xml:space="preserve">N\A
N\A
CRT50DL_CKSUBPRO </t>
  </si>
  <si>
    <t xml:space="preserve">SELECT IF( TRIM( crt50.CRT50DL_CKSUBPRO ) = '', NULL, crt50.CRT50DL_CKSUBPRO )
WHERE CRT63_ADESECL.CESTADO = 'C' </t>
  </si>
  <si>
    <t>Contract Static
Contracts - Cards
Transactions - Cards</t>
  </si>
  <si>
    <t>Account ID
Account ID
Account ID</t>
  </si>
  <si>
    <t>SELECT GENERAL_CONVERTER.CDM_VALUE
WHERE CRT63_ADESECL.CESTADO = 'C' AND GENERAL_CONVERTER.CODE CATEGORY = 'BANK_ID' AND GENERAL_CONVERTER.SOURCE_CODE = 'DC' AND GENERAL_CONVERTER.SOURCE_VALUE = ''</t>
  </si>
  <si>
    <t>CR - Cartões
CR - Cartões || TC - Terminal Contencioso
DC - Contas a Vista
TC - Terminal Contencioso</t>
  </si>
  <si>
    <t>N\A
N\A || N\A
N\A
N\A</t>
  </si>
  <si>
    <t>"31"
"31" || "31"
"#N/A"
"31"</t>
  </si>
  <si>
    <t>Contract identifier of the current account that anchors the card plan.</t>
  </si>
  <si>
    <t>CRT07_TBCTATAR
CRT63_ADESECL
CRTA8_TBBENAUX
INTERFACE_DCT01
TCT09_OPERCN
GENERAL_CONVERTER
LITIGATION_PRODUCT</t>
  </si>
  <si>
    <t>N\A
N\A
DADOSVAR1</t>
  </si>
  <si>
    <t xml:space="preserve">SELECT IF( TRIM( CRTA8_TBBENAUX.DADOSVAR1 ) = '',  NULL, CONCAT( CRTA8_TBBENAUX.DADOSVAR1, '000000000000000' ) )
WHERE CRT63_ADESECL.CESTADO = 'C' </t>
  </si>
  <si>
    <t>CRTA8_TBBENAUX
CRTA8_TBBENAUX || TCT09_OPERCN
N\A
TCT09_OPERCN</t>
  </si>
  <si>
    <t>CONCAT( DADOSVAR1, "000000000000000" )
CONCAT( DADOSVAR1, "000000000000000" ) || CONCAT( CKBALDO, CKCTADO, "000000000000000" )
N\A
CONCAT( CKBALDO, CKCTADO, "000000000000000" )</t>
  </si>
  <si>
    <t>N\A
N\A
"#NA"
N\A</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</si>
  <si>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</si>
  <si>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</si>
  <si>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</si>
  <si>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Contract identifier of the card account associated with the credit card plan.</t>
  </si>
  <si>
    <t xml:space="preserve">SELECT IF( TRIM( CONCAT( CRT07_TBCTATAR.CKBALCAO, CRT07_TBCTATAR.CKNUMCTA ) ) = '', NULL, CONCAT( CRT07_TBCTATAR.CKBALCAO, crt07.CKNUMCTA ) )
WHERE CRT63_ADESECL.CESTADO = 'C' </t>
  </si>
  <si>
    <t>CRT07_TBCTATAR
CRT07_TBCTATAR
N\A
N\A</t>
  </si>
  <si>
    <t>CONCAT ( CKBALCAO, CKNUMCTA )
CONCAT ( CKBALCAO, CKNUMCTA )
N\A
N\A</t>
  </si>
  <si>
    <t>N\A
DTINTENC</t>
  </si>
  <si>
    <t xml:space="preserve">SELECT IF( TRIM( CRT63_ADESECL.DTINTENC ) = '', NULL, CAST( CRT63_ADESECL.DTINTENC AS STRING ) )
WHERE CRT63_ADESECL.CESTADO = 'C' </t>
  </si>
  <si>
    <t>CRT63_ADESECL
CRT07_TBCTATAR
DCYR8101
TCT09_OPERCN</t>
  </si>
  <si>
    <t>DTINTENC
FECALTA
DABERTUR
DCONTRAT</t>
  </si>
  <si>
    <t>N\A
DTCRIA , ZTOTPREST</t>
  </si>
  <si>
    <t xml:space="preserve">SELECT CAST( ADD_MONTHS( CRT63_ADESECL.DTCRIA , CRT63_ADESECL.ZTOTPREST ) AS STRING )
WHERE CRT63_ADESECL.CESTADO = 'C' </t>
  </si>
  <si>
    <t>CRT63_ADESECL
N\A || TCT09_OPERCN
N\A
TCT09_OPERCN</t>
  </si>
  <si>
    <t>DATE_ADD_MONTH( DTCRIA, ZTOTPREST )
N\A || DVENCIM
N\A
DVENCIM</t>
  </si>
  <si>
    <t>N\A
"9999-12-31" || N\A
"9999-12-31"
N\A</t>
  </si>
  <si>
    <t>Currency:
TAT91 - CTABELA 206
TAT91 - CTABELA 206
TAT91 - CTABELA 206
TAT91 - CTABELA 206</t>
  </si>
  <si>
    <t>CLAMONEUR 
N\A</t>
  </si>
  <si>
    <t xml:space="preserve">SELECT IF( TRIM( CRT07_TBCTATAR.CLAMONEUR ) = '', NULL, CRT07_TBCTATAR.CLAMONEUR )
WHERE CRT63_ADESECL.CESTADO = 'C' </t>
  </si>
  <si>
    <t>CR - Cartões
CR - Cartões
DC - Contas a Vista
TC - Terminal Contencioso -&gt; TA - Tabelas Gerais</t>
  </si>
  <si>
    <t>CRT07_TBCTATAR
CRT07_TBCTATAR
DCYR8101
TCT09_OPERCN -&gt;  TAT91_TABELAS</t>
  </si>
  <si>
    <t>CLAMONEUR
CLAMONEUR
CMOEDA
CMOEDALF -&gt; CELEMTAB</t>
  </si>
  <si>
    <t xml:space="preserve">SELECT '0'
WHERE CRT63_ADESECL.CESTADO = 'C' </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</si>
  <si>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</si>
  <si>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</si>
  <si>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</si>
  <si>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</si>
  <si>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</si>
  <si>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N\A
N\A</t>
  </si>
  <si>
    <t>Repayment Type</t>
  </si>
  <si>
    <t xml:space="preserve">SELECT '#N/A'
WHERE CRT63_ADESECL.CESTADO = 'C' </t>
  </si>
  <si>
    <t>N\A
CRT07_TBCTATAR
N\A
N\A</t>
  </si>
  <si>
    <t>N\A
FORPAGO
N\A
N\A</t>
  </si>
  <si>
    <t>"#N/A"
N\A
"#N/A"
"#N/A"</t>
  </si>
  <si>
    <t>Fixed Repayment Amount</t>
  </si>
  <si>
    <t>fixed_repayment_amount</t>
  </si>
  <si>
    <t>In case of fixed payment, the amount set by the client to repay each month.</t>
  </si>
  <si>
    <t>Repayment Amount</t>
  </si>
  <si>
    <t>N\A
IMPFPAGOA
N\A
N\A</t>
  </si>
  <si>
    <t>Repayment Rate</t>
  </si>
  <si>
    <t>repayment_rate</t>
  </si>
  <si>
    <t>In case of minimum payment, the percentage of the balance set by the client to repay each month.</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</si>
  <si>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</si>
  <si>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</si>
  <si>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</si>
  <si>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</si>
  <si>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t>
  </si>
  <si>
    <t xml:space="preserve">SELECT CAST( CRT63_ADESECL.ZTOTPREST AS STRING )
WHERE CRT63_ADESECL.CESTADO = 'C' </t>
  </si>
  <si>
    <t>CRT63_ADESECL
N\A
N\A
N\A</t>
  </si>
  <si>
    <t>ZTOTPREST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</si>
  <si>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</si>
  <si>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</si>
  <si>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</si>
  <si>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N\A
MTRANSF</t>
  </si>
  <si>
    <t xml:space="preserve">SELECT  CAST( CRT63_ADESECL.MTRANSF AS DECIMAL( 23, 6 ) )
WHERE CRT63_ADESECL.CESTADO = 'C' </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</si>
  <si>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</si>
  <si>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</si>
  <si>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</si>
  <si>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</si>
  <si>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 xml:space="preserve">SELECT CAST( 0 AS DECIMAL( 23,6 ) )
WHERE CRT63_ADESECL.CESTADO = 'C' </t>
  </si>
  <si>
    <t>N\A
CR - GEYRN000 Carteira IC C36
N\A
N\A</t>
  </si>
  <si>
    <t>N\A
MONTANTE
N\A
N\A</t>
  </si>
  <si>
    <t>"0.00"
N\A
"0.00"
"0.00"</t>
  </si>
  <si>
    <t>Current Outstanding Balance</t>
  </si>
  <si>
    <t>current_outstanding_balance</t>
  </si>
  <si>
    <t>The amount which has been used but has not reach its maturity date and is yet to be repaid. This amount includes interests, commissions, taxes, etc.</t>
  </si>
  <si>
    <t>CRT07_TBCTATAR
CRT63_ADESECL
CRT73_PRESTECL
INTERFACE_DCT01
TCT09_OPERCN
GENERAL_CONVERTER
LITIGATION_PRODUCT</t>
  </si>
  <si>
    <t xml:space="preserve">N\A
N\A
MCAPPEND, MISELO, MJUROS </t>
  </si>
  <si>
    <t>SELECT IF( CRT73_PRESTECL.MCAPPEND IS NOT NULL,
    CAST( CRT73_PRESTECL.MCAPPEND + CRT73_PRESTECL.MISELO + CRT73_PRESTECL.MJUROS AS DECIMAL( 23, 6 ) ),
    CAST( 0 AS DECIMAL( 23, 6 ) ) )
WHERE CRT63_ADESECL.CESTADO = 'C'  AND CRT73_PRESTECL.CESTADO = 'A'</t>
  </si>
  <si>
    <t>CRT73_PRESTECL8 || N\A
(1)CRT07_TBCTATAR + (2)CRT14_TBMOROSO || N\A
N\A
N\A</t>
  </si>
  <si>
    <t>MCAPPEND + MISELO + MJUROS || N\A
(1)SALDISCRE - (2)TOTDEUDAACT || N\A
N\A
N\A</t>
  </si>
  <si>
    <t>N\A
N\A
MCAPPEND</t>
  </si>
  <si>
    <t>SELECT IF( CRT73_PRESTECL.MCAPPEND IS NOT NULL,
    CAST( CRT73_PRESTECL.MCAPPEND AS DECIMAL( 23, 6 ) ),
    CAST( 0 AS DECIMAL( 23, 6 ) )
WHERE CRT63_ADESECL.CESTADO = 'C'  AND CRT73_PRESTECL.CESTADO = 'A' AND MIN( CRT73_PRESTECL.ZPREST )</t>
  </si>
  <si>
    <t>CRT73_PRESTECL || N\A
N\A
N\A
N\A</t>
  </si>
  <si>
    <t>MCAPPEND || N\A
N\A
N\A
N\A</t>
  </si>
  <si>
    <t>N\A || "0.00"
"NULL"
"0.00"
"0.00"</t>
  </si>
  <si>
    <t>Current principal amount which has been used but has reached its maturity date and is yet to be repaid. This field is only applies to revolving plans.</t>
  </si>
  <si>
    <t xml:space="preserve">SELECT CAST( 0 AS DECIMAL( 23, 6 ) )
WHERE CRT63_ADESECL.CESTADO = 'C' </t>
  </si>
  <si>
    <t>N\A
CRT14_TBMOROSO || N\A
DCYR8101
N\A</t>
  </si>
  <si>
    <t>N\A
CAPITALACT || N\A
( ( - MSALDO ) )
N\A</t>
  </si>
  <si>
    <t>"0.00"
N\A || "0.00"
N\A
"0.00"</t>
  </si>
  <si>
    <t>N\A
N\A || TCT01_POSDIVID
N\A
TCT01_POSDIVID</t>
  </si>
  <si>
    <t>N\A
N\A || MCAPITALD
N\A
MCAPITALD</t>
  </si>
  <si>
    <t>"0.00"
"0.00" || N\A
"0.00"
N\A</t>
  </si>
  <si>
    <t>The principal amount to be paid in the next ordinary installment of the loan. If the loan has payed all the installments, this field is not applicable.</t>
  </si>
  <si>
    <t>SELECT NULL
WHERE CRT63_ADESECL.CESTADO = 'C' AND CRT73_PRESTECL.CESTADO = 'A' AND MIN( CRT73_PRESTECL.ZPREST )</t>
  </si>
  <si>
    <t>N\A
CRT85_TBGRULIQ
N\A
N\A</t>
  </si>
  <si>
    <t>N\A
FECPROEMI
N\A
N\A</t>
  </si>
  <si>
    <t>"NULL"
N\A
"#N/A"
"#N/A"</t>
  </si>
  <si>
    <t>Next Regular Amortization Principal Amount</t>
  </si>
  <si>
    <t>next_regular_amort_principal_amt</t>
  </si>
  <si>
    <t>Date in which the last amortization associated with the loan was payed. If the loan does not have a past amortization, this field is not applicable.</t>
  </si>
  <si>
    <t xml:space="preserve">N\A
N\A
MCAPPEND, MCAP </t>
  </si>
  <si>
    <t>SELECT IF( CRT73_PRESTECL.MCAPPEND IS NOT NULL,
    CAST( CAST( CRT73_PRESTECL.MCAP AS DECIMAL( 23, 6 ) ) AS STRING ),
    '#N/A' )
WHERE CRT63_ADESECL.CESTADO = 'C' AND CRT73_PRESTECL.CESTADO = 'A' AND MIN( CRT73_PRESTECL.ZPREST )</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</si>
  <si>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</si>
  <si>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</si>
  <si>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</si>
  <si>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</si>
  <si>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</si>
  <si>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N\A
N\A
DTENVIO</t>
  </si>
  <si>
    <t>SELECT IF( TRIM( CRT73_PRESTECL.DTENVIO ) = '', NULL, CAST( CRT73_PRESTECL.DTENVIO AS STRING ) ) 
WHERE CRT63_ADESECL.CESTADO = 'C' AND CRT63_ADESECL.CESTADO IN ( 'P', 'E', 'L' ) AND MAX( CRT73_PRESTECL.ZPREST )</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</si>
  <si>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</si>
  <si>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</si>
  <si>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</si>
  <si>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</si>
  <si>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</si>
  <si>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N\A
N\A
MCAP </t>
  </si>
  <si>
    <t>SELECT CAST( CAST( CRT73_PRESTECL.MCAP AS DECIMAL( 23, 6 ) ) AS STRING )
WHERE CRT63_ADESECL.CESTADO = 'C' AND CRT63_ADESECL.CESTADO IN ( 'P', 'E', 'L' ) AND MAX( CRT73_PRESTECL.ZPREST )</t>
  </si>
  <si>
    <t>N\A
"NULL"
"#N/A"
"#N/A"</t>
  </si>
  <si>
    <t>Last Early Amortization Payment Date</t>
  </si>
  <si>
    <t>last_early_amort_pay_date</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</si>
  <si>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</si>
  <si>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</si>
  <si>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</si>
  <si>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</si>
  <si>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</si>
  <si>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N\A
IMPFAC
N\A
N\A</t>
  </si>
  <si>
    <t>Date in which the last ordinary installment payment associated with the card account plan was made. If the plan does not a past payment than this field is not applicable.</t>
  </si>
  <si>
    <t>SELECT IF( TRIM( CRT73_PRESTECL.DTENVIO ) = '', NULL, CAST( CRT73_PRESTECL.DTENVIO AS STRING ) )
WHERE CRT63_ADESECL.CESTADO = 'C' AND CRT63_ADESECL.CESTADO IN ( 'P', 'E', 'L' ) AND MAX( CRT73_PRESTECL.ZPREST )</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</si>
  <si>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</si>
  <si>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</si>
  <si>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</si>
  <si>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N\A
N\A
MCAP</t>
  </si>
  <si>
    <t>SELECT IF( TRIM( CRT73_PRESTECL.MCAP ) = '', NULL, CAST( CRT73_PRESTECL.MCAP AS STRING ) )
WHERE CRT63_ADESECL.CESTADO = 'C' AND CRT63_ADESECL.CESTADO IN ( 'P', 'E', 'L' ) AND MAX( CRT73_PRESTECL.ZPREST )</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</si>
  <si>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</si>
  <si>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</si>
  <si>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</si>
  <si>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</si>
  <si>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t>
  </si>
  <si>
    <t>SELECT CAST( CRT73_PRESTECL.ZPREST AS STRING )
WHERE CRT63_ADESECL.CESTADO = 'C' AND CRT63_ADESECL.CESTADO IN ( 'P', 'E', 'L' ) AND MAX( CRT73_PRESTECL.ZPREST )</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</si>
  <si>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</si>
  <si>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</si>
  <si>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</si>
  <si>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</si>
  <si>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</si>
  <si>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 xml:space="preserve">SELECT 'FIX'
WHERE CRT63_ADESECL.CESTADO = 'C' </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</si>
  <si>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</si>
  <si>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</si>
  <si>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</si>
  <si>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</si>
  <si>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</si>
  <si>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</si>
  <si>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N\A
TAXA</t>
  </si>
  <si>
    <t xml:space="preserve">SELECT CAST( CRT63_ADESECL.TAXA AS DECIMAL( 23, 6 ) )
WHERE CRT63_ADESECL.CESTADO = 'C' </t>
  </si>
  <si>
    <t>TAXA
TAN
N\A
N\A</t>
  </si>
  <si>
    <t>N\A
N\A
"NULL"
"NULL"</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</si>
  <si>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</si>
  <si>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</si>
  <si>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</si>
  <si>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CRT63_ADESECL
CRT07_TBCTATAR || N\A
N\A
N\A</t>
  </si>
  <si>
    <t>Revolving Plan Indicator</t>
  </si>
  <si>
    <t>revolving_plan_indicator</t>
  </si>
  <si>
    <t>Ext Inf - Con Inf - Ind</t>
  </si>
  <si>
    <t>Indicates if it is a revolving plan. Besides a revolving plan it can be a card loan plan.</t>
  </si>
  <si>
    <t>"0"
"1"
"1"
"1"</t>
  </si>
  <si>
    <t>Contract Status:
N\A ( A - Agendado; C - Criado; L - Liquidado; N - Cancelado; P - Pago; R - Incumprimento; S - Substítuido; X - Para Cancelar Plano; Y - Plano Indevidamente criado )
TAT91 - CTABELA 592
TAT91 - CTABELA 205
TAT91 - CTABELA W98</t>
  </si>
  <si>
    <t>CRT63_ADESECL
CRT07_TBCTATAR 
DCYR8101
TCT09_OPERCN</t>
  </si>
  <si>
    <t>CESTADO
BLOQUEACT
CSITCTA
ISITUAC</t>
  </si>
  <si>
    <t>Contract Opening Channel:
N\A
N\A
N\A</t>
  </si>
  <si>
    <t>PR, NG - Propostas
PR, NG - Propostas
DC - Contas a Vista
TC - Terminal Contencioso</t>
  </si>
  <si>
    <t>PRT01_PROPOSTAS
PRT01_PROPOSTAS
N\A
N\A</t>
  </si>
  <si>
    <t>CONCAT( CKUOEMI, CCANLCAP )
CONCAT( CKUOEMI, CCANLCAP )
N\A
N\A</t>
  </si>
  <si>
    <t xml:space="preserve"> N\A
N\A
"Branch"
"Branch"</t>
  </si>
  <si>
    <t>Source:
N\A
N\A || N\A
N\A
N\A</t>
  </si>
  <si>
    <t>"CR"
"CR" || "TC"
"DC"
"TC"</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</si>
  <si>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</si>
  <si>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</si>
  <si>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</si>
  <si>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</si>
  <si>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</si>
  <si>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TCT09_OPERCN
GENERAL_CODE_CONVERTER</t>
  </si>
  <si>
    <t>SELECT GENERAL_CODE_CONVERTER.CDM_VALUE
WHERE ( INTERFACE_DCT01.DCYR8101_CSITCTA IN ( '0', '1', '2', '3', '5', '6', '7', '8', '9' ) OR TCT09_OPERN.CKBALCAO IS NOT NULL ) AND INTERFACE_DCT01.DCYR8101_CFAMILIA IN ( 'ME', 'MN' ) AND GENERAL_CODE_CONVERTER.SOURCE_CODE = 'DC' AND GENERAL_CODE_CONVERTER.CODE_CATEGORY = 'bank_id' AND GENERAL_CODE_CONVERTER.SOURCE_VALUE = '' AND GENERAL_CODE_CONVERTER.PRIORITY_LEVEL = '1'</t>
  </si>
  <si>
    <t>CURATED_INTERNAL_MAINFRAME_CONTAS
CURATED_INTERNAL_MAINFRAME_CONTENCIOSO</t>
  </si>
  <si>
    <t>INTERFACE_DCT01
TCT09_OPERCN</t>
  </si>
  <si>
    <t>DCYR8101_CKBALCAO, DCYR8101_CKNUMCTA
N\A</t>
  </si>
  <si>
    <t xml:space="preserve">SELECT CONCAT( INTERFACE_DCT01.DCYR8101_CKBALCAO, INTERFACE_DCT01.DCYR8101_CKNUMCTA, '000000000000000' )
WHERE ( INTERFACE_DCT01.DCYR8101_CSITCTA IN ( '0', '1', '2', '3', '5', '6', '7', '8', '9' ) OR TCT09_OPERN.CKBALCAO IS NOT NULL ) AND INTERFACE_DCT01.DCYR8101_CFAMILIA IN ( 'ME', 'MN' ) </t>
  </si>
  <si>
    <t>DCYR8101</t>
  </si>
  <si>
    <t>CONCAT (CKBALCAO, CKNUMCTA, "000000000000000" )</t>
  </si>
  <si>
    <t>SELECT IF( TRIM( INTERFACE_DCT01.DCYR_8101_CFAMILIA ) = '', NULL, GENERAL_CODE_CONVERTER.CDM_VALUE
WHERE ( INTERFACE_DCT01.DCYR8101_CSITCTA IN ( '0', '1', '2', '3', '5', '6', '7', '8', '9' ) OR TCT09_OPERN.CKBALCAO IS NOT  NULL ) AND INTERFACE_DCT01.DCYR8101_CFAMILIA IN ( 'ME', 'MN' ) AND GENERAL_CODE_CONVERTER.SOURCE_CODE = 'DC' AND GENERAL_CODE_CONVERTER.CODE_CATEGORY = 'product_family_id' AND GENERAL_CODE_CONVERTER.SOURCE_VALUE = INTERFACE_DCT01.DCYR_8101_CFAMILIA AND GENERAL_CODE_CONVERTER.PRIORITY_LEVEL = '1'</t>
  </si>
  <si>
    <t>DC -  Contas a Vista</t>
  </si>
  <si>
    <t>CFAMILIA</t>
  </si>
  <si>
    <t>Product Lvl 1
TAT91_TABELAS - CTABELA 925; CURATED_INTERNAL_MAINFRAME_ESTRUTURAIS.TAT91_TABELAS - TAYD91C0_CTABELA 925</t>
  </si>
  <si>
    <t>DCYR8101_CKPRODUT
N\A</t>
  </si>
  <si>
    <t xml:space="preserve">SELECT IF( TRIM( INTERFACE_DCT01.DCYR8101_CKPRODUT ) = '', NULL, INTERFACE_DCT01.DCYR8101_CKPRODUT  )
WHERE ( INTERFACE_DCT01.DCYR8101_CSITCTA IN ( '0', '1', '2', '3', '5', '6', '7', '8', '9' ) OR TCT09_OPERN.CKBALCAO IS NOT NULL ) AND INTERFACE_DCT01.DCYR8101_CFAMILIA IN ( 'ME', 'MN' ) </t>
  </si>
  <si>
    <t>Product Lvl 2
TAT91_TABELAS - CTABELA 925; CURATED_INTERNAL_MAINFRAME_ESTRUTURAIS.TAT91_TABELAS - TAYD91C0_CTABELA 925</t>
  </si>
  <si>
    <t>DCYR8101_CKSUBPRO
N\A</t>
  </si>
  <si>
    <t xml:space="preserve">SELECT IF( TRIM( INTERFACE_DCT01.DCYR8101_CKSUBPRO ) = '', NULL, INTERFACE_DCT01.DCYR8101_CKSUBPRO  )
WHERE ( INTERFACE_DCT01.DCYR8101_CSITCTA IN ( '0', '1', '2', '3', '5', '6', '7', '8', '9' ) OR TCT09_OPERN.CKBALCAO IS NOT  NULL ) AND INTERFACE_DCT01.DCYR8101_CFAMILIA IN ( 'ME', 'MN' ) </t>
  </si>
  <si>
    <t>DCYR8101_DABERTUR 
N\A</t>
  </si>
  <si>
    <t xml:space="preserve">SELECT IF( TRIM( INTERFACE_DCT01.DCYR8101_DABERTUR ) = '', NULL, CAST( INTERFACE_DCT01.DCYR8101_DABERTUR  AS STRING ) )
WHERE ( INTERFACE_DCT01.DCYR8101_CSITCTA IN ( '0', '1', '2', '3', '5', '6', '7', '8', '9' ) OR TCT09_OPERN.CKBALCAO IS NOT  NULL ) AND INTERFACE_DCT01.DCYR8101_CFAMILIA IN ( 'ME', 'MN' ) </t>
  </si>
  <si>
    <t xml:space="preserve">SELECT '9999-12-31' 
WHERE ( INTERFACE_DCT01.DCYR8101_CSITCTA IN ( '0', '1', '2', '3', '5', '6', '7', '8', '9' ) OR TCT09_OPERN.CKBALCAO IS NOT NULL ) AND INTERFACE_DCT01.DCYR8101_CFAMILIA IN ( 'ME', 'MN' ) </t>
  </si>
  <si>
    <t>Contract Static
Balances
Contracts - Accounts</t>
  </si>
  <si>
    <t>DCYR8101_CMOEDA
N\A</t>
  </si>
  <si>
    <t xml:space="preserve">SELECT IF( TRIM( INTERFACE_DCT01.DCYR8101_CMOEDA ) = '', NULL, INTERFACE_DCT01.DCYR8101_CMOEDA )
WHERE ( INTERFACE_DCT01.DCYR8101_CSITCTA IN ( '0', '1', '2', '3', '5', '6', '7', '8', '9' ) OR TCT09_OPERN.CKBALCAO IS NOT NULL ) AND INTERFACE_DCT01.DCYR8101_CFAMILIA IN ( 'ME', 'MN' ) </t>
  </si>
  <si>
    <t>SEELECT IF( TCT09_OPERCN.CKBALCAO IS NULL, '0', '1' )
WHERE ( INTERFACE_DCT01.DCYR8101_CSITCTA IN ( '0', '1', '2', '3', '5', '6', '7', '8', '9' ) OR TCT09_OPERN.CKBALCAO IS NOT NULL ) AND INTERFACE_DCT01.DCYR8101_CFAMILIA IN ( 'ME', 'MN' )  AND TCT09_OPERCN.ISITAUAC = '1'  AND GROUP BY ( TCT09_OPERCN.CKBALCAO, TCT09_OPERCN.CKNUMCTA )</t>
  </si>
  <si>
    <t>DC -  Contas a Vista || TC - Terminal Contencioso</t>
  </si>
  <si>
    <t>Current Ledger Balance</t>
  </si>
  <si>
    <t>current_ledger_balance</t>
  </si>
  <si>
    <t>Represents the total amount associated to the account. This amount includes pending or on hold transactions.</t>
  </si>
  <si>
    <t>DCYR8101_MSALDO 
N\A</t>
  </si>
  <si>
    <t xml:space="preserve">SELECT CAST( INTERFACE_DCT01.DCYR8101_MSALDO AS DECIMAL( 23, 6 ) )
WHERE ( INTERFACE_DCT01.DCYR8101_CSITCTA IN ( '0', '1', '2', '3', '5', '6', '7', '8', '9' ) OR TCT09_OPERN.CKBALCAO IS NOT NULL ) AND INTERFACE_DCT01.DCYR8101_CFAMILIA IN ( 'ME', 'MN' ) </t>
  </si>
  <si>
    <t>Current Reserved Balance</t>
  </si>
  <si>
    <t>current_reserved_balance</t>
  </si>
  <si>
    <t>Represents the amount that is set aside in the account and it is not available for usage.</t>
  </si>
  <si>
    <t>DCYR8101_MSLDCAT
N\A</t>
  </si>
  <si>
    <t xml:space="preserve">SELECT CAST( INTERFACE_DCT01.DCYR8101_MSLDCAT AS DECIMAL( 23, 6 ) )
WHERE ( INTERFACE_DCT01.DCYR8101_CSITCTA IN ( '0', '1', '2', '3', '5', '6', '7', '8', '9' ) OR TCT09_OPERN.CKBALCAO IS NOT NULL ) AND INTERFACE_DCT01.DCYR8101_CFAMILIA IN ( 'ME', 'MN' ) </t>
  </si>
  <si>
    <t>MSLDCAT</t>
  </si>
  <si>
    <t>Current Available Balance</t>
  </si>
  <si>
    <t>current_available_balance</t>
  </si>
  <si>
    <t>Represents the amount associated to the account and immediately accessible for use. This amount does not include pending or on hold transactions.</t>
  </si>
  <si>
    <t>DCYR8101_MSALDODI 
N\A</t>
  </si>
  <si>
    <t xml:space="preserve">SELECT CAST( INTERFACE_DCT01.DCYR8101_MSALDODI AS DECIMAL ( 23, 6 ) )
WHERE ( INTERFACE_DCT01.DCYR8101_CSITCTA IN ( '0', '1', '2', '3', '5', '6', '7', '8', '9' ) OR TCT09_OPERN.CKBALCAO IS NOT NULL ) AND INTERFACE_DCT01.DCYR8101_CFAMILIA IN ( 'ME', 'MN' ) </t>
  </si>
  <si>
    <t>MSALDODI</t>
  </si>
  <si>
    <t>Current Overdraft Authorized Amount</t>
  </si>
  <si>
    <t>cur_ovrdrft_authorized_amt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</si>
  <si>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</si>
  <si>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</si>
  <si>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</si>
  <si>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</si>
  <si>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</si>
  <si>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</si>
  <si>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t xml:space="preserve">SELECT CAST( INTERFACE_DCT01.DCYR8101_MDESAUT AS DECIMAL( 23, 6 ) )
WHERE ( INTERFACE_DCT01.DCYR8101_CSITCTA IN ( '0', '1', '2', '3', '5', '6', '7', '8', '9' ) OR TCT09_OPERN.CKBALCAO IS NOT NULL ) AND INTERFACE_DCT01.DCYR8101_CFAMILIA IN ( 'ME', 'MN' ) </t>
  </si>
  <si>
    <t>MDESAUT</t>
  </si>
  <si>
    <t>Current Overdraft Available Amount</t>
  </si>
  <si>
    <t>cur_overdraft_available_amt</t>
  </si>
  <si>
    <t xml:space="preserve">Current amount that can be used as overdraft. </t>
  </si>
  <si>
    <t>DCYR8101_MDESAUT, DCYR8101_MSALDODI  
N\A</t>
  </si>
  <si>
    <t xml:space="preserve">SELECT CASE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INTERFACE_DCT01.DCYR8101_MSALDODI AS DECIMAL( 23, 6 ) )
WHERE ( INTERFACE_DCT01.DCYR8101_CSITCTA IN ( '0', '1', '2', '3', '5', '6', '7', '8', '9' ) OR TCT09_OPERN.CKBALCAO IS NOT NULL ) AND INTERFACE_DCT01.DCYR8101_CFAMILIA IN ( 'ME', 'MN' ) </t>
  </si>
  <si>
    <t>DCYR8101 || DCYR8101 || DCYR8101</t>
  </si>
  <si>
    <t>N\A || MDESAUT || MDESAUT - (  MSALDODI &lt; 0 )</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</si>
  <si>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</si>
  <si>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</si>
  <si>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</si>
  <si>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</si>
  <si>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</si>
  <si>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t xml:space="preserve">SELECT CASE
     WHEN INTERFACE_DCT01.DCYR8101_MSALDODI &lt; 0 AND ( - INTERFACE_DCT01.DCYR8101_MSALDODI ) &lt; INTERFACE_DCT01.DCYR8101_MDESAUT THEN CAST( - INTERFACE_DCT01.DCYR8101_MSALDODI AS DECIMAL( 23, 6 ) )
     ELSE CAST( 0.00 AS DECIMAL( 23, 6 ) )
WHERE INTERFACE_DCT01.DCYR8101_CSITCTA IN ( '0', '1', '2', '3', '7', '8' ) AND INTERFACE_DCT01.DCYR8101_CFAMILIA IN ( 'ME', 'MN' )SELECT CAST( 0.00 AS DECIMAL( 23, 6 ) )
WHERE ( INTERFACE_DCT01.DCYR8101_CSITCTA IN ( '0', '1', '2', '3', '5', '6', '7', '8', '9' ) OR TCT09_OPERN.CKBALCAO IS NOT NULL ) AND INTERFACE_DCT01.DCYR8101_CFAMILIA IN ( 'ME', 'MN' ) </t>
  </si>
  <si>
    <t>DCYR8101 || DCYR8101</t>
  </si>
  <si>
    <t>( - MSALDODI ) || N\A</t>
  </si>
  <si>
    <t>N\A || "0.00"</t>
  </si>
  <si>
    <t>Current Overdraft Overdue Principal Balance</t>
  </si>
  <si>
    <t>cur_ovrdrft_overdue_princip_bal</t>
  </si>
  <si>
    <t>Current principal amount of the account's overdraft which has been used but has reached its maturity date and is yet to be repaid.</t>
  </si>
  <si>
    <t xml:space="preserve">SELECT CASE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TCT09_OPERN.CKBALCAO IS NOT NULL ) AND INTERFACE_DCT01.DCYR8101_CFAMILIA IN ( 'ME', 'MN' ) </t>
  </si>
  <si>
    <t>( - ( ( MSALDODI &lt; 0 ) - MDESAUT &lt; 0 ) ) || N\A</t>
  </si>
  <si>
    <t>Current Overdraft Debt Litigation Principal Balance</t>
  </si>
  <si>
    <t>cur_ovrdrft_debt_litig_princ_bal</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</si>
  <si>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</si>
  <si>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</si>
  <si>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</si>
  <si>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TCT09_OPERN.CKBALCAO IS NOT NULL ) AND INTERFACE_DCT01.DCYR8101_CFAMILIA IN ( 'ME', 'MN' ) AND TCT09_OPERCN.ISITAUAC = '1' AND TCT01_POSDIVID.IATIVO = 'S' AND SUM( MCAPITALD ) AND GROUP BY ( TCT09_OPERCN.CKBALCAO, TCT09_OPERCN.CKNUMCTA )</t>
  </si>
  <si>
    <t>TC - Terminal Contencioso</t>
  </si>
  <si>
    <t>TCT01_POSDIVID || N\A</t>
  </si>
  <si>
    <t>MCAPITALD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</si>
  <si>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</si>
  <si>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</si>
  <si>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</si>
  <si>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</si>
  <si>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</si>
  <si>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</si>
  <si>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</si>
  <si>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</si>
  <si>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</si>
  <si>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</si>
  <si>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</si>
  <si>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</si>
  <si>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</si>
  <si>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</si>
  <si>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</si>
  <si>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</si>
  <si>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</si>
  <si>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</si>
  <si>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</si>
  <si>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</si>
  <si>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</si>
  <si>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</si>
  <si>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</si>
  <si>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</si>
  <si>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</si>
  <si>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</si>
  <si>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</si>
  <si>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</si>
  <si>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</si>
  <si>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</si>
  <si>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</si>
  <si>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</si>
  <si>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</si>
  <si>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</si>
  <si>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</si>
  <si>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</si>
  <si>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GENERAL_CODE_CONVERTER.CDM_VALUE),
    IF( TRIM(TCT09_OPERCN.ISITUAC ) = '', 
        NULL,
        GENERAL_CODE_CONVERTER.CDM_VALUE)
WHERE ( INTERFACE_DCT01.DCYR8101_CSITCTA IN ( '0', '1', '2', '3', '5', '6', '7', '8', '9' ) OR TCT09_OPERN.CKBALCAO IS NOT NULL ) AND INTERFACE_DCT01.DCYR8101_CFAMILIA IN ( 'ME', 'MN' ) AND GENERAL_CODE_CONVERTER.SOURCE_CODE = 'DC' AND GENERAL_CODE_CONVERTER.CODE_CATEGORY = 'contract_status_code' AND ( GENERAL_CODE_CONVERTER.SOURCE_VALUE = INTERFACE_DCT01.DCYR8101_CSITCTA OR  GENERAL_CODE_CONVERTER.SOURCE_VALUE = TCT09_OPERCN.ISITUAC ) AND GENERAL_CODE_CONVERTER.PRIORITY_LEVEL = '1'</t>
  </si>
  <si>
    <t>DCYR8101 || TCT09_OPERCN</t>
  </si>
  <si>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</si>
  <si>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</si>
  <si>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</si>
  <si>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GENERAL_CODE_CONVERTER</t>
  </si>
  <si>
    <t>SELECT IF( TRIM( HISTORICO.CANAL_ENTRADA ) = '', NULL, GENERAL_CODE_CONVERTER.CDM_VALUE )
WHERE ( INTERFACE_DCT01.DCYR8101_CSITCTA IN ( '0', '1', '2', '3', '5', '6', '7', '8', '9' ) OR TCT09_OPERN.CKBALCAO IS NOT NULL ) AND INTERFACE_DCT01.DCYR8101_CFAMILIA IN ( 'ME', 'MN' ) AND GENERAL_CODE_CONVERTER.SOURCE_CODE = 'DC' AND GENERAL_CODE_CONVERTER.CODE_CATEGORY = 'contract_opening_channel_code' AND GENERAL_CODE_CONVERTER.SOURCE_VALUE = HISTORICO.CANAL_ENTRADA  AND GENERAL_CODE_CONVERTER.PRIORITY_LEVEL = '1'</t>
  </si>
  <si>
    <t>Source:
N\A; N\A || N\A; N\A</t>
  </si>
  <si>
    <t xml:space="preserve">SELECT IF( TCT09_OPERCN.CKBALCAO IS NULL, 'DC', 'TC' )
WHERE ( INTERFACE_DCT01.DCYR8101_CSITCTA IN ( '0', '1', '2', '3', '5', '6', '7', '8', '9' ) OR TCT09_OPERN.CKBALCAO IS NOT NULL ) AND INTERFACE_DCT01.DCYR8101_CFAMILIA IN ( 'ME', 'MN' ) </t>
  </si>
  <si>
    <t>"DC"</t>
  </si>
  <si>
    <t xml:space="preserve">SELECT INTERFACE_DCT01.DATA_DATE_PART
WHERE ( INTERFACE_DCT01.DCYR8101_CSITCTA IN ( '0', '1', '2', '3', '5', '6', '7', '8', '9' ) OR TCT09_OPERN.CKBALCAO IS NOT NULL ) AND INTERFACE_DCT01.DCYR8101_CFAMILIA IN ( 'ME', 'MN' ) </t>
  </si>
  <si>
    <t xml:space="preserve">SELECT NOW()
WHERE ( INTERFACE_DCT01.DCYR8101_CSITCTA IN ( '0', '1', '2', '3', '5', '6', '7', '8', '9' ) OR TCT09_OPERN.CKBALCAO IS NOT NULL ) AND INTERFACE_DCT01.DCYR8101_CFAMILIA IN ( 'ME', 'MN' ) </t>
  </si>
  <si>
    <t>Debit Card</t>
  </si>
  <si>
    <t>debit_card</t>
  </si>
  <si>
    <t>SELECT CRT09_TBTARJET.PAN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</si>
  <si>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Main Contract Bank ID</t>
  </si>
  <si>
    <t>main_contract_bank_id</t>
  </si>
  <si>
    <t>Identifier of the card account's contract bank that is associated to the physical debit card.</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</si>
  <si>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GENERAL_CONVERTER.CODE CATEGORY = 'BANK_ID' AND GENERAL_CONVERTER.SOURCE_CODE = 'CR' AND GENERAL_CONVERTER.SOURCE_VALUE = ''</t>
  </si>
  <si>
    <t>Main Contract ID</t>
  </si>
  <si>
    <t>main_contract_id</t>
  </si>
  <si>
    <t>Contract identifier of the card account's contract associated with the physic debit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</si>
  <si>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</si>
  <si>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</si>
  <si>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date the physic debit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</si>
  <si>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</si>
  <si>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expiration date of the physic debit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</si>
  <si>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</si>
  <si>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</si>
  <si>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</si>
  <si>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Status of the physic debit card.</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</si>
  <si>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GENERAL_CONVERTER.CODE CATEGORY = 'CARD_STATUS' AND GENERAL_CONVERTER.SOURCE_CODE = 'CR' AND 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</si>
  <si>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</si>
  <si>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NOW()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</si>
  <si>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Debit Card Account</t>
  </si>
  <si>
    <t>debit_card_account</t>
  </si>
  <si>
    <t>Contract Static
Contract Static
Contract basics low update
Contract basics medium update
Contract basics high update
Contract interest</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</si>
  <si>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GENERAL_CONVERTER.CODE CATEGORY = 'BANK_ID' AND GENERAL_CONVERTER.SOURCE_CODE = 'CR' AND GENERAL_CONVERTER.SOURCE_VALUE = ''</t>
  </si>
  <si>
    <t>Identifier of the card account's contract.</t>
  </si>
  <si>
    <t xml:space="preserve">SELECT CONCAT(CRT07_TBCTATAR.CKBALCAO, CRT07_TBCTATAR.CKNUMCTA)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</si>
  <si>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'PRODUCT_FAMILY_ID' AND GENERAL_CONVERTER.SOURCE_CODE = 'CR' AND GENERAL_CONVERTER.SOURCE_VALUE = ''</t>
  </si>
  <si>
    <t>Product Level 1</t>
  </si>
  <si>
    <t xml:space="preserve">SELECT IF( TRIM( CRT50_TBPARBIN.CRT50DL_CKPRODUT ) = '', NULL, TRIM( CRT50_TBPARBIN.CRT50DL_CKPRODUT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</si>
  <si>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Product Level 2</t>
  </si>
  <si>
    <t xml:space="preserve">SELECT IF( TRIM( CRT50_TBPARBIN.CRT50DL_CKSUBPRO ) = '', NULL, TRIM( CRT50_TBPARBIN.CRT50DL_CKSUBPRO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</si>
  <si>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Bank identifier (internal Santander’s company identification code) that is related to the current account contract which anchors the card account contract.</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</si>
  <si>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'BANK_ID' AND GENERAL_CONVERTER.SOURCE_CODE = 'DC' AND GENERAL_CONVERTER.SOURCE_VALUE = ''</t>
  </si>
  <si>
    <t>Contract identifier of the current account that anchors the card account's contract.</t>
  </si>
  <si>
    <t xml:space="preserve">SELECT IF( TRIM( CRTA8_TBBENAUX.DADOSVAR1 ) = '', NULL, CONCAT( CRTA8_TBBENAUX.DADOSVAR1, '000000000000000'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</si>
  <si>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DADOSVAR1</t>
  </si>
  <si>
    <t>Date in which the client opened and formalised the card account's contract.</t>
  </si>
  <si>
    <t xml:space="preserve">SELECT IF( TRIM( CRT07_TBCTATAR.FECALTA ) = '', NULL, CONCAT( SUBSTRING( CRT07_TBCTATAR.FECALTA, 1, 4 ), '-', SUBSTRING( CRT07_TBCTATAR.FECALTA, 5, 2 ), '-', SUBSTRING( CRT07_TBCTATAR.FECALTA, 7, 2 )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</si>
  <si>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'9999-12-31'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</si>
  <si>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currency.</t>
  </si>
  <si>
    <t xml:space="preserve">SELECT IF( TRIM( CRT07_TBCTATAR.CLAMONEUR ) = '', NULL, TRIM( CRT07_TBCTATAR.CLAMONEUR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</si>
  <si>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status.</t>
  </si>
  <si>
    <t>SELECT IF( TRIM( CRT07_TBCTATAR.BLOQUEACT ) = '', NULL, 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'CONTRACT_STATUS' AND GENERAL_CONVERTER.SOURCE_CODE = 'CR' AND GENERAL_CONVERTER.SOURCE_VALUE = CRT07_TBCTATAR.BLOQUEACT</t>
  </si>
  <si>
    <t>Identifier of the opening channel of the card account's contract.</t>
  </si>
  <si>
    <t>Contract Opening Channel:
N\A</t>
  </si>
  <si>
    <t>CURATED_INTERNAL_MAINFRAME_CARTOES
CURATED_INTERNAL_MAINFRAME_CARTOES
CURATED_INTERNAL_MAINFRAME_SEGURANCA
CURATED_INTERNAL_MAINFRAME_ESTRUTURAIS
OPERATIONS_COMMON_REFERENCEDATA</t>
  </si>
  <si>
    <t>CRT07_TBCTATAR
CRT68_TBHISBLQ
SET01_UTILIZA
TAT91_TABELAS
GENERAL_CONVERTER</t>
  </si>
  <si>
    <t>N\A
N\A
N\A
N\A
CDM_VALUE</t>
  </si>
  <si>
    <t>SELECT IF( TRIM( SUBSTR( TAT91_TABELAS.TAYD91C0_NELEMC13, 3, 3 ) ) ) = '', NULL, 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'OPENING_CHANNEL' AND GENERAL_CONVERTER.SOURCE_CODE = 'CR' AND GENERAL_CONVERTER.SOURCE_VALUE = SUBSTR( TAT91_TABELAS.TAYD91C0_NELEMC13, 3, 3 ) AND CRT68_TBHISBLQ.TEXTOBLQ LIKE 'INS. DE CONTA' AND CRT68_TBHISBLQ.USUARIO = SET01_UTILIZA.CKUTILIZ</t>
  </si>
  <si>
    <t>CRT68_TBHISBLQ -&gt; SET01_UTILIZA -&gt; TAT91_TABELAS</t>
  </si>
  <si>
    <t>USUARIO -&gt; CKBUTIL -&gt; NELEMC13</t>
  </si>
  <si>
    <t>N\A -&gt; N\A -&gt; N\A</t>
  </si>
  <si>
    <t>Source:
N\A</t>
  </si>
  <si>
    <t xml:space="preserve">SELECT 'CR'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</si>
  <si>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"CR"</t>
  </si>
  <si>
    <t xml:space="preserve">SELECT CRT07_TBCTATAR.DATA_DATE_PART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</si>
  <si>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NOW()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</si>
  <si>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Factoring Contract</t>
  </si>
  <si>
    <t>factoring_contract</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</si>
  <si>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</si>
  <si>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</si>
  <si>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</si>
  <si>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</si>
  <si>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</si>
  <si>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</si>
  <si>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</si>
  <si>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</si>
  <si>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</si>
  <si>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t>Product Lvl 1:
EUR_TABGERAL -  GER_CDTAGER 001
EUR_TABGERAL -  GER_CDTAGER 001
EUR_TABGERAL -  GER_CDTAGER 001
TAT91 - CTABELA 925</t>
  </si>
  <si>
    <t>SELECT ''000'
WHERE EUR_CREDITO.CRD_IDSITCRE = 'A'</t>
  </si>
  <si>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</si>
  <si>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</si>
  <si>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</si>
  <si>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</si>
  <si>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</si>
  <si>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</si>
  <si>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</si>
  <si>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</si>
  <si>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</si>
  <si>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</si>
  <si>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</si>
  <si>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</si>
  <si>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</si>
  <si>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</si>
  <si>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</si>
  <si>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</si>
  <si>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"#N/A"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</si>
  <si>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</si>
  <si>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</si>
  <si>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</si>
  <si>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</si>
  <si>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"#N/A"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</si>
  <si>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</si>
  <si>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</si>
  <si>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</si>
  <si>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</si>
  <si>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</si>
  <si>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</si>
  <si>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</si>
  <si>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</si>
  <si>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</si>
  <si>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</si>
  <si>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</si>
  <si>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</si>
  <si>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"#N/A"
"#N/A"</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</si>
  <si>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</si>
  <si>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</si>
  <si>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</si>
  <si>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</si>
  <si>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</si>
  <si>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</si>
  <si>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"#N/A"
"#N/A"</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</si>
  <si>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</si>
  <si>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</si>
  <si>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</si>
  <si>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</si>
  <si>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</si>
  <si>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</si>
  <si>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</si>
  <si>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"#N/A"
"#N/A"</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</si>
  <si>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</si>
  <si>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</si>
  <si>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</si>
  <si>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</si>
  <si>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</si>
  <si>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N\A
N\A
N\A
"#N/A"
"#N/A"</t>
  </si>
  <si>
    <t>EUR_CREDITO
EUR_PROCESSO
EUR_PROCESSO
DCYR8101
TCT09_OPERCN</t>
  </si>
  <si>
    <t>DTEMISSA
DTCONTRA
DTCONTRA
DABERTUR
DCONTRAT</t>
  </si>
  <si>
    <t>DTVENCIM
DTVENCIM
DTVENCIM
N\A
DVENCIM</t>
  </si>
  <si>
    <t>N\A
N\A
N\A
"9999-12-31"
N\A</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</si>
  <si>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</si>
  <si>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</si>
  <si>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</si>
  <si>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</si>
  <si>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</si>
  <si>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</si>
  <si>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BOOLEAN</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</si>
  <si>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</si>
  <si>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</si>
  <si>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</si>
  <si>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</si>
  <si>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N\A
N\A
N\A
"0.00"
"0.00"</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</si>
  <si>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</si>
  <si>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</si>
  <si>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</si>
  <si>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</si>
  <si>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</si>
  <si>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</si>
  <si>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</si>
  <si>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</si>
  <si>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"NULL"
"NULL"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</si>
  <si>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</si>
  <si>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</si>
  <si>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</si>
  <si>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</si>
  <si>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</si>
  <si>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</si>
  <si>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</si>
  <si>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</si>
  <si>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</si>
  <si>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</si>
  <si>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</si>
  <si>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</si>
  <si>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</si>
  <si>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"#N/A"
"#N/A"</t>
  </si>
  <si>
    <t>Corresponds to the date in which the effective payment related to the billing of the invoice, was made.  This field only applies to invoices, it does not apply to lines.</t>
  </si>
  <si>
    <t>DTCOBRAN
N\A
N\A
N\A
N\A</t>
  </si>
  <si>
    <t>VLTOTCOB
N\A
N\A
N\A
N\A</t>
  </si>
  <si>
    <t>N\A
"0.00"
"0.00"
"0.00"
"0.00"</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</si>
  <si>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</si>
  <si>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</si>
  <si>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</si>
  <si>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</si>
  <si>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</si>
  <si>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</si>
  <si>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</si>
  <si>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</si>
  <si>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</si>
  <si>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</si>
  <si>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</si>
  <si>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 Active Varibale Rate Indicator</t>
  </si>
  <si>
    <t>initial_active_variable_rate_ind</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</si>
  <si>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</si>
  <si>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</si>
  <si>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</si>
  <si>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"#NA"
"#NA"</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</si>
  <si>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</si>
  <si>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</si>
  <si>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</si>
  <si>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</si>
  <si>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</si>
  <si>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</si>
  <si>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</si>
  <si>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</si>
  <si>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</si>
  <si>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</si>
  <si>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</si>
  <si>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</si>
  <si>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</si>
  <si>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</si>
  <si>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</si>
  <si>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</si>
  <si>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</si>
  <si>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N\A
"0.00"
"0.00"
"NULL"
"NULL"</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</si>
  <si>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</si>
  <si>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</si>
  <si>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</si>
  <si>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</si>
  <si>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</si>
  <si>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N\A
"#N/A"
"#N/A"
"NULL"
"NULL"</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</si>
  <si>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</si>
  <si>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</si>
  <si>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</si>
  <si>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</si>
  <si>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</si>
  <si>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</si>
  <si>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</si>
  <si>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</si>
  <si>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</si>
  <si>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</si>
  <si>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</si>
  <si>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</si>
  <si>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</si>
  <si>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</si>
  <si>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"0"
"1"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</si>
  <si>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</si>
  <si>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</si>
  <si>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</si>
  <si>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</si>
  <si>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</si>
  <si>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</si>
  <si>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</si>
  <si>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</si>
  <si>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factoring_process</t>
  </si>
  <si>
    <t>CURATED_INTERNAL_EUROFAC
OPERATIONS_COMMON_REFERENCEDATA_CORE</t>
  </si>
  <si>
    <t>EUR_PROCESSO
GENERAL_CONVERTER</t>
  </si>
  <si>
    <t>SELECT GENERAL_CONVERTER.CDM_VALUE
WHERE EUR_PROCESSO.PRO_CDFASPRO = '05' AND GENERAL_CONVERTER.CODE CATEGORY = 'BANK_ID' AND GENERAL_CONVERTER.SOURCE_CODE = 'FA' AND GENERAL_CONVERTER.SOURCE_VALUE = ''</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</si>
  <si>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</si>
  <si>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</si>
  <si>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</si>
  <si>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</si>
  <si>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</si>
  <si>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</si>
  <si>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</si>
  <si>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</si>
  <si>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GENERAL_CONVERTER.CODE CATEGORY = 'BANK_ID'  AND  GENERAL_CONVERTER.SOURCE_CODE = 'DC' AND ( GENERAL_CONVERTER.SOURCE_VALUE = '' OR GENERAL_CONVERTER.SOURCE_VALUE = '#N/A' )</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</si>
  <si>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</si>
  <si>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</si>
  <si>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</si>
  <si>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</si>
  <si>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</si>
  <si>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</si>
  <si>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</si>
  <si>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</si>
  <si>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</si>
  <si>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</si>
  <si>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</si>
  <si>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GENERAL_CONVERTER.CODE CATEGORY = 'BANK_ID'  AND GENERAL_CONVERTER.SOURCE_CODE = 'DC' AND ( GENERAL_CONVERTER.SOURCE_VALUE = '' OR GENERAL_CONVERTER.SOURCE_VALUE = '#N/A' )</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</si>
  <si>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</si>
  <si>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</si>
  <si>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</si>
  <si>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</si>
  <si>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</si>
  <si>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</si>
  <si>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</si>
  <si>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</si>
  <si>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</si>
  <si>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</si>
  <si>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</si>
  <si>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</si>
  <si>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</si>
  <si>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</si>
  <si>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</si>
  <si>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</si>
  <si>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</si>
  <si>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</si>
  <si>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</si>
  <si>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</si>
  <si>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</si>
  <si>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</si>
  <si>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</si>
  <si>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</si>
  <si>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</si>
  <si>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</si>
  <si>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</si>
  <si>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</si>
  <si>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</si>
  <si>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</si>
  <si>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</si>
  <si>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Process Status:
EUR_TABGERAL -  GER_CDTAGER 006; CURATED_INTERNAL_EUROFAC.EUR_TABGERAL - GER_CDTABGER 006</t>
  </si>
  <si>
    <t>SELECT IF( TRIM( EUR_PROCESSO.PRO_CDFASPRO ) = '', NULL, GENERAL_CONVERTER.CDM_VALUE )
WHERE EUR_PROCESSO.PRO_CDFASPRO = '05' AND GENERAL_CONVERTER.CODE CATEGORY = 'CONTRACT_STATUS' AND GENERAL_CONVERTER.SOURCE_CODE = 'FA' AND GENERAL_CONVERTER.SOURCE_VALUE = EUR_PROCESSO.PRO_CDFASPRO</t>
  </si>
  <si>
    <t>CDFASPRO</t>
  </si>
  <si>
    <t>SELECT GENERAL_CONVERTER.CDM_VALUE
WHERE EUR_PROCESSO.PRO_CDFASPRO = '05' AND GENERAL_CONVERTER.CODE CATEGORY = 'OPENING_CHANNEL' AND GENERAL_CONVERTER.SOURCE_CODE = 'FA' AND GENERAL_CONVERTER.SOURCE_VALUE = 'BRANCH'</t>
  </si>
  <si>
    <t>SELECT EUR_PROCESSO.DATA_DATE_PART
WHERE EUR_PROCESSO.PRO_CDFASPRO = '05'</t>
  </si>
  <si>
    <t>SELECT NOW()
WHERE EUR_PROCESSO.PRO_CDFASPRO = '05'</t>
  </si>
  <si>
    <t>common_contracts_incomesavingsaccounts</t>
  </si>
  <si>
    <t>Income Saving Account</t>
  </si>
  <si>
    <t>incomesaving_account</t>
  </si>
  <si>
    <t>Contract ID
Contract Number
Contract ID
Contract ID
Contract ID
Contract ID
Contract ID</t>
  </si>
  <si>
    <t>CURATED_INTERNAL_MAINFRAME_CONTAS
OPERATION_COMMON_REFERENCEDATA_CORE</t>
  </si>
  <si>
    <t>INTERFACE_DCT01
GENERAL_CODE_CONVERTER</t>
  </si>
  <si>
    <t>SELECT GENERAL_CODE_CONVERTER.CDM_VALUE
WWHERE INTERFACE_DCT01.DCYR8101_CSITCTA IN ( '0', '1', '2', '3', '7', '8' ) AND INTERFACE_DCT01.DCRY8101_CFAMILIA = 'CR' AND GENERAL_CODE_CONVERTER.SOURCE_CODE = 'DC' AND GENERAL_CODE_CONVERTER.CODE_CATEGORY = 'BANK_ID' AND GENERAL_CODE_CONVERTER.SOURCE_VALUE = ''</t>
  </si>
  <si>
    <t>CURATED_INTERNAL_MAINFRAME_CONTAS</t>
  </si>
  <si>
    <t>DCYR8101_CKBALCAO, DCYR8101_CKNUMCTA</t>
  </si>
  <si>
    <t>SELECT CONCAT( INTERFACE_DCT01.DCYR8101_CKBALCAO, INTERFACE_DCT01.DCYR8101_CKNUMCTA, '000000000000000' )
WHERE INTERFACE_DCT01.DCYR8101_CSITCTA IN ( '0', '1', '2', '3', '7', '8' ) AND INTERFACE_DCT01.DCRY8101_CFAMILIA = 'CR'</t>
  </si>
  <si>
    <t>SELECT IF( TRIM( INTERFACE_DCT01.DCYR8101_CFAMILIA ) = '', NULL, GENERAL_CODE_CONVERTER.CDM_VALUE )
WHERE INTERFACE_DCT01.DCYR8101_CSITCTA IN ( '0', '1', '2', '3', '7', '8' ) AND INTERFACE_DCT01.DCRY8101_CFAMILIA = 'CR' AND GENERAL_CODE_CONVERTER.SOURCE_CODE = 'DC' AND GENERAL_CODE_CONVERTER.CODE_CATEGORY = 'PRODUCT_FAMILY_ID' AND GENERAL_CODE_CONVERTER.SOURCE_VALUE =  INTERFACE_DCT01.DCYR8101_CFAMILIA</t>
  </si>
  <si>
    <t>DCRYR8101_CKPRODUT</t>
  </si>
  <si>
    <t>SELECT IF( TRIM( INTERFACE_DCT01.DCRYR8101_CKPRODUT ) = '', NULL, INTERFACE_DCT01.DCRYR8101_CKPRODUT )
WHERE INTERFACE_DCT01.DCYR8101_CSITCTA IN ( '0', '1', '2', '3', '7', '8' ) AND INTERFACE_DCT01.DCRY8101_CFAMILIA = 'CR'</t>
  </si>
  <si>
    <t>DCYR8101_CKSUBPRO</t>
  </si>
  <si>
    <t>SELECT IF( TRIM( INTERFACE_DCT01.DCYR8101_CKSUBPRO ) = '', NULL, INTERFACE_DCT01.DCYR8101_CKSUBPRO )
WHERE INTERFACE_DCT01.DCYR8101_CSITCTA IN ( '0', '1', '2', '3', '7', '8' ) AND INTERFACE_DCT01.DCRY8101_CFAMILIA = 'CR'</t>
  </si>
  <si>
    <t>Bank identifier (internal Santander’s company identification code) that is related to the current account contract which anchors the saving account contract.</t>
  </si>
  <si>
    <t>SELECT GENERAL_CODE_CONVERTER.CDM_VALUE
WHERE INTERFACE_DCT01.DCYR8101_CSITCTA IN ( '0', '1', '2', '3', '7', '8' ) AND INTERFACE_DCT01.DCRY8101_CFAMILIA = 'CR' AND GENERAL_CODE_CONVERTER.SOURCE_CODE = 'DC' AND GENERAL_CODE_CONVERTER.CODE_CATEGORY = 'BANK_ID' AND GENERAL_CODE_CONVERTER.SOURCE_VALUE = ''</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</si>
  <si>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</si>
  <si>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</si>
  <si>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</si>
  <si>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</si>
  <si>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 xml:space="preserve">SELECT IF( TRIM( CONCAT( COINT_CTOLOC_P.E2616_IDCENT_L, COINT_CTOLOC_P.E2616_IDCONT_L ) ) = '', NULL, CONCAT( COINT_CTOLOC_P.E2616_IDCENT_L, COINT_CTOLOC_P.E2616_IDCONT_L, '000000000000000' ) )
WHERE INTERFACE_DCT01.DCYR8101_CSITCTA IN ( '0', '1', '2', '3', '7', '8' ) AND INTERFACE_DCT01.DCRY8101_CFAMILIA = 'CR' AND REL_CONTRATOS.RCC_CORELCC = '040'  AND REL_CONTRATOS.RCC_FEVENCIM = '9999-12-31' AND REL_CONTRATOS.RCC_TIPOSIT = '10'
</t>
  </si>
  <si>
    <t>TA - Tabelas Gerais</t>
  </si>
  <si>
    <t>REL_CONTRATOS -&gt; COINT_LOC_CP</t>
  </si>
  <si>
    <t>CONCAT( IDCENTRE, IDPRODRE, IDCONTRRE ) -&gt; CONCAT( IDCENT_L, IDCONT_L, "000000000000000" )</t>
  </si>
  <si>
    <t xml:space="preserve">DCYR8101_DABERTUR </t>
  </si>
  <si>
    <t>SELECT IF( ( INTERFACE_DCT01.DCYR8101_DABERTUR ) = '', NULL, CAST( INTERFACE_DCT01.DCYR8101_DABERTUR AS STRING ) )
WHERE INTERFACE_DCT01.DCYR8101_CSITCTA IN ( '0', '1', '2', '3', '7', '8' ) AND INTERFACE_DCT01.DCRY8101_CFAMILIA = 'CR'</t>
  </si>
  <si>
    <t>Current maturity date of the contract. This date represents the moment in which the interests will be received.</t>
  </si>
  <si>
    <t>SELECT '9999-12-31'
WHERE INTERFACE_DCT01.DCYR8101_CSITCTA IN ( '0', '1', '2', '3', '7', '8' ) AND INTERFACE_DCT01.DCRY8101_CFAMILIA = 'CR'</t>
  </si>
  <si>
    <t>DCYR8101_CMOEDA</t>
  </si>
  <si>
    <t>SELECT IF( TRIM( INTERFACE_DCT01.DCYR8101_CMOEDA ) = '', NULL, INTERFACE_DCT01.DCYR8101_CMOEDA )
WHERE INTERFACE_DCT01.DCYR8101_CSITCTA IN ( '0', '1', '2', '3', '7', '8' ) AND INTERFACE_DCT01.DCRY8101_CFAMILIA = 'CR'</t>
  </si>
  <si>
    <t xml:space="preserve">DCYR8101_MSALDO </t>
  </si>
  <si>
    <t>SELECT CAST( INTERFACE_DCT01.DCYR8101_MSALDO AS DECIMAL( 23, 6 ) )
WHERE INTERFACE_DCT01.DCYR8101_CSITCTA IN ( '0', '1', '2', '3', '7', '8' ) AND INTERFACE_DCT01.DCRY8101_CFAMILIA = 'CR'</t>
  </si>
  <si>
    <t>DCYR8101_MSLDCAT</t>
  </si>
  <si>
    <t>SELECT CAST( INTERFACE_DCT01.DCYR8101_MSLDCAT AS DECIMAL( 23, 6 ) )
WHERE INTERFACE_DCT01.DCYR8101_CSITCTA IN ( '0', '1', '2', '3', '7', '8' ) AND INTERFACE_DCT01.DCRY8101_CFAMILIA = 'CR'</t>
  </si>
  <si>
    <t>DCYR8101_MSALDODI</t>
  </si>
  <si>
    <t>SELECT CAST( INTERFACE_DCT01.DCYR8101_MSALDODI AS DECIMAL( 23, 6 ) )
WHERE INTERFACE_DCT01.DCYR8101_CSITCTA IN ( '0', '1', '2', '3', '7', '8' ) AND INTERFACE_DCT01.DCRY8101_CFAMILIA = 'CR'</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</si>
  <si>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</si>
  <si>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</si>
  <si>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</si>
  <si>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</si>
  <si>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</si>
  <si>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</si>
  <si>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</si>
  <si>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</si>
  <si>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</si>
  <si>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</si>
  <si>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</si>
  <si>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</si>
  <si>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</si>
  <si>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</si>
  <si>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</si>
  <si>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</si>
  <si>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</si>
  <si>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</si>
  <si>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</si>
  <si>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</si>
  <si>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</si>
  <si>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</si>
  <si>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</si>
  <si>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</si>
  <si>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</si>
  <si>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</si>
  <si>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 xml:space="preserve">SELECT IF( TRIM( INTERFACE_DCT01.DCYR8101_CSITCTA ) = '', NULL, GENERAL_CODE_CONVERTER.CDM_VALUE )
WHERE INTERFACE_DCT01.DCYR8101_CSITCTA IN ( '0', '1', '2', '3', '7', '8' ) AND INTERFACE_DCT01.DCRY8101_CFAMILIA = 'CR' AND GENERAL_CODE_CONVERTER.SOURCE_CODE = 'DC' AND GENERAL_CODE_CONVERTER.CODE_CATEGORY = 'CONTRACT_STATUS' AND GENERAL_CODE_CONVERTER.SOURCE_VALUE = INTERFACE_DCT01.DCYR8101_CSITCTA </t>
  </si>
  <si>
    <t>Contract Opening Channel:
?</t>
  </si>
  <si>
    <t>SELECT 'DC'
WHERE INTERFACE_DCT01.DCYR8101_CSITCTA IN ( '0', '1', '2', '3', '7', '8' ) AND INTERFACE_DCT01.DCRY8101_CFAMILIA = 'CR'</t>
  </si>
  <si>
    <t>SELECT INTERFACE_DCT01.DATA_DATE_PART
WHERE INTERFACE_DCT01.DCYR8101_CSITCTA IN ( '0', '1', '2', '3', '7', '8' ) AND INTERFACE_DCT01.DCRY8101_CFAMILIA = 'CR'</t>
  </si>
  <si>
    <t>SELECT NOW()
WHERE INTERFACE_DCT01.DCYR8101_CSITCTA IN ( '0', '1', '2', '3', '7', '8' ) AND INTERFACE_DCT01.DCRY8101_CFAMILIA = 'CR'</t>
  </si>
  <si>
    <t>Leasing</t>
  </si>
  <si>
    <t>leasing</t>
  </si>
  <si>
    <t>LG - Lease</t>
  </si>
  <si>
    <t>L_MCD_CONTRACTS ( LG - Contract Table )</t>
  </si>
  <si>
    <t>CONCAT ( CKBALCAO, CKNUMECTA, ZDEPOSIT )</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</si>
  <si>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</si>
  <si>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</si>
  <si>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</si>
  <si>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</si>
  <si>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</si>
  <si>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</si>
  <si>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</si>
  <si>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</si>
  <si>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</si>
  <si>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</si>
  <si>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</si>
  <si>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Main Current Account NIB</t>
  </si>
  <si>
    <t>main_current_account_nib</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</si>
  <si>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</si>
  <si>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</si>
  <si>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</si>
  <si>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</si>
  <si>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</si>
  <si>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</si>
  <si>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</si>
  <si>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</si>
  <si>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</si>
  <si>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</si>
  <si>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</si>
  <si>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</si>
  <si>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</si>
  <si>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</si>
  <si>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</si>
  <si>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</si>
  <si>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</si>
  <si>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</si>
  <si>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</si>
  <si>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</si>
  <si>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</si>
  <si>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CONTRACT_STATUS</t>
  </si>
  <si>
    <t>Total Number of Past Due Installments</t>
  </si>
  <si>
    <t>total_num_past_due_installments</t>
  </si>
  <si>
    <t>Represents the total number of ordinary installments that reached their due date.</t>
  </si>
  <si>
    <t>Instalment Number</t>
  </si>
  <si>
    <t>L_MCD_CONTRACTS ( LG - Client Statement Table )</t>
  </si>
  <si>
    <t>INSTALLMENT_NUMBER</t>
  </si>
  <si>
    <t>Initial maximum amount that can be used as credit.</t>
  </si>
  <si>
    <t>INITIAL_LIMIT_AMOUNT</t>
  </si>
  <si>
    <t>Current maximum amount that can be used as credit.</t>
  </si>
  <si>
    <t>Initial Advance Amount</t>
  </si>
  <si>
    <t>initial_advance_amount</t>
  </si>
  <si>
    <t>Initial total value lended to the client. It can either represent the total amount that the client will receive, or, in case of progressive payments, the first amount that the client received.</t>
  </si>
  <si>
    <t>INITIAL_FINACIAL_AMOUNT</t>
  </si>
  <si>
    <t>Current Advance Amount</t>
  </si>
  <si>
    <t>current_advance_amount</t>
  </si>
  <si>
    <t>Current total value lended to the client. It can either represent the total amount that the client will receive, or, in case of progressive payments, the first amount that the client received.</t>
  </si>
  <si>
    <t xml:space="preserve">INITIAL_LIMIT_AMOUNT - AVAILABLE_LIMIT_AMOUNT </t>
  </si>
  <si>
    <t>Current amount that can still be used as credit.</t>
  </si>
  <si>
    <t xml:space="preserve">AVAILABLE_LIMIT_AMOUNT </t>
  </si>
  <si>
    <t xml:space="preserve">Outstanding Loan Balance
Balance Value </t>
  </si>
  <si>
    <t>L_MCD_CONTRACTS ( LG - Responsability Table )</t>
  </si>
  <si>
    <t>OUTSTANDING</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</si>
  <si>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</si>
  <si>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</si>
  <si>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</si>
  <si>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</si>
  <si>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</si>
  <si>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</si>
  <si>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Current Overdue Expenses Balance</t>
  </si>
  <si>
    <t>current_overdue_expenses_bal</t>
  </si>
  <si>
    <t>Current loan expenses amount which has been used but has reached its maturity date and is yet to be repaid.</t>
  </si>
  <si>
    <t>OVERDUE_EXPENSES</t>
  </si>
  <si>
    <t>Current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</si>
  <si>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</si>
  <si>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</si>
  <si>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</si>
  <si>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</si>
  <si>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</si>
  <si>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</si>
  <si>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</si>
  <si>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</si>
  <si>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</si>
  <si>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</si>
  <si>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</si>
  <si>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</si>
  <si>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Interest Amount</t>
  </si>
  <si>
    <t>residual_value_interest_amount</t>
  </si>
  <si>
    <t>The estimated interest amount of the leased item at the end of the contract. This value only applies if the item is bought at the end of the contract.</t>
  </si>
  <si>
    <t>PREDICTED_VR_INTEREST</t>
  </si>
  <si>
    <t>Residual Value Expenses Amount</t>
  </si>
  <si>
    <t>residual_value_expenses_amount</t>
  </si>
  <si>
    <t>The estimated loan expenses amount of the leased item at the end of the contract. This value only applies if the item is bought at the end of the contract.</t>
  </si>
  <si>
    <t>PREDICTED_VR_EXPENSES</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</si>
  <si>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</si>
  <si>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</si>
  <si>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</si>
  <si>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</si>
  <si>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</si>
  <si>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The due date of the most recent leasing's ordinary installment. If the leasing does not have installment that reached its due date than this field is not applicable.</t>
  </si>
  <si>
    <t>LAST_INSTALLMENTDATE</t>
  </si>
  <si>
    <t>The principal amount associated with last ordinary installment of the leasing that reached its due date. If the leasing does not have installment that reached its due date than this field is not applicable.</t>
  </si>
  <si>
    <t>CAPITAL_AMOUNT</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</si>
  <si>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</si>
  <si>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</si>
  <si>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</si>
  <si>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</si>
  <si>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</si>
  <si>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</si>
  <si>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</si>
  <si>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</si>
  <si>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</si>
  <si>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</si>
  <si>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</si>
  <si>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</si>
  <si>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Date in which the last amortization associated with the leasing was payed. If the leasing does not have a past amortization, this field is not applicable.</t>
  </si>
  <si>
    <t>LAST_AMORTIZATION_PAYMENT_DATE</t>
  </si>
  <si>
    <t>The principal amount that was paid in the last amortization of the leasing. If the leasing does not have a paid installment, this field is not applicable.</t>
  </si>
  <si>
    <t>LAST_AMORTIZATION_CAPITAL</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</si>
  <si>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</si>
  <si>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</si>
  <si>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</si>
  <si>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</si>
  <si>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Last Early Amortization Expesenses Amount</t>
  </si>
  <si>
    <t>last_early_amort_expenses_amt</t>
  </si>
  <si>
    <t>The loan expenses amount that was paid in the last amortization of the leasing. If the leasing does not have a paid installment, this field is not applicable.</t>
  </si>
  <si>
    <t>LAST_AMORTIZATION_EXPENSES</t>
  </si>
  <si>
    <t>last_installment_payment_date</t>
  </si>
  <si>
    <t>Date in which the last ordinary installment payment associated with the leasing was made. If the leasing does not a past payment than this field is not applicable.</t>
  </si>
  <si>
    <t>LAST_PAYMENT_DATE</t>
  </si>
  <si>
    <t>last_install_payment_princip_amt</t>
  </si>
  <si>
    <t>The principal amount that was paid in the last ordinary installment payment associated to the leasing. If the leasing does not have a past installment payment , this field is not applicable.</t>
  </si>
  <si>
    <t>LAST_PAYMENT_CAPITAL</t>
  </si>
  <si>
    <t>LAST_INSTALLMENTNR</t>
  </si>
  <si>
    <t>INITIAL_TAX_TYPE</t>
  </si>
  <si>
    <t>Initial Reference Index:
L_MCDINDEXTYPE_CODE</t>
  </si>
  <si>
    <t>INITIAL_INDEX_CODE</t>
  </si>
  <si>
    <t>INITIAL_INDEX_VALUE</t>
  </si>
  <si>
    <t>INITIAL_SPREAD</t>
  </si>
  <si>
    <t>INITIAL_RATE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</si>
  <si>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</si>
  <si>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</si>
  <si>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</si>
  <si>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</si>
  <si>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</si>
  <si>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</si>
  <si>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</si>
  <si>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</si>
  <si>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</si>
  <si>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</si>
  <si>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"LG"</t>
  </si>
  <si>
    <t>Loan</t>
  </si>
  <si>
    <t>loan</t>
  </si>
  <si>
    <t>EP - Empréstimos
EH - Empréstimos</t>
  </si>
  <si>
    <t>N\A
CONTBACH_PRESTM</t>
  </si>
  <si>
    <t>N\A
CTP_IDEMPR</t>
  </si>
  <si>
    <t>"31"
"31"</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</si>
  <si>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</si>
  <si>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</si>
  <si>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</si>
  <si>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</si>
  <si>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</si>
  <si>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</si>
  <si>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</si>
  <si>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</si>
  <si>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</si>
  <si>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</si>
  <si>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</si>
  <si>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</si>
  <si>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</si>
  <si>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EPT01_CONTAS
CONTBACH_PRESTM</t>
  </si>
  <si>
    <t>DFORMALI
FEULTREN</t>
  </si>
  <si>
    <t>DVENCIME
FEVENCIM</t>
  </si>
  <si>
    <t>Currency:
TAT91 - CTABELA 206
MONEDA -&gt; TAT91 - CTABELA 206</t>
  </si>
  <si>
    <t>EPT01_CONTAS
CONTBACH_PRESTM -&gt; TAT21_MOEDA</t>
  </si>
  <si>
    <t>CMOEDA
CODMONBE -&gt; CMOEDA</t>
  </si>
  <si>
    <t>EP - Empréstimos || TC - Terminal Contencioso
EH - Empréstimos || TC - Terminal Contencioso</t>
  </si>
  <si>
    <t>N\A || N\A
N\A || N\A</t>
  </si>
  <si>
    <t>"0" || "1"
"0" || "1"</t>
  </si>
  <si>
    <t>COLOCAR O COUNT DAS PRESTAÇÕES != AN</t>
  </si>
  <si>
    <t>EPT01_CONTAS
REC_DEC_COB</t>
  </si>
  <si>
    <t>ZNUMPRES
FECALTA</t>
  </si>
  <si>
    <t>Current Asked Amount</t>
  </si>
  <si>
    <t>current_asked_amount</t>
  </si>
  <si>
    <t>Current amount that the client asked. It does not have to correspond to the authorized amount.</t>
  </si>
  <si>
    <t>EPT01_CONTAS
EH_CTR_ONL_POSI</t>
  </si>
  <si>
    <t>MCAPSOLI
SLDCON - DEBE1 + HABER1 - DEBE2 + HABER2</t>
  </si>
  <si>
    <t>MCAPCONC
SLDCON - DEBE1 + HABER1 - DEBE2 + HABER2</t>
  </si>
  <si>
    <t>MCAPUTIL
SLDCON - DEBE1 + HABER1 - DEBE2 + HABER2</t>
  </si>
  <si>
    <t>EPT01_CONTAS || N\A
EH_CTR_ONL_POSI || N\A</t>
  </si>
  <si>
    <t>MSLDTEOR || N\A
ABS( SLDCON - DEBE1 + HABER1 - DEBE2 + HABER2 ) || N\A</t>
  </si>
  <si>
    <t>N\A || "0.00"
N\A || "0.00"</t>
  </si>
  <si>
    <t xml:space="preserve">Balance Value </t>
  </si>
  <si>
    <t>EPT08_PRESTACOES || N\A
EH_CTR_ONL_POSI || N\A</t>
  </si>
  <si>
    <t>MCAPTOT - MCAPPAG || N\A
ABS( SLDCON - DEBE1 + HABER1 - DEBE2 + HABER2 ) N\A</t>
  </si>
  <si>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</si>
  <si>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</si>
  <si>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</si>
  <si>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</si>
  <si>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FEPROAMO</t>
  </si>
  <si>
    <t>EPT06_QUOTAS
CUOTAS_PRTM</t>
  </si>
  <si>
    <t>MQUOTA
CAMP_ACUOTAS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</si>
  <si>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</si>
  <si>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</si>
  <si>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</si>
  <si>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 N\A
N\A</t>
  </si>
  <si>
    <t>MQUOTA || N\A
N\A</t>
  </si>
  <si>
    <t>N\A || "0.00"
"0.00"</t>
  </si>
  <si>
    <t>The due date of the most recent loan's ordinary installment. If the loan does not have installment that reached its due date than this field is not applicable.</t>
  </si>
  <si>
    <t>EPT08_PRESTACOES
EH_REC_DEC_COB</t>
  </si>
  <si>
    <t>DLIQUID
FECALTA</t>
  </si>
  <si>
    <t>EP - Empréstimos
CA - Catálogo</t>
  </si>
  <si>
    <t>MCAPTOT
IMPORCON</t>
  </si>
  <si>
    <t>EPT07_MOVCTA
EH_OPER_CONTR</t>
  </si>
  <si>
    <t>DDIAOP
FECOPER</t>
  </si>
  <si>
    <t>MMOVORIG
IMPOPERA</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</si>
  <si>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</si>
  <si>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</si>
  <si>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</si>
  <si>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</si>
  <si>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</si>
  <si>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</si>
  <si>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</si>
  <si>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t>
  </si>
  <si>
    <t>EPT01_CONTAS
N\A</t>
  </si>
  <si>
    <t>IBONIF
N\A</t>
  </si>
  <si>
    <t>N\A
"0"</t>
  </si>
  <si>
    <t>initial_active_rate_type_code</t>
  </si>
  <si>
    <t xml:space="preserve">EPT04_AGENDACTA
PREPART_PRESTAM </t>
  </si>
  <si>
    <t>ITAXAVAR
COTREFER</t>
  </si>
  <si>
    <t>Initial Reference Index:
CAT01_TAXREF
INTERES_REFENCI -&gt; CAT01_TAXREF</t>
  </si>
  <si>
    <t>EPT04_AGENDACTA || N\A
PREPART_PRESTAM -&gt; TAT29_INDEXANT || N\A</t>
  </si>
  <si>
    <t>CTAXAREF || N\A
COTREFER -&gt; CTXREF || N\A</t>
  </si>
  <si>
    <t>N\A || "#N/A"
N\A -&gt; N\A || "#N/A"</t>
  </si>
  <si>
    <t>(1)EPT03_LIQCTA + (2)EPT04_AGENDACTA || N\A
PREPART_PRESTAM || N\A</t>
  </si>
  <si>
    <t>(1)TKJURO (2)STAXAVAR (1) TKJURO || N\A
TASA INTACTUA DIFERNCI || N\A</t>
  </si>
  <si>
    <t>N\A|| "0.00"
N\A || "0.00"</t>
  </si>
  <si>
    <t>EPT03_LIQCTA
PREPART_PRESTAM</t>
  </si>
  <si>
    <t>TKJURO
DIFERNCI</t>
  </si>
  <si>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</si>
  <si>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</si>
  <si>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</si>
  <si>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</si>
  <si>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 N\A
N\A</t>
  </si>
  <si>
    <t>N\A || "0..00"
N\A || "0.00"</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</si>
  <si>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</si>
  <si>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</si>
  <si>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</si>
  <si>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</si>
  <si>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</si>
  <si>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</si>
  <si>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</si>
  <si>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</si>
  <si>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</si>
  <si>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</si>
  <si>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Source:
N\A
N\A</t>
  </si>
  <si>
    <t>"EP" || "TC"
"EP" || "TC"</t>
  </si>
  <si>
    <t>Loan Account</t>
  </si>
  <si>
    <t>loan_account</t>
  </si>
  <si>
    <t>Product Lvl 1
TAT91 - CTABELA 925</t>
  </si>
  <si>
    <t>Product Lvl 2
TAT91 - CTABELA 925</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</si>
  <si>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</si>
  <si>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</si>
  <si>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</si>
  <si>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N\A || TCT09_OPERCN</t>
  </si>
  <si>
    <t>N\A || DVENCIM</t>
  </si>
  <si>
    <t>"9999-12-31" || N\A</t>
  </si>
  <si>
    <t>Current amount that can be used as credit. In this case, it represents maximum amount that can be lended by the loan account contract.</t>
  </si>
  <si>
    <t xml:space="preserve">MDESAUT|| MDESMAX </t>
  </si>
  <si>
    <t>Current total actual amount that can still be used as credit. In this case, the total amount minus the used amount.</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</si>
  <si>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</si>
  <si>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</si>
  <si>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</si>
  <si>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</si>
  <si>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</si>
  <si>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</si>
  <si>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</si>
  <si>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</si>
  <si>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</si>
  <si>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</si>
  <si>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</si>
  <si>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</si>
  <si>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</si>
  <si>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t>
  </si>
  <si>
    <t>Source:
N\A || N\A</t>
  </si>
  <si>
    <t>"DC" || "TC"</t>
  </si>
  <si>
    <t>Nostro Vostro Account</t>
  </si>
  <si>
    <t>nostrovostro_account</t>
  </si>
  <si>
    <t>? || PRECIO_ESTANDAR</t>
  </si>
  <si>
    <t>? -&gt; TAT29_INDEXANT || PRECIO_ESTANDAR -&gt; TAT29_INDEXANT</t>
  </si>
  <si>
    <t>(1)? + (2)INTERES_REFENCI || (1)PRECIO_ESTANDAR + (2)INTERES_REFENCI</t>
  </si>
  <si>
    <t>Pre-paid Card</t>
  </si>
  <si>
    <t>prepaid_card</t>
  </si>
  <si>
    <t>SELECT CRT09_TBTARJET.PAN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</si>
  <si>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Identifier of the card account's contract bank that is associated to the physical prepaid card.</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</si>
  <si>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GENERAL_CONVERTER.CODE CATEGORY = 'BANK_ID' AND GENERAL_CONVERTER.SOURCE_CODE = 'CR' AND GENERAL_CONVERTER.SOURCE_VALUE = ''</t>
  </si>
  <si>
    <t>Contract identifier of the card account's contract associated with the physic prepaid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</si>
  <si>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</si>
  <si>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</si>
  <si>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date the physic pre-paid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</si>
  <si>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</si>
  <si>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expiration date of the physic pre-paid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</si>
  <si>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</si>
  <si>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</si>
  <si>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</si>
  <si>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Status of the physic pre-paid card.</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</si>
  <si>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GENERAL_CONVERTER.CODE CATEGORY = 'CARD_STATUS' AND GENERAL_CONVERTER.SOURCE_CODE = 'CR' AND 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</si>
  <si>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</si>
  <si>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NOW()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</si>
  <si>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Pre-paid Card Account</t>
  </si>
  <si>
    <t>prepaid_card_account</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</si>
  <si>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'CR' AND GENERAL_CONVERTER.SOURCE_VALUE = ''</t>
  </si>
  <si>
    <t xml:space="preserve">SELECT CONCAT(CRT07_TBCTATAR.CKBALCAO, CRT07_TBCTATAR.CKNUMCTA)
WHERE CRT07_TBCTATAR.FECBAJA = 0 AND TAYD91C0_CTABELA = '593' AND ( ( SUBSTRING( TAYD91C0_NELEMC08, 1, 1 ) = 2 AND ( SUBSTRING( TAYD91C0_NELEMC17, 1, 1 ) = 'N' OR SUBSTRING( TAYD91C0_NELEMC17, 1, 1 ) = 'P' ) ) OR ( SUBSTRING(TAYD91C0_NELEMC08, 1, 1 ) = 2 AND SUBSTRING( TAYD91C0_NELEMC12, 14,1 ) = 'S' ) ) </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</si>
  <si>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'PRODUCT_FAMILY_ID' AND GENERAL_CONVERTER.SOURCE_CODE = 'CR' AND GENERAL_CONVERTER.SOURCE_VALUE = ''</t>
  </si>
  <si>
    <t xml:space="preserve">SELECT IF( TRIM( CRT50_TBPARBIN.CRT50DL_CKPRODUT ) = '', NULL, TRIM( CRT50_TBPARBIN.CRT50DL_CKPRODUT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</si>
  <si>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CRT50_TBPARBIN.CRT50DL_CKSUBPRO ) = '', NULL, TRIM( CRT50_TBPARBIN.CRT50DL_CKSUBPRO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</si>
  <si>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'DC' AND GENERAL_CONVERTER.SOURCE_VALUE = ''</t>
  </si>
  <si>
    <t xml:space="preserve">SELECT IF( TRIM( CRTA8_TBBENAUX.DADOSVAR1 ) = '', NULL, CONCAT( CRTA8_TBBENAUX.DADOSVAR1, '000000000000000'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</si>
  <si>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CRT07_TBCTATAR.FECALTA ) = '', NULL, CONCAT( SUBSTRING( CRT07_TBCTATAR.FECALTA, 1, 4 ), '-', SUBSTRING( CRT07_TBCTATAR.FECALTA, 5, 2 ), '-', SUBSTRING( CRT07_TBCTATAR.FECALTA, 7, 2 )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</si>
  <si>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'9999-12-31'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</si>
  <si>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CRT07_TBCTATAR.CLAMONEUR ) = '', NULL, TRIM( CRT07_TBCTATAR.CLAMONEUR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</si>
  <si>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CRT07_TBCTATAR.BLOQUEACT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</si>
  <si>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IF( TRIM( SUBSTR( TAT91_TABELAS.TAYD91C0_NELEMC13, 3, 3 ) )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'OPENING_CHANNEL' AND GENERAL_CONVERTER.SOURCE_CODE = 'CR' AND GENERAL_CONVERTER.SOURCE_VALUE = SUBSTR( TAT91_TABELAS.TAYD91C0_NELEMC13, 3, 3 ) AND CRT68_TBHISBLQ.TEXTOBLQ LIKE 'INS. DE CONTA' AND CRT68_TBHISBLQ.USUARIO = SET01_UTILIZA.CKUTILIZ</t>
  </si>
  <si>
    <t>SELECT 'CR'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</si>
  <si>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CRT07_TBCTATAR.DATA_DATE_PART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</si>
  <si>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NOW()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</si>
  <si>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</si>
  <si>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</si>
  <si>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</si>
  <si>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</si>
  <si>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 - Contas a Prazo</t>
  </si>
  <si>
    <t>DPYR0550</t>
  </si>
  <si>
    <t>CONCAT (CKBALCAO, CKNUMCTA, ZDEPOSIT )</t>
  </si>
  <si>
    <t>Contract Static
Transactions - Deposits</t>
  </si>
  <si>
    <t>Contract identifier of the current account that anchors the saving account.</t>
  </si>
  <si>
    <t>Contract basics low update
Contracts - Deposits
Contracts - Deposits</t>
  </si>
  <si>
    <t>Current Maturity Date
Expiration Date
Maturity Time</t>
  </si>
  <si>
    <t>DDVENCIM</t>
  </si>
  <si>
    <t>Contract Static
Balances
Contract Static</t>
  </si>
  <si>
    <t>DPYR056O</t>
  </si>
  <si>
    <t>MOEDA</t>
  </si>
  <si>
    <t>Initial Deposit Amount</t>
  </si>
  <si>
    <t>initial_deposit_amount</t>
  </si>
  <si>
    <t>Ext Inf - DP Fin Inf - Value</t>
  </si>
  <si>
    <t>The initial amount deposited in the saving account.</t>
  </si>
  <si>
    <t>Contracts - Deposits</t>
  </si>
  <si>
    <t>Deposit Amount</t>
  </si>
  <si>
    <t>Early Withdraw Penalty Fee</t>
  </si>
  <si>
    <t>early_withdraw_penalty_fee</t>
  </si>
  <si>
    <t>The amount charged for a withdraw before the contract's maturity date.</t>
  </si>
  <si>
    <t>Penalty Fee</t>
  </si>
  <si>
    <t>Contract Status:
?</t>
  </si>
  <si>
    <t>Contract basics high update
Contracts - Deposits</t>
  </si>
  <si>
    <t>DP - Contas a Prazo -&gt; TA - Tabelas Gerais</t>
  </si>
  <si>
    <t>DPYR0580 -&gt; TAT41_CANAL -&gt; TAT91_TABELAS</t>
  </si>
  <si>
    <t>CANAL -&gt; CKBALCAO -&gt; NELEMC13</t>
  </si>
  <si>
    <t>"DP"</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</si>
  <si>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</si>
  <si>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</si>
  <si>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</si>
  <si>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</si>
  <si>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</si>
  <si>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</si>
  <si>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</si>
  <si>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</si>
  <si>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</si>
  <si>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</si>
  <si>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</si>
  <si>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</si>
  <si>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</si>
  <si>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</si>
  <si>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</si>
  <si>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"#NA"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</si>
  <si>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</si>
  <si>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</si>
  <si>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</si>
  <si>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 "
N\A</t>
  </si>
  <si>
    <t>EST54_REMIMP
EST78_REMEXP
EST85_CREIMP || EST87_CDINEG
EST89_CREEXP
DCYR8101
TCT09_OPERCN</t>
  </si>
  <si>
    <t>DTREM
DTREM
DTEMIS || DTVENC
DTEMIS
DABERTUR
DCONTRAT</t>
  </si>
  <si>
    <t>N\A
N\A
N\A || N\A
N\A
N\A
N\A</t>
  </si>
  <si>
    <t>EST54_REMIMP || EST54_REMIMP 
EST78_REMEXP || EST78_REMEXP 
EST85_CREIMP  || EST87_CDINEG
EST89_CREEXP
N\A
TCT09_OPERCN</t>
  </si>
  <si>
    <t>DTVENC || N\A
DTVENC || N\A
DTVALNEG || DTLIQ2
DTVALNEG
N\A
DVENCIM</t>
  </si>
  <si>
    <t>N\A || "9999-12-31"
N\A || "9999-12-31"
N\A || N\A
N\A
"9999-12-31"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</si>
  <si>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</si>
  <si>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</si>
  <si>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</si>
  <si>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</si>
  <si>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</si>
  <si>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</si>
  <si>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</si>
  <si>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</si>
  <si>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</si>
  <si>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</si>
  <si>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</si>
  <si>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</si>
  <si>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</si>
  <si>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</si>
  <si>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"-1"
"-1"</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</si>
  <si>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</si>
  <si>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</si>
  <si>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</si>
  <si>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</si>
  <si>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</si>
  <si>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</si>
  <si>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"#NA"
"#NA"</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</si>
  <si>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</si>
  <si>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</si>
  <si>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</si>
  <si>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</si>
  <si>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</si>
  <si>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</si>
  <si>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</si>
  <si>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</si>
  <si>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"#NA"
"#NA"</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</si>
  <si>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</si>
  <si>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</si>
  <si>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</si>
  <si>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</si>
  <si>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</si>
  <si>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</si>
  <si>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</si>
  <si>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</si>
  <si>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</si>
  <si>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</si>
  <si>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</si>
  <si>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</si>
  <si>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"9999-12-31"
"9999-12-31"
N\A
N\A
"9999-12-31"</t>
  </si>
  <si>
    <t>Credit Document Submission Date</t>
  </si>
  <si>
    <t>credit_document_submission_date</t>
  </si>
  <si>
    <t>Last date stipulated to submit the trade finance's documents.</t>
  </si>
  <si>
    <t>Expiry Date</t>
  </si>
  <si>
    <t>N\A
N\A
DTEXPIRY
DTEXPIRY
N\A
N\A</t>
  </si>
  <si>
    <t>"9999-12-31"
"9999-12-31"
N\A
N\A
"9999-12-31"
"9999-12-31"</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</si>
  <si>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</si>
  <si>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</si>
  <si>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</si>
  <si>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</si>
  <si>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</si>
  <si>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</si>
  <si>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</si>
  <si>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</si>
  <si>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</si>
  <si>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 "
" "</t>
  </si>
  <si>
    <t>Current maximum amount that can be payed for the goods. Each contract has a percentage for negotiation that generates a value that can not be surprassed.</t>
  </si>
  <si>
    <t>MONTREM
MONTREM
MONTMAX
MONTMAX
N\A
N\A</t>
  </si>
  <si>
    <t>N\A
N\A
N\A
N\A
" "
" "</t>
  </si>
  <si>
    <t xml:space="preserve">Current retention rate of the contract. This rates determines the minimum amount withheld by the bank in the credit contract. It is used to mitigate the risk associated with the trade finance product. </t>
  </si>
  <si>
    <t>N\A
N\A
PERFLU2
PERFLU2
N\A
N\A</t>
  </si>
  <si>
    <t>" "
" "
N\A
N\A
" "
" "</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</si>
  <si>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</si>
  <si>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</si>
  <si>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</si>
  <si>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</si>
  <si>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</si>
  <si>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</si>
  <si>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</si>
  <si>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</si>
  <si>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</si>
  <si>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</si>
  <si>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</si>
  <si>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</si>
  <si>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</si>
  <si>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</si>
  <si>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</si>
  <si>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</si>
  <si>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 "
N\A
" "
" "
" "
" "</t>
  </si>
  <si>
    <t>N\A
EST78_REMEXP
N\A || EST87_CDINEG
N\A
N\A
N\A</t>
  </si>
  <si>
    <t>N\A
TJURO
N\A || TJURO + SPREAD
N\A
N\A
N\A</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</si>
  <si>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</si>
  <si>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</si>
  <si>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</si>
  <si>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</si>
  <si>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</si>
  <si>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</si>
  <si>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N\A
N\A
N\A
N\A
"-1"
"-1"</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</si>
  <si>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</si>
  <si>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</si>
  <si>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</si>
  <si>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</si>
  <si>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</si>
  <si>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</si>
  <si>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</si>
  <si>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</si>
  <si>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</si>
  <si>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</si>
  <si>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</si>
  <si>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</si>
  <si>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</si>
  <si>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</si>
  <si>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</si>
  <si>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</si>
  <si>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</si>
  <si>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</si>
  <si>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</si>
  <si>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</si>
  <si>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</si>
  <si>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</si>
  <si>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</si>
  <si>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</si>
  <si>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</si>
  <si>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</si>
  <si>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</si>
  <si>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</si>
  <si>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</si>
  <si>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</si>
  <si>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</si>
  <si>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</si>
  <si>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</si>
  <si>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</si>
  <si>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</si>
  <si>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</si>
  <si>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</si>
  <si>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</si>
  <si>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</si>
  <si>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</si>
  <si>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</si>
  <si>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</si>
  <si>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</si>
  <si>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</si>
  <si>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</si>
  <si>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</si>
  <si>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</si>
  <si>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</si>
  <si>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</si>
  <si>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</si>
  <si>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</si>
  <si>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</si>
  <si>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</si>
  <si>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</si>
  <si>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</si>
  <si>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</si>
  <si>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</si>
  <si>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</si>
  <si>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 xml:space="preserve">
</t>
  </si>
  <si>
    <t>NOME FÍSICO BD FONTE</t>
  </si>
  <si>
    <t>NOME FÍSICO TABELA FONTE</t>
  </si>
  <si>
    <t>REGRA DE ATAQUE</t>
  </si>
  <si>
    <t>DESCRIÇÃO ESTADOS CONSIDERADOS</t>
  </si>
  <si>
    <t>DESCRIÇÃO ESTADOS DESCONSIDERADOS</t>
  </si>
  <si>
    <t>curated_internal_mainframe_avales</t>
  </si>
  <si>
    <t>bg_contr_batch</t>
  </si>
  <si>
    <t>bg_contr_batch.cdsituac = 'NR' and bg_contr_batch.codsprod != '550'</t>
  </si>
  <si>
    <t>NR - NORMAL</t>
  </si>
  <si>
    <t xml:space="preserve">CA - CANCELADA
TR - TRANSFERIDA </t>
  </si>
  <si>
    <t>curated_internal_mainframe_contencioso</t>
  </si>
  <si>
    <t xml:space="preserve">tct09_opercn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</si>
  <si>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</si>
  <si>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</si>
  <si>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</si>
  <si>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curated_internal_mainframe_contas</t>
  </si>
  <si>
    <t>interface_dct01</t>
  </si>
  <si>
    <t xml:space="preserve">interface_dct01.dcyr8101_csitcta in ( '0', '1', '2', '3', '7', '8' )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</si>
  <si>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</si>
  <si>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</si>
  <si>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</si>
  <si>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curated_internal_mainframe_efeitos</t>
  </si>
  <si>
    <t>eft02_crteft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</si>
  <si>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</si>
  <si>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</si>
  <si>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</si>
  <si>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</si>
  <si>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t>
  </si>
  <si>
    <t>eft01_contefto.csitcef = 0</t>
  </si>
  <si>
    <t>0 - ABERTA</t>
  </si>
  <si>
    <t>1 - BLOQUEADA A CREDITO
4 - CANCELADA</t>
  </si>
  <si>
    <t>common_bank_vault</t>
  </si>
  <si>
    <t>curated_internal_cofresaluguer</t>
  </si>
  <si>
    <t>contracts</t>
  </si>
  <si>
    <t>contracts.statusid in ( 5, 6 )</t>
  </si>
  <si>
    <t>5 - ATIVO
6 - DENUNCIADO</t>
  </si>
  <si>
    <t>1 - PENDENTE DOCUMENTACAO
2 - PENDENTE INTERVENIENTES
3 - PENDENTE FORMALIZACAO
4 - CESSADO</t>
  </si>
  <si>
    <t>curated_internal_mainframe_confirming</t>
  </si>
  <si>
    <t>fct03_factura</t>
  </si>
  <si>
    <t>fct03_factura.csitfct in ( 'I', 'S', 'K', 'A' )</t>
  </si>
  <si>
    <t>I - EM INCUMPRIMENTO
S - SUSPENSA
K - EM COBRANCA (CONTA CORRENTE)
A - ACTIVA</t>
  </si>
  <si>
    <t>C - CANCELADA
E - ERRADA
T - TRATADA</t>
  </si>
  <si>
    <t>fct01_ctaconf</t>
  </si>
  <si>
    <t>fct01_ctaconf.csitcta = '0'</t>
  </si>
  <si>
    <t>1 - SEM SALDO SUFICIENTE
2 - SITUACAO DA CONTA ERRADA
3 - BLOQUEADA
4 - CANCELADA
9 - CRIADA</t>
  </si>
  <si>
    <t>tct09_opercn.isituac = 1 and tct09_opercn.ckprodut = '029' and tct09_opercn.cksubpro = '287'</t>
  </si>
  <si>
    <t>tct01_posdivid</t>
  </si>
  <si>
    <t>tct01_posdivid.iactivo = 'S'</t>
  </si>
  <si>
    <t>interface_dct01.dcyr8101_csitcta IN ( '0', '1', '2', '3', '7', '8' ) and interface_dct01.dcyr8101_dinicont = '0001-01-01' and interface_dct01.dcyr8101_ckprodut = '029' and interface_dct01.dcyr8101_cksubpro = '287'</t>
  </si>
  <si>
    <t>contract_party_relation</t>
  </si>
  <si>
    <t>curated_internal_datalake_loantapes</t>
  </si>
  <si>
    <t>cl001_interv_cto</t>
  </si>
  <si>
    <t>cl001_interv_cto.dfim_relacao = '9999-12-31'</t>
  </si>
  <si>
    <t>interface_dct01.dcyr8101_csitcta IN ( '0', '1', '2', '3', '7', '8' ) and interface_dct01.dcyr8101_cfamilia in ( 'ME', 'MN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</si>
  <si>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</si>
  <si>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</si>
  <si>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curated_internal_eurofac</t>
  </si>
  <si>
    <t>eur_processo</t>
  </si>
  <si>
    <t>eur_processo.pro_cdfaspro = '05'</t>
  </si>
  <si>
    <t>05 - CONTRATO</t>
  </si>
  <si>
    <t>01 - OPORTUNIDADE
02 - ANÁLISE
03 - PROPOSTA
04- ASSINATURA
06 - ARQUIVO</t>
  </si>
  <si>
    <t>interface_dct01.dcyr8101_csitcta IN ( '0', '1', '2', '3', '7', '8' )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</si>
  <si>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</si>
  <si>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</si>
  <si>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curated_internal_mainframe_cartoes</t>
  </si>
  <si>
    <t>crt09_tbtarjet</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</si>
  <si>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</si>
  <si>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</si>
  <si>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</si>
  <si>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</si>
  <si>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</si>
  <si>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</si>
  <si>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</si>
  <si>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</si>
  <si>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</si>
  <si>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</si>
  <si>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NOME BD </t>
  </si>
  <si>
    <t>NOME FÍSICO BD FONTE ESQUERDA</t>
  </si>
  <si>
    <t>NOME FÍSICO TABELA FONTE ESQUERDA</t>
  </si>
  <si>
    <t>NOME FÍSICO BD FONTE DIREITA</t>
  </si>
  <si>
    <t>NOME FÍSICO TABELA FONTE DIREITA</t>
  </si>
  <si>
    <t>REGRA DE CRUZAMENTO</t>
  </si>
  <si>
    <t>TIPO CRUZAMENTO</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</si>
  <si>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</si>
  <si>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</si>
  <si>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</si>
  <si>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</si>
  <si>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</si>
  <si>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</si>
  <si>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</si>
  <si>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</si>
  <si>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</si>
  <si>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</si>
  <si>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</si>
  <si>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</si>
  <si>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</si>
  <si>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</si>
  <si>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</si>
  <si>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</si>
  <si>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</si>
  <si>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</si>
  <si>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tct09_opercn.zanoproc =  tct01_posdivid.zanoproc and tct09_opercn.zproc = tct01_posdivid.zproc and tct09_opercn.zoper = tct01_posdivid.zoper</t>
  </si>
  <si>
    <t>vaults</t>
  </si>
  <si>
    <t>contracts.vaultid = vaults.id</t>
  </si>
  <si>
    <t>payments</t>
  </si>
  <si>
    <t>contracts.id = payments.contractid</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</si>
  <si>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</si>
  <si>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</si>
  <si>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</si>
  <si>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</si>
  <si>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</si>
  <si>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</si>
  <si>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</si>
  <si>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</si>
  <si>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eft05_cespeft</t>
  </si>
  <si>
    <t xml:space="preserve">eft01_contefto.ckbalcao = eft05_cespeft.ckbalcao and eft01_contefto.cknumcta = eft05_cespeft.cknumcta </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</si>
  <si>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</si>
  <si>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</si>
  <si>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</si>
  <si>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</si>
  <si>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</si>
  <si>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</si>
  <si>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</si>
  <si>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</si>
  <si>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</si>
  <si>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</si>
  <si>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</si>
  <si>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</si>
  <si>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</si>
  <si>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</si>
  <si>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</si>
  <si>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</si>
  <si>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</si>
  <si>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</si>
  <si>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</si>
  <si>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</si>
  <si>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eur_interven</t>
  </si>
  <si>
    <t xml:space="preserve">eur_processo.PRO_NRPROCES = eur_interven.int_nrproces </t>
  </si>
  <si>
    <t>eur_histinte</t>
  </si>
  <si>
    <t>eur_processo.pro_nrproces = eur_histinte.hin_nrproces</t>
  </si>
  <si>
    <t>crt08</t>
  </si>
  <si>
    <t xml:space="preserve">crt09_tbtarjet.numctatar = crt08.numctatar and crt09_tbtarjet.codent = crt08.codent and crt09_tbtarjet.numbencta = crt08.numbencta </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</si>
  <si>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</si>
  <si>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</si>
  <si>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</si>
  <si>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</si>
  <si>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</si>
  <si>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</si>
  <si>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</si>
  <si>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</si>
  <si>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</si>
  <si>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</si>
  <si>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</si>
  <si>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</si>
  <si>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</si>
  <si>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</si>
  <si>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</si>
  <si>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</si>
  <si>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</si>
  <si>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</si>
  <si>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</si>
  <si>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</si>
  <si>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</si>
  <si>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</si>
  <si>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</si>
  <si>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</si>
  <si>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</si>
  <si>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</si>
  <si>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</si>
  <si>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</si>
  <si>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</si>
  <si>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</si>
  <si>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</si>
  <si>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</si>
  <si>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</si>
  <si>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</si>
  <si>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</si>
  <si>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</si>
  <si>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</si>
  <si>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</si>
  <si>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</si>
  <si>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</si>
  <si>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</si>
  <si>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</si>
  <si>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</si>
  <si>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</si>
  <si>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</si>
  <si>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</si>
  <si>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</si>
  <si>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</si>
  <si>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</si>
  <si>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</si>
  <si>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</si>
  <si>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</si>
  <si>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</si>
  <si>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</si>
  <si>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</si>
  <si>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</si>
  <si>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</si>
  <si>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</si>
  <si>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</si>
  <si>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</si>
  <si>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</si>
  <si>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case_tests</t>
  </si>
  <si>
    <t>test_id</t>
  </si>
  <si>
    <t>test_timestamp</t>
  </si>
  <si>
    <t>query_driver_data_date_part</t>
  </si>
  <si>
    <t>test_number</t>
  </si>
  <si>
    <t>score</t>
  </si>
  <si>
    <t>general_result</t>
  </si>
  <si>
    <t>initial_amount_granted</t>
  </si>
  <si>
    <t>current_amount_granted</t>
  </si>
  <si>
    <t>pred_billing_due_date</t>
  </si>
  <si>
    <t>last_billing_date</t>
  </si>
  <si>
    <t>cur_total_billed_principal_amt</t>
  </si>
  <si>
    <t>cur_ttl_bill_litig_princip_amt</t>
  </si>
  <si>
    <t>2024-07-10T14:15:03.521+00:00</t>
  </si>
  <si>
    <t>null</t>
  </si>
  <si>
    <t>2024-07-10T14:15:36.512+00:00</t>
  </si>
  <si>
    <t>0.000000</t>
  </si>
  <si>
    <t>2024-07-10T14:16:44.960+00:00</t>
  </si>
  <si>
    <t>-</t>
  </si>
  <si>
    <t>2024-07-10T14:17:49.098+00:00</t>
  </si>
  <si>
    <t>2024-07-10T14:18:28.902+00:00</t>
  </si>
  <si>
    <t>2024-07-10T14:19:00.650+00:00</t>
  </si>
  <si>
    <t>TBD</t>
  </si>
  <si>
    <t>0001-01-01</t>
  </si>
  <si>
    <t>REF</t>
  </si>
  <si>
    <t>12M</t>
  </si>
  <si>
    <t>BRN</t>
  </si>
  <si>
    <t>EF</t>
  </si>
  <si>
    <t>2024-07-10 14:10:30.890000</t>
  </si>
  <si>
    <t>2024-07-10T14:20:50.854+00:00</t>
  </si>
  <si>
    <t>22.86</t>
  </si>
  <si>
    <t>0.00</t>
  </si>
  <si>
    <t>0.00000</t>
  </si>
  <si>
    <t>CO</t>
  </si>
  <si>
    <t>BRANCH</t>
  </si>
  <si>
    <t>2024-07-10 14:19:27.135000</t>
  </si>
  <si>
    <t>2024-07-10T14:21:15.299+00:00</t>
  </si>
  <si>
    <t>Y02</t>
  </si>
  <si>
    <t>TC</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</si>
  <si>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</si>
  <si>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</si>
  <si>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</si>
  <si>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</si>
  <si>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</si>
  <si>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</si>
  <si>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</si>
  <si>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</si>
  <si>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</si>
  <si>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</si>
  <si>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</si>
  <si>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</si>
  <si>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</si>
  <si>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</si>
  <si>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</si>
  <si>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string</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</si>
  <si>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</si>
  <si>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</si>
  <si>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</si>
  <si>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</si>
  <si>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</si>
  <si>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</si>
  <si>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</si>
  <si>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</si>
  <si>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</si>
  <si>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</si>
  <si>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</si>
  <si>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</si>
  <si>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</si>
  <si>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</si>
  <si>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</si>
  <si>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Valor default para códigos. Representam contratos que não têm condições especiais de juros ativas (e como tal a aplicação não guarda a informação). Assim, aplicou-se o valor default dos montantes: NULL.</t>
  </si>
  <si>
    <t>Total : 3528
1 - 3528</t>
  </si>
  <si>
    <t>1 - OK</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</si>
  <si>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</si>
  <si>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</si>
  <si>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</si>
  <si>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OK
2 - OK</t>
  </si>
  <si>
    <t>Test 17</t>
  </si>
  <si>
    <t>universe</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</si>
  <si>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</si>
  <si>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</si>
  <si>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</si>
  <si>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</si>
  <si>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Total : 2
1 - 2</t>
  </si>
  <si>
    <t>Case_Test</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</si>
  <si>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</si>
  <si>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</si>
  <si>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</si>
  <si>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</si>
  <si>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</si>
  <si>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</si>
  <si>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</si>
  <si>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</si>
  <si>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</si>
  <si>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</si>
  <si>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</si>
  <si>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ACT</t>
  </si>
  <si>
    <t>DC</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</si>
  <si>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</si>
  <si>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</si>
  <si>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</si>
  <si>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</si>
  <si>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</si>
  <si>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</si>
  <si>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</si>
  <si>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</si>
  <si>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</si>
  <si>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</si>
  <si>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</si>
  <si>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</si>
  <si>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</si>
  <si>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</si>
  <si>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</si>
  <si>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</si>
  <si>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</si>
  <si>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</si>
  <si>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</si>
  <si>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</si>
  <si>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</si>
  <si>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</si>
  <si>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</si>
  <si>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</si>
  <si>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</si>
  <si>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</si>
  <si>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</si>
  <si>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</si>
  <si>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</si>
  <si>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</si>
  <si>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</si>
  <si>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</si>
  <si>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</si>
  <si>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</si>
  <si>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</si>
  <si>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</si>
  <si>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Test 12</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</si>
  <si>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</si>
  <si>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</si>
  <si>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</si>
  <si>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</si>
  <si>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</si>
  <si>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</si>
  <si>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NOK</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</si>
  <si>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</si>
  <si>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</si>
  <si>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</si>
  <si>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</si>
  <si>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</si>
  <si>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</si>
  <si>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Test 7</t>
  </si>
  <si>
    <t>1 - O tipo de dados é diferente do esperado devido a ter o nome da coluna correspondente por não existir ainda mapeamento.</t>
  </si>
  <si>
    <t>Total : 2276845
1 - 2276845</t>
  </si>
  <si>
    <t>initial_limit_amount</t>
  </si>
  <si>
    <t>current_limit_amount</t>
  </si>
  <si>
    <t>current_available_limit_amount</t>
  </si>
  <si>
    <t>2024-07-11T12:03:53.350+00:00</t>
  </si>
  <si>
    <t>2024-07-11T12:03:57.402+00:00</t>
  </si>
  <si>
    <t>2024-07-11T12:04:04.250+00:00</t>
  </si>
  <si>
    <t>2024-07-11T12:04:12.683+00:00</t>
  </si>
  <si>
    <t>2024-07-11T12:04:16.534+00:00</t>
  </si>
  <si>
    <t>2024-07-11T12:04:19.810+00:00</t>
  </si>
  <si>
    <t>BG</t>
  </si>
  <si>
    <t>2024-07-11 12:01:10.432000</t>
  </si>
  <si>
    <t>2024-07-11T12:05:14.956+00:00</t>
  </si>
  <si>
    <t>2024-07-11 12:04:22.846000</t>
  </si>
  <si>
    <t>2024-07-11T12:05:18.382+00:00</t>
  </si>
  <si>
    <t>EUR</t>
  </si>
  <si>
    <t>2024-07-11T12:06:04.768+00:00</t>
  </si>
  <si>
    <t>NR</t>
  </si>
  <si>
    <t>RED</t>
  </si>
  <si>
    <t>2024-07-11 12:05:20.707000</t>
  </si>
  <si>
    <t>2024-07-11T12:06:24.537+00:00</t>
  </si>
  <si>
    <t>0.95</t>
  </si>
  <si>
    <t>2024-07-11T12:06:31.393+00:00</t>
  </si>
  <si>
    <t>2024-07-11T12:06:40.327+00:00</t>
  </si>
  <si>
    <t>2024-07-11T12:10:03.846+00:00</t>
  </si>
  <si>
    <t>2024-07-11T12:10:23.525+00:00</t>
  </si>
  <si>
    <t>0.01</t>
  </si>
  <si>
    <t>0.64</t>
  </si>
  <si>
    <t>2024-07-11T12:10:26.345+00:00</t>
  </si>
  <si>
    <t>1 - Nos contratos vindo do source BG, a tabela de conversão de códigos produto e subproduto de Partenon para Sintra não tem correspondência para estes casos, assim, com o join ficam com o valor NULL e o mesmo é mantido por ser o valor default. Pedido de esclarecimento efetuado via Teams ao owner no dia 2024-07-02.
2 - Existem dois registos na tabela com duplicados, sendo que, um repete-se três vezes e o outro duas. Os registos com duplicados não têm tradução do seu produto na tabela de conversão de códigos produto e subproduto e, como tal, ficam com o valor NULL.</t>
  </si>
  <si>
    <t>Total: 15676
1 - 15673
2 - 3</t>
  </si>
  <si>
    <t>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</si>
  <si>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2 - 402</t>
  </si>
  <si>
    <t>1 - Nos contratos vindo do source BG, existem contratos em que o código da moeda vem a vazio, um missing, como tal é aplicado o valor default de NULL.
2 - Existem dois registos na tabela com duplicados, sendo que, um repete-se três vezes e o outro duas. Os registos com duplicados têm o código da moeda a vazio e, como tal, ficam com o valor default NULL.</t>
  </si>
  <si>
    <t>Total - 37139
1 - 37139</t>
  </si>
  <si>
    <t>Em validação</t>
  </si>
  <si>
    <t>Total: 36690
1 - 36690</t>
  </si>
  <si>
    <t>Test 2</t>
  </si>
  <si>
    <t>1 - Existem contratos que têm mais que uma conta DO identificada como âncora, como tal, por cada conta DO extra é gerado um duplicado. O tema está em análise com a owner técnica (email enviado a 11/06/2024).</t>
  </si>
  <si>
    <t>cur_total_advance_principal_amt</t>
  </si>
  <si>
    <t>off_balance_indicator</t>
  </si>
  <si>
    <t>2024-07-10T16:54:53.604+00:00</t>
  </si>
  <si>
    <t>175943.00</t>
  </si>
  <si>
    <t>2024-07-10T16:55:03.329+00:00</t>
  </si>
  <si>
    <t>171.00</t>
  </si>
  <si>
    <t>2024-07-10T16:55:09.704+00:00</t>
  </si>
  <si>
    <t>2024-07-10T16:55:45.370+00:00</t>
  </si>
  <si>
    <t>2024-07-10T16:55:56.387+00:00</t>
  </si>
  <si>
    <t>2024-07-10T16:56:01.636+00:00</t>
  </si>
  <si>
    <t>BCK</t>
  </si>
  <si>
    <t>2024-07-10 15:56:16.465000</t>
  </si>
  <si>
    <t>2024-07-10T16:56:25.339+00:00</t>
  </si>
  <si>
    <t>BACKOFFICE</t>
  </si>
  <si>
    <t>2024-07-10 16:56:07.849000</t>
  </si>
  <si>
    <t>2024-07-10T16:56:34.903+00:00</t>
  </si>
  <si>
    <t>Y40</t>
  </si>
  <si>
    <t>9411TE00010230</t>
  </si>
  <si>
    <t>I6I</t>
  </si>
  <si>
    <t>2024-07-10T16:56:55.245+00:00</t>
  </si>
  <si>
    <t>70000000.00</t>
  </si>
  <si>
    <t>9500000.00</t>
  </si>
  <si>
    <t>94818.24</t>
  </si>
  <si>
    <t>328950.89</t>
  </si>
  <si>
    <t>403478.75</t>
  </si>
  <si>
    <t>691581.37</t>
  </si>
  <si>
    <t>19152000.00</t>
  </si>
  <si>
    <t>S</t>
  </si>
  <si>
    <t>2024-07-10 16:56:38.148000</t>
  </si>
  <si>
    <t>2024-07-10T16:57:45.730+00:00</t>
  </si>
  <si>
    <t>0.84</t>
  </si>
  <si>
    <t>2024-07-10T16:57:56.597+00:00</t>
  </si>
  <si>
    <t>2024-07-10T16:58:14.708+00:00</t>
  </si>
  <si>
    <t>2024-07-10T16:59:44.655+00:00</t>
  </si>
  <si>
    <t>2024-07-10T17:00:17.095+00:00</t>
  </si>
  <si>
    <t>0.98</t>
  </si>
  <si>
    <t>3601.00</t>
  </si>
  <si>
    <t>2024-07-10T17:00:19.813+00:00</t>
  </si>
  <si>
    <t>2024-07-04T17:56:03.957+00:00</t>
  </si>
  <si>
    <t>1 - O tipo de dados é diferente do esperado devido a ter o nome da coluna correspondente por não existir ainda mapeamento. Como tal, quando é aplicado o CAST fica a NULL.</t>
  </si>
  <si>
    <t>Total: 160536
1 - 160536</t>
  </si>
  <si>
    <t>1 - Valor NULL para montantes. Representam os contratos que estão em contas de passagem a contencioso, sendo que este conceito está em falta aplica-se a estes contratos. Assim, aplicou-se o valor default dos montantes: NULL.
2 - Valor NULL para montantes. Representam os contratos que estão em contencioso, sendo que este conceito está em falta aplica-se a estes contratos. Assim, aplicou-se o valor default dos montantes: NULL.</t>
  </si>
  <si>
    <t>Total : 160
1 - 53
2 - 107</t>
  </si>
  <si>
    <t>1 - Valor NULL para montantes. Representam os contratos ativos que não tiveram um financiamento. A aplicação não têm este conceito quando não existe um financiamento, como tal, foi aplicado o valor NULL de missing.</t>
  </si>
  <si>
    <t>Total : 15236
1 - 15236</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</si>
  <si>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</si>
  <si>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</si>
  <si>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3601
1 - 3601</t>
  </si>
  <si>
    <t>Test 6</t>
  </si>
  <si>
    <t>1 - No universo de contratos de faturas existem faturas que ainda não tiveram financiamento ou que não foram financiadas por transfências. Esses casos não representam um missing nem um N\A, como tal, o campo fica a vazio.</t>
  </si>
  <si>
    <t>Total: 1
1 - 1</t>
  </si>
  <si>
    <t>2024-07-10T16:52:49.480+00:00</t>
  </si>
  <si>
    <t>2024-07-10T16:52:54.164+00:00</t>
  </si>
  <si>
    <t>2024-07-10T16:52:58.873+00:00</t>
  </si>
  <si>
    <t>2024-07-10T16:53:08.336+00:00</t>
  </si>
  <si>
    <t>None</t>
  </si>
  <si>
    <t>2024-07-10T16:53:14.363+00:00</t>
  </si>
  <si>
    <t>2024-07-10T16:53:19.685+00:00</t>
  </si>
  <si>
    <t>-0.120000</t>
  </si>
  <si>
    <t>2024-07-10 14:23:28.452000</t>
  </si>
  <si>
    <t>2024-07-10T16:53:53.492+00:00</t>
  </si>
  <si>
    <t>CR</t>
  </si>
  <si>
    <t>-0.12</t>
  </si>
  <si>
    <t>-998680.19</t>
  </si>
  <si>
    <t>2024-07-10 16:53:21.794000</t>
  </si>
  <si>
    <t>2024-07-10T16:53:58.626+00:00</t>
  </si>
  <si>
    <t>Y07</t>
  </si>
  <si>
    <t>2024-07-10T16:54:56.004+00:00</t>
  </si>
  <si>
    <t>100424890.30</t>
  </si>
  <si>
    <t>3415494.90</t>
  </si>
  <si>
    <t>2024-07-10 16:54:01.181000</t>
  </si>
  <si>
    <t>2024-07-10T16:55:37.900+00:00</t>
  </si>
  <si>
    <t>0.93</t>
  </si>
  <si>
    <t>2024-07-10T16:55:45.303+00:00</t>
  </si>
  <si>
    <t>2024-07-10T16:55:56.872+00:00</t>
  </si>
  <si>
    <t>2024-07-10T16:57:56.397+00:00</t>
  </si>
  <si>
    <t>2024-07-10T17:00:14.406+00:00</t>
  </si>
  <si>
    <t>0.78</t>
  </si>
  <si>
    <t>229635.00</t>
  </si>
  <si>
    <t>0.99</t>
  </si>
  <si>
    <t>1197.00</t>
  </si>
  <si>
    <t>2024-07-10T17:00:16.788+00:00</t>
  </si>
  <si>
    <t>1 - O tamanho máximo definido é superado devido a ter o nome da coluna correspondente por causa de ainda não existir mapeamento.</t>
  </si>
  <si>
    <t>Total: 1057882
1 - 1057882</t>
  </si>
  <si>
    <t>1 - O mapeamento para o campo está pendente, como tal quando é convertido fica a NULL.</t>
  </si>
  <si>
    <t>1 - Contratos de contas CRP que não têm nenhuma relação ativa com uma conta DO âncora. Tentativamente em validação com a owner.</t>
  </si>
  <si>
    <t>Total : 840031
1 - 840031</t>
  </si>
  <si>
    <t>1 -  Existem 229635 registo no MCD que não existem nas ICs. Estes contratos são contas com um saldo igual a zero, como tal não aparecem na Contabilidade.</t>
  </si>
  <si>
    <t>Total: 229635
1 - 229635</t>
  </si>
  <si>
    <t>1 - Existem 1197 registos nas ICs que não existem no MCD. São contratos com o estado 4 ou 5 na aplicação que não são considerados pela regra de ataque. Em validação com a Contabilidade.</t>
  </si>
  <si>
    <t>Total: 1197
1 - 1197</t>
  </si>
  <si>
    <t>Test 19</t>
  </si>
  <si>
    <t>1 - Por ainda não existir mapeamento e estar a ser colocado o nome da coluna no seu conteudo, o tipo de dados vai em formato de string em vez do formato definido no modelo.</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</si>
  <si>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</si>
  <si>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</si>
  <si>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</si>
  <si>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</si>
  <si>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</si>
  <si>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</si>
  <si>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</si>
  <si>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</si>
  <si>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</si>
  <si>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</si>
  <si>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</si>
  <si>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</si>
  <si>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</si>
  <si>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</si>
  <si>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</si>
  <si>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</si>
  <si>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</si>
  <si>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</si>
  <si>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</si>
  <si>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</si>
  <si>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</si>
  <si>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</si>
  <si>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</si>
  <si>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</si>
  <si>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</si>
  <si>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</si>
  <si>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</si>
  <si>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</si>
  <si>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</si>
  <si>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</si>
  <si>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</si>
  <si>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</si>
  <si>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</si>
  <si>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</si>
  <si>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</si>
  <si>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</si>
  <si>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</si>
  <si>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</si>
  <si>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</si>
  <si>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</si>
  <si>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</si>
  <si>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</si>
  <si>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</si>
  <si>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</si>
  <si>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</si>
  <si>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</si>
  <si>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</si>
  <si>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</si>
  <si>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</si>
  <si>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</si>
  <si>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2024-07-10T17:47:56.958+00:00</t>
  </si>
  <si>
    <t>1.00</t>
  </si>
  <si>
    <t>2024-07-10T17:48:01.983+00:00</t>
  </si>
  <si>
    <t>2024-07-10T17:48:06.163+00:00</t>
  </si>
  <si>
    <t>2024-07-10T17:48:14.338+00:00</t>
  </si>
  <si>
    <t>2024-07-10T17:48:17.733+00:00</t>
  </si>
  <si>
    <t>2024-07-10T17:48:21.040+00:00</t>
  </si>
  <si>
    <t>2024-07-10 17:31:44.052000</t>
  </si>
  <si>
    <t>2024-07-10T17:48:26.963+00:00</t>
  </si>
  <si>
    <t>2024-07-10 17:48:23.298000</t>
  </si>
  <si>
    <t>2024-07-10T17:48:32.153+00:00</t>
  </si>
  <si>
    <t>70000000.000000</t>
  </si>
  <si>
    <t>2024-07-10T17:48:37.110+00:00</t>
  </si>
  <si>
    <t>2024-07-10 17:48:34.427000</t>
  </si>
  <si>
    <t>2024-07-10T17:48:45.331+00:00</t>
  </si>
  <si>
    <t>2024-07-10T17:48:48.185+00:00</t>
  </si>
  <si>
    <t>2024-07-10T17:48:56.934+00:00</t>
  </si>
  <si>
    <t>2024-07-10T17:49:10.841+00:00</t>
  </si>
  <si>
    <t>2024-07-10T17:49:14.065+00:00</t>
  </si>
  <si>
    <t>date</t>
  </si>
  <si>
    <t>2024-07-03T18:51:35.559+00:00</t>
  </si>
  <si>
    <t>2024-07-10T19:18:52.321+00:00</t>
  </si>
  <si>
    <t>923.00</t>
  </si>
  <si>
    <t>2024-07-10T19:18:55.826+00:00</t>
  </si>
  <si>
    <t>2024-07-10T19:18:59.840+00:00</t>
  </si>
  <si>
    <t>2024-07-10T19:19:09.740+00:00</t>
  </si>
  <si>
    <t>2024-07-10T19:19:12.752+00:00</t>
  </si>
  <si>
    <t>2024-07-10T19:19:15.671+00:00</t>
  </si>
  <si>
    <t>CAD</t>
  </si>
  <si>
    <t>2024-07-10 19:18:06.616000</t>
  </si>
  <si>
    <t>2024-07-10T19:19:24.334+00:00</t>
  </si>
  <si>
    <t>2024-07-10 19:19:17.785000</t>
  </si>
  <si>
    <t>10</t>
  </si>
  <si>
    <t>2024-07-10T19:19:27.391+00:00</t>
  </si>
  <si>
    <t>89</t>
  </si>
  <si>
    <t>000020240000133</t>
  </si>
  <si>
    <t>31</t>
  </si>
  <si>
    <t>239302783937020000000000000000</t>
  </si>
  <si>
    <t xml:space="preserve">PT50518000050000050810730         </t>
  </si>
  <si>
    <t>2024-03-26</t>
  </si>
  <si>
    <t>2099-01-01</t>
  </si>
  <si>
    <t>USD</t>
  </si>
  <si>
    <t>160000000.000000</t>
  </si>
  <si>
    <t>199999961.040000</t>
  </si>
  <si>
    <t>2024-04-08</t>
  </si>
  <si>
    <t>11</t>
  </si>
  <si>
    <t>2024-07-10T19:19:38.609+00:00</t>
  </si>
  <si>
    <t>#N/A</t>
  </si>
  <si>
    <t>199999961.04</t>
  </si>
  <si>
    <t>05</t>
  </si>
  <si>
    <t>2024-07-10 19:19:29.905000</t>
  </si>
  <si>
    <t>2024-07-10T19:19:47.986+00:00</t>
  </si>
  <si>
    <t>0.65</t>
  </si>
  <si>
    <t>2024-07-10T19:19:51.051+00:00</t>
  </si>
  <si>
    <t>2024-07-10T19:19:53.480+00:00</t>
  </si>
  <si>
    <t>Universo Comparison MCD - Source</t>
  </si>
  <si>
    <t>2024-07-10T19:20:18.666+00:00</t>
  </si>
  <si>
    <t>Universo Comparison Source - MCD</t>
  </si>
  <si>
    <t>2024-07-10T19:20:20.770+00:00</t>
  </si>
  <si>
    <t>2024-07-02T16:54:04.381+00:00</t>
  </si>
  <si>
    <t>d</t>
  </si>
  <si>
    <t>1 - Representam os casos em que IBAN associado ao processo está a vazio, como tal é aplicado o valor default missing de NULL.</t>
  </si>
  <si>
    <t>Total : 4
1 - 4</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</si>
  <si>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</si>
  <si>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</si>
  <si>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</si>
  <si>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</si>
  <si>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</si>
  <si>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</si>
  <si>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</si>
  <si>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</si>
  <si>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</si>
  <si>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</si>
  <si>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</si>
  <si>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</si>
  <si>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</si>
  <si>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</si>
  <si>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</si>
  <si>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</si>
  <si>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</si>
  <si>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</si>
  <si>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</si>
  <si>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</si>
  <si>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</si>
  <si>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</si>
  <si>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</si>
  <si>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</si>
  <si>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</si>
  <si>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</si>
  <si>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</si>
  <si>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</si>
  <si>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</si>
  <si>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2024-07-02T19:29:49.059+00:00</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</si>
  <si>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</si>
  <si>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</si>
  <si>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</si>
  <si>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</si>
  <si>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</si>
  <si>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</si>
  <si>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</si>
  <si>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</si>
  <si>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</si>
  <si>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</si>
  <si>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</si>
  <si>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</si>
  <si>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</si>
  <si>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</si>
  <si>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</si>
  <si>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</si>
  <si>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</si>
  <si>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</si>
  <si>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</si>
  <si>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</si>
  <si>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</si>
  <si>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next_billing_due_date</t>
  </si>
  <si>
    <t>last_litigation_payment_date</t>
  </si>
  <si>
    <t>last_litigation_paym_princip_amt</t>
  </si>
  <si>
    <t xml:space="preserve">cur_outsng_principal_balance </t>
  </si>
  <si>
    <t>2024-06-19 10:35:54.753000</t>
  </si>
  <si>
    <t>2024-06-19 10:36:41.172000</t>
  </si>
  <si>
    <t>0.999864</t>
  </si>
  <si>
    <t>2024-06-19 10:38:19.889000</t>
  </si>
  <si>
    <t>2024-06-19 10:38:54.359000</t>
  </si>
  <si>
    <t>bank_id : 89, 89, 89, 31, 31</t>
  </si>
  <si>
    <t>contract_id : 000011199500000130000394700034, 000011201500029620004495500001, 00001120180910643001520180411711, 000311403277029114032770290000, 038300200021376000000000000000</t>
  </si>
  <si>
    <t>product_family_id : product_tp_id, product_family_id, product_family_id, product_family_id, product_family_id</t>
  </si>
  <si>
    <t>product_id : 000, 000, 000, 029, 020</t>
  </si>
  <si>
    <t>subproduct_id : 050, 049, Y49, 289, 080</t>
  </si>
  <si>
    <t>main_current_account_bank_id :  ,  , 31, 31, #NA</t>
  </si>
  <si>
    <t>main_current_account_contract_id :  ,  , 00182012007648510206000000000000000, 000311403277029000000000000000, #NA</t>
  </si>
  <si>
    <t xml:space="preserve">main_current_account_iban :                                   , PT50001800032998896102068         , PT50001820120076485102062         ,  ,  </t>
  </si>
  <si>
    <t>main_loan_account_bank_id : ,  , 31, #NA, #NA</t>
  </si>
  <si>
    <t>main_loan_account_contract_id : ,  , 00182012007648510206000000000000000, #NA, #NA</t>
  </si>
  <si>
    <t xml:space="preserve">main_loan_account_iban :                                   , PT50001800032998896102068         , PT50001820120076485102062         ,  ,  </t>
  </si>
  <si>
    <t>process_bank_id : 89, 89, 89, #NA, #NA</t>
  </si>
  <si>
    <t>process_id : 00001119950000013, 00001120150002962, 00001120180910643, #NA, #NA</t>
  </si>
  <si>
    <t>opening_date : 1995-03-10, 2015-09-30, 2018-09-21, 2015-01-22, 1998-10-29</t>
  </si>
  <si>
    <t>current_maturity_date : 2004-12-11, 2024-11-30, 2018-11-20, 2015-01-20, 9999-12-31</t>
  </si>
  <si>
    <t>currency_code : EUR, EUR, EUR, EUR, 000</t>
  </si>
  <si>
    <t>last_billing_date : 9999-12-31, 9999-12-31, 9999-12-31, 9999-12-31, 9999-12-31</t>
  </si>
  <si>
    <t>next_billing_due_date : 9999-12-31, 9999-12-31, 2018-11-20, 9999-12-31, 9999-12-31</t>
  </si>
  <si>
    <t>cur_total_billed_principal_amt : None, None, 0.000000, 96829.640000, None</t>
  </si>
  <si>
    <t>recourse_indicator : 1, 0, 1, -1, -1</t>
  </si>
  <si>
    <t>last_advance_date : 9999-12-31, 9999-12-31, 9999-12-31, 9999-12-31, 9999-12-31</t>
  </si>
  <si>
    <t>last_advance_principal_amount : None, None, None, None, None</t>
  </si>
  <si>
    <t>cur_total_advance_principal_amt : None, None, 0.000000, None, 0.000000</t>
  </si>
  <si>
    <t>litigation_indicator : 0, 0, 0, 1, 0</t>
  </si>
  <si>
    <t>last_litigation_payment_date : 9999-12-31, 9999-12-31, 9999-12-31, 9999-12-31, 9999-12-31</t>
  </si>
  <si>
    <t>last_litigation_paym_princip_amt : None, None, None, None, None</t>
  </si>
  <si>
    <t>cur_debt_litigation_princip_bal : None, None, None, 7712.310000, 0.000000</t>
  </si>
  <si>
    <t>current_limit_amount : None, 100000.000000, 266.800000, None, None</t>
  </si>
  <si>
    <t>current_available_limit_amount : None, 100000.000000, -6403.200000, None, None</t>
  </si>
  <si>
    <t>current_retention_rate : None, None, 25.000000, None, None</t>
  </si>
  <si>
    <t>cur_outsng_principal_balance : None, 0.000000, 0.000000, None, None</t>
  </si>
  <si>
    <t>current_overdue_principal_bal : None, 0.000000, 0.000000, 0.000000, 0.000000</t>
  </si>
  <si>
    <t>initial_active_variable_rate_ind : -1, -1, 1, -1, -1</t>
  </si>
  <si>
    <t xml:space="preserve">initial_active_indexing :  , ", E3M, #NA,  </t>
  </si>
  <si>
    <t>initial_active_index_rate : None, None, -0.321000, None, None</t>
  </si>
  <si>
    <t>initial_active_spread : None, None, 4.000000, None, None</t>
  </si>
  <si>
    <t>initial_active_interest_rate : None, None, 3.679000, None, None</t>
  </si>
  <si>
    <t>cur_active_rate_type_code : #NA, #NA, 262 , #NA, #NA</t>
  </si>
  <si>
    <t xml:space="preserve">current_active_indexing :  ,  , 12E,  ,  </t>
  </si>
  <si>
    <t>current_active_index_rate : None, None, 3.671000, None, None</t>
  </si>
  <si>
    <t>current_active_spread : None, None, 2.500000, None, None</t>
  </si>
  <si>
    <t>current_active_interest_rate : None, None, 6.171000, None, None</t>
  </si>
  <si>
    <t>off_balance_indicator : 1, 1, 0, 0, 0</t>
  </si>
  <si>
    <t>contract_status_code : 05, 05, A, 1, 4</t>
  </si>
  <si>
    <t>contract_opening_channel_code : Branch, Branch, Branch, Branch, Branch</t>
  </si>
  <si>
    <t>source_code : DEV, ADE, FA, TC, DC</t>
  </si>
  <si>
    <t>data_date_part : 2024-04-08, 2024-04-08, 2024-04-08, 2024-04-08, 2024-04-08</t>
  </si>
  <si>
    <t>data_timestamp_part : 2024-06-19 10:38:22.885000, 2024-06-19 10:38:22.885000, 2024-06-19 10:38:22.885000, 2024-06-19 10:38:22.885000, 2024-06-19 10:38:22.885000</t>
  </si>
  <si>
    <t>2024-06-19 10:39:28.684000</t>
  </si>
  <si>
    <t>data_timestamp_part : 2024-06-19 10:38:57.257000, 2024-06-19 10:38:57.257000, 2024-06-19 10:38:57.257000, 2024-06-19 10:38:57.257000, 2024-06-19 10:38:57.257000</t>
  </si>
  <si>
    <t>2024-06-19 10:40:05.797000</t>
  </si>
  <si>
    <t>2024-06-19 10:40:45.054000</t>
  </si>
  <si>
    <t>2024-06-19 10:41:18.845000</t>
  </si>
  <si>
    <t>#NA</t>
  </si>
  <si>
    <t>0.010000</t>
  </si>
  <si>
    <t>-0.371000</t>
  </si>
  <si>
    <t>-0.550000</t>
  </si>
  <si>
    <t>Branch</t>
  </si>
  <si>
    <t>ADE</t>
  </si>
  <si>
    <t>2024-06-19 10:40:55.896000</t>
  </si>
  <si>
    <t>2024-06-19 10:41:50.743000</t>
  </si>
  <si>
    <t>2024-06-19 10:41:22.466000</t>
  </si>
  <si>
    <t>2024-06-19 10:42:31.043000</t>
  </si>
  <si>
    <t>product_tp_id</t>
  </si>
  <si>
    <t>Y50</t>
  </si>
  <si>
    <t>E3M</t>
  </si>
  <si>
    <t>0.058000</t>
  </si>
  <si>
    <t>E6M</t>
  </si>
  <si>
    <t>A</t>
  </si>
  <si>
    <t>2024-06-19 10:41:56.527000</t>
  </si>
  <si>
    <t>2024-06-19 10:43:08.189000</t>
  </si>
  <si>
    <t>2024-06-19 10:42:35.175000</t>
  </si>
  <si>
    <t>2024-06-19 11:00:36.431000</t>
  </si>
  <si>
    <t>0.645833</t>
  </si>
  <si>
    <t>Default Date Value</t>
  </si>
  <si>
    <t>2024-06-19 11:04:47.997000</t>
  </si>
  <si>
    <t>Default Date Count</t>
  </si>
  <si>
    <t xml:space="preserve">No Default _x000D_
</t>
  </si>
  <si>
    <t xml:space="preserve">9999-12-31 00:00:00_x000D_
</t>
  </si>
  <si>
    <t>Default Code Indicator</t>
  </si>
  <si>
    <t>2024-06-19 11:05:59.929000</t>
  </si>
  <si>
    <t>Default Indicator Count</t>
  </si>
  <si>
    <t xml:space="preserve">-1_x000D_
</t>
  </si>
  <si>
    <t>Default Code Date</t>
  </si>
  <si>
    <t>2024-06-19 11:06:19.948000</t>
  </si>
  <si>
    <t>2024-06-19 11:10:10.904000</t>
  </si>
  <si>
    <t>2024-06-19 11:12:12.107000</t>
  </si>
  <si>
    <t>0.000015</t>
  </si>
  <si>
    <t>2024-06-19 11:12:18.905000</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</si>
  <si>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</si>
  <si>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</si>
  <si>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</si>
  <si>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</si>
  <si>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</si>
  <si>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</si>
  <si>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</si>
  <si>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</si>
  <si>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</si>
  <si>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</si>
  <si>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</si>
  <si>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</si>
  <si>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</si>
  <si>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</si>
  <si>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</si>
  <si>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</si>
  <si>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</si>
  <si>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</si>
  <si>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</si>
  <si>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</si>
  <si>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</si>
  <si>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</si>
  <si>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</si>
  <si>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</si>
  <si>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</si>
  <si>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</si>
  <si>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</si>
  <si>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</si>
  <si>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</si>
  <si>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</si>
  <si>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</si>
  <si>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</si>
  <si>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</si>
  <si>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</si>
  <si>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</si>
  <si>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</si>
  <si>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</si>
  <si>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</si>
  <si>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</si>
  <si>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</si>
  <si>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</si>
  <si>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</si>
  <si>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</si>
  <si>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</si>
  <si>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</si>
  <si>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</si>
  <si>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</si>
  <si>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</si>
  <si>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</si>
  <si>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</si>
  <si>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</si>
  <si>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</si>
  <si>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</si>
  <si>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</si>
  <si>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</si>
  <si>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</si>
  <si>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</si>
  <si>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</si>
  <si>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</si>
  <si>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</si>
  <si>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</si>
  <si>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</si>
  <si>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</si>
  <si>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</si>
  <si>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</si>
  <si>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</si>
  <si>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</si>
  <si>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</si>
  <si>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</si>
  <si>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</si>
  <si>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</si>
  <si>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</si>
  <si>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</si>
  <si>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</si>
  <si>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</si>
  <si>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</si>
  <si>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</si>
  <si>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</si>
  <si>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</si>
  <si>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</si>
  <si>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</si>
  <si>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</si>
  <si>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</si>
  <si>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</si>
  <si>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</si>
  <si>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</si>
  <si>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</si>
  <si>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</si>
  <si>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</si>
  <si>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</si>
  <si>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</si>
  <si>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</si>
  <si>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</si>
  <si>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</si>
  <si>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</si>
  <si>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</si>
  <si>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</si>
  <si>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</si>
  <si>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</si>
  <si>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</si>
  <si>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</si>
  <si>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</si>
  <si>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</si>
  <si>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</si>
  <si>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</si>
  <si>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</si>
  <si>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</si>
  <si>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</si>
  <si>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</si>
  <si>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</si>
  <si>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</si>
  <si>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</si>
  <si>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</si>
  <si>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</si>
  <si>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</si>
  <si>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</si>
  <si>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</si>
  <si>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</si>
  <si>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</si>
  <si>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</si>
  <si>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</si>
  <si>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</si>
  <si>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</si>
  <si>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</si>
  <si>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</si>
  <si>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</si>
  <si>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</si>
  <si>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</si>
  <si>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</si>
  <si>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</si>
  <si>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</si>
  <si>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</si>
  <si>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</si>
  <si>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</si>
  <si>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</si>
  <si>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</si>
  <si>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</si>
  <si>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</si>
  <si>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</si>
  <si>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</si>
  <si>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</si>
  <si>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LIT</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</si>
  <si>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</si>
  <si>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</si>
  <si>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</si>
  <si>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</si>
  <si>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</si>
  <si>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</si>
  <si>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</si>
  <si>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</si>
  <si>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</si>
  <si>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</si>
  <si>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</si>
  <si>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</si>
  <si>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</si>
  <si>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</si>
  <si>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</si>
  <si>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</si>
  <si>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</si>
  <si>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</si>
  <si>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</si>
  <si>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</si>
  <si>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</si>
  <si>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</si>
  <si>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</si>
  <si>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</si>
  <si>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</si>
  <si>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</si>
  <si>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</si>
  <si>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</si>
  <si>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</si>
  <si>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</si>
  <si>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</si>
  <si>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</si>
  <si>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</si>
  <si>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</si>
  <si>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</si>
  <si>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</si>
  <si>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</si>
  <si>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</si>
  <si>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</si>
  <si>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</si>
  <si>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</si>
  <si>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</si>
  <si>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</si>
  <si>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</si>
  <si>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</si>
  <si>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</si>
  <si>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</si>
  <si>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</si>
  <si>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</si>
  <si>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</si>
  <si>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</si>
  <si>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</si>
  <si>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</si>
  <si>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2024-08-12T12:01:54.380</t>
  </si>
  <si>
    <t>2024-08-12T12:01:59.190</t>
  </si>
  <si>
    <t>2024-08-12T12:02:04.405</t>
  </si>
  <si>
    <t>2024-08-12T12:02:16.390</t>
  </si>
  <si>
    <t>2024-08-12T12:02:21.535</t>
  </si>
  <si>
    <t>2024-08-12T12:02:28.053</t>
  </si>
  <si>
    <t>LON</t>
  </si>
  <si>
    <t>-0.200000</t>
  </si>
  <si>
    <t>-0.202600</t>
  </si>
  <si>
    <t>EP</t>
  </si>
  <si>
    <t>2024-08-12 11:52:39.440000</t>
  </si>
  <si>
    <t>2024-08-12T12:04:49.417</t>
  </si>
  <si>
    <t>2024-08-12 12:02:31.009000</t>
  </si>
  <si>
    <t>2024-08-12T12:05:05.198</t>
  </si>
  <si>
    <t>YXF</t>
  </si>
  <si>
    <t>1</t>
  </si>
  <si>
    <t>X1F</t>
  </si>
  <si>
    <t>SUS</t>
  </si>
  <si>
    <t>2024-08-12T12:07:27.565</t>
  </si>
  <si>
    <t>SU</t>
  </si>
  <si>
    <t>2024-08-12 12:05:08.272000</t>
  </si>
  <si>
    <t>2024-08-12T12:08:02.451</t>
  </si>
  <si>
    <t>2024-08-12T12:08:09.718</t>
  </si>
  <si>
    <t>2024-08-12T12:08:22.237</t>
  </si>
  <si>
    <t>2024-08-12T12:21:25.326</t>
  </si>
  <si>
    <t>2024-08-12T12:22:05.446</t>
  </si>
  <si>
    <t>2024-08-12T12:22:10.871</t>
  </si>
  <si>
    <t>* Temos 341 contratos presentes tanto em Partenon com em SIntra, mas não estão a aparecer nos resultados do teste visto que estamos a usar data_date_part diferentes entre os universos, devido a falta de dados.</t>
  </si>
  <si>
    <t>O campo ibonif que usamos no mapeamento, pode assumir valor vazio. Devemos subsituir estes casos por NULL, ou não, assumindo que o vazio tem algum significado?</t>
  </si>
  <si>
    <t>** Para o Universo Paténon está a ser usada a data 2024-07-18</t>
  </si>
  <si>
    <t>1 - Contratos em Partenon cuja relação com a conta DO não foi encontrada na tabela rel_contratos em estruturais</t>
  </si>
  <si>
    <t>Total: 125
1 - 125</t>
  </si>
  <si>
    <t>1 - Contratos em Partenon sem nenhum registo de uma prestação liquidada.</t>
  </si>
  <si>
    <t>Total: 32
1 - 32</t>
  </si>
  <si>
    <t>current_outsng_principal_balance</t>
  </si>
  <si>
    <t>1 -  Contratos em Partenon cuja data de maturidade foi ultrapassada, não tendo nenhum registo associado a capital vencido na tabela de posição de divida eh_ctr_onl_posi
2  - Contratos em partenon sem nenhum registo associado a capital vencido (codigo '000') na tabela da posição da dívida.</t>
  </si>
  <si>
    <t>Total : 18
1 - 16
2 - 2</t>
  </si>
  <si>
    <t>cur_debt_litigation_princip_amt</t>
  </si>
  <si>
    <t>1 - Contratos Sintra em contencioso sem nenhum registo de posição de divida na tct01 ativo.</t>
  </si>
  <si>
    <t>next_regular_princip_amt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</si>
  <si>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</si>
  <si>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914326
1 - 1620
2 - 507344
3 - 405362</t>
  </si>
  <si>
    <t>1-  NOK
2 - NOK
3 - OK</t>
  </si>
  <si>
    <t>1 -  Contratos em Sintra para os quais não foi encontrada nenhuma prestação na tabela ept08.
2 - Contratos sem qualquer pagamento liquidado (com número de prestações liquidadas = 0)
3 - Contratos em Partenon sem nenhum registo de uma prestação liquidada.</t>
  </si>
  <si>
    <t>Total:  210119
1 - 210087
2 - 32</t>
  </si>
  <si>
    <t>1 - NOK
2 - ?
3 - NOK</t>
  </si>
  <si>
    <t>1 -  Contratos em Sintra para os quais não foi encontrada nenhuma prestação na tabela ept08.
2 - Contratos sem qualquer pagamento liquidado (com número de prestações liquidadas = 0)</t>
  </si>
  <si>
    <t>Total: 210119
1 - 210087
2 - 32</t>
  </si>
  <si>
    <t>1 - NOK
2 - OK</t>
  </si>
  <si>
    <t>1 - Contratos em Sintra para os quais não foi registado qualquer pagamento antecipado na tabela de movimentos ept07.
2 - Contratos em Partenon para os quais não foi registado qualquer pagamento antecipado na tabela de movimentos eh_oper_contr.</t>
  </si>
  <si>
    <t>Total : 928743
1 - 903024
2 - 25719</t>
  </si>
  <si>
    <t>1 - ?
2 - ?</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</si>
  <si>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</si>
  <si>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962080
1 - 903024
2 - 33337
3 - 25719</t>
  </si>
  <si>
    <t>1 - ?
2 - OK
3 - ?</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</si>
  <si>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</si>
  <si>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288788 | 288892
1 - 20
2 - 22521
3 - 266351</t>
  </si>
  <si>
    <t>1 - ?
2 - ?
3 - ?</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</si>
  <si>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</si>
  <si>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865682 | 865792
1 - 20
2 - 22521
3 - 266351
4 - 576900</t>
  </si>
  <si>
    <t>1 - ?
2 - ?
3 - ?
4 - OK</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</si>
  <si>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eh_det_rec_cob
7 - Contratos em Partenon sem correspondencia na tabela ept99.</t>
  </si>
  <si>
    <t>Total : 782868
1 - 20
2 - 22521
3 - 266351
4 - 486319
5 - 972 | 955
6 - 6177 | 0
7 - 508 | 531</t>
  </si>
  <si>
    <t>1 - NOK
2 - ?
3 - NOK
4 - OK
5 - NOK
6 - NOK
7 -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</si>
  <si>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</si>
  <si>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287063
1 - 1939
2 - 285124</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</si>
  <si>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</si>
  <si>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</si>
  <si>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 xml:space="preserve">1 - Entradas em Sintra sem correspondência na ept03 para a taxa de juro à data de inicio do contrato.
</t>
  </si>
  <si>
    <t>Total: 540296
1 - 540296</t>
  </si>
  <si>
    <t xml:space="preserve">1 - Contratos em Sintra com bonificações, sem correspondências á data de inicio do contrato na tabela ept10.
</t>
  </si>
  <si>
    <t>Total : 8682
1 - 8682</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</si>
  <si>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</si>
  <si>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297059
1 - 1506
2 - 295552
3 - 1</t>
  </si>
  <si>
    <t>1 - NOK
2 - OK
3 - OK</t>
  </si>
  <si>
    <t>Total: 641483
1 - 127844
2 - 513639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</si>
  <si>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</si>
  <si>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522372
1 -  324000
2 -  198372</t>
  </si>
  <si>
    <t>1 - Contratos em Sintra associados com bonificações, sem correspondências á data de inicio do contrato na tabela ept10.</t>
  </si>
  <si>
    <t>Total: 7
1 - 7</t>
  </si>
  <si>
    <t>1 - Contratos para os quais não foi encontrada a proposta associada, na tabela prt03.</t>
  </si>
  <si>
    <t>Total : 565139
1 - 565139</t>
  </si>
  <si>
    <t xml:space="preserve">1 - Contratos que não obedecem às regras de ataque, não estando o seu estado presente nos dados de referencia. </t>
  </si>
  <si>
    <t>Total: 87565
1 - 87565</t>
  </si>
  <si>
    <t>1- Contratos de empréstimos cuja data de validade já foi ultrapassada (current_maturity_date &lt;= data_date_part)
2 - Contratos de empréstimos com saldo a 0 (tanto em vincendo como em incumprimento)
3 - Contratos de empréstimos  em contencioso com divida a 0.
4 - Contratos que estão fora das regras de ataque, mas que ainda têm dívida para com o banco registada nas tabelas de origem.
5 - Contratos vivos com saldo associado.
6 - Contratos em contencioso vivos com saldo associado.</t>
  </si>
  <si>
    <t>Total: 269054
1 - 220654
2 - 103
3 - 13
4 - 46940
5 - 22
6 - 1322</t>
  </si>
  <si>
    <t>Universo</t>
  </si>
  <si>
    <t>Total: 45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</si>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</sst>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4"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5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3" fontId="0" fillId="0" borderId="0" xfId="0" applyNumberFormat="1" applyAlignment="1">
      <alignment horizontal="right"/>
    </xf>
    <xf numFmtId="0" fontId="0" fillId="0" borderId="0" xfId="0" applyAlignment="1">
      <alignment horizontal="right"/>
    </xf>
    <xf numFmtId="0" fontId="0" fillId="0" borderId="0" xfId="0" applyAlignment="1">
      <alignment horizontal="right" vertical="center"/>
    </xf>
    <xf numFmtId="14" fontId="0" fillId="0" borderId="0" xfId="0" applyNumberFormat="1" applyAlignment="1">
      <alignment horizontal="right"/>
    </xf>
    <xf numFmtId="0" fontId="0" fillId="0" borderId="0" xfId="0" applyAlignment="1">
      <alignment horizontal="right" wrapText="1"/>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0" fontId="32" fillId="8" borderId="12" xfId="0" applyFont="1" applyFill="1" applyBorder="1" applyAlignment="1">
      <alignment vertical="center" wrapText="1"/>
    </xf>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0" fillId="0" borderId="19" xfId="0" applyBorder="1" applyAlignment="1" applyProtection="1">
      <alignment horizontal="left" vertical="center" wrapText="1"/>
      <protection locked="0"/>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30" fillId="8" borderId="12" xfId="0" applyFont="1" applyFill="1" applyBorder="1" applyAlignment="1">
      <alignment horizontal="center"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0" fillId="12" borderId="0" xfId="0" applyFill="1" applyProtection="1">
      <protection locked="0"/>
    </xf>
    <xf numFmtId="0" fontId="30" fillId="12" borderId="12" xfId="0" applyFont="1" applyFill="1" applyBorder="1" applyAlignment="1">
      <alignment horizontal="left" vertical="center"/>
    </xf>
    <xf numFmtId="0" fontId="0" fillId="12" borderId="0" xfId="0" applyFill="1" applyAlignment="1" applyProtection="1">
      <alignment vertical="center"/>
      <protection locked="0"/>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30" fillId="0" borderId="15" xfId="0" applyFont="1" applyBorder="1" applyAlignment="1">
      <alignment horizontal="left" vertical="center"/>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0" fontId="0" fillId="8" borderId="19" xfId="0" applyFill="1" applyBorder="1" applyAlignment="1">
      <alignment vertical="center" wrapText="1"/>
    </xf>
    <xf numFmtId="49" fontId="0" fillId="8" borderId="11" xfId="0" applyNumberFormat="1" applyFill="1" applyBorder="1" applyAlignment="1">
      <alignment vertical="center" wrapText="1"/>
    </xf>
    <xf numFmtId="0" fontId="0" fillId="8" borderId="11" xfId="0" applyFill="1" applyBorder="1" applyAlignment="1">
      <alignment vertical="center" wrapText="1"/>
    </xf>
    <xf numFmtId="0" fontId="0" fillId="8" borderId="27" xfId="0" applyFill="1" applyBorder="1" applyAlignment="1">
      <alignment vertical="center"/>
    </xf>
    <xf numFmtId="0" fontId="0" fillId="8" borderId="25" xfId="0" applyFill="1" applyBorder="1" applyAlignment="1">
      <alignment vertical="center"/>
    </xf>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0" fontId="0" fillId="8" borderId="25" xfId="0" applyFill="1" applyBorder="1" applyAlignment="1">
      <alignment vertical="center" wrapText="1"/>
    </xf>
    <xf numFmtId="0" fontId="0" fillId="15" borderId="16" xfId="0" applyFill="1" applyBorder="1" applyAlignment="1">
      <alignment vertical="center"/>
    </xf>
    <xf numFmtId="0" fontId="0" fillId="15" borderId="15" xfId="0" applyFill="1" applyBorder="1" applyAlignment="1">
      <alignment vertical="center"/>
    </xf>
    <xf numFmtId="0" fontId="0" fillId="15" borderId="18" xfId="0" applyFill="1" applyBorder="1" applyAlignment="1">
      <alignment vertical="center" wrapText="1"/>
    </xf>
    <xf numFmtId="49" fontId="0" fillId="15" borderId="24" xfId="0" applyNumberFormat="1" applyFill="1" applyBorder="1" applyAlignment="1">
      <alignment vertical="center" wrapText="1"/>
    </xf>
    <xf numFmtId="0" fontId="0" fillId="15" borderId="24" xfId="0" applyFill="1" applyBorder="1" applyAlignment="1">
      <alignment vertical="center" wrapText="1"/>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0" fontId="0" fillId="2" borderId="25" xfId="0" applyFill="1" applyBorder="1" applyAlignment="1">
      <alignment vertical="center"/>
    </xf>
    <xf numFmtId="0" fontId="33" fillId="2" borderId="19" xfId="0" applyFont="1" applyFill="1" applyBorder="1" applyAlignment="1">
      <alignment vertical="center" wrapText="1"/>
    </xf>
    <xf numFmtId="49" fontId="33" fillId="2" borderId="11" xfId="0" applyNumberFormat="1" applyFont="1" applyFill="1" applyBorder="1" applyAlignment="1">
      <alignment vertical="center" wrapText="1"/>
    </xf>
    <xf numFmtId="0" fontId="0" fillId="2" borderId="11" xfId="0" applyFill="1" applyBorder="1" applyAlignment="1">
      <alignment vertical="center" wrapText="1"/>
    </xf>
    <xf numFmtId="16" fontId="41" fillId="2" borderId="18" xfId="0" applyNumberFormat="1" applyFont="1" applyFill="1" applyBorder="1" applyAlignment="1">
      <alignment vertical="center" wrapText="1"/>
    </xf>
    <xf numFmtId="49" fontId="33" fillId="2" borderId="24" xfId="0" applyNumberFormat="1" applyFont="1" applyFill="1" applyBorder="1" applyAlignment="1">
      <alignment vertical="center" wrapText="1"/>
    </xf>
    <xf numFmtId="0" fontId="1" fillId="0" borderId="13" xfId="0" applyFont="1" applyBorder="1" applyAlignment="1">
      <alignment horizontal="left" vertical="center"/>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926">
    <dxf>
      <font>
        <color rgb="FF9C0006"/>
      </font>
      <fill>
        <patternFill patternType="solid">
          <bgColor theme="5" tint="0.79998168889431442"/>
        </patternFill>
      </fill>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styles" Target="style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2E15C380-D972-4E78-837B-86BB1CA674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63" totalsRowShown="0" headerRowBorderDxfId="925" tableBorderDxfId="924" totalsRowBorderDxfId="923">
  <autoFilter ref="B5:D63" xr:uid="{1234E600-EB24-41C2-B5ED-A18A1F362FEF}">
    <filterColumn colId="0">
      <filters>
        <filter val="common_contracts_bankguarantees"/>
        <filter val="common_contracts_bankvaults"/>
        <filter val="common_contracts_billspromissorynotes"/>
        <filter val="common_contracts_confirming"/>
        <filter val="common_contracts_core"/>
      </filters>
    </filterColumn>
  </autoFilter>
  <sortState xmlns:xlrd2="http://schemas.microsoft.com/office/spreadsheetml/2017/richdata2" ref="B6:D63">
    <sortCondition ref="B5:B63"/>
  </sortState>
  <tableColumns count="3">
    <tableColumn id="1" xr3:uid="{DBA08D3A-8B45-463C-9BA5-345EE76D8EA7}" name="SCHEMA" dataDxfId="922"/>
    <tableColumn id="2" xr3:uid="{A5BB3E33-E651-442C-98F0-507AF0193FD2}" name="TABELA" dataDxfId="921"/>
    <tableColumn id="3" xr3:uid="{E0E37E63-2779-457A-8E6F-F72769907102}" name="DESCRIÇÃO" dataDxfId="92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A656" totalsRowShown="0" headerRowDxfId="919" dataDxfId="918" tableBorderDxfId="917">
  <autoFilter ref="B7:AA656" xr:uid="{397B46A6-3E35-43D3-9DFF-2BD469E30B02}"/>
  <sortState xmlns:xlrd2="http://schemas.microsoft.com/office/spreadsheetml/2017/richdata2" ref="B8:AA656">
    <sortCondition ref="C8:C656"/>
    <sortCondition ref="I8:I656"/>
  </sortState>
  <tableColumns count="26">
    <tableColumn id="1" xr3:uid="{3BE5ABB6-FC2E-4097-A6EE-8D6AE674BEC6}" name="NOME BD" dataDxfId="916"/>
    <tableColumn id="2" xr3:uid="{BB365528-3459-43C5-98BA-4767D46BAD4C}" name="NOME TABELA" dataDxfId="915"/>
    <tableColumn id="3" xr3:uid="{70A9BD65-61C0-4851-834F-D66CFACF9D23}" name="NOME FÍSICO TABELA" dataDxfId="914"/>
    <tableColumn id="4" xr3:uid="{70A817A5-5392-4782-988E-4F80582D21EA}" name="NÍVEL TABELA" dataDxfId="913"/>
    <tableColumn id="28" xr3:uid="{089E086C-4D18-45DD-9878-AD4911D6E357}" name="NOME CAMPO" dataDxfId="912"/>
    <tableColumn id="29" xr3:uid="{849F56FE-2A40-40FA-8648-62428910A695}" name="NOME FÍSICO CAMPO" dataDxfId="911"/>
    <tableColumn id="7" xr3:uid="{E702219B-0778-43B2-9551-1C551812A34A}" name="BLOCO" dataDxfId="910"/>
    <tableColumn id="8" xr3:uid="{B589EEC5-EAE6-4C34-B961-49E18E84F3C1}" name="ORDEM" dataDxfId="909"/>
    <tableColumn id="9" xr3:uid="{BBCDDE5F-FE51-48CB-9472-695EF5EB913B}" name="FORMATO" dataDxfId="908"/>
    <tableColumn id="10" xr3:uid="{F229F8E7-3E0C-4C55-8538-4D797AFC8967}" name="COMP_ CAMPO" dataDxfId="907"/>
    <tableColumn id="11" xr3:uid="{293DF327-E387-46C1-B61D-8E0AF0D1BB85}" name="NUM_ DECIMAIS" dataDxfId="906"/>
    <tableColumn id="12" xr3:uid="{674EC37B-12AC-4FDB-82AD-DBE24153FAC7}" name="DESCRIÇÃO FUNCIONAL (ENG)" dataDxfId="905"/>
    <tableColumn id="13" xr3:uid="{894662DE-141F-4ACB-8C13-C864806656DE}" name="DESCRIÇÃO FUNCIONAL (PT)" dataDxfId="904"/>
    <tableColumn id="14" xr3:uid="{6D322D02-5AAE-47AF-8456-BAABBEC64236}" name="CHAVE PRIMÁRIA" dataDxfId="903"/>
    <tableColumn id="15" xr3:uid="{2F8B7F05-804E-4FA2-B0BA-21135717BE3C}" name="DADOS REFERÊNCIA" dataDxfId="902"/>
    <tableColumn id="16" xr3:uid="{D78DFF8C-E522-41B9-8E49-276D963C3B37}" name="NOME TABELA ONEFCC" dataDxfId="901"/>
    <tableColumn id="17" xr3:uid="{A33D20C5-9B79-49A4-B52E-D676A69CD68A}" name="NOME CAMPO ONEFCC" dataDxfId="900"/>
    <tableColumn id="18" xr3:uid="{6D61BE9B-0D0B-4918-89B6-632B8BA01240}" name="NOME BD CURATED" dataDxfId="899"/>
    <tableColumn id="19" xr3:uid="{1426B6FB-08BD-4484-9DD1-670EAA8FE663}" name="NOME FISICO TABELA CURATED" dataDxfId="898"/>
    <tableColumn id="20" xr3:uid="{E5EED9AD-69FC-4E46-BFE7-C89E57D1AE8C}" name="NOME FISICO CAMPO CURATED" dataDxfId="897"/>
    <tableColumn id="22" xr3:uid="{D16FE463-1BD4-4114-8EB0-7028D267E8E7}" name="CODIÇÃO CURATED - CDM" dataDxfId="896"/>
    <tableColumn id="23" xr3:uid="{BE39FA2A-ED8F-4152-A0E1-5EB704FE9C4B}" name="TABELA / FICHEIRO" dataDxfId="895"/>
    <tableColumn id="24" xr3:uid="{E48F0E6C-DD1A-4805-A23C-61672A808BCE}" name="ID APLICAÇÂO TÉCNICA" dataDxfId="894"/>
    <tableColumn id="25" xr3:uid="{9558FA7C-1F67-41EA-898A-E964BBEE2739}" name="NOME FISICO TABELA FONTE" dataDxfId="893"/>
    <tableColumn id="26" xr3:uid="{A6D2878A-F8BB-4174-A49A-59B8BABAB22A}" name="NOME FISICO CAMPO FONTE" dataDxfId="892"/>
    <tableColumn id="27" xr3:uid="{063A6DDE-50C5-468E-8E0F-934CE4CFF35A}" name="VALOR MANUAL FONTE" dataDxfId="89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26" totalsRowShown="0" headerRowDxfId="890" dataDxfId="889" tableBorderDxfId="888">
  <autoFilter ref="B2:H26" xr:uid="{5A8BEFB2-CA3E-4485-9B3C-A44118BE91E3}"/>
  <sortState xmlns:xlrd2="http://schemas.microsoft.com/office/spreadsheetml/2017/richdata2" ref="B3:H26">
    <sortCondition ref="C2:C26"/>
  </sortState>
  <tableColumns count="7">
    <tableColumn id="1" xr3:uid="{8D797013-9967-4DD1-BB34-1E9599CAA0C6}" name="NOME BD" dataDxfId="887" totalsRowDxfId="886"/>
    <tableColumn id="2" xr3:uid="{70027A54-D6BE-46C3-84D5-A013BF089026}" name="NOME FÍSICO TABELA" dataDxfId="885" totalsRowDxfId="884"/>
    <tableColumn id="5" xr3:uid="{FF620BFC-F9E4-4FF1-9F24-A7CFBEF1A4D7}" name="NOME FÍSICO BD FONTE" dataDxfId="883" totalsRowDxfId="882"/>
    <tableColumn id="6" xr3:uid="{295EF477-C31D-432B-B8F6-F1852BF27CB3}" name="NOME FÍSICO TABELA FONTE" dataDxfId="881" totalsRowDxfId="880"/>
    <tableColumn id="3" xr3:uid="{118B7C21-BF65-4937-8412-14ADD12473FF}" name="REGRA DE ATAQUE" dataDxfId="879" totalsRowDxfId="878"/>
    <tableColumn id="4" xr3:uid="{1C61EB80-6574-4751-87AB-672178235A08}" name="DESCRIÇÃO ESTADOS CONSIDERADOS" dataDxfId="877" totalsRowDxfId="876"/>
    <tableColumn id="7" xr3:uid="{DB909724-072F-4516-A7E3-F5377DD34BC1}" name="DESCRIÇÃO ESTADOS DESCONSIDERADOS" dataDxfId="875" totalsRowDxfId="87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I62" totalsRowShown="0" headerRowDxfId="873" dataDxfId="872" tableBorderDxfId="871">
  <autoFilter ref="B2:I62" xr:uid="{436B1294-09FD-4919-B6ED-40D256CF08BA}">
    <filterColumn colId="1">
      <filters>
        <filter val="credit_card_account"/>
        <filter val="debit_card_account"/>
        <filter val="prepaid_card_account"/>
      </filters>
    </filterColumn>
  </autoFilter>
  <sortState xmlns:xlrd2="http://schemas.microsoft.com/office/spreadsheetml/2017/richdata2" ref="B3:I38">
    <sortCondition ref="E2:E38"/>
  </sortState>
  <tableColumns count="8">
    <tableColumn id="1" xr3:uid="{9D4FF06F-D75B-414A-9C6F-8173977A5622}" name="NOME BD " dataDxfId="870" totalsRowDxfId="869"/>
    <tableColumn id="2" xr3:uid="{240EFD04-9A23-4014-B255-64DD10CF3F9E}" name="NOME FÍSICO TABELA" dataDxfId="868" totalsRowDxfId="867"/>
    <tableColumn id="6" xr3:uid="{7A1641BC-D66D-4943-AC33-3E474D8F2E88}" name="NOME FÍSICO BD FONTE ESQUERDA" dataDxfId="866" totalsRowDxfId="865"/>
    <tableColumn id="3" xr3:uid="{5E0E5D03-5358-4FC3-ADB1-CE3BC795FC5B}" name="NOME FÍSICO TABELA FONTE ESQUERDA" dataDxfId="864" totalsRowDxfId="863"/>
    <tableColumn id="7" xr3:uid="{D39F8477-C856-46C3-B19C-80D5F050516F}" name="NOME FÍSICO BD FONTE DIREITA" dataDxfId="862" totalsRowDxfId="861"/>
    <tableColumn id="4" xr3:uid="{7711C52C-F021-4B40-A1AF-5B8C2E225270}" name="NOME FÍSICO TABELA FONTE DIREITA" dataDxfId="860" totalsRowDxfId="859"/>
    <tableColumn id="5" xr3:uid="{126C8492-8B45-4C50-9354-50066805546E}" name="REGRA DE CRUZAMENTO" dataDxfId="858" totalsRowDxfId="857"/>
    <tableColumn id="8" xr3:uid="{F2E46F8D-D6B7-4AD5-ABEF-B71A061CAE35}" name="TIPO CRUZAMENTO" dataDxfId="856" totalsRowDxfId="85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DFA94-7156-495A-827A-03E0D7B155BA}" name="Table2" displayName="Table2" ref="B2:E23" totalsRowShown="0" headerRowDxfId="854" dataDxfId="852" headerRowBorderDxfId="853" tableBorderDxfId="851" totalsRowBorderDxfId="850">
  <autoFilter ref="B2:E23" xr:uid="{0D0DFA94-7156-495A-827A-03E0D7B155BA}"/>
  <tableColumns count="4">
    <tableColumn id="1" xr3:uid="{DE772CE9-C65B-4F96-9ACD-273A66F7C1B2}" name="ID" dataDxfId="849">
      <calculatedColumnFormula>ROW() - ROW(Table2[[#Headers],[ID]])</calculatedColumnFormula>
    </tableColumn>
    <tableColumn id="2" xr3:uid="{E4D3CF7D-C9A2-4848-9269-6E4E64CF76F1}" name="Case Test" dataDxfId="848"/>
    <tableColumn id="3" xr3:uid="{860EA9B2-E44B-4D05-AD57-1BC1B62F6480}" name="Description" dataDxfId="847"/>
    <tableColumn id="4" xr3:uid="{CF59613D-4AC1-4F20-AF5B-F65711B31A07}" name="Observation" dataDxfId="84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CCD5C0-C4C5-40E4-8725-C9380E4C6858}" name="Table9" displayName="Table9" ref="B2:AN23" totalsRowShown="0" headerRowDxfId="845" dataDxfId="844">
  <autoFilter ref="B2:AN23" xr:uid="{C9CCD5C0-C4C5-40E4-8725-C9380E4C6858}"/>
  <tableColumns count="39">
    <tableColumn id="1" xr3:uid="{9F96F3DD-96DD-404D-BEB6-0108811EB6DB}" name="case_tests" dataDxfId="843"/>
    <tableColumn id="2" xr3:uid="{3BABBE85-29F3-459E-98F5-4ACEB0CAEF7B}" name="test_id" dataDxfId="842"/>
    <tableColumn id="3" xr3:uid="{B51ADEDA-B25D-4A0F-B4DD-D4585E6D23C9}" name="test_timestamp" dataDxfId="841"/>
    <tableColumn id="4" xr3:uid="{87C3C2A1-6534-4336-92FE-DE7B51F8817C}" name="query_driver_data_date_part" dataDxfId="840"/>
    <tableColumn id="5" xr3:uid="{F04B084F-50AC-4840-BBD9-97BA166A1217}" name="test_number" dataDxfId="839"/>
    <tableColumn id="6" xr3:uid="{ABD63231-A09C-4C47-BD6D-1A56391F5405}" name="score" dataDxfId="838"/>
    <tableColumn id="7" xr3:uid="{CB0E8F84-CABC-4528-8BC4-4CDB43F412DF}" name="general_result" dataDxfId="837"/>
    <tableColumn id="8" xr3:uid="{2D9C26C7-917C-4326-9576-6741E37CD6D7}" name="bank_id" dataDxfId="836"/>
    <tableColumn id="9" xr3:uid="{50650F73-E518-4A51-8449-F39117949D8F}" name="contract_id" dataDxfId="835"/>
    <tableColumn id="10" xr3:uid="{EE5D0A57-8256-4A26-BE06-5D488FCE7B7B}" name="product_family_id" dataDxfId="834"/>
    <tableColumn id="11" xr3:uid="{FCE1B5DF-BDA5-4B24-A077-154DCDB3A859}" name="product_id" dataDxfId="833"/>
    <tableColumn id="12" xr3:uid="{70F39931-9B1E-4A4D-BE52-371BDB5567B0}" name="subproduct_id" dataDxfId="832"/>
    <tableColumn id="13" xr3:uid="{BD99ED9B-2E4C-4092-960D-58D1AED4F71E}" name="main_current_account_bank_id" dataDxfId="831"/>
    <tableColumn id="14" xr3:uid="{6C0637C0-F6CD-4CBF-A201-F04BAB723B09}" name="main_current_account_contract_id" dataDxfId="830"/>
    <tableColumn id="15" xr3:uid="{3A188BA6-DA93-4414-8CF7-9A5805A3E4C1}" name="process_bank_id" dataDxfId="829"/>
    <tableColumn id="16" xr3:uid="{C452214A-16DA-4045-BD8F-151B64C6B6E4}" name="process_id" dataDxfId="828"/>
    <tableColumn id="17" xr3:uid="{6942CDE4-5FFF-4F6F-97DA-EC27AB420DF5}" name="opening_date" dataDxfId="827"/>
    <tableColumn id="18" xr3:uid="{8A6B8A65-8967-4256-BE3B-D18AE4B04581}" name="current_maturity_date" dataDxfId="826"/>
    <tableColumn id="19" xr3:uid="{D8A51CAB-D99F-487D-A8EC-581A884BF1B1}" name="currency_code" dataDxfId="825"/>
    <tableColumn id="20" xr3:uid="{12BAD916-4A69-423F-9190-2329BA708099}" name="litigation_indicator" dataDxfId="824"/>
    <tableColumn id="21" xr3:uid="{B35F53EA-CA91-4378-AE00-FD6E24807471}" name="initial_amount_granted" dataDxfId="823"/>
    <tableColumn id="22" xr3:uid="{A72C9290-1ACB-45B6-A9E9-FD11AA4A47B4}" name="current_amount_granted" dataDxfId="822"/>
    <tableColumn id="23" xr3:uid="{31394C86-5760-4394-B238-BD2A7C1B9B09}" name="cur_outsng_principal_balance" dataDxfId="821"/>
    <tableColumn id="24" xr3:uid="{C85449E0-9C23-49CD-832B-CA93E55744E6}" name="current_overdue_principal_bal" dataDxfId="820"/>
    <tableColumn id="25" xr3:uid="{9FCD4743-D774-458E-A2D2-D266BFF77050}" name="cur_debt_litigation_princip_bal" dataDxfId="819"/>
    <tableColumn id="26" xr3:uid="{4242B7EA-4F6B-4785-B406-AB86BC249F51}" name="pred_billing_due_date" dataDxfId="818"/>
    <tableColumn id="27" xr3:uid="{EBAC98EE-C21B-4AC7-A369-04DE5E93AC9D}" name="last_billing_date" dataDxfId="817"/>
    <tableColumn id="28" xr3:uid="{136AECBC-574A-4D3A-9FFC-05BE1880D7B4}" name="cur_total_billed_principal_amt" dataDxfId="816"/>
    <tableColumn id="29" xr3:uid="{1D0A2932-CC5B-485E-B6FA-7A296044D4E6}" name="cur_ttl_bill_litig_princip_amt" dataDxfId="815"/>
    <tableColumn id="30" xr3:uid="{D73BC85B-6BAF-4637-8A8C-293F37AAAA8C}" name="current_active_rate_type_code" dataDxfId="814"/>
    <tableColumn id="31" xr3:uid="{21D36C14-58FC-4649-8B82-60BE9CA2FE50}" name="current_active_indexing" dataDxfId="813"/>
    <tableColumn id="32" xr3:uid="{B5C20E8E-B5F3-4BFD-874B-61CFD55797EE}" name="current_active_index_rate" dataDxfId="812"/>
    <tableColumn id="33" xr3:uid="{9B5617D2-BCDE-43AF-8B1A-2D05B350877F}" name="current_active_spread" dataDxfId="811"/>
    <tableColumn id="34" xr3:uid="{E5AE0FE0-AB52-40C7-9E04-ABE2EA7EB033}" name="current_active_interest_rate" dataDxfId="810"/>
    <tableColumn id="35" xr3:uid="{5AC485E9-4071-4455-AA61-16F812D57A05}" name="contract_status_code" dataDxfId="809"/>
    <tableColumn id="36" xr3:uid="{30AF952A-6CF6-4C03-A45A-3E36060C5340}" name="contract_opening_channel_code" dataDxfId="808"/>
    <tableColumn id="37" xr3:uid="{3F7F31ED-6FD5-4E57-87FE-D6472C885D6C}" name="source_code" dataDxfId="807"/>
    <tableColumn id="38" xr3:uid="{BFE7C576-82B1-498B-81FE-8709DDEDF504}" name="data_date_part" dataDxfId="806"/>
    <tableColumn id="39" xr3:uid="{AE3C69AE-E301-4134-9409-C48BB07F5CD8}" name="data_timestamp_part" dataDxfId="80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A29A57-D09B-483D-8AF2-929387A17DEF}" name="Table15" displayName="Table15" ref="B31:F37" totalsRowShown="0" headerRowDxfId="804" headerRowBorderDxfId="803" tableBorderDxfId="802">
  <autoFilter ref="B31:F37" xr:uid="{B1A29A57-D09B-483D-8AF2-929387A17DEF}"/>
  <tableColumns count="5">
    <tableColumn id="1" xr3:uid="{BFD8C332-A47E-4EB8-916A-F623522F1A30}" name="Test ID" dataDxfId="801"/>
    <tableColumn id="2" xr3:uid="{C6CE59E0-6173-415F-96B9-DD3D4618F3F6}" name="Field" dataDxfId="800"/>
    <tableColumn id="3" xr3:uid="{FE7A13FE-343F-4A6A-8F07-4527EC566A0D}" name="Justification" dataDxfId="799"/>
    <tableColumn id="5" xr3:uid="{5A2D4CD8-1298-4C43-81D9-073E16ECE0F5}" name="Number of Occurences" dataDxfId="798"/>
    <tableColumn id="4" xr3:uid="{6B35F1BA-C18E-4EA9-B05E-950830021D6B}" name="Justification State" dataDxfId="797"/>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033D13-AE02-42EE-A449-DD11436C672B}" name="Table15192425" displayName="Table15192425" ref="B31:F41" totalsRowShown="0" headerRowDxfId="796" headerRowBorderDxfId="795" tableBorderDxfId="794">
  <autoFilter ref="B31:F41" xr:uid="{D11A47E3-0E3A-44D0-A44B-F787DF5A10DD}"/>
  <sortState xmlns:xlrd2="http://schemas.microsoft.com/office/spreadsheetml/2017/richdata2" ref="B32:F41">
    <sortCondition ref="B31:B41"/>
  </sortState>
  <tableColumns count="5">
    <tableColumn id="1" xr3:uid="{A9B4FC4C-709D-40D1-B8B1-C34DDDC862E1}" name="Test ID" dataDxfId="793"/>
    <tableColumn id="2" xr3:uid="{9AFFC518-D449-4F16-A5CE-8B54544CF571}" name="Field" dataDxfId="792"/>
    <tableColumn id="3" xr3:uid="{55BDD702-9AB0-40C9-8A80-D3C5E55FC76A}" name="Justification" dataDxfId="791"/>
    <tableColumn id="4" xr3:uid="{45115EFF-E834-42C7-9221-C1E59C9A4877}" name="Number of Occurences" dataDxfId="790"/>
    <tableColumn id="5" xr3:uid="{75A33697-05A7-4BAB-9F06-79D2C715FBC2}" name="Justification State" dataDxfId="789"/>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6D8D24-0EA5-44B7-BA51-CC206EFB4070}" name="Table162326" displayName="Table162326" ref="B2:AN23" totalsRowShown="0" headerRowDxfId="788" dataDxfId="787">
  <autoFilter ref="B2:AN23" xr:uid="{105E7B79-3B2C-4F5C-9AC3-A361371CA078}"/>
  <tableColumns count="39">
    <tableColumn id="1" xr3:uid="{AA8E3F07-36F6-446F-A3BC-FE86AF3DD961}" name="Case_Test" dataDxfId="786"/>
    <tableColumn id="2" xr3:uid="{6D06B92A-BDF9-4916-BFE5-0E9AB40C25BD}" name="test_id" dataDxfId="785"/>
    <tableColumn id="3" xr3:uid="{985F3FCD-2505-4248-9477-EE5D8C021DBE}" name="test_timestamp" dataDxfId="784"/>
    <tableColumn id="4" xr3:uid="{69966917-BFA3-4240-B51B-D69FE5991D3B}" name="query_driver_data_date_part" dataDxfId="783"/>
    <tableColumn id="5" xr3:uid="{FFE40312-D4AA-4FDD-95B4-0606BFF72667}" name="test_number" dataDxfId="782"/>
    <tableColumn id="6" xr3:uid="{DCE619E5-8A1A-4923-9990-4A57582FA547}" name="score" dataDxfId="781"/>
    <tableColumn id="7" xr3:uid="{772CD151-A148-42D3-BE4B-9F3DCDA73DCE}" name="general_result" dataDxfId="780"/>
    <tableColumn id="8" xr3:uid="{F7B64B06-7A13-46F7-A13B-F3640365F54F}" name="bank_id" dataDxfId="779"/>
    <tableColumn id="9" xr3:uid="{8BFA0CCF-2100-4D92-9F42-32A1961FB655}" name="contract_id" dataDxfId="778"/>
    <tableColumn id="10" xr3:uid="{1E69C3E2-CEC1-41D5-91BC-CAFFE4EAA91A}" name="product_family_id" dataDxfId="777"/>
    <tableColumn id="11" xr3:uid="{B21D9FFB-88FA-4E1D-AA90-46CDCFC86A94}" name="product_id" dataDxfId="776"/>
    <tableColumn id="12" xr3:uid="{315C9291-DE92-4D0D-97FE-8EDCD1457157}" name="subproduct_id" dataDxfId="775"/>
    <tableColumn id="13" xr3:uid="{8AC08991-0E3D-417A-A2BB-FAD425F8DC1A}" name="opening_date" dataDxfId="774"/>
    <tableColumn id="14" xr3:uid="{8445C1D9-024D-4987-965B-008B59887066}" name="current_maturity_date" dataDxfId="773"/>
    <tableColumn id="15" xr3:uid="{2A36A937-B80A-4573-8B8B-256C16714E0A}" name="currency_code" dataDxfId="772"/>
    <tableColumn id="16" xr3:uid="{E19757B4-F6D8-4FD7-85F4-B60803AE0B9F}" name="litigation_indicator" dataDxfId="771"/>
    <tableColumn id="17" xr3:uid="{8A09A265-DE56-49EC-A0D6-B3A9A4D4DBEE}" name="current_ledger_balance" dataDxfId="770"/>
    <tableColumn id="18" xr3:uid="{B1F0203B-F81E-40D7-A10D-9F1377DB602B}" name="current_reserved_balance" dataDxfId="769"/>
    <tableColumn id="19" xr3:uid="{0EA854B4-3A97-49F1-8B62-DB84AA4EBE44}" name="current_available_balance" dataDxfId="768"/>
    <tableColumn id="20" xr3:uid="{DF56B3BB-A8B0-4B88-9785-3E4468EA42C6}" name="current_overdraft_limit_amount" dataDxfId="767"/>
    <tableColumn id="21" xr3:uid="{5E3C914F-448E-4991-A4F3-99B635A47C56}" name="overdraft_available_limit_amount" dataDxfId="766"/>
    <tableColumn id="22" xr3:uid="{9ED5D224-8A5F-4679-A4A6-769B6E60B7FD}" name="cur_ovrdrft_outsng_principal_bal" dataDxfId="765"/>
    <tableColumn id="23" xr3:uid="{0ECAFC1A-D9E3-4BFF-9BC0-AF46C09AFB37}" name="cur_ovrdrft_overdue_princip_bal" dataDxfId="764"/>
    <tableColumn id="24" xr3:uid="{A9093030-E78A-4EDD-8A36-24D5A8B115E3}" name="cur_ovrdrft_debt_litig_princ_bal" dataDxfId="763"/>
    <tableColumn id="25" xr3:uid="{73141536-C782-4232-8A08-91ABFA182BB7}" name="init_ovrdrft_act_rate_type_code" dataDxfId="762"/>
    <tableColumn id="26" xr3:uid="{5A90B3CF-A3CA-4339-889E-EB9D5EE434F5}" name="init_overdraft_active_indexing" dataDxfId="761"/>
    <tableColumn id="27" xr3:uid="{67B617B9-7E65-493D-AB82-C39A4880848D}" name="init_overdraft_active_index_rate" dataDxfId="760"/>
    <tableColumn id="28" xr3:uid="{42665D3D-C055-43D8-B6D1-9A8B15B9925B}" name="initial_overdraft_active_spread" dataDxfId="759"/>
    <tableColumn id="29" xr3:uid="{15476C5F-6AB8-4B02-842B-51D7DA650128}" name="init_overdraft_active_intr_rate" dataDxfId="758"/>
    <tableColumn id="30" xr3:uid="{329E0AB5-78D9-4A84-BCF6-D4E1323677E1}" name="cur_ovrdrft_act_rate_type_code" dataDxfId="757"/>
    <tableColumn id="31" xr3:uid="{F69E1E15-8FDE-436E-A63F-760EE70FAC37}" name="cur_overdraft_active_indexing" dataDxfId="756"/>
    <tableColumn id="32" xr3:uid="{31877F1D-15A9-4849-98A7-A2B0DF6111FE}" name="cur_overdraft_active_index_rate" dataDxfId="755"/>
    <tableColumn id="33" xr3:uid="{949AAD14-702E-4AC2-8822-BA4F9EDB6284}" name="cur_overdraft_active_spread" dataDxfId="754"/>
    <tableColumn id="34" xr3:uid="{79EE4D18-4B3E-499C-91A3-1462E5C8B077}" name="cur_ovrdrft_active_interest_rate" dataDxfId="753"/>
    <tableColumn id="35" xr3:uid="{AF2FD295-D127-43DD-9D55-5D3B3A1A0774}" name="contract_status_code" dataDxfId="752"/>
    <tableColumn id="36" xr3:uid="{0A57A725-31C1-4044-A186-1D022950656C}" name="contract_opening_channel_code" dataDxfId="751"/>
    <tableColumn id="37" xr3:uid="{82C439C9-34F4-4421-80DD-7195FB26DB10}" name="source_code" dataDxfId="750"/>
    <tableColumn id="38" xr3:uid="{087A564F-B255-427B-A67A-B6F6134D94B4}" name="data_date_part" dataDxfId="749"/>
    <tableColumn id="39" xr3:uid="{D36FECC6-9368-4777-8584-A595BAADF344}" name="data_timestamp_part" dataDxfId="74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7B79-3B2C-4F5C-9AC3-A361371CA078}" name="Table16" displayName="Table16" ref="B2:AC23" totalsRowShown="0" headerRowDxfId="747" dataDxfId="746">
  <autoFilter ref="B2:AC23" xr:uid="{105E7B79-3B2C-4F5C-9AC3-A361371CA078}"/>
  <tableColumns count="28">
    <tableColumn id="1" xr3:uid="{1A559FDE-BFC5-4BA7-BCFB-244EAC83929F}" name="case_test" dataDxfId="745"/>
    <tableColumn id="2" xr3:uid="{758CC7B4-94DA-4B96-94DB-C2FC191456FF}" name="test_id" dataDxfId="744"/>
    <tableColumn id="3" xr3:uid="{4F7D1568-7774-411F-A2AD-6067C903E582}" name="test_timestamp" dataDxfId="743"/>
    <tableColumn id="4" xr3:uid="{50E05FB4-55A0-4BF1-ACBD-F98ED1A9FE8B}" name="query_driver_data_date_part" dataDxfId="742"/>
    <tableColumn id="5" xr3:uid="{DA160E5E-4C51-4312-BD85-8A9523089C94}" name="test_number" dataDxfId="741"/>
    <tableColumn id="6" xr3:uid="{05B515A5-7E17-4536-8D2D-923248ED2177}" name="score" dataDxfId="740"/>
    <tableColumn id="7" xr3:uid="{64B2B58E-BFC1-4B9C-9166-76800BDA2A3C}" name="general_result" dataDxfId="739"/>
    <tableColumn id="8" xr3:uid="{D69A1522-D765-4386-9E97-07D5EB97CD00}" name="bank_id" dataDxfId="738"/>
    <tableColumn id="9" xr3:uid="{DABB2D55-9A59-4BF2-B8E8-6F7F3DC0A6FC}" name="contract_id" dataDxfId="737"/>
    <tableColumn id="10" xr3:uid="{B4337761-7977-49DB-8AA5-FF98C797F891}" name="product_family_id" dataDxfId="736"/>
    <tableColumn id="11" xr3:uid="{9DB8CE80-0DB6-48BA-A3F5-CB4F2542004E}" name="product_id" dataDxfId="735"/>
    <tableColumn id="12" xr3:uid="{4923B993-1C90-437E-8E7C-24B457C43130}" name="subproduct_id" dataDxfId="734"/>
    <tableColumn id="13" xr3:uid="{348FC15E-81A7-4F78-A879-23B146746BD1}" name="main_current_account_bank_id" dataDxfId="733"/>
    <tableColumn id="14" xr3:uid="{AE924B4E-36FB-4C17-A032-988C39C84A89}" name="main_current_account_contract_id" dataDxfId="732"/>
    <tableColumn id="15" xr3:uid="{1A06B61E-9738-4B3E-AC62-4F75865D748F}" name="opening_date" dataDxfId="731"/>
    <tableColumn id="16" xr3:uid="{ED15E056-7214-4E85-905F-B68A3C863975}" name="current_maturity_date" dataDxfId="730"/>
    <tableColumn id="17" xr3:uid="{5DE0AD96-B271-413F-A4F1-5F414D42F92E}" name="currency_code" dataDxfId="729"/>
    <tableColumn id="18" xr3:uid="{BBC11689-BCC8-4417-85E2-0A5997FB0233}" name="litigation_indicator" dataDxfId="728"/>
    <tableColumn id="19" xr3:uid="{90725510-D72D-4E6C-97C0-BD65CCE73B21}" name="initial_limit_amount" dataDxfId="727"/>
    <tableColumn id="20" xr3:uid="{0EDA90B9-812C-4AA8-9EAB-AB3FE048B82D}" name="current_limit_amount" dataDxfId="726"/>
    <tableColumn id="21" xr3:uid="{88B0215F-03C0-47A4-8D3A-3685871688B3}" name="current_available_limit_amount" dataDxfId="725"/>
    <tableColumn id="22" xr3:uid="{6F29C742-6901-48E7-87EA-0887D3464239}" name="current_overdue_principal_bal" dataDxfId="724"/>
    <tableColumn id="23" xr3:uid="{B88F6490-578A-409B-B197-FEE4D46CDFC6}" name="cur_debt_litigation_princip_bal" dataDxfId="723"/>
    <tableColumn id="24" xr3:uid="{981B1235-29F8-46D9-A0F6-9F9968B02EC3}" name="contract_status_code" dataDxfId="722"/>
    <tableColumn id="25" xr3:uid="{06A97DE5-0951-4297-A1B4-692EB18A32B9}" name="contract_opening_channel_code" dataDxfId="721"/>
    <tableColumn id="26" xr3:uid="{12C0F8F5-E86B-426B-ADEC-EAE07885DFCA}" name="source_code" dataDxfId="720"/>
    <tableColumn id="27" xr3:uid="{150ED0FB-3F04-41B7-81F7-4A48B8B63C27}" name="data_date_part" dataDxfId="719"/>
    <tableColumn id="28" xr3:uid="{A4DF44F4-AF17-4AA9-975F-8C5CAD7FC9C7}" name="data_timestamp_part" dataDxfId="718"/>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1A47E3-0E3A-44D0-A44B-F787DF5A10DD}" name="Table1519" displayName="Table1519" ref="B30:F37" totalsRowShown="0" headerRowDxfId="717" headerRowBorderDxfId="716" tableBorderDxfId="715">
  <autoFilter ref="B30:F37" xr:uid="{D11A47E3-0E3A-44D0-A44B-F787DF5A10DD}"/>
  <sortState xmlns:xlrd2="http://schemas.microsoft.com/office/spreadsheetml/2017/richdata2" ref="B31:F37">
    <sortCondition ref="B30:B37"/>
  </sortState>
  <tableColumns count="5">
    <tableColumn id="1" xr3:uid="{CAEE7C97-0D51-49F3-B86D-9B05CCA0DE2D}" name="Test ID" dataDxfId="714"/>
    <tableColumn id="2" xr3:uid="{B919532C-267D-4868-88B3-2707961DC2DA}" name="Field" dataDxfId="713"/>
    <tableColumn id="3" xr3:uid="{1152166B-3493-4013-A36C-A4E0EBD7A2CE}" name="Justification" dataDxfId="712"/>
    <tableColumn id="4" xr3:uid="{E8B21662-6FAB-460F-B6EE-A9D7B7AC013B}" name="Number of Occurences" dataDxfId="711"/>
    <tableColumn id="5" xr3:uid="{401D4032-3C7B-4A16-876D-326FF810DF4E}" name="Justification State" dataDxfId="710"/>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EAC9D-C71E-43E6-AFA0-E42DD9B0663D}" name="Table7" displayName="Table7" ref="B2:AT23" totalsRowShown="0" headerRowDxfId="709" dataDxfId="708">
  <autoFilter ref="B2:AT23" xr:uid="{082EAC9D-C71E-43E6-AFA0-E42DD9B0663D}"/>
  <tableColumns count="45">
    <tableColumn id="1" xr3:uid="{53E47109-D85E-4423-9F22-E5C1926FC2AC}" name="case_test" dataDxfId="707"/>
    <tableColumn id="2" xr3:uid="{83A76EE1-0C9D-4C00-B830-7A92A0A57147}" name="test_id" dataDxfId="706"/>
    <tableColumn id="3" xr3:uid="{F3D3A3E0-E314-492C-90F5-A818FBAE33A0}" name="test_timestamp" dataDxfId="705"/>
    <tableColumn id="4" xr3:uid="{4F9F2935-2C9A-4827-95CB-DDF8FE8DC9A1}" name="query_driver_data_date_part" dataDxfId="704"/>
    <tableColumn id="5" xr3:uid="{C43DC873-3084-4E9D-A16D-AA3DEEB1FF7A}" name="test_number" dataDxfId="703"/>
    <tableColumn id="6" xr3:uid="{B044F378-79DC-45DD-891C-DB2935B7C924}" name="score" dataDxfId="702"/>
    <tableColumn id="7" xr3:uid="{576F02A0-1D76-4E80-A6B6-35E2EC8E5998}" name="general_result" dataDxfId="701"/>
    <tableColumn id="8" xr3:uid="{71BB24BE-9387-4862-A99D-235C612485C5}" name="bank_id" dataDxfId="700"/>
    <tableColumn id="9" xr3:uid="{B7AA6199-A2BC-4453-9225-B702EFCD67CD}" name="contract_id" dataDxfId="699"/>
    <tableColumn id="10" xr3:uid="{00E30AB1-FC46-4D49-9F08-259EF39A3A5D}" name="product_family_id" dataDxfId="698"/>
    <tableColumn id="11" xr3:uid="{88C3A9DA-9DD5-4A09-92B9-C3B124156730}" name="product_id" dataDxfId="697"/>
    <tableColumn id="12" xr3:uid="{979E21FB-2207-413B-B096-D7F643D08B35}" name="subproduct_id" dataDxfId="696"/>
    <tableColumn id="13" xr3:uid="{DFA605C2-DE51-4550-AC6C-C24D5D8A3AD2}" name="main_current_account_bank_id" dataDxfId="695"/>
    <tableColumn id="14" xr3:uid="{1DCEBF07-8BC0-4A13-BB9B-EDBEC92A0FBC}" name="main_current_account_contract_id" dataDxfId="694"/>
    <tableColumn id="15" xr3:uid="{6E014AE2-FDBE-4EAD-A3A9-30874AE491B0}" name="process_bank_id" dataDxfId="693"/>
    <tableColumn id="16" xr3:uid="{851426BB-9B91-495C-8A92-342A0FC9A814}" name="process_id" dataDxfId="692"/>
    <tableColumn id="17" xr3:uid="{314DAC95-6CBE-47DC-B6D6-3F099DE9AA39}" name="opening_date" dataDxfId="691"/>
    <tableColumn id="18" xr3:uid="{073103B4-C703-482F-93B5-CD583A052E57}" name="current_maturity_date" dataDxfId="690"/>
    <tableColumn id="19" xr3:uid="{205438D8-2907-4C7D-8BF8-C2FA62E39612}" name="currency_code" dataDxfId="689"/>
    <tableColumn id="20" xr3:uid="{E44723EA-4787-499F-B932-C6EA361DBBD4}" name="litigation_indicator" dataDxfId="688"/>
    <tableColumn id="21" xr3:uid="{071DE7EA-B7CD-420B-959C-266520592321}" name="current_limit_amount" dataDxfId="687"/>
    <tableColumn id="22" xr3:uid="{ABA5F320-6190-44D2-A3BD-3ECC2E7A3B36}" name="current_available_limit_amount" dataDxfId="686"/>
    <tableColumn id="23" xr3:uid="{9426D22B-3C7D-40FE-9673-CEA8E7CB0CFC}" name="cur_outsng_principal_balance" dataDxfId="685"/>
    <tableColumn id="24" xr3:uid="{6BA333F0-A63E-4A7F-A2CB-1301D492EDB0}" name="current_overdue_principal_bal" dataDxfId="684"/>
    <tableColumn id="40" xr3:uid="{59F6B461-D6A3-46C6-BA93-A038A0B179D5}" name="cur_debt_litigation_princip_bal" dataDxfId="683"/>
    <tableColumn id="25" xr3:uid="{D45B9BE2-AC91-47F8-A1D2-245B80D29790}" name="pred_billing_due_date" dataDxfId="682"/>
    <tableColumn id="26" xr3:uid="{9185326F-4F29-4D3C-B035-B23B80F37956}" name="last_billing_date" dataDxfId="681"/>
    <tableColumn id="27" xr3:uid="{4A443DA8-D585-4A1A-A559-9C0D05B4CA35}" name="cur_total_billed_principal_amt" dataDxfId="680"/>
    <tableColumn id="28" xr3:uid="{EAE27577-6C29-47A6-B15C-421A0353878B}" name="cur_ttl_bill_litig_princip_amt" dataDxfId="679"/>
    <tableColumn id="29" xr3:uid="{D3839302-47C7-4BA8-802B-4AFF490536CA}" name="last_advance_annulment_indicator" dataDxfId="678"/>
    <tableColumn id="30" xr3:uid="{9E9B74E0-3A35-4BBE-AD45-D0C03352EDFF}" name="last_advance_date" dataDxfId="677"/>
    <tableColumn id="31" xr3:uid="{EFEBC965-1E13-4175-BBB4-3009162DC642}" name="last_advance_exec_date" dataDxfId="676"/>
    <tableColumn id="32" xr3:uid="{40DC2E35-9C08-4CC8-97B3-F893F3426094}" name="last_advance_transfer_ref_num" dataDxfId="675"/>
    <tableColumn id="33" xr3:uid="{E22F4ADA-B9D7-4E61-B4F2-F4CC2D71F62F}" name="cur_total_advance_principal_amt" dataDxfId="674"/>
    <tableColumn id="34" xr3:uid="{EBC1B849-4D4E-4F06-9C0B-63A90A63C6E3}" name="current_active_rate_type_code" dataDxfId="673"/>
    <tableColumn id="35" xr3:uid="{2EF6BE5F-9A22-4B39-8BDF-F93159056B8A}" name="current_active_indexing" dataDxfId="672"/>
    <tableColumn id="36" xr3:uid="{8193DA2B-44FF-499A-AE44-6D0771C0064C}" name="current_active_index_rate" dataDxfId="671"/>
    <tableColumn id="37" xr3:uid="{F2B9A366-45E2-4084-8838-83D54C6A2238}" name="current_active_spread" dataDxfId="670"/>
    <tableColumn id="38" xr3:uid="{0CAFAD80-5BFD-4E49-ABC3-C81135F73D82}" name="current_active_interest_rate" dataDxfId="669"/>
    <tableColumn id="39" xr3:uid="{6210BC7C-7268-419F-9321-2F71DADACF37}" name="off_balance_indicator" dataDxfId="668"/>
    <tableColumn id="42" xr3:uid="{4A48C3CC-6E44-41AD-86CE-998D958715A4}" name="contract_status_code" dataDxfId="667"/>
    <tableColumn id="43" xr3:uid="{EED37DD0-C271-4DAB-939A-C656F590A159}" name="contract_opening_channel_code" dataDxfId="666"/>
    <tableColumn id="44" xr3:uid="{3F8301AF-AD06-4AC7-B4AA-228F887AF3AB}" name="source_code" dataDxfId="665"/>
    <tableColumn id="45" xr3:uid="{B58BC579-FD06-4C66-B9D6-DDDF698CC6BB}" name="data_date_part" dataDxfId="664"/>
    <tableColumn id="46" xr3:uid="{80A2EDA5-D132-4CB4-AA7F-206E99B6325E}" name="data_timestamp_part" dataDxfId="663"/>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E4E9CA-41D6-48DE-9BF5-9A35EB224D9D}" name="Table1522" displayName="Table1522" ref="B31:F39" totalsRowShown="0" headerRowDxfId="662" dataDxfId="660" headerRowBorderDxfId="661" tableBorderDxfId="659">
  <autoFilter ref="B31:F39" xr:uid="{08E4E9CA-41D6-48DE-9BF5-9A35EB224D9D}"/>
  <sortState xmlns:xlrd2="http://schemas.microsoft.com/office/spreadsheetml/2017/richdata2" ref="B32:F39">
    <sortCondition ref="B31:B39"/>
  </sortState>
  <tableColumns count="5">
    <tableColumn id="1" xr3:uid="{E9AA2B57-C9A8-4EE8-B430-F7E13F888BF6}" name="Test ID" dataDxfId="658"/>
    <tableColumn id="2" xr3:uid="{DF497F34-6696-45C5-A4C5-F2A078162853}" name="Field" dataDxfId="657"/>
    <tableColumn id="3" xr3:uid="{DC11EA06-0863-42ED-827F-3BD78A3362A8}" name="Justification" dataDxfId="656"/>
    <tableColumn id="5" xr3:uid="{0714C2CC-3CB3-406C-97CE-E5F3844BBB14}" name="Number of Occurences" dataDxfId="655"/>
    <tableColumn id="4" xr3:uid="{FAF5AEDF-484A-4D3A-A1E9-6B9F4DAA599C}" name="Justification State" dataDxfId="65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954F07-01A9-4357-9643-1D8D34718BA5}" name="Table151924" displayName="Table151924" ref="B32:F50" totalsRowShown="0" headerRowDxfId="653" headerRowBorderDxfId="652" tableBorderDxfId="651">
  <autoFilter ref="B32:F50" xr:uid="{D11A47E3-0E3A-44D0-A44B-F787DF5A10DD}"/>
  <tableColumns count="5">
    <tableColumn id="1" xr3:uid="{EDEEA82B-1435-4BCD-8DE3-AF3CACF9B347}" name="Test ID" dataDxfId="650"/>
    <tableColumn id="2" xr3:uid="{4A341506-CDB1-4147-8271-8204F97AD812}" name="Field" dataDxfId="649"/>
    <tableColumn id="3" xr3:uid="{B2165826-4866-42FE-A11C-FCDC4324AB75}" name="Justification" dataDxfId="648"/>
    <tableColumn id="4" xr3:uid="{5647C636-227B-415F-BF7D-B77E12791FD1}" name="Number of Occurences" dataDxfId="647"/>
    <tableColumn id="5" xr3:uid="{71D394D1-1C3E-4C2D-B112-B65C9CF092E4}" name="Justification State" dataDxfId="64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6705D1-8411-4BB3-BB95-362EC71C74AE}" name="Table1623" displayName="Table1623" ref="B2:AJ23" totalsRowShown="0" headerRowDxfId="645" dataDxfId="644">
  <autoFilter ref="B2:AJ23" xr:uid="{105E7B79-3B2C-4F5C-9AC3-A361371CA078}"/>
  <tableColumns count="35">
    <tableColumn id="1" xr3:uid="{7C3658CA-B767-44F7-AB3E-6E4E12247B2E}" name="Case_Test" dataDxfId="643"/>
    <tableColumn id="2" xr3:uid="{3ED647E5-D272-4D7C-96D1-CC12A8604ED9}" name="test_id" dataDxfId="642"/>
    <tableColumn id="3" xr3:uid="{8BC4F5A9-D777-4952-8F84-F3F0B4CE6B3D}" name="test_timestamp" dataDxfId="641"/>
    <tableColumn id="4" xr3:uid="{0E80675D-A6E1-43B2-8072-D3D1BEC35379}" name="query_driver_data_date_part" dataDxfId="640"/>
    <tableColumn id="5" xr3:uid="{698727EF-52B0-47E9-907E-4DD06ABEAB98}" name="test_number" dataDxfId="639"/>
    <tableColumn id="6" xr3:uid="{5EEABB57-7DBD-4B4D-A34B-FCE218E2E30A}" name="score" dataDxfId="638"/>
    <tableColumn id="7" xr3:uid="{C49A8C26-DE39-4E88-9B71-3D0A18371767}" name="general_result" dataDxfId="637"/>
    <tableColumn id="8" xr3:uid="{65021F8B-BA9D-4796-8F86-273441D92438}" name="bank_id" dataDxfId="636"/>
    <tableColumn id="9" xr3:uid="{C1B352E2-C365-4297-912D-69B1FDE6BAD7}" name="contract_id" dataDxfId="635"/>
    <tableColumn id="10" xr3:uid="{6055DCA3-3FA7-45DB-B001-389AED3A6BA6}" name="product_family_id" dataDxfId="634"/>
    <tableColumn id="11" xr3:uid="{28A9A20A-9953-4B15-933B-3CAE56AD646B}" name="product_id" dataDxfId="633"/>
    <tableColumn id="12" xr3:uid="{47938B4A-01FC-4084-86D0-2C93105AC219}" name="subproduct_id" dataDxfId="632"/>
    <tableColumn id="13" xr3:uid="{75D88DE0-1007-46D3-8A74-1C14F426C02F}" name="main_current_account_bank_id" dataDxfId="631"/>
    <tableColumn id="14" xr3:uid="{795E633B-14CC-4EFB-BA20-2C506F45AE54}" name="main_current_account_contract_id" dataDxfId="630"/>
    <tableColumn id="15" xr3:uid="{A7980B99-F71C-4D7F-9B72-9527727A0246}" name="opening_date" dataDxfId="629"/>
    <tableColumn id="16" xr3:uid="{F91D2705-4581-4D61-AD81-AD1B8047A92A}" name="current_maturity_date" dataDxfId="628"/>
    <tableColumn id="17" xr3:uid="{52307112-EDD4-4045-80F5-E9A5C0D365D5}" name="currency_code" dataDxfId="627"/>
    <tableColumn id="18" xr3:uid="{DA0C3A9E-B2BB-4587-B361-B3014592E548}" name="current_ledger_balance" dataDxfId="626"/>
    <tableColumn id="19" xr3:uid="{46FAE444-3EA0-47F4-ABAB-413C154BFA19}" name="current_reserved_balance" dataDxfId="625"/>
    <tableColumn id="20" xr3:uid="{A618743D-E110-45C8-9601-C63D6703BAD1}" name="current_available_balance" dataDxfId="624"/>
    <tableColumn id="21" xr3:uid="{4CB6F05B-C95C-42A7-80D3-EA88F4034C1D}" name="init_passive_rate_type_code" dataDxfId="623"/>
    <tableColumn id="22" xr3:uid="{585993C9-AFFE-4EC1-A516-B1F967980731}" name="initial_passive_indexing" dataDxfId="622"/>
    <tableColumn id="23" xr3:uid="{DDB847E3-3FD9-4246-A447-E06B5D580FFA}" name="initial_passive_index_rate" dataDxfId="621"/>
    <tableColumn id="24" xr3:uid="{7322AF7A-CA05-493F-BA17-7E48AF1E53BE}" name="initial_passive_spread" dataDxfId="620"/>
    <tableColumn id="25" xr3:uid="{C44D3EB6-1932-4BBC-B69D-908331F0FF7A}" name="initial_passive_interest_rate" dataDxfId="619"/>
    <tableColumn id="26" xr3:uid="{990A8738-52D3-4608-B9A6-F2E4A5145495}" name="cur_passive_rate_type_code" dataDxfId="618"/>
    <tableColumn id="27" xr3:uid="{AA143F4F-ED40-4331-A8B4-EF8A64AD2342}" name="current_passive_indexing" dataDxfId="617"/>
    <tableColumn id="28" xr3:uid="{EC04005B-282F-4BFB-931C-DB8F3C9538B7}" name="current_passive_index_rate" dataDxfId="616"/>
    <tableColumn id="29" xr3:uid="{69D68498-33AB-418A-A250-0241CE9596CC}" name="current_passive_spread" dataDxfId="615"/>
    <tableColumn id="30" xr3:uid="{CCB30FE3-AAEC-48DD-A06D-68C5613AEF92}" name="current_passive_interest_rate" dataDxfId="614"/>
    <tableColumn id="31" xr3:uid="{F5326376-BA56-49A3-80B9-4370020B447E}" name="contract_status_code" dataDxfId="613"/>
    <tableColumn id="32" xr3:uid="{79EE7183-2586-44C5-8406-2C9D3933EA07}" name="contract_opening_channel_code" dataDxfId="612"/>
    <tableColumn id="33" xr3:uid="{CBA0C781-44EE-43A2-93DB-F9CF02AB220D}" name="source_code" dataDxfId="611"/>
    <tableColumn id="34" xr3:uid="{D0838EBE-6667-4DE7-8ECC-51C422FECAFB}" name="data_date_part" dataDxfId="610"/>
    <tableColumn id="35" xr3:uid="{A74AB32D-C6E5-4904-9B10-BF52DCDE7251}" name="data_timestamp_part" dataDxfId="609"/>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9ADA49-BAC1-4DAC-B675-B99AF48093FD}" name="Table8" displayName="Table8" ref="B2:AC19" totalsRowShown="0" headerRowDxfId="608" dataDxfId="607">
  <autoFilter ref="B2:AC19" xr:uid="{F29ADA49-BAC1-4DAC-B675-B99AF48093FD}"/>
  <tableColumns count="28">
    <tableColumn id="1" xr3:uid="{E402297C-67DF-483B-821B-A764F98EDD12}" name="case_test" dataDxfId="606"/>
    <tableColumn id="2" xr3:uid="{885350F4-85F4-4546-BBE3-B0F62B2D47C0}" name="test_id" dataDxfId="605"/>
    <tableColumn id="3" xr3:uid="{D8ACA063-74C5-4FC2-8C38-BE1690D57763}" name="test_timestamp" dataDxfId="604"/>
    <tableColumn id="4" xr3:uid="{0995AF87-475F-4479-9FC7-06EA6B1483F5}" name="query_driver_data_date_part" dataDxfId="603"/>
    <tableColumn id="5" xr3:uid="{63D31DF8-8F05-4E55-BCB2-11F5F284A01D}" name="test_number" dataDxfId="602"/>
    <tableColumn id="6" xr3:uid="{0D918031-11AE-42C1-AC21-1E7B1CE0C86E}" name="score" dataDxfId="601"/>
    <tableColumn id="7" xr3:uid="{6CB34DB9-5441-4CA6-B82E-D06339653701}" name="general_result" dataDxfId="600"/>
    <tableColumn id="8" xr3:uid="{29E2DEE8-F9CC-488A-90C7-E93B39B31491}" name="bank_id" dataDxfId="599"/>
    <tableColumn id="9" xr3:uid="{12C6824B-10BD-4C26-A753-D28843EF5D2F}" name="contract_id" dataDxfId="598"/>
    <tableColumn id="10" xr3:uid="{8B7F2D1A-2CC5-49F1-AEE0-9661E5373336}" name="bank_vault_id" dataDxfId="597"/>
    <tableColumn id="11" xr3:uid="{ECB55255-A51F-4FA7-A5A1-2CB0F7D541D1}" name="product_family_id" dataDxfId="596"/>
    <tableColumn id="12" xr3:uid="{88B5D1BE-6452-4528-AA21-4EB5885902D9}" name="product_id" dataDxfId="595"/>
    <tableColumn id="13" xr3:uid="{3BBB8AF3-F3FE-434F-9BFB-757D7B5C1116}" name="subproduct_id" dataDxfId="594"/>
    <tableColumn id="14" xr3:uid="{8E0DC23B-5047-4EFC-B84B-200862EFCC05}" name="bank_vault_branch_code" dataDxfId="593"/>
    <tableColumn id="15" xr3:uid="{A61AB5CF-5A5C-4A57-BC97-AC3CFBE10D69}" name="main_current_account_bank_id" dataDxfId="592"/>
    <tableColumn id="16" xr3:uid="{AC227DBF-99FD-4BEE-AC94-3C432152BE85}" name="main_current_account_contract_id" dataDxfId="591"/>
    <tableColumn id="17" xr3:uid="{FE17C0D0-E526-4681-9BCB-CB1AEBDFC971}" name="opening_date" dataDxfId="590"/>
    <tableColumn id="18" xr3:uid="{BF54C1F0-F01F-4722-A7EE-2592605B5BE0}" name="current_maturity_date" dataDxfId="589"/>
    <tableColumn id="19" xr3:uid="{469D2A73-62CD-4FCA-81C9-C20AB86291CA}" name="currency_code" dataDxfId="588"/>
    <tableColumn id="20" xr3:uid="{EC81883E-21F7-4FF8-8555-3482370EFA7F}" name="last_annual_fee_payment_date" dataDxfId="587"/>
    <tableColumn id="21" xr3:uid="{4FB0EF35-D92C-4BEF-B6D2-C8F8D3C27BA2}" name="last_annual_fee_paym_princip_amt" dataDxfId="586"/>
    <tableColumn id="23" xr3:uid="{1B224D12-6F86-45BD-BE71-D7483C9DBB4E}" name="security_deposit_payment_date" dataDxfId="585"/>
    <tableColumn id="24" xr3:uid="{EEF04BFB-C4DA-4D03-838B-5A1BC01611EC}" name="security_deposit_principal_amt" dataDxfId="584"/>
    <tableColumn id="26" xr3:uid="{E123D565-338E-4FF5-9C89-7B7192FAB66E}" name="contract_status_code" dataDxfId="583"/>
    <tableColumn id="27" xr3:uid="{B0BE7170-4A82-4575-BFEA-E6706A210781}" name="contract_opening_channel_code" dataDxfId="582"/>
    <tableColumn id="28" xr3:uid="{922DD20E-F959-4736-9B72-A0B8639A1AA2}" name="source_code" dataDxfId="581"/>
    <tableColumn id="29" xr3:uid="{7CD8F919-45BB-4FF3-ABFC-D9A2680F0746}" name="data_date_part" dataDxfId="580"/>
    <tableColumn id="30" xr3:uid="{F008D077-A8E4-441F-B94E-1BA3D5E50F71}" name="data_timestamp_part" dataDxfId="57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AC1D0-F349-4C59-8D95-5A020FCAC7AD}" name="Table14" displayName="Table14" ref="B28:F34" totalsRowShown="0" headerRowDxfId="578" headerRowBorderDxfId="577" tableBorderDxfId="576">
  <autoFilter ref="B28:F34" xr:uid="{CF7AC1D0-F349-4C59-8D95-5A020FCAC7AD}"/>
  <tableColumns count="5">
    <tableColumn id="1" xr3:uid="{79CB55DC-F78D-4568-A89D-ED27FA4D096D}" name="Test ID" dataDxfId="575"/>
    <tableColumn id="2" xr3:uid="{167C9A87-10DE-487A-9F7B-B87F0BAFCCEA}" name="Field" dataDxfId="574"/>
    <tableColumn id="3" xr3:uid="{5D6B8CCB-70C6-4AFA-AA76-A9006C16B3AC}" name="Justification" dataDxfId="573"/>
    <tableColumn id="5" xr3:uid="{84A5C8DC-BF8A-439B-9BB0-28B1437C590D}" name="Number of Occurences" dataDxfId="572"/>
    <tableColumn id="4" xr3:uid="{9E9BD4C7-2263-417E-8C43-BCA7C37FFABE}" name="Justification State" dataDxfId="571"/>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431562-335D-4647-AF62-ABE18E4AAEFE}" name="Table11" displayName="Table11" ref="B2:W21" totalsRowShown="0" headerRowDxfId="570" dataDxfId="569">
  <autoFilter ref="B2:W21" xr:uid="{AF431562-335D-4647-AF62-ABE18E4AAEFE}"/>
  <tableColumns count="22">
    <tableColumn id="1" xr3:uid="{29907E64-34C3-4BFD-9633-FB2B2C482328}" name="case_test" dataDxfId="568"/>
    <tableColumn id="2" xr3:uid="{AE56E752-12DC-4E00-907B-D9FE03AEAAAD}" name="test_id" dataDxfId="567"/>
    <tableColumn id="3" xr3:uid="{2C2FD840-6B53-4EE6-A587-C6459997B6CF}" name="test_timestamp" dataDxfId="566"/>
    <tableColumn id="4" xr3:uid="{D7CDBCA2-DBF2-4A7B-89D7-9C4BD9174C52}" name="query_driver_data_date_part" dataDxfId="565"/>
    <tableColumn id="5" xr3:uid="{C1EE8F97-0E46-4DD5-8563-3D54EEA0FB2E}" name="test_number" dataDxfId="564"/>
    <tableColumn id="6" xr3:uid="{17F5EFE8-7085-4790-90F5-75030CFF207A}" name="score" dataDxfId="563"/>
    <tableColumn id="7" xr3:uid="{60AFCC1A-8B50-4FDB-A92D-6893F7045076}" name="general_result" dataDxfId="562"/>
    <tableColumn id="8" xr3:uid="{976F1574-2331-4669-A2E9-5CFFF8B7A8DE}" name="bank_id" dataDxfId="561"/>
    <tableColumn id="9" xr3:uid="{5532E8EE-0D4E-4715-BE50-57D57C89507A}" name="process_id" dataDxfId="560"/>
    <tableColumn id="10" xr3:uid="{83F18894-6788-4D88-9C13-0E9D60A6DD1E}" name="product_family_id" dataDxfId="559"/>
    <tableColumn id="11" xr3:uid="{009EC2DC-7B5F-4ABC-86C0-D7964076CE1B}" name="product_id" dataDxfId="558"/>
    <tableColumn id="12" xr3:uid="{A7F65CDF-7783-4DB5-B610-78E8ECA0E30B}" name="subproduct_id" dataDxfId="557"/>
    <tableColumn id="13" xr3:uid="{05669EA8-6401-4202-8A1B-8101A62B7F30}" name="main_current_account_bank_id" dataDxfId="556"/>
    <tableColumn id="14" xr3:uid="{B397D2A5-78B1-4795-8859-AE674E2382B6}" name="main_current_account_contract_id" dataDxfId="555"/>
    <tableColumn id="15" xr3:uid="{4C454228-0456-4F67-8A33-EAA06D18B7F7}" name="opening_date" dataDxfId="554"/>
    <tableColumn id="16" xr3:uid="{B97240DB-4FC5-4838-AB64-A7BF85AD2DD7}" name="current_maturity_date" dataDxfId="553"/>
    <tableColumn id="17" xr3:uid="{C46A9C0E-D7CB-4FFC-830C-C5ADE5C0D80D}" name="currency_code" dataDxfId="552"/>
    <tableColumn id="18" xr3:uid="{82840CFC-DC02-458E-B2A5-41AE0538ECB1}" name="cur_outsng_principal_balance" dataDxfId="551"/>
    <tableColumn id="19" xr3:uid="{387786E0-86AC-4930-9EB7-C73DBABDC585}" name="process_status_code" dataDxfId="550"/>
    <tableColumn id="20" xr3:uid="{1143F711-3B03-4537-8272-BA4DF51ADA4B}" name="process_opening_channel_code" dataDxfId="549"/>
    <tableColumn id="21" xr3:uid="{8B3CB3F3-2326-42EE-AFD4-1D02757858F5}" name="data_date_part" dataDxfId="548"/>
    <tableColumn id="22" xr3:uid="{709BCEAF-10BC-4E9D-ACB2-0083CDF3C001}" name="data_timestamp_part" dataDxfId="547"/>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7E6DCF-C471-49CD-9EC5-9BDE97A17BF4}" name="Table1520" displayName="Table1520" ref="B29:F30" totalsRowShown="0" headerRowDxfId="546" headerRowBorderDxfId="545" tableBorderDxfId="544">
  <autoFilter ref="B29:F30" xr:uid="{C17E6DCF-C471-49CD-9EC5-9BDE97A17BF4}"/>
  <tableColumns count="5">
    <tableColumn id="1" xr3:uid="{59649969-8B6E-470D-8B77-26755ED591FD}" name="Test ID" dataDxfId="543"/>
    <tableColumn id="2" xr3:uid="{31A2518A-7090-4126-9312-CDFFC6606711}" name="Field" dataDxfId="542"/>
    <tableColumn id="3" xr3:uid="{4AC29390-E638-4AC6-A7BE-392EFD62B2EC}" name="Justification" dataDxfId="541"/>
    <tableColumn id="5" xr3:uid="{A9393F50-0145-4165-98E9-7F4721892340}" name="Number of Occurences" dataDxfId="540"/>
    <tableColumn id="4" xr3:uid="{0B533040-883B-4B78-9839-A63C9739D63B}" name="Justification State" dataDxfId="539"/>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C22E0-EACA-4D76-90EB-69FF1033FAE9}" name="Table4" displayName="Table4" ref="B2:W21" totalsRowShown="0" headerRowDxfId="538" dataDxfId="537">
  <autoFilter ref="B2:W21" xr:uid="{5A6C22E0-EACA-4D76-90EB-69FF1033FAE9}"/>
  <tableColumns count="22">
    <tableColumn id="1" xr3:uid="{31D3C666-AC90-47FC-B96B-8253F95EE963}" name="case_test" dataDxfId="536"/>
    <tableColumn id="2" xr3:uid="{7DB5B2FA-68F1-4413-98E0-FC1C89E3ACA5}" name="test_id" dataDxfId="535"/>
    <tableColumn id="3" xr3:uid="{38F08E00-B971-4B89-85BE-441F01B4E201}" name="test_timestamp" dataDxfId="534"/>
    <tableColumn id="4" xr3:uid="{1163C065-5B7A-43ED-8F1A-62573251EC41}" name="query_driver_data_date_part" dataDxfId="533"/>
    <tableColumn id="5" xr3:uid="{F6F8032C-69AE-4FBC-B501-B7229C909BC4}" name="test_number" dataDxfId="532"/>
    <tableColumn id="6" xr3:uid="{05C12B3F-BCEB-4C64-A936-B3CB25AE4459}" name="score" dataDxfId="531"/>
    <tableColumn id="7" xr3:uid="{9C23D3EC-D568-410D-9976-7D8DA8EEC0B3}" name="general_result" dataDxfId="530"/>
    <tableColumn id="8" xr3:uid="{33BA49F3-9FC7-4B79-BC8E-A3E80C9560B2}" name="bank_id" dataDxfId="529"/>
    <tableColumn id="9" xr3:uid="{0E3CC810-9246-4DAA-8B3E-01B3B0910835}" name="process_id" dataDxfId="528"/>
    <tableColumn id="10" xr3:uid="{A21AF47B-51E7-4806-B236-83CB24ED3C7E}" name="product_family_id" dataDxfId="527"/>
    <tableColumn id="11" xr3:uid="{9F0012B3-BAB5-40FF-84A9-B044DF04AEEC}" name="product_id" dataDxfId="526"/>
    <tableColumn id="12" xr3:uid="{57DFD2CE-7D5D-47D6-898F-F1553A2F3EC7}" name="subproduct_id" dataDxfId="525"/>
    <tableColumn id="13" xr3:uid="{E510FA91-E95B-4FBF-9FDC-5AB4E4A9392B}" name="main_current_account_bank_id" dataDxfId="524"/>
    <tableColumn id="14" xr3:uid="{8A407391-7F6C-4999-8C39-BF5460C16EC7}" name="main_current_account_contract_id" dataDxfId="523"/>
    <tableColumn id="15" xr3:uid="{EFCBDB49-81A2-4DE8-A7AF-3A245F1381A2}" name="opening_date" dataDxfId="522"/>
    <tableColumn id="16" xr3:uid="{8101F91C-A988-4701-8EDF-9F0BE53EEAAD}" name="current_maturity_date" dataDxfId="521"/>
    <tableColumn id="17" xr3:uid="{C69FE797-2B58-42A0-8594-F8067A95274F}" name="currency_code" dataDxfId="520"/>
    <tableColumn id="18" xr3:uid="{C9A13B29-636E-4D69-9A4B-E2F5EC5D95DC}" name="current_limit_amount" dataDxfId="519"/>
    <tableColumn id="19" xr3:uid="{759D845C-EFC1-4589-B775-2953D4939B10}" name="process_status_code" dataDxfId="518"/>
    <tableColumn id="20" xr3:uid="{AE9ACCEF-F7DE-470A-B0CA-F78C0D25A9E5}" name="process_opening_channel_code" dataDxfId="517"/>
    <tableColumn id="21" xr3:uid="{A1088AB3-4561-4D57-B646-69DA1E0A40CA}" name="data_date_part" dataDxfId="516"/>
    <tableColumn id="22" xr3:uid="{4EF3AB47-38A8-44DD-ADB8-533F18F4626A}" name="data_timestamp_part" dataDxfId="515"/>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0A3E-9334-4A23-AAEB-793578E05756}" name="Table152021" displayName="Table152021" ref="B29:F30" insertRow="1" totalsRowShown="0" headerRowDxfId="514" headerRowBorderDxfId="513" tableBorderDxfId="512">
  <autoFilter ref="B29:F30" xr:uid="{4AF40A3E-9334-4A23-AAEB-793578E05756}"/>
  <tableColumns count="5">
    <tableColumn id="1" xr3:uid="{3E54BCAE-0098-4643-B26D-E5AF104E22EC}" name="Test ID" dataDxfId="511"/>
    <tableColumn id="2" xr3:uid="{49293882-BCF3-4BDB-A36F-5568733D3D90}" name="Field" dataDxfId="510"/>
    <tableColumn id="3" xr3:uid="{B4581714-7755-45B3-9D06-AB67B74FAD83}" name="Justification" dataDxfId="509"/>
    <tableColumn id="5" xr3:uid="{8C3F8074-7FA7-4734-9AFE-BCA26C78CC39}" name="Number of Occurences" dataDxfId="508"/>
    <tableColumn id="4" xr3:uid="{CB1D9E9A-F902-4724-977E-E9DFAD4FC0C8}" name="Justification State" dataDxfId="507"/>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BCCF7E9-70B2-49A3-BCC6-36FB4D36001E}" name="Table1519242527" displayName="Table1519242527" ref="B29:F35" totalsRowShown="0" headerRowDxfId="506" dataDxfId="504" headerRowBorderDxfId="505" tableBorderDxfId="503">
  <autoFilter ref="B29:F35" xr:uid="{D11A47E3-0E3A-44D0-A44B-F787DF5A10DD}"/>
  <tableColumns count="5">
    <tableColumn id="1" xr3:uid="{D421DCE2-98E7-4D4F-BDBB-59CD0F639DB8}" name="Test ID" dataDxfId="502"/>
    <tableColumn id="2" xr3:uid="{F4E0BA16-7B19-4110-82FA-D6A1AE481858}" name="Field" dataDxfId="501"/>
    <tableColumn id="3" xr3:uid="{86124B50-D0A8-4DE8-B45C-7E4D71026A5A}" name="Justification" dataDxfId="500"/>
    <tableColumn id="4" xr3:uid="{A05FB0E8-A905-4BC1-A5D4-5A4D5BFC630D}" name="Number of Occurences" dataDxfId="499"/>
    <tableColumn id="5" xr3:uid="{89742D94-58D0-46C0-BF32-4ECF5C1A9FF2}" name="Justification State" dataDxfId="498"/>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AA20A1C-C156-4B0D-B6AC-FD3345586FFC}" name="Table16232628" displayName="Table16232628" ref="B2:Y22" totalsRowShown="0" headerRowDxfId="497" dataDxfId="496">
  <autoFilter ref="B2:Y22" xr:uid="{105E7B79-3B2C-4F5C-9AC3-A361371CA078}"/>
  <tableColumns count="24">
    <tableColumn id="1" xr3:uid="{42C8B71C-F644-4207-84EF-D62318C8E703}" name="Case_Test" dataDxfId="495"/>
    <tableColumn id="2" xr3:uid="{186525AA-4B67-4B6D-8B33-2ABA81543FF9}" name="test_id" dataDxfId="494"/>
    <tableColumn id="3" xr3:uid="{C920689D-2949-48AA-8577-DB880627F1B6}" name="test_timestamp" dataDxfId="493"/>
    <tableColumn id="4" xr3:uid="{125F0EF5-C048-4B72-BCB0-584703EFBC5B}" name="query_driver_data_date_part" dataDxfId="492"/>
    <tableColumn id="5" xr3:uid="{C7BE38F3-2310-4B2C-98D9-0E2E00F56166}" name="test_number" dataDxfId="491"/>
    <tableColumn id="6" xr3:uid="{F26D6CB6-63D6-401E-9575-58962C97406E}" name="score" dataDxfId="490"/>
    <tableColumn id="7" xr3:uid="{15E46113-A918-4DC9-B756-7C8977275729}" name="general_result" dataDxfId="489"/>
    <tableColumn id="8" xr3:uid="{35EC9BD4-58DD-466C-B6E1-320BE844153F}" name="bank_id" dataDxfId="488"/>
    <tableColumn id="9" xr3:uid="{07E42D31-2C68-44BE-9A93-A3F702B8B3C3}" name="process_id" dataDxfId="487"/>
    <tableColumn id="10" xr3:uid="{0F51D73B-5C12-4891-B15D-D35E0BA636EE}" name="main_current_account_bank_id" dataDxfId="486"/>
    <tableColumn id="11" xr3:uid="{9B76177E-98CE-4FF8-A1AA-8E632124F6F0}" name="main_current_account_contract_id" dataDxfId="485"/>
    <tableColumn id="12" xr3:uid="{EFD98202-FBB6-4249-90CB-9872BBC5C03C}" name="main_current_account_iban" dataDxfId="484"/>
    <tableColumn id="13" xr3:uid="{0FD0EBAA-12B3-4DBC-8FCC-25C1FEF34D7C}" name="main_loan_account_bank_id" dataDxfId="483"/>
    <tableColumn id="14" xr3:uid="{78A39BD1-41D5-4738-82D3-9462046A4E37}" name="main_loan_account_contract_id" dataDxfId="482"/>
    <tableColumn id="15" xr3:uid="{E8A4F6B6-91F4-4F72-9C8E-327C13E9CBAE}" name="main_loan_account_iban" dataDxfId="481"/>
    <tableColumn id="16" xr3:uid="{AEC29E34-8978-40AF-9C68-9AD571DA06E2}" name="opening_date" dataDxfId="480"/>
    <tableColumn id="17" xr3:uid="{150F0706-6259-46C9-96D5-630C7BBAC0E3}" name="current_maturity_date" dataDxfId="479"/>
    <tableColumn id="18" xr3:uid="{2A6ADCAE-9F75-4CD6-8C26-09661A286CA5}" name="currency_code" dataDxfId="478"/>
    <tableColumn id="19" xr3:uid="{FE1A9988-F67B-4E8D-ACE0-81700C25512A}" name="initial_limit_amount" dataDxfId="477"/>
    <tableColumn id="20" xr3:uid="{4925A53D-F8B1-4639-A5AE-F8726A85B776}" name="current_limit_amount" dataDxfId="476"/>
    <tableColumn id="21" xr3:uid="{8FE4EEF3-D517-44AF-B738-71471EA8B1C0}" name="process_status_code" dataDxfId="475"/>
    <tableColumn id="22" xr3:uid="{ABC7DBDB-6811-4357-ADAC-800755AE1EA1}" name="process_opening_channel_code" dataDxfId="474"/>
    <tableColumn id="23" xr3:uid="{257A0EA2-8D30-46B5-9B44-0B853CE18D28}" name="data_date_part" dataDxfId="473"/>
    <tableColumn id="24" xr3:uid="{C12812AC-0BF9-4ED7-B62B-995676B896CA}" name="data_timestamp_part" dataDxfId="472"/>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7725E3-8830-43D3-88C7-75B14ED600E9}" name="Table10" displayName="Table10" ref="B2:S21" totalsRowShown="0" headerRowDxfId="471" dataDxfId="470">
  <autoFilter ref="B2:S21" xr:uid="{647725E3-8830-43D3-88C7-75B14ED600E9}"/>
  <tableColumns count="18">
    <tableColumn id="1" xr3:uid="{B143FF93-EA87-442D-8827-12209CF2A698}" name="case_test" dataDxfId="469"/>
    <tableColumn id="2" xr3:uid="{90E199F9-CF62-430D-8E68-1E2E605BAE59}" name="test_id" dataDxfId="468"/>
    <tableColumn id="3" xr3:uid="{4572E75A-EC42-4C96-BC0F-862438ADDF7F}" name="test_timestamp" dataDxfId="467"/>
    <tableColumn id="4" xr3:uid="{F98134E1-ABDD-4F6F-AE76-C1B92184A528}" name="query_driver_data_date_part" dataDxfId="466"/>
    <tableColumn id="5" xr3:uid="{99F87745-66B5-4620-BBEE-780E26608806}" name="test_number" dataDxfId="465"/>
    <tableColumn id="6" xr3:uid="{E97771C6-1AA9-4380-9D5D-B75B438560B0}" name="score" dataDxfId="464"/>
    <tableColumn id="7" xr3:uid="{75209F4C-D44F-421B-B7F6-151951332D50}" name="general_result" dataDxfId="463"/>
    <tableColumn id="8" xr3:uid="{A81D1CE0-ACC3-442D-9765-C8EBDBADCC08}" name="bank_vault_visit_id" dataDxfId="462"/>
    <tableColumn id="9" xr3:uid="{FCC79373-4078-4EFA-8879-5EBEA4AF73F6}" name="bank_id" dataDxfId="461"/>
    <tableColumn id="10" xr3:uid="{D865D276-22EC-4654-B5BF-5CD7D358D6C6}" name="contract_id" dataDxfId="460"/>
    <tableColumn id="11" xr3:uid="{2D829F47-214A-4506-9857-0FAFA1F38515}" name="visit_start_employee_id" dataDxfId="459"/>
    <tableColumn id="12" xr3:uid="{39C27B77-9BF4-4AFC-BC29-21FA12643378}" name="visit_end_employee_id" dataDxfId="458"/>
    <tableColumn id="13" xr3:uid="{5B28B38A-E507-489C-8A2E-FE768BEF1AA9}" name="start_datetime" dataDxfId="457"/>
    <tableColumn id="14" xr3:uid="{DF1DDDD0-0485-4F8E-BFB4-C00B15862287}" name="end_datetime" dataDxfId="456"/>
    <tableColumn id="15" xr3:uid="{A71AA609-E8FD-44FE-A103-64168DED0FF7}" name="visit_type_code" dataDxfId="455"/>
    <tableColumn id="16" xr3:uid="{05DDDF06-4E10-4A52-B953-2EEA6A09FFBD}" name="observation" dataDxfId="454"/>
    <tableColumn id="17" xr3:uid="{C5135E2C-7167-4C6B-8126-3198C170A3A0}" name="data_date_part" dataDxfId="453"/>
    <tableColumn id="18" xr3:uid="{5F50D36C-390C-46CE-9C29-D94CA41A8DF9}" name="data_timestamp_part" dataDxfId="452"/>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2FFC16-FA3A-4A98-8D75-6BAE88D6E5E1}" name="Table1218" displayName="Table1218" ref="B31:F33" totalsRowShown="0" headerRowDxfId="451" dataDxfId="449" headerRowBorderDxfId="450" tableBorderDxfId="448">
  <autoFilter ref="B31:F33" xr:uid="{2F2FFC16-FA3A-4A98-8D75-6BAE88D6E5E1}"/>
  <tableColumns count="5">
    <tableColumn id="1" xr3:uid="{F9954D3B-612A-46D0-92C6-A393CB6BBAC0}" name="Test ID" dataDxfId="447"/>
    <tableColumn id="2" xr3:uid="{BA01D082-8B6D-41FA-86BA-B3B2EAE278E5}" name="Field" dataDxfId="446"/>
    <tableColumn id="3" xr3:uid="{571FA46C-9940-4B44-B485-628FE2F0FEB0}" name="Justification" dataDxfId="445"/>
    <tableColumn id="5" xr3:uid="{B3FB410E-18BE-4526-A438-9F374E4965DA}" name="Number of Occurences" dataDxfId="444"/>
    <tableColumn id="4" xr3:uid="{3E325A61-2797-4932-9C15-B81A96FA1D81}" name="Justification State" dataDxfId="443"/>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8B7339-34F4-4055-84C9-E42ACE73D7C7}" name="Table13" displayName="Table13" ref="B2:P19" totalsRowShown="0" headerRowDxfId="442" dataDxfId="441">
  <autoFilter ref="B2:P19" xr:uid="{9B8B7339-34F4-4055-84C9-E42ACE73D7C7}"/>
  <tableColumns count="15">
    <tableColumn id="1" xr3:uid="{8944938B-CE83-47E4-9CA2-0E703A7744AD}" name="case_test" dataDxfId="440"/>
    <tableColumn id="2" xr3:uid="{CD320400-DFC1-4B60-B6FD-294D32A2D933}" name="test_id" dataDxfId="439"/>
    <tableColumn id="3" xr3:uid="{B3E91F55-F445-452E-A904-11CB92A11612}" name="test_timestamp" dataDxfId="438"/>
    <tableColumn id="4" xr3:uid="{C74C0830-5523-4B83-BE9C-BE4308148314}" name="query_driver_data_date_part" dataDxfId="437"/>
    <tableColumn id="5" xr3:uid="{636155FB-2E04-4D90-82E1-3631CFFC4A6A}" name="test_number" dataDxfId="436"/>
    <tableColumn id="6" xr3:uid="{DE5F932E-DAEF-4E7E-8EB0-4BEE19318D84}" name="score" dataDxfId="435"/>
    <tableColumn id="7" xr3:uid="{3C4C869A-2748-4B01-854F-DB0E83B7353A}" name="general_result" dataDxfId="434"/>
    <tableColumn id="8" xr3:uid="{BD642993-8B64-4A4E-9A26-A4CA8B93F438}" name="bank_id" dataDxfId="433"/>
    <tableColumn id="9" xr3:uid="{DF36AB1D-3420-4AB3-855C-6345B4CAF42A}" name="contract_id" dataDxfId="432"/>
    <tableColumn id="10" xr3:uid="{16807A5E-8D22-48A2-9319-4FBFEE9ECD72}" name="party_id" dataDxfId="431"/>
    <tableColumn id="11" xr3:uid="{C47369A9-5F19-407A-9CBE-76ACB2DC1BEC}" name="contract_intervention_type_code" dataDxfId="430"/>
    <tableColumn id="12" xr3:uid="{FC3547EA-D359-44AA-A76C-A58E436621E6}" name="contract_beneficiary_order_num" dataDxfId="429"/>
    <tableColumn id="13" xr3:uid="{F474642C-6CA6-4C13-8BDA-92CEDF7F113A}" name="relationship_start_date" dataDxfId="428"/>
    <tableColumn id="14" xr3:uid="{59705996-B8A2-4869-8126-C8308DE1CB8C}" name="data_date_part" dataDxfId="427"/>
    <tableColumn id="15" xr3:uid="{A9B4AF9C-6366-40C9-AF1D-A19B9C95D3D6}" name="data_timestamp_part" dataDxfId="426"/>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38FA4B-FF63-4DB6-BD17-436809251FF2}" name="Table12" displayName="Table12" ref="B28:F29" totalsRowShown="0" headerRowDxfId="425" dataDxfId="423" headerRowBorderDxfId="424" tableBorderDxfId="422">
  <autoFilter ref="B28:F29" xr:uid="{0538FA4B-FF63-4DB6-BD17-436809251FF2}"/>
  <tableColumns count="5">
    <tableColumn id="1" xr3:uid="{3BB6F6E0-04F1-400B-8B11-69C7734B06E3}" name="Test ID" dataDxfId="421"/>
    <tableColumn id="2" xr3:uid="{6D2C7768-5EE1-4E2A-974B-039604F50C6A}" name="Field" dataDxfId="420"/>
    <tableColumn id="3" xr3:uid="{F0EAB949-976B-4486-922F-7470A8EC0DBD}" name="Justification" dataDxfId="419"/>
    <tableColumn id="5" xr3:uid="{04239D9E-E278-4F25-A588-BF71B0F63BD2}" name="Number of Occurences" dataDxfId="418"/>
    <tableColumn id="4" xr3:uid="{8AAD01F4-CB0C-42C6-8512-BD0647B37C57}" name="Justification State" dataDxfId="417"/>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2D808E-5059-4E3A-B338-608D83CBF1B0}" name="Table1519242529" displayName="Table1519242529" ref="B33:F62" totalsRowShown="0" headerRowDxfId="416" dataDxfId="414" headerRowBorderDxfId="415" tableBorderDxfId="413">
  <autoFilter ref="B33:F62" xr:uid="{D11A47E3-0E3A-44D0-A44B-F787DF5A10DD}"/>
  <tableColumns count="5">
    <tableColumn id="1" xr3:uid="{69C82FC3-CCA1-4B34-B7E5-CDEDB18585CB}" name="Test ID" dataDxfId="412"/>
    <tableColumn id="2" xr3:uid="{FB2DC7F8-C946-485C-AEAF-7757E44CF295}" name="Field" dataDxfId="411"/>
    <tableColumn id="3" xr3:uid="{ABCDA907-C565-45D2-AEBC-7B5B924E91B3}" name="Justification" dataDxfId="410"/>
    <tableColumn id="4" xr3:uid="{EFFF44A1-2D70-4246-8A25-C856F50F9072}" name="Number of Occurences" dataDxfId="409"/>
    <tableColumn id="5" xr3:uid="{0F5F011D-0420-42BD-8FF6-CFCA95B3E4AC}" name="Justification State" dataDxfId="408"/>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301DDA4-1DC1-44F0-8A6B-E528064E39EE}" name="Table16232630" displayName="Table16232630" ref="B2:BD25" totalsRowShown="0" headerRowDxfId="407" dataDxfId="406">
  <autoFilter ref="B2:BD25" xr:uid="{105E7B79-3B2C-4F5C-9AC3-A361371CA078}"/>
  <tableColumns count="55">
    <tableColumn id="1" xr3:uid="{12EBEC91-05C8-47E1-AA0E-8D8E8F4AB2E2}" name="Case_Test" dataDxfId="405"/>
    <tableColumn id="2" xr3:uid="{9E2A5559-C6BF-4C32-929F-E843F82FE69E}" name="test_id" dataDxfId="404"/>
    <tableColumn id="3" xr3:uid="{900602E6-BF8E-467C-9FD2-E4E304052B2E}" name="test_timestamp" dataDxfId="403"/>
    <tableColumn id="4" xr3:uid="{8CCD1A4A-1D3A-40A8-81E3-1A2647055D64}" name="query_driver_data_date_part" dataDxfId="402"/>
    <tableColumn id="5" xr3:uid="{BF1CDE1A-CDF3-47A8-887C-58D60548649A}" name="test_number" dataDxfId="401"/>
    <tableColumn id="6" xr3:uid="{6EE944A1-2D25-483E-B079-9F9BF1C9C9DC}" name="score" dataDxfId="400"/>
    <tableColumn id="7" xr3:uid="{01EE2EEA-D26D-42DC-B267-9A984B3DF83B}" name="general_result" dataDxfId="399"/>
    <tableColumn id="8" xr3:uid="{1D891831-F38F-4878-9735-D0414C928A3D}" name="bank_id" dataDxfId="398"/>
    <tableColumn id="9" xr3:uid="{3C7F08AA-B1A4-4977-AE09-1CF348E8E063}" name="contract_id" dataDxfId="397"/>
    <tableColumn id="10" xr3:uid="{449BC435-7B9B-4E39-9DAA-3EF26C7ED479}" name="product_family_id" dataDxfId="396"/>
    <tableColumn id="11" xr3:uid="{2B194EC9-06C5-430F-B22F-9F68A731C549}" name="product_id" dataDxfId="395"/>
    <tableColumn id="12" xr3:uid="{D4D0E960-D0AD-4BAB-B725-A460F570AFFC}" name="subproduct_id" dataDxfId="394"/>
    <tableColumn id="52" xr3:uid="{61EBBDDC-011C-4E8D-9BE3-F1E551F8FD55}" name="main_current_account_bank_id" dataDxfId="393"/>
    <tableColumn id="54" xr3:uid="{49EA4576-C32D-4495-8BF5-ADF8EDDB3990}" name="main_current_account_contract_id" dataDxfId="392"/>
    <tableColumn id="55" xr3:uid="{9D58B80A-7295-4877-AD59-4896BE43112B}" name="main_current_account_iban" dataDxfId="391"/>
    <tableColumn id="56" xr3:uid="{F5C45B59-6448-48B7-A7FE-53ECA9AEC844}" name="main_loan_account_bank_id" dataDxfId="390"/>
    <tableColumn id="57" xr3:uid="{8FE9BC54-2198-4D7F-9449-4BB0DDE2F0F2}" name="main_loan_account_contract_id" dataDxfId="389"/>
    <tableColumn id="42" xr3:uid="{84B56D01-CE2A-4D05-8577-C5F30E819E97}" name="main_loan_account_iban" dataDxfId="388"/>
    <tableColumn id="43" xr3:uid="{98A761EF-01C5-4080-BCC4-C1A2CBE680A4}" name="process_bank_id" dataDxfId="387"/>
    <tableColumn id="44" xr3:uid="{5AD71665-10C9-4473-A709-AD9B2C11FA4C}" name="process_id" dataDxfId="386"/>
    <tableColumn id="13" xr3:uid="{930717D8-6D4E-4080-B537-A678A5A7CB5A}" name="opening_date" dataDxfId="385"/>
    <tableColumn id="14" xr3:uid="{2D00F6E0-BCB2-4294-946B-5A937378332A}" name="current_maturity_date" dataDxfId="384"/>
    <tableColumn id="15" xr3:uid="{1CE6C27D-2700-4F49-A647-336AE99B0595}" name="currency_code" dataDxfId="383"/>
    <tableColumn id="46" xr3:uid="{A78BDF9A-91F2-4A35-ABC6-C09D1A8C54F4}" name="last_billing_date" dataDxfId="382"/>
    <tableColumn id="47" xr3:uid="{A10A51F8-EBA0-4A7E-B568-287C40CD8602}" name="next_billing_due_date" dataDxfId="381"/>
    <tableColumn id="48" xr3:uid="{B1FFB8E2-1EDF-416B-BEA0-D69006B23B20}" name="cur_total_billed_principal_amt" dataDxfId="380"/>
    <tableColumn id="49" xr3:uid="{1109A5EA-4CA6-4208-BA89-AAB2D1E54FA0}" name="recourse_indicator" dataDxfId="379"/>
    <tableColumn id="50" xr3:uid="{AC0E21A4-DA4B-4AEE-BE34-E5D5D0ABBB9D}" name="last_advance_date" dataDxfId="378"/>
    <tableColumn id="51" xr3:uid="{AD10EB20-9F22-4CC9-A0C3-0BFA8E55A6D2}" name="last_advance_principal_amount" dataDxfId="377"/>
    <tableColumn id="53" xr3:uid="{B838D1C6-53BC-4BA4-B863-8A6ADD146350}" name="cur_total_advance_principal_amt" dataDxfId="376"/>
    <tableColumn id="16" xr3:uid="{DF3C5174-5867-4B93-AEDC-BA17A7AB5428}" name="litigation_indicator" dataDxfId="375"/>
    <tableColumn id="17" xr3:uid="{98688038-2082-49AC-B1CF-1B50B8CE37AB}" name="last_litigation_payment_date" dataDxfId="374"/>
    <tableColumn id="18" xr3:uid="{C47DD0BE-E26D-4C15-B7F8-ADC84E2005BC}" name="last_litigation_paym_princip_amt" dataDxfId="373"/>
    <tableColumn id="19" xr3:uid="{2CE696BC-175B-4A29-85FE-CBB9A6F16C8E}" name="cur_debt_litigation_princip_bal" dataDxfId="372"/>
    <tableColumn id="58" xr3:uid="{5673F057-A053-44D2-AE0E-CD8CA4D06ACC}" name="current_limit_amount" dataDxfId="371"/>
    <tableColumn id="59" xr3:uid="{BB507CDF-E08D-4111-9281-47A7D30CE449}" name="current_available_limit_amount" dataDxfId="370"/>
    <tableColumn id="62" xr3:uid="{2BF321A4-EBF7-43A3-A574-E256D2723292}" name="current_retention_rate" dataDxfId="369"/>
    <tableColumn id="61" xr3:uid="{AFDF5303-66F8-4BC6-9BA0-F571EDFB2359}" name="cur_outsng_principal_balance " dataDxfId="368"/>
    <tableColumn id="60" xr3:uid="{4AF821CF-4779-44B9-86AB-98215951172C}" name="current_overdue_principal_bal" dataDxfId="367"/>
    <tableColumn id="20" xr3:uid="{F8B0BA97-153F-41EB-9EB8-31B0D5D7CBB6}" name="initial_active_variable_rate_ind" dataDxfId="366"/>
    <tableColumn id="21" xr3:uid="{A8BCE71E-C574-4908-AA82-4E3EC8D4BE12}" name="initial_active_indexing" dataDxfId="365"/>
    <tableColumn id="22" xr3:uid="{60039C89-FA2C-4A4F-9063-5B9C36BDA7D4}" name="initial_active_index_rate" dataDxfId="364"/>
    <tableColumn id="23" xr3:uid="{AE88A70A-5BCA-4E8C-954D-4228F90AB45B}" name="initial_active_spread" dataDxfId="363"/>
    <tableColumn id="24" xr3:uid="{D39953CD-5563-4F42-A001-B7A783BD9458}" name="initial_active_interest_rate" dataDxfId="362"/>
    <tableColumn id="25" xr3:uid="{3667D792-1583-4CF6-BA51-C1EDB1767400}" name="cur_active_rate_type_code" dataDxfId="361"/>
    <tableColumn id="26" xr3:uid="{D69DF874-B385-4EAD-8594-8E7F19ED0DE8}" name="current_active_indexing" dataDxfId="360"/>
    <tableColumn id="27" xr3:uid="{B7B27755-A900-43B9-BC2C-8113110FA531}" name="current_active_index_rate" dataDxfId="359"/>
    <tableColumn id="28" xr3:uid="{47BE17FE-1443-4884-8E0C-E5FE389E7342}" name="current_active_spread" dataDxfId="358"/>
    <tableColumn id="29" xr3:uid="{FC727188-4859-4CC4-9E59-CB078EFFA2E2}" name="current_active_interest_rate" dataDxfId="357"/>
    <tableColumn id="30" xr3:uid="{93894B57-B3FA-405A-B5EA-948661D69D6C}" name="off_balance_indicator" dataDxfId="356"/>
    <tableColumn id="31" xr3:uid="{024C0787-4AA2-4472-AE3E-7C9A8B8FC3B5}" name="contract_status_code" dataDxfId="355"/>
    <tableColumn id="32" xr3:uid="{75FFF6C9-025E-4F52-9B00-D7354680B0D9}" name="contract_opening_channel_code" dataDxfId="354"/>
    <tableColumn id="33" xr3:uid="{FEB1A136-316D-49F9-94BE-E3ABE87243A1}" name="source_code" dataDxfId="353"/>
    <tableColumn id="34" xr3:uid="{8A2B5ADC-DC8A-4808-8972-57A510FCA385}" name="data_date_part" dataDxfId="352"/>
    <tableColumn id="35" xr3:uid="{3594ECFB-6CD0-42CC-8EAF-DBCBFAE7CEC0}" name="data_timestamp_part" dataDxfId="351"/>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3FDF529-F882-4497-9B1C-3D3981CA1E59}" name="Table433" displayName="Table433" ref="B2:S21" totalsRowShown="0" headerRowDxfId="350" dataDxfId="349">
  <autoFilter ref="B2:S21" xr:uid="{5A6C22E0-EACA-4D76-90EB-69FF1033FAE9}"/>
  <tableColumns count="18">
    <tableColumn id="1" xr3:uid="{23BEBCEE-AF4A-4000-91D0-0658FF60862E}" name="case_test" dataDxfId="348"/>
    <tableColumn id="2" xr3:uid="{8E8F4AE5-F528-43E6-8881-128798E89231}" name="test_id" dataDxfId="347"/>
    <tableColumn id="3" xr3:uid="{FBB1B4C5-D9F6-4183-8024-828BAEED1EDC}" name="test_timestamp" dataDxfId="346"/>
    <tableColumn id="4" xr3:uid="{202793B9-FF7D-48BA-9BF1-3F83ABC70B92}" name="query_driver_data_date_part" dataDxfId="345"/>
    <tableColumn id="5" xr3:uid="{084B4E8E-BE2D-4A40-B00D-BBE50A552C97}" name="test_number" dataDxfId="344"/>
    <tableColumn id="6" xr3:uid="{6E31048B-8568-4FF6-8202-2355A91125AF}" name="score" dataDxfId="343"/>
    <tableColumn id="7" xr3:uid="{B0281FE4-8205-4C73-8DEB-0A49DA2CE350}" name="general_result" dataDxfId="342"/>
    <tableColumn id="8" xr3:uid="{1E25268A-F7C3-49D6-A416-F50FE6210D3E}" name="card_number" dataDxfId="341"/>
    <tableColumn id="9" xr3:uid="{6478BA03-DC2C-437C-8040-B21DE0D24476}" name="main_contract_bank_id" dataDxfId="340"/>
    <tableColumn id="10" xr3:uid="{0558E633-C743-4EA7-99A9-29945AC84E01}" name="main_contract_id" dataDxfId="339"/>
    <tableColumn id="11" xr3:uid="{E1C248C9-E7FD-4EA8-8C38-4810F66D72F7}" name="beneficiary_order_number" dataDxfId="338"/>
    <tableColumn id="12" xr3:uid="{6C0BC8C5-6DE5-4BCF-90BC-D8EA5E2EEE28}" name="card_activation_date" dataDxfId="337"/>
    <tableColumn id="13" xr3:uid="{7269BB02-E810-408C-ABF1-2892D257881E}" name="card_expiration_date" dataDxfId="336"/>
    <tableColumn id="14" xr3:uid="{59C739A8-2881-436B-A94A-9AB0FD50471B}" name="daily_atm_limit" dataDxfId="335"/>
    <tableColumn id="15" xr3:uid="{099639F9-5997-4545-BE8D-746B2E94CF65}" name="daily_purchase_limit" dataDxfId="334"/>
    <tableColumn id="16" xr3:uid="{2DA22159-3556-4EED-B776-F8EFC364F703}" name="card_status_code" dataDxfId="333"/>
    <tableColumn id="17" xr3:uid="{BA233908-FA9B-479D-8A4C-0A4725A2AB3B}" name="data_date_part" dataDxfId="332"/>
    <tableColumn id="18" xr3:uid="{125D0B55-0AAD-4B5D-979B-1541CF950587}" name="data_timestamp_part" dataDxfId="331"/>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865611B-F75D-49B9-BEF7-AA9E7CDED69E}" name="Table15202134" displayName="Table15202134" ref="B29:F30" insertRow="1" totalsRowShown="0" headerRowDxfId="330" headerRowBorderDxfId="329" tableBorderDxfId="328">
  <autoFilter ref="B29:F30" xr:uid="{4AF40A3E-9334-4A23-AAEB-793578E05756}"/>
  <tableColumns count="5">
    <tableColumn id="1" xr3:uid="{2ABB39B9-9E9B-4FDD-A30E-AC1238AF8AFE}" name="Test ID" dataDxfId="327"/>
    <tableColumn id="2" xr3:uid="{846BE51A-AC9E-4239-A823-5B973540F18E}" name="Field" dataDxfId="326"/>
    <tableColumn id="3" xr3:uid="{54A3585B-4F8C-4470-8D04-2EA9DA6B56D1}" name="Justification" dataDxfId="325"/>
    <tableColumn id="5" xr3:uid="{B7F67E61-F25E-4364-B3A4-E5B20E69704F}" name="Number of Occurences" dataDxfId="324"/>
    <tableColumn id="4" xr3:uid="{3A91A515-87E4-4CBF-AA6B-2EF87A430FCC}" name="Justification State" dataDxfId="323"/>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311A23-70F5-4EAF-9D2D-EA0BDF82494D}" name="Table43331" displayName="Table43331" ref="B2:S21" totalsRowShown="0" headerRowDxfId="322" dataDxfId="321">
  <autoFilter ref="B2:S21" xr:uid="{5A6C22E0-EACA-4D76-90EB-69FF1033FAE9}"/>
  <tableColumns count="18">
    <tableColumn id="1" xr3:uid="{89591B35-69C8-469E-AF9C-B5B34D79F5B7}" name="case_test" dataDxfId="320"/>
    <tableColumn id="2" xr3:uid="{4B2D6323-FAB0-40A4-B41A-E2DAD52268EE}" name="test_id" dataDxfId="319"/>
    <tableColumn id="3" xr3:uid="{F86229AD-4492-4BF5-86F8-79EFA89E36C8}" name="test_timestamp" dataDxfId="318"/>
    <tableColumn id="4" xr3:uid="{4D0462BA-ED8C-4EC8-B6C0-AA51A4920678}" name="query_driver_data_date_part" dataDxfId="317"/>
    <tableColumn id="5" xr3:uid="{8A6C3ECB-FA3C-4FCC-9E27-C475925E30F1}" name="test_number" dataDxfId="316"/>
    <tableColumn id="6" xr3:uid="{EC42FE94-1049-4963-A580-40CA64EF0CBA}" name="score" dataDxfId="315"/>
    <tableColumn id="7" xr3:uid="{4C24C6E1-27AE-4BBF-A7C2-F8456897BEF8}" name="general_result" dataDxfId="314"/>
    <tableColumn id="8" xr3:uid="{17E8CB2E-FF41-46CC-A5AD-1F3B43391649}" name="card_number" dataDxfId="313"/>
    <tableColumn id="9" xr3:uid="{A115B27F-FBDC-4D7A-B4B7-590474A50518}" name="main_card_account_bank_id" dataDxfId="312"/>
    <tableColumn id="10" xr3:uid="{4B4C87B8-BCF3-417E-BA9C-2FACE1ADCFB0}" name="main_card_account_contract_id" dataDxfId="311"/>
    <tableColumn id="11" xr3:uid="{E56C6852-E334-4C8C-A8F3-885EBA4C876B}" name="beneficiary_order_number" dataDxfId="310"/>
    <tableColumn id="12" xr3:uid="{56C8F326-67B7-4793-B1A1-822783970EB4}" name="card_activation_date" dataDxfId="309"/>
    <tableColumn id="13" xr3:uid="{DDE89B47-EE64-4692-B12C-E11FB4641D11}" name="card_expiration_date" dataDxfId="308"/>
    <tableColumn id="14" xr3:uid="{F048A921-773A-4751-AB64-011DB9E96AD6}" name="daily_atm_limit" dataDxfId="307"/>
    <tableColumn id="15" xr3:uid="{D5206FB3-4BFB-4F3B-BD5F-BF47178C1712}" name="daily_purchase_limit" dataDxfId="306"/>
    <tableColumn id="16" xr3:uid="{1B38C620-C4D5-4057-BA8F-1650D42504CB}" name="card_status_code" dataDxfId="305"/>
    <tableColumn id="17" xr3:uid="{FF3A992F-86A9-4889-86EA-FA2112EFA1D7}" name="data_date_part" dataDxfId="304"/>
    <tableColumn id="18" xr3:uid="{E3546FA3-BD2D-4982-BB30-1394E4E7C014}" name="data_timestamp_part" dataDxfId="303"/>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97FDD3D-43A0-442A-A9B3-2272D3553778}" name="Table1520213432" displayName="Table1520213432" ref="B29:F30" totalsRowShown="0" headerRowDxfId="302" headerRowBorderDxfId="301" tableBorderDxfId="300">
  <autoFilter ref="B29:F30" xr:uid="{4AF40A3E-9334-4A23-AAEB-793578E05756}"/>
  <tableColumns count="5">
    <tableColumn id="1" xr3:uid="{3975F68C-6F34-438C-96D5-56BFEC56334E}" name="Test ID" dataDxfId="299"/>
    <tableColumn id="2" xr3:uid="{7C170CE3-3878-4430-A4AB-402C35215A62}" name="Field" dataDxfId="298"/>
    <tableColumn id="3" xr3:uid="{F8AC95FA-3FF5-43CB-A9B6-1F68D1BCE4FB}" name="Justification" dataDxfId="297"/>
    <tableColumn id="5" xr3:uid="{4B49D149-BF4F-427F-A26C-B195299E770B}" name="Number of Occurences" dataDxfId="296"/>
    <tableColumn id="4" xr3:uid="{9B55D6FD-816B-4B71-BC18-BBCEB821E92D}" name="Justification State" dataDxfId="295"/>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37C8AC3-8BF5-4102-B63F-7DD273C8CFBF}" name="Table4333137" displayName="Table4333137" ref="B2:S21" totalsRowShown="0" headerRowDxfId="294" dataDxfId="293">
  <autoFilter ref="B2:S21" xr:uid="{5A6C22E0-EACA-4D76-90EB-69FF1033FAE9}"/>
  <tableColumns count="18">
    <tableColumn id="1" xr3:uid="{1F11516E-F93B-4259-AC84-BA8515F14271}" name="case_test" dataDxfId="292"/>
    <tableColumn id="2" xr3:uid="{4138C8C7-32E2-41DB-A98B-A7728669D4EF}" name="test_id" dataDxfId="291"/>
    <tableColumn id="3" xr3:uid="{CCEE9A49-D6C9-4049-82EC-68EA70A826B0}" name="test_timestamp" dataDxfId="290"/>
    <tableColumn id="4" xr3:uid="{CC20DF59-5AEF-41A7-9E2A-86A5FDDB8707}" name="query_driver_data_date_part" dataDxfId="289"/>
    <tableColumn id="5" xr3:uid="{F9DB3033-E4F3-419F-B86A-8017C6BFA401}" name="test_number" dataDxfId="288"/>
    <tableColumn id="6" xr3:uid="{8BAC6698-5E04-4D44-AFF1-1EEB798CC1C7}" name="score" dataDxfId="287"/>
    <tableColumn id="7" xr3:uid="{4296564B-18F8-4EF8-8057-794E053F7961}" name="general_result" dataDxfId="286"/>
    <tableColumn id="8" xr3:uid="{4BE896B3-6186-4B6E-8A02-AD15209A1EF4}" name="card_number" dataDxfId="285"/>
    <tableColumn id="9" xr3:uid="{679B8A26-E9A4-4211-BEFD-3A8DA82593DF}" name="main_contract_bank_id" dataDxfId="284"/>
    <tableColumn id="10" xr3:uid="{4AD1DEE3-4740-455A-89F9-44FE52FD6095}" name="main_contract_id" dataDxfId="283"/>
    <tableColumn id="11" xr3:uid="{ECAC559F-AB58-45E0-8C96-8C019ABE1C7C}" name="beneficiary_order_number" dataDxfId="282"/>
    <tableColumn id="12" xr3:uid="{690F8DA8-1F0D-4DE1-8476-39732D670525}" name="card_activation_date" dataDxfId="281"/>
    <tableColumn id="13" xr3:uid="{A2A8D841-AF86-45B6-A3C0-5AFFFCCF9F37}" name="card_expiration_date" dataDxfId="280"/>
    <tableColumn id="14" xr3:uid="{C9E0B517-13D6-49F4-9517-2FF79319C72E}" name="daily_atm_limit" dataDxfId="279"/>
    <tableColumn id="15" xr3:uid="{30F1689B-1C90-4C46-AC06-900893E74E1A}" name="daily_purchase_limit" dataDxfId="278"/>
    <tableColumn id="16" xr3:uid="{C2EA09C2-0D7C-40B0-96C5-345A3984BE65}" name="card_status_code" dataDxfId="277"/>
    <tableColumn id="17" xr3:uid="{97B30ACA-189C-492E-9BDA-7D039551FD77}" name="data_date_part" dataDxfId="276"/>
    <tableColumn id="18" xr3:uid="{4A181FBC-06C3-4C9C-B1E7-F09219A95C4E}" name="data_timestamp_part" dataDxfId="27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A99C405-AF42-417A-987A-5580F389B2B0}" name="Table152021343238" displayName="Table152021343238" ref="B29:F30" totalsRowShown="0" headerRowDxfId="274" dataDxfId="272" headerRowBorderDxfId="273" tableBorderDxfId="271">
  <autoFilter ref="B29:F30" xr:uid="{4AF40A3E-9334-4A23-AAEB-793578E05756}"/>
  <tableColumns count="5">
    <tableColumn id="1" xr3:uid="{251EEEE8-4904-4DDD-9E4E-4A7FD7BA2A2B}" name="Test ID" dataDxfId="270"/>
    <tableColumn id="2" xr3:uid="{9A25AC25-50AD-44DD-94B9-9F5FC6AC09F0}" name="Field" dataDxfId="269"/>
    <tableColumn id="3" xr3:uid="{30D53C87-2528-4927-B117-A679423DC5E7}" name="Justification" dataDxfId="268"/>
    <tableColumn id="5" xr3:uid="{BAC3022A-A81A-43C1-B3D1-79BD41F15E5B}" name="Number of Occurences" dataDxfId="267"/>
    <tableColumn id="4" xr3:uid="{BD865BCD-1C80-412E-8548-9E98D6370004}" name="Justification State" dataDxfId="26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9FFD93D-B84A-4977-9211-01CD8635C294}" name="Table4333135" displayName="Table4333135" ref="B2:U21" totalsRowShown="0" headerRowDxfId="265" dataDxfId="264">
  <autoFilter ref="B2:U21" xr:uid="{5A6C22E0-EACA-4D76-90EB-69FF1033FAE9}"/>
  <tableColumns count="20">
    <tableColumn id="1" xr3:uid="{15A0BB60-A3F0-4C5E-92D0-7563CDEEDCBE}" name="case_test" dataDxfId="263"/>
    <tableColumn id="2" xr3:uid="{8D14A0F7-2C15-4DB3-BFF2-17BC86B354D1}" name="test_id" dataDxfId="262"/>
    <tableColumn id="3" xr3:uid="{582B1803-0BC4-4C49-801F-BDDA2F11FED9}" name="test_timestamp" dataDxfId="261"/>
    <tableColumn id="4" xr3:uid="{55ADDD56-898C-49E5-8E94-0A0FD7BB1B30}" name="query_driver_data_date_part" dataDxfId="260"/>
    <tableColumn id="5" xr3:uid="{8E384EC7-284E-436D-BEB8-0122B7CC644C}" name="test_number" dataDxfId="259"/>
    <tableColumn id="6" xr3:uid="{ED2020D9-4A08-4149-8510-83A0555A98ED}" name="score" dataDxfId="258"/>
    <tableColumn id="7" xr3:uid="{7E40BCAC-CAD9-437F-99D0-27FD1D5F8FB1}" name="general_result" dataDxfId="257"/>
    <tableColumn id="8" xr3:uid="{0BD0D893-BF00-4BA9-9443-D739C1544F1D}" name="bank_id" dataDxfId="256"/>
    <tableColumn id="9" xr3:uid="{ABB85718-3616-4272-B5E5-9B87331719C3}" name="card_account_id" dataDxfId="255"/>
    <tableColumn id="10" xr3:uid="{6C435916-0E45-4509-BFE5-1C11455A41E3}" name="product_family_id" dataDxfId="254"/>
    <tableColumn id="11" xr3:uid="{DA0E749E-30AB-4A30-9197-9C3217EC841F}" name="product_id" dataDxfId="253"/>
    <tableColumn id="12" xr3:uid="{61276A27-9E50-45DA-A22F-7C19358C7229}" name="subproduct_id" dataDxfId="252"/>
    <tableColumn id="13" xr3:uid="{97AB2A45-5604-44F0-B3E5-305C0044C4EF}" name="main_current_account_bank_id" dataDxfId="251"/>
    <tableColumn id="14" xr3:uid="{30A5A4B3-462C-45A0-9DB7-9A0CC80387B2}" name="main_current_account_contract_id" dataDxfId="250"/>
    <tableColumn id="15" xr3:uid="{395BF3E4-3D7C-445A-82AC-05104E22F063}" name="opening_date" dataDxfId="249"/>
    <tableColumn id="16" xr3:uid="{0E32665F-39BE-4E46-AF7C-2CCC958390B2}" name="current_maturity_date" dataDxfId="248"/>
    <tableColumn id="17" xr3:uid="{19B1AC2F-0C54-4555-B3F7-0886C8FEB0EC}" name="currency_code" dataDxfId="247"/>
    <tableColumn id="18" xr3:uid="{F9B0A791-76D4-460E-BA48-51A4E2364B69}" name="card_account_status_code" dataDxfId="246"/>
    <tableColumn id="19" xr3:uid="{6B2FF5C6-9EDC-42D7-B36C-2AFA05CA2FB7}" name="data_date_part" dataDxfId="245"/>
    <tableColumn id="20" xr3:uid="{52973F26-22F5-4225-9748-4C26D800A7CA}" name="data_timestamp_part" dataDxfId="244"/>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B3648D9-83A1-4395-8A01-FFE03640DABF}" name="Table152021343236" displayName="Table152021343236" ref="B29:F30" insertRow="1" totalsRowShown="0" headerRowDxfId="243" dataDxfId="241" headerRowBorderDxfId="242" tableBorderDxfId="240">
  <autoFilter ref="B29:F30" xr:uid="{4AF40A3E-9334-4A23-AAEB-793578E05756}"/>
  <tableColumns count="5">
    <tableColumn id="1" xr3:uid="{C8E83865-BB8F-439D-BC81-18C86C35C7CD}" name="Test ID" dataDxfId="239"/>
    <tableColumn id="2" xr3:uid="{393686EC-8A1F-4B2A-8790-003AA452B301}" name="Field" dataDxfId="238"/>
    <tableColumn id="3" xr3:uid="{A86F541B-8DAA-4568-8400-5ACB0355D508}" name="Justification" dataDxfId="237"/>
    <tableColumn id="5" xr3:uid="{CB97436F-19DE-49CB-82D9-D76D790D0C20}" name="Number of Occurences" dataDxfId="236"/>
    <tableColumn id="4" xr3:uid="{181CEB00-3106-4E64-8F32-3F5375A8E4B4}" name="Justification State" dataDxfId="235"/>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D504475-D4E8-4C7D-A445-2836801019C8}" name="Table433313539" displayName="Table433313539" ref="B2:W21" totalsRowShown="0" headerRowDxfId="234" dataDxfId="233">
  <autoFilter ref="B2:W21" xr:uid="{5A6C22E0-EACA-4D76-90EB-69FF1033FAE9}"/>
  <tableColumns count="22">
    <tableColumn id="1" xr3:uid="{860671EB-3547-42B6-B717-4DFCEA2728C6}" name="case_test" dataDxfId="232"/>
    <tableColumn id="2" xr3:uid="{B960901E-E3A5-4C23-9969-E238025B98E1}" name="test_id" dataDxfId="231"/>
    <tableColumn id="3" xr3:uid="{CC4FBDE3-3275-4026-960A-F62B404C7C64}" name="test_timestamp" dataDxfId="230"/>
    <tableColumn id="4" xr3:uid="{EF9270D4-32ED-49A2-A47E-B338FA983775}" name="query_driver_data_date_part" dataDxfId="229"/>
    <tableColumn id="5" xr3:uid="{55910547-2EA4-4C40-8B33-091ABCB9D44B}" name="test_number" dataDxfId="228"/>
    <tableColumn id="6" xr3:uid="{0B80B6F2-B964-4F58-8DF4-4030279675BE}" name="score" dataDxfId="227"/>
    <tableColumn id="7" xr3:uid="{54108612-9184-4041-9CA6-4FFA77A3E2A8}" name="general_result" dataDxfId="226"/>
    <tableColumn id="8" xr3:uid="{3F282371-2884-477E-ADC1-EAB8C2279C18}" name="bank_id" dataDxfId="225"/>
    <tableColumn id="9" xr3:uid="{A57AA8DA-DE3D-4F0D-B5D2-E6FFDA8312EF}" name="contract_id" dataDxfId="224"/>
    <tableColumn id="10" xr3:uid="{D6083F02-7428-4580-AB17-3678773B30CC}" name="product_family_id" dataDxfId="223"/>
    <tableColumn id="11" xr3:uid="{63AE1EB4-F1AD-4C28-A6B2-2E529DDD6006}" name="product_id" dataDxfId="222"/>
    <tableColumn id="12" xr3:uid="{0C092753-8DE7-4B41-98CC-EEFC2D4EDAA3}" name="subproduct_id" dataDxfId="221"/>
    <tableColumn id="13" xr3:uid="{812CD4E9-207A-4615-B356-DFFFA590DA8E}" name="main_current_account_bank_id" dataDxfId="220"/>
    <tableColumn id="14" xr3:uid="{6B7A9227-BA42-4CB8-9A17-F529622FBD80}" name="main_current_account_contract_id" dataDxfId="219"/>
    <tableColumn id="15" xr3:uid="{B3ADB24A-8EC3-4BC9-B4F4-E36EFDEEA67F}" name="opening_date" dataDxfId="218"/>
    <tableColumn id="16" xr3:uid="{AB45ECCD-DAB4-4A8A-B090-07322D48194A}" name="current_maturity_date" dataDxfId="217"/>
    <tableColumn id="17" xr3:uid="{A1D4D5BE-A849-4681-9463-F705EA791F89}" name="currency_code" dataDxfId="216"/>
    <tableColumn id="19" xr3:uid="{86C00DB4-EBD1-45AC-92D6-5B42845B2CFC}" name="contract_status_code" dataDxfId="215"/>
    <tableColumn id="20" xr3:uid="{F1F0871E-BEEA-4728-9517-267A1F7828BF}" name="contract_opening_channel_code" dataDxfId="214"/>
    <tableColumn id="21" xr3:uid="{4C900D2A-67D9-4703-B4E2-42356FE3AD06}" name="source_code" dataDxfId="213"/>
    <tableColumn id="22" xr3:uid="{63A170AA-197A-44B7-BD06-4B214B87D265}" name="data_date_part" dataDxfId="212"/>
    <tableColumn id="23" xr3:uid="{D62CF5EF-89E5-4A92-A4D4-0A212D9DA17B}" name="data_timestamp_part" dataDxfId="211"/>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D6030AD-D4DD-4DCC-9ED0-C8D2F160EA77}" name="Table15202134323640" displayName="Table15202134323640" ref="B29:F30" totalsRowShown="0" headerRowDxfId="210" headerRowBorderDxfId="209" tableBorderDxfId="208">
  <autoFilter ref="B29:F30" xr:uid="{4AF40A3E-9334-4A23-AAEB-793578E05756}"/>
  <tableColumns count="5">
    <tableColumn id="1" xr3:uid="{DDE26D60-685B-4C65-8A82-F10088A411DA}" name="Test ID" dataDxfId="207"/>
    <tableColumn id="2" xr3:uid="{72DCEF57-2808-49E1-B000-7BD8BDFA306F}" name="Field" dataDxfId="206"/>
    <tableColumn id="3" xr3:uid="{2AEA7767-A98F-4A10-814E-99036B18167F}" name="Justification" dataDxfId="205"/>
    <tableColumn id="5" xr3:uid="{6CF0B978-5D55-4E3A-9E1B-92D1FC95DAA3}" name="Number of Occurences" dataDxfId="204"/>
    <tableColumn id="4" xr3:uid="{2987CE10-C551-47F1-BE25-4C9EA8F79AF8}" name="Justification State" dataDxfId="203"/>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9DE40E5-43C7-4CF8-BB20-771F34F469C2}" name="Table433313543" displayName="Table433313543" ref="B2:W21" totalsRowShown="0" headerRowDxfId="202" dataDxfId="201">
  <autoFilter ref="B2:W21" xr:uid="{5A6C22E0-EACA-4D76-90EB-69FF1033FAE9}"/>
  <tableColumns count="22">
    <tableColumn id="1" xr3:uid="{D7A5F360-5138-4C15-8353-90C9CDB85738}" name="case_test" dataDxfId="200"/>
    <tableColumn id="2" xr3:uid="{41E79895-F860-436B-AFD9-2D9F54CD49C0}" name="test_id" dataDxfId="199"/>
    <tableColumn id="3" xr3:uid="{19B3040F-8656-4462-B7DB-93E9AB2F4EF2}" name="test_timestamp" dataDxfId="198"/>
    <tableColumn id="4" xr3:uid="{DCD480A9-576C-43F5-842A-10DE4D10C78E}" name="query_driver_data_date_part" dataDxfId="197"/>
    <tableColumn id="5" xr3:uid="{12518E56-A854-4D91-8BDA-7A65B23191ED}" name="test_number" dataDxfId="196"/>
    <tableColumn id="6" xr3:uid="{E063C3BF-9C3E-43D2-B800-EC75740CBC06}" name="score" dataDxfId="195"/>
    <tableColumn id="7" xr3:uid="{8154AD78-F61A-4C54-A5F1-CEB84E9B1920}" name="general_result" dataDxfId="194"/>
    <tableColumn id="8" xr3:uid="{1F99DC49-A32A-429D-B962-2F3C50D251A9}" name="bank_id" dataDxfId="193"/>
    <tableColumn id="9" xr3:uid="{3F4DBC6E-2A8B-4325-A34E-0AC22ED69CBB}" name="contract_id" dataDxfId="192"/>
    <tableColumn id="10" xr3:uid="{504425DF-AA3B-4DE6-ABCE-11179B3E6B16}" name="product_family_id" dataDxfId="191"/>
    <tableColumn id="11" xr3:uid="{880137D4-6FFE-4C70-891C-A2B3D18A05FC}" name="product_id" dataDxfId="190"/>
    <tableColumn id="12" xr3:uid="{AB33B95C-23F0-4CE5-9158-FE55EE2039AD}" name="subproduct_id" dataDxfId="189"/>
    <tableColumn id="13" xr3:uid="{8E60F710-8B40-4055-9CA7-1522A95573CE}" name="main_current_account_bank_id" dataDxfId="188"/>
    <tableColumn id="14" xr3:uid="{9BCC0E10-E8F9-4E73-8086-58CD02CEA2BE}" name="main_current_account_contract_id" dataDxfId="187"/>
    <tableColumn id="15" xr3:uid="{4687CAF7-D64D-4C76-8A53-996A1785B8EE}" name="opening_date" dataDxfId="186"/>
    <tableColumn id="16" xr3:uid="{9C3E591C-75B6-485A-B461-27482152673E}" name="current_maturity_date" dataDxfId="185"/>
    <tableColumn id="17" xr3:uid="{CEC4CF13-6AA9-4F0F-A229-3752450636B9}" name="currency_code" dataDxfId="184"/>
    <tableColumn id="19" xr3:uid="{FF70E41A-982A-4A46-9E6E-B0501AEB617C}" name="contract_status_code" dataDxfId="183"/>
    <tableColumn id="20" xr3:uid="{3A54EBF1-A5D1-49B0-8C46-9F88D9AB3DF5}" name="contract_opening_channel_code" dataDxfId="182"/>
    <tableColumn id="21" xr3:uid="{F4EBD9DD-F02B-4EF1-AE68-CADA697D6652}" name="source_code" dataDxfId="181"/>
    <tableColumn id="22" xr3:uid="{A899FDAC-E5E6-43D1-90D0-813DB0AE4867}" name="data_date_part" dataDxfId="180"/>
    <tableColumn id="23" xr3:uid="{CC8E09DE-9DF1-4B40-B762-4ACCC10B8154}" name="data_timestamp_part" dataDxfId="179"/>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7AE419C-D755-486F-9589-784F6A91B4BF}" name="Table15202134323644" displayName="Table15202134323644" ref="B29:F30" totalsRowShown="0" headerRowDxfId="178" headerRowBorderDxfId="177" tableBorderDxfId="176">
  <autoFilter ref="B29:F30" xr:uid="{4AF40A3E-9334-4A23-AAEB-793578E05756}"/>
  <tableColumns count="5">
    <tableColumn id="1" xr3:uid="{7A22D322-4A2A-4AEB-B797-661740FD95B7}" name="Test ID" dataDxfId="175"/>
    <tableColumn id="2" xr3:uid="{A6CB1BBD-58C0-4982-A00A-0D996AEECCF7}" name="Field" dataDxfId="174"/>
    <tableColumn id="3" xr3:uid="{3D624703-C8C7-45C9-8766-5925ADE94926}" name="Justification" dataDxfId="173"/>
    <tableColumn id="5" xr3:uid="{ED02C18D-0445-4BCB-8DB4-B14A1EFC11CE}" name="Number of Occurences" dataDxfId="172"/>
    <tableColumn id="4" xr3:uid="{36465E00-ED18-4B47-AF94-BAE6D1BA7863}" name="Justification State" dataDxfId="171"/>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32609DE-EC1C-4366-9B65-703840F8CEFF}" name="Table433313741" displayName="Table433313741" ref="B2:AY21" totalsRowShown="0" headerRowDxfId="170" dataDxfId="169">
  <autoFilter ref="B2:AY21" xr:uid="{5A6C22E0-EACA-4D76-90EB-69FF1033FAE9}"/>
  <tableColumns count="50">
    <tableColumn id="1" xr3:uid="{895D0237-8C79-4748-B5A9-92A97953B277}" name="case_test" dataDxfId="168"/>
    <tableColumn id="2" xr3:uid="{8EF2DA28-B563-4360-A9A7-AF0CAA9E1BFF}" name="test_id" dataDxfId="167"/>
    <tableColumn id="3" xr3:uid="{3893D570-49C9-4E80-8BB3-33E7C3EBEFE6}" name="test_timestamp" dataDxfId="166"/>
    <tableColumn id="4" xr3:uid="{C7FBAA7C-4A28-44C3-9111-3B430ABC2E1C}" name="query_driver_data_date_part" dataDxfId="165"/>
    <tableColumn id="5" xr3:uid="{C7FD3678-8EAA-4BE5-B852-3D87137C04E6}" name="test_number" dataDxfId="164"/>
    <tableColumn id="6" xr3:uid="{3DDBCBCE-58E1-424D-984C-38DD0797320C}" name="score" dataDxfId="163"/>
    <tableColumn id="7" xr3:uid="{8766CE16-5798-4452-9F68-F2A47D4D56DE}" name="general_result" dataDxfId="162"/>
    <tableColumn id="8" xr3:uid="{B2CD5D0F-2F0C-41BA-B8B5-3BBA7521E3F0}" name="bank_id" dataDxfId="161"/>
    <tableColumn id="9" xr3:uid="{1EBB9A02-CBA0-4976-B61D-49D024B737B1}" name="contract_id" dataDxfId="160"/>
    <tableColumn id="10" xr3:uid="{84555B95-C019-4C29-95C5-94B64E37372E}" name="product_family_id" dataDxfId="159"/>
    <tableColumn id="11" xr3:uid="{DB0F3893-68C1-4CCA-86DD-2133453D1D45}" name="product_id" dataDxfId="158"/>
    <tableColumn id="12" xr3:uid="{5976AC2F-E818-4F15-AC09-34AA99F8D3DB}" name="subproduct_id" dataDxfId="157"/>
    <tableColumn id="13" xr3:uid="{636ADADC-C4F0-4894-B5E8-8F61FAC10C0D}" name="main_current_account_bank_id" dataDxfId="156"/>
    <tableColumn id="14" xr3:uid="{8E8F8919-F0F5-4E0E-84C7-C32070CE5099}" name="main_current_account_contract_id" dataDxfId="155"/>
    <tableColumn id="15" xr3:uid="{C3F422AE-2C5A-4438-99CB-E0FB57331BE6}" name="main_card_account_bank_id" dataDxfId="154"/>
    <tableColumn id="16" xr3:uid="{849BB63A-12FD-4A27-81B2-91C63FA7FAA5}" name="main_card_account_contract_id" dataDxfId="153"/>
    <tableColumn id="17" xr3:uid="{1CBC08E4-5CD7-47C1-8105-006166ED4751}" name="opening_date" dataDxfId="152"/>
    <tableColumn id="18" xr3:uid="{233BF9AA-A93B-460B-BF06-69CCE832F7B6}" name="current_maturity_date" dataDxfId="151"/>
    <tableColumn id="19" xr3:uid="{FE5E2E54-838D-41D0-BE21-D4DC82EA2DC3}" name="currency_code" dataDxfId="150"/>
    <tableColumn id="20" xr3:uid="{F998355D-36DC-441B-9F03-2D6A5C0551FB}" name="litigation_indicator" dataDxfId="149"/>
    <tableColumn id="21" xr3:uid="{56B53815-AF5E-464F-8409-5934C63F67AE}" name="repayment_type_code" dataDxfId="148"/>
    <tableColumn id="22" xr3:uid="{F23A0FD8-D94C-4802-8F43-560F15FDD800}" name="fixed_repayment_amount" dataDxfId="147"/>
    <tableColumn id="23" xr3:uid="{E6BC8F2C-03AB-4401-8FF5-F09BBEABB2F1}" name="repayment_rate" dataDxfId="146"/>
    <tableColumn id="24" xr3:uid="{9619E1F0-7681-459C-87D4-D66D8A467506}" name="total_number_installments" dataDxfId="145"/>
    <tableColumn id="25" xr3:uid="{AB02A81B-1609-4ACA-B1F7-22068FDBD049}" name="initial_authorized_amount" dataDxfId="144"/>
    <tableColumn id="26" xr3:uid="{931F0CFB-119C-417A-AA43-B8A9CB60B064}" name="current_authorized_amount" dataDxfId="143"/>
    <tableColumn id="27" xr3:uid="{BCF033D5-EBB3-4663-940A-3EADE7FF3A38}" name="current_available_amount" dataDxfId="142"/>
    <tableColumn id="28" xr3:uid="{62C7F445-91E9-444F-9134-BA10173CF027}" name="current_outstanding_balance" dataDxfId="141"/>
    <tableColumn id="29" xr3:uid="{61557E9E-3993-4497-94AD-00E979916BE4}" name="cur_outsng_principal_balance" dataDxfId="140"/>
    <tableColumn id="30" xr3:uid="{E09CE155-ABD6-4E07-970B-176C211284D5}" name="current_overdue_principal_bal" dataDxfId="139"/>
    <tableColumn id="31" xr3:uid="{BCA27711-736B-4FBD-8596-BC8A175DAE5F}" name="cur_debt_litigation_princip_bal" dataDxfId="138"/>
    <tableColumn id="32" xr3:uid="{92B9A19F-523A-4127-9005-F1E5C38C0C3C}" name="next_regular_amort_due_date" dataDxfId="137"/>
    <tableColumn id="33" xr3:uid="{AD8D9EED-FBF1-4CEA-B247-F0F83003DB16}" name="next_regular_amort_principal_amt" dataDxfId="136"/>
    <tableColumn id="34" xr3:uid="{CEEE6394-734C-4A98-9E16-CA258FB1EB4C}" name="last_settled_amort_due_date" dataDxfId="135"/>
    <tableColumn id="35" xr3:uid="{80F624C4-E1F9-4EA7-A28A-559373084C5C}" name="last_settled_amort_princip_amt" dataDxfId="134"/>
    <tableColumn id="36" xr3:uid="{47CED65C-7BC8-4FE5-A91A-58E78E5270D0}" name="last_early_amort_pay_date" dataDxfId="133"/>
    <tableColumn id="37" xr3:uid="{0E98C02E-65DA-4DBA-9977-31EB31425166}" name="last_early_amort_principal_amt" dataDxfId="132"/>
    <tableColumn id="38" xr3:uid="{F561FA66-FCD5-42D6-B110-A1EBB7EAC6D9}" name="last_regular_amort_pay_date" dataDxfId="131"/>
    <tableColumn id="39" xr3:uid="{FF9F672F-CB9D-4B07-A403-4CDD90A923F4}" name="last_regular_amort_princip_amt" dataDxfId="130"/>
    <tableColumn id="40" xr3:uid="{7886D9DB-3386-4B2D-8754-7A83A91720C8}" name="last_regular_amort_install_num" dataDxfId="129"/>
    <tableColumn id="41" xr3:uid="{776ED610-E96C-482A-B943-99A3ECD4BEE9}" name="init_active_rate_type_code" dataDxfId="128"/>
    <tableColumn id="42" xr3:uid="{E4CEC082-BC7C-47D0-8BA3-7CE2B8BB94FE}" name="initial_active_interest_rate" dataDxfId="127"/>
    <tableColumn id="43" xr3:uid="{8DA382DB-DDDF-4A99-B13B-712179FD0CDE}" name="cur_active_rate_type_code" dataDxfId="126"/>
    <tableColumn id="44" xr3:uid="{2D2E46B4-120B-4EDD-8EDF-01731AF1ACB4}" name="current_active_interest_rate" dataDxfId="125"/>
    <tableColumn id="45" xr3:uid="{66FC5E3F-3223-4C5D-ABF5-5BF408BA2922}" name="revolving_plan_indicator" dataDxfId="124"/>
    <tableColumn id="46" xr3:uid="{D04D84CE-E179-490F-81A0-1CF91C2631B3}" name="contract_status_code" dataDxfId="123"/>
    <tableColumn id="47" xr3:uid="{4DCE16D5-1BD3-4B07-9674-6B5B60F9E9A9}" name="contract_opening_channel_code" dataDxfId="122"/>
    <tableColumn id="48" xr3:uid="{92A42E97-2618-4E0B-AAE8-3F27B3D3854F}" name="source_code" dataDxfId="121"/>
    <tableColumn id="49" xr3:uid="{12AECF35-1BE2-4915-B303-849E186782A5}" name="data_date_part" dataDxfId="120"/>
    <tableColumn id="50" xr3:uid="{92D5D82F-D43F-4056-B380-8604F90035EB}" name="data_timestamp_part" dataDxfId="119"/>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E6C3537-5D77-499C-B52D-DF889995571E}" name="Table15202134323842" displayName="Table15202134323842" ref="B29:F46" totalsRowShown="0" headerRowDxfId="118" dataDxfId="116" headerRowBorderDxfId="117" tableBorderDxfId="115">
  <autoFilter ref="B29:F46" xr:uid="{4AF40A3E-9334-4A23-AAEB-793578E05756}"/>
  <tableColumns count="5">
    <tableColumn id="1" xr3:uid="{995BCC96-A864-422B-A2F9-25981B8C3A09}" name="Test ID" dataDxfId="114"/>
    <tableColumn id="2" xr3:uid="{C5887FA6-4483-43DD-B8B0-C7B427A1AC36}" name="Field" dataDxfId="113"/>
    <tableColumn id="3" xr3:uid="{E0988D59-C297-4D74-89BA-66616B122F32}" name="Justification" dataDxfId="112"/>
    <tableColumn id="5" xr3:uid="{28A80275-8072-4AD5-8D9B-3D0C1231C1BC}" name="Number of Occurences" dataDxfId="111"/>
    <tableColumn id="4" xr3:uid="{AB6C65BB-8326-4433-9395-B56A18CE43E5}" name="Justification State" dataDxfId="110"/>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0AE3FBA-1932-4ACA-92EF-11BF05D95184}" name="Table43331374145" displayName="Table43331374145" ref="B2:BB23" totalsRowShown="0" headerRowDxfId="109" dataDxfId="108">
  <autoFilter ref="B2:BB23" xr:uid="{5A6C22E0-EACA-4D76-90EB-69FF1033FAE9}"/>
  <tableColumns count="53">
    <tableColumn id="1" xr3:uid="{AA9CEB2B-EDBF-4D17-9FC5-4128B07FE987}" name="case_test" dataDxfId="107"/>
    <tableColumn id="2" xr3:uid="{FA56E920-DDCE-48BF-9F48-017B2791E7F8}" name="test_id" dataDxfId="106"/>
    <tableColumn id="3" xr3:uid="{2070E2F2-619C-4F8A-9DCB-3FD1FF2C7EB9}" name="test_timestamp" dataDxfId="105"/>
    <tableColumn id="4" xr3:uid="{44307C18-5FCF-4415-AF35-BC559D885C42}" name="query_driver_data_date_part **" dataDxfId="104"/>
    <tableColumn id="5" xr3:uid="{E73D61CF-A4C5-44FA-9360-204D9D42FAFB}" name="test_number" dataDxfId="103"/>
    <tableColumn id="6" xr3:uid="{E8E18A30-C6FB-4BEF-B257-A370E566AF66}" name="score" dataDxfId="102"/>
    <tableColumn id="7" xr3:uid="{2583D214-B869-47B9-971E-44E3D798C606}" name="general_result" dataDxfId="101"/>
    <tableColumn id="8" xr3:uid="{7F0CCAB8-FD22-413A-9162-AD0657DC107C}" name="bank_id" dataDxfId="100"/>
    <tableColumn id="9" xr3:uid="{4EA1964E-5860-4AEB-8C8D-60DCE857BCDC}" name="contract_id" dataDxfId="99"/>
    <tableColumn id="10" xr3:uid="{9B51BD31-C193-41F5-B553-1720BBB8E1FB}" name="product_family_id" dataDxfId="98"/>
    <tableColumn id="11" xr3:uid="{69B8F539-2BE0-42A5-8886-92DA9F75735B}" name="product_id" dataDxfId="97"/>
    <tableColumn id="12" xr3:uid="{3FB89D3A-C216-414B-8AF6-47D367C907E9}" name="subproduct_id" dataDxfId="96"/>
    <tableColumn id="13" xr3:uid="{E657A36D-2FB9-4371-8F21-96B00E4870F5}" name="main_current_account_bank_id" dataDxfId="95"/>
    <tableColumn id="14" xr3:uid="{5B98D135-D437-4534-9B4A-C1B2199D3434}" name="main_current_account_contract_id" dataDxfId="94"/>
    <tableColumn id="15" xr3:uid="{85F85776-6C84-4827-95E8-20E557BAD440}" name="opening_date" dataDxfId="93"/>
    <tableColumn id="16" xr3:uid="{99BB27B2-0171-44B9-A814-C52FFC7B84A4}" name="current_maturity_date" dataDxfId="92"/>
    <tableColumn id="17" xr3:uid="{793C77AC-1A64-4626-B0B3-C6FF6AA84F7B}" name="currency_code" dataDxfId="91"/>
    <tableColumn id="18" xr3:uid="{43699516-C739-4EC3-AA8B-3FE206F81B45}" name="litigation_indicator" dataDxfId="90"/>
    <tableColumn id="19" xr3:uid="{84F418AE-A4DB-45A6-8C71-E133521B8D88}" name="total_num_past_due_installments" dataDxfId="89"/>
    <tableColumn id="20" xr3:uid="{6D4F3369-DEF6-4CC3-8F62-2A2187944915}" name="current_asked_amount" dataDxfId="88"/>
    <tableColumn id="21" xr3:uid="{AA34C0B6-0208-4BB5-833C-57316389843E}" name="current_authorized_amount" dataDxfId="87"/>
    <tableColumn id="22" xr3:uid="{CB9288BD-12C3-4F2A-AE25-B23FCB396CB6}" name="cur_advance_principal_amt" dataDxfId="86"/>
    <tableColumn id="23" xr3:uid="{D0DDA24C-0F7B-4475-8925-728B0B2980E3}" name="cur_outsng_principal_balance" dataDxfId="85"/>
    <tableColumn id="24" xr3:uid="{88A632B4-0876-4571-A472-9E31F2FE04C5}" name="current_overdue_principal_bal" dataDxfId="84"/>
    <tableColumn id="25" xr3:uid="{FC81AD55-6F12-460E-B36D-C9490897DCD6}" name="cur_debt_litigation_princip_bal" dataDxfId="83"/>
    <tableColumn id="26" xr3:uid="{C0E93D50-1420-4C05-8220-B1F2CCC230D5}" name="next_regular_amort_due_date" dataDxfId="82"/>
    <tableColumn id="27" xr3:uid="{B031678A-C512-42A1-81AC-27769D650518}" name="next_regular_amort_principal_amt" dataDxfId="81"/>
    <tableColumn id="28" xr3:uid="{9DBC96E1-9B5B-430D-8736-7D8269050A55}" name="nxt_subsd_reg_amort_princip_amt" dataDxfId="80"/>
    <tableColumn id="29" xr3:uid="{27C88624-A2F1-40D0-8BB6-C24708DD6D5A}" name="last_settled_amort_due_date" dataDxfId="79"/>
    <tableColumn id="30" xr3:uid="{2F7411DF-B5D0-4B7C-9DE5-36F89D173B0E}" name="last_settled_amort_princip_amt" dataDxfId="78"/>
    <tableColumn id="31" xr3:uid="{58E2FB27-731A-4815-89A7-12DD8F002F7D}" name="last_early_amort_pay_date" dataDxfId="77"/>
    <tableColumn id="32" xr3:uid="{8D66C72C-9BC5-4C95-AE0C-CF27405212F4}" name="last_early_amort_principal_amt" dataDxfId="76"/>
    <tableColumn id="33" xr3:uid="{95E93EC9-17C8-402E-BEE3-D711FDA47F40}" name="last_regular_amort_pay_date" dataDxfId="75"/>
    <tableColumn id="34" xr3:uid="{E6A6F541-AB35-43A1-943D-7288311681A6}" name="last_regular_amort_princip_amt" dataDxfId="74"/>
    <tableColumn id="35" xr3:uid="{F5C46D2D-C3F6-4C90-BB7C-B7497922A344}" name="last_regular_amort_install_num" dataDxfId="73"/>
    <tableColumn id="36" xr3:uid="{67BE460D-8B24-4CE7-8113-26F7635DF848}" name="subsidized_rate_type_code" dataDxfId="72"/>
    <tableColumn id="37" xr3:uid="{36C07FD5-42C8-48AA-86BD-AA86AC70F430}" name="initial_active_rate_type_code" dataDxfId="71"/>
    <tableColumn id="38" xr3:uid="{89FCC7F8-3BD5-45CB-B2D8-71BF0ABE9FFD}" name="initial_active_indexing" dataDxfId="70"/>
    <tableColumn id="39" xr3:uid="{F8C9323F-0E63-4BCE-8D72-E63B14F1CEB3}" name="initial_active_index_rate" dataDxfId="69"/>
    <tableColumn id="40" xr3:uid="{8163778B-B7FF-4CE7-9F79-C8F321E1F021}" name="initial_active_spread" dataDxfId="68"/>
    <tableColumn id="41" xr3:uid="{23E6BA2F-5E08-4082-BAC4-BC08401B27E9}" name="initial_active_interest_rate" dataDxfId="67"/>
    <tableColumn id="42" xr3:uid="{5AEE8025-38AB-4BC4-BB2F-F78282551848}" name="init_active_subsid_interest_rate" dataDxfId="66"/>
    <tableColumn id="43" xr3:uid="{7FE18297-795A-4261-81DC-D5EFAB019B7A}" name="cur_active_rate_type_code" dataDxfId="65"/>
    <tableColumn id="44" xr3:uid="{3C793DD1-E8A6-460C-B36B-B9FC39E7475C}" name="current_active_indexing" dataDxfId="64"/>
    <tableColumn id="45" xr3:uid="{1AC12E00-BE00-46EA-9B2A-41AD743C2A78}" name="current_active_index_rate" dataDxfId="63"/>
    <tableColumn id="46" xr3:uid="{5356DE9C-285A-4E15-8691-FB9EAC024892}" name="current_active_spread" dataDxfId="62"/>
    <tableColumn id="47" xr3:uid="{ECC436B7-29FD-44CA-B19E-D56633980415}" name="current_active_interest_rate" dataDxfId="61"/>
    <tableColumn id="48" xr3:uid="{9134A2D5-3C86-4BD0-85D2-B25CB92B7970}" name="cur_active_subsid_interest_rate" dataDxfId="60"/>
    <tableColumn id="49" xr3:uid="{BE44FA9B-0BB6-493B-B125-5CEFF9E08B38}" name="contract_status_code" dataDxfId="59"/>
    <tableColumn id="50" xr3:uid="{10B66D3D-7FE8-4D9E-82B1-8B44397EF1A2}" name="contract_opening_channel_code" dataDxfId="58"/>
    <tableColumn id="51" xr3:uid="{DDC5CBE6-F59F-45A6-9D0F-D95F6AD8D741}" name="source_code" dataDxfId="57"/>
    <tableColumn id="52" xr3:uid="{6281A2CE-5B4D-4A6F-9C5F-B1209F902B0C}" name="data_date_part" dataDxfId="56"/>
    <tableColumn id="53" xr3:uid="{BD9CF0E3-0A47-4446-802C-A544FFD30AD3}" name="data_timestamp_part" dataDxfId="55"/>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C6EFB29-E866-4E3A-AE7B-637977FCCFE9}" name="Table1520213432384246" displayName="Table1520213432384246" ref="B31:F56" totalsRowShown="0" headerRowDxfId="54" dataDxfId="52" headerRowBorderDxfId="53" tableBorderDxfId="51">
  <autoFilter ref="B31:F56" xr:uid="{4AF40A3E-9334-4A23-AAEB-793578E05756}"/>
  <tableColumns count="5">
    <tableColumn id="1" xr3:uid="{F466CB03-C144-4883-AA93-97901757E4AF}" name="Test ID" dataDxfId="50"/>
    <tableColumn id="2" xr3:uid="{10C2C59E-7186-4AED-85CF-8A58002D0B82}" name="Field" dataDxfId="49"/>
    <tableColumn id="3" xr3:uid="{91523FC0-5DFC-4990-A0DD-A9AFBEE0C832}" name="Justification" dataDxfId="48"/>
    <tableColumn id="5" xr3:uid="{1A24EB48-D566-4183-A1BB-2CD5A67914C2}" name="Number of Occurences" dataDxfId="47"/>
    <tableColumn id="4" xr3:uid="{746D3ACB-517A-4FA2-8438-0382B53E2FA2}" name="Justification State" dataDxfId="46"/>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98F7EFA-86D1-4BFF-A12B-02EB0DA0DCC8}" name="Table1519242547" displayName="Table1519242547" ref="B31:F38" totalsRowShown="0" headerRowDxfId="45" headerRowBorderDxfId="44" tableBorderDxfId="43">
  <autoFilter ref="B31:F38" xr:uid="{D11A47E3-0E3A-44D0-A44B-F787DF5A10DD}"/>
  <sortState xmlns:xlrd2="http://schemas.microsoft.com/office/spreadsheetml/2017/richdata2" ref="B32:F38">
    <sortCondition ref="B31:B38"/>
  </sortState>
  <tableColumns count="5">
    <tableColumn id="1" xr3:uid="{F28333CA-20AA-4F1B-A1EC-28C371632D58}" name="Test ID" dataDxfId="42"/>
    <tableColumn id="2" xr3:uid="{6161A304-5989-4247-BA21-DB853FB90243}" name="Field" dataDxfId="41"/>
    <tableColumn id="3" xr3:uid="{28D4649F-4B8A-4D8E-8CB1-933C138C0CDA}" name="Justification" dataDxfId="40"/>
    <tableColumn id="4" xr3:uid="{D201189A-8A0A-4C5F-9682-831C128DF3DA}" name="Number of Occurences" dataDxfId="39"/>
    <tableColumn id="5" xr3:uid="{166F870E-F8B4-423F-AD9A-DCC069EFF9B9}" name="Justification State" dataDxfId="38"/>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12917C4-0DC4-4559-AAD4-C8CB37160120}" name="Table16232648" displayName="Table16232648" ref="B2:AJ23" totalsRowShown="0" headerRowDxfId="37" dataDxfId="36">
  <autoFilter ref="B2:AJ23" xr:uid="{105E7B79-3B2C-4F5C-9AC3-A361371CA078}"/>
  <tableColumns count="35">
    <tableColumn id="1" xr3:uid="{9C2F5C9C-D10F-4070-A5E4-ABCB4EC3147A}" name="Case_Test" dataDxfId="35"/>
    <tableColumn id="2" xr3:uid="{158A8D40-D24B-4A13-9959-6421113F573D}" name="test_id" dataDxfId="34"/>
    <tableColumn id="3" xr3:uid="{DB1E9588-3AF6-4428-9844-B3F5A6D0F2C5}" name="test_timestamp" dataDxfId="33"/>
    <tableColumn id="4" xr3:uid="{9BB98223-83F0-41EC-B198-0EC9A7973A1D}" name="query_driver_data_date_part" dataDxfId="32"/>
    <tableColumn id="5" xr3:uid="{A2213638-217B-43B9-99B9-9E25892004C5}" name="test_number" dataDxfId="31"/>
    <tableColumn id="6" xr3:uid="{9BE733C5-256D-489F-9CA2-3C2C211D94B6}" name="score" dataDxfId="30"/>
    <tableColumn id="7" xr3:uid="{D43A2783-06C2-42C7-A24D-9170A9673012}" name="general_result" dataDxfId="29"/>
    <tableColumn id="8" xr3:uid="{E2BD1DFD-D1A2-4E0D-8C82-01079C6F6B35}" name="bank_id" dataDxfId="28"/>
    <tableColumn id="9" xr3:uid="{F353CD1E-778D-4DDC-AFE6-589238EAF48C}" name="contract_id" dataDxfId="27"/>
    <tableColumn id="10" xr3:uid="{C02E7253-A976-49A0-AFD0-4193FDF0F60D}" name="product_family_id" dataDxfId="26"/>
    <tableColumn id="11" xr3:uid="{7AEA85D5-8D89-47BF-97FD-FBB72E7C2981}" name="product_id" dataDxfId="25"/>
    <tableColumn id="12" xr3:uid="{B2E7C199-8A28-4EA3-81D8-8D2434D71A0C}" name="subproduct_id" dataDxfId="24"/>
    <tableColumn id="13" xr3:uid="{B5061812-ED00-419A-9B51-246E58A8871B}" name="main_current_account_bank_id" dataDxfId="23"/>
    <tableColumn id="14" xr3:uid="{8191C03D-0E58-4C06-A6B8-2F1D6DF17ADE}" name="main_current_account_contract_id" dataDxfId="22"/>
    <tableColumn id="15" xr3:uid="{68BE6CBD-A3D9-4CA3-BC62-5D9E9EA9C6EA}" name="opening_date" dataDxfId="21"/>
    <tableColumn id="16" xr3:uid="{7738F807-53E8-4D7D-BF80-7294181D6002}" name="current_maturity_date" dataDxfId="20"/>
    <tableColumn id="17" xr3:uid="{36E5C078-83A5-4475-9879-C50F220A1659}" name="currency_code" dataDxfId="19"/>
    <tableColumn id="18" xr3:uid="{099BD1CF-1A0E-4D2B-8CFA-38577D7A8A57}" name="initial_deposit_amount" dataDxfId="18"/>
    <tableColumn id="19" xr3:uid="{D2861240-CF14-43E4-B922-6AEA96070D07}" name="current_available_balance" dataDxfId="17"/>
    <tableColumn id="20" xr3:uid="{331F1C97-F139-483D-A075-FE69E5CB215C}" name="early_withdraw_penalty_fee" dataDxfId="16"/>
    <tableColumn id="21" xr3:uid="{1C01B39B-AAA2-4D8C-8580-E18AB66543D7}" name="init_passive_rate_type_code" dataDxfId="15"/>
    <tableColumn id="22" xr3:uid="{53D755AB-5AFC-4DF6-ABF1-4CB3AF0A06D0}" name="initial_passive_indexing" dataDxfId="14"/>
    <tableColumn id="23" xr3:uid="{01B18FB8-459D-4E74-BF3A-255C113D519A}" name="initial_passive_index_rate" dataDxfId="13"/>
    <tableColumn id="24" xr3:uid="{79006E5F-A99C-42C5-BB8F-80985955D06C}" name="initial_passive_spread" dataDxfId="12"/>
    <tableColumn id="25" xr3:uid="{C017EA10-9465-4479-B9E1-2ADE65FE5300}" name="initial_passive_interest_rate" dataDxfId="11"/>
    <tableColumn id="26" xr3:uid="{777FB2ED-7739-4579-971A-09F12A3FDE21}" name="cur_passive_rate_type_code" dataDxfId="10"/>
    <tableColumn id="27" xr3:uid="{969CDFEA-1DDF-4173-A20B-E02293914350}" name="current_passive_indexing" dataDxfId="9"/>
    <tableColumn id="28" xr3:uid="{4A035440-D309-4E50-813B-924F848FBD11}" name="current_passive_index_rate" dataDxfId="8"/>
    <tableColumn id="29" xr3:uid="{DEC101F8-8FE9-4442-B5C4-005E800D2837}" name="current_passive_spread" dataDxfId="7"/>
    <tableColumn id="30" xr3:uid="{25D205D6-FA2E-4453-B397-A7F3C9444688}" name="current_passive_interest_rate" dataDxfId="6"/>
    <tableColumn id="31" xr3:uid="{9D83C37B-608E-4C02-B227-C615DA22F9A8}" name="contract_status_code" dataDxfId="5"/>
    <tableColumn id="32" xr3:uid="{F6954198-8147-4E70-A2E3-579E41A38B88}" name="contract_opening_channel_code" dataDxfId="4"/>
    <tableColumn id="33" xr3:uid="{F52E7725-9780-4F08-9A14-34C1F9543D0C}" name="source_code" dataDxfId="3"/>
    <tableColumn id="34" xr3:uid="{9C0EBE29-2866-4849-BACC-E753C2253864}" name="data_date_part" dataDxfId="2"/>
    <tableColumn id="35" xr3:uid="{5D42A897-8461-4849-BEF2-7CC5A2C363F1}"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7"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7" workbookViewId="0">
      <selection activeCell="B3" sqref="B3"/>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4"/>
  <sheetViews>
    <sheetView zoomScale="115" zoomScaleNormal="115" workbookViewId="0">
      <selection activeCell="C7" sqref="C7"/>
    </sheetView>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1" t="s">
        <v>1</v>
      </c>
      <c r="C5" s="42" t="s">
        <v>2</v>
      </c>
      <c r="D5" s="43" t="s">
        <v>3</v>
      </c>
      <c r="E5" s="22"/>
    </row>
    <row r="6" spans="1:5" x14ac:dyDescent="0.25">
      <c r="A6" s="22"/>
      <c r="B6" s="39" t="s">
        <v>4</v>
      </c>
      <c r="C6" s="39" t="s">
        <v>5</v>
      </c>
      <c r="D6" s="25" t="s">
        <v>6</v>
      </c>
      <c r="E6" s="22"/>
    </row>
    <row r="7" spans="1:5" x14ac:dyDescent="0.25">
      <c r="A7" s="22"/>
      <c r="B7" s="39" t="s">
        <v>7</v>
      </c>
      <c r="C7" s="39" t="s">
        <v>8</v>
      </c>
      <c r="D7" s="25" t="s">
        <v>9</v>
      </c>
      <c r="E7" s="22"/>
    </row>
    <row r="8" spans="1:5" x14ac:dyDescent="0.25">
      <c r="A8" s="22"/>
      <c r="B8" s="39" t="s">
        <v>7</v>
      </c>
      <c r="C8" s="39" t="s">
        <v>10</v>
      </c>
      <c r="D8" s="40" t="s">
        <v>11</v>
      </c>
      <c r="E8" s="22"/>
    </row>
    <row r="9" spans="1:5" x14ac:dyDescent="0.25">
      <c r="B9" s="39" t="s">
        <v>12</v>
      </c>
      <c r="C9" s="39" t="s">
        <v>13</v>
      </c>
      <c r="D9" s="25" t="s">
        <v>14</v>
      </c>
    </row>
    <row r="10" spans="1:5" s="4" customFormat="1" x14ac:dyDescent="0.25">
      <c r="B10" s="39" t="s">
        <v>12</v>
      </c>
      <c r="C10" s="39" t="s">
        <v>15</v>
      </c>
      <c r="D10" s="25" t="s">
        <v>16</v>
      </c>
    </row>
    <row r="11" spans="1:5" s="4" customFormat="1" x14ac:dyDescent="0.25">
      <c r="B11" s="39" t="s">
        <v>17</v>
      </c>
      <c r="C11" s="39" t="s">
        <v>18</v>
      </c>
      <c r="D11" s="25" t="s">
        <v>19</v>
      </c>
    </row>
    <row r="12" spans="1:5" s="4" customFormat="1" x14ac:dyDescent="0.25">
      <c r="B12" s="39" t="s">
        <v>17</v>
      </c>
      <c r="C12" s="39" t="s">
        <v>20</v>
      </c>
      <c r="D12" s="117" t="s">
        <v>21</v>
      </c>
    </row>
    <row r="13" spans="1:5" s="4" customFormat="1" x14ac:dyDescent="0.25">
      <c r="B13" s="39" t="s">
        <v>22</v>
      </c>
      <c r="C13" s="39" t="s">
        <v>23</v>
      </c>
      <c r="D13" s="25" t="s">
        <v>24</v>
      </c>
    </row>
    <row r="14" spans="1:5" s="4" customFormat="1" x14ac:dyDescent="0.25">
      <c r="B14" s="39" t="s">
        <v>22</v>
      </c>
      <c r="C14" s="39" t="s">
        <v>25</v>
      </c>
      <c r="D14" s="40" t="s">
        <v>26</v>
      </c>
    </row>
    <row r="15" spans="1:5" s="4" customFormat="1" hidden="1" x14ac:dyDescent="0.25">
      <c r="B15" s="39" t="s">
        <v>27</v>
      </c>
      <c r="C15" s="39" t="s">
        <v>28</v>
      </c>
      <c r="D15" s="25" t="s">
        <v>29</v>
      </c>
    </row>
    <row r="16" spans="1:5" s="4" customFormat="1" hidden="1" x14ac:dyDescent="0.25">
      <c r="B16" s="49" t="s">
        <v>27</v>
      </c>
      <c r="C16" s="49" t="s">
        <v>30</v>
      </c>
      <c r="D16" s="48" t="s">
        <v>31</v>
      </c>
    </row>
    <row r="17" spans="2:4" s="4" customFormat="1" hidden="1" x14ac:dyDescent="0.25">
      <c r="B17" s="39" t="s">
        <v>27</v>
      </c>
      <c r="C17" s="39" t="s">
        <v>32</v>
      </c>
      <c r="D17" s="25" t="s">
        <v>33</v>
      </c>
    </row>
    <row r="18" spans="2:4" s="4" customFormat="1" hidden="1" x14ac:dyDescent="0.25">
      <c r="B18" s="49" t="s">
        <v>27</v>
      </c>
      <c r="C18" s="49" t="s">
        <v>34</v>
      </c>
      <c r="D18" s="48" t="s">
        <v>35</v>
      </c>
    </row>
    <row r="19" spans="2:4" s="4" customFormat="1" hidden="1" x14ac:dyDescent="0.25">
      <c r="B19" s="39" t="s">
        <v>27</v>
      </c>
      <c r="C19" s="39" t="s">
        <v>36</v>
      </c>
      <c r="D19" s="25" t="s">
        <v>37</v>
      </c>
    </row>
    <row r="20" spans="2:4" s="4" customFormat="1" hidden="1" x14ac:dyDescent="0.25">
      <c r="B20" s="39" t="s">
        <v>38</v>
      </c>
      <c r="C20" s="39" t="s">
        <v>39</v>
      </c>
      <c r="D20" s="25" t="s">
        <v>40</v>
      </c>
    </row>
    <row r="21" spans="2:4" s="4" customFormat="1" hidden="1" x14ac:dyDescent="0.25">
      <c r="B21" s="39" t="s">
        <v>38</v>
      </c>
      <c r="C21" s="39" t="s">
        <v>41</v>
      </c>
      <c r="D21" s="25" t="s">
        <v>42</v>
      </c>
    </row>
    <row r="22" spans="2:4" s="4" customFormat="1" hidden="1" x14ac:dyDescent="0.25">
      <c r="B22" s="39" t="s">
        <v>43</v>
      </c>
      <c r="C22" s="39" t="s">
        <v>44</v>
      </c>
      <c r="D22" s="25" t="s">
        <v>45</v>
      </c>
    </row>
    <row r="23" spans="2:4" s="4" customFormat="1" hidden="1" x14ac:dyDescent="0.25">
      <c r="B23" s="39" t="s">
        <v>43</v>
      </c>
      <c r="C23" s="39" t="s">
        <v>28</v>
      </c>
      <c r="D23" s="25" t="s">
        <v>46</v>
      </c>
    </row>
    <row r="24" spans="2:4" s="4" customFormat="1" hidden="1" x14ac:dyDescent="0.25">
      <c r="B24" s="39" t="s">
        <v>43</v>
      </c>
      <c r="C24" s="39" t="s">
        <v>30</v>
      </c>
      <c r="D24" s="40" t="s">
        <v>47</v>
      </c>
    </row>
    <row r="25" spans="2:4" s="4" customFormat="1" hidden="1" x14ac:dyDescent="0.25">
      <c r="B25" s="39" t="s">
        <v>48</v>
      </c>
      <c r="C25" s="39" t="s">
        <v>49</v>
      </c>
      <c r="D25" s="40" t="s">
        <v>50</v>
      </c>
    </row>
    <row r="26" spans="2:4" s="4" customFormat="1" hidden="1" x14ac:dyDescent="0.25">
      <c r="B26" s="39" t="s">
        <v>48</v>
      </c>
      <c r="C26" s="39" t="s">
        <v>51</v>
      </c>
      <c r="D26" s="25" t="s">
        <v>52</v>
      </c>
    </row>
    <row r="27" spans="2:4" s="4" customFormat="1" hidden="1" x14ac:dyDescent="0.25">
      <c r="B27" s="39" t="s">
        <v>48</v>
      </c>
      <c r="C27" s="39" t="s">
        <v>53</v>
      </c>
      <c r="D27" s="40" t="s">
        <v>54</v>
      </c>
    </row>
    <row r="28" spans="2:4" s="4" customFormat="1" hidden="1" x14ac:dyDescent="0.25">
      <c r="B28" s="39" t="s">
        <v>48</v>
      </c>
      <c r="C28" s="39" t="s">
        <v>55</v>
      </c>
      <c r="D28" s="40" t="s">
        <v>56</v>
      </c>
    </row>
    <row r="29" spans="2:4" s="4" customFormat="1" hidden="1" x14ac:dyDescent="0.25">
      <c r="B29" s="39" t="s">
        <v>48</v>
      </c>
      <c r="C29" s="39" t="s">
        <v>57</v>
      </c>
      <c r="D29" s="25" t="s">
        <v>58</v>
      </c>
    </row>
    <row r="30" spans="2:4" s="4" customFormat="1" hidden="1" x14ac:dyDescent="0.25">
      <c r="B30" s="39" t="s">
        <v>48</v>
      </c>
      <c r="C30" s="39" t="s">
        <v>59</v>
      </c>
      <c r="D30" s="40" t="s">
        <v>60</v>
      </c>
    </row>
    <row r="31" spans="2:4" s="4" customFormat="1" hidden="1" x14ac:dyDescent="0.25">
      <c r="B31" s="39" t="s">
        <v>61</v>
      </c>
      <c r="C31" s="39" t="s">
        <v>62</v>
      </c>
      <c r="D31" s="25" t="s">
        <v>63</v>
      </c>
    </row>
    <row r="32" spans="2:4" s="4" customFormat="1" hidden="1" x14ac:dyDescent="0.25">
      <c r="B32" s="39" t="s">
        <v>61</v>
      </c>
      <c r="C32" s="39" t="s">
        <v>64</v>
      </c>
      <c r="D32" s="25" t="s">
        <v>65</v>
      </c>
    </row>
    <row r="33" spans="2:4" s="4" customFormat="1" hidden="1" x14ac:dyDescent="0.25">
      <c r="B33" s="39" t="s">
        <v>66</v>
      </c>
      <c r="C33" s="39" t="s">
        <v>67</v>
      </c>
      <c r="D33" s="40" t="s">
        <v>68</v>
      </c>
    </row>
    <row r="34" spans="2:4" s="4" customFormat="1" hidden="1" x14ac:dyDescent="0.25">
      <c r="B34" s="39" t="s">
        <v>66</v>
      </c>
      <c r="C34" s="39" t="s">
        <v>69</v>
      </c>
      <c r="D34" s="25" t="s">
        <v>70</v>
      </c>
    </row>
    <row r="35" spans="2:4" s="4" customFormat="1" hidden="1" x14ac:dyDescent="0.25">
      <c r="B35" s="39" t="s">
        <v>71</v>
      </c>
      <c r="C35" s="39" t="s">
        <v>72</v>
      </c>
      <c r="D35" s="40" t="s">
        <v>73</v>
      </c>
    </row>
    <row r="36" spans="2:4" s="4" customFormat="1" hidden="1" x14ac:dyDescent="0.25">
      <c r="B36" s="39" t="s">
        <v>71</v>
      </c>
      <c r="C36" s="39" t="s">
        <v>74</v>
      </c>
      <c r="D36" s="40" t="s">
        <v>75</v>
      </c>
    </row>
    <row r="37" spans="2:4" s="4" customFormat="1" hidden="1" x14ac:dyDescent="0.25">
      <c r="B37" s="39" t="s">
        <v>76</v>
      </c>
      <c r="C37" s="39" t="s">
        <v>77</v>
      </c>
      <c r="D37" s="25" t="s">
        <v>78</v>
      </c>
    </row>
    <row r="38" spans="2:4" s="4" customFormat="1" hidden="1" x14ac:dyDescent="0.25">
      <c r="B38" s="39" t="s">
        <v>76</v>
      </c>
      <c r="C38" s="39" t="s">
        <v>28</v>
      </c>
      <c r="D38" s="25" t="s">
        <v>79</v>
      </c>
    </row>
    <row r="39" spans="2:4" s="4" customFormat="1" hidden="1" x14ac:dyDescent="0.25">
      <c r="B39" s="39" t="s">
        <v>76</v>
      </c>
      <c r="C39" s="39" t="s">
        <v>30</v>
      </c>
      <c r="D39" s="25" t="s">
        <v>80</v>
      </c>
    </row>
    <row r="40" spans="2:4" s="4" customFormat="1" hidden="1" x14ac:dyDescent="0.25">
      <c r="B40" s="39" t="s">
        <v>81</v>
      </c>
      <c r="C40" s="39" t="s">
        <v>82</v>
      </c>
      <c r="D40" s="40" t="s">
        <v>83</v>
      </c>
    </row>
    <row r="41" spans="2:4" s="4" customFormat="1" hidden="1" x14ac:dyDescent="0.25">
      <c r="B41" s="39" t="s">
        <v>81</v>
      </c>
      <c r="C41" s="39" t="s">
        <v>84</v>
      </c>
      <c r="D41" s="25" t="s">
        <v>85</v>
      </c>
    </row>
    <row r="42" spans="2:4" s="4" customFormat="1" hidden="1" x14ac:dyDescent="0.25">
      <c r="B42" s="39" t="s">
        <v>86</v>
      </c>
      <c r="C42" s="39" t="s">
        <v>87</v>
      </c>
      <c r="D42" s="25" t="s">
        <v>88</v>
      </c>
    </row>
    <row r="43" spans="2:4" s="4" customFormat="1" hidden="1" x14ac:dyDescent="0.25">
      <c r="B43" s="39" t="s">
        <v>86</v>
      </c>
      <c r="C43" s="39" t="s">
        <v>89</v>
      </c>
      <c r="D43" s="40" t="s">
        <v>90</v>
      </c>
    </row>
    <row r="44" spans="2:4" s="4" customFormat="1" hidden="1" x14ac:dyDescent="0.25">
      <c r="B44" s="39" t="s">
        <v>91</v>
      </c>
      <c r="C44" s="39" t="s">
        <v>92</v>
      </c>
      <c r="D44" s="40" t="s">
        <v>93</v>
      </c>
    </row>
    <row r="45" spans="2:4" s="4" customFormat="1" hidden="1" x14ac:dyDescent="0.25">
      <c r="B45" s="39" t="s">
        <v>91</v>
      </c>
      <c r="C45" s="39" t="s">
        <v>94</v>
      </c>
      <c r="D45" s="40" t="s">
        <v>95</v>
      </c>
    </row>
    <row r="46" spans="2:4" s="4" customFormat="1" hidden="1" x14ac:dyDescent="0.25">
      <c r="B46" s="39" t="s">
        <v>96</v>
      </c>
      <c r="C46" s="39" t="s">
        <v>97</v>
      </c>
      <c r="D46" s="25" t="s">
        <v>98</v>
      </c>
    </row>
    <row r="47" spans="2:4" s="4" customFormat="1" hidden="1" x14ac:dyDescent="0.25">
      <c r="B47" s="39" t="s">
        <v>96</v>
      </c>
      <c r="C47" s="39" t="s">
        <v>99</v>
      </c>
      <c r="D47" s="40" t="s">
        <v>100</v>
      </c>
    </row>
    <row r="48" spans="2:4" s="4" customFormat="1" hidden="1" x14ac:dyDescent="0.25">
      <c r="B48" s="39"/>
      <c r="C48" s="25"/>
      <c r="D48" s="40"/>
    </row>
    <row r="49" spans="2:4" s="4" customFormat="1" hidden="1" x14ac:dyDescent="0.25">
      <c r="B49" s="39"/>
      <c r="C49" s="25"/>
      <c r="D49" s="40"/>
    </row>
    <row r="50" spans="2:4" s="4" customFormat="1" hidden="1" x14ac:dyDescent="0.25">
      <c r="B50" s="39"/>
      <c r="C50" s="25"/>
      <c r="D50" s="40"/>
    </row>
    <row r="51" spans="2:4" s="4" customFormat="1" hidden="1" x14ac:dyDescent="0.25">
      <c r="B51" s="39"/>
      <c r="C51" s="25"/>
      <c r="D51" s="40"/>
    </row>
    <row r="52" spans="2:4" s="4" customFormat="1" hidden="1" x14ac:dyDescent="0.25">
      <c r="B52" s="39"/>
      <c r="C52" s="25"/>
      <c r="D52" s="40"/>
    </row>
    <row r="53" spans="2:4" s="4" customFormat="1" hidden="1" x14ac:dyDescent="0.25">
      <c r="B53" s="39"/>
      <c r="C53" s="25"/>
      <c r="D53" s="40"/>
    </row>
    <row r="54" spans="2:4" s="4" customFormat="1" hidden="1" x14ac:dyDescent="0.25">
      <c r="B54" s="39"/>
      <c r="C54" s="25"/>
      <c r="D54" s="40"/>
    </row>
    <row r="55" spans="2:4" s="4" customFormat="1" hidden="1" x14ac:dyDescent="0.25">
      <c r="B55" s="39"/>
      <c r="C55" s="25"/>
      <c r="D55" s="40"/>
    </row>
    <row r="56" spans="2:4" s="4" customFormat="1" hidden="1" x14ac:dyDescent="0.25">
      <c r="B56" s="39"/>
      <c r="C56" s="25"/>
      <c r="D56" s="40"/>
    </row>
    <row r="57" spans="2:4" s="4" customFormat="1" hidden="1" x14ac:dyDescent="0.25">
      <c r="B57" s="39"/>
      <c r="C57" s="25"/>
      <c r="D57" s="40"/>
    </row>
    <row r="58" spans="2:4" s="4" customFormat="1" hidden="1" x14ac:dyDescent="0.25">
      <c r="B58" s="39"/>
      <c r="C58" s="25"/>
      <c r="D58" s="40"/>
    </row>
    <row r="59" spans="2:4" s="4" customFormat="1" hidden="1" x14ac:dyDescent="0.25">
      <c r="B59" s="39"/>
      <c r="C59" s="25"/>
      <c r="D59" s="40"/>
    </row>
    <row r="60" spans="2:4" s="4" customFormat="1" hidden="1" x14ac:dyDescent="0.25">
      <c r="B60" s="39"/>
      <c r="C60" s="25"/>
      <c r="D60" s="40"/>
    </row>
    <row r="61" spans="2:4" s="4" customFormat="1" hidden="1" x14ac:dyDescent="0.25">
      <c r="B61" s="39"/>
      <c r="C61" s="25"/>
      <c r="D61" s="40"/>
    </row>
    <row r="62" spans="2:4" s="4" customFormat="1" hidden="1" x14ac:dyDescent="0.25">
      <c r="B62" s="39"/>
      <c r="C62" s="25"/>
      <c r="D62" s="40"/>
    </row>
    <row r="63" spans="2:4" s="4" customFormat="1" hidden="1" x14ac:dyDescent="0.25">
      <c r="B63" s="44"/>
      <c r="C63" s="45"/>
      <c r="D63" s="46"/>
    </row>
    <row r="64" spans="2:4" s="4" customFormat="1" x14ac:dyDescent="0.25">
      <c r="B64" s="25"/>
      <c r="C64" s="25"/>
      <c r="D64" s="25"/>
    </row>
    <row r="65" spans="2:4" s="4" customFormat="1" x14ac:dyDescent="0.25">
      <c r="B65" s="25"/>
      <c r="C65" s="25"/>
      <c r="D65" s="25"/>
    </row>
    <row r="66" spans="2:4" s="4" customFormat="1" x14ac:dyDescent="0.25">
      <c r="B66" s="25"/>
      <c r="C66" s="25"/>
      <c r="D66" s="25"/>
    </row>
    <row r="67" spans="2:4" s="4" customFormat="1" x14ac:dyDescent="0.25">
      <c r="B67" s="25"/>
      <c r="C67" s="25"/>
      <c r="D67" s="25"/>
    </row>
    <row r="68" spans="2:4" s="4" customFormat="1" x14ac:dyDescent="0.25">
      <c r="B68" s="25"/>
      <c r="C68" s="25"/>
      <c r="D68" s="25"/>
    </row>
    <row r="69" spans="2:4" s="4" customFormat="1" x14ac:dyDescent="0.25">
      <c r="B69" s="25"/>
      <c r="C69" s="25"/>
      <c r="D69" s="25"/>
    </row>
    <row r="70" spans="2:4" s="4" customFormat="1" x14ac:dyDescent="0.25">
      <c r="B70" s="25"/>
      <c r="C70" s="25"/>
      <c r="D70" s="25"/>
    </row>
    <row r="71" spans="2:4" s="4" customFormat="1" x14ac:dyDescent="0.25">
      <c r="B71" s="25"/>
      <c r="C71" s="25"/>
      <c r="D71" s="25"/>
    </row>
    <row r="72" spans="2:4" s="4" customFormat="1" x14ac:dyDescent="0.25">
      <c r="B72" s="25"/>
      <c r="C72" s="25"/>
      <c r="D72" s="25"/>
    </row>
    <row r="73" spans="2:4" s="4" customFormat="1" x14ac:dyDescent="0.25">
      <c r="B73" s="25"/>
      <c r="C73" s="25"/>
      <c r="D73" s="25"/>
    </row>
    <row r="74" spans="2:4" s="4" customFormat="1" x14ac:dyDescent="0.25">
      <c r="B74" s="25"/>
      <c r="C74" s="25"/>
      <c r="D74" s="25"/>
    </row>
    <row r="75" spans="2:4" s="4" customFormat="1" x14ac:dyDescent="0.25">
      <c r="B75" s="25"/>
      <c r="C75" s="25"/>
      <c r="D75" s="25"/>
    </row>
    <row r="76" spans="2:4" s="4" customFormat="1" x14ac:dyDescent="0.25">
      <c r="B76" s="25"/>
      <c r="C76" s="25"/>
      <c r="D76" s="25"/>
    </row>
    <row r="77" spans="2:4" s="4" customFormat="1" x14ac:dyDescent="0.25">
      <c r="B77" s="25"/>
      <c r="C77" s="25"/>
      <c r="D77" s="25"/>
    </row>
    <row r="78" spans="2:4" s="4" customFormat="1" x14ac:dyDescent="0.25">
      <c r="B78" s="25"/>
      <c r="C78" s="25"/>
      <c r="D78" s="25"/>
    </row>
    <row r="79" spans="2:4" s="4" customFormat="1" x14ac:dyDescent="0.25">
      <c r="B79" s="25"/>
      <c r="C79" s="25"/>
      <c r="D79" s="25"/>
    </row>
    <row r="80" spans="2:4" s="4" customFormat="1" x14ac:dyDescent="0.25">
      <c r="B80" s="25"/>
      <c r="C80" s="25"/>
      <c r="D80" s="25"/>
    </row>
    <row r="81" spans="2:4" s="4" customFormat="1" x14ac:dyDescent="0.25">
      <c r="B81" s="25"/>
      <c r="C81" s="25"/>
      <c r="D81" s="25"/>
    </row>
    <row r="82" spans="2:4" s="4" customFormat="1" x14ac:dyDescent="0.25">
      <c r="B82" s="25"/>
      <c r="C82" s="25"/>
      <c r="D82" s="25"/>
    </row>
    <row r="83" spans="2:4" s="4" customFormat="1" x14ac:dyDescent="0.25">
      <c r="B83" s="25"/>
      <c r="C83" s="25"/>
      <c r="D83" s="25"/>
    </row>
    <row r="84" spans="2:4" s="4" customFormat="1" x14ac:dyDescent="0.25">
      <c r="B84" s="25"/>
      <c r="C84" s="25"/>
      <c r="D84" s="25"/>
    </row>
    <row r="85" spans="2:4" s="4" customFormat="1" x14ac:dyDescent="0.25">
      <c r="B85" s="25"/>
      <c r="C85" s="25"/>
      <c r="D85" s="25"/>
    </row>
    <row r="86" spans="2:4" s="4" customFormat="1" x14ac:dyDescent="0.25">
      <c r="B86" s="25"/>
      <c r="C86" s="25"/>
      <c r="D86" s="25"/>
    </row>
    <row r="87" spans="2:4" s="4" customFormat="1" x14ac:dyDescent="0.25">
      <c r="B87" s="25"/>
      <c r="C87" s="25"/>
      <c r="D87" s="25"/>
    </row>
    <row r="88" spans="2:4" s="4" customFormat="1" x14ac:dyDescent="0.25">
      <c r="B88" s="25"/>
      <c r="C88" s="25"/>
      <c r="D88" s="25"/>
    </row>
    <row r="89" spans="2:4" s="4" customFormat="1" x14ac:dyDescent="0.25">
      <c r="B89" s="25"/>
      <c r="C89" s="25"/>
      <c r="D89" s="25"/>
    </row>
    <row r="90" spans="2:4" s="4" customFormat="1" x14ac:dyDescent="0.25">
      <c r="B90" s="25"/>
      <c r="C90" s="25"/>
      <c r="D90" s="25"/>
    </row>
    <row r="91" spans="2:4" s="4" customFormat="1" x14ac:dyDescent="0.25">
      <c r="B91" s="25"/>
      <c r="C91" s="25"/>
      <c r="D91" s="25"/>
    </row>
    <row r="92" spans="2:4" s="4" customFormat="1" x14ac:dyDescent="0.25">
      <c r="B92" s="25"/>
      <c r="C92" s="25"/>
      <c r="D92" s="25"/>
    </row>
    <row r="93" spans="2:4" s="4" customFormat="1" x14ac:dyDescent="0.25">
      <c r="B93" s="25"/>
      <c r="C93" s="25"/>
      <c r="D93" s="25"/>
    </row>
    <row r="94" spans="2:4" s="4" customFormat="1" x14ac:dyDescent="0.25">
      <c r="B94" s="25"/>
      <c r="C94" s="25"/>
      <c r="D94" s="25"/>
    </row>
    <row r="95" spans="2:4" s="4" customFormat="1" x14ac:dyDescent="0.25">
      <c r="B95" s="25"/>
      <c r="C95" s="25"/>
      <c r="D95" s="25"/>
    </row>
    <row r="96" spans="2:4" s="4" customFormat="1" x14ac:dyDescent="0.25">
      <c r="B96" s="25"/>
      <c r="C96" s="25"/>
      <c r="D96" s="25"/>
    </row>
    <row r="97" spans="2:4" s="4" customFormat="1" x14ac:dyDescent="0.25">
      <c r="B97" s="25"/>
      <c r="C97" s="25"/>
      <c r="D97" s="25"/>
    </row>
    <row r="98" spans="2:4" s="4" customFormat="1" x14ac:dyDescent="0.25">
      <c r="B98" s="25"/>
      <c r="C98" s="25"/>
      <c r="D98" s="25"/>
    </row>
    <row r="99" spans="2:4" s="4" customFormat="1" x14ac:dyDescent="0.25">
      <c r="B99" s="25"/>
      <c r="C99" s="25"/>
      <c r="D99" s="25"/>
    </row>
    <row r="100" spans="2:4" s="4" customFormat="1" x14ac:dyDescent="0.25">
      <c r="B100" s="25"/>
      <c r="C100" s="25"/>
      <c r="D100" s="25"/>
    </row>
    <row r="101" spans="2:4" s="4" customFormat="1" x14ac:dyDescent="0.25">
      <c r="B101" s="25"/>
      <c r="C101" s="25"/>
      <c r="D101" s="25"/>
    </row>
    <row r="102" spans="2:4" s="4" customFormat="1" x14ac:dyDescent="0.25">
      <c r="B102" s="25"/>
      <c r="C102" s="25"/>
      <c r="D102" s="25"/>
    </row>
    <row r="103" spans="2:4" s="4" customFormat="1" x14ac:dyDescent="0.25">
      <c r="B103" s="25"/>
      <c r="C103" s="25"/>
      <c r="D103" s="25"/>
    </row>
    <row r="104" spans="2:4" s="4" customFormat="1" x14ac:dyDescent="0.25">
      <c r="B104" s="25"/>
      <c r="C104" s="25"/>
      <c r="D104" s="25"/>
    </row>
    <row r="105" spans="2:4" s="4" customFormat="1" x14ac:dyDescent="0.25">
      <c r="B105" s="25"/>
      <c r="C105" s="25"/>
      <c r="D105" s="25"/>
    </row>
    <row r="106" spans="2:4" s="4" customFormat="1" x14ac:dyDescent="0.25">
      <c r="B106" s="25"/>
      <c r="C106" s="25"/>
      <c r="D106" s="25"/>
    </row>
    <row r="107" spans="2:4" s="4" customFormat="1" x14ac:dyDescent="0.25">
      <c r="B107" s="25"/>
      <c r="C107" s="25"/>
      <c r="D107" s="25"/>
    </row>
    <row r="108" spans="2:4" s="4" customFormat="1" x14ac:dyDescent="0.25">
      <c r="B108" s="25"/>
      <c r="C108" s="25"/>
      <c r="D108" s="25"/>
    </row>
    <row r="109" spans="2:4" s="4" customFormat="1" x14ac:dyDescent="0.25">
      <c r="B109" s="25"/>
      <c r="C109" s="25"/>
      <c r="D109" s="25"/>
    </row>
    <row r="110" spans="2:4" s="4" customFormat="1" x14ac:dyDescent="0.25">
      <c r="B110" s="25"/>
      <c r="C110" s="25"/>
      <c r="D110" s="25"/>
    </row>
    <row r="111" spans="2:4" s="4" customFormat="1" x14ac:dyDescent="0.25">
      <c r="B111" s="25"/>
      <c r="C111" s="25"/>
      <c r="D111" s="25"/>
    </row>
    <row r="112" spans="2:4" s="4" customFormat="1" x14ac:dyDescent="0.25">
      <c r="B112" s="25"/>
      <c r="C112" s="25"/>
      <c r="D112" s="25"/>
    </row>
    <row r="113" spans="2:4" s="4" customFormat="1" x14ac:dyDescent="0.25">
      <c r="B113" s="25"/>
      <c r="C113" s="25"/>
      <c r="D113" s="25"/>
    </row>
    <row r="114" spans="2:4" s="4" customFormat="1" x14ac:dyDescent="0.25">
      <c r="B114" s="25"/>
      <c r="C114" s="25"/>
      <c r="D114" s="25"/>
    </row>
    <row r="115" spans="2:4" s="4" customFormat="1" x14ac:dyDescent="0.25">
      <c r="B115" s="25"/>
      <c r="C115" s="25"/>
      <c r="D115" s="25"/>
    </row>
    <row r="116" spans="2:4" s="4" customFormat="1" x14ac:dyDescent="0.25">
      <c r="B116" s="25"/>
      <c r="C116" s="25"/>
      <c r="D116" s="25"/>
    </row>
    <row r="117" spans="2:4" s="4" customFormat="1" x14ac:dyDescent="0.25">
      <c r="B117" s="25"/>
      <c r="C117" s="25"/>
      <c r="D117" s="25"/>
    </row>
    <row r="118" spans="2:4" s="4" customFormat="1" x14ac:dyDescent="0.25">
      <c r="B118" s="25"/>
      <c r="C118" s="25"/>
      <c r="D118" s="25"/>
    </row>
    <row r="119" spans="2:4" s="4" customFormat="1" x14ac:dyDescent="0.25">
      <c r="B119" s="25"/>
      <c r="C119" s="25"/>
      <c r="D119" s="25"/>
    </row>
    <row r="120" spans="2:4" s="4" customFormat="1" x14ac:dyDescent="0.25">
      <c r="B120" s="25"/>
      <c r="C120" s="25"/>
      <c r="D120" s="25"/>
    </row>
    <row r="121" spans="2:4" s="4" customFormat="1" x14ac:dyDescent="0.25">
      <c r="B121" s="25"/>
      <c r="C121" s="25"/>
      <c r="D121" s="25"/>
    </row>
    <row r="122" spans="2:4" s="4" customFormat="1" x14ac:dyDescent="0.25">
      <c r="B122" s="25"/>
      <c r="C122" s="25"/>
      <c r="D122" s="25"/>
    </row>
    <row r="123" spans="2:4" s="4" customFormat="1" x14ac:dyDescent="0.25">
      <c r="B123" s="25"/>
      <c r="C123" s="25"/>
      <c r="D123" s="25"/>
    </row>
    <row r="124" spans="2:4" s="4" customFormat="1" x14ac:dyDescent="0.25">
      <c r="B124" s="25"/>
      <c r="C124" s="25"/>
      <c r="D124" s="25"/>
    </row>
    <row r="125" spans="2:4" s="4" customFormat="1" x14ac:dyDescent="0.25">
      <c r="B125" s="25"/>
      <c r="C125" s="25"/>
      <c r="D125" s="25"/>
    </row>
    <row r="126" spans="2:4" s="4" customFormat="1" x14ac:dyDescent="0.25">
      <c r="B126" s="25"/>
      <c r="C126" s="25"/>
      <c r="D126" s="25"/>
    </row>
    <row r="127" spans="2:4" s="4" customFormat="1" x14ac:dyDescent="0.25">
      <c r="B127" s="25"/>
      <c r="C127" s="25"/>
      <c r="D127" s="25"/>
    </row>
    <row r="128" spans="2:4" s="4" customFormat="1" x14ac:dyDescent="0.25">
      <c r="B128" s="25"/>
      <c r="C128" s="25"/>
      <c r="D128" s="25"/>
    </row>
    <row r="129" spans="2:4" s="4" customFormat="1" x14ac:dyDescent="0.25">
      <c r="B129" s="25"/>
      <c r="C129" s="25"/>
      <c r="D129" s="25"/>
    </row>
    <row r="130" spans="2:4" s="4" customFormat="1" x14ac:dyDescent="0.25">
      <c r="B130" s="25"/>
      <c r="C130" s="25"/>
      <c r="D130" s="25"/>
    </row>
    <row r="131" spans="2:4" s="4" customFormat="1" x14ac:dyDescent="0.25">
      <c r="B131" s="25"/>
      <c r="C131" s="25"/>
      <c r="D131" s="25"/>
    </row>
    <row r="132" spans="2:4" s="4" customFormat="1" x14ac:dyDescent="0.25">
      <c r="B132" s="25"/>
      <c r="C132" s="25"/>
      <c r="D132" s="25"/>
    </row>
    <row r="133" spans="2:4" s="4" customFormat="1" x14ac:dyDescent="0.25">
      <c r="B133" s="25"/>
      <c r="C133" s="25"/>
      <c r="D133" s="25"/>
    </row>
    <row r="134" spans="2:4" s="4" customFormat="1" x14ac:dyDescent="0.25">
      <c r="B134" s="25"/>
      <c r="C134" s="25"/>
      <c r="D134" s="25"/>
    </row>
    <row r="135" spans="2:4" s="4" customFormat="1" x14ac:dyDescent="0.25">
      <c r="B135" s="25"/>
      <c r="C135" s="25"/>
      <c r="D135" s="25"/>
    </row>
    <row r="136" spans="2:4" s="4" customFormat="1" x14ac:dyDescent="0.25">
      <c r="B136" s="25"/>
      <c r="C136" s="25"/>
      <c r="D136" s="25"/>
    </row>
    <row r="137" spans="2:4" s="4" customFormat="1" x14ac:dyDescent="0.25">
      <c r="B137" s="25"/>
      <c r="C137" s="25"/>
      <c r="D137" s="25"/>
    </row>
    <row r="138" spans="2:4" s="4" customFormat="1" x14ac:dyDescent="0.25">
      <c r="B138" s="25"/>
      <c r="C138" s="25"/>
      <c r="D138" s="25"/>
    </row>
    <row r="139" spans="2:4" s="4" customFormat="1" x14ac:dyDescent="0.25">
      <c r="B139" s="25"/>
      <c r="C139" s="25"/>
      <c r="D139" s="25"/>
    </row>
    <row r="140" spans="2:4" s="4" customFormat="1" x14ac:dyDescent="0.25">
      <c r="B140" s="25"/>
      <c r="C140" s="25"/>
      <c r="D140" s="25"/>
    </row>
    <row r="141" spans="2:4" s="4" customFormat="1" x14ac:dyDescent="0.25">
      <c r="B141" s="25"/>
      <c r="C141" s="25"/>
      <c r="D141" s="25"/>
    </row>
    <row r="142" spans="2:4" s="4" customFormat="1" x14ac:dyDescent="0.25">
      <c r="B142" s="25"/>
      <c r="C142" s="25"/>
      <c r="D142" s="25"/>
    </row>
    <row r="143" spans="2:4" s="4" customFormat="1" x14ac:dyDescent="0.25">
      <c r="B143" s="25"/>
      <c r="C143" s="25"/>
      <c r="D143" s="25"/>
    </row>
    <row r="144" spans="2:4" s="4" customFormat="1" x14ac:dyDescent="0.25">
      <c r="B144" s="25"/>
      <c r="C144" s="25"/>
      <c r="D144" s="25"/>
    </row>
    <row r="145" spans="2:4" s="4" customFormat="1" x14ac:dyDescent="0.25">
      <c r="B145" s="25"/>
      <c r="C145" s="25"/>
      <c r="D145" s="25"/>
    </row>
    <row r="146" spans="2:4" s="4" customFormat="1" x14ac:dyDescent="0.25">
      <c r="B146" s="25"/>
      <c r="C146" s="25"/>
      <c r="D146" s="25"/>
    </row>
    <row r="147" spans="2:4" s="4" customFormat="1" x14ac:dyDescent="0.25">
      <c r="B147" s="25"/>
      <c r="C147" s="25"/>
      <c r="D147" s="25"/>
    </row>
    <row r="148" spans="2:4" s="4" customFormat="1" x14ac:dyDescent="0.25">
      <c r="B148" s="25"/>
      <c r="C148" s="25"/>
      <c r="D148" s="25"/>
    </row>
    <row r="149" spans="2:4" s="4" customFormat="1" x14ac:dyDescent="0.25">
      <c r="B149" s="25"/>
      <c r="C149" s="25"/>
      <c r="D149" s="25"/>
    </row>
    <row r="150" spans="2:4" s="4" customFormat="1" x14ac:dyDescent="0.25">
      <c r="B150" s="25"/>
      <c r="C150" s="25"/>
      <c r="D150" s="25"/>
    </row>
    <row r="151" spans="2:4" s="4" customFormat="1" x14ac:dyDescent="0.25">
      <c r="B151" s="25"/>
      <c r="C151" s="25"/>
      <c r="D151" s="25"/>
    </row>
    <row r="152" spans="2:4" s="4" customFormat="1" x14ac:dyDescent="0.25">
      <c r="B152" s="25"/>
      <c r="C152" s="25"/>
      <c r="D152" s="25"/>
    </row>
    <row r="153" spans="2:4" s="4" customFormat="1" x14ac:dyDescent="0.25">
      <c r="B153" s="25"/>
      <c r="C153" s="25"/>
      <c r="D153" s="25"/>
    </row>
    <row r="154" spans="2:4" s="4" customFormat="1" x14ac:dyDescent="0.25">
      <c r="B154" s="25"/>
      <c r="C154" s="25"/>
      <c r="D154" s="25"/>
    </row>
    <row r="155" spans="2:4" s="4" customFormat="1" x14ac:dyDescent="0.25">
      <c r="B155" s="25"/>
      <c r="C155" s="25"/>
      <c r="D155" s="25"/>
    </row>
    <row r="156" spans="2:4" s="4" customFormat="1" x14ac:dyDescent="0.25">
      <c r="B156" s="25"/>
      <c r="C156" s="25"/>
      <c r="D156" s="25"/>
    </row>
    <row r="157" spans="2:4" s="4" customFormat="1" x14ac:dyDescent="0.25">
      <c r="B157" s="25"/>
      <c r="C157" s="25"/>
      <c r="D157" s="25"/>
    </row>
    <row r="158" spans="2:4" s="4" customFormat="1" x14ac:dyDescent="0.25">
      <c r="B158" s="25"/>
      <c r="C158" s="25"/>
      <c r="D158" s="25"/>
    </row>
    <row r="159" spans="2:4" s="4" customFormat="1" x14ac:dyDescent="0.25">
      <c r="B159" s="25"/>
      <c r="C159" s="25"/>
      <c r="D159" s="25"/>
    </row>
    <row r="160" spans="2:4" s="4" customFormat="1" x14ac:dyDescent="0.25">
      <c r="B160" s="25"/>
      <c r="C160" s="25"/>
      <c r="D160" s="25"/>
    </row>
    <row r="161" spans="2:4" s="4" customFormat="1" x14ac:dyDescent="0.25">
      <c r="B161" s="25"/>
      <c r="C161" s="25"/>
      <c r="D161" s="25"/>
    </row>
    <row r="162" spans="2:4" s="4" customFormat="1" x14ac:dyDescent="0.25">
      <c r="B162" s="25"/>
      <c r="C162" s="25"/>
      <c r="D162" s="25"/>
    </row>
    <row r="163" spans="2:4" s="4" customFormat="1" x14ac:dyDescent="0.25">
      <c r="B163" s="25"/>
      <c r="C163" s="25"/>
      <c r="D163" s="25"/>
    </row>
    <row r="164" spans="2:4" s="4" customFormat="1" x14ac:dyDescent="0.25">
      <c r="B164" s="25"/>
      <c r="C164" s="25"/>
      <c r="D164" s="25"/>
    </row>
    <row r="165" spans="2:4" s="4" customFormat="1" x14ac:dyDescent="0.25">
      <c r="B165" s="25"/>
      <c r="C165" s="25"/>
      <c r="D165" s="25"/>
    </row>
    <row r="166" spans="2:4" s="4" customFormat="1" x14ac:dyDescent="0.25">
      <c r="B166" s="25"/>
      <c r="C166" s="25"/>
      <c r="D166" s="25"/>
    </row>
    <row r="167" spans="2:4" s="4" customFormat="1" x14ac:dyDescent="0.25">
      <c r="B167" s="25"/>
      <c r="C167" s="25"/>
      <c r="D167" s="25"/>
    </row>
    <row r="168" spans="2:4" s="4" customFormat="1" x14ac:dyDescent="0.25">
      <c r="B168" s="25"/>
      <c r="C168" s="25"/>
      <c r="D168" s="25"/>
    </row>
    <row r="169" spans="2:4" s="4" customFormat="1" x14ac:dyDescent="0.25">
      <c r="B169" s="25"/>
      <c r="C169" s="25"/>
      <c r="D169" s="25"/>
    </row>
    <row r="170" spans="2:4" s="4" customFormat="1" x14ac:dyDescent="0.25">
      <c r="B170" s="25"/>
      <c r="C170" s="25"/>
      <c r="D170" s="25"/>
    </row>
    <row r="171" spans="2:4" s="4" customFormat="1" x14ac:dyDescent="0.25">
      <c r="B171" s="25"/>
      <c r="C171" s="25"/>
      <c r="D171" s="25"/>
    </row>
    <row r="172" spans="2:4" s="4" customFormat="1" x14ac:dyDescent="0.25">
      <c r="B172" s="25"/>
      <c r="C172" s="25"/>
      <c r="D172" s="25"/>
    </row>
    <row r="173" spans="2:4" s="4" customFormat="1" x14ac:dyDescent="0.25">
      <c r="B173" s="25"/>
      <c r="C173" s="25"/>
      <c r="D173" s="25"/>
    </row>
    <row r="174" spans="2:4" s="4" customFormat="1" x14ac:dyDescent="0.25">
      <c r="B174" s="25"/>
      <c r="C174" s="25"/>
      <c r="D174" s="25"/>
    </row>
    <row r="175" spans="2:4" s="4" customFormat="1" x14ac:dyDescent="0.25">
      <c r="B175" s="25"/>
      <c r="C175" s="25"/>
      <c r="D175" s="25"/>
    </row>
    <row r="176" spans="2:4" s="4" customFormat="1" x14ac:dyDescent="0.25">
      <c r="B176" s="25"/>
      <c r="C176" s="25"/>
      <c r="D176" s="25"/>
    </row>
    <row r="177" spans="2:4" s="4" customFormat="1" x14ac:dyDescent="0.25">
      <c r="B177" s="25"/>
      <c r="C177" s="25"/>
      <c r="D177" s="25"/>
    </row>
    <row r="178" spans="2:4" s="4" customFormat="1" x14ac:dyDescent="0.25">
      <c r="B178" s="25"/>
      <c r="C178" s="25"/>
      <c r="D178" s="25"/>
    </row>
    <row r="179" spans="2:4" s="4" customFormat="1" x14ac:dyDescent="0.25">
      <c r="B179" s="25"/>
      <c r="C179" s="25"/>
      <c r="D179" s="25"/>
    </row>
    <row r="180" spans="2:4" s="4" customFormat="1" x14ac:dyDescent="0.25">
      <c r="B180" s="25"/>
      <c r="C180" s="25"/>
      <c r="D180" s="25"/>
    </row>
    <row r="181" spans="2:4" s="4" customFormat="1" x14ac:dyDescent="0.25">
      <c r="B181" s="25"/>
      <c r="C181" s="25"/>
      <c r="D181" s="25"/>
    </row>
    <row r="182" spans="2:4" s="4" customFormat="1" x14ac:dyDescent="0.25">
      <c r="B182" s="25"/>
      <c r="C182" s="25"/>
      <c r="D182" s="25"/>
    </row>
    <row r="183" spans="2:4" s="4" customFormat="1" x14ac:dyDescent="0.25">
      <c r="B183" s="25"/>
      <c r="C183" s="25"/>
      <c r="D183" s="25"/>
    </row>
    <row r="184" spans="2:4" s="4" customFormat="1" x14ac:dyDescent="0.25">
      <c r="B184" s="25"/>
      <c r="C184" s="25"/>
      <c r="D184" s="25"/>
    </row>
    <row r="185" spans="2:4" s="4" customFormat="1" x14ac:dyDescent="0.25">
      <c r="B185" s="25"/>
      <c r="C185" s="25"/>
      <c r="D185" s="25"/>
    </row>
    <row r="186" spans="2:4" s="4" customFormat="1" x14ac:dyDescent="0.25">
      <c r="B186" s="25"/>
      <c r="C186" s="25"/>
      <c r="D186" s="25"/>
    </row>
    <row r="187" spans="2:4" s="4" customFormat="1" x14ac:dyDescent="0.25">
      <c r="B187" s="25"/>
      <c r="C187" s="25"/>
      <c r="D187" s="25"/>
    </row>
    <row r="188" spans="2:4" s="4" customFormat="1" x14ac:dyDescent="0.25">
      <c r="B188" s="25"/>
      <c r="C188" s="25"/>
      <c r="D188" s="25"/>
    </row>
    <row r="189" spans="2:4" s="4" customFormat="1" x14ac:dyDescent="0.25">
      <c r="B189" s="25"/>
      <c r="C189" s="25"/>
      <c r="D189" s="25"/>
    </row>
    <row r="190" spans="2:4" s="4" customFormat="1" x14ac:dyDescent="0.25">
      <c r="B190" s="25"/>
      <c r="C190" s="25"/>
      <c r="D190" s="25"/>
    </row>
    <row r="191" spans="2:4" s="4" customFormat="1" x14ac:dyDescent="0.25">
      <c r="B191" s="25"/>
      <c r="C191" s="25"/>
      <c r="D191" s="25"/>
    </row>
    <row r="192" spans="2:4" s="4" customFormat="1" x14ac:dyDescent="0.25">
      <c r="B192" s="25"/>
      <c r="C192" s="25"/>
      <c r="D192" s="25"/>
    </row>
    <row r="193" spans="2:4" s="4" customFormat="1" x14ac:dyDescent="0.25">
      <c r="B193" s="25"/>
      <c r="C193" s="25"/>
      <c r="D193" s="25"/>
    </row>
    <row r="194" spans="2:4" s="4" customFormat="1" x14ac:dyDescent="0.25">
      <c r="B194" s="25"/>
      <c r="C194" s="25"/>
      <c r="D194" s="25"/>
    </row>
    <row r="195" spans="2:4" s="4" customFormat="1" x14ac:dyDescent="0.25">
      <c r="B195" s="25"/>
      <c r="C195" s="25"/>
      <c r="D195" s="25"/>
    </row>
    <row r="196" spans="2:4" s="4" customFormat="1" x14ac:dyDescent="0.25">
      <c r="B196" s="25"/>
      <c r="C196" s="25"/>
      <c r="D196" s="25"/>
    </row>
    <row r="197" spans="2:4" s="4" customFormat="1" x14ac:dyDescent="0.25">
      <c r="B197" s="25"/>
      <c r="C197" s="25"/>
      <c r="D197" s="25"/>
    </row>
    <row r="198" spans="2:4" s="4" customFormat="1" x14ac:dyDescent="0.25">
      <c r="B198" s="25"/>
      <c r="C198" s="25"/>
      <c r="D198" s="25"/>
    </row>
    <row r="199" spans="2:4" s="4" customFormat="1" x14ac:dyDescent="0.25">
      <c r="B199" s="25"/>
      <c r="C199" s="25"/>
      <c r="D199" s="25"/>
    </row>
    <row r="200" spans="2:4" s="4" customFormat="1" x14ac:dyDescent="0.25">
      <c r="B200" s="25"/>
      <c r="C200" s="25"/>
      <c r="D200" s="25"/>
    </row>
    <row r="201" spans="2:4" s="4" customFormat="1" x14ac:dyDescent="0.25">
      <c r="B201" s="25"/>
      <c r="C201" s="25"/>
      <c r="D201" s="25"/>
    </row>
    <row r="202" spans="2:4" s="4" customFormat="1" x14ac:dyDescent="0.25">
      <c r="B202" s="25"/>
      <c r="C202" s="25"/>
      <c r="D202" s="25"/>
    </row>
    <row r="203" spans="2:4" s="4" customFormat="1" x14ac:dyDescent="0.25">
      <c r="B203" s="25"/>
      <c r="C203" s="25"/>
      <c r="D203" s="25"/>
    </row>
    <row r="204" spans="2:4" s="4" customFormat="1" x14ac:dyDescent="0.25">
      <c r="B204" s="25"/>
      <c r="C204" s="25"/>
      <c r="D204" s="25"/>
    </row>
    <row r="205" spans="2:4" s="4" customFormat="1" x14ac:dyDescent="0.25">
      <c r="B205" s="25"/>
      <c r="C205" s="25"/>
      <c r="D205" s="25"/>
    </row>
    <row r="206" spans="2:4" s="4" customFormat="1" x14ac:dyDescent="0.25">
      <c r="B206" s="25"/>
      <c r="C206" s="25"/>
      <c r="D206" s="25"/>
    </row>
    <row r="207" spans="2:4" s="4" customFormat="1" x14ac:dyDescent="0.25">
      <c r="B207" s="25"/>
      <c r="C207" s="25"/>
      <c r="D207" s="25"/>
    </row>
    <row r="208" spans="2:4" s="4" customFormat="1" x14ac:dyDescent="0.25">
      <c r="B208" s="25"/>
      <c r="C208" s="25"/>
      <c r="D208" s="25"/>
    </row>
    <row r="209" spans="2:4" s="4" customFormat="1" x14ac:dyDescent="0.25">
      <c r="B209" s="25"/>
      <c r="C209" s="25"/>
      <c r="D209" s="25"/>
    </row>
    <row r="210" spans="2:4" s="4" customFormat="1" x14ac:dyDescent="0.25">
      <c r="B210" s="25"/>
      <c r="C210" s="25"/>
      <c r="D210" s="25"/>
    </row>
    <row r="211" spans="2:4" s="4" customFormat="1" x14ac:dyDescent="0.25">
      <c r="B211" s="25"/>
      <c r="C211" s="25"/>
      <c r="D211" s="25"/>
    </row>
    <row r="212" spans="2:4" s="4" customFormat="1" x14ac:dyDescent="0.25">
      <c r="B212" s="25"/>
      <c r="C212" s="25"/>
      <c r="D212" s="25"/>
    </row>
    <row r="213" spans="2:4" s="4" customFormat="1" x14ac:dyDescent="0.25">
      <c r="B213" s="25"/>
      <c r="C213" s="25"/>
      <c r="D213" s="25"/>
    </row>
    <row r="214" spans="2:4" s="4" customFormat="1" x14ac:dyDescent="0.25">
      <c r="B214" s="25"/>
      <c r="C214" s="25"/>
      <c r="D214" s="25"/>
    </row>
    <row r="215" spans="2:4" s="4" customFormat="1" x14ac:dyDescent="0.25">
      <c r="B215" s="25"/>
      <c r="C215" s="25"/>
      <c r="D215" s="25"/>
    </row>
    <row r="216" spans="2:4" s="4" customFormat="1" x14ac:dyDescent="0.25">
      <c r="B216" s="25"/>
      <c r="C216" s="25"/>
      <c r="D216" s="25"/>
    </row>
    <row r="217" spans="2:4" s="4" customFormat="1" x14ac:dyDescent="0.25">
      <c r="B217" s="25"/>
      <c r="C217" s="25"/>
      <c r="D217" s="25"/>
    </row>
    <row r="218" spans="2:4" s="4" customFormat="1" x14ac:dyDescent="0.25">
      <c r="B218" s="25"/>
      <c r="C218" s="25"/>
      <c r="D218" s="25"/>
    </row>
    <row r="219" spans="2:4" s="4" customFormat="1" x14ac:dyDescent="0.25">
      <c r="B219" s="25"/>
      <c r="C219" s="25"/>
      <c r="D219" s="25"/>
    </row>
    <row r="220" spans="2:4" s="4" customFormat="1" x14ac:dyDescent="0.25">
      <c r="B220" s="25"/>
      <c r="C220" s="25"/>
      <c r="D220" s="25"/>
    </row>
    <row r="221" spans="2:4" s="4" customFormat="1" x14ac:dyDescent="0.25">
      <c r="B221" s="25"/>
      <c r="C221" s="25"/>
      <c r="D221" s="25"/>
    </row>
    <row r="222" spans="2:4" s="4" customFormat="1" x14ac:dyDescent="0.25">
      <c r="B222" s="25"/>
      <c r="C222" s="25"/>
      <c r="D222" s="25"/>
    </row>
    <row r="223" spans="2:4" s="4" customFormat="1" x14ac:dyDescent="0.25">
      <c r="B223" s="25"/>
      <c r="C223" s="25"/>
      <c r="D223" s="25"/>
    </row>
    <row r="224" spans="2:4" s="4" customFormat="1" x14ac:dyDescent="0.25">
      <c r="B224" s="25"/>
      <c r="C224" s="25"/>
      <c r="D224" s="25"/>
    </row>
    <row r="225" spans="2:4" s="4" customFormat="1" x14ac:dyDescent="0.25">
      <c r="B225" s="25"/>
      <c r="C225" s="25"/>
      <c r="D225" s="25"/>
    </row>
    <row r="226" spans="2:4" s="4" customFormat="1" x14ac:dyDescent="0.25">
      <c r="B226" s="25"/>
      <c r="C226" s="25"/>
      <c r="D226" s="25"/>
    </row>
    <row r="227" spans="2:4" s="4" customFormat="1" x14ac:dyDescent="0.25">
      <c r="B227" s="25"/>
      <c r="C227" s="25"/>
      <c r="D227" s="25"/>
    </row>
    <row r="228" spans="2:4" s="4" customFormat="1" x14ac:dyDescent="0.25">
      <c r="B228" s="25"/>
      <c r="C228" s="25"/>
      <c r="D228" s="25"/>
    </row>
    <row r="229" spans="2:4" s="4" customFormat="1" x14ac:dyDescent="0.25">
      <c r="B229" s="25"/>
      <c r="C229" s="25"/>
      <c r="D229" s="25"/>
    </row>
    <row r="230" spans="2:4" s="4" customFormat="1" x14ac:dyDescent="0.25">
      <c r="B230" s="25"/>
      <c r="C230" s="25"/>
      <c r="D230" s="25"/>
    </row>
    <row r="231" spans="2:4" s="4" customFormat="1" x14ac:dyDescent="0.25">
      <c r="B231" s="25"/>
      <c r="C231" s="25"/>
      <c r="D231" s="25"/>
    </row>
    <row r="232" spans="2:4" s="4" customFormat="1" x14ac:dyDescent="0.25">
      <c r="B232" s="25"/>
      <c r="C232" s="25"/>
      <c r="D232" s="25"/>
    </row>
    <row r="233" spans="2:4" s="4" customFormat="1" x14ac:dyDescent="0.25">
      <c r="B233" s="25"/>
      <c r="C233" s="25"/>
      <c r="D233" s="25"/>
    </row>
    <row r="234" spans="2:4" s="4" customFormat="1" x14ac:dyDescent="0.25">
      <c r="B234" s="25"/>
      <c r="C234" s="25"/>
      <c r="D234" s="25"/>
    </row>
    <row r="235" spans="2:4" s="4" customFormat="1" x14ac:dyDescent="0.25">
      <c r="B235" s="25"/>
      <c r="C235" s="25"/>
      <c r="D235" s="25"/>
    </row>
    <row r="236" spans="2:4" s="4" customFormat="1" x14ac:dyDescent="0.25">
      <c r="B236" s="25"/>
      <c r="C236" s="25"/>
      <c r="D236" s="25"/>
    </row>
    <row r="237" spans="2:4" s="4" customFormat="1" x14ac:dyDescent="0.25">
      <c r="B237" s="25"/>
      <c r="C237" s="25"/>
      <c r="D237" s="25"/>
    </row>
    <row r="238" spans="2:4" s="4" customFormat="1" x14ac:dyDescent="0.25">
      <c r="B238" s="25"/>
      <c r="C238" s="25"/>
      <c r="D238" s="25"/>
    </row>
    <row r="239" spans="2:4" s="4" customFormat="1" x14ac:dyDescent="0.25">
      <c r="B239" s="25"/>
      <c r="C239" s="25"/>
      <c r="D239" s="25"/>
    </row>
    <row r="240" spans="2:4" s="4" customFormat="1" x14ac:dyDescent="0.25">
      <c r="B240" s="25"/>
      <c r="C240" s="25"/>
      <c r="D240" s="25"/>
    </row>
    <row r="241" spans="2:4" s="4" customFormat="1" x14ac:dyDescent="0.25">
      <c r="B241" s="25"/>
      <c r="C241" s="25"/>
      <c r="D241" s="25"/>
    </row>
    <row r="242" spans="2:4" s="4" customFormat="1" x14ac:dyDescent="0.25">
      <c r="B242" s="25"/>
      <c r="C242" s="25"/>
      <c r="D242" s="25"/>
    </row>
    <row r="243" spans="2:4" s="4" customFormat="1" x14ac:dyDescent="0.25">
      <c r="B243" s="25"/>
      <c r="C243" s="25"/>
      <c r="D243" s="25"/>
    </row>
    <row r="244" spans="2:4" s="4" customFormat="1" x14ac:dyDescent="0.25">
      <c r="B244" s="25"/>
      <c r="C244" s="25"/>
      <c r="D244" s="25"/>
    </row>
    <row r="245" spans="2:4" s="4" customFormat="1" x14ac:dyDescent="0.25">
      <c r="B245" s="25"/>
      <c r="C245" s="25"/>
      <c r="D245" s="25"/>
    </row>
    <row r="246" spans="2:4" s="4" customFormat="1" x14ac:dyDescent="0.25">
      <c r="B246" s="25"/>
      <c r="C246" s="25"/>
      <c r="D246" s="25"/>
    </row>
    <row r="247" spans="2:4" s="4" customFormat="1" x14ac:dyDescent="0.25">
      <c r="B247" s="25"/>
      <c r="C247" s="25"/>
      <c r="D247" s="25"/>
    </row>
    <row r="248" spans="2:4" s="4" customFormat="1" x14ac:dyDescent="0.25">
      <c r="B248" s="25"/>
      <c r="C248" s="25"/>
      <c r="D248" s="25"/>
    </row>
    <row r="249" spans="2:4" s="4" customFormat="1" x14ac:dyDescent="0.25">
      <c r="B249" s="25"/>
      <c r="C249" s="25"/>
      <c r="D249" s="25"/>
    </row>
    <row r="250" spans="2:4" s="4" customFormat="1" x14ac:dyDescent="0.25">
      <c r="B250" s="25"/>
      <c r="C250" s="25"/>
      <c r="D250" s="25"/>
    </row>
    <row r="251" spans="2:4" s="4" customFormat="1" x14ac:dyDescent="0.25">
      <c r="B251" s="25"/>
      <c r="C251" s="25"/>
      <c r="D251" s="25"/>
    </row>
    <row r="252" spans="2:4" s="4" customFormat="1" x14ac:dyDescent="0.25">
      <c r="B252" s="25"/>
      <c r="C252" s="25"/>
      <c r="D252" s="25"/>
    </row>
    <row r="253" spans="2:4" s="4" customFormat="1" x14ac:dyDescent="0.25">
      <c r="B253" s="25"/>
      <c r="C253" s="25"/>
      <c r="D253" s="25"/>
    </row>
    <row r="254" spans="2:4" s="4" customFormat="1" x14ac:dyDescent="0.25">
      <c r="B254" s="25"/>
      <c r="C254" s="25"/>
      <c r="D254"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59"/>
  <sheetViews>
    <sheetView showGridLines="0" tabSelected="1" topLeftCell="X652" zoomScale="85" zoomScaleNormal="85" workbookViewId="0">
      <selection activeCell="B7" sqref="B7:AA656"/>
    </sheetView>
  </sheetViews>
  <sheetFormatPr defaultColWidth="8.5703125" defaultRowHeight="15" x14ac:dyDescent="0.25"/>
  <cols>
    <col min="1" max="1" width="3.140625" style="38" customWidth="1"/>
    <col min="2" max="2" width="40.5703125" style="30" bestFit="1" customWidth="1"/>
    <col min="3" max="3" width="49.7109375" style="29" customWidth="1"/>
    <col min="4" max="4" width="30.42578125" style="29" customWidth="1"/>
    <col min="5" max="5" width="35.7109375" style="29" customWidth="1"/>
    <col min="6" max="6" width="45" style="29" customWidth="1"/>
    <col min="7" max="7" width="36.42578125" style="29" customWidth="1"/>
    <col min="8" max="8" width="60.42578125" style="29" customWidth="1"/>
    <col min="9" max="9" width="21.42578125" style="29" customWidth="1"/>
    <col min="10" max="10" width="25.42578125" style="29" customWidth="1"/>
    <col min="11" max="11" width="18.28515625" style="29" customWidth="1"/>
    <col min="12" max="12" width="19.85546875" style="26" customWidth="1"/>
    <col min="13" max="13" width="58" style="30" customWidth="1"/>
    <col min="14" max="14" width="37.5703125" style="27" customWidth="1"/>
    <col min="15" max="15" width="17.140625" style="28" customWidth="1"/>
    <col min="16" max="16" width="148.7109375" style="30" customWidth="1"/>
    <col min="17" max="17" width="42.7109375" style="24" customWidth="1"/>
    <col min="18" max="18" width="30.5703125" style="29" customWidth="1"/>
    <col min="19" max="19" width="50.85546875" style="30" customWidth="1"/>
    <col min="20" max="20" width="50.7109375" style="29" customWidth="1"/>
    <col min="21" max="21" width="52.7109375" style="26" customWidth="1"/>
    <col min="22" max="22" width="230.7109375" style="26" customWidth="1"/>
    <col min="23" max="23" width="44.7109375" style="26" customWidth="1"/>
    <col min="24" max="24" width="72.85546875" style="29" customWidth="1"/>
    <col min="25" max="25" width="60" style="27" customWidth="1"/>
    <col min="26" max="26" width="76" style="30" customWidth="1"/>
    <col min="27" max="27" width="71.85546875" style="24" customWidth="1"/>
    <col min="28" max="28" width="87.7109375" style="24" customWidth="1"/>
    <col min="29" max="29" width="52" style="26" customWidth="1"/>
    <col min="30" max="30" width="119.28515625" style="24" customWidth="1"/>
    <col min="31" max="31" width="77.85546875" style="24" customWidth="1"/>
    <col min="32" max="16384" width="8.5703125" style="24"/>
  </cols>
  <sheetData>
    <row r="3" spans="1:29" x14ac:dyDescent="0.2">
      <c r="A3" s="37"/>
      <c r="B3" s="31"/>
      <c r="C3" s="32"/>
      <c r="D3" s="32"/>
      <c r="E3" s="32"/>
      <c r="F3" s="32"/>
      <c r="G3" s="32"/>
      <c r="H3" s="32"/>
      <c r="I3" s="32"/>
      <c r="J3" s="32"/>
      <c r="K3" s="32"/>
      <c r="L3" s="33"/>
      <c r="M3" s="31"/>
      <c r="N3" s="34"/>
      <c r="O3" s="35"/>
      <c r="P3" s="31"/>
      <c r="Q3" s="36"/>
      <c r="R3" s="32"/>
      <c r="S3" s="31"/>
      <c r="T3" s="32"/>
      <c r="U3" s="33"/>
      <c r="V3" s="33"/>
      <c r="W3" s="33"/>
      <c r="X3" s="32"/>
      <c r="Y3" s="34"/>
      <c r="Z3" s="31"/>
    </row>
    <row r="5" spans="1:29" s="26" customFormat="1" ht="30" customHeight="1" x14ac:dyDescent="0.25">
      <c r="B5" s="346" t="s">
        <v>101</v>
      </c>
      <c r="C5" s="347"/>
      <c r="D5" s="347"/>
      <c r="E5" s="347"/>
      <c r="F5" s="347"/>
      <c r="G5" s="347"/>
      <c r="H5" s="347"/>
      <c r="I5" s="347"/>
      <c r="J5" s="347"/>
      <c r="K5" s="347"/>
      <c r="L5" s="347"/>
      <c r="M5" s="347"/>
      <c r="N5" s="347"/>
      <c r="O5" s="347"/>
      <c r="P5" s="348"/>
      <c r="Q5" s="351" t="s">
        <v>102</v>
      </c>
      <c r="R5" s="352"/>
      <c r="S5" s="353" t="s">
        <v>103</v>
      </c>
      <c r="T5" s="354"/>
      <c r="U5" s="354"/>
      <c r="V5" s="354"/>
      <c r="W5" s="354"/>
      <c r="X5" s="340" t="s">
        <v>104</v>
      </c>
      <c r="Y5" s="341"/>
      <c r="Z5" s="341"/>
      <c r="AA5" s="342"/>
    </row>
    <row r="6" spans="1:29" ht="30" customHeight="1" x14ac:dyDescent="0.25">
      <c r="B6" s="349" t="s">
        <v>105</v>
      </c>
      <c r="C6" s="350"/>
      <c r="D6" s="350"/>
      <c r="E6" s="350"/>
      <c r="F6" s="350"/>
      <c r="G6" s="350"/>
      <c r="H6" s="350"/>
      <c r="I6" s="350"/>
      <c r="J6" s="350"/>
      <c r="K6" s="350"/>
      <c r="L6" s="350"/>
      <c r="M6" s="350"/>
      <c r="N6" s="350"/>
      <c r="O6" s="350"/>
      <c r="P6" s="350"/>
      <c r="Q6" s="351" t="s">
        <v>106</v>
      </c>
      <c r="R6" s="352"/>
      <c r="S6" s="353" t="s">
        <v>107</v>
      </c>
      <c r="T6" s="354"/>
      <c r="U6" s="354"/>
      <c r="V6" s="355"/>
      <c r="W6" s="59" t="s">
        <v>108</v>
      </c>
      <c r="X6" s="343" t="s">
        <v>109</v>
      </c>
      <c r="Y6" s="344"/>
      <c r="Z6" s="344"/>
      <c r="AA6" s="345"/>
    </row>
    <row r="7" spans="1:29" s="76" customFormat="1" ht="39.75" customHeight="1" x14ac:dyDescent="0.25">
      <c r="B7" s="47" t="s">
        <v>110</v>
      </c>
      <c r="C7" s="47" t="s">
        <v>111</v>
      </c>
      <c r="D7" s="47" t="s">
        <v>112</v>
      </c>
      <c r="E7" s="47" t="s">
        <v>113</v>
      </c>
      <c r="F7" s="47" t="s">
        <v>114</v>
      </c>
      <c r="G7" s="47" t="s">
        <v>115</v>
      </c>
      <c r="H7" s="47" t="s">
        <v>116</v>
      </c>
      <c r="I7" s="47" t="s">
        <v>117</v>
      </c>
      <c r="J7" s="47" t="s">
        <v>118</v>
      </c>
      <c r="K7" s="47" t="s">
        <v>119</v>
      </c>
      <c r="L7" s="47" t="s">
        <v>120</v>
      </c>
      <c r="M7" s="47" t="s">
        <v>121</v>
      </c>
      <c r="N7" s="47" t="s">
        <v>122</v>
      </c>
      <c r="O7" s="47" t="s">
        <v>123</v>
      </c>
      <c r="P7" s="47" t="s">
        <v>124</v>
      </c>
      <c r="Q7" s="47" t="s">
        <v>125</v>
      </c>
      <c r="R7" s="47" t="s">
        <v>126</v>
      </c>
      <c r="S7" s="47" t="s">
        <v>127</v>
      </c>
      <c r="T7" s="47" t="s">
        <v>128</v>
      </c>
      <c r="U7" s="47" t="s">
        <v>129</v>
      </c>
      <c r="V7" s="47" t="s">
        <v>130</v>
      </c>
      <c r="W7" s="47" t="s">
        <v>131</v>
      </c>
      <c r="X7" s="47" t="s">
        <v>132</v>
      </c>
      <c r="Y7" s="47" t="s">
        <v>133</v>
      </c>
      <c r="Z7" s="47" t="s">
        <v>134</v>
      </c>
      <c r="AA7" s="87" t="s">
        <v>135</v>
      </c>
    </row>
    <row r="8" spans="1:29" ht="245.25" customHeight="1" x14ac:dyDescent="0.25">
      <c r="B8" s="52" t="s">
        <v>4</v>
      </c>
      <c r="C8" s="52" t="s">
        <v>136</v>
      </c>
      <c r="D8" s="52" t="s">
        <v>5</v>
      </c>
      <c r="E8" s="53">
        <v>1</v>
      </c>
      <c r="F8" s="52" t="s">
        <v>137</v>
      </c>
      <c r="G8" s="52" t="s">
        <v>138</v>
      </c>
      <c r="H8" s="52" t="s">
        <v>139</v>
      </c>
      <c r="I8" s="53">
        <v>1</v>
      </c>
      <c r="J8" s="52" t="s">
        <v>140</v>
      </c>
      <c r="K8" s="53">
        <v>4</v>
      </c>
      <c r="L8" s="53"/>
      <c r="M8" s="54" t="s">
        <v>141</v>
      </c>
      <c r="N8" s="54"/>
      <c r="O8" s="53" t="s">
        <v>142</v>
      </c>
      <c r="P8" s="55"/>
      <c r="Q8" s="56" t="s">
        <v>143</v>
      </c>
      <c r="R8" s="56" t="s">
        <v>144</v>
      </c>
      <c r="S8" s="56" t="s">
        <v>145</v>
      </c>
      <c r="T8" s="56" t="s">
        <v>146</v>
      </c>
      <c r="U8" s="56" t="s">
        <v>147</v>
      </c>
      <c r="V8" s="56" t="s">
        <v>148</v>
      </c>
      <c r="W8" s="53"/>
      <c r="X8" s="56" t="s">
        <v>149</v>
      </c>
      <c r="Y8" s="54" t="s">
        <v>150</v>
      </c>
      <c r="Z8" s="54" t="s">
        <v>150</v>
      </c>
      <c r="AA8" s="62" t="s">
        <v>151</v>
      </c>
      <c r="AC8" s="24"/>
    </row>
    <row r="9" spans="1:29" ht="211.5" customHeight="1" x14ac:dyDescent="0.25">
      <c r="B9" s="52" t="s">
        <v>4</v>
      </c>
      <c r="C9" s="52" t="s">
        <v>136</v>
      </c>
      <c r="D9" s="52" t="s">
        <v>5</v>
      </c>
      <c r="E9" s="53">
        <v>1</v>
      </c>
      <c r="F9" s="52" t="s">
        <v>152</v>
      </c>
      <c r="G9" s="52" t="s">
        <v>153</v>
      </c>
      <c r="H9" s="52" t="s">
        <v>139</v>
      </c>
      <c r="I9" s="53">
        <v>2</v>
      </c>
      <c r="J9" s="52" t="s">
        <v>140</v>
      </c>
      <c r="K9" s="53">
        <v>30</v>
      </c>
      <c r="L9" s="53"/>
      <c r="M9" s="54" t="s">
        <v>154</v>
      </c>
      <c r="N9" s="54" t="s">
        <v>155</v>
      </c>
      <c r="O9" s="53" t="s">
        <v>142</v>
      </c>
      <c r="P9" s="55"/>
      <c r="Q9" s="56" t="s">
        <v>143</v>
      </c>
      <c r="R9" s="56" t="s">
        <v>144</v>
      </c>
      <c r="S9" s="56" t="s">
        <v>156</v>
      </c>
      <c r="T9" s="56" t="s">
        <v>157</v>
      </c>
      <c r="U9" s="56" t="s">
        <v>158</v>
      </c>
      <c r="V9" s="56" t="s">
        <v>159</v>
      </c>
      <c r="W9" s="53"/>
      <c r="X9" s="56" t="s">
        <v>160</v>
      </c>
      <c r="Y9" s="54" t="s">
        <v>161</v>
      </c>
      <c r="Z9" s="54" t="s">
        <v>162</v>
      </c>
      <c r="AA9" s="62" t="s">
        <v>163</v>
      </c>
      <c r="AC9" s="24"/>
    </row>
    <row r="10" spans="1:29" ht="181.5" customHeight="1" x14ac:dyDescent="0.25">
      <c r="B10" s="52" t="s">
        <v>4</v>
      </c>
      <c r="C10" s="52" t="s">
        <v>136</v>
      </c>
      <c r="D10" s="52" t="s">
        <v>5</v>
      </c>
      <c r="E10" s="53">
        <v>1</v>
      </c>
      <c r="F10" s="52" t="s">
        <v>164</v>
      </c>
      <c r="G10" s="52" t="s">
        <v>165</v>
      </c>
      <c r="H10" s="55" t="s">
        <v>166</v>
      </c>
      <c r="I10" s="53">
        <v>3</v>
      </c>
      <c r="J10" s="52" t="s">
        <v>140</v>
      </c>
      <c r="K10" s="53">
        <v>20</v>
      </c>
      <c r="L10" s="53"/>
      <c r="M10" s="54" t="s">
        <v>167</v>
      </c>
      <c r="N10" s="54" t="s">
        <v>168</v>
      </c>
      <c r="O10" s="53"/>
      <c r="P10" s="54" t="s">
        <v>169</v>
      </c>
      <c r="Q10" s="56"/>
      <c r="R10" s="52"/>
      <c r="S10" s="56" t="s">
        <v>170</v>
      </c>
      <c r="T10" s="56" t="s">
        <v>146</v>
      </c>
      <c r="U10" s="56" t="s">
        <v>147</v>
      </c>
      <c r="V10" s="56" t="s">
        <v>171</v>
      </c>
      <c r="W10" s="53"/>
      <c r="X10" s="56" t="s">
        <v>150</v>
      </c>
      <c r="Y10" s="56" t="s">
        <v>150</v>
      </c>
      <c r="Z10" s="56" t="s">
        <v>150</v>
      </c>
      <c r="AA10" s="62" t="s">
        <v>150</v>
      </c>
      <c r="AC10" s="24"/>
    </row>
    <row r="11" spans="1:29" ht="165.75" customHeight="1" x14ac:dyDescent="0.25">
      <c r="B11" s="52" t="s">
        <v>4</v>
      </c>
      <c r="C11" s="52" t="s">
        <v>136</v>
      </c>
      <c r="D11" s="52" t="s">
        <v>5</v>
      </c>
      <c r="E11" s="53">
        <v>1</v>
      </c>
      <c r="F11" s="52" t="s">
        <v>172</v>
      </c>
      <c r="G11" s="52" t="s">
        <v>173</v>
      </c>
      <c r="H11" s="55" t="s">
        <v>166</v>
      </c>
      <c r="I11" s="53">
        <v>4</v>
      </c>
      <c r="J11" s="52" t="s">
        <v>140</v>
      </c>
      <c r="K11" s="53">
        <v>20</v>
      </c>
      <c r="L11" s="53"/>
      <c r="M11" s="54" t="s">
        <v>174</v>
      </c>
      <c r="N11" s="54" t="s">
        <v>175</v>
      </c>
      <c r="O11" s="53"/>
      <c r="P11" s="54" t="s">
        <v>176</v>
      </c>
      <c r="Q11" s="56" t="s">
        <v>177</v>
      </c>
      <c r="R11" s="56" t="s">
        <v>178</v>
      </c>
      <c r="S11" s="56" t="s">
        <v>156</v>
      </c>
      <c r="T11" s="56" t="s">
        <v>179</v>
      </c>
      <c r="U11" s="56" t="s">
        <v>180</v>
      </c>
      <c r="V11" s="56" t="s">
        <v>181</v>
      </c>
      <c r="W11" s="53"/>
      <c r="X11" s="56" t="s">
        <v>160</v>
      </c>
      <c r="Y11" s="90" t="s">
        <v>182</v>
      </c>
      <c r="Z11" s="90" t="s">
        <v>183</v>
      </c>
      <c r="AA11" s="62" t="s">
        <v>163</v>
      </c>
      <c r="AC11" s="24"/>
    </row>
    <row r="12" spans="1:29" ht="173.25" customHeight="1" x14ac:dyDescent="0.25">
      <c r="B12" s="52" t="s">
        <v>4</v>
      </c>
      <c r="C12" s="52" t="s">
        <v>136</v>
      </c>
      <c r="D12" s="52" t="s">
        <v>5</v>
      </c>
      <c r="E12" s="53">
        <v>1</v>
      </c>
      <c r="F12" s="52" t="s">
        <v>184</v>
      </c>
      <c r="G12" s="52" t="s">
        <v>185</v>
      </c>
      <c r="H12" s="55" t="s">
        <v>166</v>
      </c>
      <c r="I12" s="53">
        <v>5</v>
      </c>
      <c r="J12" s="52" t="s">
        <v>140</v>
      </c>
      <c r="K12" s="53">
        <v>3</v>
      </c>
      <c r="L12" s="53"/>
      <c r="M12" s="54" t="s">
        <v>186</v>
      </c>
      <c r="N12" s="54" t="s">
        <v>187</v>
      </c>
      <c r="O12" s="53"/>
      <c r="P12" s="54" t="s">
        <v>188</v>
      </c>
      <c r="Q12" s="56" t="s">
        <v>177</v>
      </c>
      <c r="R12" s="56" t="s">
        <v>189</v>
      </c>
      <c r="S12" s="56" t="s">
        <v>156</v>
      </c>
      <c r="T12" s="56" t="s">
        <v>179</v>
      </c>
      <c r="U12" s="56" t="s">
        <v>190</v>
      </c>
      <c r="V12" s="56" t="s">
        <v>191</v>
      </c>
      <c r="W12" s="53"/>
      <c r="X12" s="56" t="s">
        <v>160</v>
      </c>
      <c r="Y12" s="90" t="s">
        <v>182</v>
      </c>
      <c r="Z12" s="90" t="s">
        <v>192</v>
      </c>
      <c r="AA12" s="62" t="s">
        <v>163</v>
      </c>
      <c r="AC12" s="24"/>
    </row>
    <row r="13" spans="1:29" ht="209.25" customHeight="1" x14ac:dyDescent="0.25">
      <c r="B13" s="52" t="s">
        <v>4</v>
      </c>
      <c r="C13" s="52" t="s">
        <v>136</v>
      </c>
      <c r="D13" s="52" t="s">
        <v>5</v>
      </c>
      <c r="E13" s="53">
        <v>1</v>
      </c>
      <c r="F13" s="52" t="s">
        <v>193</v>
      </c>
      <c r="G13" s="52" t="s">
        <v>194</v>
      </c>
      <c r="H13" s="55" t="s">
        <v>166</v>
      </c>
      <c r="I13" s="53">
        <v>6</v>
      </c>
      <c r="J13" s="52" t="s">
        <v>140</v>
      </c>
      <c r="K13" s="53">
        <v>4</v>
      </c>
      <c r="L13" s="53"/>
      <c r="M13" s="79" t="s">
        <v>195</v>
      </c>
      <c r="N13" s="54"/>
      <c r="O13" s="53"/>
      <c r="P13" s="52"/>
      <c r="Q13" s="56" t="s">
        <v>196</v>
      </c>
      <c r="R13" s="56" t="s">
        <v>197</v>
      </c>
      <c r="S13" s="56" t="s">
        <v>198</v>
      </c>
      <c r="T13" s="56" t="s">
        <v>199</v>
      </c>
      <c r="U13" s="54" t="s">
        <v>200</v>
      </c>
      <c r="V13" s="56" t="s">
        <v>201</v>
      </c>
      <c r="W13" s="55"/>
      <c r="X13" s="56" t="s">
        <v>149</v>
      </c>
      <c r="Y13" s="54" t="s">
        <v>150</v>
      </c>
      <c r="Z13" s="54" t="s">
        <v>150</v>
      </c>
      <c r="AA13" s="62" t="s">
        <v>202</v>
      </c>
      <c r="AC13" s="24"/>
    </row>
    <row r="14" spans="1:29" ht="187.5" customHeight="1" x14ac:dyDescent="0.25">
      <c r="B14" s="52" t="s">
        <v>4</v>
      </c>
      <c r="C14" s="52" t="s">
        <v>136</v>
      </c>
      <c r="D14" s="52" t="s">
        <v>5</v>
      </c>
      <c r="E14" s="53">
        <v>1</v>
      </c>
      <c r="F14" s="52" t="s">
        <v>203</v>
      </c>
      <c r="G14" s="52" t="s">
        <v>204</v>
      </c>
      <c r="H14" s="55" t="s">
        <v>166</v>
      </c>
      <c r="I14" s="53">
        <v>7</v>
      </c>
      <c r="J14" s="52" t="s">
        <v>140</v>
      </c>
      <c r="K14" s="53">
        <v>30</v>
      </c>
      <c r="L14" s="53"/>
      <c r="M14" s="54" t="s">
        <v>205</v>
      </c>
      <c r="N14" s="54" t="s">
        <v>206</v>
      </c>
      <c r="O14" s="53"/>
      <c r="P14" s="52"/>
      <c r="Q14" s="56" t="s">
        <v>196</v>
      </c>
      <c r="R14" s="56" t="s">
        <v>197</v>
      </c>
      <c r="S14" s="56" t="s">
        <v>207</v>
      </c>
      <c r="T14" s="56" t="s">
        <v>208</v>
      </c>
      <c r="U14" s="56" t="s">
        <v>209</v>
      </c>
      <c r="V14" s="56" t="s">
        <v>210</v>
      </c>
      <c r="W14" s="53"/>
      <c r="X14" s="56" t="s">
        <v>160</v>
      </c>
      <c r="Y14" s="54" t="s">
        <v>211</v>
      </c>
      <c r="Z14" s="54" t="s">
        <v>212</v>
      </c>
      <c r="AA14" s="62" t="s">
        <v>213</v>
      </c>
      <c r="AC14" s="24"/>
    </row>
    <row r="15" spans="1:29" ht="171.75" customHeight="1" x14ac:dyDescent="0.25">
      <c r="B15" s="52" t="s">
        <v>4</v>
      </c>
      <c r="C15" s="52" t="s">
        <v>136</v>
      </c>
      <c r="D15" s="52" t="s">
        <v>5</v>
      </c>
      <c r="E15" s="53">
        <v>1</v>
      </c>
      <c r="F15" s="52" t="s">
        <v>214</v>
      </c>
      <c r="G15" s="52" t="s">
        <v>215</v>
      </c>
      <c r="H15" s="55" t="s">
        <v>216</v>
      </c>
      <c r="I15" s="53">
        <v>8</v>
      </c>
      <c r="J15" s="52" t="s">
        <v>140</v>
      </c>
      <c r="K15" s="53">
        <v>10</v>
      </c>
      <c r="L15" s="53"/>
      <c r="M15" s="54" t="s">
        <v>217</v>
      </c>
      <c r="N15" s="54" t="s">
        <v>218</v>
      </c>
      <c r="O15" s="53"/>
      <c r="P15" s="55"/>
      <c r="Q15" s="56" t="s">
        <v>219</v>
      </c>
      <c r="R15" s="52" t="s">
        <v>214</v>
      </c>
      <c r="S15" s="56" t="s">
        <v>220</v>
      </c>
      <c r="T15" s="56" t="s">
        <v>221</v>
      </c>
      <c r="U15" s="90" t="s">
        <v>222</v>
      </c>
      <c r="V15" s="56" t="s">
        <v>223</v>
      </c>
      <c r="W15" s="53"/>
      <c r="X15" s="56" t="s">
        <v>149</v>
      </c>
      <c r="Y15" s="90" t="s">
        <v>224</v>
      </c>
      <c r="Z15" s="90" t="s">
        <v>225</v>
      </c>
      <c r="AA15" s="62" t="s">
        <v>150</v>
      </c>
      <c r="AC15" s="24"/>
    </row>
    <row r="16" spans="1:29" ht="234" customHeight="1" x14ac:dyDescent="0.25">
      <c r="B16" s="52" t="s">
        <v>4</v>
      </c>
      <c r="C16" s="52" t="s">
        <v>136</v>
      </c>
      <c r="D16" s="52" t="s">
        <v>5</v>
      </c>
      <c r="E16" s="53">
        <v>1</v>
      </c>
      <c r="F16" s="52" t="s">
        <v>226</v>
      </c>
      <c r="G16" s="52" t="s">
        <v>227</v>
      </c>
      <c r="H16" s="55" t="s">
        <v>216</v>
      </c>
      <c r="I16" s="53">
        <v>9</v>
      </c>
      <c r="J16" s="52" t="s">
        <v>140</v>
      </c>
      <c r="K16" s="53">
        <v>10</v>
      </c>
      <c r="L16" s="53"/>
      <c r="M16" s="54" t="s">
        <v>228</v>
      </c>
      <c r="N16" s="54" t="s">
        <v>229</v>
      </c>
      <c r="O16" s="53"/>
      <c r="P16" s="55"/>
      <c r="Q16" s="56" t="s">
        <v>230</v>
      </c>
      <c r="R16" s="52" t="s">
        <v>226</v>
      </c>
      <c r="S16" s="56" t="s">
        <v>231</v>
      </c>
      <c r="T16" s="56" t="s">
        <v>232</v>
      </c>
      <c r="U16" s="56" t="s">
        <v>233</v>
      </c>
      <c r="V16" s="56" t="s">
        <v>234</v>
      </c>
      <c r="W16" s="53"/>
      <c r="X16" s="56" t="s">
        <v>149</v>
      </c>
      <c r="Y16" s="54" t="s">
        <v>235</v>
      </c>
      <c r="Z16" s="54" t="s">
        <v>236</v>
      </c>
      <c r="AA16" s="62" t="s">
        <v>237</v>
      </c>
      <c r="AC16" s="24"/>
    </row>
    <row r="17" spans="2:29" ht="180" customHeight="1" x14ac:dyDescent="0.25">
      <c r="B17" s="52" t="s">
        <v>4</v>
      </c>
      <c r="C17" s="52" t="s">
        <v>136</v>
      </c>
      <c r="D17" s="52" t="s">
        <v>5</v>
      </c>
      <c r="E17" s="53">
        <v>1</v>
      </c>
      <c r="F17" s="52" t="s">
        <v>238</v>
      </c>
      <c r="G17" s="52" t="s">
        <v>239</v>
      </c>
      <c r="H17" s="55" t="s">
        <v>240</v>
      </c>
      <c r="I17" s="53">
        <v>10</v>
      </c>
      <c r="J17" s="52" t="s">
        <v>140</v>
      </c>
      <c r="K17" s="53">
        <v>3</v>
      </c>
      <c r="L17" s="53"/>
      <c r="M17" s="54" t="s">
        <v>241</v>
      </c>
      <c r="N17" s="54" t="s">
        <v>242</v>
      </c>
      <c r="O17" s="53"/>
      <c r="P17" s="54" t="s">
        <v>243</v>
      </c>
      <c r="Q17" s="56" t="s">
        <v>244</v>
      </c>
      <c r="R17" s="56" t="s">
        <v>245</v>
      </c>
      <c r="S17" s="56" t="s">
        <v>156</v>
      </c>
      <c r="T17" s="56" t="s">
        <v>246</v>
      </c>
      <c r="U17" s="56" t="s">
        <v>247</v>
      </c>
      <c r="V17" s="56" t="s">
        <v>248</v>
      </c>
      <c r="W17" s="53"/>
      <c r="X17" s="56" t="s">
        <v>249</v>
      </c>
      <c r="Y17" s="90" t="s">
        <v>250</v>
      </c>
      <c r="Z17" s="90" t="s">
        <v>251</v>
      </c>
      <c r="AA17" s="62" t="s">
        <v>252</v>
      </c>
      <c r="AC17" s="24"/>
    </row>
    <row r="18" spans="2:29" ht="180" customHeight="1" x14ac:dyDescent="0.25">
      <c r="B18" s="52" t="s">
        <v>4</v>
      </c>
      <c r="C18" s="52" t="s">
        <v>136</v>
      </c>
      <c r="D18" s="52" t="s">
        <v>5</v>
      </c>
      <c r="E18" s="53">
        <v>1</v>
      </c>
      <c r="F18" s="52" t="s">
        <v>253</v>
      </c>
      <c r="G18" s="52" t="s">
        <v>254</v>
      </c>
      <c r="H18" s="55" t="s">
        <v>255</v>
      </c>
      <c r="I18" s="53">
        <v>11</v>
      </c>
      <c r="J18" s="52" t="s">
        <v>140</v>
      </c>
      <c r="K18" s="53">
        <v>4</v>
      </c>
      <c r="L18" s="53"/>
      <c r="M18" s="54" t="s">
        <v>256</v>
      </c>
      <c r="N18" s="54"/>
      <c r="O18" s="53"/>
      <c r="P18" s="55"/>
      <c r="Q18" s="65"/>
      <c r="R18" s="63"/>
      <c r="S18" s="56" t="s">
        <v>220</v>
      </c>
      <c r="T18" s="56" t="s">
        <v>221</v>
      </c>
      <c r="U18" s="65" t="s">
        <v>257</v>
      </c>
      <c r="V18" s="65" t="s">
        <v>258</v>
      </c>
      <c r="W18" s="73"/>
      <c r="X18" s="56" t="s">
        <v>149</v>
      </c>
      <c r="Y18" s="54" t="s">
        <v>150</v>
      </c>
      <c r="Z18" s="54" t="s">
        <v>150</v>
      </c>
      <c r="AA18" s="62" t="s">
        <v>259</v>
      </c>
      <c r="AC18" s="24"/>
    </row>
    <row r="19" spans="2:29" ht="196.5" customHeight="1" x14ac:dyDescent="0.25">
      <c r="B19" s="52" t="s">
        <v>4</v>
      </c>
      <c r="C19" s="52" t="s">
        <v>136</v>
      </c>
      <c r="D19" s="52" t="s">
        <v>5</v>
      </c>
      <c r="E19" s="53">
        <v>1</v>
      </c>
      <c r="F19" s="52" t="s">
        <v>260</v>
      </c>
      <c r="G19" s="52" t="s">
        <v>261</v>
      </c>
      <c r="H19" s="52" t="s">
        <v>262</v>
      </c>
      <c r="I19" s="53">
        <v>12</v>
      </c>
      <c r="J19" s="52" t="s">
        <v>263</v>
      </c>
      <c r="K19" s="53">
        <v>23</v>
      </c>
      <c r="L19" s="53">
        <v>6</v>
      </c>
      <c r="M19" s="54" t="s">
        <v>264</v>
      </c>
      <c r="N19" s="54"/>
      <c r="O19" s="53"/>
      <c r="P19" s="55"/>
      <c r="Q19" s="56" t="s">
        <v>219</v>
      </c>
      <c r="R19" s="52" t="s">
        <v>265</v>
      </c>
      <c r="S19" s="56" t="s">
        <v>231</v>
      </c>
      <c r="T19" s="56" t="s">
        <v>266</v>
      </c>
      <c r="U19" s="56" t="s">
        <v>267</v>
      </c>
      <c r="V19" s="56" t="s">
        <v>268</v>
      </c>
      <c r="W19" s="53"/>
      <c r="X19" s="56" t="s">
        <v>149</v>
      </c>
      <c r="Y19" s="67" t="s">
        <v>269</v>
      </c>
      <c r="Z19" s="67" t="s">
        <v>270</v>
      </c>
      <c r="AA19" s="62" t="s">
        <v>271</v>
      </c>
      <c r="AC19" s="24"/>
    </row>
    <row r="20" spans="2:29" ht="211.5" customHeight="1" x14ac:dyDescent="0.25">
      <c r="B20" s="52" t="s">
        <v>4</v>
      </c>
      <c r="C20" s="52" t="s">
        <v>136</v>
      </c>
      <c r="D20" s="52" t="s">
        <v>5</v>
      </c>
      <c r="E20" s="53">
        <v>1</v>
      </c>
      <c r="F20" s="52" t="s">
        <v>272</v>
      </c>
      <c r="G20" s="52" t="s">
        <v>273</v>
      </c>
      <c r="H20" s="52" t="s">
        <v>262</v>
      </c>
      <c r="I20" s="53">
        <v>13</v>
      </c>
      <c r="J20" s="52" t="s">
        <v>263</v>
      </c>
      <c r="K20" s="53">
        <v>23</v>
      </c>
      <c r="L20" s="53">
        <v>6</v>
      </c>
      <c r="M20" s="54" t="s">
        <v>274</v>
      </c>
      <c r="N20" s="54"/>
      <c r="O20" s="53"/>
      <c r="P20" s="55"/>
      <c r="Q20" s="56"/>
      <c r="R20" s="52"/>
      <c r="S20" s="56" t="s">
        <v>231</v>
      </c>
      <c r="T20" s="56" t="s">
        <v>275</v>
      </c>
      <c r="U20" s="56" t="s">
        <v>276</v>
      </c>
      <c r="V20" s="56" t="s">
        <v>277</v>
      </c>
      <c r="W20" s="53"/>
      <c r="X20" s="56" t="s">
        <v>149</v>
      </c>
      <c r="Y20" s="67" t="s">
        <v>278</v>
      </c>
      <c r="Z20" s="67" t="s">
        <v>279</v>
      </c>
      <c r="AA20" s="62" t="s">
        <v>280</v>
      </c>
      <c r="AC20" s="24"/>
    </row>
    <row r="21" spans="2:29" ht="223.5" customHeight="1" x14ac:dyDescent="0.25">
      <c r="B21" s="52" t="s">
        <v>4</v>
      </c>
      <c r="C21" s="52" t="s">
        <v>136</v>
      </c>
      <c r="D21" s="52" t="s">
        <v>5</v>
      </c>
      <c r="E21" s="53">
        <v>1</v>
      </c>
      <c r="F21" s="52" t="s">
        <v>281</v>
      </c>
      <c r="G21" s="52" t="s">
        <v>282</v>
      </c>
      <c r="H21" s="52" t="s">
        <v>262</v>
      </c>
      <c r="I21" s="53">
        <v>14</v>
      </c>
      <c r="J21" s="52" t="s">
        <v>263</v>
      </c>
      <c r="K21" s="53">
        <v>23</v>
      </c>
      <c r="L21" s="53">
        <v>6</v>
      </c>
      <c r="M21" s="54" t="s">
        <v>283</v>
      </c>
      <c r="N21" s="54"/>
      <c r="O21" s="53"/>
      <c r="P21" s="55"/>
      <c r="Q21" s="54" t="s">
        <v>284</v>
      </c>
      <c r="R21" s="55" t="s">
        <v>285</v>
      </c>
      <c r="S21" s="56" t="s">
        <v>220</v>
      </c>
      <c r="T21" s="56" t="s">
        <v>221</v>
      </c>
      <c r="U21" s="56" t="s">
        <v>286</v>
      </c>
      <c r="V21" s="56" t="s">
        <v>287</v>
      </c>
      <c r="W21" s="53"/>
      <c r="X21" s="56" t="s">
        <v>149</v>
      </c>
      <c r="Y21" s="54" t="s">
        <v>288</v>
      </c>
      <c r="Z21" s="54" t="s">
        <v>289</v>
      </c>
      <c r="AA21" s="62" t="s">
        <v>290</v>
      </c>
      <c r="AC21" s="24"/>
    </row>
    <row r="22" spans="2:29" ht="168" customHeight="1" x14ac:dyDescent="0.25">
      <c r="B22" s="52" t="s">
        <v>4</v>
      </c>
      <c r="C22" s="52" t="s">
        <v>136</v>
      </c>
      <c r="D22" s="52" t="s">
        <v>5</v>
      </c>
      <c r="E22" s="53">
        <v>1</v>
      </c>
      <c r="F22" s="52" t="s">
        <v>291</v>
      </c>
      <c r="G22" s="52" t="s">
        <v>292</v>
      </c>
      <c r="H22" s="52" t="s">
        <v>262</v>
      </c>
      <c r="I22" s="53">
        <v>15</v>
      </c>
      <c r="J22" s="52" t="s">
        <v>263</v>
      </c>
      <c r="K22" s="53">
        <v>23</v>
      </c>
      <c r="L22" s="53">
        <v>6</v>
      </c>
      <c r="M22" s="54" t="s">
        <v>293</v>
      </c>
      <c r="N22" s="54"/>
      <c r="O22" s="53"/>
      <c r="P22" s="55"/>
      <c r="Q22" s="65"/>
      <c r="R22" s="63"/>
      <c r="S22" s="56" t="s">
        <v>294</v>
      </c>
      <c r="T22" s="56" t="s">
        <v>295</v>
      </c>
      <c r="U22" s="65" t="s">
        <v>296</v>
      </c>
      <c r="V22" s="65" t="s">
        <v>297</v>
      </c>
      <c r="W22" s="73"/>
      <c r="X22" s="56" t="s">
        <v>149</v>
      </c>
      <c r="Y22" s="54" t="s">
        <v>298</v>
      </c>
      <c r="Z22" s="54" t="s">
        <v>299</v>
      </c>
      <c r="AA22" s="62" t="s">
        <v>300</v>
      </c>
      <c r="AC22" s="24"/>
    </row>
    <row r="23" spans="2:29" ht="191.25" customHeight="1" x14ac:dyDescent="0.25">
      <c r="B23" s="52" t="s">
        <v>4</v>
      </c>
      <c r="C23" s="52" t="s">
        <v>136</v>
      </c>
      <c r="D23" s="52" t="s">
        <v>5</v>
      </c>
      <c r="E23" s="53">
        <v>1</v>
      </c>
      <c r="F23" s="52" t="s">
        <v>301</v>
      </c>
      <c r="G23" s="52" t="s">
        <v>302</v>
      </c>
      <c r="H23" s="55" t="s">
        <v>303</v>
      </c>
      <c r="I23" s="53">
        <v>16</v>
      </c>
      <c r="J23" s="52" t="s">
        <v>140</v>
      </c>
      <c r="K23" s="53">
        <v>3</v>
      </c>
      <c r="L23" s="53"/>
      <c r="M23" s="54" t="s">
        <v>304</v>
      </c>
      <c r="N23" s="54" t="s">
        <v>305</v>
      </c>
      <c r="O23" s="53"/>
      <c r="P23" s="54" t="s">
        <v>306</v>
      </c>
      <c r="Q23" s="56" t="s">
        <v>307</v>
      </c>
      <c r="R23" s="52" t="s">
        <v>308</v>
      </c>
      <c r="S23" s="56" t="s">
        <v>170</v>
      </c>
      <c r="T23" s="56" t="s">
        <v>146</v>
      </c>
      <c r="U23" s="56" t="s">
        <v>147</v>
      </c>
      <c r="V23" s="56" t="s">
        <v>309</v>
      </c>
      <c r="W23" s="53"/>
      <c r="X23" s="56" t="s">
        <v>149</v>
      </c>
      <c r="Y23" s="92" t="s">
        <v>224</v>
      </c>
      <c r="Z23" s="92" t="s">
        <v>310</v>
      </c>
      <c r="AA23" s="62" t="s">
        <v>150</v>
      </c>
      <c r="AC23" s="24"/>
    </row>
    <row r="24" spans="2:29" ht="228.75" customHeight="1" x14ac:dyDescent="0.25">
      <c r="B24" s="68" t="s">
        <v>4</v>
      </c>
      <c r="C24" s="68" t="s">
        <v>136</v>
      </c>
      <c r="D24" s="68" t="s">
        <v>5</v>
      </c>
      <c r="E24" s="80">
        <v>1</v>
      </c>
      <c r="F24" s="68" t="s">
        <v>311</v>
      </c>
      <c r="G24" s="68" t="s">
        <v>312</v>
      </c>
      <c r="H24" s="77" t="s">
        <v>303</v>
      </c>
      <c r="I24" s="80">
        <v>17</v>
      </c>
      <c r="J24" s="68" t="s">
        <v>140</v>
      </c>
      <c r="K24" s="80">
        <v>3</v>
      </c>
      <c r="L24" s="80"/>
      <c r="M24" s="75" t="s">
        <v>313</v>
      </c>
      <c r="N24" s="75" t="s">
        <v>314</v>
      </c>
      <c r="O24" s="80"/>
      <c r="P24" s="75" t="s">
        <v>315</v>
      </c>
      <c r="Q24" s="69" t="s">
        <v>219</v>
      </c>
      <c r="R24" s="68" t="s">
        <v>316</v>
      </c>
      <c r="S24" s="69" t="s">
        <v>170</v>
      </c>
      <c r="T24" s="69" t="s">
        <v>146</v>
      </c>
      <c r="U24" s="69" t="s">
        <v>317</v>
      </c>
      <c r="V24" s="69" t="s">
        <v>318</v>
      </c>
      <c r="W24" s="80"/>
      <c r="X24" s="69" t="s">
        <v>160</v>
      </c>
      <c r="Y24" s="209" t="s">
        <v>319</v>
      </c>
      <c r="Z24" s="209" t="s">
        <v>320</v>
      </c>
      <c r="AA24" s="78" t="s">
        <v>321</v>
      </c>
      <c r="AC24" s="24"/>
    </row>
    <row r="25" spans="2:29" ht="215.25" customHeight="1" x14ac:dyDescent="0.25">
      <c r="B25" s="52" t="s">
        <v>4</v>
      </c>
      <c r="C25" s="52" t="s">
        <v>136</v>
      </c>
      <c r="D25" s="52" t="s">
        <v>5</v>
      </c>
      <c r="E25" s="53">
        <v>1</v>
      </c>
      <c r="F25" s="52" t="s">
        <v>322</v>
      </c>
      <c r="G25" s="52" t="s">
        <v>323</v>
      </c>
      <c r="H25" s="52" t="s">
        <v>324</v>
      </c>
      <c r="I25" s="53">
        <v>18</v>
      </c>
      <c r="J25" s="52" t="s">
        <v>140</v>
      </c>
      <c r="K25" s="53">
        <v>2</v>
      </c>
      <c r="L25" s="53"/>
      <c r="M25" s="54" t="s">
        <v>325</v>
      </c>
      <c r="N25" s="54"/>
      <c r="O25" s="53"/>
      <c r="P25" s="54" t="s">
        <v>326</v>
      </c>
      <c r="Q25" s="56"/>
      <c r="R25" s="52"/>
      <c r="S25" s="56" t="s">
        <v>220</v>
      </c>
      <c r="T25" s="56" t="s">
        <v>221</v>
      </c>
      <c r="U25" s="56" t="s">
        <v>257</v>
      </c>
      <c r="V25" s="56" t="s">
        <v>327</v>
      </c>
      <c r="W25" s="53"/>
      <c r="X25" s="56" t="s">
        <v>149</v>
      </c>
      <c r="Y25" s="54" t="s">
        <v>150</v>
      </c>
      <c r="Z25" s="54" t="s">
        <v>150</v>
      </c>
      <c r="AA25" s="62" t="s">
        <v>328</v>
      </c>
      <c r="AC25" s="24"/>
    </row>
    <row r="26" spans="2:29" ht="174.75" customHeight="1" x14ac:dyDescent="0.25">
      <c r="B26" s="52" t="s">
        <v>4</v>
      </c>
      <c r="C26" s="52" t="s">
        <v>136</v>
      </c>
      <c r="D26" s="52" t="s">
        <v>5</v>
      </c>
      <c r="E26" s="53">
        <v>1</v>
      </c>
      <c r="F26" s="52" t="s">
        <v>329</v>
      </c>
      <c r="G26" s="52" t="s">
        <v>330</v>
      </c>
      <c r="H26" s="52" t="s">
        <v>331</v>
      </c>
      <c r="I26" s="53">
        <v>19</v>
      </c>
      <c r="J26" s="52" t="s">
        <v>140</v>
      </c>
      <c r="K26" s="53">
        <v>10</v>
      </c>
      <c r="L26" s="53"/>
      <c r="M26" s="54" t="s">
        <v>332</v>
      </c>
      <c r="N26" s="54" t="s">
        <v>333</v>
      </c>
      <c r="O26" s="53" t="s">
        <v>142</v>
      </c>
      <c r="P26" s="55"/>
      <c r="Q26" s="56"/>
      <c r="R26" s="52"/>
      <c r="S26" s="56" t="s">
        <v>220</v>
      </c>
      <c r="T26" s="56" t="s">
        <v>221</v>
      </c>
      <c r="U26" s="56" t="s">
        <v>334</v>
      </c>
      <c r="V26" s="56" t="s">
        <v>335</v>
      </c>
      <c r="W26" s="53"/>
      <c r="X26" s="54" t="s">
        <v>150</v>
      </c>
      <c r="Y26" s="54" t="s">
        <v>150</v>
      </c>
      <c r="Z26" s="54" t="s">
        <v>150</v>
      </c>
      <c r="AA26" s="62" t="s">
        <v>150</v>
      </c>
      <c r="AC26" s="24"/>
    </row>
    <row r="27" spans="2:29" ht="198" customHeight="1" x14ac:dyDescent="0.25">
      <c r="B27" s="52" t="s">
        <v>4</v>
      </c>
      <c r="C27" s="52" t="s">
        <v>136</v>
      </c>
      <c r="D27" s="52" t="s">
        <v>5</v>
      </c>
      <c r="E27" s="53">
        <v>1</v>
      </c>
      <c r="F27" s="52" t="s">
        <v>336</v>
      </c>
      <c r="G27" s="52" t="s">
        <v>337</v>
      </c>
      <c r="H27" s="52" t="s">
        <v>338</v>
      </c>
      <c r="I27" s="53">
        <v>20</v>
      </c>
      <c r="J27" s="52" t="s">
        <v>339</v>
      </c>
      <c r="K27" s="53">
        <v>23</v>
      </c>
      <c r="L27" s="53"/>
      <c r="M27" s="54" t="s">
        <v>340</v>
      </c>
      <c r="N27" s="54" t="s">
        <v>341</v>
      </c>
      <c r="O27" s="53"/>
      <c r="P27" s="55"/>
      <c r="Q27" s="56"/>
      <c r="R27" s="52"/>
      <c r="S27" s="56" t="s">
        <v>220</v>
      </c>
      <c r="T27" s="56" t="s">
        <v>221</v>
      </c>
      <c r="U27" s="56" t="s">
        <v>342</v>
      </c>
      <c r="V27" s="56" t="s">
        <v>343</v>
      </c>
      <c r="W27" s="53"/>
      <c r="X27" s="54" t="s">
        <v>150</v>
      </c>
      <c r="Y27" s="54" t="s">
        <v>150</v>
      </c>
      <c r="Z27" s="54" t="s">
        <v>150</v>
      </c>
      <c r="AA27" s="62" t="s">
        <v>150</v>
      </c>
      <c r="AC27" s="24"/>
    </row>
    <row r="28" spans="2:29" ht="173.25" customHeight="1" x14ac:dyDescent="0.25">
      <c r="B28" s="52" t="s">
        <v>7</v>
      </c>
      <c r="C28" s="52" t="s">
        <v>344</v>
      </c>
      <c r="D28" s="52" t="s">
        <v>8</v>
      </c>
      <c r="E28" s="53">
        <v>1</v>
      </c>
      <c r="F28" s="52" t="s">
        <v>137</v>
      </c>
      <c r="G28" s="52" t="s">
        <v>138</v>
      </c>
      <c r="H28" s="52" t="s">
        <v>139</v>
      </c>
      <c r="I28" s="53">
        <v>1</v>
      </c>
      <c r="J28" s="52" t="s">
        <v>140</v>
      </c>
      <c r="K28" s="53">
        <v>4</v>
      </c>
      <c r="L28" s="53"/>
      <c r="M28" s="54" t="s">
        <v>141</v>
      </c>
      <c r="N28" s="54"/>
      <c r="O28" s="53" t="s">
        <v>142</v>
      </c>
      <c r="P28" s="55"/>
      <c r="Q28" s="56" t="s">
        <v>345</v>
      </c>
      <c r="R28" s="56" t="s">
        <v>346</v>
      </c>
      <c r="S28" s="56" t="s">
        <v>347</v>
      </c>
      <c r="T28" s="54" t="s">
        <v>348</v>
      </c>
      <c r="U28" s="56" t="s">
        <v>349</v>
      </c>
      <c r="V28" s="56" t="s">
        <v>350</v>
      </c>
      <c r="W28" s="52" t="s">
        <v>351</v>
      </c>
      <c r="X28" s="52" t="s">
        <v>352</v>
      </c>
      <c r="Y28" s="81" t="s">
        <v>351</v>
      </c>
      <c r="Z28" s="81" t="s">
        <v>351</v>
      </c>
      <c r="AA28" s="53" t="s">
        <v>353</v>
      </c>
      <c r="AC28" s="24"/>
    </row>
    <row r="29" spans="2:29" ht="120" customHeight="1" x14ac:dyDescent="0.25">
      <c r="B29" s="52" t="s">
        <v>7</v>
      </c>
      <c r="C29" s="52" t="s">
        <v>344</v>
      </c>
      <c r="D29" s="52" t="s">
        <v>8</v>
      </c>
      <c r="E29" s="53">
        <v>1</v>
      </c>
      <c r="F29" s="52" t="s">
        <v>152</v>
      </c>
      <c r="G29" s="52" t="s">
        <v>153</v>
      </c>
      <c r="H29" s="52" t="s">
        <v>139</v>
      </c>
      <c r="I29" s="53">
        <v>2</v>
      </c>
      <c r="J29" s="52" t="s">
        <v>140</v>
      </c>
      <c r="K29" s="53">
        <v>30</v>
      </c>
      <c r="L29" s="53"/>
      <c r="M29" s="54" t="s">
        <v>154</v>
      </c>
      <c r="N29" s="54" t="s">
        <v>155</v>
      </c>
      <c r="O29" s="53" t="s">
        <v>142</v>
      </c>
      <c r="P29" s="55"/>
      <c r="Q29" s="56" t="s">
        <v>345</v>
      </c>
      <c r="R29" s="56" t="s">
        <v>346</v>
      </c>
      <c r="S29" s="52" t="s">
        <v>354</v>
      </c>
      <c r="T29" s="55" t="s">
        <v>355</v>
      </c>
      <c r="U29" s="52" t="s">
        <v>356</v>
      </c>
      <c r="V29" s="56" t="s">
        <v>357</v>
      </c>
      <c r="W29" s="81" t="s">
        <v>358</v>
      </c>
      <c r="X29" s="52" t="s">
        <v>352</v>
      </c>
      <c r="Y29" s="81" t="s">
        <v>358</v>
      </c>
      <c r="Z29" s="81" t="s">
        <v>359</v>
      </c>
      <c r="AA29" s="53" t="s">
        <v>351</v>
      </c>
      <c r="AC29" s="24"/>
    </row>
    <row r="30" spans="2:29" ht="120" customHeight="1" x14ac:dyDescent="0.25">
      <c r="B30" s="52" t="s">
        <v>7</v>
      </c>
      <c r="C30" s="52" t="s">
        <v>344</v>
      </c>
      <c r="D30" s="52" t="s">
        <v>8</v>
      </c>
      <c r="E30" s="53">
        <v>1</v>
      </c>
      <c r="F30" s="52" t="s">
        <v>360</v>
      </c>
      <c r="G30" s="52" t="s">
        <v>361</v>
      </c>
      <c r="H30" s="55" t="s">
        <v>166</v>
      </c>
      <c r="I30" s="53">
        <v>3</v>
      </c>
      <c r="J30" s="52" t="s">
        <v>140</v>
      </c>
      <c r="K30" s="53">
        <v>15</v>
      </c>
      <c r="L30" s="53"/>
      <c r="M30" s="54" t="s">
        <v>362</v>
      </c>
      <c r="N30" s="54"/>
      <c r="O30" s="53"/>
      <c r="P30" s="55"/>
      <c r="Q30" s="54"/>
      <c r="R30" s="55"/>
      <c r="S30" s="52" t="s">
        <v>354</v>
      </c>
      <c r="T30" s="55" t="s">
        <v>363</v>
      </c>
      <c r="U30" s="52" t="s">
        <v>364</v>
      </c>
      <c r="V30" s="56" t="s">
        <v>365</v>
      </c>
      <c r="W30" s="55" t="s">
        <v>366</v>
      </c>
      <c r="X30" s="52" t="s">
        <v>352</v>
      </c>
      <c r="Y30" s="55" t="s">
        <v>366</v>
      </c>
      <c r="Z30" s="55" t="s">
        <v>364</v>
      </c>
      <c r="AA30" s="53" t="s">
        <v>351</v>
      </c>
      <c r="AC30" s="24"/>
    </row>
    <row r="31" spans="2:29" ht="120" customHeight="1" x14ac:dyDescent="0.25">
      <c r="B31" s="52" t="s">
        <v>7</v>
      </c>
      <c r="C31" s="52" t="s">
        <v>344</v>
      </c>
      <c r="D31" s="52" t="s">
        <v>8</v>
      </c>
      <c r="E31" s="53">
        <v>1</v>
      </c>
      <c r="F31" s="52" t="s">
        <v>164</v>
      </c>
      <c r="G31" s="52" t="s">
        <v>165</v>
      </c>
      <c r="H31" s="55" t="s">
        <v>166</v>
      </c>
      <c r="I31" s="53">
        <v>4</v>
      </c>
      <c r="J31" s="52" t="s">
        <v>140</v>
      </c>
      <c r="K31" s="53">
        <v>20</v>
      </c>
      <c r="L31" s="53"/>
      <c r="M31" s="54" t="s">
        <v>167</v>
      </c>
      <c r="N31" s="54" t="s">
        <v>168</v>
      </c>
      <c r="O31" s="53"/>
      <c r="P31" s="54" t="s">
        <v>367</v>
      </c>
      <c r="Q31" s="56"/>
      <c r="R31" s="52"/>
      <c r="S31" s="56" t="s">
        <v>347</v>
      </c>
      <c r="T31" s="54" t="s">
        <v>348</v>
      </c>
      <c r="U31" s="56" t="s">
        <v>349</v>
      </c>
      <c r="V31" s="56" t="s">
        <v>368</v>
      </c>
      <c r="W31" s="52" t="s">
        <v>351</v>
      </c>
      <c r="X31" s="52" t="s">
        <v>351</v>
      </c>
      <c r="Y31" s="52" t="s">
        <v>351</v>
      </c>
      <c r="Z31" s="52" t="s">
        <v>351</v>
      </c>
      <c r="AA31" s="53" t="s">
        <v>351</v>
      </c>
      <c r="AC31" s="24"/>
    </row>
    <row r="32" spans="2:29" ht="120" customHeight="1" x14ac:dyDescent="0.25">
      <c r="B32" s="52" t="s">
        <v>7</v>
      </c>
      <c r="C32" s="52" t="s">
        <v>344</v>
      </c>
      <c r="D32" s="52" t="s">
        <v>8</v>
      </c>
      <c r="E32" s="53">
        <v>1</v>
      </c>
      <c r="F32" s="52" t="s">
        <v>172</v>
      </c>
      <c r="G32" s="52" t="s">
        <v>173</v>
      </c>
      <c r="H32" s="55" t="s">
        <v>166</v>
      </c>
      <c r="I32" s="53">
        <v>5</v>
      </c>
      <c r="J32" s="52" t="s">
        <v>140</v>
      </c>
      <c r="K32" s="53">
        <v>3</v>
      </c>
      <c r="L32" s="53"/>
      <c r="M32" s="54" t="s">
        <v>174</v>
      </c>
      <c r="N32" s="54" t="s">
        <v>175</v>
      </c>
      <c r="O32" s="53"/>
      <c r="P32" s="54" t="s">
        <v>369</v>
      </c>
      <c r="Q32" s="56" t="s">
        <v>177</v>
      </c>
      <c r="R32" s="56" t="s">
        <v>178</v>
      </c>
      <c r="S32" s="52" t="s">
        <v>354</v>
      </c>
      <c r="T32" s="55" t="s">
        <v>355</v>
      </c>
      <c r="U32" s="52" t="s">
        <v>370</v>
      </c>
      <c r="V32" s="56" t="s">
        <v>371</v>
      </c>
      <c r="W32" s="81" t="s">
        <v>358</v>
      </c>
      <c r="X32" s="52" t="s">
        <v>352</v>
      </c>
      <c r="Y32" s="81" t="s">
        <v>358</v>
      </c>
      <c r="Z32" s="93" t="s">
        <v>370</v>
      </c>
      <c r="AA32" s="53" t="s">
        <v>351</v>
      </c>
      <c r="AC32" s="24"/>
    </row>
    <row r="33" spans="2:29" ht="120" customHeight="1" x14ac:dyDescent="0.25">
      <c r="B33" s="52" t="s">
        <v>7</v>
      </c>
      <c r="C33" s="52" t="s">
        <v>344</v>
      </c>
      <c r="D33" s="52" t="s">
        <v>8</v>
      </c>
      <c r="E33" s="53">
        <v>1</v>
      </c>
      <c r="F33" s="52" t="s">
        <v>184</v>
      </c>
      <c r="G33" s="52" t="s">
        <v>185</v>
      </c>
      <c r="H33" s="55" t="s">
        <v>166</v>
      </c>
      <c r="I33" s="53">
        <v>6</v>
      </c>
      <c r="J33" s="52" t="s">
        <v>140</v>
      </c>
      <c r="K33" s="53">
        <v>3</v>
      </c>
      <c r="L33" s="53"/>
      <c r="M33" s="54" t="s">
        <v>186</v>
      </c>
      <c r="N33" s="54" t="s">
        <v>187</v>
      </c>
      <c r="O33" s="53"/>
      <c r="P33" s="54" t="s">
        <v>372</v>
      </c>
      <c r="Q33" s="56" t="s">
        <v>177</v>
      </c>
      <c r="R33" s="56" t="s">
        <v>189</v>
      </c>
      <c r="S33" s="52" t="s">
        <v>354</v>
      </c>
      <c r="T33" s="55" t="s">
        <v>355</v>
      </c>
      <c r="U33" s="52" t="s">
        <v>373</v>
      </c>
      <c r="V33" s="56" t="s">
        <v>374</v>
      </c>
      <c r="W33" s="81" t="s">
        <v>358</v>
      </c>
      <c r="X33" s="52" t="s">
        <v>352</v>
      </c>
      <c r="Y33" s="81" t="s">
        <v>358</v>
      </c>
      <c r="Z33" s="90" t="s">
        <v>373</v>
      </c>
      <c r="AA33" s="53" t="s">
        <v>351</v>
      </c>
      <c r="AC33" s="24"/>
    </row>
    <row r="34" spans="2:29" ht="120" customHeight="1" x14ac:dyDescent="0.25">
      <c r="B34" s="52" t="s">
        <v>7</v>
      </c>
      <c r="C34" s="52" t="s">
        <v>344</v>
      </c>
      <c r="D34" s="52" t="s">
        <v>8</v>
      </c>
      <c r="E34" s="53">
        <v>1</v>
      </c>
      <c r="F34" s="52" t="s">
        <v>375</v>
      </c>
      <c r="G34" s="52" t="s">
        <v>376</v>
      </c>
      <c r="H34" s="55" t="s">
        <v>166</v>
      </c>
      <c r="I34" s="53">
        <v>7</v>
      </c>
      <c r="J34" s="52" t="s">
        <v>140</v>
      </c>
      <c r="K34" s="53">
        <v>4</v>
      </c>
      <c r="L34" s="53"/>
      <c r="M34" s="54" t="s">
        <v>377</v>
      </c>
      <c r="N34" s="54"/>
      <c r="O34" s="53"/>
      <c r="P34" s="56" t="s">
        <v>378</v>
      </c>
      <c r="Q34" s="90" t="s">
        <v>379</v>
      </c>
      <c r="R34" s="90" t="s">
        <v>380</v>
      </c>
      <c r="S34" s="56" t="s">
        <v>381</v>
      </c>
      <c r="T34" s="54" t="s">
        <v>382</v>
      </c>
      <c r="U34" s="56" t="s">
        <v>383</v>
      </c>
      <c r="V34" s="56" t="s">
        <v>384</v>
      </c>
      <c r="W34" s="55" t="s">
        <v>366</v>
      </c>
      <c r="X34" s="52" t="s">
        <v>352</v>
      </c>
      <c r="Y34" s="55" t="s">
        <v>366</v>
      </c>
      <c r="Z34" s="90" t="s">
        <v>385</v>
      </c>
      <c r="AA34" s="53" t="s">
        <v>351</v>
      </c>
      <c r="AC34" s="24"/>
    </row>
    <row r="35" spans="2:29" ht="120" customHeight="1" x14ac:dyDescent="0.25">
      <c r="B35" s="52" t="s">
        <v>7</v>
      </c>
      <c r="C35" s="52" t="s">
        <v>344</v>
      </c>
      <c r="D35" s="52" t="s">
        <v>8</v>
      </c>
      <c r="E35" s="53">
        <v>1</v>
      </c>
      <c r="F35" s="52" t="s">
        <v>193</v>
      </c>
      <c r="G35" s="52" t="s">
        <v>194</v>
      </c>
      <c r="H35" s="55" t="s">
        <v>166</v>
      </c>
      <c r="I35" s="53">
        <v>8</v>
      </c>
      <c r="J35" s="52" t="s">
        <v>140</v>
      </c>
      <c r="K35" s="53">
        <v>4</v>
      </c>
      <c r="L35" s="53"/>
      <c r="M35" s="79" t="s">
        <v>386</v>
      </c>
      <c r="N35" s="54"/>
      <c r="O35" s="53"/>
      <c r="P35" s="55"/>
      <c r="Q35" s="56" t="s">
        <v>219</v>
      </c>
      <c r="R35" s="52" t="s">
        <v>387</v>
      </c>
      <c r="S35" s="52" t="s">
        <v>354</v>
      </c>
      <c r="T35" s="55" t="s">
        <v>355</v>
      </c>
      <c r="U35" s="52" t="s">
        <v>351</v>
      </c>
      <c r="V35" s="56" t="s">
        <v>388</v>
      </c>
      <c r="W35" s="52" t="s">
        <v>351</v>
      </c>
      <c r="X35" s="52" t="s">
        <v>352</v>
      </c>
      <c r="Y35" s="81" t="s">
        <v>351</v>
      </c>
      <c r="Z35" s="81" t="s">
        <v>351</v>
      </c>
      <c r="AA35" s="53" t="s">
        <v>353</v>
      </c>
      <c r="AC35" s="24"/>
    </row>
    <row r="36" spans="2:29" ht="120" customHeight="1" x14ac:dyDescent="0.25">
      <c r="B36" s="52" t="s">
        <v>7</v>
      </c>
      <c r="C36" s="52" t="s">
        <v>344</v>
      </c>
      <c r="D36" s="52" t="s">
        <v>8</v>
      </c>
      <c r="E36" s="53">
        <v>1</v>
      </c>
      <c r="F36" s="52" t="s">
        <v>203</v>
      </c>
      <c r="G36" s="52" t="s">
        <v>204</v>
      </c>
      <c r="H36" s="55" t="s">
        <v>166</v>
      </c>
      <c r="I36" s="53">
        <v>9</v>
      </c>
      <c r="J36" s="52" t="s">
        <v>140</v>
      </c>
      <c r="K36" s="53">
        <v>30</v>
      </c>
      <c r="L36" s="53"/>
      <c r="M36" s="54" t="s">
        <v>389</v>
      </c>
      <c r="N36" s="54" t="s">
        <v>206</v>
      </c>
      <c r="O36" s="53"/>
      <c r="P36" s="55"/>
      <c r="Q36" s="56" t="s">
        <v>219</v>
      </c>
      <c r="R36" s="52" t="s">
        <v>387</v>
      </c>
      <c r="S36" s="52" t="s">
        <v>354</v>
      </c>
      <c r="T36" s="55" t="s">
        <v>355</v>
      </c>
      <c r="U36" s="52" t="s">
        <v>390</v>
      </c>
      <c r="V36" s="56" t="s">
        <v>391</v>
      </c>
      <c r="W36" s="81" t="s">
        <v>358</v>
      </c>
      <c r="X36" s="52" t="s">
        <v>352</v>
      </c>
      <c r="Y36" s="81" t="s">
        <v>358</v>
      </c>
      <c r="Z36" s="81" t="s">
        <v>392</v>
      </c>
      <c r="AA36" s="53" t="s">
        <v>351</v>
      </c>
      <c r="AC36" s="24"/>
    </row>
    <row r="37" spans="2:29" ht="120" customHeight="1" x14ac:dyDescent="0.25">
      <c r="B37" s="52" t="s">
        <v>7</v>
      </c>
      <c r="C37" s="52" t="s">
        <v>344</v>
      </c>
      <c r="D37" s="52" t="s">
        <v>8</v>
      </c>
      <c r="E37" s="53">
        <v>1</v>
      </c>
      <c r="F37" s="52" t="s">
        <v>214</v>
      </c>
      <c r="G37" s="52" t="s">
        <v>215</v>
      </c>
      <c r="H37" s="55" t="s">
        <v>216</v>
      </c>
      <c r="I37" s="53">
        <v>10</v>
      </c>
      <c r="J37" s="52" t="s">
        <v>140</v>
      </c>
      <c r="K37" s="53">
        <v>10</v>
      </c>
      <c r="L37" s="53"/>
      <c r="M37" s="54" t="s">
        <v>217</v>
      </c>
      <c r="N37" s="54" t="s">
        <v>218</v>
      </c>
      <c r="O37" s="53"/>
      <c r="P37" s="55"/>
      <c r="Q37" s="56" t="s">
        <v>219</v>
      </c>
      <c r="R37" s="52" t="s">
        <v>214</v>
      </c>
      <c r="S37" s="52" t="s">
        <v>354</v>
      </c>
      <c r="T37" s="55" t="s">
        <v>355</v>
      </c>
      <c r="U37" s="52" t="s">
        <v>393</v>
      </c>
      <c r="V37" s="56" t="s">
        <v>394</v>
      </c>
      <c r="W37" s="81" t="s">
        <v>358</v>
      </c>
      <c r="X37" s="52" t="s">
        <v>352</v>
      </c>
      <c r="Y37" s="81" t="s">
        <v>358</v>
      </c>
      <c r="Z37" s="81" t="s">
        <v>393</v>
      </c>
      <c r="AA37" s="53" t="s">
        <v>351</v>
      </c>
      <c r="AC37" s="24"/>
    </row>
    <row r="38" spans="2:29" ht="120" customHeight="1" x14ac:dyDescent="0.25">
      <c r="B38" s="52" t="s">
        <v>7</v>
      </c>
      <c r="C38" s="52" t="s">
        <v>344</v>
      </c>
      <c r="D38" s="52" t="s">
        <v>8</v>
      </c>
      <c r="E38" s="53">
        <v>1</v>
      </c>
      <c r="F38" s="52" t="s">
        <v>226</v>
      </c>
      <c r="G38" s="52" t="s">
        <v>227</v>
      </c>
      <c r="H38" s="55" t="s">
        <v>216</v>
      </c>
      <c r="I38" s="53">
        <v>11</v>
      </c>
      <c r="J38" s="52" t="s">
        <v>140</v>
      </c>
      <c r="K38" s="53">
        <v>10</v>
      </c>
      <c r="L38" s="53"/>
      <c r="M38" s="54" t="s">
        <v>228</v>
      </c>
      <c r="N38" s="54" t="s">
        <v>229</v>
      </c>
      <c r="O38" s="53"/>
      <c r="P38" s="55"/>
      <c r="Q38" s="56" t="s">
        <v>230</v>
      </c>
      <c r="R38" s="52" t="s">
        <v>226</v>
      </c>
      <c r="S38" s="52" t="s">
        <v>354</v>
      </c>
      <c r="T38" s="55" t="s">
        <v>355</v>
      </c>
      <c r="U38" s="52" t="s">
        <v>395</v>
      </c>
      <c r="V38" s="56" t="s">
        <v>396</v>
      </c>
      <c r="W38" s="81" t="s">
        <v>358</v>
      </c>
      <c r="X38" s="52" t="s">
        <v>352</v>
      </c>
      <c r="Y38" s="81" t="s">
        <v>358</v>
      </c>
      <c r="Z38" s="81" t="s">
        <v>395</v>
      </c>
      <c r="AA38" s="53" t="s">
        <v>351</v>
      </c>
      <c r="AC38" s="24"/>
    </row>
    <row r="39" spans="2:29" ht="120" customHeight="1" x14ac:dyDescent="0.25">
      <c r="B39" s="52" t="s">
        <v>7</v>
      </c>
      <c r="C39" s="52" t="s">
        <v>344</v>
      </c>
      <c r="D39" s="52" t="s">
        <v>8</v>
      </c>
      <c r="E39" s="53">
        <v>1</v>
      </c>
      <c r="F39" s="52" t="s">
        <v>238</v>
      </c>
      <c r="G39" s="52" t="s">
        <v>239</v>
      </c>
      <c r="H39" s="55" t="s">
        <v>240</v>
      </c>
      <c r="I39" s="53">
        <v>12</v>
      </c>
      <c r="J39" s="52" t="s">
        <v>140</v>
      </c>
      <c r="K39" s="53">
        <v>3</v>
      </c>
      <c r="L39" s="53"/>
      <c r="M39" s="54" t="s">
        <v>241</v>
      </c>
      <c r="N39" s="54"/>
      <c r="O39" s="53"/>
      <c r="P39" s="54" t="s">
        <v>397</v>
      </c>
      <c r="Q39" s="56" t="s">
        <v>219</v>
      </c>
      <c r="R39" s="52" t="s">
        <v>398</v>
      </c>
      <c r="S39" s="56" t="s">
        <v>399</v>
      </c>
      <c r="T39" s="54" t="s">
        <v>400</v>
      </c>
      <c r="U39" s="56" t="s">
        <v>401</v>
      </c>
      <c r="V39" s="56" t="s">
        <v>402</v>
      </c>
      <c r="W39" s="52" t="s">
        <v>403</v>
      </c>
      <c r="X39" s="52" t="s">
        <v>404</v>
      </c>
      <c r="Y39" s="55" t="s">
        <v>405</v>
      </c>
      <c r="Z39" s="55" t="s">
        <v>406</v>
      </c>
      <c r="AA39" s="53" t="s">
        <v>351</v>
      </c>
      <c r="AC39" s="24"/>
    </row>
    <row r="40" spans="2:29" ht="120" customHeight="1" x14ac:dyDescent="0.25">
      <c r="B40" s="52" t="s">
        <v>7</v>
      </c>
      <c r="C40" s="52" t="s">
        <v>344</v>
      </c>
      <c r="D40" s="52" t="s">
        <v>8</v>
      </c>
      <c r="E40" s="53">
        <v>1</v>
      </c>
      <c r="F40" s="52" t="s">
        <v>407</v>
      </c>
      <c r="G40" s="52" t="s">
        <v>408</v>
      </c>
      <c r="H40" s="55" t="s">
        <v>409</v>
      </c>
      <c r="I40" s="53">
        <v>13</v>
      </c>
      <c r="J40" s="52" t="s">
        <v>140</v>
      </c>
      <c r="K40" s="53">
        <v>10</v>
      </c>
      <c r="L40" s="53"/>
      <c r="M40" s="54" t="s">
        <v>410</v>
      </c>
      <c r="N40" s="54"/>
      <c r="O40" s="53"/>
      <c r="P40" s="55"/>
      <c r="Q40" s="56"/>
      <c r="R40" s="52"/>
      <c r="S40" s="56" t="s">
        <v>381</v>
      </c>
      <c r="T40" s="54" t="s">
        <v>411</v>
      </c>
      <c r="U40" s="56" t="s">
        <v>412</v>
      </c>
      <c r="V40" s="56" t="s">
        <v>413</v>
      </c>
      <c r="W40" s="55" t="s">
        <v>414</v>
      </c>
      <c r="X40" s="52" t="s">
        <v>352</v>
      </c>
      <c r="Y40" s="55" t="s">
        <v>414</v>
      </c>
      <c r="Z40" s="81" t="s">
        <v>415</v>
      </c>
      <c r="AA40" s="53" t="s">
        <v>351</v>
      </c>
      <c r="AC40" s="24"/>
    </row>
    <row r="41" spans="2:29" ht="120" customHeight="1" x14ac:dyDescent="0.25">
      <c r="B41" s="52" t="s">
        <v>7</v>
      </c>
      <c r="C41" s="52" t="s">
        <v>344</v>
      </c>
      <c r="D41" s="52" t="s">
        <v>8</v>
      </c>
      <c r="E41" s="53">
        <v>1</v>
      </c>
      <c r="F41" s="52" t="s">
        <v>416</v>
      </c>
      <c r="G41" s="52" t="s">
        <v>417</v>
      </c>
      <c r="H41" s="55" t="s">
        <v>262</v>
      </c>
      <c r="I41" s="53">
        <v>14</v>
      </c>
      <c r="J41" s="52" t="s">
        <v>263</v>
      </c>
      <c r="K41" s="53">
        <v>23</v>
      </c>
      <c r="L41" s="53">
        <v>6</v>
      </c>
      <c r="M41" s="54" t="s">
        <v>418</v>
      </c>
      <c r="N41" s="54"/>
      <c r="O41" s="53"/>
      <c r="P41" s="55"/>
      <c r="Q41" s="56"/>
      <c r="R41" s="52"/>
      <c r="S41" s="56" t="s">
        <v>381</v>
      </c>
      <c r="T41" s="54" t="s">
        <v>411</v>
      </c>
      <c r="U41" s="56" t="s">
        <v>419</v>
      </c>
      <c r="V41" s="56" t="s">
        <v>420</v>
      </c>
      <c r="W41" s="55" t="s">
        <v>414</v>
      </c>
      <c r="X41" s="52" t="s">
        <v>352</v>
      </c>
      <c r="Y41" s="55" t="s">
        <v>414</v>
      </c>
      <c r="Z41" s="56" t="s">
        <v>421</v>
      </c>
      <c r="AA41" s="53" t="s">
        <v>351</v>
      </c>
      <c r="AC41" s="24"/>
    </row>
    <row r="42" spans="2:29" ht="120" customHeight="1" x14ac:dyDescent="0.25">
      <c r="B42" s="52" t="s">
        <v>7</v>
      </c>
      <c r="C42" s="52" t="s">
        <v>344</v>
      </c>
      <c r="D42" s="52" t="s">
        <v>8</v>
      </c>
      <c r="E42" s="53">
        <v>1</v>
      </c>
      <c r="F42" s="52" t="s">
        <v>422</v>
      </c>
      <c r="G42" s="52" t="s">
        <v>423</v>
      </c>
      <c r="H42" s="55" t="s">
        <v>409</v>
      </c>
      <c r="I42" s="53">
        <v>15</v>
      </c>
      <c r="J42" s="52" t="s">
        <v>140</v>
      </c>
      <c r="K42" s="53">
        <v>10</v>
      </c>
      <c r="L42" s="53"/>
      <c r="M42" s="54" t="s">
        <v>424</v>
      </c>
      <c r="N42" s="54"/>
      <c r="O42" s="53"/>
      <c r="P42" s="55"/>
      <c r="Q42" s="54"/>
      <c r="R42" s="55"/>
      <c r="S42" s="52" t="s">
        <v>354</v>
      </c>
      <c r="T42" s="55" t="s">
        <v>425</v>
      </c>
      <c r="U42" s="52" t="s">
        <v>415</v>
      </c>
      <c r="V42" s="56" t="s">
        <v>426</v>
      </c>
      <c r="W42" s="55" t="s">
        <v>414</v>
      </c>
      <c r="X42" s="52" t="s">
        <v>352</v>
      </c>
      <c r="Y42" s="55" t="s">
        <v>414</v>
      </c>
      <c r="Z42" s="55" t="s">
        <v>415</v>
      </c>
      <c r="AA42" s="53" t="s">
        <v>351</v>
      </c>
      <c r="AC42" s="24"/>
    </row>
    <row r="43" spans="2:29" ht="120" customHeight="1" x14ac:dyDescent="0.25">
      <c r="B43" s="52" t="s">
        <v>7</v>
      </c>
      <c r="C43" s="52" t="s">
        <v>344</v>
      </c>
      <c r="D43" s="52" t="s">
        <v>8</v>
      </c>
      <c r="E43" s="53">
        <v>1</v>
      </c>
      <c r="F43" s="52" t="s">
        <v>427</v>
      </c>
      <c r="G43" s="52" t="s">
        <v>428</v>
      </c>
      <c r="H43" s="55" t="s">
        <v>262</v>
      </c>
      <c r="I43" s="53">
        <v>16</v>
      </c>
      <c r="J43" s="52" t="s">
        <v>263</v>
      </c>
      <c r="K43" s="53">
        <v>23</v>
      </c>
      <c r="L43" s="53">
        <v>6</v>
      </c>
      <c r="M43" s="54" t="s">
        <v>429</v>
      </c>
      <c r="N43" s="54"/>
      <c r="O43" s="53"/>
      <c r="P43" s="55"/>
      <c r="Q43" s="54"/>
      <c r="R43" s="55"/>
      <c r="S43" s="52" t="s">
        <v>354</v>
      </c>
      <c r="T43" s="55" t="s">
        <v>425</v>
      </c>
      <c r="U43" s="52" t="s">
        <v>421</v>
      </c>
      <c r="V43" s="56" t="s">
        <v>430</v>
      </c>
      <c r="W43" s="55" t="s">
        <v>414</v>
      </c>
      <c r="X43" s="52" t="s">
        <v>352</v>
      </c>
      <c r="Y43" s="55" t="s">
        <v>414</v>
      </c>
      <c r="Z43" s="55" t="s">
        <v>421</v>
      </c>
      <c r="AA43" s="53" t="s">
        <v>351</v>
      </c>
      <c r="AC43" s="24"/>
    </row>
    <row r="44" spans="2:29" ht="120" customHeight="1" x14ac:dyDescent="0.25">
      <c r="B44" s="52" t="s">
        <v>7</v>
      </c>
      <c r="C44" s="52" t="s">
        <v>344</v>
      </c>
      <c r="D44" s="52" t="s">
        <v>8</v>
      </c>
      <c r="E44" s="53">
        <v>1</v>
      </c>
      <c r="F44" s="52" t="s">
        <v>301</v>
      </c>
      <c r="G44" s="52" t="s">
        <v>302</v>
      </c>
      <c r="H44" s="55" t="s">
        <v>303</v>
      </c>
      <c r="I44" s="53">
        <v>17</v>
      </c>
      <c r="J44" s="52" t="s">
        <v>140</v>
      </c>
      <c r="K44" s="53">
        <v>3</v>
      </c>
      <c r="L44" s="53"/>
      <c r="M44" s="54" t="s">
        <v>304</v>
      </c>
      <c r="N44" s="54" t="s">
        <v>305</v>
      </c>
      <c r="O44" s="53"/>
      <c r="P44" s="54" t="s">
        <v>431</v>
      </c>
      <c r="Q44" s="56" t="s">
        <v>307</v>
      </c>
      <c r="R44" s="52" t="s">
        <v>308</v>
      </c>
      <c r="S44" s="56" t="s">
        <v>347</v>
      </c>
      <c r="T44" s="54" t="s">
        <v>348</v>
      </c>
      <c r="U44" s="56" t="s">
        <v>349</v>
      </c>
      <c r="V44" s="56" t="s">
        <v>432</v>
      </c>
      <c r="W44" s="81" t="s">
        <v>358</v>
      </c>
      <c r="X44" s="52" t="s">
        <v>352</v>
      </c>
      <c r="Y44" s="81" t="s">
        <v>358</v>
      </c>
      <c r="Z44" s="81" t="s">
        <v>433</v>
      </c>
      <c r="AA44" s="53" t="s">
        <v>351</v>
      </c>
      <c r="AC44" s="24"/>
    </row>
    <row r="45" spans="2:29" ht="120" customHeight="1" x14ac:dyDescent="0.25">
      <c r="B45" s="52" t="s">
        <v>7</v>
      </c>
      <c r="C45" s="52" t="s">
        <v>344</v>
      </c>
      <c r="D45" s="52" t="s">
        <v>8</v>
      </c>
      <c r="E45" s="53">
        <v>1</v>
      </c>
      <c r="F45" s="52" t="s">
        <v>311</v>
      </c>
      <c r="G45" s="52" t="s">
        <v>312</v>
      </c>
      <c r="H45" s="55" t="s">
        <v>303</v>
      </c>
      <c r="I45" s="53">
        <v>18</v>
      </c>
      <c r="J45" s="52" t="s">
        <v>140</v>
      </c>
      <c r="K45" s="53">
        <v>3</v>
      </c>
      <c r="L45" s="53"/>
      <c r="M45" s="54" t="s">
        <v>313</v>
      </c>
      <c r="N45" s="54" t="s">
        <v>314</v>
      </c>
      <c r="O45" s="53"/>
      <c r="P45" s="54" t="s">
        <v>434</v>
      </c>
      <c r="Q45" s="56" t="s">
        <v>219</v>
      </c>
      <c r="R45" s="52" t="s">
        <v>316</v>
      </c>
      <c r="S45" s="56" t="s">
        <v>347</v>
      </c>
      <c r="T45" s="54" t="s">
        <v>348</v>
      </c>
      <c r="U45" s="56" t="s">
        <v>349</v>
      </c>
      <c r="V45" s="56" t="s">
        <v>435</v>
      </c>
      <c r="W45" s="52" t="s">
        <v>351</v>
      </c>
      <c r="X45" s="52" t="s">
        <v>352</v>
      </c>
      <c r="Y45" s="70" t="s">
        <v>436</v>
      </c>
      <c r="Z45" s="70" t="s">
        <v>436</v>
      </c>
      <c r="AA45" s="53" t="s">
        <v>437</v>
      </c>
      <c r="AC45" s="24"/>
    </row>
    <row r="46" spans="2:29" ht="120" customHeight="1" x14ac:dyDescent="0.25">
      <c r="B46" s="52" t="s">
        <v>7</v>
      </c>
      <c r="C46" s="52" t="s">
        <v>344</v>
      </c>
      <c r="D46" s="52" t="s">
        <v>8</v>
      </c>
      <c r="E46" s="53">
        <v>1</v>
      </c>
      <c r="F46" s="52" t="s">
        <v>322</v>
      </c>
      <c r="G46" s="52" t="s">
        <v>323</v>
      </c>
      <c r="H46" s="52" t="s">
        <v>324</v>
      </c>
      <c r="I46" s="53">
        <v>19</v>
      </c>
      <c r="J46" s="52" t="s">
        <v>140</v>
      </c>
      <c r="K46" s="53">
        <v>2</v>
      </c>
      <c r="L46" s="53"/>
      <c r="M46" s="54" t="s">
        <v>325</v>
      </c>
      <c r="N46" s="54"/>
      <c r="O46" s="53"/>
      <c r="P46" s="54" t="s">
        <v>438</v>
      </c>
      <c r="Q46" s="56"/>
      <c r="R46" s="52"/>
      <c r="S46" s="52" t="s">
        <v>354</v>
      </c>
      <c r="T46" s="55" t="s">
        <v>355</v>
      </c>
      <c r="U46" s="52" t="s">
        <v>351</v>
      </c>
      <c r="V46" s="56" t="s">
        <v>439</v>
      </c>
      <c r="W46" s="52" t="s">
        <v>351</v>
      </c>
      <c r="X46" s="52" t="s">
        <v>352</v>
      </c>
      <c r="Y46" s="55" t="s">
        <v>351</v>
      </c>
      <c r="Z46" s="55" t="s">
        <v>351</v>
      </c>
      <c r="AA46" s="53" t="s">
        <v>440</v>
      </c>
      <c r="AC46" s="24"/>
    </row>
    <row r="47" spans="2:29" ht="120" customHeight="1" x14ac:dyDescent="0.25">
      <c r="B47" s="52" t="s">
        <v>7</v>
      </c>
      <c r="C47" s="52" t="s">
        <v>344</v>
      </c>
      <c r="D47" s="52" t="s">
        <v>8</v>
      </c>
      <c r="E47" s="53">
        <v>1</v>
      </c>
      <c r="F47" s="52" t="s">
        <v>329</v>
      </c>
      <c r="G47" s="52" t="s">
        <v>330</v>
      </c>
      <c r="H47" s="52" t="s">
        <v>331</v>
      </c>
      <c r="I47" s="53">
        <v>20</v>
      </c>
      <c r="J47" s="52" t="s">
        <v>140</v>
      </c>
      <c r="K47" s="53">
        <v>10</v>
      </c>
      <c r="L47" s="53"/>
      <c r="M47" s="54" t="s">
        <v>332</v>
      </c>
      <c r="N47" s="54" t="s">
        <v>333</v>
      </c>
      <c r="O47" s="53" t="s">
        <v>142</v>
      </c>
      <c r="P47" s="55"/>
      <c r="Q47" s="56"/>
      <c r="R47" s="52"/>
      <c r="S47" s="52" t="s">
        <v>354</v>
      </c>
      <c r="T47" s="55" t="s">
        <v>355</v>
      </c>
      <c r="U47" s="52" t="s">
        <v>351</v>
      </c>
      <c r="V47" s="56" t="s">
        <v>441</v>
      </c>
      <c r="W47" s="52" t="s">
        <v>351</v>
      </c>
      <c r="X47" s="52" t="s">
        <v>351</v>
      </c>
      <c r="Y47" s="55" t="s">
        <v>351</v>
      </c>
      <c r="Z47" s="55" t="s">
        <v>351</v>
      </c>
      <c r="AA47" s="53" t="s">
        <v>351</v>
      </c>
      <c r="AC47" s="24"/>
    </row>
    <row r="48" spans="2:29" ht="120" customHeight="1" x14ac:dyDescent="0.25">
      <c r="B48" s="52" t="s">
        <v>7</v>
      </c>
      <c r="C48" s="52" t="s">
        <v>344</v>
      </c>
      <c r="D48" s="52" t="s">
        <v>8</v>
      </c>
      <c r="E48" s="53">
        <v>1</v>
      </c>
      <c r="F48" s="52" t="s">
        <v>336</v>
      </c>
      <c r="G48" s="52" t="s">
        <v>337</v>
      </c>
      <c r="H48" s="52" t="s">
        <v>338</v>
      </c>
      <c r="I48" s="53">
        <v>21</v>
      </c>
      <c r="J48" s="52" t="s">
        <v>339</v>
      </c>
      <c r="K48" s="53">
        <v>23</v>
      </c>
      <c r="L48" s="53"/>
      <c r="M48" s="54" t="s">
        <v>340</v>
      </c>
      <c r="N48" s="54" t="s">
        <v>341</v>
      </c>
      <c r="O48" s="53"/>
      <c r="P48" s="55"/>
      <c r="Q48" s="56"/>
      <c r="R48" s="52"/>
      <c r="S48" s="52" t="s">
        <v>354</v>
      </c>
      <c r="T48" s="55" t="s">
        <v>355</v>
      </c>
      <c r="U48" s="52" t="s">
        <v>351</v>
      </c>
      <c r="V48" s="56" t="s">
        <v>442</v>
      </c>
      <c r="W48" s="52" t="s">
        <v>351</v>
      </c>
      <c r="X48" s="52" t="s">
        <v>351</v>
      </c>
      <c r="Y48" s="55" t="s">
        <v>351</v>
      </c>
      <c r="Z48" s="55" t="s">
        <v>351</v>
      </c>
      <c r="AA48" s="53" t="s">
        <v>351</v>
      </c>
      <c r="AC48" s="24"/>
    </row>
    <row r="49" spans="2:29" ht="120" customHeight="1" x14ac:dyDescent="0.25">
      <c r="B49" s="52" t="s">
        <v>7</v>
      </c>
      <c r="C49" s="52" t="s">
        <v>443</v>
      </c>
      <c r="D49" s="52" t="s">
        <v>10</v>
      </c>
      <c r="E49" s="53">
        <v>2</v>
      </c>
      <c r="F49" s="52" t="s">
        <v>444</v>
      </c>
      <c r="G49" s="52" t="s">
        <v>445</v>
      </c>
      <c r="H49" s="52" t="s">
        <v>139</v>
      </c>
      <c r="I49" s="53">
        <v>1</v>
      </c>
      <c r="J49" s="52" t="s">
        <v>446</v>
      </c>
      <c r="K49" s="53">
        <v>5</v>
      </c>
      <c r="L49" s="53"/>
      <c r="M49" s="54" t="s">
        <v>447</v>
      </c>
      <c r="N49" s="54"/>
      <c r="O49" s="53" t="s">
        <v>142</v>
      </c>
      <c r="P49" s="52"/>
      <c r="Q49" s="56"/>
      <c r="R49" s="52"/>
      <c r="S49" s="56" t="s">
        <v>448</v>
      </c>
      <c r="T49" s="54" t="s">
        <v>449</v>
      </c>
      <c r="U49" s="56" t="s">
        <v>450</v>
      </c>
      <c r="V49" s="56" t="s">
        <v>451</v>
      </c>
      <c r="W49" s="52" t="s">
        <v>452</v>
      </c>
      <c r="X49" s="52" t="s">
        <v>352</v>
      </c>
      <c r="Y49" s="52" t="s">
        <v>452</v>
      </c>
      <c r="Z49" s="52" t="s">
        <v>453</v>
      </c>
      <c r="AA49" s="53" t="s">
        <v>351</v>
      </c>
      <c r="AC49" s="24"/>
    </row>
    <row r="50" spans="2:29" ht="120" customHeight="1" x14ac:dyDescent="0.25">
      <c r="B50" s="52" t="s">
        <v>7</v>
      </c>
      <c r="C50" s="52" t="s">
        <v>443</v>
      </c>
      <c r="D50" s="52" t="s">
        <v>10</v>
      </c>
      <c r="E50" s="53">
        <v>2</v>
      </c>
      <c r="F50" s="52" t="s">
        <v>137</v>
      </c>
      <c r="G50" s="52" t="s">
        <v>138</v>
      </c>
      <c r="H50" s="55" t="s">
        <v>454</v>
      </c>
      <c r="I50" s="53">
        <v>2</v>
      </c>
      <c r="J50" s="52" t="s">
        <v>140</v>
      </c>
      <c r="K50" s="53">
        <v>4</v>
      </c>
      <c r="L50" s="53"/>
      <c r="M50" s="54" t="s">
        <v>141</v>
      </c>
      <c r="N50" s="54"/>
      <c r="O50" s="53"/>
      <c r="P50" s="55"/>
      <c r="Q50" s="56" t="s">
        <v>455</v>
      </c>
      <c r="R50" s="56" t="s">
        <v>456</v>
      </c>
      <c r="S50" s="56" t="s">
        <v>347</v>
      </c>
      <c r="T50" s="54" t="s">
        <v>348</v>
      </c>
      <c r="U50" s="56" t="s">
        <v>349</v>
      </c>
      <c r="V50" s="56" t="s">
        <v>457</v>
      </c>
      <c r="W50" s="52" t="s">
        <v>351</v>
      </c>
      <c r="X50" s="52" t="s">
        <v>352</v>
      </c>
      <c r="Y50" s="55" t="s">
        <v>351</v>
      </c>
      <c r="Z50" s="55" t="s">
        <v>351</v>
      </c>
      <c r="AA50" s="53" t="s">
        <v>353</v>
      </c>
      <c r="AC50" s="24"/>
    </row>
    <row r="51" spans="2:29" ht="120" customHeight="1" x14ac:dyDescent="0.25">
      <c r="B51" s="52" t="s">
        <v>7</v>
      </c>
      <c r="C51" s="52" t="s">
        <v>443</v>
      </c>
      <c r="D51" s="52" t="s">
        <v>10</v>
      </c>
      <c r="E51" s="53">
        <v>2</v>
      </c>
      <c r="F51" s="52" t="s">
        <v>152</v>
      </c>
      <c r="G51" s="52" t="s">
        <v>153</v>
      </c>
      <c r="H51" s="55" t="s">
        <v>454</v>
      </c>
      <c r="I51" s="53">
        <v>3</v>
      </c>
      <c r="J51" s="52" t="s">
        <v>140</v>
      </c>
      <c r="K51" s="53">
        <v>30</v>
      </c>
      <c r="L51" s="53"/>
      <c r="M51" s="54" t="s">
        <v>458</v>
      </c>
      <c r="N51" s="54" t="s">
        <v>155</v>
      </c>
      <c r="O51" s="53"/>
      <c r="P51" s="55"/>
      <c r="Q51" s="56" t="s">
        <v>455</v>
      </c>
      <c r="R51" s="56" t="s">
        <v>456</v>
      </c>
      <c r="S51" s="52" t="s">
        <v>459</v>
      </c>
      <c r="T51" s="55" t="s">
        <v>355</v>
      </c>
      <c r="U51" s="52" t="s">
        <v>356</v>
      </c>
      <c r="V51" s="56" t="s">
        <v>460</v>
      </c>
      <c r="W51" s="52" t="s">
        <v>452</v>
      </c>
      <c r="X51" s="52" t="s">
        <v>352</v>
      </c>
      <c r="Y51" s="55" t="s">
        <v>461</v>
      </c>
      <c r="Z51" s="55" t="s">
        <v>462</v>
      </c>
      <c r="AA51" s="53" t="s">
        <v>463</v>
      </c>
      <c r="AC51" s="24"/>
    </row>
    <row r="52" spans="2:29" ht="120" customHeight="1" x14ac:dyDescent="0.25">
      <c r="B52" s="52" t="s">
        <v>7</v>
      </c>
      <c r="C52" s="52" t="s">
        <v>443</v>
      </c>
      <c r="D52" s="52" t="s">
        <v>10</v>
      </c>
      <c r="E52" s="53">
        <v>2</v>
      </c>
      <c r="F52" s="52" t="s">
        <v>464</v>
      </c>
      <c r="G52" s="52" t="s">
        <v>465</v>
      </c>
      <c r="H52" s="55" t="s">
        <v>454</v>
      </c>
      <c r="I52" s="53">
        <v>4</v>
      </c>
      <c r="J52" s="52" t="s">
        <v>140</v>
      </c>
      <c r="K52" s="53">
        <v>7</v>
      </c>
      <c r="L52" s="53"/>
      <c r="M52" s="54" t="s">
        <v>466</v>
      </c>
      <c r="N52" s="54"/>
      <c r="O52" s="53"/>
      <c r="P52" s="55"/>
      <c r="Q52" s="56" t="s">
        <v>379</v>
      </c>
      <c r="R52" s="52" t="s">
        <v>467</v>
      </c>
      <c r="S52" s="56" t="s">
        <v>468</v>
      </c>
      <c r="T52" s="67" t="s">
        <v>469</v>
      </c>
      <c r="U52" s="56" t="s">
        <v>470</v>
      </c>
      <c r="V52" s="56" t="s">
        <v>471</v>
      </c>
      <c r="W52" s="52" t="s">
        <v>472</v>
      </c>
      <c r="X52" s="52" t="s">
        <v>473</v>
      </c>
      <c r="Y52" s="52" t="s">
        <v>474</v>
      </c>
      <c r="Z52" s="55" t="s">
        <v>475</v>
      </c>
      <c r="AA52" s="53" t="s">
        <v>463</v>
      </c>
      <c r="AC52" s="24"/>
    </row>
    <row r="53" spans="2:29" ht="120" customHeight="1" x14ac:dyDescent="0.25">
      <c r="B53" s="52" t="s">
        <v>7</v>
      </c>
      <c r="C53" s="52" t="s">
        <v>443</v>
      </c>
      <c r="D53" s="52" t="s">
        <v>10</v>
      </c>
      <c r="E53" s="53">
        <v>2</v>
      </c>
      <c r="F53" s="52" t="s">
        <v>476</v>
      </c>
      <c r="G53" s="52" t="s">
        <v>477</v>
      </c>
      <c r="H53" s="55" t="s">
        <v>454</v>
      </c>
      <c r="I53" s="53">
        <v>5</v>
      </c>
      <c r="J53" s="52" t="s">
        <v>140</v>
      </c>
      <c r="K53" s="53">
        <v>7</v>
      </c>
      <c r="L53" s="53"/>
      <c r="M53" s="54" t="s">
        <v>478</v>
      </c>
      <c r="N53" s="54"/>
      <c r="O53" s="53"/>
      <c r="P53" s="52"/>
      <c r="Q53" s="56"/>
      <c r="R53" s="52"/>
      <c r="S53" s="56" t="s">
        <v>468</v>
      </c>
      <c r="T53" s="67" t="s">
        <v>469</v>
      </c>
      <c r="U53" s="56" t="s">
        <v>470</v>
      </c>
      <c r="V53" s="56" t="s">
        <v>479</v>
      </c>
      <c r="W53" s="52" t="s">
        <v>472</v>
      </c>
      <c r="X53" s="52" t="s">
        <v>473</v>
      </c>
      <c r="Y53" s="52" t="s">
        <v>474</v>
      </c>
      <c r="Z53" s="55" t="s">
        <v>480</v>
      </c>
      <c r="AA53" s="53" t="s">
        <v>463</v>
      </c>
      <c r="AC53" s="24"/>
    </row>
    <row r="54" spans="2:29" ht="120" customHeight="1" x14ac:dyDescent="0.25">
      <c r="B54" s="52" t="s">
        <v>7</v>
      </c>
      <c r="C54" s="52" t="s">
        <v>443</v>
      </c>
      <c r="D54" s="52" t="s">
        <v>10</v>
      </c>
      <c r="E54" s="53">
        <v>2</v>
      </c>
      <c r="F54" s="52" t="s">
        <v>481</v>
      </c>
      <c r="G54" s="52" t="s">
        <v>482</v>
      </c>
      <c r="H54" s="55" t="s">
        <v>483</v>
      </c>
      <c r="I54" s="53">
        <v>6</v>
      </c>
      <c r="J54" s="52" t="s">
        <v>140</v>
      </c>
      <c r="K54" s="53">
        <v>23</v>
      </c>
      <c r="L54" s="53"/>
      <c r="M54" s="54" t="s">
        <v>484</v>
      </c>
      <c r="N54" s="54"/>
      <c r="O54" s="53"/>
      <c r="P54" s="55"/>
      <c r="Q54" s="56" t="s">
        <v>379</v>
      </c>
      <c r="R54" s="52" t="s">
        <v>485</v>
      </c>
      <c r="S54" s="56" t="s">
        <v>448</v>
      </c>
      <c r="T54" s="54" t="s">
        <v>449</v>
      </c>
      <c r="U54" s="56" t="s">
        <v>486</v>
      </c>
      <c r="V54" s="56" t="s">
        <v>487</v>
      </c>
      <c r="W54" s="52" t="s">
        <v>452</v>
      </c>
      <c r="X54" s="52" t="s">
        <v>352</v>
      </c>
      <c r="Y54" s="52" t="s">
        <v>452</v>
      </c>
      <c r="Z54" s="55" t="s">
        <v>393</v>
      </c>
      <c r="AA54" s="53" t="s">
        <v>351</v>
      </c>
      <c r="AC54" s="24"/>
    </row>
    <row r="55" spans="2:29" ht="120" customHeight="1" x14ac:dyDescent="0.25">
      <c r="B55" s="52" t="s">
        <v>7</v>
      </c>
      <c r="C55" s="52" t="s">
        <v>443</v>
      </c>
      <c r="D55" s="52" t="s">
        <v>10</v>
      </c>
      <c r="E55" s="53">
        <v>2</v>
      </c>
      <c r="F55" s="52" t="s">
        <v>488</v>
      </c>
      <c r="G55" s="52" t="s">
        <v>489</v>
      </c>
      <c r="H55" s="55" t="s">
        <v>483</v>
      </c>
      <c r="I55" s="53">
        <v>7</v>
      </c>
      <c r="J55" s="52" t="s">
        <v>140</v>
      </c>
      <c r="K55" s="53">
        <v>23</v>
      </c>
      <c r="L55" s="53"/>
      <c r="M55" s="54" t="s">
        <v>490</v>
      </c>
      <c r="N55" s="54"/>
      <c r="O55" s="53"/>
      <c r="P55" s="55"/>
      <c r="Q55" s="56" t="s">
        <v>379</v>
      </c>
      <c r="R55" s="52" t="s">
        <v>491</v>
      </c>
      <c r="S55" s="56" t="s">
        <v>448</v>
      </c>
      <c r="T55" s="54" t="s">
        <v>449</v>
      </c>
      <c r="U55" s="56" t="s">
        <v>492</v>
      </c>
      <c r="V55" s="56" t="s">
        <v>493</v>
      </c>
      <c r="W55" s="52" t="s">
        <v>452</v>
      </c>
      <c r="X55" s="52" t="s">
        <v>352</v>
      </c>
      <c r="Y55" s="52" t="s">
        <v>452</v>
      </c>
      <c r="Z55" s="55" t="s">
        <v>395</v>
      </c>
      <c r="AA55" s="53" t="s">
        <v>351</v>
      </c>
      <c r="AC55" s="24"/>
    </row>
    <row r="56" spans="2:29" ht="120" customHeight="1" x14ac:dyDescent="0.25">
      <c r="B56" s="52" t="s">
        <v>7</v>
      </c>
      <c r="C56" s="52" t="s">
        <v>443</v>
      </c>
      <c r="D56" s="52" t="s">
        <v>10</v>
      </c>
      <c r="E56" s="53">
        <v>2</v>
      </c>
      <c r="F56" s="52" t="s">
        <v>494</v>
      </c>
      <c r="G56" s="52" t="s">
        <v>495</v>
      </c>
      <c r="H56" s="55" t="s">
        <v>496</v>
      </c>
      <c r="I56" s="53">
        <v>8</v>
      </c>
      <c r="J56" s="52" t="s">
        <v>140</v>
      </c>
      <c r="K56" s="53">
        <v>3</v>
      </c>
      <c r="L56" s="53"/>
      <c r="M56" s="54" t="s">
        <v>497</v>
      </c>
      <c r="N56" s="54"/>
      <c r="O56" s="53"/>
      <c r="P56" s="54" t="s">
        <v>498</v>
      </c>
      <c r="Q56" s="56" t="s">
        <v>379</v>
      </c>
      <c r="R56" s="52" t="s">
        <v>499</v>
      </c>
      <c r="S56" s="56" t="s">
        <v>448</v>
      </c>
      <c r="T56" s="54" t="s">
        <v>449</v>
      </c>
      <c r="U56" s="56" t="s">
        <v>500</v>
      </c>
      <c r="V56" s="56" t="s">
        <v>501</v>
      </c>
      <c r="W56" s="52" t="s">
        <v>452</v>
      </c>
      <c r="X56" s="52" t="s">
        <v>352</v>
      </c>
      <c r="Y56" s="52" t="s">
        <v>452</v>
      </c>
      <c r="Z56" s="55" t="s">
        <v>502</v>
      </c>
      <c r="AA56" s="53" t="s">
        <v>351</v>
      </c>
      <c r="AC56" s="24"/>
    </row>
    <row r="57" spans="2:29" ht="120" customHeight="1" x14ac:dyDescent="0.25">
      <c r="B57" s="52" t="s">
        <v>7</v>
      </c>
      <c r="C57" s="52" t="s">
        <v>443</v>
      </c>
      <c r="D57" s="52" t="s">
        <v>10</v>
      </c>
      <c r="E57" s="53">
        <v>2</v>
      </c>
      <c r="F57" s="52" t="s">
        <v>503</v>
      </c>
      <c r="G57" s="52" t="s">
        <v>504</v>
      </c>
      <c r="H57" s="55" t="s">
        <v>505</v>
      </c>
      <c r="I57" s="53">
        <v>9</v>
      </c>
      <c r="J57" s="52" t="s">
        <v>140</v>
      </c>
      <c r="K57" s="53"/>
      <c r="L57" s="53"/>
      <c r="M57" s="54" t="s">
        <v>506</v>
      </c>
      <c r="N57" s="54"/>
      <c r="O57" s="53"/>
      <c r="P57" s="55"/>
      <c r="Q57" s="56" t="s">
        <v>379</v>
      </c>
      <c r="R57" s="52" t="s">
        <v>507</v>
      </c>
      <c r="S57" s="56" t="s">
        <v>448</v>
      </c>
      <c r="T57" s="54" t="s">
        <v>449</v>
      </c>
      <c r="U57" s="56" t="s">
        <v>508</v>
      </c>
      <c r="V57" s="56" t="s">
        <v>509</v>
      </c>
      <c r="W57" s="52" t="s">
        <v>452</v>
      </c>
      <c r="X57" s="52" t="s">
        <v>352</v>
      </c>
      <c r="Y57" s="52" t="s">
        <v>452</v>
      </c>
      <c r="Z57" s="55" t="s">
        <v>510</v>
      </c>
      <c r="AA57" s="53" t="s">
        <v>351</v>
      </c>
      <c r="AC57" s="24"/>
    </row>
    <row r="58" spans="2:29" ht="120" customHeight="1" x14ac:dyDescent="0.25">
      <c r="B58" s="52" t="s">
        <v>7</v>
      </c>
      <c r="C58" s="52" t="s">
        <v>443</v>
      </c>
      <c r="D58" s="52" t="s">
        <v>10</v>
      </c>
      <c r="E58" s="53">
        <v>2</v>
      </c>
      <c r="F58" s="52" t="s">
        <v>329</v>
      </c>
      <c r="G58" s="52" t="s">
        <v>330</v>
      </c>
      <c r="H58" s="52" t="s">
        <v>331</v>
      </c>
      <c r="I58" s="53">
        <v>10</v>
      </c>
      <c r="J58" s="52" t="s">
        <v>140</v>
      </c>
      <c r="K58" s="53">
        <v>10</v>
      </c>
      <c r="L58" s="53"/>
      <c r="M58" s="54" t="s">
        <v>332</v>
      </c>
      <c r="N58" s="54" t="s">
        <v>333</v>
      </c>
      <c r="O58" s="53" t="s">
        <v>142</v>
      </c>
      <c r="P58" s="55"/>
      <c r="Q58" s="56"/>
      <c r="R58" s="52"/>
      <c r="S58" s="56" t="s">
        <v>448</v>
      </c>
      <c r="T58" s="54" t="s">
        <v>449</v>
      </c>
      <c r="U58" s="56" t="s">
        <v>511</v>
      </c>
      <c r="V58" s="56" t="s">
        <v>512</v>
      </c>
      <c r="W58" s="52" t="s">
        <v>351</v>
      </c>
      <c r="X58" s="52" t="s">
        <v>351</v>
      </c>
      <c r="Y58" s="52" t="s">
        <v>351</v>
      </c>
      <c r="Z58" s="52" t="s">
        <v>351</v>
      </c>
      <c r="AA58" s="53" t="s">
        <v>351</v>
      </c>
      <c r="AC58" s="24"/>
    </row>
    <row r="59" spans="2:29" ht="120" customHeight="1" x14ac:dyDescent="0.25">
      <c r="B59" s="52" t="s">
        <v>7</v>
      </c>
      <c r="C59" s="52" t="s">
        <v>443</v>
      </c>
      <c r="D59" s="52" t="s">
        <v>10</v>
      </c>
      <c r="E59" s="53">
        <v>2</v>
      </c>
      <c r="F59" s="52" t="s">
        <v>336</v>
      </c>
      <c r="G59" s="52" t="s">
        <v>337</v>
      </c>
      <c r="H59" s="52" t="s">
        <v>338</v>
      </c>
      <c r="I59" s="53">
        <v>11</v>
      </c>
      <c r="J59" s="52" t="s">
        <v>339</v>
      </c>
      <c r="K59" s="53">
        <v>23</v>
      </c>
      <c r="L59" s="53"/>
      <c r="M59" s="54" t="s">
        <v>340</v>
      </c>
      <c r="N59" s="54" t="s">
        <v>341</v>
      </c>
      <c r="O59" s="53"/>
      <c r="P59" s="55"/>
      <c r="Q59" s="54"/>
      <c r="R59" s="55"/>
      <c r="S59" s="56" t="s">
        <v>459</v>
      </c>
      <c r="T59" s="54" t="s">
        <v>355</v>
      </c>
      <c r="U59" s="52" t="s">
        <v>351</v>
      </c>
      <c r="V59" s="56" t="s">
        <v>513</v>
      </c>
      <c r="W59" s="52" t="s">
        <v>351</v>
      </c>
      <c r="X59" s="52" t="s">
        <v>351</v>
      </c>
      <c r="Y59" s="52" t="s">
        <v>351</v>
      </c>
      <c r="Z59" s="52" t="s">
        <v>351</v>
      </c>
      <c r="AA59" s="53" t="s">
        <v>351</v>
      </c>
      <c r="AC59" s="24"/>
    </row>
    <row r="60" spans="2:29" ht="120" customHeight="1" x14ac:dyDescent="0.25">
      <c r="B60" s="52" t="s">
        <v>12</v>
      </c>
      <c r="C60" s="52" t="s">
        <v>514</v>
      </c>
      <c r="D60" s="52" t="s">
        <v>13</v>
      </c>
      <c r="E60" s="53">
        <v>1</v>
      </c>
      <c r="F60" s="52" t="s">
        <v>137</v>
      </c>
      <c r="G60" s="52" t="s">
        <v>138</v>
      </c>
      <c r="H60" s="52" t="s">
        <v>139</v>
      </c>
      <c r="I60" s="53">
        <v>1</v>
      </c>
      <c r="J60" s="52" t="s">
        <v>140</v>
      </c>
      <c r="K60" s="53">
        <v>4</v>
      </c>
      <c r="L60" s="53"/>
      <c r="M60" s="54" t="s">
        <v>141</v>
      </c>
      <c r="N60" s="54"/>
      <c r="O60" s="53" t="s">
        <v>142</v>
      </c>
      <c r="P60" s="55"/>
      <c r="Q60" s="56" t="s">
        <v>143</v>
      </c>
      <c r="R60" s="56" t="s">
        <v>144</v>
      </c>
      <c r="S60" s="56" t="s">
        <v>515</v>
      </c>
      <c r="T60" s="54" t="s">
        <v>516</v>
      </c>
      <c r="U60" s="56" t="s">
        <v>517</v>
      </c>
      <c r="V60" s="54" t="s">
        <v>518</v>
      </c>
      <c r="W60" s="53"/>
      <c r="X60" s="63" t="s">
        <v>519</v>
      </c>
      <c r="Y60" s="55" t="s">
        <v>351</v>
      </c>
      <c r="Z60" s="55" t="s">
        <v>351</v>
      </c>
      <c r="AA60" s="53" t="s">
        <v>353</v>
      </c>
      <c r="AC60" s="24"/>
    </row>
    <row r="61" spans="2:29" ht="120" customHeight="1" x14ac:dyDescent="0.25">
      <c r="B61" s="52" t="s">
        <v>12</v>
      </c>
      <c r="C61" s="52" t="s">
        <v>514</v>
      </c>
      <c r="D61" s="52" t="s">
        <v>13</v>
      </c>
      <c r="E61" s="53">
        <v>1</v>
      </c>
      <c r="F61" s="52" t="s">
        <v>152</v>
      </c>
      <c r="G61" s="52" t="s">
        <v>153</v>
      </c>
      <c r="H61" s="52" t="s">
        <v>139</v>
      </c>
      <c r="I61" s="53">
        <v>2</v>
      </c>
      <c r="J61" s="52" t="s">
        <v>140</v>
      </c>
      <c r="K61" s="53">
        <v>30</v>
      </c>
      <c r="L61" s="53"/>
      <c r="M61" s="54" t="s">
        <v>154</v>
      </c>
      <c r="N61" s="54"/>
      <c r="O61" s="53" t="s">
        <v>142</v>
      </c>
      <c r="P61" s="55"/>
      <c r="Q61" s="56" t="s">
        <v>143</v>
      </c>
      <c r="R61" s="56" t="s">
        <v>144</v>
      </c>
      <c r="S61" s="56" t="s">
        <v>520</v>
      </c>
      <c r="T61" s="54" t="s">
        <v>521</v>
      </c>
      <c r="U61" s="67" t="s">
        <v>522</v>
      </c>
      <c r="V61" s="67" t="s">
        <v>523</v>
      </c>
      <c r="W61" s="53"/>
      <c r="X61" s="63" t="s">
        <v>519</v>
      </c>
      <c r="Y61" s="72" t="s">
        <v>524</v>
      </c>
      <c r="Z61" s="67" t="s">
        <v>525</v>
      </c>
      <c r="AA61" s="53" t="s">
        <v>351</v>
      </c>
      <c r="AC61" s="24"/>
    </row>
    <row r="62" spans="2:29" ht="120" customHeight="1" x14ac:dyDescent="0.25">
      <c r="B62" s="52" t="s">
        <v>12</v>
      </c>
      <c r="C62" s="52" t="s">
        <v>514</v>
      </c>
      <c r="D62" s="52" t="s">
        <v>13</v>
      </c>
      <c r="E62" s="53">
        <v>1</v>
      </c>
      <c r="F62" s="52" t="s">
        <v>164</v>
      </c>
      <c r="G62" s="52" t="s">
        <v>165</v>
      </c>
      <c r="H62" s="55" t="s">
        <v>166</v>
      </c>
      <c r="I62" s="53">
        <v>3</v>
      </c>
      <c r="J62" s="52" t="s">
        <v>140</v>
      </c>
      <c r="K62" s="53">
        <v>4</v>
      </c>
      <c r="L62" s="53"/>
      <c r="M62" s="54" t="s">
        <v>167</v>
      </c>
      <c r="N62" s="54" t="s">
        <v>168</v>
      </c>
      <c r="O62" s="53"/>
      <c r="P62" s="54" t="s">
        <v>526</v>
      </c>
      <c r="Q62" s="56"/>
      <c r="R62" s="52"/>
      <c r="S62" s="56" t="s">
        <v>515</v>
      </c>
      <c r="T62" s="54" t="s">
        <v>516</v>
      </c>
      <c r="U62" s="56" t="s">
        <v>517</v>
      </c>
      <c r="V62" s="54" t="s">
        <v>527</v>
      </c>
      <c r="W62" s="53"/>
      <c r="X62" s="52" t="s">
        <v>351</v>
      </c>
      <c r="Y62" s="52" t="s">
        <v>351</v>
      </c>
      <c r="Z62" s="52" t="s">
        <v>351</v>
      </c>
      <c r="AA62" s="53" t="s">
        <v>351</v>
      </c>
      <c r="AC62" s="24"/>
    </row>
    <row r="63" spans="2:29" ht="120" customHeight="1" x14ac:dyDescent="0.25">
      <c r="B63" s="52" t="s">
        <v>12</v>
      </c>
      <c r="C63" s="52" t="s">
        <v>514</v>
      </c>
      <c r="D63" s="52" t="s">
        <v>13</v>
      </c>
      <c r="E63" s="53">
        <v>1</v>
      </c>
      <c r="F63" s="52" t="s">
        <v>172</v>
      </c>
      <c r="G63" s="52" t="s">
        <v>173</v>
      </c>
      <c r="H63" s="55" t="s">
        <v>166</v>
      </c>
      <c r="I63" s="53">
        <v>4</v>
      </c>
      <c r="J63" s="52" t="s">
        <v>140</v>
      </c>
      <c r="K63" s="53">
        <v>3</v>
      </c>
      <c r="L63" s="53"/>
      <c r="M63" s="54" t="s">
        <v>174</v>
      </c>
      <c r="N63" s="54" t="s">
        <v>175</v>
      </c>
      <c r="O63" s="53"/>
      <c r="P63" s="56" t="s">
        <v>528</v>
      </c>
      <c r="Q63" s="56" t="s">
        <v>177</v>
      </c>
      <c r="R63" s="56" t="s">
        <v>178</v>
      </c>
      <c r="S63" s="56" t="s">
        <v>529</v>
      </c>
      <c r="T63" s="54" t="s">
        <v>530</v>
      </c>
      <c r="U63" s="67" t="s">
        <v>531</v>
      </c>
      <c r="V63" s="56" t="s">
        <v>532</v>
      </c>
      <c r="W63" s="53"/>
      <c r="X63" s="63" t="s">
        <v>519</v>
      </c>
      <c r="Y63" s="55" t="s">
        <v>533</v>
      </c>
      <c r="Z63" s="67" t="s">
        <v>534</v>
      </c>
      <c r="AA63" s="53" t="s">
        <v>351</v>
      </c>
      <c r="AC63" s="24"/>
    </row>
    <row r="64" spans="2:29" ht="120" customHeight="1" x14ac:dyDescent="0.25">
      <c r="B64" s="52" t="s">
        <v>12</v>
      </c>
      <c r="C64" s="52" t="s">
        <v>514</v>
      </c>
      <c r="D64" s="52" t="s">
        <v>13</v>
      </c>
      <c r="E64" s="53">
        <v>1</v>
      </c>
      <c r="F64" s="52" t="s">
        <v>184</v>
      </c>
      <c r="G64" s="52" t="s">
        <v>185</v>
      </c>
      <c r="H64" s="55" t="s">
        <v>166</v>
      </c>
      <c r="I64" s="53">
        <v>5</v>
      </c>
      <c r="J64" s="52" t="s">
        <v>140</v>
      </c>
      <c r="K64" s="53">
        <v>3</v>
      </c>
      <c r="L64" s="53"/>
      <c r="M64" s="54" t="s">
        <v>186</v>
      </c>
      <c r="N64" s="54" t="s">
        <v>187</v>
      </c>
      <c r="O64" s="53"/>
      <c r="P64" s="54" t="s">
        <v>535</v>
      </c>
      <c r="Q64" s="56" t="s">
        <v>177</v>
      </c>
      <c r="R64" s="56" t="s">
        <v>189</v>
      </c>
      <c r="S64" s="56" t="s">
        <v>529</v>
      </c>
      <c r="T64" s="54" t="s">
        <v>530</v>
      </c>
      <c r="U64" s="56" t="s">
        <v>536</v>
      </c>
      <c r="V64" s="56" t="s">
        <v>537</v>
      </c>
      <c r="W64" s="53"/>
      <c r="X64" s="63" t="s">
        <v>519</v>
      </c>
      <c r="Y64" s="55" t="s">
        <v>533</v>
      </c>
      <c r="Z64" s="52" t="s">
        <v>538</v>
      </c>
      <c r="AA64" s="53" t="s">
        <v>351</v>
      </c>
      <c r="AC64" s="24"/>
    </row>
    <row r="65" spans="1:29" ht="120" customHeight="1" x14ac:dyDescent="0.25">
      <c r="B65" s="52" t="s">
        <v>12</v>
      </c>
      <c r="C65" s="52" t="s">
        <v>514</v>
      </c>
      <c r="D65" s="52" t="s">
        <v>13</v>
      </c>
      <c r="E65" s="53">
        <v>1</v>
      </c>
      <c r="F65" s="52" t="s">
        <v>193</v>
      </c>
      <c r="G65" s="52" t="s">
        <v>194</v>
      </c>
      <c r="H65" s="55" t="s">
        <v>166</v>
      </c>
      <c r="I65" s="53">
        <v>6</v>
      </c>
      <c r="J65" s="52" t="s">
        <v>140</v>
      </c>
      <c r="K65" s="53">
        <v>4</v>
      </c>
      <c r="L65" s="53"/>
      <c r="M65" s="79" t="s">
        <v>539</v>
      </c>
      <c r="N65" s="54"/>
      <c r="O65" s="53"/>
      <c r="P65" s="55"/>
      <c r="Q65" s="56" t="s">
        <v>219</v>
      </c>
      <c r="R65" s="52" t="s">
        <v>387</v>
      </c>
      <c r="S65" s="56" t="s">
        <v>515</v>
      </c>
      <c r="T65" s="54" t="s">
        <v>516</v>
      </c>
      <c r="U65" s="56" t="s">
        <v>517</v>
      </c>
      <c r="V65" s="54" t="s">
        <v>540</v>
      </c>
      <c r="W65" s="53"/>
      <c r="X65" s="56" t="s">
        <v>541</v>
      </c>
      <c r="Y65" s="72" t="s">
        <v>542</v>
      </c>
      <c r="Z65" s="72" t="s">
        <v>542</v>
      </c>
      <c r="AA65" s="53" t="s">
        <v>543</v>
      </c>
      <c r="AC65" s="24"/>
    </row>
    <row r="66" spans="1:29" ht="120" customHeight="1" x14ac:dyDescent="0.25">
      <c r="B66" s="52" t="s">
        <v>12</v>
      </c>
      <c r="C66" s="52" t="s">
        <v>514</v>
      </c>
      <c r="D66" s="52" t="s">
        <v>13</v>
      </c>
      <c r="E66" s="53">
        <v>1</v>
      </c>
      <c r="F66" s="52" t="s">
        <v>203</v>
      </c>
      <c r="G66" s="52" t="s">
        <v>204</v>
      </c>
      <c r="H66" s="55" t="s">
        <v>166</v>
      </c>
      <c r="I66" s="53">
        <v>7</v>
      </c>
      <c r="J66" s="52" t="s">
        <v>140</v>
      </c>
      <c r="K66" s="53">
        <v>30</v>
      </c>
      <c r="L66" s="53"/>
      <c r="M66" s="54" t="s">
        <v>544</v>
      </c>
      <c r="N66" s="54" t="s">
        <v>206</v>
      </c>
      <c r="O66" s="53"/>
      <c r="P66" s="55"/>
      <c r="Q66" s="56" t="s">
        <v>219</v>
      </c>
      <c r="R66" s="52" t="s">
        <v>387</v>
      </c>
      <c r="S66" s="56" t="s">
        <v>529</v>
      </c>
      <c r="T66" s="67" t="s">
        <v>545</v>
      </c>
      <c r="U66" s="56" t="s">
        <v>546</v>
      </c>
      <c r="V66" s="56" t="s">
        <v>547</v>
      </c>
      <c r="W66" s="53"/>
      <c r="X66" s="56" t="s">
        <v>541</v>
      </c>
      <c r="Y66" s="55" t="s">
        <v>548</v>
      </c>
      <c r="Z66" s="67" t="s">
        <v>549</v>
      </c>
      <c r="AA66" s="53" t="s">
        <v>542</v>
      </c>
      <c r="AC66" s="24"/>
    </row>
    <row r="67" spans="1:29" ht="120" customHeight="1" x14ac:dyDescent="0.25">
      <c r="B67" s="52" t="s">
        <v>12</v>
      </c>
      <c r="C67" s="52" t="s">
        <v>514</v>
      </c>
      <c r="D67" s="52" t="s">
        <v>13</v>
      </c>
      <c r="E67" s="53">
        <v>1</v>
      </c>
      <c r="F67" s="52" t="s">
        <v>550</v>
      </c>
      <c r="G67" s="52" t="s">
        <v>551</v>
      </c>
      <c r="H67" s="55" t="s">
        <v>166</v>
      </c>
      <c r="I67" s="53">
        <v>8</v>
      </c>
      <c r="J67" s="52" t="s">
        <v>140</v>
      </c>
      <c r="K67" s="53">
        <v>4</v>
      </c>
      <c r="L67" s="53"/>
      <c r="M67" s="54" t="s">
        <v>552</v>
      </c>
      <c r="N67" s="54"/>
      <c r="O67" s="53"/>
      <c r="P67" s="55"/>
      <c r="Q67" s="56"/>
      <c r="R67" s="52"/>
      <c r="S67" s="56" t="s">
        <v>515</v>
      </c>
      <c r="T67" s="54" t="s">
        <v>516</v>
      </c>
      <c r="U67" s="56" t="s">
        <v>517</v>
      </c>
      <c r="V67" s="56" t="s">
        <v>518</v>
      </c>
      <c r="W67" s="53"/>
      <c r="X67" s="63" t="s">
        <v>519</v>
      </c>
      <c r="Y67" s="55" t="s">
        <v>351</v>
      </c>
      <c r="Z67" s="55" t="s">
        <v>351</v>
      </c>
      <c r="AA67" s="53" t="s">
        <v>353</v>
      </c>
      <c r="AC67" s="24"/>
    </row>
    <row r="68" spans="1:29" ht="120" customHeight="1" x14ac:dyDescent="0.25">
      <c r="B68" s="52" t="s">
        <v>12</v>
      </c>
      <c r="C68" s="52" t="s">
        <v>514</v>
      </c>
      <c r="D68" s="52" t="s">
        <v>13</v>
      </c>
      <c r="E68" s="53">
        <v>1</v>
      </c>
      <c r="F68" s="52" t="s">
        <v>553</v>
      </c>
      <c r="G68" s="52" t="s">
        <v>554</v>
      </c>
      <c r="H68" s="55" t="s">
        <v>166</v>
      </c>
      <c r="I68" s="53">
        <v>9</v>
      </c>
      <c r="J68" s="52" t="s">
        <v>140</v>
      </c>
      <c r="K68" s="53">
        <v>15</v>
      </c>
      <c r="L68" s="53"/>
      <c r="M68" s="54" t="s">
        <v>555</v>
      </c>
      <c r="N68" s="54"/>
      <c r="O68" s="53"/>
      <c r="P68" s="55"/>
      <c r="Q68" s="56"/>
      <c r="R68" s="52"/>
      <c r="S68" s="56" t="s">
        <v>520</v>
      </c>
      <c r="T68" s="54" t="s">
        <v>521</v>
      </c>
      <c r="U68" s="54" t="s">
        <v>556</v>
      </c>
      <c r="V68" s="56" t="s">
        <v>557</v>
      </c>
      <c r="W68" s="53"/>
      <c r="X68" s="63" t="s">
        <v>519</v>
      </c>
      <c r="Y68" s="72" t="s">
        <v>524</v>
      </c>
      <c r="Z68" s="55" t="s">
        <v>558</v>
      </c>
      <c r="AA68" s="53" t="s">
        <v>351</v>
      </c>
      <c r="AC68" s="24"/>
    </row>
    <row r="69" spans="1:29" ht="120" customHeight="1" x14ac:dyDescent="0.25">
      <c r="B69" s="52" t="s">
        <v>12</v>
      </c>
      <c r="C69" s="52" t="s">
        <v>514</v>
      </c>
      <c r="D69" s="52" t="s">
        <v>13</v>
      </c>
      <c r="E69" s="53">
        <v>1</v>
      </c>
      <c r="F69" s="52" t="s">
        <v>214</v>
      </c>
      <c r="G69" s="52" t="s">
        <v>215</v>
      </c>
      <c r="H69" s="55" t="s">
        <v>216</v>
      </c>
      <c r="I69" s="53">
        <v>10</v>
      </c>
      <c r="J69" s="52" t="s">
        <v>140</v>
      </c>
      <c r="K69" s="53">
        <v>10</v>
      </c>
      <c r="L69" s="53"/>
      <c r="M69" s="54" t="s">
        <v>217</v>
      </c>
      <c r="N69" s="54" t="s">
        <v>218</v>
      </c>
      <c r="O69" s="53"/>
      <c r="P69" s="55"/>
      <c r="Q69" s="56" t="s">
        <v>219</v>
      </c>
      <c r="R69" s="52" t="s">
        <v>214</v>
      </c>
      <c r="S69" s="56" t="s">
        <v>520</v>
      </c>
      <c r="T69" s="54" t="s">
        <v>521</v>
      </c>
      <c r="U69" s="54" t="s">
        <v>559</v>
      </c>
      <c r="V69" s="56" t="s">
        <v>560</v>
      </c>
      <c r="W69" s="53"/>
      <c r="X69" s="63" t="s">
        <v>519</v>
      </c>
      <c r="Y69" s="72" t="s">
        <v>524</v>
      </c>
      <c r="Z69" s="55" t="s">
        <v>561</v>
      </c>
      <c r="AA69" s="53" t="s">
        <v>351</v>
      </c>
      <c r="AC69" s="24"/>
    </row>
    <row r="70" spans="1:29" ht="120" customHeight="1" x14ac:dyDescent="0.25">
      <c r="B70" s="52" t="s">
        <v>12</v>
      </c>
      <c r="C70" s="52" t="s">
        <v>514</v>
      </c>
      <c r="D70" s="52" t="s">
        <v>13</v>
      </c>
      <c r="E70" s="53">
        <v>1</v>
      </c>
      <c r="F70" s="52" t="s">
        <v>226</v>
      </c>
      <c r="G70" s="52" t="s">
        <v>227</v>
      </c>
      <c r="H70" s="55" t="s">
        <v>216</v>
      </c>
      <c r="I70" s="53">
        <v>11</v>
      </c>
      <c r="J70" s="52" t="s">
        <v>140</v>
      </c>
      <c r="K70" s="53">
        <v>10</v>
      </c>
      <c r="L70" s="53"/>
      <c r="M70" s="54" t="s">
        <v>228</v>
      </c>
      <c r="N70" s="54"/>
      <c r="O70" s="53"/>
      <c r="P70" s="55"/>
      <c r="Q70" s="56" t="s">
        <v>230</v>
      </c>
      <c r="R70" s="52" t="s">
        <v>226</v>
      </c>
      <c r="S70" s="56" t="s">
        <v>520</v>
      </c>
      <c r="T70" s="67" t="s">
        <v>521</v>
      </c>
      <c r="U70" s="67" t="s">
        <v>562</v>
      </c>
      <c r="V70" s="56" t="s">
        <v>563</v>
      </c>
      <c r="W70" s="53"/>
      <c r="X70" s="56" t="s">
        <v>541</v>
      </c>
      <c r="Y70" s="55" t="s">
        <v>564</v>
      </c>
      <c r="Z70" s="72" t="s">
        <v>565</v>
      </c>
      <c r="AA70" s="53" t="s">
        <v>542</v>
      </c>
      <c r="AC70" s="24"/>
    </row>
    <row r="71" spans="1:29" ht="120" customHeight="1" x14ac:dyDescent="0.25">
      <c r="B71" s="52" t="s">
        <v>12</v>
      </c>
      <c r="C71" s="52" t="s">
        <v>514</v>
      </c>
      <c r="D71" s="52" t="s">
        <v>13</v>
      </c>
      <c r="E71" s="53">
        <v>1</v>
      </c>
      <c r="F71" s="52" t="s">
        <v>238</v>
      </c>
      <c r="G71" s="52" t="s">
        <v>239</v>
      </c>
      <c r="H71" s="55" t="s">
        <v>240</v>
      </c>
      <c r="I71" s="53">
        <v>12</v>
      </c>
      <c r="J71" s="52" t="s">
        <v>140</v>
      </c>
      <c r="K71" s="53">
        <v>3</v>
      </c>
      <c r="L71" s="53"/>
      <c r="M71" s="54" t="s">
        <v>241</v>
      </c>
      <c r="N71" s="54"/>
      <c r="O71" s="53"/>
      <c r="P71" s="54" t="s">
        <v>397</v>
      </c>
      <c r="Q71" s="56" t="s">
        <v>566</v>
      </c>
      <c r="R71" s="56" t="s">
        <v>245</v>
      </c>
      <c r="S71" s="56" t="s">
        <v>529</v>
      </c>
      <c r="T71" s="67" t="s">
        <v>545</v>
      </c>
      <c r="U71" s="56" t="s">
        <v>567</v>
      </c>
      <c r="V71" s="56" t="s">
        <v>568</v>
      </c>
      <c r="W71" s="53"/>
      <c r="X71" s="63" t="s">
        <v>519</v>
      </c>
      <c r="Y71" s="72" t="s">
        <v>533</v>
      </c>
      <c r="Z71" s="55" t="s">
        <v>406</v>
      </c>
      <c r="AA71" s="53" t="s">
        <v>351</v>
      </c>
      <c r="AC71" s="24"/>
    </row>
    <row r="72" spans="1:29" ht="120" customHeight="1" x14ac:dyDescent="0.25">
      <c r="B72" s="52" t="s">
        <v>12</v>
      </c>
      <c r="C72" s="52" t="s">
        <v>514</v>
      </c>
      <c r="D72" s="52" t="s">
        <v>13</v>
      </c>
      <c r="E72" s="53">
        <v>1</v>
      </c>
      <c r="F72" s="52" t="s">
        <v>253</v>
      </c>
      <c r="G72" s="52" t="s">
        <v>254</v>
      </c>
      <c r="H72" s="55" t="s">
        <v>255</v>
      </c>
      <c r="I72" s="53">
        <v>13</v>
      </c>
      <c r="J72" s="52" t="s">
        <v>140</v>
      </c>
      <c r="K72" s="53">
        <v>4</v>
      </c>
      <c r="L72" s="53"/>
      <c r="M72" s="54" t="s">
        <v>256</v>
      </c>
      <c r="N72" s="54"/>
      <c r="O72" s="53"/>
      <c r="P72" s="55"/>
      <c r="Q72" s="65"/>
      <c r="R72" s="63"/>
      <c r="S72" s="56" t="s">
        <v>520</v>
      </c>
      <c r="T72" s="67" t="s">
        <v>521</v>
      </c>
      <c r="U72" s="65" t="s">
        <v>450</v>
      </c>
      <c r="V72" s="67" t="s">
        <v>569</v>
      </c>
      <c r="W72" s="73"/>
      <c r="X72" s="56" t="s">
        <v>541</v>
      </c>
      <c r="Y72" s="54" t="s">
        <v>542</v>
      </c>
      <c r="Z72" s="54" t="s">
        <v>542</v>
      </c>
      <c r="AA72" s="62" t="s">
        <v>570</v>
      </c>
      <c r="AC72" s="24"/>
    </row>
    <row r="73" spans="1:29" ht="120" customHeight="1" x14ac:dyDescent="0.25">
      <c r="B73" s="52" t="s">
        <v>12</v>
      </c>
      <c r="C73" s="52" t="s">
        <v>514</v>
      </c>
      <c r="D73" s="52" t="s">
        <v>13</v>
      </c>
      <c r="E73" s="53">
        <v>1</v>
      </c>
      <c r="F73" s="52" t="s">
        <v>260</v>
      </c>
      <c r="G73" s="52" t="s">
        <v>261</v>
      </c>
      <c r="H73" s="55" t="s">
        <v>262</v>
      </c>
      <c r="I73" s="53">
        <v>14</v>
      </c>
      <c r="J73" s="52" t="s">
        <v>263</v>
      </c>
      <c r="K73" s="53">
        <v>23</v>
      </c>
      <c r="L73" s="53">
        <v>6</v>
      </c>
      <c r="M73" s="54" t="s">
        <v>571</v>
      </c>
      <c r="N73" s="54"/>
      <c r="O73" s="53"/>
      <c r="P73" s="52"/>
      <c r="Q73" s="56" t="s">
        <v>219</v>
      </c>
      <c r="R73" s="52" t="s">
        <v>265</v>
      </c>
      <c r="S73" s="56" t="s">
        <v>529</v>
      </c>
      <c r="T73" s="56" t="s">
        <v>572</v>
      </c>
      <c r="U73" s="56" t="s">
        <v>573</v>
      </c>
      <c r="V73" s="56" t="s">
        <v>574</v>
      </c>
      <c r="W73" s="53"/>
      <c r="X73" s="63" t="s">
        <v>519</v>
      </c>
      <c r="Y73" s="55" t="s">
        <v>575</v>
      </c>
      <c r="Z73" s="55" t="s">
        <v>576</v>
      </c>
      <c r="AA73" s="53" t="s">
        <v>351</v>
      </c>
      <c r="AC73" s="24"/>
    </row>
    <row r="74" spans="1:29" ht="120" customHeight="1" x14ac:dyDescent="0.25">
      <c r="B74" s="52" t="s">
        <v>12</v>
      </c>
      <c r="C74" s="52" t="s">
        <v>514</v>
      </c>
      <c r="D74" s="52" t="s">
        <v>13</v>
      </c>
      <c r="E74" s="53">
        <v>1</v>
      </c>
      <c r="F74" s="56" t="s">
        <v>272</v>
      </c>
      <c r="G74" s="52" t="s">
        <v>273</v>
      </c>
      <c r="H74" s="55" t="s">
        <v>262</v>
      </c>
      <c r="I74" s="53">
        <v>15</v>
      </c>
      <c r="J74" s="52" t="s">
        <v>263</v>
      </c>
      <c r="K74" s="53">
        <v>23</v>
      </c>
      <c r="L74" s="53">
        <v>6</v>
      </c>
      <c r="M74" s="54" t="s">
        <v>577</v>
      </c>
      <c r="N74" s="54"/>
      <c r="O74" s="53"/>
      <c r="P74" s="52"/>
      <c r="Q74" s="82"/>
      <c r="R74" s="82"/>
      <c r="S74" s="56" t="s">
        <v>520</v>
      </c>
      <c r="T74" s="67" t="s">
        <v>521</v>
      </c>
      <c r="U74" s="56" t="s">
        <v>578</v>
      </c>
      <c r="V74" s="56" t="s">
        <v>579</v>
      </c>
      <c r="W74" s="53"/>
      <c r="X74" s="63" t="s">
        <v>519</v>
      </c>
      <c r="Y74" s="55" t="s">
        <v>524</v>
      </c>
      <c r="Z74" s="55" t="s">
        <v>580</v>
      </c>
      <c r="AA74" s="53" t="s">
        <v>351</v>
      </c>
      <c r="AC74" s="24"/>
    </row>
    <row r="75" spans="1:29" ht="120" customHeight="1" x14ac:dyDescent="0.25">
      <c r="B75" s="52" t="s">
        <v>12</v>
      </c>
      <c r="C75" s="52" t="s">
        <v>514</v>
      </c>
      <c r="D75" s="52" t="s">
        <v>13</v>
      </c>
      <c r="E75" s="53">
        <v>1</v>
      </c>
      <c r="F75" s="52" t="s">
        <v>581</v>
      </c>
      <c r="G75" s="52" t="s">
        <v>582</v>
      </c>
      <c r="H75" s="52" t="s">
        <v>262</v>
      </c>
      <c r="I75" s="53">
        <v>16</v>
      </c>
      <c r="J75" s="52" t="s">
        <v>263</v>
      </c>
      <c r="K75" s="53">
        <v>23</v>
      </c>
      <c r="L75" s="53">
        <v>6</v>
      </c>
      <c r="M75" s="54" t="s">
        <v>583</v>
      </c>
      <c r="N75" s="54"/>
      <c r="O75" s="53"/>
      <c r="P75" s="55"/>
      <c r="Q75" s="54" t="s">
        <v>584</v>
      </c>
      <c r="R75" s="54" t="s">
        <v>585</v>
      </c>
      <c r="S75" s="56" t="s">
        <v>529</v>
      </c>
      <c r="T75" s="56" t="s">
        <v>530</v>
      </c>
      <c r="U75" s="56" t="s">
        <v>586</v>
      </c>
      <c r="V75" s="56" t="s">
        <v>587</v>
      </c>
      <c r="W75" s="53"/>
      <c r="X75" s="56" t="s">
        <v>588</v>
      </c>
      <c r="Y75" s="55" t="s">
        <v>589</v>
      </c>
      <c r="Z75" s="55" t="s">
        <v>590</v>
      </c>
      <c r="AA75" s="53" t="s">
        <v>591</v>
      </c>
      <c r="AC75" s="24"/>
    </row>
    <row r="76" spans="1:29" ht="120" customHeight="1" x14ac:dyDescent="0.25">
      <c r="B76" s="52" t="s">
        <v>12</v>
      </c>
      <c r="C76" s="52" t="s">
        <v>514</v>
      </c>
      <c r="D76" s="52" t="s">
        <v>13</v>
      </c>
      <c r="E76" s="53">
        <v>1</v>
      </c>
      <c r="F76" s="52" t="s">
        <v>281</v>
      </c>
      <c r="G76" s="52" t="s">
        <v>282</v>
      </c>
      <c r="H76" s="52" t="s">
        <v>262</v>
      </c>
      <c r="I76" s="53">
        <v>17</v>
      </c>
      <c r="J76" s="52" t="s">
        <v>263</v>
      </c>
      <c r="K76" s="53">
        <v>23</v>
      </c>
      <c r="L76" s="53">
        <v>6</v>
      </c>
      <c r="M76" s="54" t="s">
        <v>592</v>
      </c>
      <c r="N76" s="54"/>
      <c r="O76" s="53"/>
      <c r="P76" s="55"/>
      <c r="Q76" s="54" t="s">
        <v>284</v>
      </c>
      <c r="R76" s="55" t="s">
        <v>285</v>
      </c>
      <c r="S76" s="56" t="s">
        <v>529</v>
      </c>
      <c r="T76" s="56" t="s">
        <v>530</v>
      </c>
      <c r="U76" s="56" t="s">
        <v>586</v>
      </c>
      <c r="V76" s="56" t="s">
        <v>593</v>
      </c>
      <c r="W76" s="53"/>
      <c r="X76" s="56" t="s">
        <v>588</v>
      </c>
      <c r="Y76" s="55" t="s">
        <v>589</v>
      </c>
      <c r="Z76" s="55" t="s">
        <v>590</v>
      </c>
      <c r="AA76" s="53" t="s">
        <v>594</v>
      </c>
      <c r="AC76" s="24"/>
    </row>
    <row r="77" spans="1:29" ht="120" customHeight="1" x14ac:dyDescent="0.25">
      <c r="B77" s="52" t="s">
        <v>12</v>
      </c>
      <c r="C77" s="52" t="s">
        <v>514</v>
      </c>
      <c r="D77" s="52" t="s">
        <v>13</v>
      </c>
      <c r="E77" s="53">
        <v>1</v>
      </c>
      <c r="F77" s="52" t="s">
        <v>291</v>
      </c>
      <c r="G77" s="52" t="s">
        <v>292</v>
      </c>
      <c r="H77" s="52" t="s">
        <v>262</v>
      </c>
      <c r="I77" s="53">
        <v>18</v>
      </c>
      <c r="J77" s="52" t="s">
        <v>263</v>
      </c>
      <c r="K77" s="53">
        <v>23</v>
      </c>
      <c r="L77" s="53">
        <v>6</v>
      </c>
      <c r="M77" s="54" t="s">
        <v>595</v>
      </c>
      <c r="N77" s="54"/>
      <c r="O77" s="53"/>
      <c r="P77" s="55"/>
      <c r="Q77" s="65"/>
      <c r="R77" s="63"/>
      <c r="S77" s="56" t="s">
        <v>596</v>
      </c>
      <c r="T77" s="67" t="s">
        <v>597</v>
      </c>
      <c r="U77" s="65" t="s">
        <v>299</v>
      </c>
      <c r="V77" s="65" t="s">
        <v>598</v>
      </c>
      <c r="W77" s="73"/>
      <c r="X77" s="56" t="s">
        <v>588</v>
      </c>
      <c r="Y77" s="54" t="s">
        <v>599</v>
      </c>
      <c r="Z77" s="54" t="s">
        <v>600</v>
      </c>
      <c r="AA77" s="62" t="s">
        <v>601</v>
      </c>
      <c r="AC77" s="24"/>
    </row>
    <row r="78" spans="1:29" s="290" customFormat="1" ht="120" customHeight="1" x14ac:dyDescent="0.25">
      <c r="A78" s="288"/>
      <c r="B78" s="266" t="s">
        <v>12</v>
      </c>
      <c r="C78" s="266" t="s">
        <v>514</v>
      </c>
      <c r="D78" s="266" t="s">
        <v>13</v>
      </c>
      <c r="E78" s="267">
        <v>1</v>
      </c>
      <c r="F78" s="266" t="s">
        <v>602</v>
      </c>
      <c r="G78" s="266" t="s">
        <v>603</v>
      </c>
      <c r="H78" s="268" t="s">
        <v>409</v>
      </c>
      <c r="I78" s="267">
        <v>19</v>
      </c>
      <c r="J78" s="266" t="s">
        <v>140</v>
      </c>
      <c r="K78" s="267">
        <v>10</v>
      </c>
      <c r="L78" s="267"/>
      <c r="M78" s="269" t="s">
        <v>604</v>
      </c>
      <c r="N78" s="269"/>
      <c r="O78" s="267"/>
      <c r="P78" s="268"/>
      <c r="Q78" s="270"/>
      <c r="R78" s="266"/>
      <c r="S78" s="270" t="s">
        <v>520</v>
      </c>
      <c r="T78" s="269" t="s">
        <v>521</v>
      </c>
      <c r="U78" s="269" t="s">
        <v>605</v>
      </c>
      <c r="V78" s="270" t="s">
        <v>606</v>
      </c>
      <c r="W78" s="267"/>
      <c r="X78" s="289" t="s">
        <v>519</v>
      </c>
      <c r="Y78" s="268" t="s">
        <v>524</v>
      </c>
      <c r="Z78" s="268" t="s">
        <v>607</v>
      </c>
      <c r="AA78" s="267" t="s">
        <v>351</v>
      </c>
    </row>
    <row r="79" spans="1:29" ht="120" customHeight="1" x14ac:dyDescent="0.25">
      <c r="B79" s="272" t="s">
        <v>12</v>
      </c>
      <c r="C79" s="272" t="s">
        <v>514</v>
      </c>
      <c r="D79" s="272" t="s">
        <v>13</v>
      </c>
      <c r="E79" s="273">
        <v>1</v>
      </c>
      <c r="F79" s="272" t="s">
        <v>407</v>
      </c>
      <c r="G79" s="272" t="s">
        <v>408</v>
      </c>
      <c r="H79" s="274" t="s">
        <v>409</v>
      </c>
      <c r="I79" s="273">
        <v>20</v>
      </c>
      <c r="J79" s="272" t="s">
        <v>140</v>
      </c>
      <c r="K79" s="273">
        <v>10</v>
      </c>
      <c r="L79" s="273"/>
      <c r="M79" s="275" t="s">
        <v>608</v>
      </c>
      <c r="N79" s="275"/>
      <c r="O79" s="273"/>
      <c r="P79" s="274"/>
      <c r="Q79" s="276" t="s">
        <v>609</v>
      </c>
      <c r="R79" s="272" t="s">
        <v>610</v>
      </c>
      <c r="S79" s="276" t="s">
        <v>520</v>
      </c>
      <c r="T79" s="275" t="s">
        <v>521</v>
      </c>
      <c r="U79" s="275" t="s">
        <v>611</v>
      </c>
      <c r="V79" s="276" t="s">
        <v>612</v>
      </c>
      <c r="W79" s="273"/>
      <c r="X79" s="279" t="s">
        <v>519</v>
      </c>
      <c r="Y79" s="274" t="s">
        <v>524</v>
      </c>
      <c r="Z79" s="275" t="s">
        <v>613</v>
      </c>
      <c r="AA79" s="273" t="s">
        <v>351</v>
      </c>
      <c r="AC79" s="24"/>
    </row>
    <row r="80" spans="1:29" ht="120" customHeight="1" x14ac:dyDescent="0.25">
      <c r="B80" s="52" t="s">
        <v>12</v>
      </c>
      <c r="C80" s="52" t="s">
        <v>514</v>
      </c>
      <c r="D80" s="52" t="s">
        <v>13</v>
      </c>
      <c r="E80" s="53">
        <v>1</v>
      </c>
      <c r="F80" s="52" t="s">
        <v>614</v>
      </c>
      <c r="G80" s="57" t="s">
        <v>615</v>
      </c>
      <c r="H80" s="52" t="s">
        <v>262</v>
      </c>
      <c r="I80" s="53">
        <v>21</v>
      </c>
      <c r="J80" s="52" t="s">
        <v>263</v>
      </c>
      <c r="K80" s="53">
        <v>23</v>
      </c>
      <c r="L80" s="53">
        <v>6</v>
      </c>
      <c r="M80" s="54" t="s">
        <v>616</v>
      </c>
      <c r="N80" s="54"/>
      <c r="O80" s="53"/>
      <c r="P80" s="55"/>
      <c r="Q80" s="54"/>
      <c r="R80" s="55"/>
      <c r="S80" s="56" t="s">
        <v>520</v>
      </c>
      <c r="T80" s="67" t="s">
        <v>617</v>
      </c>
      <c r="U80" s="54" t="s">
        <v>618</v>
      </c>
      <c r="V80" s="95" t="s">
        <v>619</v>
      </c>
      <c r="W80" s="53"/>
      <c r="X80" s="56" t="s">
        <v>519</v>
      </c>
      <c r="Y80" s="55" t="s">
        <v>524</v>
      </c>
      <c r="Z80" s="54" t="s">
        <v>620</v>
      </c>
      <c r="AA80" s="62" t="s">
        <v>542</v>
      </c>
      <c r="AC80" s="24"/>
    </row>
    <row r="81" spans="2:29" ht="120" customHeight="1" x14ac:dyDescent="0.25">
      <c r="B81" s="52" t="s">
        <v>12</v>
      </c>
      <c r="C81" s="52" t="s">
        <v>514</v>
      </c>
      <c r="D81" s="52" t="s">
        <v>13</v>
      </c>
      <c r="E81" s="53">
        <v>1</v>
      </c>
      <c r="F81" s="146" t="s">
        <v>621</v>
      </c>
      <c r="G81" s="52" t="s">
        <v>622</v>
      </c>
      <c r="H81" s="168" t="s">
        <v>262</v>
      </c>
      <c r="I81" s="53">
        <v>22</v>
      </c>
      <c r="J81" s="52" t="s">
        <v>263</v>
      </c>
      <c r="K81" s="53">
        <v>23</v>
      </c>
      <c r="L81" s="53">
        <v>6</v>
      </c>
      <c r="M81" s="54" t="s">
        <v>623</v>
      </c>
      <c r="N81" s="54"/>
      <c r="O81" s="53"/>
      <c r="P81" s="52"/>
      <c r="Q81" s="54"/>
      <c r="R81" s="55"/>
      <c r="S81" s="56" t="s">
        <v>520</v>
      </c>
      <c r="T81" s="67" t="s">
        <v>617</v>
      </c>
      <c r="U81" s="54" t="s">
        <v>624</v>
      </c>
      <c r="V81" s="56" t="s">
        <v>625</v>
      </c>
      <c r="W81" s="53"/>
      <c r="X81" s="56" t="s">
        <v>541</v>
      </c>
      <c r="Y81" s="54" t="s">
        <v>626</v>
      </c>
      <c r="Z81" s="54" t="s">
        <v>627</v>
      </c>
      <c r="AA81" s="62" t="s">
        <v>628</v>
      </c>
      <c r="AC81" s="24"/>
    </row>
    <row r="82" spans="2:29" ht="120" customHeight="1" x14ac:dyDescent="0.25">
      <c r="B82" s="52" t="s">
        <v>12</v>
      </c>
      <c r="C82" s="52" t="s">
        <v>514</v>
      </c>
      <c r="D82" s="52" t="s">
        <v>13</v>
      </c>
      <c r="E82" s="53">
        <v>1</v>
      </c>
      <c r="F82" s="146" t="s">
        <v>629</v>
      </c>
      <c r="G82" s="52" t="s">
        <v>630</v>
      </c>
      <c r="H82" s="140" t="s">
        <v>631</v>
      </c>
      <c r="I82" s="53">
        <v>23</v>
      </c>
      <c r="J82" s="52" t="s">
        <v>140</v>
      </c>
      <c r="K82" s="53">
        <v>3</v>
      </c>
      <c r="L82" s="53"/>
      <c r="M82" s="54" t="s">
        <v>632</v>
      </c>
      <c r="N82" s="54"/>
      <c r="O82" s="53"/>
      <c r="P82" s="54"/>
      <c r="Q82" s="54"/>
      <c r="R82" s="55"/>
      <c r="S82" s="56" t="s">
        <v>633</v>
      </c>
      <c r="T82" s="54" t="s">
        <v>634</v>
      </c>
      <c r="U82" s="54" t="s">
        <v>257</v>
      </c>
      <c r="V82" s="56" t="s">
        <v>635</v>
      </c>
      <c r="W82" s="53"/>
      <c r="X82" s="63" t="s">
        <v>519</v>
      </c>
      <c r="Y82" s="55" t="s">
        <v>636</v>
      </c>
      <c r="Z82" s="55" t="s">
        <v>637</v>
      </c>
      <c r="AA82" s="53" t="s">
        <v>638</v>
      </c>
      <c r="AC82" s="24"/>
    </row>
    <row r="83" spans="2:29" ht="120" customHeight="1" x14ac:dyDescent="0.25">
      <c r="B83" s="52" t="s">
        <v>12</v>
      </c>
      <c r="C83" s="52" t="s">
        <v>514</v>
      </c>
      <c r="D83" s="52" t="s">
        <v>13</v>
      </c>
      <c r="E83" s="53">
        <v>1</v>
      </c>
      <c r="F83" s="52" t="s">
        <v>639</v>
      </c>
      <c r="G83" s="233" t="s">
        <v>640</v>
      </c>
      <c r="H83" s="55" t="s">
        <v>631</v>
      </c>
      <c r="I83" s="53">
        <v>24</v>
      </c>
      <c r="J83" s="52" t="s">
        <v>140</v>
      </c>
      <c r="K83" s="53">
        <v>3</v>
      </c>
      <c r="L83" s="53"/>
      <c r="M83" s="54" t="s">
        <v>641</v>
      </c>
      <c r="N83" s="54"/>
      <c r="O83" s="53"/>
      <c r="P83" s="54" t="s">
        <v>642</v>
      </c>
      <c r="Q83" s="54"/>
      <c r="R83" s="55"/>
      <c r="S83" s="56" t="s">
        <v>633</v>
      </c>
      <c r="T83" s="54" t="s">
        <v>634</v>
      </c>
      <c r="U83" s="96" t="s">
        <v>643</v>
      </c>
      <c r="V83" s="249" t="s">
        <v>644</v>
      </c>
      <c r="W83" s="53"/>
      <c r="X83" s="63" t="s">
        <v>519</v>
      </c>
      <c r="Y83" s="55" t="s">
        <v>645</v>
      </c>
      <c r="Z83" s="55" t="s">
        <v>646</v>
      </c>
      <c r="AA83" s="53" t="s">
        <v>647</v>
      </c>
      <c r="AC83" s="24"/>
    </row>
    <row r="84" spans="2:29" ht="131.25" customHeight="1" x14ac:dyDescent="0.25">
      <c r="B84" s="52" t="s">
        <v>12</v>
      </c>
      <c r="C84" s="52" t="s">
        <v>514</v>
      </c>
      <c r="D84" s="52" t="s">
        <v>13</v>
      </c>
      <c r="E84" s="53">
        <v>1</v>
      </c>
      <c r="F84" s="52" t="s">
        <v>648</v>
      </c>
      <c r="G84" s="52" t="s">
        <v>649</v>
      </c>
      <c r="H84" s="55" t="s">
        <v>650</v>
      </c>
      <c r="I84" s="53">
        <v>25</v>
      </c>
      <c r="J84" s="52" t="s">
        <v>263</v>
      </c>
      <c r="K84" s="53">
        <v>23</v>
      </c>
      <c r="L84" s="53">
        <v>6</v>
      </c>
      <c r="M84" s="54" t="s">
        <v>651</v>
      </c>
      <c r="N84" s="54"/>
      <c r="O84" s="53"/>
      <c r="P84" s="55"/>
      <c r="Q84" s="54"/>
      <c r="R84" s="55"/>
      <c r="S84" s="56" t="s">
        <v>633</v>
      </c>
      <c r="T84" s="54" t="s">
        <v>634</v>
      </c>
      <c r="U84" s="54" t="s">
        <v>652</v>
      </c>
      <c r="V84" s="54" t="s">
        <v>653</v>
      </c>
      <c r="W84" s="94"/>
      <c r="X84" s="63" t="s">
        <v>519</v>
      </c>
      <c r="Y84" s="55" t="s">
        <v>654</v>
      </c>
      <c r="Z84" s="55" t="s">
        <v>655</v>
      </c>
      <c r="AA84" s="53" t="s">
        <v>656</v>
      </c>
      <c r="AC84" s="24"/>
    </row>
    <row r="85" spans="2:29" ht="128.25" customHeight="1" x14ac:dyDescent="0.25">
      <c r="B85" s="52" t="s">
        <v>12</v>
      </c>
      <c r="C85" s="52" t="s">
        <v>514</v>
      </c>
      <c r="D85" s="52" t="s">
        <v>13</v>
      </c>
      <c r="E85" s="53">
        <v>1</v>
      </c>
      <c r="F85" s="52" t="s">
        <v>657</v>
      </c>
      <c r="G85" s="52" t="s">
        <v>658</v>
      </c>
      <c r="H85" s="55" t="s">
        <v>650</v>
      </c>
      <c r="I85" s="53">
        <v>26</v>
      </c>
      <c r="J85" s="52" t="s">
        <v>263</v>
      </c>
      <c r="K85" s="53">
        <v>23</v>
      </c>
      <c r="L85" s="53">
        <v>6</v>
      </c>
      <c r="M85" s="54" t="s">
        <v>659</v>
      </c>
      <c r="N85" s="54"/>
      <c r="O85" s="53"/>
      <c r="P85" s="55"/>
      <c r="Q85" s="54"/>
      <c r="R85" s="55"/>
      <c r="S85" s="56" t="s">
        <v>633</v>
      </c>
      <c r="T85" s="54" t="s">
        <v>634</v>
      </c>
      <c r="U85" s="54" t="s">
        <v>660</v>
      </c>
      <c r="V85" s="56" t="s">
        <v>661</v>
      </c>
      <c r="W85" s="94"/>
      <c r="X85" s="63" t="s">
        <v>519</v>
      </c>
      <c r="Y85" s="55" t="s">
        <v>654</v>
      </c>
      <c r="Z85" s="55" t="s">
        <v>662</v>
      </c>
      <c r="AA85" s="53" t="s">
        <v>663</v>
      </c>
      <c r="AC85" s="24"/>
    </row>
    <row r="86" spans="2:29" ht="120" customHeight="1" x14ac:dyDescent="0.25">
      <c r="B86" s="52" t="s">
        <v>12</v>
      </c>
      <c r="C86" s="52" t="s">
        <v>514</v>
      </c>
      <c r="D86" s="52" t="s">
        <v>13</v>
      </c>
      <c r="E86" s="53">
        <v>1</v>
      </c>
      <c r="F86" s="52" t="s">
        <v>664</v>
      </c>
      <c r="G86" s="52" t="s">
        <v>665</v>
      </c>
      <c r="H86" s="55" t="s">
        <v>650</v>
      </c>
      <c r="I86" s="53">
        <v>27</v>
      </c>
      <c r="J86" s="52" t="s">
        <v>263</v>
      </c>
      <c r="K86" s="53">
        <v>23</v>
      </c>
      <c r="L86" s="53">
        <v>6</v>
      </c>
      <c r="M86" s="54" t="s">
        <v>666</v>
      </c>
      <c r="N86" s="54" t="s">
        <v>667</v>
      </c>
      <c r="O86" s="53"/>
      <c r="P86" s="52"/>
      <c r="Q86" s="56" t="s">
        <v>668</v>
      </c>
      <c r="R86" s="52" t="s">
        <v>669</v>
      </c>
      <c r="S86" s="56" t="s">
        <v>633</v>
      </c>
      <c r="T86" s="54" t="s">
        <v>634</v>
      </c>
      <c r="U86" s="56" t="s">
        <v>670</v>
      </c>
      <c r="V86" s="95" t="s">
        <v>671</v>
      </c>
      <c r="W86" s="53"/>
      <c r="X86" s="63" t="s">
        <v>519</v>
      </c>
      <c r="Y86" s="55" t="s">
        <v>672</v>
      </c>
      <c r="Z86" s="72" t="s">
        <v>673</v>
      </c>
      <c r="AA86" s="53" t="s">
        <v>674</v>
      </c>
      <c r="AC86" s="24"/>
    </row>
    <row r="87" spans="2:29" ht="120" customHeight="1" x14ac:dyDescent="0.25">
      <c r="B87" s="52" t="s">
        <v>12</v>
      </c>
      <c r="C87" s="52" t="s">
        <v>514</v>
      </c>
      <c r="D87" s="52" t="s">
        <v>13</v>
      </c>
      <c r="E87" s="53">
        <v>1</v>
      </c>
      <c r="F87" s="52" t="s">
        <v>301</v>
      </c>
      <c r="G87" s="52" t="s">
        <v>302</v>
      </c>
      <c r="H87" s="55" t="s">
        <v>303</v>
      </c>
      <c r="I87" s="53">
        <v>28</v>
      </c>
      <c r="J87" s="52" t="s">
        <v>140</v>
      </c>
      <c r="K87" s="53">
        <v>3</v>
      </c>
      <c r="L87" s="53"/>
      <c r="M87" s="54" t="s">
        <v>675</v>
      </c>
      <c r="N87" s="54"/>
      <c r="O87" s="53"/>
      <c r="P87" s="54" t="s">
        <v>676</v>
      </c>
      <c r="Q87" s="56" t="s">
        <v>307</v>
      </c>
      <c r="R87" s="56" t="s">
        <v>677</v>
      </c>
      <c r="S87" s="56" t="s">
        <v>515</v>
      </c>
      <c r="T87" s="54" t="s">
        <v>516</v>
      </c>
      <c r="U87" s="56" t="s">
        <v>517</v>
      </c>
      <c r="V87" s="54" t="s">
        <v>678</v>
      </c>
      <c r="W87" s="53"/>
      <c r="X87" s="63" t="s">
        <v>519</v>
      </c>
      <c r="Y87" s="72" t="s">
        <v>524</v>
      </c>
      <c r="Z87" s="67" t="s">
        <v>679</v>
      </c>
      <c r="AA87" s="53" t="s">
        <v>351</v>
      </c>
      <c r="AC87" s="24"/>
    </row>
    <row r="88" spans="2:29" ht="120" customHeight="1" x14ac:dyDescent="0.25">
      <c r="B88" s="52" t="s">
        <v>12</v>
      </c>
      <c r="C88" s="52" t="s">
        <v>514</v>
      </c>
      <c r="D88" s="52" t="s">
        <v>13</v>
      </c>
      <c r="E88" s="53">
        <v>1</v>
      </c>
      <c r="F88" s="52" t="s">
        <v>311</v>
      </c>
      <c r="G88" s="52" t="s">
        <v>312</v>
      </c>
      <c r="H88" s="55" t="s">
        <v>303</v>
      </c>
      <c r="I88" s="53">
        <v>29</v>
      </c>
      <c r="J88" s="52" t="s">
        <v>140</v>
      </c>
      <c r="K88" s="53">
        <v>3</v>
      </c>
      <c r="L88" s="53"/>
      <c r="M88" s="54" t="s">
        <v>313</v>
      </c>
      <c r="N88" s="54" t="s">
        <v>314</v>
      </c>
      <c r="O88" s="53"/>
      <c r="P88" s="54" t="s">
        <v>434</v>
      </c>
      <c r="Q88" s="56" t="s">
        <v>219</v>
      </c>
      <c r="R88" s="52" t="s">
        <v>316</v>
      </c>
      <c r="S88" s="56" t="s">
        <v>515</v>
      </c>
      <c r="T88" s="54" t="s">
        <v>516</v>
      </c>
      <c r="U88" s="56" t="s">
        <v>517</v>
      </c>
      <c r="V88" s="56" t="s">
        <v>680</v>
      </c>
      <c r="W88" s="53"/>
      <c r="X88" s="63" t="s">
        <v>519</v>
      </c>
      <c r="Y88" s="55" t="s">
        <v>351</v>
      </c>
      <c r="Z88" s="55" t="s">
        <v>351</v>
      </c>
      <c r="AA88" s="53" t="s">
        <v>437</v>
      </c>
      <c r="AC88" s="24"/>
    </row>
    <row r="89" spans="2:29" ht="120" customHeight="1" x14ac:dyDescent="0.25">
      <c r="B89" s="52" t="s">
        <v>12</v>
      </c>
      <c r="C89" s="52" t="s">
        <v>514</v>
      </c>
      <c r="D89" s="52" t="s">
        <v>13</v>
      </c>
      <c r="E89" s="53">
        <v>1</v>
      </c>
      <c r="F89" s="52" t="s">
        <v>322</v>
      </c>
      <c r="G89" s="52" t="s">
        <v>323</v>
      </c>
      <c r="H89" s="52" t="s">
        <v>324</v>
      </c>
      <c r="I89" s="53">
        <v>30</v>
      </c>
      <c r="J89" s="52" t="s">
        <v>140</v>
      </c>
      <c r="K89" s="53">
        <v>2</v>
      </c>
      <c r="L89" s="53"/>
      <c r="M89" s="54" t="s">
        <v>325</v>
      </c>
      <c r="N89" s="54"/>
      <c r="O89" s="53"/>
      <c r="P89" s="54" t="s">
        <v>681</v>
      </c>
      <c r="Q89" s="56"/>
      <c r="R89" s="52"/>
      <c r="S89" s="56" t="s">
        <v>520</v>
      </c>
      <c r="T89" s="56" t="s">
        <v>521</v>
      </c>
      <c r="U89" s="56" t="s">
        <v>450</v>
      </c>
      <c r="V89" s="56" t="s">
        <v>682</v>
      </c>
      <c r="W89" s="53" t="s">
        <v>683</v>
      </c>
      <c r="X89" s="63" t="s">
        <v>541</v>
      </c>
      <c r="Y89" s="55" t="s">
        <v>542</v>
      </c>
      <c r="Z89" s="55" t="s">
        <v>542</v>
      </c>
      <c r="AA89" s="53" t="s">
        <v>684</v>
      </c>
      <c r="AC89" s="24"/>
    </row>
    <row r="90" spans="2:29" ht="120" customHeight="1" x14ac:dyDescent="0.25">
      <c r="B90" s="52" t="s">
        <v>12</v>
      </c>
      <c r="C90" s="52" t="s">
        <v>514</v>
      </c>
      <c r="D90" s="52" t="s">
        <v>13</v>
      </c>
      <c r="E90" s="53">
        <v>1</v>
      </c>
      <c r="F90" s="52" t="s">
        <v>329</v>
      </c>
      <c r="G90" s="52" t="s">
        <v>330</v>
      </c>
      <c r="H90" s="52" t="s">
        <v>331</v>
      </c>
      <c r="I90" s="53">
        <v>31</v>
      </c>
      <c r="J90" s="52" t="s">
        <v>140</v>
      </c>
      <c r="K90" s="53">
        <v>10</v>
      </c>
      <c r="L90" s="53"/>
      <c r="M90" s="54" t="s">
        <v>332</v>
      </c>
      <c r="N90" s="54" t="s">
        <v>333</v>
      </c>
      <c r="O90" s="53" t="s">
        <v>142</v>
      </c>
      <c r="P90" s="55"/>
      <c r="Q90" s="56" t="s">
        <v>284</v>
      </c>
      <c r="R90" s="52" t="s">
        <v>685</v>
      </c>
      <c r="S90" s="56" t="s">
        <v>520</v>
      </c>
      <c r="T90" s="56" t="s">
        <v>521</v>
      </c>
      <c r="U90" s="54" t="s">
        <v>686</v>
      </c>
      <c r="V90" s="54" t="s">
        <v>687</v>
      </c>
      <c r="W90" s="53"/>
      <c r="X90" s="52" t="s">
        <v>351</v>
      </c>
      <c r="Y90" s="55" t="s">
        <v>351</v>
      </c>
      <c r="Z90" s="55" t="s">
        <v>351</v>
      </c>
      <c r="AA90" s="53" t="s">
        <v>351</v>
      </c>
      <c r="AC90" s="24"/>
    </row>
    <row r="91" spans="2:29" ht="120" customHeight="1" x14ac:dyDescent="0.25">
      <c r="B91" s="52" t="s">
        <v>12</v>
      </c>
      <c r="C91" s="52" t="s">
        <v>514</v>
      </c>
      <c r="D91" s="52" t="s">
        <v>13</v>
      </c>
      <c r="E91" s="53">
        <v>1</v>
      </c>
      <c r="F91" s="52" t="s">
        <v>336</v>
      </c>
      <c r="G91" s="52" t="s">
        <v>337</v>
      </c>
      <c r="H91" s="52" t="s">
        <v>338</v>
      </c>
      <c r="I91" s="53">
        <v>32</v>
      </c>
      <c r="J91" s="52" t="s">
        <v>339</v>
      </c>
      <c r="K91" s="53">
        <v>23</v>
      </c>
      <c r="L91" s="53"/>
      <c r="M91" s="54" t="s">
        <v>340</v>
      </c>
      <c r="N91" s="54" t="s">
        <v>341</v>
      </c>
      <c r="O91" s="53"/>
      <c r="P91" s="55"/>
      <c r="Q91" s="56"/>
      <c r="R91" s="52"/>
      <c r="S91" s="56" t="s">
        <v>520</v>
      </c>
      <c r="T91" s="56" t="s">
        <v>521</v>
      </c>
      <c r="U91" s="56" t="s">
        <v>450</v>
      </c>
      <c r="V91" s="56" t="s">
        <v>688</v>
      </c>
      <c r="W91" s="53"/>
      <c r="X91" s="52" t="s">
        <v>351</v>
      </c>
      <c r="Y91" s="55" t="s">
        <v>351</v>
      </c>
      <c r="Z91" s="55" t="s">
        <v>351</v>
      </c>
      <c r="AA91" s="53" t="s">
        <v>351</v>
      </c>
      <c r="AC91" s="24"/>
    </row>
    <row r="92" spans="2:29" ht="120" customHeight="1" x14ac:dyDescent="0.25">
      <c r="B92" s="52" t="s">
        <v>12</v>
      </c>
      <c r="C92" s="52" t="s">
        <v>689</v>
      </c>
      <c r="D92" s="52" t="s">
        <v>15</v>
      </c>
      <c r="E92" s="53">
        <v>2</v>
      </c>
      <c r="F92" s="52" t="s">
        <v>137</v>
      </c>
      <c r="G92" s="52" t="s">
        <v>138</v>
      </c>
      <c r="H92" s="52" t="s">
        <v>139</v>
      </c>
      <c r="I92" s="53">
        <v>1</v>
      </c>
      <c r="J92" s="52" t="s">
        <v>140</v>
      </c>
      <c r="K92" s="53">
        <v>4</v>
      </c>
      <c r="L92" s="53"/>
      <c r="M92" s="54" t="s">
        <v>141</v>
      </c>
      <c r="N92" s="54"/>
      <c r="O92" s="53" t="s">
        <v>142</v>
      </c>
      <c r="P92" s="55"/>
      <c r="Q92" s="56"/>
      <c r="R92" s="52"/>
      <c r="S92" s="56" t="s">
        <v>690</v>
      </c>
      <c r="T92" s="67" t="s">
        <v>691</v>
      </c>
      <c r="U92" s="56" t="s">
        <v>349</v>
      </c>
      <c r="V92" s="56" t="s">
        <v>692</v>
      </c>
      <c r="W92" s="53"/>
      <c r="X92" s="63" t="s">
        <v>519</v>
      </c>
      <c r="Y92" s="55" t="s">
        <v>351</v>
      </c>
      <c r="Z92" s="55" t="s">
        <v>351</v>
      </c>
      <c r="AA92" s="53" t="s">
        <v>353</v>
      </c>
      <c r="AC92" s="24"/>
    </row>
    <row r="93" spans="2:29" ht="120" customHeight="1" x14ac:dyDescent="0.25">
      <c r="B93" s="52" t="s">
        <v>12</v>
      </c>
      <c r="C93" s="52" t="s">
        <v>689</v>
      </c>
      <c r="D93" s="52" t="s">
        <v>15</v>
      </c>
      <c r="E93" s="53">
        <v>2</v>
      </c>
      <c r="F93" s="52" t="s">
        <v>553</v>
      </c>
      <c r="G93" s="52" t="s">
        <v>554</v>
      </c>
      <c r="H93" s="52" t="s">
        <v>139</v>
      </c>
      <c r="I93" s="53">
        <v>2</v>
      </c>
      <c r="J93" s="52" t="s">
        <v>140</v>
      </c>
      <c r="K93" s="53">
        <v>15</v>
      </c>
      <c r="L93" s="53"/>
      <c r="M93" s="54" t="s">
        <v>693</v>
      </c>
      <c r="N93" s="54" t="s">
        <v>155</v>
      </c>
      <c r="O93" s="53" t="s">
        <v>142</v>
      </c>
      <c r="P93" s="55"/>
      <c r="Q93" s="56"/>
      <c r="R93" s="52"/>
      <c r="S93" s="52" t="s">
        <v>694</v>
      </c>
      <c r="T93" s="72" t="s">
        <v>533</v>
      </c>
      <c r="U93" s="52" t="s">
        <v>695</v>
      </c>
      <c r="V93" s="56" t="s">
        <v>696</v>
      </c>
      <c r="W93" s="53"/>
      <c r="X93" s="63" t="s">
        <v>519</v>
      </c>
      <c r="Y93" s="72" t="s">
        <v>533</v>
      </c>
      <c r="Z93" s="55" t="s">
        <v>558</v>
      </c>
      <c r="AA93" s="53" t="s">
        <v>351</v>
      </c>
      <c r="AC93" s="24"/>
    </row>
    <row r="94" spans="2:29" ht="120" customHeight="1" x14ac:dyDescent="0.25">
      <c r="B94" s="52" t="s">
        <v>12</v>
      </c>
      <c r="C94" s="52" t="s">
        <v>689</v>
      </c>
      <c r="D94" s="52" t="s">
        <v>15</v>
      </c>
      <c r="E94" s="53">
        <v>2</v>
      </c>
      <c r="F94" s="52" t="s">
        <v>164</v>
      </c>
      <c r="G94" s="52" t="s">
        <v>165</v>
      </c>
      <c r="H94" s="55" t="s">
        <v>166</v>
      </c>
      <c r="I94" s="53">
        <v>3</v>
      </c>
      <c r="J94" s="52" t="s">
        <v>140</v>
      </c>
      <c r="K94" s="53">
        <v>20</v>
      </c>
      <c r="L94" s="53"/>
      <c r="M94" s="54" t="s">
        <v>167</v>
      </c>
      <c r="N94" s="54" t="s">
        <v>168</v>
      </c>
      <c r="O94" s="53"/>
      <c r="P94" s="54" t="s">
        <v>526</v>
      </c>
      <c r="Q94" s="56"/>
      <c r="R94" s="52"/>
      <c r="S94" s="56" t="s">
        <v>690</v>
      </c>
      <c r="T94" s="67" t="s">
        <v>691</v>
      </c>
      <c r="U94" s="56" t="s">
        <v>349</v>
      </c>
      <c r="V94" s="56" t="s">
        <v>697</v>
      </c>
      <c r="W94" s="53"/>
      <c r="X94" s="52" t="s">
        <v>351</v>
      </c>
      <c r="Y94" s="52" t="s">
        <v>351</v>
      </c>
      <c r="Z94" s="52" t="s">
        <v>351</v>
      </c>
      <c r="AA94" s="53" t="s">
        <v>351</v>
      </c>
      <c r="AC94" s="24"/>
    </row>
    <row r="95" spans="2:29" ht="120" customHeight="1" x14ac:dyDescent="0.25">
      <c r="B95" s="52" t="s">
        <v>12</v>
      </c>
      <c r="C95" s="52" t="s">
        <v>689</v>
      </c>
      <c r="D95" s="52" t="s">
        <v>15</v>
      </c>
      <c r="E95" s="53">
        <v>2</v>
      </c>
      <c r="F95" s="52" t="s">
        <v>172</v>
      </c>
      <c r="G95" s="52" t="s">
        <v>173</v>
      </c>
      <c r="H95" s="55" t="s">
        <v>166</v>
      </c>
      <c r="I95" s="53">
        <v>4</v>
      </c>
      <c r="J95" s="52" t="s">
        <v>140</v>
      </c>
      <c r="K95" s="53">
        <v>3</v>
      </c>
      <c r="L95" s="53"/>
      <c r="M95" s="54" t="s">
        <v>174</v>
      </c>
      <c r="N95" s="54" t="s">
        <v>175</v>
      </c>
      <c r="O95" s="53"/>
      <c r="P95" s="54" t="s">
        <v>698</v>
      </c>
      <c r="Q95" s="56"/>
      <c r="R95" s="52"/>
      <c r="S95" s="52" t="s">
        <v>694</v>
      </c>
      <c r="T95" s="63" t="s">
        <v>533</v>
      </c>
      <c r="U95" s="52" t="s">
        <v>534</v>
      </c>
      <c r="V95" s="56" t="s">
        <v>699</v>
      </c>
      <c r="W95" s="53"/>
      <c r="X95" s="63" t="s">
        <v>519</v>
      </c>
      <c r="Y95" s="72" t="s">
        <v>533</v>
      </c>
      <c r="Z95" s="55" t="s">
        <v>534</v>
      </c>
      <c r="AA95" s="53" t="s">
        <v>351</v>
      </c>
      <c r="AC95" s="24"/>
    </row>
    <row r="96" spans="2:29" ht="120" customHeight="1" x14ac:dyDescent="0.25">
      <c r="B96" s="52" t="s">
        <v>12</v>
      </c>
      <c r="C96" s="52" t="s">
        <v>689</v>
      </c>
      <c r="D96" s="52" t="s">
        <v>15</v>
      </c>
      <c r="E96" s="53">
        <v>2</v>
      </c>
      <c r="F96" s="52" t="s">
        <v>184</v>
      </c>
      <c r="G96" s="52" t="s">
        <v>185</v>
      </c>
      <c r="H96" s="55" t="s">
        <v>166</v>
      </c>
      <c r="I96" s="53">
        <v>5</v>
      </c>
      <c r="J96" s="52" t="s">
        <v>140</v>
      </c>
      <c r="K96" s="53">
        <v>3</v>
      </c>
      <c r="L96" s="53"/>
      <c r="M96" s="54" t="s">
        <v>186</v>
      </c>
      <c r="N96" s="54"/>
      <c r="O96" s="53"/>
      <c r="P96" s="54" t="s">
        <v>535</v>
      </c>
      <c r="Q96" s="56"/>
      <c r="R96" s="52"/>
      <c r="S96" s="52" t="s">
        <v>694</v>
      </c>
      <c r="T96" s="63" t="s">
        <v>533</v>
      </c>
      <c r="U96" s="52" t="s">
        <v>538</v>
      </c>
      <c r="V96" s="56" t="s">
        <v>700</v>
      </c>
      <c r="W96" s="53"/>
      <c r="X96" s="63" t="s">
        <v>519</v>
      </c>
      <c r="Y96" s="72" t="s">
        <v>533</v>
      </c>
      <c r="Z96" s="72" t="s">
        <v>538</v>
      </c>
      <c r="AA96" s="53" t="s">
        <v>351</v>
      </c>
      <c r="AC96" s="24"/>
    </row>
    <row r="97" spans="2:29" ht="120" customHeight="1" x14ac:dyDescent="0.25">
      <c r="B97" s="52" t="s">
        <v>12</v>
      </c>
      <c r="C97" s="52" t="s">
        <v>689</v>
      </c>
      <c r="D97" s="52" t="s">
        <v>15</v>
      </c>
      <c r="E97" s="53">
        <v>2</v>
      </c>
      <c r="F97" s="52" t="s">
        <v>193</v>
      </c>
      <c r="G97" s="52" t="s">
        <v>194</v>
      </c>
      <c r="H97" s="55" t="s">
        <v>166</v>
      </c>
      <c r="I97" s="53">
        <v>6</v>
      </c>
      <c r="J97" s="52" t="s">
        <v>140</v>
      </c>
      <c r="K97" s="53">
        <v>4</v>
      </c>
      <c r="L97" s="53"/>
      <c r="M97" s="54" t="s">
        <v>701</v>
      </c>
      <c r="N97" s="54"/>
      <c r="O97" s="53"/>
      <c r="P97" s="55"/>
      <c r="Q97" s="56"/>
      <c r="R97" s="52"/>
      <c r="S97" s="52" t="s">
        <v>694</v>
      </c>
      <c r="T97" s="72" t="s">
        <v>533</v>
      </c>
      <c r="U97" s="52" t="s">
        <v>351</v>
      </c>
      <c r="V97" s="56" t="s">
        <v>702</v>
      </c>
      <c r="W97" s="53"/>
      <c r="X97" s="63" t="s">
        <v>519</v>
      </c>
      <c r="Y97" s="55" t="s">
        <v>351</v>
      </c>
      <c r="Z97" s="55" t="s">
        <v>351</v>
      </c>
      <c r="AA97" s="53" t="s">
        <v>353</v>
      </c>
      <c r="AC97" s="24"/>
    </row>
    <row r="98" spans="2:29" ht="120" customHeight="1" x14ac:dyDescent="0.25">
      <c r="B98" s="52" t="s">
        <v>12</v>
      </c>
      <c r="C98" s="52" t="s">
        <v>689</v>
      </c>
      <c r="D98" s="52" t="s">
        <v>15</v>
      </c>
      <c r="E98" s="53">
        <v>2</v>
      </c>
      <c r="F98" s="52" t="s">
        <v>203</v>
      </c>
      <c r="G98" s="52" t="s">
        <v>204</v>
      </c>
      <c r="H98" s="55" t="s">
        <v>166</v>
      </c>
      <c r="I98" s="53">
        <v>7</v>
      </c>
      <c r="J98" s="52" t="s">
        <v>140</v>
      </c>
      <c r="K98" s="53">
        <v>30</v>
      </c>
      <c r="L98" s="53"/>
      <c r="M98" s="54" t="s">
        <v>703</v>
      </c>
      <c r="N98" s="54" t="s">
        <v>206</v>
      </c>
      <c r="O98" s="53"/>
      <c r="P98" s="55"/>
      <c r="Q98" s="56"/>
      <c r="R98" s="52"/>
      <c r="S98" s="52" t="s">
        <v>694</v>
      </c>
      <c r="T98" s="72" t="s">
        <v>533</v>
      </c>
      <c r="U98" s="55" t="s">
        <v>704</v>
      </c>
      <c r="V98" s="54" t="s">
        <v>705</v>
      </c>
      <c r="W98" s="53"/>
      <c r="X98" s="63" t="s">
        <v>519</v>
      </c>
      <c r="Y98" s="55" t="s">
        <v>533</v>
      </c>
      <c r="Z98" s="67" t="s">
        <v>706</v>
      </c>
      <c r="AA98" s="53" t="s">
        <v>351</v>
      </c>
      <c r="AC98" s="24"/>
    </row>
    <row r="99" spans="2:29" ht="120" customHeight="1" x14ac:dyDescent="0.25">
      <c r="B99" s="52" t="s">
        <v>12</v>
      </c>
      <c r="C99" s="52" t="s">
        <v>689</v>
      </c>
      <c r="D99" s="52" t="s">
        <v>15</v>
      </c>
      <c r="E99" s="53">
        <v>2</v>
      </c>
      <c r="F99" s="52" t="s">
        <v>214</v>
      </c>
      <c r="G99" s="52" t="s">
        <v>215</v>
      </c>
      <c r="H99" s="55" t="s">
        <v>216</v>
      </c>
      <c r="I99" s="53">
        <v>8</v>
      </c>
      <c r="J99" s="52" t="s">
        <v>140</v>
      </c>
      <c r="K99" s="53">
        <v>10</v>
      </c>
      <c r="L99" s="53"/>
      <c r="M99" s="54" t="s">
        <v>707</v>
      </c>
      <c r="N99" s="54" t="s">
        <v>218</v>
      </c>
      <c r="O99" s="53"/>
      <c r="P99" s="55"/>
      <c r="Q99" s="56"/>
      <c r="R99" s="52"/>
      <c r="S99" s="52" t="s">
        <v>694</v>
      </c>
      <c r="T99" s="72" t="s">
        <v>533</v>
      </c>
      <c r="U99" s="52" t="s">
        <v>708</v>
      </c>
      <c r="V99" s="56" t="s">
        <v>709</v>
      </c>
      <c r="W99" s="53"/>
      <c r="X99" s="63" t="s">
        <v>519</v>
      </c>
      <c r="Y99" s="55" t="s">
        <v>533</v>
      </c>
      <c r="Z99" s="55" t="s">
        <v>708</v>
      </c>
      <c r="AA99" s="53" t="s">
        <v>351</v>
      </c>
      <c r="AC99" s="24"/>
    </row>
    <row r="100" spans="2:29" ht="120" customHeight="1" x14ac:dyDescent="0.25">
      <c r="B100" s="52" t="s">
        <v>12</v>
      </c>
      <c r="C100" s="52" t="s">
        <v>689</v>
      </c>
      <c r="D100" s="52" t="s">
        <v>15</v>
      </c>
      <c r="E100" s="53">
        <v>2</v>
      </c>
      <c r="F100" s="52" t="s">
        <v>226</v>
      </c>
      <c r="G100" s="52" t="s">
        <v>227</v>
      </c>
      <c r="H100" s="55" t="s">
        <v>216</v>
      </c>
      <c r="I100" s="53">
        <v>9</v>
      </c>
      <c r="J100" s="52" t="s">
        <v>140</v>
      </c>
      <c r="K100" s="53">
        <v>10</v>
      </c>
      <c r="L100" s="53"/>
      <c r="M100" s="54" t="s">
        <v>710</v>
      </c>
      <c r="N100" s="54" t="s">
        <v>229</v>
      </c>
      <c r="O100" s="53"/>
      <c r="P100" s="55"/>
      <c r="Q100" s="56"/>
      <c r="R100" s="52"/>
      <c r="S100" s="52" t="s">
        <v>694</v>
      </c>
      <c r="T100" s="72" t="s">
        <v>533</v>
      </c>
      <c r="U100" s="52" t="s">
        <v>351</v>
      </c>
      <c r="V100" s="56" t="s">
        <v>711</v>
      </c>
      <c r="W100" s="53"/>
      <c r="X100" s="63" t="s">
        <v>519</v>
      </c>
      <c r="Y100" s="55" t="s">
        <v>351</v>
      </c>
      <c r="Z100" s="55" t="s">
        <v>351</v>
      </c>
      <c r="AA100" s="66" t="s">
        <v>712</v>
      </c>
      <c r="AC100" s="24"/>
    </row>
    <row r="101" spans="2:29" ht="120" customHeight="1" x14ac:dyDescent="0.25">
      <c r="B101" s="52" t="s">
        <v>12</v>
      </c>
      <c r="C101" s="52" t="s">
        <v>689</v>
      </c>
      <c r="D101" s="52" t="s">
        <v>15</v>
      </c>
      <c r="E101" s="53">
        <v>2</v>
      </c>
      <c r="F101" s="52" t="s">
        <v>238</v>
      </c>
      <c r="G101" s="52" t="s">
        <v>239</v>
      </c>
      <c r="H101" s="55" t="s">
        <v>240</v>
      </c>
      <c r="I101" s="53">
        <v>10</v>
      </c>
      <c r="J101" s="52" t="s">
        <v>140</v>
      </c>
      <c r="K101" s="53">
        <v>3</v>
      </c>
      <c r="L101" s="53"/>
      <c r="M101" s="54" t="s">
        <v>713</v>
      </c>
      <c r="N101" s="54" t="s">
        <v>242</v>
      </c>
      <c r="O101" s="53"/>
      <c r="P101" s="54" t="s">
        <v>397</v>
      </c>
      <c r="Q101" s="56"/>
      <c r="R101" s="56"/>
      <c r="S101" s="52" t="s">
        <v>694</v>
      </c>
      <c r="T101" s="72" t="s">
        <v>533</v>
      </c>
      <c r="U101" s="52" t="s">
        <v>406</v>
      </c>
      <c r="V101" s="56" t="s">
        <v>714</v>
      </c>
      <c r="W101" s="53"/>
      <c r="X101" s="63" t="s">
        <v>519</v>
      </c>
      <c r="Y101" s="72" t="s">
        <v>533</v>
      </c>
      <c r="Z101" s="72" t="s">
        <v>406</v>
      </c>
      <c r="AA101" s="53" t="s">
        <v>351</v>
      </c>
      <c r="AC101" s="24"/>
    </row>
    <row r="102" spans="2:29" ht="120" customHeight="1" x14ac:dyDescent="0.25">
      <c r="B102" s="52" t="s">
        <v>12</v>
      </c>
      <c r="C102" s="52" t="s">
        <v>689</v>
      </c>
      <c r="D102" s="52" t="s">
        <v>15</v>
      </c>
      <c r="E102" s="53">
        <v>2</v>
      </c>
      <c r="F102" s="52" t="s">
        <v>581</v>
      </c>
      <c r="G102" s="52" t="s">
        <v>582</v>
      </c>
      <c r="H102" s="52" t="s">
        <v>262</v>
      </c>
      <c r="I102" s="53">
        <v>11</v>
      </c>
      <c r="J102" s="52" t="s">
        <v>263</v>
      </c>
      <c r="K102" s="53">
        <v>23</v>
      </c>
      <c r="L102" s="53">
        <v>6</v>
      </c>
      <c r="M102" s="54" t="s">
        <v>583</v>
      </c>
      <c r="N102" s="54"/>
      <c r="O102" s="53"/>
      <c r="P102" s="55"/>
      <c r="Q102" s="54"/>
      <c r="R102" s="54"/>
      <c r="S102" s="52" t="s">
        <v>694</v>
      </c>
      <c r="T102" s="72" t="s">
        <v>533</v>
      </c>
      <c r="U102" s="82" t="s">
        <v>715</v>
      </c>
      <c r="V102" s="54" t="s">
        <v>716</v>
      </c>
      <c r="W102" s="53"/>
      <c r="X102" s="63" t="s">
        <v>519</v>
      </c>
      <c r="Y102" s="72" t="s">
        <v>533</v>
      </c>
      <c r="Z102" s="63" t="s">
        <v>715</v>
      </c>
      <c r="AA102" s="53" t="s">
        <v>351</v>
      </c>
      <c r="AC102" s="24"/>
    </row>
    <row r="103" spans="2:29" ht="120" customHeight="1" x14ac:dyDescent="0.25">
      <c r="B103" s="52" t="s">
        <v>12</v>
      </c>
      <c r="C103" s="52" t="s">
        <v>689</v>
      </c>
      <c r="D103" s="52" t="s">
        <v>15</v>
      </c>
      <c r="E103" s="53">
        <v>2</v>
      </c>
      <c r="F103" s="52" t="s">
        <v>717</v>
      </c>
      <c r="G103" s="52" t="s">
        <v>718</v>
      </c>
      <c r="H103" s="55" t="s">
        <v>303</v>
      </c>
      <c r="I103" s="53">
        <v>12</v>
      </c>
      <c r="J103" s="52" t="s">
        <v>140</v>
      </c>
      <c r="K103" s="53">
        <v>3</v>
      </c>
      <c r="L103" s="53"/>
      <c r="M103" s="54" t="s">
        <v>719</v>
      </c>
      <c r="N103" s="54" t="s">
        <v>305</v>
      </c>
      <c r="O103" s="53"/>
      <c r="P103" s="54" t="s">
        <v>720</v>
      </c>
      <c r="Q103" s="56"/>
      <c r="R103" s="52"/>
      <c r="S103" s="56" t="s">
        <v>690</v>
      </c>
      <c r="T103" s="67" t="s">
        <v>691</v>
      </c>
      <c r="U103" s="56" t="s">
        <v>349</v>
      </c>
      <c r="V103" s="97" t="s">
        <v>721</v>
      </c>
      <c r="W103" s="53"/>
      <c r="X103" s="63" t="s">
        <v>519</v>
      </c>
      <c r="Y103" s="72" t="s">
        <v>533</v>
      </c>
      <c r="Z103" s="81" t="s">
        <v>722</v>
      </c>
      <c r="AA103" s="53" t="s">
        <v>351</v>
      </c>
      <c r="AC103" s="24"/>
    </row>
    <row r="104" spans="2:29" ht="120" customHeight="1" x14ac:dyDescent="0.25">
      <c r="B104" s="52" t="s">
        <v>12</v>
      </c>
      <c r="C104" s="52" t="s">
        <v>689</v>
      </c>
      <c r="D104" s="52" t="s">
        <v>15</v>
      </c>
      <c r="E104" s="53">
        <v>2</v>
      </c>
      <c r="F104" s="52" t="s">
        <v>723</v>
      </c>
      <c r="G104" s="52" t="s">
        <v>724</v>
      </c>
      <c r="H104" s="55" t="s">
        <v>303</v>
      </c>
      <c r="I104" s="53">
        <v>13</v>
      </c>
      <c r="J104" s="52" t="s">
        <v>140</v>
      </c>
      <c r="K104" s="53">
        <v>3</v>
      </c>
      <c r="L104" s="53"/>
      <c r="M104" s="54" t="s">
        <v>725</v>
      </c>
      <c r="N104" s="54" t="s">
        <v>314</v>
      </c>
      <c r="O104" s="53"/>
      <c r="P104" s="54" t="s">
        <v>726</v>
      </c>
      <c r="Q104" s="65"/>
      <c r="R104" s="63"/>
      <c r="S104" s="56" t="s">
        <v>690</v>
      </c>
      <c r="T104" s="67" t="s">
        <v>691</v>
      </c>
      <c r="U104" s="56" t="s">
        <v>349</v>
      </c>
      <c r="V104" s="56" t="s">
        <v>727</v>
      </c>
      <c r="W104" s="53"/>
      <c r="X104" s="63" t="s">
        <v>519</v>
      </c>
      <c r="Y104" s="55" t="s">
        <v>351</v>
      </c>
      <c r="Z104" s="55" t="s">
        <v>351</v>
      </c>
      <c r="AA104" s="53" t="s">
        <v>437</v>
      </c>
      <c r="AC104" s="24"/>
    </row>
    <row r="105" spans="2:29" ht="120" customHeight="1" x14ac:dyDescent="0.25">
      <c r="B105" s="52" t="s">
        <v>12</v>
      </c>
      <c r="C105" s="52" t="s">
        <v>689</v>
      </c>
      <c r="D105" s="52" t="s">
        <v>15</v>
      </c>
      <c r="E105" s="53">
        <v>2</v>
      </c>
      <c r="F105" s="52" t="s">
        <v>329</v>
      </c>
      <c r="G105" s="52" t="s">
        <v>330</v>
      </c>
      <c r="H105" s="52" t="s">
        <v>331</v>
      </c>
      <c r="I105" s="53">
        <v>14</v>
      </c>
      <c r="J105" s="52" t="s">
        <v>140</v>
      </c>
      <c r="K105" s="53">
        <v>10</v>
      </c>
      <c r="L105" s="53"/>
      <c r="M105" s="54" t="s">
        <v>332</v>
      </c>
      <c r="N105" s="54" t="s">
        <v>333</v>
      </c>
      <c r="O105" s="53" t="s">
        <v>142</v>
      </c>
      <c r="P105" s="55"/>
      <c r="Q105" s="56"/>
      <c r="R105" s="52"/>
      <c r="S105" s="52" t="s">
        <v>694</v>
      </c>
      <c r="T105" s="72" t="s">
        <v>533</v>
      </c>
      <c r="U105" s="52" t="s">
        <v>728</v>
      </c>
      <c r="V105" s="56" t="s">
        <v>729</v>
      </c>
      <c r="W105" s="53"/>
      <c r="X105" s="52" t="s">
        <v>351</v>
      </c>
      <c r="Y105" s="55" t="s">
        <v>351</v>
      </c>
      <c r="Z105" s="55" t="s">
        <v>351</v>
      </c>
      <c r="AA105" s="53" t="s">
        <v>351</v>
      </c>
      <c r="AC105" s="24"/>
    </row>
    <row r="106" spans="2:29" ht="120" customHeight="1" x14ac:dyDescent="0.25">
      <c r="B106" s="52" t="s">
        <v>12</v>
      </c>
      <c r="C106" s="52" t="s">
        <v>689</v>
      </c>
      <c r="D106" s="52" t="s">
        <v>15</v>
      </c>
      <c r="E106" s="53">
        <v>2</v>
      </c>
      <c r="F106" s="52" t="s">
        <v>336</v>
      </c>
      <c r="G106" s="52" t="s">
        <v>337</v>
      </c>
      <c r="H106" s="52" t="s">
        <v>338</v>
      </c>
      <c r="I106" s="53">
        <v>15</v>
      </c>
      <c r="J106" s="52" t="s">
        <v>339</v>
      </c>
      <c r="K106" s="53">
        <v>23</v>
      </c>
      <c r="L106" s="53"/>
      <c r="M106" s="54" t="s">
        <v>340</v>
      </c>
      <c r="N106" s="54" t="s">
        <v>341</v>
      </c>
      <c r="O106" s="53"/>
      <c r="P106" s="55"/>
      <c r="Q106" s="56"/>
      <c r="R106" s="52"/>
      <c r="S106" s="52" t="s">
        <v>694</v>
      </c>
      <c r="T106" s="72" t="s">
        <v>533</v>
      </c>
      <c r="U106" s="52" t="s">
        <v>351</v>
      </c>
      <c r="V106" s="56" t="s">
        <v>730</v>
      </c>
      <c r="W106" s="53"/>
      <c r="X106" s="52" t="s">
        <v>351</v>
      </c>
      <c r="Y106" s="55" t="s">
        <v>351</v>
      </c>
      <c r="Z106" s="55" t="s">
        <v>351</v>
      </c>
      <c r="AA106" s="53" t="s">
        <v>351</v>
      </c>
      <c r="AC106" s="24"/>
    </row>
    <row r="107" spans="2:29" ht="120" customHeight="1" x14ac:dyDescent="0.25">
      <c r="B107" s="52" t="s">
        <v>17</v>
      </c>
      <c r="C107" s="52" t="s">
        <v>731</v>
      </c>
      <c r="D107" s="52" t="s">
        <v>18</v>
      </c>
      <c r="E107" s="53">
        <v>1</v>
      </c>
      <c r="F107" s="52" t="s">
        <v>137</v>
      </c>
      <c r="G107" s="52" t="s">
        <v>138</v>
      </c>
      <c r="H107" s="52" t="s">
        <v>139</v>
      </c>
      <c r="I107" s="53">
        <v>1</v>
      </c>
      <c r="J107" s="52" t="s">
        <v>140</v>
      </c>
      <c r="K107" s="53">
        <v>4</v>
      </c>
      <c r="L107" s="53"/>
      <c r="M107" s="54" t="s">
        <v>141</v>
      </c>
      <c r="N107" s="54"/>
      <c r="O107" s="53" t="s">
        <v>142</v>
      </c>
      <c r="P107" s="52"/>
      <c r="Q107" s="56" t="s">
        <v>732</v>
      </c>
      <c r="R107" s="56" t="s">
        <v>733</v>
      </c>
      <c r="S107" s="56" t="s">
        <v>734</v>
      </c>
      <c r="T107" s="56" t="s">
        <v>735</v>
      </c>
      <c r="U107" s="56" t="s">
        <v>200</v>
      </c>
      <c r="V107" s="56" t="s">
        <v>736</v>
      </c>
      <c r="W107" s="55"/>
      <c r="X107" s="56" t="s">
        <v>737</v>
      </c>
      <c r="Y107" s="56" t="s">
        <v>257</v>
      </c>
      <c r="Z107" s="56" t="s">
        <v>257</v>
      </c>
      <c r="AA107" s="62" t="s">
        <v>738</v>
      </c>
      <c r="AC107" s="24"/>
    </row>
    <row r="108" spans="2:29" ht="120" customHeight="1" x14ac:dyDescent="0.25">
      <c r="B108" s="52" t="s">
        <v>17</v>
      </c>
      <c r="C108" s="52" t="s">
        <v>731</v>
      </c>
      <c r="D108" s="52" t="s">
        <v>18</v>
      </c>
      <c r="E108" s="53">
        <v>1</v>
      </c>
      <c r="F108" s="52" t="s">
        <v>152</v>
      </c>
      <c r="G108" s="52" t="s">
        <v>153</v>
      </c>
      <c r="H108" s="52" t="s">
        <v>139</v>
      </c>
      <c r="I108" s="53">
        <v>2</v>
      </c>
      <c r="J108" s="52" t="s">
        <v>140</v>
      </c>
      <c r="K108" s="53">
        <v>30</v>
      </c>
      <c r="L108" s="53"/>
      <c r="M108" s="54" t="s">
        <v>154</v>
      </c>
      <c r="N108" s="54"/>
      <c r="O108" s="53" t="s">
        <v>142</v>
      </c>
      <c r="P108" s="52"/>
      <c r="Q108" s="56" t="s">
        <v>732</v>
      </c>
      <c r="R108" s="56" t="s">
        <v>733</v>
      </c>
      <c r="S108" s="56" t="s">
        <v>739</v>
      </c>
      <c r="T108" s="56" t="s">
        <v>740</v>
      </c>
      <c r="U108" s="54" t="s">
        <v>741</v>
      </c>
      <c r="V108" s="56" t="s">
        <v>742</v>
      </c>
      <c r="W108" s="55"/>
      <c r="X108" s="56" t="s">
        <v>737</v>
      </c>
      <c r="Y108" s="54" t="s">
        <v>743</v>
      </c>
      <c r="Z108" s="54" t="s">
        <v>744</v>
      </c>
      <c r="AA108" s="62" t="s">
        <v>257</v>
      </c>
      <c r="AC108" s="24"/>
    </row>
    <row r="109" spans="2:29" ht="120" customHeight="1" x14ac:dyDescent="0.25">
      <c r="B109" s="52" t="s">
        <v>17</v>
      </c>
      <c r="C109" s="52" t="s">
        <v>731</v>
      </c>
      <c r="D109" s="52" t="s">
        <v>18</v>
      </c>
      <c r="E109" s="53">
        <v>1</v>
      </c>
      <c r="F109" s="52" t="s">
        <v>164</v>
      </c>
      <c r="G109" s="52" t="s">
        <v>165</v>
      </c>
      <c r="H109" s="55" t="s">
        <v>166</v>
      </c>
      <c r="I109" s="53">
        <v>3</v>
      </c>
      <c r="J109" s="52" t="s">
        <v>140</v>
      </c>
      <c r="K109" s="53">
        <v>20</v>
      </c>
      <c r="L109" s="53"/>
      <c r="M109" s="54" t="s">
        <v>167</v>
      </c>
      <c r="N109" s="54" t="s">
        <v>168</v>
      </c>
      <c r="O109" s="53"/>
      <c r="P109" s="54" t="s">
        <v>745</v>
      </c>
      <c r="Q109" s="56"/>
      <c r="R109" s="52"/>
      <c r="S109" s="56" t="s">
        <v>734</v>
      </c>
      <c r="T109" s="56" t="s">
        <v>735</v>
      </c>
      <c r="U109" s="56" t="s">
        <v>200</v>
      </c>
      <c r="V109" s="183" t="s">
        <v>746</v>
      </c>
      <c r="W109" s="53"/>
      <c r="X109" s="56" t="s">
        <v>257</v>
      </c>
      <c r="Y109" s="56" t="s">
        <v>257</v>
      </c>
      <c r="Z109" s="56" t="s">
        <v>257</v>
      </c>
      <c r="AA109" s="62" t="s">
        <v>257</v>
      </c>
      <c r="AC109" s="24"/>
    </row>
    <row r="110" spans="2:29" ht="120" customHeight="1" x14ac:dyDescent="0.25">
      <c r="B110" s="52" t="s">
        <v>17</v>
      </c>
      <c r="C110" s="52" t="s">
        <v>731</v>
      </c>
      <c r="D110" s="52" t="s">
        <v>18</v>
      </c>
      <c r="E110" s="53">
        <v>1</v>
      </c>
      <c r="F110" s="52" t="s">
        <v>172</v>
      </c>
      <c r="G110" s="52" t="s">
        <v>173</v>
      </c>
      <c r="H110" s="55" t="s">
        <v>166</v>
      </c>
      <c r="I110" s="53">
        <v>4</v>
      </c>
      <c r="J110" s="52" t="s">
        <v>140</v>
      </c>
      <c r="K110" s="53">
        <v>3</v>
      </c>
      <c r="L110" s="53"/>
      <c r="M110" s="54" t="s">
        <v>174</v>
      </c>
      <c r="N110" s="54" t="s">
        <v>175</v>
      </c>
      <c r="O110" s="53"/>
      <c r="P110" s="56" t="s">
        <v>747</v>
      </c>
      <c r="Q110" s="56" t="s">
        <v>177</v>
      </c>
      <c r="R110" s="56" t="s">
        <v>178</v>
      </c>
      <c r="S110" s="56" t="s">
        <v>739</v>
      </c>
      <c r="T110" s="56" t="s">
        <v>740</v>
      </c>
      <c r="U110" s="56" t="s">
        <v>748</v>
      </c>
      <c r="V110" s="56" t="s">
        <v>749</v>
      </c>
      <c r="W110" s="53"/>
      <c r="X110" s="56" t="s">
        <v>737</v>
      </c>
      <c r="Y110" s="67" t="s">
        <v>750</v>
      </c>
      <c r="Z110" s="67" t="s">
        <v>751</v>
      </c>
      <c r="AA110" s="62" t="s">
        <v>257</v>
      </c>
      <c r="AC110" s="24"/>
    </row>
    <row r="111" spans="2:29" ht="231.75" customHeight="1" x14ac:dyDescent="0.25">
      <c r="B111" s="52" t="s">
        <v>17</v>
      </c>
      <c r="C111" s="52" t="s">
        <v>731</v>
      </c>
      <c r="D111" s="52" t="s">
        <v>18</v>
      </c>
      <c r="E111" s="53">
        <v>1</v>
      </c>
      <c r="F111" s="52" t="s">
        <v>184</v>
      </c>
      <c r="G111" s="52" t="s">
        <v>185</v>
      </c>
      <c r="H111" s="55" t="s">
        <v>166</v>
      </c>
      <c r="I111" s="53">
        <v>5</v>
      </c>
      <c r="J111" s="52" t="s">
        <v>140</v>
      </c>
      <c r="K111" s="53">
        <v>3</v>
      </c>
      <c r="L111" s="53"/>
      <c r="M111" s="54" t="s">
        <v>186</v>
      </c>
      <c r="N111" s="54" t="s">
        <v>187</v>
      </c>
      <c r="O111" s="53"/>
      <c r="P111" s="54" t="s">
        <v>752</v>
      </c>
      <c r="Q111" s="56" t="s">
        <v>177</v>
      </c>
      <c r="R111" s="56" t="s">
        <v>189</v>
      </c>
      <c r="S111" s="56" t="s">
        <v>739</v>
      </c>
      <c r="T111" s="56" t="s">
        <v>740</v>
      </c>
      <c r="U111" s="56" t="s">
        <v>753</v>
      </c>
      <c r="V111" s="56" t="s">
        <v>754</v>
      </c>
      <c r="W111" s="53"/>
      <c r="X111" s="56" t="s">
        <v>737</v>
      </c>
      <c r="Y111" s="67" t="s">
        <v>750</v>
      </c>
      <c r="Z111" s="56" t="s">
        <v>755</v>
      </c>
      <c r="AA111" s="62" t="s">
        <v>257</v>
      </c>
      <c r="AC111" s="24"/>
    </row>
    <row r="112" spans="2:29" ht="226.5" customHeight="1" x14ac:dyDescent="0.25">
      <c r="B112" s="52" t="s">
        <v>17</v>
      </c>
      <c r="C112" s="52" t="s">
        <v>731</v>
      </c>
      <c r="D112" s="52" t="s">
        <v>18</v>
      </c>
      <c r="E112" s="53">
        <v>1</v>
      </c>
      <c r="F112" s="52" t="s">
        <v>193</v>
      </c>
      <c r="G112" s="52" t="s">
        <v>194</v>
      </c>
      <c r="H112" s="55" t="s">
        <v>166</v>
      </c>
      <c r="I112" s="53">
        <v>6</v>
      </c>
      <c r="J112" s="52" t="s">
        <v>140</v>
      </c>
      <c r="K112" s="53">
        <v>4</v>
      </c>
      <c r="L112" s="53"/>
      <c r="M112" s="79" t="s">
        <v>756</v>
      </c>
      <c r="N112" s="54"/>
      <c r="O112" s="53"/>
      <c r="P112" s="55"/>
      <c r="Q112" s="56" t="s">
        <v>196</v>
      </c>
      <c r="R112" s="56" t="s">
        <v>197</v>
      </c>
      <c r="S112" s="56" t="s">
        <v>734</v>
      </c>
      <c r="T112" s="56" t="s">
        <v>735</v>
      </c>
      <c r="U112" s="56" t="s">
        <v>200</v>
      </c>
      <c r="V112" s="56" t="s">
        <v>757</v>
      </c>
      <c r="W112" s="53"/>
      <c r="X112" s="56" t="s">
        <v>737</v>
      </c>
      <c r="Y112" s="67" t="s">
        <v>257</v>
      </c>
      <c r="Z112" s="67" t="s">
        <v>257</v>
      </c>
      <c r="AA112" s="62" t="s">
        <v>758</v>
      </c>
      <c r="AC112" s="24"/>
    </row>
    <row r="113" spans="2:29" ht="235.5" customHeight="1" x14ac:dyDescent="0.25">
      <c r="B113" s="52" t="s">
        <v>17</v>
      </c>
      <c r="C113" s="52" t="s">
        <v>731</v>
      </c>
      <c r="D113" s="52" t="s">
        <v>18</v>
      </c>
      <c r="E113" s="53">
        <v>1</v>
      </c>
      <c r="F113" s="52" t="s">
        <v>203</v>
      </c>
      <c r="G113" s="52" t="s">
        <v>204</v>
      </c>
      <c r="H113" s="55" t="s">
        <v>166</v>
      </c>
      <c r="I113" s="53">
        <v>7</v>
      </c>
      <c r="J113" s="52" t="s">
        <v>140</v>
      </c>
      <c r="K113" s="53">
        <v>30</v>
      </c>
      <c r="L113" s="53"/>
      <c r="M113" s="54" t="s">
        <v>759</v>
      </c>
      <c r="N113" s="54" t="s">
        <v>206</v>
      </c>
      <c r="O113" s="53"/>
      <c r="P113" s="55"/>
      <c r="Q113" s="56" t="s">
        <v>196</v>
      </c>
      <c r="R113" s="56" t="s">
        <v>197</v>
      </c>
      <c r="S113" s="56" t="s">
        <v>760</v>
      </c>
      <c r="T113" s="56" t="s">
        <v>761</v>
      </c>
      <c r="U113" s="56" t="s">
        <v>762</v>
      </c>
      <c r="V113" s="56" t="s">
        <v>763</v>
      </c>
      <c r="W113" s="53"/>
      <c r="X113" s="56" t="s">
        <v>764</v>
      </c>
      <c r="Y113" s="54" t="s">
        <v>765</v>
      </c>
      <c r="Z113" s="67" t="s">
        <v>766</v>
      </c>
      <c r="AA113" s="62" t="s">
        <v>767</v>
      </c>
      <c r="AC113" s="24"/>
    </row>
    <row r="114" spans="2:29" ht="234" customHeight="1" x14ac:dyDescent="0.25">
      <c r="B114" s="52" t="s">
        <v>17</v>
      </c>
      <c r="C114" s="52" t="s">
        <v>731</v>
      </c>
      <c r="D114" s="52" t="s">
        <v>18</v>
      </c>
      <c r="E114" s="53">
        <v>1</v>
      </c>
      <c r="F114" s="52" t="s">
        <v>550</v>
      </c>
      <c r="G114" s="52" t="s">
        <v>551</v>
      </c>
      <c r="H114" s="55" t="s">
        <v>166</v>
      </c>
      <c r="I114" s="53">
        <v>8</v>
      </c>
      <c r="J114" s="52" t="s">
        <v>140</v>
      </c>
      <c r="K114" s="53">
        <v>4</v>
      </c>
      <c r="L114" s="53"/>
      <c r="M114" s="54" t="s">
        <v>768</v>
      </c>
      <c r="N114" s="54"/>
      <c r="O114" s="53"/>
      <c r="P114" s="52"/>
      <c r="Q114" s="56"/>
      <c r="R114" s="52"/>
      <c r="S114" s="56" t="s">
        <v>734</v>
      </c>
      <c r="T114" s="56" t="s">
        <v>735</v>
      </c>
      <c r="U114" s="56" t="s">
        <v>200</v>
      </c>
      <c r="V114" s="56" t="s">
        <v>769</v>
      </c>
      <c r="W114" s="53"/>
      <c r="X114" s="56" t="s">
        <v>737</v>
      </c>
      <c r="Y114" s="67" t="s">
        <v>257</v>
      </c>
      <c r="Z114" s="67" t="s">
        <v>257</v>
      </c>
      <c r="AA114" s="62" t="s">
        <v>770</v>
      </c>
      <c r="AC114" s="24"/>
    </row>
    <row r="115" spans="2:29" ht="224.25" customHeight="1" x14ac:dyDescent="0.25">
      <c r="B115" s="52" t="s">
        <v>17</v>
      </c>
      <c r="C115" s="52" t="s">
        <v>731</v>
      </c>
      <c r="D115" s="52" t="s">
        <v>18</v>
      </c>
      <c r="E115" s="53">
        <v>1</v>
      </c>
      <c r="F115" s="52" t="s">
        <v>553</v>
      </c>
      <c r="G115" s="52" t="s">
        <v>554</v>
      </c>
      <c r="H115" s="55" t="s">
        <v>166</v>
      </c>
      <c r="I115" s="53">
        <v>9</v>
      </c>
      <c r="J115" s="52" t="s">
        <v>140</v>
      </c>
      <c r="K115" s="53">
        <v>15</v>
      </c>
      <c r="L115" s="53"/>
      <c r="M115" s="54" t="s">
        <v>771</v>
      </c>
      <c r="N115" s="54"/>
      <c r="O115" s="53"/>
      <c r="P115" s="52"/>
      <c r="Q115" s="56"/>
      <c r="R115" s="52"/>
      <c r="S115" s="56" t="s">
        <v>739</v>
      </c>
      <c r="T115" s="56" t="s">
        <v>740</v>
      </c>
      <c r="U115" s="56" t="s">
        <v>772</v>
      </c>
      <c r="V115" s="56" t="s">
        <v>773</v>
      </c>
      <c r="W115" s="53"/>
      <c r="X115" s="56" t="s">
        <v>737</v>
      </c>
      <c r="Y115" s="54" t="s">
        <v>774</v>
      </c>
      <c r="Z115" s="54" t="s">
        <v>775</v>
      </c>
      <c r="AA115" s="62" t="s">
        <v>776</v>
      </c>
      <c r="AC115" s="24"/>
    </row>
    <row r="116" spans="2:29" ht="204.75" customHeight="1" x14ac:dyDescent="0.25">
      <c r="B116" s="52" t="s">
        <v>17</v>
      </c>
      <c r="C116" s="52" t="s">
        <v>731</v>
      </c>
      <c r="D116" s="52" t="s">
        <v>18</v>
      </c>
      <c r="E116" s="53">
        <v>1</v>
      </c>
      <c r="F116" s="52" t="s">
        <v>214</v>
      </c>
      <c r="G116" s="52" t="s">
        <v>215</v>
      </c>
      <c r="H116" s="55" t="s">
        <v>216</v>
      </c>
      <c r="I116" s="53">
        <v>10</v>
      </c>
      <c r="J116" s="52" t="s">
        <v>140</v>
      </c>
      <c r="K116" s="53">
        <v>10</v>
      </c>
      <c r="L116" s="53"/>
      <c r="M116" s="54" t="s">
        <v>217</v>
      </c>
      <c r="N116" s="54" t="s">
        <v>218</v>
      </c>
      <c r="O116" s="53"/>
      <c r="P116" s="52"/>
      <c r="Q116" s="56" t="s">
        <v>219</v>
      </c>
      <c r="R116" s="52" t="s">
        <v>214</v>
      </c>
      <c r="S116" s="56" t="s">
        <v>739</v>
      </c>
      <c r="T116" s="56" t="s">
        <v>740</v>
      </c>
      <c r="U116" s="56" t="s">
        <v>777</v>
      </c>
      <c r="V116" s="56" t="s">
        <v>778</v>
      </c>
      <c r="W116" s="53"/>
      <c r="X116" s="56" t="s">
        <v>737</v>
      </c>
      <c r="Y116" s="54" t="s">
        <v>743</v>
      </c>
      <c r="Z116" s="67" t="s">
        <v>779</v>
      </c>
      <c r="AA116" s="62" t="s">
        <v>257</v>
      </c>
      <c r="AC116" s="24"/>
    </row>
    <row r="117" spans="2:29" ht="192" customHeight="1" x14ac:dyDescent="0.25">
      <c r="B117" s="52" t="s">
        <v>17</v>
      </c>
      <c r="C117" s="52" t="s">
        <v>731</v>
      </c>
      <c r="D117" s="52" t="s">
        <v>18</v>
      </c>
      <c r="E117" s="53">
        <v>1</v>
      </c>
      <c r="F117" s="52" t="s">
        <v>226</v>
      </c>
      <c r="G117" s="52" t="s">
        <v>227</v>
      </c>
      <c r="H117" s="55" t="s">
        <v>216</v>
      </c>
      <c r="I117" s="53">
        <v>11</v>
      </c>
      <c r="J117" s="52" t="s">
        <v>140</v>
      </c>
      <c r="K117" s="53">
        <v>10</v>
      </c>
      <c r="L117" s="53"/>
      <c r="M117" s="54" t="s">
        <v>228</v>
      </c>
      <c r="N117" s="54"/>
      <c r="O117" s="53"/>
      <c r="P117" s="55"/>
      <c r="Q117" s="56" t="s">
        <v>230</v>
      </c>
      <c r="R117" s="52" t="s">
        <v>226</v>
      </c>
      <c r="S117" s="56" t="s">
        <v>739</v>
      </c>
      <c r="T117" s="56" t="s">
        <v>740</v>
      </c>
      <c r="U117" s="56" t="s">
        <v>780</v>
      </c>
      <c r="V117" s="56" t="s">
        <v>781</v>
      </c>
      <c r="W117" s="53"/>
      <c r="X117" s="56" t="s">
        <v>737</v>
      </c>
      <c r="Y117" s="54" t="s">
        <v>782</v>
      </c>
      <c r="Z117" s="54" t="s">
        <v>783</v>
      </c>
      <c r="AA117" s="62" t="s">
        <v>784</v>
      </c>
      <c r="AC117" s="24"/>
    </row>
    <row r="118" spans="2:29" ht="209.25" customHeight="1" x14ac:dyDescent="0.25">
      <c r="B118" s="52" t="s">
        <v>17</v>
      </c>
      <c r="C118" s="52" t="s">
        <v>731</v>
      </c>
      <c r="D118" s="52" t="s">
        <v>18</v>
      </c>
      <c r="E118" s="53">
        <v>1</v>
      </c>
      <c r="F118" s="52" t="s">
        <v>238</v>
      </c>
      <c r="G118" s="52" t="s">
        <v>239</v>
      </c>
      <c r="H118" s="55" t="s">
        <v>240</v>
      </c>
      <c r="I118" s="53">
        <v>12</v>
      </c>
      <c r="J118" s="52" t="s">
        <v>140</v>
      </c>
      <c r="K118" s="53">
        <v>3</v>
      </c>
      <c r="L118" s="53"/>
      <c r="M118" s="54" t="s">
        <v>241</v>
      </c>
      <c r="N118" s="54"/>
      <c r="O118" s="53"/>
      <c r="P118" s="56" t="s">
        <v>785</v>
      </c>
      <c r="Q118" s="56" t="s">
        <v>786</v>
      </c>
      <c r="R118" s="56" t="s">
        <v>787</v>
      </c>
      <c r="S118" s="56" t="s">
        <v>739</v>
      </c>
      <c r="T118" s="56" t="s">
        <v>740</v>
      </c>
      <c r="U118" s="56" t="s">
        <v>788</v>
      </c>
      <c r="V118" s="56" t="s">
        <v>789</v>
      </c>
      <c r="W118" s="55"/>
      <c r="X118" s="56" t="s">
        <v>790</v>
      </c>
      <c r="Y118" s="54" t="s">
        <v>791</v>
      </c>
      <c r="Z118" s="54" t="s">
        <v>792</v>
      </c>
      <c r="AA118" s="62" t="s">
        <v>793</v>
      </c>
      <c r="AC118" s="24"/>
    </row>
    <row r="119" spans="2:29" ht="215.25" customHeight="1" x14ac:dyDescent="0.25">
      <c r="B119" s="52" t="s">
        <v>17</v>
      </c>
      <c r="C119" s="52" t="s">
        <v>731</v>
      </c>
      <c r="D119" s="52" t="s">
        <v>18</v>
      </c>
      <c r="E119" s="53">
        <v>1</v>
      </c>
      <c r="F119" s="52" t="s">
        <v>253</v>
      </c>
      <c r="G119" s="52" t="s">
        <v>254</v>
      </c>
      <c r="H119" s="55" t="s">
        <v>255</v>
      </c>
      <c r="I119" s="53">
        <v>13</v>
      </c>
      <c r="J119" s="52" t="s">
        <v>140</v>
      </c>
      <c r="K119" s="53">
        <v>4</v>
      </c>
      <c r="L119" s="53"/>
      <c r="M119" s="54" t="s">
        <v>256</v>
      </c>
      <c r="N119" s="54"/>
      <c r="O119" s="53"/>
      <c r="P119" s="55"/>
      <c r="Q119" s="65"/>
      <c r="R119" s="63"/>
      <c r="S119" s="56" t="s">
        <v>739</v>
      </c>
      <c r="T119" s="56" t="s">
        <v>740</v>
      </c>
      <c r="U119" s="65" t="s">
        <v>342</v>
      </c>
      <c r="V119" s="65" t="s">
        <v>794</v>
      </c>
      <c r="W119" s="73"/>
      <c r="X119" s="56" t="s">
        <v>737</v>
      </c>
      <c r="Y119" s="54" t="s">
        <v>257</v>
      </c>
      <c r="Z119" s="54" t="s">
        <v>257</v>
      </c>
      <c r="AA119" s="62" t="s">
        <v>795</v>
      </c>
      <c r="AC119" s="24"/>
    </row>
    <row r="120" spans="2:29" ht="221.25" customHeight="1" x14ac:dyDescent="0.25">
      <c r="B120" s="52" t="s">
        <v>17</v>
      </c>
      <c r="C120" s="52" t="s">
        <v>731</v>
      </c>
      <c r="D120" s="52" t="s">
        <v>18</v>
      </c>
      <c r="E120" s="53">
        <v>1</v>
      </c>
      <c r="F120" s="52" t="s">
        <v>272</v>
      </c>
      <c r="G120" s="52" t="s">
        <v>273</v>
      </c>
      <c r="H120" s="52" t="s">
        <v>262</v>
      </c>
      <c r="I120" s="53">
        <v>14</v>
      </c>
      <c r="J120" s="52" t="s">
        <v>263</v>
      </c>
      <c r="K120" s="53">
        <v>23</v>
      </c>
      <c r="L120" s="53">
        <v>6</v>
      </c>
      <c r="M120" s="54" t="s">
        <v>796</v>
      </c>
      <c r="N120" s="54"/>
      <c r="O120" s="53"/>
      <c r="P120" s="55"/>
      <c r="Q120" s="56"/>
      <c r="R120" s="52"/>
      <c r="S120" s="56" t="s">
        <v>739</v>
      </c>
      <c r="T120" s="56" t="s">
        <v>740</v>
      </c>
      <c r="U120" s="56" t="s">
        <v>797</v>
      </c>
      <c r="V120" s="56" t="s">
        <v>798</v>
      </c>
      <c r="W120" s="53"/>
      <c r="X120" s="56" t="s">
        <v>737</v>
      </c>
      <c r="Y120" s="54" t="s">
        <v>774</v>
      </c>
      <c r="Z120" s="54" t="s">
        <v>799</v>
      </c>
      <c r="AA120" s="62" t="s">
        <v>800</v>
      </c>
      <c r="AC120" s="24"/>
    </row>
    <row r="121" spans="2:29" ht="204.75" customHeight="1" x14ac:dyDescent="0.25">
      <c r="B121" s="52" t="s">
        <v>17</v>
      </c>
      <c r="C121" s="52" t="s">
        <v>731</v>
      </c>
      <c r="D121" s="52" t="s">
        <v>18</v>
      </c>
      <c r="E121" s="53">
        <v>1</v>
      </c>
      <c r="F121" s="52" t="s">
        <v>801</v>
      </c>
      <c r="G121" s="52" t="s">
        <v>802</v>
      </c>
      <c r="H121" s="52" t="s">
        <v>262</v>
      </c>
      <c r="I121" s="53">
        <v>15</v>
      </c>
      <c r="J121" s="52" t="s">
        <v>263</v>
      </c>
      <c r="K121" s="53">
        <v>23</v>
      </c>
      <c r="L121" s="53">
        <v>6</v>
      </c>
      <c r="M121" s="54" t="s">
        <v>803</v>
      </c>
      <c r="N121" s="54"/>
      <c r="O121" s="53"/>
      <c r="P121" s="55"/>
      <c r="Q121" s="54"/>
      <c r="R121" s="55"/>
      <c r="S121" s="56" t="s">
        <v>804</v>
      </c>
      <c r="T121" s="56" t="s">
        <v>805</v>
      </c>
      <c r="U121" s="56" t="s">
        <v>806</v>
      </c>
      <c r="V121" s="56" t="s">
        <v>807</v>
      </c>
      <c r="W121" s="53"/>
      <c r="X121" s="56" t="s">
        <v>808</v>
      </c>
      <c r="Y121" s="54" t="s">
        <v>809</v>
      </c>
      <c r="Z121" s="54" t="s">
        <v>810</v>
      </c>
      <c r="AA121" s="62" t="s">
        <v>811</v>
      </c>
      <c r="AC121" s="24"/>
    </row>
    <row r="122" spans="2:29" ht="209.25" customHeight="1" x14ac:dyDescent="0.25">
      <c r="B122" s="68" t="s">
        <v>17</v>
      </c>
      <c r="C122" s="68" t="s">
        <v>731</v>
      </c>
      <c r="D122" s="68" t="s">
        <v>18</v>
      </c>
      <c r="E122" s="80">
        <v>1</v>
      </c>
      <c r="F122" s="68" t="s">
        <v>581</v>
      </c>
      <c r="G122" s="68" t="s">
        <v>582</v>
      </c>
      <c r="H122" s="68" t="s">
        <v>262</v>
      </c>
      <c r="I122" s="80">
        <v>16</v>
      </c>
      <c r="J122" s="68" t="s">
        <v>263</v>
      </c>
      <c r="K122" s="80">
        <v>23</v>
      </c>
      <c r="L122" s="80">
        <v>6</v>
      </c>
      <c r="M122" s="75" t="s">
        <v>812</v>
      </c>
      <c r="N122" s="75"/>
      <c r="O122" s="80"/>
      <c r="P122" s="77"/>
      <c r="Q122" s="75" t="s">
        <v>584</v>
      </c>
      <c r="R122" s="75" t="s">
        <v>585</v>
      </c>
      <c r="S122" s="69" t="s">
        <v>813</v>
      </c>
      <c r="T122" s="69" t="s">
        <v>814</v>
      </c>
      <c r="U122" s="69" t="s">
        <v>815</v>
      </c>
      <c r="V122" s="69" t="s">
        <v>816</v>
      </c>
      <c r="W122" s="80"/>
      <c r="X122" s="69" t="s">
        <v>737</v>
      </c>
      <c r="Y122" s="75" t="s">
        <v>817</v>
      </c>
      <c r="Z122" s="75" t="s">
        <v>818</v>
      </c>
      <c r="AA122" s="78" t="s">
        <v>819</v>
      </c>
      <c r="AC122" s="24"/>
    </row>
    <row r="123" spans="2:29" ht="197.25" customHeight="1" x14ac:dyDescent="0.25">
      <c r="B123" s="52" t="s">
        <v>17</v>
      </c>
      <c r="C123" s="52" t="s">
        <v>731</v>
      </c>
      <c r="D123" s="52" t="s">
        <v>18</v>
      </c>
      <c r="E123" s="53">
        <v>1</v>
      </c>
      <c r="F123" s="52" t="s">
        <v>281</v>
      </c>
      <c r="G123" s="52" t="s">
        <v>282</v>
      </c>
      <c r="H123" s="52" t="s">
        <v>262</v>
      </c>
      <c r="I123" s="53">
        <v>17</v>
      </c>
      <c r="J123" s="52" t="s">
        <v>263</v>
      </c>
      <c r="K123" s="53">
        <v>23</v>
      </c>
      <c r="L123" s="53">
        <v>6</v>
      </c>
      <c r="M123" s="54" t="s">
        <v>283</v>
      </c>
      <c r="N123" s="54"/>
      <c r="O123" s="53"/>
      <c r="P123" s="55"/>
      <c r="Q123" s="54" t="s">
        <v>284</v>
      </c>
      <c r="R123" s="55" t="s">
        <v>285</v>
      </c>
      <c r="S123" s="56" t="s">
        <v>739</v>
      </c>
      <c r="T123" s="56" t="s">
        <v>740</v>
      </c>
      <c r="U123" s="56" t="s">
        <v>820</v>
      </c>
      <c r="V123" s="56" t="s">
        <v>821</v>
      </c>
      <c r="W123" s="53"/>
      <c r="X123" s="56" t="s">
        <v>737</v>
      </c>
      <c r="Y123" s="54" t="s">
        <v>822</v>
      </c>
      <c r="Z123" s="54" t="s">
        <v>823</v>
      </c>
      <c r="AA123" s="62" t="s">
        <v>824</v>
      </c>
      <c r="AC123" s="24"/>
    </row>
    <row r="124" spans="2:29" ht="198" customHeight="1" x14ac:dyDescent="0.25">
      <c r="B124" s="52" t="s">
        <v>17</v>
      </c>
      <c r="C124" s="52" t="s">
        <v>731</v>
      </c>
      <c r="D124" s="52" t="s">
        <v>18</v>
      </c>
      <c r="E124" s="53">
        <v>1</v>
      </c>
      <c r="F124" s="56" t="s">
        <v>291</v>
      </c>
      <c r="G124" s="52" t="s">
        <v>292</v>
      </c>
      <c r="H124" s="52" t="s">
        <v>262</v>
      </c>
      <c r="I124" s="53">
        <v>18</v>
      </c>
      <c r="J124" s="52" t="s">
        <v>263</v>
      </c>
      <c r="K124" s="53">
        <v>23</v>
      </c>
      <c r="L124" s="53">
        <v>6</v>
      </c>
      <c r="M124" s="54" t="s">
        <v>595</v>
      </c>
      <c r="N124" s="54"/>
      <c r="O124" s="53"/>
      <c r="P124" s="55"/>
      <c r="Q124" s="65"/>
      <c r="R124" s="63"/>
      <c r="S124" s="56" t="s">
        <v>825</v>
      </c>
      <c r="T124" s="56" t="s">
        <v>826</v>
      </c>
      <c r="U124" s="65" t="s">
        <v>827</v>
      </c>
      <c r="V124" s="65" t="s">
        <v>828</v>
      </c>
      <c r="W124" s="73"/>
      <c r="X124" s="56" t="s">
        <v>737</v>
      </c>
      <c r="Y124" s="54" t="s">
        <v>829</v>
      </c>
      <c r="Z124" s="54" t="s">
        <v>830</v>
      </c>
      <c r="AA124" s="62" t="s">
        <v>831</v>
      </c>
      <c r="AC124" s="24"/>
    </row>
    <row r="125" spans="2:29" ht="220.5" customHeight="1" x14ac:dyDescent="0.25">
      <c r="B125" s="266" t="s">
        <v>17</v>
      </c>
      <c r="C125" s="266" t="s">
        <v>731</v>
      </c>
      <c r="D125" s="266" t="s">
        <v>18</v>
      </c>
      <c r="E125" s="267">
        <v>1</v>
      </c>
      <c r="F125" s="266" t="s">
        <v>602</v>
      </c>
      <c r="G125" s="266" t="s">
        <v>603</v>
      </c>
      <c r="H125" s="268" t="s">
        <v>409</v>
      </c>
      <c r="I125" s="267">
        <v>19</v>
      </c>
      <c r="J125" s="266" t="s">
        <v>140</v>
      </c>
      <c r="K125" s="267">
        <v>10</v>
      </c>
      <c r="L125" s="267"/>
      <c r="M125" s="269" t="s">
        <v>832</v>
      </c>
      <c r="N125" s="269"/>
      <c r="O125" s="267"/>
      <c r="P125" s="268"/>
      <c r="Q125" s="270" t="s">
        <v>833</v>
      </c>
      <c r="R125" s="266" t="s">
        <v>834</v>
      </c>
      <c r="S125" s="270" t="s">
        <v>739</v>
      </c>
      <c r="T125" s="270" t="s">
        <v>740</v>
      </c>
      <c r="U125" s="270" t="s">
        <v>835</v>
      </c>
      <c r="V125" s="270" t="s">
        <v>836</v>
      </c>
      <c r="W125" s="267"/>
      <c r="X125" s="270" t="s">
        <v>737</v>
      </c>
      <c r="Y125" s="269" t="s">
        <v>837</v>
      </c>
      <c r="Z125" s="269" t="s">
        <v>838</v>
      </c>
      <c r="AA125" s="271" t="s">
        <v>839</v>
      </c>
      <c r="AC125" s="24"/>
    </row>
    <row r="126" spans="2:29" ht="223.5" customHeight="1" x14ac:dyDescent="0.25">
      <c r="B126" s="272" t="s">
        <v>17</v>
      </c>
      <c r="C126" s="272" t="s">
        <v>731</v>
      </c>
      <c r="D126" s="272" t="s">
        <v>18</v>
      </c>
      <c r="E126" s="273">
        <v>1</v>
      </c>
      <c r="F126" s="272" t="s">
        <v>407</v>
      </c>
      <c r="G126" s="272" t="s">
        <v>408</v>
      </c>
      <c r="H126" s="274" t="s">
        <v>409</v>
      </c>
      <c r="I126" s="273">
        <v>20</v>
      </c>
      <c r="J126" s="272" t="s">
        <v>140</v>
      </c>
      <c r="K126" s="273">
        <v>10</v>
      </c>
      <c r="L126" s="273"/>
      <c r="M126" s="275" t="s">
        <v>840</v>
      </c>
      <c r="N126" s="275"/>
      <c r="O126" s="273"/>
      <c r="P126" s="274"/>
      <c r="Q126" s="276" t="s">
        <v>841</v>
      </c>
      <c r="R126" s="276" t="s">
        <v>842</v>
      </c>
      <c r="S126" s="276" t="s">
        <v>739</v>
      </c>
      <c r="T126" s="276" t="s">
        <v>740</v>
      </c>
      <c r="U126" s="276" t="s">
        <v>843</v>
      </c>
      <c r="V126" s="276" t="s">
        <v>844</v>
      </c>
      <c r="W126" s="273"/>
      <c r="X126" s="276" t="s">
        <v>737</v>
      </c>
      <c r="Y126" s="275" t="s">
        <v>837</v>
      </c>
      <c r="Z126" s="275" t="s">
        <v>845</v>
      </c>
      <c r="AA126" s="277" t="s">
        <v>839</v>
      </c>
      <c r="AC126" s="24"/>
    </row>
    <row r="127" spans="2:29" ht="189" customHeight="1" x14ac:dyDescent="0.25">
      <c r="B127" s="52" t="s">
        <v>17</v>
      </c>
      <c r="C127" s="52" t="s">
        <v>731</v>
      </c>
      <c r="D127" s="52" t="s">
        <v>18</v>
      </c>
      <c r="E127" s="53">
        <v>1</v>
      </c>
      <c r="F127" s="52" t="s">
        <v>614</v>
      </c>
      <c r="G127" s="57" t="s">
        <v>615</v>
      </c>
      <c r="H127" s="52" t="s">
        <v>262</v>
      </c>
      <c r="I127" s="53">
        <v>21</v>
      </c>
      <c r="J127" s="52" t="s">
        <v>263</v>
      </c>
      <c r="K127" s="53">
        <v>23</v>
      </c>
      <c r="L127" s="53">
        <v>6</v>
      </c>
      <c r="M127" s="54" t="s">
        <v>846</v>
      </c>
      <c r="N127" s="54"/>
      <c r="O127" s="53"/>
      <c r="P127" s="55"/>
      <c r="Q127" s="54"/>
      <c r="R127" s="55"/>
      <c r="S127" s="56" t="s">
        <v>825</v>
      </c>
      <c r="T127" s="56" t="s">
        <v>826</v>
      </c>
      <c r="U127" s="56" t="s">
        <v>847</v>
      </c>
      <c r="V127" s="56" t="s">
        <v>848</v>
      </c>
      <c r="W127" s="53"/>
      <c r="X127" s="56" t="s">
        <v>737</v>
      </c>
      <c r="Y127" s="54" t="s">
        <v>837</v>
      </c>
      <c r="Z127" s="54" t="s">
        <v>849</v>
      </c>
      <c r="AA127" s="62" t="s">
        <v>850</v>
      </c>
      <c r="AC127" s="24"/>
    </row>
    <row r="128" spans="2:29" ht="188.25" customHeight="1" x14ac:dyDescent="0.25">
      <c r="B128" s="52" t="s">
        <v>17</v>
      </c>
      <c r="C128" s="52" t="s">
        <v>731</v>
      </c>
      <c r="D128" s="52" t="s">
        <v>18</v>
      </c>
      <c r="E128" s="53">
        <v>1</v>
      </c>
      <c r="F128" s="146" t="s">
        <v>621</v>
      </c>
      <c r="G128" s="52" t="s">
        <v>622</v>
      </c>
      <c r="H128" s="52" t="s">
        <v>262</v>
      </c>
      <c r="I128" s="53">
        <v>22</v>
      </c>
      <c r="J128" s="52" t="s">
        <v>263</v>
      </c>
      <c r="K128" s="53">
        <v>23</v>
      </c>
      <c r="L128" s="53">
        <v>6</v>
      </c>
      <c r="M128" s="54" t="s">
        <v>623</v>
      </c>
      <c r="N128" s="54"/>
      <c r="O128" s="53"/>
      <c r="P128" s="52"/>
      <c r="Q128" s="54"/>
      <c r="R128" s="55"/>
      <c r="S128" s="56" t="s">
        <v>851</v>
      </c>
      <c r="T128" s="67" t="s">
        <v>826</v>
      </c>
      <c r="U128" s="54" t="s">
        <v>852</v>
      </c>
      <c r="V128" s="95" t="s">
        <v>853</v>
      </c>
      <c r="W128" s="53"/>
      <c r="X128" s="56" t="s">
        <v>737</v>
      </c>
      <c r="Y128" s="54" t="s">
        <v>829</v>
      </c>
      <c r="Z128" s="54" t="s">
        <v>854</v>
      </c>
      <c r="AA128" s="62" t="s">
        <v>831</v>
      </c>
      <c r="AC128" s="24"/>
    </row>
    <row r="129" spans="2:29" ht="198" customHeight="1" x14ac:dyDescent="0.25">
      <c r="B129" s="52" t="s">
        <v>17</v>
      </c>
      <c r="C129" s="52" t="s">
        <v>731</v>
      </c>
      <c r="D129" s="52" t="s">
        <v>18</v>
      </c>
      <c r="E129" s="53">
        <v>1</v>
      </c>
      <c r="F129" s="52" t="s">
        <v>855</v>
      </c>
      <c r="G129" s="52" t="s">
        <v>856</v>
      </c>
      <c r="H129" s="55" t="s">
        <v>255</v>
      </c>
      <c r="I129" s="53">
        <v>23</v>
      </c>
      <c r="J129" s="52" t="s">
        <v>140</v>
      </c>
      <c r="K129" s="53">
        <v>4</v>
      </c>
      <c r="L129" s="53"/>
      <c r="M129" s="54" t="s">
        <v>857</v>
      </c>
      <c r="N129" s="54"/>
      <c r="O129" s="53"/>
      <c r="P129" s="52"/>
      <c r="Q129" s="56" t="s">
        <v>833</v>
      </c>
      <c r="R129" s="52" t="s">
        <v>858</v>
      </c>
      <c r="S129" s="56" t="s">
        <v>859</v>
      </c>
      <c r="T129" s="56" t="s">
        <v>860</v>
      </c>
      <c r="U129" s="56" t="s">
        <v>861</v>
      </c>
      <c r="V129" s="56" t="s">
        <v>862</v>
      </c>
      <c r="W129" s="53"/>
      <c r="X129" s="56" t="s">
        <v>737</v>
      </c>
      <c r="Y129" s="56" t="s">
        <v>863</v>
      </c>
      <c r="Z129" s="56" t="s">
        <v>864</v>
      </c>
      <c r="AA129" s="62" t="s">
        <v>839</v>
      </c>
      <c r="AC129" s="24"/>
    </row>
    <row r="130" spans="2:29" ht="209.25" customHeight="1" x14ac:dyDescent="0.25">
      <c r="B130" s="52" t="s">
        <v>17</v>
      </c>
      <c r="C130" s="52" t="s">
        <v>731</v>
      </c>
      <c r="D130" s="52" t="s">
        <v>18</v>
      </c>
      <c r="E130" s="53">
        <v>1</v>
      </c>
      <c r="F130" s="52" t="s">
        <v>865</v>
      </c>
      <c r="G130" s="52" t="s">
        <v>866</v>
      </c>
      <c r="H130" s="55" t="s">
        <v>409</v>
      </c>
      <c r="I130" s="53">
        <v>24</v>
      </c>
      <c r="J130" s="52" t="s">
        <v>140</v>
      </c>
      <c r="K130" s="53">
        <v>10</v>
      </c>
      <c r="L130" s="53"/>
      <c r="M130" s="54" t="s">
        <v>867</v>
      </c>
      <c r="N130" s="54"/>
      <c r="O130" s="53"/>
      <c r="P130" s="52"/>
      <c r="Q130" s="56" t="s">
        <v>833</v>
      </c>
      <c r="R130" s="52" t="s">
        <v>834</v>
      </c>
      <c r="S130" s="56" t="s">
        <v>739</v>
      </c>
      <c r="T130" s="56" t="s">
        <v>740</v>
      </c>
      <c r="U130" s="56" t="s">
        <v>868</v>
      </c>
      <c r="V130" s="56" t="s">
        <v>869</v>
      </c>
      <c r="W130" s="53"/>
      <c r="X130" s="56" t="s">
        <v>737</v>
      </c>
      <c r="Y130" s="54" t="s">
        <v>837</v>
      </c>
      <c r="Z130" s="54" t="s">
        <v>870</v>
      </c>
      <c r="AA130" s="62" t="s">
        <v>839</v>
      </c>
      <c r="AC130" s="24"/>
    </row>
    <row r="131" spans="2:29" ht="190.5" customHeight="1" x14ac:dyDescent="0.25">
      <c r="B131" s="52" t="s">
        <v>17</v>
      </c>
      <c r="C131" s="52" t="s">
        <v>731</v>
      </c>
      <c r="D131" s="52" t="s">
        <v>18</v>
      </c>
      <c r="E131" s="53">
        <v>1</v>
      </c>
      <c r="F131" s="146" t="s">
        <v>871</v>
      </c>
      <c r="G131" s="52" t="s">
        <v>872</v>
      </c>
      <c r="H131" s="140" t="s">
        <v>409</v>
      </c>
      <c r="I131" s="53">
        <v>25</v>
      </c>
      <c r="J131" s="52" t="s">
        <v>140</v>
      </c>
      <c r="K131" s="53">
        <v>10</v>
      </c>
      <c r="L131" s="53"/>
      <c r="M131" s="54" t="s">
        <v>873</v>
      </c>
      <c r="N131" s="54"/>
      <c r="O131" s="53"/>
      <c r="P131" s="52"/>
      <c r="Q131" s="56" t="s">
        <v>833</v>
      </c>
      <c r="R131" s="52" t="s">
        <v>834</v>
      </c>
      <c r="S131" s="56" t="s">
        <v>739</v>
      </c>
      <c r="T131" s="56" t="s">
        <v>740</v>
      </c>
      <c r="U131" s="56" t="s">
        <v>874</v>
      </c>
      <c r="V131" s="56" t="s">
        <v>875</v>
      </c>
      <c r="W131" s="53"/>
      <c r="X131" s="56" t="s">
        <v>737</v>
      </c>
      <c r="Y131" s="54" t="s">
        <v>837</v>
      </c>
      <c r="Z131" s="54" t="s">
        <v>876</v>
      </c>
      <c r="AA131" s="62" t="s">
        <v>839</v>
      </c>
      <c r="AC131" s="24"/>
    </row>
    <row r="132" spans="2:29" ht="199.5" customHeight="1" x14ac:dyDescent="0.25">
      <c r="B132" s="52" t="s">
        <v>17</v>
      </c>
      <c r="C132" s="52" t="s">
        <v>731</v>
      </c>
      <c r="D132" s="52" t="s">
        <v>18</v>
      </c>
      <c r="E132" s="53">
        <v>1</v>
      </c>
      <c r="F132" s="233" t="s">
        <v>877</v>
      </c>
      <c r="G132" s="52" t="s">
        <v>878</v>
      </c>
      <c r="H132" s="52" t="s">
        <v>262</v>
      </c>
      <c r="I132" s="53">
        <v>26</v>
      </c>
      <c r="J132" s="52" t="s">
        <v>140</v>
      </c>
      <c r="K132" s="53">
        <v>18</v>
      </c>
      <c r="L132" s="53"/>
      <c r="M132" s="54" t="s">
        <v>879</v>
      </c>
      <c r="N132" s="54"/>
      <c r="O132" s="53"/>
      <c r="P132" s="52"/>
      <c r="Q132" s="56"/>
      <c r="R132" s="52"/>
      <c r="S132" s="95" t="s">
        <v>739</v>
      </c>
      <c r="T132" s="95" t="s">
        <v>740</v>
      </c>
      <c r="U132" s="95" t="s">
        <v>880</v>
      </c>
      <c r="V132" s="95" t="s">
        <v>881</v>
      </c>
      <c r="W132" s="53"/>
      <c r="X132" s="56" t="s">
        <v>737</v>
      </c>
      <c r="Y132" s="54" t="s">
        <v>837</v>
      </c>
      <c r="Z132" s="56" t="s">
        <v>882</v>
      </c>
      <c r="AA132" s="62" t="s">
        <v>839</v>
      </c>
      <c r="AC132" s="24"/>
    </row>
    <row r="133" spans="2:29" ht="228.75" customHeight="1" x14ac:dyDescent="0.25">
      <c r="B133" s="52" t="s">
        <v>17</v>
      </c>
      <c r="C133" s="52" t="s">
        <v>731</v>
      </c>
      <c r="D133" s="52" t="s">
        <v>18</v>
      </c>
      <c r="E133" s="53">
        <v>1</v>
      </c>
      <c r="F133" s="52" t="s">
        <v>883</v>
      </c>
      <c r="G133" s="52" t="s">
        <v>884</v>
      </c>
      <c r="H133" s="52" t="s">
        <v>262</v>
      </c>
      <c r="I133" s="53">
        <v>27</v>
      </c>
      <c r="J133" s="52" t="s">
        <v>263</v>
      </c>
      <c r="K133" s="53">
        <v>23</v>
      </c>
      <c r="L133" s="53">
        <v>6</v>
      </c>
      <c r="M133" s="54" t="s">
        <v>885</v>
      </c>
      <c r="N133" s="54"/>
      <c r="O133" s="53"/>
      <c r="P133" s="55"/>
      <c r="Q133" s="54" t="s">
        <v>833</v>
      </c>
      <c r="R133" s="55" t="s">
        <v>886</v>
      </c>
      <c r="S133" s="56" t="s">
        <v>739</v>
      </c>
      <c r="T133" s="56" t="s">
        <v>740</v>
      </c>
      <c r="U133" s="56" t="s">
        <v>887</v>
      </c>
      <c r="V133" s="56" t="s">
        <v>888</v>
      </c>
      <c r="W133" s="53"/>
      <c r="X133" s="56" t="s">
        <v>737</v>
      </c>
      <c r="Y133" s="54" t="s">
        <v>837</v>
      </c>
      <c r="Z133" s="70" t="s">
        <v>889</v>
      </c>
      <c r="AA133" s="62" t="s">
        <v>850</v>
      </c>
      <c r="AC133" s="24"/>
    </row>
    <row r="134" spans="2:29" ht="194.25" customHeight="1" x14ac:dyDescent="0.25">
      <c r="B134" s="68" t="s">
        <v>17</v>
      </c>
      <c r="C134" s="68" t="s">
        <v>731</v>
      </c>
      <c r="D134" s="68" t="s">
        <v>18</v>
      </c>
      <c r="E134" s="80">
        <v>1</v>
      </c>
      <c r="F134" s="68" t="s">
        <v>629</v>
      </c>
      <c r="G134" s="68" t="s">
        <v>630</v>
      </c>
      <c r="H134" s="77" t="s">
        <v>631</v>
      </c>
      <c r="I134" s="80">
        <v>28</v>
      </c>
      <c r="J134" s="68" t="s">
        <v>140</v>
      </c>
      <c r="K134" s="80">
        <v>3</v>
      </c>
      <c r="L134" s="53"/>
      <c r="M134" s="54" t="s">
        <v>890</v>
      </c>
      <c r="N134" s="54"/>
      <c r="O134" s="53"/>
      <c r="P134" s="54" t="s">
        <v>891</v>
      </c>
      <c r="Q134" s="54"/>
      <c r="R134" s="55"/>
      <c r="S134" s="56" t="s">
        <v>739</v>
      </c>
      <c r="T134" s="56" t="s">
        <v>740</v>
      </c>
      <c r="U134" s="56" t="s">
        <v>342</v>
      </c>
      <c r="V134" s="56" t="s">
        <v>892</v>
      </c>
      <c r="W134" s="53"/>
      <c r="X134" s="69" t="s">
        <v>737</v>
      </c>
      <c r="Y134" s="75" t="s">
        <v>837</v>
      </c>
      <c r="Z134" s="75" t="s">
        <v>893</v>
      </c>
      <c r="AA134" s="78" t="s">
        <v>894</v>
      </c>
      <c r="AC134" s="24"/>
    </row>
    <row r="135" spans="2:29" ht="198.75" customHeight="1" x14ac:dyDescent="0.25">
      <c r="B135" s="52" t="s">
        <v>17</v>
      </c>
      <c r="C135" s="52" t="s">
        <v>731</v>
      </c>
      <c r="D135" s="52" t="s">
        <v>18</v>
      </c>
      <c r="E135" s="53">
        <v>1</v>
      </c>
      <c r="F135" s="52" t="s">
        <v>639</v>
      </c>
      <c r="G135" s="52" t="s">
        <v>640</v>
      </c>
      <c r="H135" s="55" t="s">
        <v>631</v>
      </c>
      <c r="I135" s="53">
        <v>29</v>
      </c>
      <c r="J135" s="52" t="s">
        <v>140</v>
      </c>
      <c r="K135" s="53">
        <v>3</v>
      </c>
      <c r="L135" s="53"/>
      <c r="M135" s="54" t="s">
        <v>895</v>
      </c>
      <c r="N135" s="54"/>
      <c r="O135" s="53"/>
      <c r="P135" s="54" t="s">
        <v>896</v>
      </c>
      <c r="Q135" s="54"/>
      <c r="R135" s="55"/>
      <c r="S135" s="56" t="s">
        <v>739</v>
      </c>
      <c r="T135" s="56" t="s">
        <v>740</v>
      </c>
      <c r="U135" s="56" t="s">
        <v>897</v>
      </c>
      <c r="V135" s="56" t="s">
        <v>898</v>
      </c>
      <c r="W135" s="53"/>
      <c r="X135" s="56" t="s">
        <v>737</v>
      </c>
      <c r="Y135" s="54" t="s">
        <v>899</v>
      </c>
      <c r="Z135" s="54" t="s">
        <v>900</v>
      </c>
      <c r="AA135" s="62" t="s">
        <v>901</v>
      </c>
      <c r="AC135" s="24"/>
    </row>
    <row r="136" spans="2:29" ht="191.25" customHeight="1" x14ac:dyDescent="0.25">
      <c r="B136" s="52" t="s">
        <v>17</v>
      </c>
      <c r="C136" s="52" t="s">
        <v>731</v>
      </c>
      <c r="D136" s="52" t="s">
        <v>18</v>
      </c>
      <c r="E136" s="53">
        <v>1</v>
      </c>
      <c r="F136" s="52" t="s">
        <v>648</v>
      </c>
      <c r="G136" s="52" t="s">
        <v>649</v>
      </c>
      <c r="H136" s="55" t="s">
        <v>650</v>
      </c>
      <c r="I136" s="53">
        <v>30</v>
      </c>
      <c r="J136" s="52" t="s">
        <v>263</v>
      </c>
      <c r="K136" s="53">
        <v>23</v>
      </c>
      <c r="L136" s="53">
        <v>6</v>
      </c>
      <c r="M136" s="54" t="s">
        <v>902</v>
      </c>
      <c r="N136" s="54"/>
      <c r="O136" s="53"/>
      <c r="P136" s="55"/>
      <c r="Q136" s="54"/>
      <c r="R136" s="55"/>
      <c r="S136" s="56" t="s">
        <v>739</v>
      </c>
      <c r="T136" s="56" t="s">
        <v>740</v>
      </c>
      <c r="U136" s="56" t="s">
        <v>903</v>
      </c>
      <c r="V136" s="56" t="s">
        <v>904</v>
      </c>
      <c r="W136" s="53"/>
      <c r="X136" s="56" t="s">
        <v>737</v>
      </c>
      <c r="Y136" s="54" t="s">
        <v>899</v>
      </c>
      <c r="Z136" s="54" t="s">
        <v>905</v>
      </c>
      <c r="AA136" s="62" t="s">
        <v>906</v>
      </c>
      <c r="AC136" s="24"/>
    </row>
    <row r="137" spans="2:29" ht="263.25" customHeight="1" x14ac:dyDescent="0.25">
      <c r="B137" s="52" t="s">
        <v>17</v>
      </c>
      <c r="C137" s="52" t="s">
        <v>731</v>
      </c>
      <c r="D137" s="52" t="s">
        <v>18</v>
      </c>
      <c r="E137" s="53">
        <v>1</v>
      </c>
      <c r="F137" s="52" t="s">
        <v>657</v>
      </c>
      <c r="G137" s="52" t="s">
        <v>658</v>
      </c>
      <c r="H137" s="55" t="s">
        <v>650</v>
      </c>
      <c r="I137" s="53">
        <v>31</v>
      </c>
      <c r="J137" s="52" t="s">
        <v>263</v>
      </c>
      <c r="K137" s="53">
        <v>23</v>
      </c>
      <c r="L137" s="53">
        <v>6</v>
      </c>
      <c r="M137" s="54" t="s">
        <v>907</v>
      </c>
      <c r="N137" s="54"/>
      <c r="O137" s="53"/>
      <c r="P137" s="55"/>
      <c r="Q137" s="54"/>
      <c r="R137" s="55"/>
      <c r="S137" s="56" t="s">
        <v>739</v>
      </c>
      <c r="T137" s="56" t="s">
        <v>740</v>
      </c>
      <c r="U137" s="56" t="s">
        <v>908</v>
      </c>
      <c r="V137" s="56" t="s">
        <v>909</v>
      </c>
      <c r="W137" s="53"/>
      <c r="X137" s="56" t="s">
        <v>737</v>
      </c>
      <c r="Y137" s="54" t="s">
        <v>837</v>
      </c>
      <c r="Z137" s="54" t="s">
        <v>910</v>
      </c>
      <c r="AA137" s="62" t="s">
        <v>911</v>
      </c>
      <c r="AC137" s="24"/>
    </row>
    <row r="138" spans="2:29" ht="189.75" customHeight="1" x14ac:dyDescent="0.25">
      <c r="B138" s="52" t="s">
        <v>17</v>
      </c>
      <c r="C138" s="52" t="s">
        <v>731</v>
      </c>
      <c r="D138" s="52" t="s">
        <v>18</v>
      </c>
      <c r="E138" s="53">
        <v>1</v>
      </c>
      <c r="F138" s="52" t="s">
        <v>664</v>
      </c>
      <c r="G138" s="52" t="s">
        <v>665</v>
      </c>
      <c r="H138" s="55" t="s">
        <v>650</v>
      </c>
      <c r="I138" s="53">
        <v>32</v>
      </c>
      <c r="J138" s="52" t="s">
        <v>263</v>
      </c>
      <c r="K138" s="53">
        <v>23</v>
      </c>
      <c r="L138" s="53">
        <v>6</v>
      </c>
      <c r="M138" s="54" t="s">
        <v>912</v>
      </c>
      <c r="N138" s="54"/>
      <c r="O138" s="53"/>
      <c r="P138" s="55"/>
      <c r="Q138" s="56" t="s">
        <v>668</v>
      </c>
      <c r="R138" s="52" t="s">
        <v>669</v>
      </c>
      <c r="S138" s="56" t="s">
        <v>739</v>
      </c>
      <c r="T138" s="56" t="s">
        <v>740</v>
      </c>
      <c r="U138" s="56" t="s">
        <v>913</v>
      </c>
      <c r="V138" s="56" t="s">
        <v>914</v>
      </c>
      <c r="W138" s="53"/>
      <c r="X138" s="56" t="s">
        <v>737</v>
      </c>
      <c r="Y138" s="54" t="s">
        <v>837</v>
      </c>
      <c r="Z138" s="90" t="s">
        <v>915</v>
      </c>
      <c r="AA138" s="62" t="s">
        <v>911</v>
      </c>
      <c r="AC138" s="24"/>
    </row>
    <row r="139" spans="2:29" ht="193.5" customHeight="1" x14ac:dyDescent="0.25">
      <c r="B139" s="52" t="s">
        <v>17</v>
      </c>
      <c r="C139" s="52" t="s">
        <v>731</v>
      </c>
      <c r="D139" s="52" t="s">
        <v>18</v>
      </c>
      <c r="E139" s="53">
        <v>1</v>
      </c>
      <c r="F139" s="52" t="s">
        <v>301</v>
      </c>
      <c r="G139" s="52" t="s">
        <v>302</v>
      </c>
      <c r="H139" s="55" t="s">
        <v>303</v>
      </c>
      <c r="I139" s="53">
        <v>33</v>
      </c>
      <c r="J139" s="52" t="s">
        <v>140</v>
      </c>
      <c r="K139" s="53">
        <v>3</v>
      </c>
      <c r="L139" s="53"/>
      <c r="M139" s="54" t="s">
        <v>916</v>
      </c>
      <c r="N139" s="54"/>
      <c r="O139" s="53"/>
      <c r="P139" s="54" t="s">
        <v>917</v>
      </c>
      <c r="Q139" s="56" t="s">
        <v>307</v>
      </c>
      <c r="R139" s="52" t="s">
        <v>308</v>
      </c>
      <c r="S139" s="56" t="s">
        <v>734</v>
      </c>
      <c r="T139" s="56" t="s">
        <v>735</v>
      </c>
      <c r="U139" s="56" t="s">
        <v>200</v>
      </c>
      <c r="V139" s="56" t="s">
        <v>918</v>
      </c>
      <c r="W139" s="55"/>
      <c r="X139" s="56" t="s">
        <v>737</v>
      </c>
      <c r="Y139" s="54" t="s">
        <v>743</v>
      </c>
      <c r="Z139" s="54" t="s">
        <v>919</v>
      </c>
      <c r="AA139" s="62" t="s">
        <v>257</v>
      </c>
      <c r="AC139" s="24"/>
    </row>
    <row r="140" spans="2:29" ht="219.75" customHeight="1" x14ac:dyDescent="0.25">
      <c r="B140" s="52" t="s">
        <v>17</v>
      </c>
      <c r="C140" s="52" t="s">
        <v>731</v>
      </c>
      <c r="D140" s="52" t="s">
        <v>18</v>
      </c>
      <c r="E140" s="53">
        <v>1</v>
      </c>
      <c r="F140" s="52" t="s">
        <v>311</v>
      </c>
      <c r="G140" s="52" t="s">
        <v>312</v>
      </c>
      <c r="H140" s="55" t="s">
        <v>303</v>
      </c>
      <c r="I140" s="53">
        <v>34</v>
      </c>
      <c r="J140" s="52" t="s">
        <v>140</v>
      </c>
      <c r="K140" s="53">
        <v>3</v>
      </c>
      <c r="L140" s="53"/>
      <c r="M140" s="54" t="s">
        <v>313</v>
      </c>
      <c r="N140" s="54" t="s">
        <v>314</v>
      </c>
      <c r="O140" s="53"/>
      <c r="P140" s="54" t="s">
        <v>920</v>
      </c>
      <c r="Q140" s="56" t="s">
        <v>219</v>
      </c>
      <c r="R140" s="52" t="s">
        <v>316</v>
      </c>
      <c r="S140" s="56" t="s">
        <v>734</v>
      </c>
      <c r="T140" s="56" t="s">
        <v>735</v>
      </c>
      <c r="U140" s="56" t="s">
        <v>200</v>
      </c>
      <c r="V140" s="56" t="s">
        <v>921</v>
      </c>
      <c r="W140" s="53"/>
      <c r="X140" s="56" t="s">
        <v>737</v>
      </c>
      <c r="Y140" s="67" t="s">
        <v>257</v>
      </c>
      <c r="Z140" s="56" t="s">
        <v>257</v>
      </c>
      <c r="AA140" s="62" t="s">
        <v>922</v>
      </c>
      <c r="AC140" s="24"/>
    </row>
    <row r="141" spans="2:29" ht="120" customHeight="1" x14ac:dyDescent="0.25">
      <c r="B141" s="52" t="s">
        <v>17</v>
      </c>
      <c r="C141" s="52" t="s">
        <v>731</v>
      </c>
      <c r="D141" s="52" t="s">
        <v>18</v>
      </c>
      <c r="E141" s="53">
        <v>1</v>
      </c>
      <c r="F141" s="52" t="s">
        <v>322</v>
      </c>
      <c r="G141" s="52" t="s">
        <v>323</v>
      </c>
      <c r="H141" s="52" t="s">
        <v>324</v>
      </c>
      <c r="I141" s="53">
        <v>35</v>
      </c>
      <c r="J141" s="52" t="s">
        <v>140</v>
      </c>
      <c r="K141" s="53">
        <v>2</v>
      </c>
      <c r="L141" s="53"/>
      <c r="M141" s="54" t="s">
        <v>325</v>
      </c>
      <c r="N141" s="54"/>
      <c r="O141" s="53"/>
      <c r="P141" s="54" t="s">
        <v>923</v>
      </c>
      <c r="Q141" s="56"/>
      <c r="R141" s="52"/>
      <c r="S141" s="56" t="s">
        <v>739</v>
      </c>
      <c r="T141" s="56" t="s">
        <v>740</v>
      </c>
      <c r="U141" s="56" t="s">
        <v>342</v>
      </c>
      <c r="V141" s="56" t="s">
        <v>924</v>
      </c>
      <c r="W141" s="53"/>
      <c r="X141" s="56" t="s">
        <v>737</v>
      </c>
      <c r="Y141" s="54" t="s">
        <v>257</v>
      </c>
      <c r="Z141" s="54" t="s">
        <v>257</v>
      </c>
      <c r="AA141" s="62" t="s">
        <v>925</v>
      </c>
      <c r="AC141" s="24"/>
    </row>
    <row r="142" spans="2:29" ht="192" customHeight="1" x14ac:dyDescent="0.25">
      <c r="B142" s="52" t="s">
        <v>17</v>
      </c>
      <c r="C142" s="52" t="s">
        <v>731</v>
      </c>
      <c r="D142" s="52" t="s">
        <v>18</v>
      </c>
      <c r="E142" s="53">
        <v>1</v>
      </c>
      <c r="F142" s="52" t="s">
        <v>329</v>
      </c>
      <c r="G142" s="52" t="s">
        <v>330</v>
      </c>
      <c r="H142" s="52" t="s">
        <v>331</v>
      </c>
      <c r="I142" s="53">
        <v>36</v>
      </c>
      <c r="J142" s="52" t="s">
        <v>140</v>
      </c>
      <c r="K142" s="53">
        <v>10</v>
      </c>
      <c r="L142" s="53"/>
      <c r="M142" s="54" t="s">
        <v>332</v>
      </c>
      <c r="N142" s="54" t="s">
        <v>333</v>
      </c>
      <c r="O142" s="53" t="s">
        <v>142</v>
      </c>
      <c r="P142" s="52"/>
      <c r="Q142" s="56" t="s">
        <v>284</v>
      </c>
      <c r="R142" s="52" t="s">
        <v>685</v>
      </c>
      <c r="S142" s="56" t="s">
        <v>739</v>
      </c>
      <c r="T142" s="56" t="s">
        <v>740</v>
      </c>
      <c r="U142" s="56" t="s">
        <v>926</v>
      </c>
      <c r="V142" s="56" t="s">
        <v>927</v>
      </c>
      <c r="W142" s="55"/>
      <c r="X142" s="54" t="s">
        <v>257</v>
      </c>
      <c r="Y142" s="54" t="s">
        <v>257</v>
      </c>
      <c r="Z142" s="54" t="s">
        <v>257</v>
      </c>
      <c r="AA142" s="62" t="s">
        <v>257</v>
      </c>
      <c r="AC142" s="24"/>
    </row>
    <row r="143" spans="2:29" ht="183" customHeight="1" x14ac:dyDescent="0.25">
      <c r="B143" s="52" t="s">
        <v>17</v>
      </c>
      <c r="C143" s="52" t="s">
        <v>731</v>
      </c>
      <c r="D143" s="52" t="s">
        <v>18</v>
      </c>
      <c r="E143" s="53">
        <v>1</v>
      </c>
      <c r="F143" s="52" t="s">
        <v>336</v>
      </c>
      <c r="G143" s="52" t="s">
        <v>337</v>
      </c>
      <c r="H143" s="52" t="s">
        <v>338</v>
      </c>
      <c r="I143" s="53">
        <v>37</v>
      </c>
      <c r="J143" s="52" t="s">
        <v>339</v>
      </c>
      <c r="K143" s="53">
        <v>23</v>
      </c>
      <c r="L143" s="53"/>
      <c r="M143" s="54" t="s">
        <v>340</v>
      </c>
      <c r="N143" s="54" t="s">
        <v>341</v>
      </c>
      <c r="O143" s="53"/>
      <c r="P143" s="55"/>
      <c r="Q143" s="56"/>
      <c r="R143" s="52"/>
      <c r="S143" s="56" t="s">
        <v>739</v>
      </c>
      <c r="T143" s="56" t="s">
        <v>740</v>
      </c>
      <c r="U143" s="56" t="s">
        <v>342</v>
      </c>
      <c r="V143" s="56" t="s">
        <v>928</v>
      </c>
      <c r="W143" s="53"/>
      <c r="X143" s="54" t="s">
        <v>257</v>
      </c>
      <c r="Y143" s="54" t="s">
        <v>257</v>
      </c>
      <c r="Z143" s="54" t="s">
        <v>257</v>
      </c>
      <c r="AA143" s="62" t="s">
        <v>257</v>
      </c>
      <c r="AC143" s="24"/>
    </row>
    <row r="144" spans="2:29" ht="210.75" customHeight="1" x14ac:dyDescent="0.25">
      <c r="B144" s="52" t="s">
        <v>17</v>
      </c>
      <c r="C144" s="52" t="s">
        <v>929</v>
      </c>
      <c r="D144" s="52" t="s">
        <v>20</v>
      </c>
      <c r="E144" s="53">
        <v>2</v>
      </c>
      <c r="F144" s="52" t="s">
        <v>137</v>
      </c>
      <c r="G144" s="52" t="s">
        <v>138</v>
      </c>
      <c r="H144" s="52" t="s">
        <v>139</v>
      </c>
      <c r="I144" s="53">
        <v>1</v>
      </c>
      <c r="J144" s="52" t="s">
        <v>140</v>
      </c>
      <c r="K144" s="53">
        <v>4</v>
      </c>
      <c r="L144" s="53"/>
      <c r="M144" s="54" t="s">
        <v>141</v>
      </c>
      <c r="N144" s="54"/>
      <c r="O144" s="53" t="s">
        <v>142</v>
      </c>
      <c r="P144" s="52"/>
      <c r="Q144" s="56"/>
      <c r="R144" s="52"/>
      <c r="S144" s="56" t="s">
        <v>930</v>
      </c>
      <c r="T144" s="56" t="s">
        <v>931</v>
      </c>
      <c r="U144" s="56" t="s">
        <v>349</v>
      </c>
      <c r="V144" s="56" t="s">
        <v>932</v>
      </c>
      <c r="W144" s="53"/>
      <c r="X144" s="52" t="s">
        <v>933</v>
      </c>
      <c r="Y144" s="55" t="s">
        <v>351</v>
      </c>
      <c r="Z144" s="55" t="s">
        <v>351</v>
      </c>
      <c r="AA144" s="53" t="s">
        <v>353</v>
      </c>
      <c r="AC144" s="24"/>
    </row>
    <row r="145" spans="2:29" ht="330" customHeight="1" x14ac:dyDescent="0.25">
      <c r="B145" s="52" t="s">
        <v>17</v>
      </c>
      <c r="C145" s="52" t="s">
        <v>929</v>
      </c>
      <c r="D145" s="52" t="s">
        <v>20</v>
      </c>
      <c r="E145" s="53">
        <v>2</v>
      </c>
      <c r="F145" s="52" t="s">
        <v>553</v>
      </c>
      <c r="G145" s="52" t="s">
        <v>554</v>
      </c>
      <c r="H145" s="52" t="s">
        <v>139</v>
      </c>
      <c r="I145" s="53">
        <v>2</v>
      </c>
      <c r="J145" s="52" t="s">
        <v>140</v>
      </c>
      <c r="K145" s="53">
        <v>15</v>
      </c>
      <c r="L145" s="53"/>
      <c r="M145" s="54" t="s">
        <v>934</v>
      </c>
      <c r="N145" s="54" t="s">
        <v>155</v>
      </c>
      <c r="O145" s="53" t="s">
        <v>142</v>
      </c>
      <c r="P145" s="52"/>
      <c r="Q145" s="56"/>
      <c r="R145" s="52"/>
      <c r="S145" s="52" t="s">
        <v>935</v>
      </c>
      <c r="T145" s="52" t="s">
        <v>936</v>
      </c>
      <c r="U145" s="52" t="s">
        <v>937</v>
      </c>
      <c r="V145" s="56" t="s">
        <v>938</v>
      </c>
      <c r="W145" s="53"/>
      <c r="X145" s="52" t="s">
        <v>933</v>
      </c>
      <c r="Y145" s="55" t="s">
        <v>936</v>
      </c>
      <c r="Z145" s="67" t="s">
        <v>558</v>
      </c>
      <c r="AA145" s="53" t="s">
        <v>351</v>
      </c>
      <c r="AC145" s="24"/>
    </row>
    <row r="146" spans="2:29" ht="222.75" customHeight="1" x14ac:dyDescent="0.25">
      <c r="B146" s="52" t="s">
        <v>17</v>
      </c>
      <c r="C146" s="52" t="s">
        <v>929</v>
      </c>
      <c r="D146" s="52" t="s">
        <v>20</v>
      </c>
      <c r="E146" s="53">
        <v>2</v>
      </c>
      <c r="F146" s="52" t="s">
        <v>164</v>
      </c>
      <c r="G146" s="52" t="s">
        <v>165</v>
      </c>
      <c r="H146" s="55" t="s">
        <v>166</v>
      </c>
      <c r="I146" s="53">
        <v>3</v>
      </c>
      <c r="J146" s="52" t="s">
        <v>140</v>
      </c>
      <c r="K146" s="53">
        <v>20</v>
      </c>
      <c r="L146" s="53"/>
      <c r="M146" s="54" t="s">
        <v>167</v>
      </c>
      <c r="N146" s="54" t="s">
        <v>168</v>
      </c>
      <c r="O146" s="53"/>
      <c r="P146" s="54" t="s">
        <v>526</v>
      </c>
      <c r="Q146" s="56"/>
      <c r="R146" s="52"/>
      <c r="S146" s="56" t="s">
        <v>930</v>
      </c>
      <c r="T146" s="56" t="s">
        <v>931</v>
      </c>
      <c r="U146" s="56" t="s">
        <v>349</v>
      </c>
      <c r="V146" s="56" t="s">
        <v>939</v>
      </c>
      <c r="W146" s="53"/>
      <c r="X146" s="52" t="s">
        <v>351</v>
      </c>
      <c r="Y146" s="55" t="s">
        <v>351</v>
      </c>
      <c r="Z146" s="55" t="s">
        <v>351</v>
      </c>
      <c r="AA146" s="53" t="s">
        <v>351</v>
      </c>
      <c r="AC146" s="24"/>
    </row>
    <row r="147" spans="2:29" ht="185.25" customHeight="1" x14ac:dyDescent="0.25">
      <c r="B147" s="52" t="s">
        <v>17</v>
      </c>
      <c r="C147" s="52" t="s">
        <v>929</v>
      </c>
      <c r="D147" s="52" t="s">
        <v>20</v>
      </c>
      <c r="E147" s="53">
        <v>2</v>
      </c>
      <c r="F147" s="52" t="s">
        <v>172</v>
      </c>
      <c r="G147" s="52" t="s">
        <v>173</v>
      </c>
      <c r="H147" s="55" t="s">
        <v>166</v>
      </c>
      <c r="I147" s="53">
        <v>4</v>
      </c>
      <c r="J147" s="52" t="s">
        <v>140</v>
      </c>
      <c r="K147" s="53">
        <v>3</v>
      </c>
      <c r="L147" s="53"/>
      <c r="M147" s="54" t="s">
        <v>174</v>
      </c>
      <c r="N147" s="54" t="s">
        <v>175</v>
      </c>
      <c r="O147" s="53"/>
      <c r="P147" s="56" t="s">
        <v>528</v>
      </c>
      <c r="Q147" s="56"/>
      <c r="R147" s="52"/>
      <c r="S147" s="52" t="s">
        <v>935</v>
      </c>
      <c r="T147" s="52" t="s">
        <v>936</v>
      </c>
      <c r="U147" s="52" t="s">
        <v>534</v>
      </c>
      <c r="V147" s="56" t="s">
        <v>940</v>
      </c>
      <c r="W147" s="53"/>
      <c r="X147" s="52" t="s">
        <v>933</v>
      </c>
      <c r="Y147" s="55" t="s">
        <v>936</v>
      </c>
      <c r="Z147" s="55" t="s">
        <v>534</v>
      </c>
      <c r="AA147" s="53" t="s">
        <v>351</v>
      </c>
      <c r="AC147" s="24"/>
    </row>
    <row r="148" spans="2:29" ht="185.25" customHeight="1" x14ac:dyDescent="0.25">
      <c r="B148" s="52" t="s">
        <v>17</v>
      </c>
      <c r="C148" s="52" t="s">
        <v>929</v>
      </c>
      <c r="D148" s="52" t="s">
        <v>20</v>
      </c>
      <c r="E148" s="53">
        <v>2</v>
      </c>
      <c r="F148" s="52" t="s">
        <v>184</v>
      </c>
      <c r="G148" s="52" t="s">
        <v>185</v>
      </c>
      <c r="H148" s="55" t="s">
        <v>166</v>
      </c>
      <c r="I148" s="53">
        <v>5</v>
      </c>
      <c r="J148" s="52" t="s">
        <v>140</v>
      </c>
      <c r="K148" s="53">
        <v>3</v>
      </c>
      <c r="L148" s="53"/>
      <c r="M148" s="54" t="s">
        <v>186</v>
      </c>
      <c r="N148" s="54"/>
      <c r="O148" s="53"/>
      <c r="P148" s="54" t="s">
        <v>535</v>
      </c>
      <c r="Q148" s="56"/>
      <c r="R148" s="52"/>
      <c r="S148" s="52" t="s">
        <v>935</v>
      </c>
      <c r="T148" s="52" t="s">
        <v>936</v>
      </c>
      <c r="U148" s="52" t="s">
        <v>538</v>
      </c>
      <c r="V148" s="56" t="s">
        <v>941</v>
      </c>
      <c r="W148" s="55"/>
      <c r="X148" s="52" t="s">
        <v>933</v>
      </c>
      <c r="Y148" s="55" t="s">
        <v>936</v>
      </c>
      <c r="Z148" s="55" t="s">
        <v>538</v>
      </c>
      <c r="AA148" s="53" t="s">
        <v>351</v>
      </c>
      <c r="AC148" s="24"/>
    </row>
    <row r="149" spans="2:29" ht="120" customHeight="1" x14ac:dyDescent="0.25">
      <c r="B149" s="52" t="s">
        <v>17</v>
      </c>
      <c r="C149" s="52" t="s">
        <v>929</v>
      </c>
      <c r="D149" s="52" t="s">
        <v>20</v>
      </c>
      <c r="E149" s="53">
        <v>2</v>
      </c>
      <c r="F149" s="52" t="s">
        <v>193</v>
      </c>
      <c r="G149" s="52" t="s">
        <v>194</v>
      </c>
      <c r="H149" s="55" t="s">
        <v>166</v>
      </c>
      <c r="I149" s="53">
        <v>6</v>
      </c>
      <c r="J149" s="52" t="s">
        <v>140</v>
      </c>
      <c r="K149" s="53">
        <v>4</v>
      </c>
      <c r="L149" s="53"/>
      <c r="M149" s="54" t="s">
        <v>942</v>
      </c>
      <c r="N149" s="54"/>
      <c r="O149" s="53"/>
      <c r="P149" s="52"/>
      <c r="Q149" s="56"/>
      <c r="R149" s="52"/>
      <c r="S149" s="52" t="s">
        <v>935</v>
      </c>
      <c r="T149" s="52" t="s">
        <v>936</v>
      </c>
      <c r="U149" s="52" t="s">
        <v>351</v>
      </c>
      <c r="V149" s="56" t="s">
        <v>943</v>
      </c>
      <c r="W149" s="55"/>
      <c r="X149" s="52" t="s">
        <v>933</v>
      </c>
      <c r="Y149" s="72" t="s">
        <v>351</v>
      </c>
      <c r="Z149" s="52" t="s">
        <v>351</v>
      </c>
      <c r="AA149" s="53" t="s">
        <v>353</v>
      </c>
      <c r="AC149" s="24"/>
    </row>
    <row r="150" spans="2:29" ht="120" customHeight="1" x14ac:dyDescent="0.25">
      <c r="B150" s="52" t="s">
        <v>17</v>
      </c>
      <c r="C150" s="52" t="s">
        <v>929</v>
      </c>
      <c r="D150" s="52" t="s">
        <v>20</v>
      </c>
      <c r="E150" s="53">
        <v>2</v>
      </c>
      <c r="F150" s="52" t="s">
        <v>203</v>
      </c>
      <c r="G150" s="52" t="s">
        <v>204</v>
      </c>
      <c r="H150" s="55" t="s">
        <v>166</v>
      </c>
      <c r="I150" s="53">
        <v>7</v>
      </c>
      <c r="J150" s="52" t="s">
        <v>140</v>
      </c>
      <c r="K150" s="53">
        <v>30</v>
      </c>
      <c r="L150" s="53"/>
      <c r="M150" s="54" t="s">
        <v>944</v>
      </c>
      <c r="N150" s="54" t="s">
        <v>206</v>
      </c>
      <c r="O150" s="53"/>
      <c r="P150" s="52"/>
      <c r="Q150" s="56"/>
      <c r="R150" s="52"/>
      <c r="S150" s="56" t="s">
        <v>945</v>
      </c>
      <c r="T150" s="56" t="s">
        <v>946</v>
      </c>
      <c r="U150" s="56" t="s">
        <v>947</v>
      </c>
      <c r="V150" s="56" t="s">
        <v>948</v>
      </c>
      <c r="W150" s="53"/>
      <c r="X150" s="52" t="s">
        <v>949</v>
      </c>
      <c r="Y150" s="55" t="s">
        <v>950</v>
      </c>
      <c r="Z150" s="67" t="s">
        <v>951</v>
      </c>
      <c r="AA150" s="53" t="s">
        <v>351</v>
      </c>
      <c r="AC150" s="24"/>
    </row>
    <row r="151" spans="2:29" ht="120" customHeight="1" x14ac:dyDescent="0.25">
      <c r="B151" s="52" t="s">
        <v>17</v>
      </c>
      <c r="C151" s="52" t="s">
        <v>929</v>
      </c>
      <c r="D151" s="52" t="s">
        <v>20</v>
      </c>
      <c r="E151" s="53">
        <v>2</v>
      </c>
      <c r="F151" s="52" t="s">
        <v>214</v>
      </c>
      <c r="G151" s="52" t="s">
        <v>215</v>
      </c>
      <c r="H151" s="55" t="s">
        <v>216</v>
      </c>
      <c r="I151" s="53">
        <v>8</v>
      </c>
      <c r="J151" s="52" t="s">
        <v>952</v>
      </c>
      <c r="K151" s="53">
        <v>10</v>
      </c>
      <c r="L151" s="53"/>
      <c r="M151" s="54" t="s">
        <v>953</v>
      </c>
      <c r="N151" s="54" t="s">
        <v>218</v>
      </c>
      <c r="O151" s="53"/>
      <c r="P151" s="52"/>
      <c r="Q151" s="56"/>
      <c r="R151" s="52"/>
      <c r="S151" s="52" t="s">
        <v>935</v>
      </c>
      <c r="T151" s="52" t="s">
        <v>936</v>
      </c>
      <c r="U151" s="52" t="s">
        <v>954</v>
      </c>
      <c r="V151" s="56" t="s">
        <v>955</v>
      </c>
      <c r="W151" s="53"/>
      <c r="X151" s="52" t="s">
        <v>933</v>
      </c>
      <c r="Y151" s="55" t="s">
        <v>936</v>
      </c>
      <c r="Z151" s="55" t="s">
        <v>956</v>
      </c>
      <c r="AA151" s="53" t="s">
        <v>351</v>
      </c>
      <c r="AC151" s="24"/>
    </row>
    <row r="152" spans="2:29" ht="120" customHeight="1" x14ac:dyDescent="0.25">
      <c r="B152" s="52" t="s">
        <v>17</v>
      </c>
      <c r="C152" s="52" t="s">
        <v>929</v>
      </c>
      <c r="D152" s="52" t="s">
        <v>20</v>
      </c>
      <c r="E152" s="53">
        <v>2</v>
      </c>
      <c r="F152" s="52" t="s">
        <v>226</v>
      </c>
      <c r="G152" s="52" t="s">
        <v>227</v>
      </c>
      <c r="H152" s="55" t="s">
        <v>216</v>
      </c>
      <c r="I152" s="53">
        <v>9</v>
      </c>
      <c r="J152" s="52" t="s">
        <v>952</v>
      </c>
      <c r="K152" s="53">
        <v>10</v>
      </c>
      <c r="L152" s="53"/>
      <c r="M152" s="54" t="s">
        <v>710</v>
      </c>
      <c r="N152" s="54" t="s">
        <v>229</v>
      </c>
      <c r="O152" s="53"/>
      <c r="P152" s="52"/>
      <c r="Q152" s="56"/>
      <c r="R152" s="52"/>
      <c r="S152" s="52" t="s">
        <v>935</v>
      </c>
      <c r="T152" s="52" t="s">
        <v>936</v>
      </c>
      <c r="U152" s="56" t="s">
        <v>351</v>
      </c>
      <c r="V152" s="56" t="s">
        <v>957</v>
      </c>
      <c r="W152" s="53"/>
      <c r="X152" s="52" t="s">
        <v>933</v>
      </c>
      <c r="Y152" s="55" t="s">
        <v>351</v>
      </c>
      <c r="Z152" s="55" t="s">
        <v>351</v>
      </c>
      <c r="AA152" s="66" t="s">
        <v>712</v>
      </c>
      <c r="AC152" s="24"/>
    </row>
    <row r="153" spans="2:29" ht="120" customHeight="1" x14ac:dyDescent="0.25">
      <c r="B153" s="52" t="s">
        <v>17</v>
      </c>
      <c r="C153" s="52" t="s">
        <v>929</v>
      </c>
      <c r="D153" s="52" t="s">
        <v>20</v>
      </c>
      <c r="E153" s="53">
        <v>2</v>
      </c>
      <c r="F153" s="52" t="s">
        <v>238</v>
      </c>
      <c r="G153" s="52" t="s">
        <v>239</v>
      </c>
      <c r="H153" s="55" t="s">
        <v>240</v>
      </c>
      <c r="I153" s="53">
        <v>10</v>
      </c>
      <c r="J153" s="52" t="s">
        <v>140</v>
      </c>
      <c r="K153" s="53">
        <v>3</v>
      </c>
      <c r="L153" s="53"/>
      <c r="M153" s="54" t="s">
        <v>958</v>
      </c>
      <c r="N153" s="54" t="s">
        <v>242</v>
      </c>
      <c r="O153" s="53"/>
      <c r="P153" s="56" t="s">
        <v>397</v>
      </c>
      <c r="Q153" s="56"/>
      <c r="R153" s="52"/>
      <c r="S153" s="52" t="s">
        <v>935</v>
      </c>
      <c r="T153" s="52" t="s">
        <v>936</v>
      </c>
      <c r="U153" s="52" t="s">
        <v>406</v>
      </c>
      <c r="V153" s="56" t="s">
        <v>959</v>
      </c>
      <c r="W153" s="53"/>
      <c r="X153" s="52" t="s">
        <v>933</v>
      </c>
      <c r="Y153" s="55" t="s">
        <v>936</v>
      </c>
      <c r="Z153" s="55" t="s">
        <v>406</v>
      </c>
      <c r="AA153" s="53" t="s">
        <v>351</v>
      </c>
      <c r="AC153" s="24"/>
    </row>
    <row r="154" spans="2:29" ht="120" customHeight="1" x14ac:dyDescent="0.25">
      <c r="B154" s="52" t="s">
        <v>17</v>
      </c>
      <c r="C154" s="52" t="s">
        <v>929</v>
      </c>
      <c r="D154" s="52" t="s">
        <v>20</v>
      </c>
      <c r="E154" s="53">
        <v>2</v>
      </c>
      <c r="F154" s="52" t="s">
        <v>272</v>
      </c>
      <c r="G154" s="52" t="s">
        <v>273</v>
      </c>
      <c r="H154" s="52" t="s">
        <v>262</v>
      </c>
      <c r="I154" s="53">
        <v>11</v>
      </c>
      <c r="J154" s="52" t="s">
        <v>263</v>
      </c>
      <c r="K154" s="53">
        <v>23</v>
      </c>
      <c r="L154" s="53">
        <v>6</v>
      </c>
      <c r="M154" s="54" t="s">
        <v>960</v>
      </c>
      <c r="N154" s="54"/>
      <c r="O154" s="53"/>
      <c r="P154" s="55"/>
      <c r="Q154" s="54" t="s">
        <v>219</v>
      </c>
      <c r="R154" s="55" t="s">
        <v>265</v>
      </c>
      <c r="S154" s="52" t="s">
        <v>935</v>
      </c>
      <c r="T154" s="52" t="s">
        <v>936</v>
      </c>
      <c r="U154" s="52" t="s">
        <v>961</v>
      </c>
      <c r="V154" s="56" t="s">
        <v>962</v>
      </c>
      <c r="W154" s="53"/>
      <c r="X154" s="52" t="s">
        <v>933</v>
      </c>
      <c r="Y154" s="54" t="s">
        <v>936</v>
      </c>
      <c r="Z154" s="55" t="s">
        <v>961</v>
      </c>
      <c r="AA154" s="53" t="s">
        <v>351</v>
      </c>
      <c r="AC154" s="24"/>
    </row>
    <row r="155" spans="2:29" ht="120" customHeight="1" x14ac:dyDescent="0.25">
      <c r="B155" s="52" t="s">
        <v>17</v>
      </c>
      <c r="C155" s="52" t="s">
        <v>929</v>
      </c>
      <c r="D155" s="52" t="s">
        <v>20</v>
      </c>
      <c r="E155" s="53">
        <v>2</v>
      </c>
      <c r="F155" s="52" t="s">
        <v>717</v>
      </c>
      <c r="G155" s="52" t="s">
        <v>718</v>
      </c>
      <c r="H155" s="55" t="s">
        <v>303</v>
      </c>
      <c r="I155" s="53">
        <v>12</v>
      </c>
      <c r="J155" s="52" t="s">
        <v>140</v>
      </c>
      <c r="K155" s="53">
        <v>3</v>
      </c>
      <c r="L155" s="53"/>
      <c r="M155" s="54" t="s">
        <v>719</v>
      </c>
      <c r="N155" s="54" t="s">
        <v>305</v>
      </c>
      <c r="O155" s="53"/>
      <c r="P155" s="54" t="s">
        <v>963</v>
      </c>
      <c r="Q155" s="56"/>
      <c r="R155" s="52"/>
      <c r="S155" s="56" t="s">
        <v>930</v>
      </c>
      <c r="T155" s="56" t="s">
        <v>931</v>
      </c>
      <c r="U155" s="56" t="s">
        <v>349</v>
      </c>
      <c r="V155" s="56" t="s">
        <v>964</v>
      </c>
      <c r="W155" s="53"/>
      <c r="X155" s="52" t="s">
        <v>933</v>
      </c>
      <c r="Y155" s="55" t="s">
        <v>936</v>
      </c>
      <c r="Z155" s="55" t="s">
        <v>965</v>
      </c>
      <c r="AA155" s="53" t="s">
        <v>351</v>
      </c>
      <c r="AC155" s="24"/>
    </row>
    <row r="156" spans="2:29" ht="120" customHeight="1" x14ac:dyDescent="0.25">
      <c r="B156" s="52" t="s">
        <v>17</v>
      </c>
      <c r="C156" s="52" t="s">
        <v>929</v>
      </c>
      <c r="D156" s="52" t="s">
        <v>20</v>
      </c>
      <c r="E156" s="53">
        <v>2</v>
      </c>
      <c r="F156" s="52" t="s">
        <v>723</v>
      </c>
      <c r="G156" s="52" t="s">
        <v>724</v>
      </c>
      <c r="H156" s="55" t="s">
        <v>303</v>
      </c>
      <c r="I156" s="53">
        <v>13</v>
      </c>
      <c r="J156" s="52" t="s">
        <v>140</v>
      </c>
      <c r="K156" s="53">
        <v>3</v>
      </c>
      <c r="L156" s="53"/>
      <c r="M156" s="54" t="s">
        <v>725</v>
      </c>
      <c r="N156" s="54" t="s">
        <v>314</v>
      </c>
      <c r="O156" s="53"/>
      <c r="P156" s="56" t="s">
        <v>726</v>
      </c>
      <c r="Q156" s="65"/>
      <c r="R156" s="63"/>
      <c r="S156" s="52" t="s">
        <v>935</v>
      </c>
      <c r="T156" s="52" t="s">
        <v>936</v>
      </c>
      <c r="U156" s="56" t="s">
        <v>351</v>
      </c>
      <c r="V156" s="56" t="s">
        <v>966</v>
      </c>
      <c r="W156" s="53"/>
      <c r="X156" s="52" t="s">
        <v>933</v>
      </c>
      <c r="Y156" s="72" t="s">
        <v>351</v>
      </c>
      <c r="Z156" s="52" t="s">
        <v>351</v>
      </c>
      <c r="AA156" s="62" t="s">
        <v>967</v>
      </c>
      <c r="AC156" s="24"/>
    </row>
    <row r="157" spans="2:29" ht="120" customHeight="1" x14ac:dyDescent="0.25">
      <c r="B157" s="52" t="s">
        <v>17</v>
      </c>
      <c r="C157" s="52" t="s">
        <v>929</v>
      </c>
      <c r="D157" s="52" t="s">
        <v>20</v>
      </c>
      <c r="E157" s="53">
        <v>2</v>
      </c>
      <c r="F157" s="52" t="s">
        <v>329</v>
      </c>
      <c r="G157" s="52" t="s">
        <v>330</v>
      </c>
      <c r="H157" s="52" t="s">
        <v>331</v>
      </c>
      <c r="I157" s="53">
        <v>14</v>
      </c>
      <c r="J157" s="52" t="s">
        <v>140</v>
      </c>
      <c r="K157" s="53">
        <v>10</v>
      </c>
      <c r="L157" s="53"/>
      <c r="M157" s="54" t="s">
        <v>332</v>
      </c>
      <c r="N157" s="54" t="s">
        <v>333</v>
      </c>
      <c r="O157" s="53" t="s">
        <v>142</v>
      </c>
      <c r="P157" s="52"/>
      <c r="Q157" s="56"/>
      <c r="R157" s="52"/>
      <c r="S157" s="52" t="s">
        <v>935</v>
      </c>
      <c r="T157" s="52" t="s">
        <v>936</v>
      </c>
      <c r="U157" s="52" t="s">
        <v>728</v>
      </c>
      <c r="V157" s="56" t="s">
        <v>968</v>
      </c>
      <c r="W157" s="53"/>
      <c r="X157" s="52" t="s">
        <v>351</v>
      </c>
      <c r="Y157" s="55" t="s">
        <v>351</v>
      </c>
      <c r="Z157" s="55" t="s">
        <v>351</v>
      </c>
      <c r="AA157" s="53" t="s">
        <v>351</v>
      </c>
      <c r="AC157" s="24"/>
    </row>
    <row r="158" spans="2:29" ht="120" customHeight="1" x14ac:dyDescent="0.25">
      <c r="B158" s="52" t="s">
        <v>17</v>
      </c>
      <c r="C158" s="52" t="s">
        <v>929</v>
      </c>
      <c r="D158" s="52" t="s">
        <v>20</v>
      </c>
      <c r="E158" s="53">
        <v>2</v>
      </c>
      <c r="F158" s="52" t="s">
        <v>336</v>
      </c>
      <c r="G158" s="52" t="s">
        <v>337</v>
      </c>
      <c r="H158" s="52" t="s">
        <v>338</v>
      </c>
      <c r="I158" s="53">
        <v>15</v>
      </c>
      <c r="J158" s="52" t="s">
        <v>339</v>
      </c>
      <c r="K158" s="53">
        <v>23</v>
      </c>
      <c r="L158" s="53"/>
      <c r="M158" s="54" t="s">
        <v>340</v>
      </c>
      <c r="N158" s="54" t="s">
        <v>341</v>
      </c>
      <c r="O158" s="53"/>
      <c r="P158" s="52"/>
      <c r="Q158" s="56"/>
      <c r="R158" s="52"/>
      <c r="S158" s="52" t="s">
        <v>935</v>
      </c>
      <c r="T158" s="52" t="s">
        <v>936</v>
      </c>
      <c r="U158" s="52" t="s">
        <v>351</v>
      </c>
      <c r="V158" s="56" t="s">
        <v>969</v>
      </c>
      <c r="W158" s="53"/>
      <c r="X158" s="52" t="s">
        <v>351</v>
      </c>
      <c r="Y158" s="55" t="s">
        <v>351</v>
      </c>
      <c r="Z158" s="55" t="s">
        <v>351</v>
      </c>
      <c r="AA158" s="53" t="s">
        <v>351</v>
      </c>
      <c r="AC158" s="24"/>
    </row>
    <row r="159" spans="2:29" ht="120" customHeight="1" x14ac:dyDescent="0.25">
      <c r="B159" s="52" t="s">
        <v>22</v>
      </c>
      <c r="C159" s="52" t="s">
        <v>970</v>
      </c>
      <c r="D159" s="52" t="s">
        <v>23</v>
      </c>
      <c r="E159" s="53">
        <v>0</v>
      </c>
      <c r="F159" s="52" t="s">
        <v>137</v>
      </c>
      <c r="G159" s="52" t="s">
        <v>138</v>
      </c>
      <c r="H159" s="52" t="s">
        <v>139</v>
      </c>
      <c r="I159" s="53">
        <v>1</v>
      </c>
      <c r="J159" s="52" t="s">
        <v>140</v>
      </c>
      <c r="K159" s="53">
        <v>4</v>
      </c>
      <c r="L159" s="53"/>
      <c r="M159" s="54" t="s">
        <v>141</v>
      </c>
      <c r="N159" s="54"/>
      <c r="O159" s="53" t="s">
        <v>142</v>
      </c>
      <c r="P159" s="52"/>
      <c r="Q159" s="56"/>
      <c r="R159" s="52"/>
      <c r="S159" s="53"/>
      <c r="T159" s="53"/>
      <c r="U159" s="53"/>
      <c r="V159" s="53"/>
      <c r="W159" s="53"/>
      <c r="X159" s="52" t="s">
        <v>351</v>
      </c>
      <c r="Y159" s="52" t="s">
        <v>351</v>
      </c>
      <c r="Z159" s="52" t="s">
        <v>351</v>
      </c>
      <c r="AA159" s="53" t="s">
        <v>351</v>
      </c>
      <c r="AC159" s="24"/>
    </row>
    <row r="160" spans="2:29" ht="120" customHeight="1" x14ac:dyDescent="0.25">
      <c r="B160" s="52" t="s">
        <v>22</v>
      </c>
      <c r="C160" s="52" t="s">
        <v>970</v>
      </c>
      <c r="D160" s="52" t="s">
        <v>23</v>
      </c>
      <c r="E160" s="53">
        <v>0</v>
      </c>
      <c r="F160" s="52" t="s">
        <v>152</v>
      </c>
      <c r="G160" s="52" t="s">
        <v>153</v>
      </c>
      <c r="H160" s="52" t="s">
        <v>139</v>
      </c>
      <c r="I160" s="53">
        <v>2</v>
      </c>
      <c r="J160" s="52" t="s">
        <v>140</v>
      </c>
      <c r="K160" s="53">
        <v>30</v>
      </c>
      <c r="L160" s="53"/>
      <c r="M160" s="54" t="s">
        <v>154</v>
      </c>
      <c r="N160" s="54" t="s">
        <v>155</v>
      </c>
      <c r="O160" s="53" t="s">
        <v>142</v>
      </c>
      <c r="P160" s="52"/>
      <c r="Q160" s="56"/>
      <c r="R160" s="52"/>
      <c r="S160" s="53"/>
      <c r="T160" s="53"/>
      <c r="U160" s="53"/>
      <c r="V160" s="53"/>
      <c r="W160" s="53"/>
      <c r="X160" s="52" t="s">
        <v>351</v>
      </c>
      <c r="Y160" s="52" t="s">
        <v>351</v>
      </c>
      <c r="Z160" s="52" t="s">
        <v>351</v>
      </c>
      <c r="AA160" s="53" t="s">
        <v>351</v>
      </c>
      <c r="AC160" s="24"/>
    </row>
    <row r="161" spans="2:29" ht="120" customHeight="1" x14ac:dyDescent="0.25">
      <c r="B161" s="52" t="s">
        <v>22</v>
      </c>
      <c r="C161" s="52" t="s">
        <v>970</v>
      </c>
      <c r="D161" s="52" t="s">
        <v>23</v>
      </c>
      <c r="E161" s="53">
        <v>0</v>
      </c>
      <c r="F161" s="52" t="s">
        <v>164</v>
      </c>
      <c r="G161" s="52" t="s">
        <v>165</v>
      </c>
      <c r="H161" s="55" t="s">
        <v>166</v>
      </c>
      <c r="I161" s="53">
        <v>3</v>
      </c>
      <c r="J161" s="52" t="s">
        <v>140</v>
      </c>
      <c r="K161" s="53">
        <v>20</v>
      </c>
      <c r="L161" s="53"/>
      <c r="M161" s="54" t="s">
        <v>167</v>
      </c>
      <c r="N161" s="54" t="s">
        <v>168</v>
      </c>
      <c r="O161" s="53"/>
      <c r="P161" s="54" t="s">
        <v>971</v>
      </c>
      <c r="Q161" s="56"/>
      <c r="R161" s="52"/>
      <c r="S161" s="53"/>
      <c r="T161" s="53"/>
      <c r="U161" s="53"/>
      <c r="V161" s="53"/>
      <c r="W161" s="53"/>
      <c r="X161" s="52" t="s">
        <v>351</v>
      </c>
      <c r="Y161" s="52" t="s">
        <v>351</v>
      </c>
      <c r="Z161" s="52" t="s">
        <v>351</v>
      </c>
      <c r="AA161" s="53" t="s">
        <v>351</v>
      </c>
      <c r="AC161" s="24"/>
    </row>
    <row r="162" spans="2:29" ht="120" customHeight="1" x14ac:dyDescent="0.25">
      <c r="B162" s="52" t="s">
        <v>22</v>
      </c>
      <c r="C162" s="52" t="s">
        <v>970</v>
      </c>
      <c r="D162" s="52" t="s">
        <v>23</v>
      </c>
      <c r="E162" s="53">
        <v>0</v>
      </c>
      <c r="F162" s="52" t="s">
        <v>172</v>
      </c>
      <c r="G162" s="52" t="s">
        <v>173</v>
      </c>
      <c r="H162" s="55" t="s">
        <v>166</v>
      </c>
      <c r="I162" s="53">
        <v>4</v>
      </c>
      <c r="J162" s="52" t="s">
        <v>140</v>
      </c>
      <c r="K162" s="53">
        <v>20</v>
      </c>
      <c r="L162" s="53"/>
      <c r="M162" s="54" t="s">
        <v>174</v>
      </c>
      <c r="N162" s="54" t="s">
        <v>175</v>
      </c>
      <c r="O162" s="53"/>
      <c r="P162" s="56" t="s">
        <v>972</v>
      </c>
      <c r="Q162" s="56"/>
      <c r="R162" s="52"/>
      <c r="S162" s="53"/>
      <c r="T162" s="53"/>
      <c r="U162" s="53"/>
      <c r="V162" s="53"/>
      <c r="W162" s="53"/>
      <c r="X162" s="52" t="s">
        <v>351</v>
      </c>
      <c r="Y162" s="52" t="s">
        <v>351</v>
      </c>
      <c r="Z162" s="52" t="s">
        <v>351</v>
      </c>
      <c r="AA162" s="53" t="s">
        <v>351</v>
      </c>
      <c r="AC162" s="24"/>
    </row>
    <row r="163" spans="2:29" ht="120" customHeight="1" x14ac:dyDescent="0.25">
      <c r="B163" s="52" t="s">
        <v>22</v>
      </c>
      <c r="C163" s="52" t="s">
        <v>970</v>
      </c>
      <c r="D163" s="52" t="s">
        <v>23</v>
      </c>
      <c r="E163" s="53">
        <v>0</v>
      </c>
      <c r="F163" s="52" t="s">
        <v>184</v>
      </c>
      <c r="G163" s="52" t="s">
        <v>185</v>
      </c>
      <c r="H163" s="55" t="s">
        <v>166</v>
      </c>
      <c r="I163" s="53">
        <v>5</v>
      </c>
      <c r="J163" s="52" t="s">
        <v>140</v>
      </c>
      <c r="K163" s="53">
        <v>20</v>
      </c>
      <c r="L163" s="53"/>
      <c r="M163" s="54" t="s">
        <v>186</v>
      </c>
      <c r="N163" s="54" t="s">
        <v>187</v>
      </c>
      <c r="O163" s="53"/>
      <c r="P163" s="56" t="s">
        <v>973</v>
      </c>
      <c r="Q163" s="56"/>
      <c r="R163" s="52"/>
      <c r="S163" s="53"/>
      <c r="T163" s="53"/>
      <c r="U163" s="53"/>
      <c r="V163" s="53"/>
      <c r="W163" s="53"/>
      <c r="X163" s="52" t="s">
        <v>351</v>
      </c>
      <c r="Y163" s="52" t="s">
        <v>351</v>
      </c>
      <c r="Z163" s="52" t="s">
        <v>351</v>
      </c>
      <c r="AA163" s="53" t="s">
        <v>351</v>
      </c>
      <c r="AC163" s="24"/>
    </row>
    <row r="164" spans="2:29" ht="120" customHeight="1" x14ac:dyDescent="0.25">
      <c r="B164" s="52" t="s">
        <v>22</v>
      </c>
      <c r="C164" s="52" t="s">
        <v>970</v>
      </c>
      <c r="D164" s="52" t="s">
        <v>23</v>
      </c>
      <c r="E164" s="53">
        <v>0</v>
      </c>
      <c r="F164" s="52" t="s">
        <v>974</v>
      </c>
      <c r="G164" s="52" t="s">
        <v>975</v>
      </c>
      <c r="H164" s="52" t="s">
        <v>976</v>
      </c>
      <c r="I164" s="53">
        <v>6</v>
      </c>
      <c r="J164" s="52" t="s">
        <v>140</v>
      </c>
      <c r="K164" s="53">
        <v>4</v>
      </c>
      <c r="L164" s="53"/>
      <c r="M164" s="54" t="s">
        <v>977</v>
      </c>
      <c r="N164" s="54" t="s">
        <v>978</v>
      </c>
      <c r="O164" s="53"/>
      <c r="P164" s="52"/>
      <c r="Q164" s="56"/>
      <c r="R164" s="52"/>
      <c r="S164" s="53"/>
      <c r="T164" s="53"/>
      <c r="U164" s="53"/>
      <c r="V164" s="53"/>
      <c r="W164" s="53"/>
      <c r="X164" s="52" t="s">
        <v>351</v>
      </c>
      <c r="Y164" s="52" t="s">
        <v>351</v>
      </c>
      <c r="Z164" s="52" t="s">
        <v>351</v>
      </c>
      <c r="AA164" s="53" t="s">
        <v>351</v>
      </c>
      <c r="AC164" s="24"/>
    </row>
    <row r="165" spans="2:29" ht="120" customHeight="1" x14ac:dyDescent="0.25">
      <c r="B165" s="52" t="s">
        <v>22</v>
      </c>
      <c r="C165" s="52" t="s">
        <v>970</v>
      </c>
      <c r="D165" s="52" t="s">
        <v>23</v>
      </c>
      <c r="E165" s="53">
        <v>0</v>
      </c>
      <c r="F165" s="52" t="s">
        <v>979</v>
      </c>
      <c r="G165" s="52" t="s">
        <v>980</v>
      </c>
      <c r="H165" s="52" t="s">
        <v>976</v>
      </c>
      <c r="I165" s="53">
        <v>7</v>
      </c>
      <c r="J165" s="52" t="s">
        <v>140</v>
      </c>
      <c r="K165" s="53">
        <v>11</v>
      </c>
      <c r="L165" s="53"/>
      <c r="M165" s="54" t="s">
        <v>981</v>
      </c>
      <c r="N165" s="54" t="s">
        <v>982</v>
      </c>
      <c r="O165" s="53"/>
      <c r="P165" s="52"/>
      <c r="Q165" s="56"/>
      <c r="R165" s="52"/>
      <c r="S165" s="53"/>
      <c r="T165" s="53"/>
      <c r="U165" s="53"/>
      <c r="V165" s="53"/>
      <c r="W165" s="53"/>
      <c r="X165" s="52" t="s">
        <v>351</v>
      </c>
      <c r="Y165" s="52" t="s">
        <v>351</v>
      </c>
      <c r="Z165" s="52" t="s">
        <v>351</v>
      </c>
      <c r="AA165" s="53" t="s">
        <v>351</v>
      </c>
      <c r="AC165" s="24"/>
    </row>
    <row r="166" spans="2:29" ht="120" customHeight="1" x14ac:dyDescent="0.25">
      <c r="B166" s="52" t="s">
        <v>22</v>
      </c>
      <c r="C166" s="52" t="s">
        <v>970</v>
      </c>
      <c r="D166" s="52" t="s">
        <v>23</v>
      </c>
      <c r="E166" s="53">
        <v>0</v>
      </c>
      <c r="F166" s="52" t="s">
        <v>983</v>
      </c>
      <c r="G166" s="52" t="s">
        <v>984</v>
      </c>
      <c r="H166" s="52" t="s">
        <v>976</v>
      </c>
      <c r="I166" s="53">
        <v>8</v>
      </c>
      <c r="J166" s="52" t="s">
        <v>140</v>
      </c>
      <c r="K166" s="53">
        <v>15</v>
      </c>
      <c r="L166" s="53"/>
      <c r="M166" s="54" t="s">
        <v>985</v>
      </c>
      <c r="N166" s="54" t="s">
        <v>986</v>
      </c>
      <c r="O166" s="53"/>
      <c r="P166" s="52"/>
      <c r="Q166" s="56"/>
      <c r="R166" s="52"/>
      <c r="S166" s="53"/>
      <c r="T166" s="53"/>
      <c r="U166" s="53"/>
      <c r="V166" s="53"/>
      <c r="W166" s="53"/>
      <c r="X166" s="52" t="s">
        <v>351</v>
      </c>
      <c r="Y166" s="52" t="s">
        <v>351</v>
      </c>
      <c r="Z166" s="52" t="s">
        <v>351</v>
      </c>
      <c r="AA166" s="53" t="s">
        <v>351</v>
      </c>
      <c r="AC166" s="24"/>
    </row>
    <row r="167" spans="2:29" ht="120" customHeight="1" x14ac:dyDescent="0.25">
      <c r="B167" s="52" t="s">
        <v>22</v>
      </c>
      <c r="C167" s="52" t="s">
        <v>970</v>
      </c>
      <c r="D167" s="52" t="s">
        <v>23</v>
      </c>
      <c r="E167" s="53">
        <v>0</v>
      </c>
      <c r="F167" s="52" t="s">
        <v>987</v>
      </c>
      <c r="G167" s="52" t="s">
        <v>988</v>
      </c>
      <c r="H167" s="52" t="s">
        <v>976</v>
      </c>
      <c r="I167" s="53">
        <v>9</v>
      </c>
      <c r="J167" s="52" t="s">
        <v>140</v>
      </c>
      <c r="K167" s="53">
        <v>20</v>
      </c>
      <c r="L167" s="53"/>
      <c r="M167" s="54" t="s">
        <v>989</v>
      </c>
      <c r="N167" s="54" t="s">
        <v>990</v>
      </c>
      <c r="O167" s="53"/>
      <c r="P167" s="52"/>
      <c r="Q167" s="56"/>
      <c r="R167" s="52"/>
      <c r="S167" s="53"/>
      <c r="T167" s="53"/>
      <c r="U167" s="53"/>
      <c r="V167" s="53"/>
      <c r="W167" s="53"/>
      <c r="X167" s="52" t="s">
        <v>351</v>
      </c>
      <c r="Y167" s="52" t="s">
        <v>351</v>
      </c>
      <c r="Z167" s="52" t="s">
        <v>351</v>
      </c>
      <c r="AA167" s="53" t="s">
        <v>351</v>
      </c>
      <c r="AC167" s="24"/>
    </row>
    <row r="168" spans="2:29" ht="120" customHeight="1" x14ac:dyDescent="0.25">
      <c r="B168" s="52" t="s">
        <v>22</v>
      </c>
      <c r="C168" s="52" t="s">
        <v>970</v>
      </c>
      <c r="D168" s="52" t="s">
        <v>23</v>
      </c>
      <c r="E168" s="53">
        <v>0</v>
      </c>
      <c r="F168" s="52" t="s">
        <v>329</v>
      </c>
      <c r="G168" s="52" t="s">
        <v>330</v>
      </c>
      <c r="H168" s="52" t="s">
        <v>331</v>
      </c>
      <c r="I168" s="53">
        <v>10</v>
      </c>
      <c r="J168" s="52" t="s">
        <v>140</v>
      </c>
      <c r="K168" s="53">
        <v>10</v>
      </c>
      <c r="L168" s="53"/>
      <c r="M168" s="54" t="s">
        <v>332</v>
      </c>
      <c r="N168" s="54" t="s">
        <v>333</v>
      </c>
      <c r="O168" s="53" t="s">
        <v>142</v>
      </c>
      <c r="P168" s="52"/>
      <c r="Q168" s="56"/>
      <c r="R168" s="52"/>
      <c r="S168" s="53"/>
      <c r="T168" s="53"/>
      <c r="U168" s="53"/>
      <c r="V168" s="53"/>
      <c r="W168" s="53"/>
      <c r="X168" s="52" t="s">
        <v>351</v>
      </c>
      <c r="Y168" s="52" t="s">
        <v>351</v>
      </c>
      <c r="Z168" s="52" t="s">
        <v>351</v>
      </c>
      <c r="AA168" s="53" t="s">
        <v>351</v>
      </c>
      <c r="AC168" s="24"/>
    </row>
    <row r="169" spans="2:29" ht="120" customHeight="1" x14ac:dyDescent="0.25">
      <c r="B169" s="52" t="s">
        <v>22</v>
      </c>
      <c r="C169" s="52" t="s">
        <v>970</v>
      </c>
      <c r="D169" s="52" t="s">
        <v>23</v>
      </c>
      <c r="E169" s="53">
        <v>0</v>
      </c>
      <c r="F169" s="52" t="s">
        <v>336</v>
      </c>
      <c r="G169" s="52" t="s">
        <v>337</v>
      </c>
      <c r="H169" s="52" t="s">
        <v>338</v>
      </c>
      <c r="I169" s="53">
        <v>11</v>
      </c>
      <c r="J169" s="52" t="s">
        <v>339</v>
      </c>
      <c r="K169" s="53">
        <v>23</v>
      </c>
      <c r="L169" s="53"/>
      <c r="M169" s="54" t="s">
        <v>340</v>
      </c>
      <c r="N169" s="54" t="s">
        <v>341</v>
      </c>
      <c r="O169" s="53"/>
      <c r="P169" s="52"/>
      <c r="Q169" s="56"/>
      <c r="R169" s="52"/>
      <c r="S169" s="53"/>
      <c r="T169" s="53"/>
      <c r="U169" s="53"/>
      <c r="V169" s="53"/>
      <c r="W169" s="53"/>
      <c r="X169" s="52" t="s">
        <v>351</v>
      </c>
      <c r="Y169" s="52" t="s">
        <v>351</v>
      </c>
      <c r="Z169" s="52" t="s">
        <v>351</v>
      </c>
      <c r="AA169" s="53" t="s">
        <v>351</v>
      </c>
      <c r="AC169" s="24"/>
    </row>
    <row r="170" spans="2:29" ht="120" customHeight="1" x14ac:dyDescent="0.25">
      <c r="B170" s="52" t="s">
        <v>22</v>
      </c>
      <c r="C170" s="52" t="s">
        <v>991</v>
      </c>
      <c r="D170" s="52" t="s">
        <v>25</v>
      </c>
      <c r="E170" s="53">
        <v>0</v>
      </c>
      <c r="F170" s="52" t="s">
        <v>137</v>
      </c>
      <c r="G170" s="52" t="s">
        <v>138</v>
      </c>
      <c r="H170" s="52" t="s">
        <v>139</v>
      </c>
      <c r="I170" s="53">
        <v>1</v>
      </c>
      <c r="J170" s="52" t="s">
        <v>140</v>
      </c>
      <c r="K170" s="53">
        <v>4</v>
      </c>
      <c r="L170" s="53"/>
      <c r="M170" s="54" t="s">
        <v>141</v>
      </c>
      <c r="N170" s="54"/>
      <c r="O170" s="53" t="s">
        <v>142</v>
      </c>
      <c r="P170" s="52"/>
      <c r="Q170" s="56" t="s">
        <v>992</v>
      </c>
      <c r="R170" s="52" t="s">
        <v>152</v>
      </c>
      <c r="S170" s="52" t="s">
        <v>993</v>
      </c>
      <c r="T170" s="52" t="s">
        <v>994</v>
      </c>
      <c r="U170" s="52" t="s">
        <v>995</v>
      </c>
      <c r="V170" s="56" t="s">
        <v>996</v>
      </c>
      <c r="W170" s="53"/>
      <c r="X170" s="52" t="s">
        <v>997</v>
      </c>
      <c r="Y170" s="81" t="s">
        <v>994</v>
      </c>
      <c r="Z170" s="55" t="s">
        <v>995</v>
      </c>
      <c r="AA170" s="53" t="s">
        <v>351</v>
      </c>
      <c r="AC170" s="24"/>
    </row>
    <row r="171" spans="2:29" ht="120" customHeight="1" x14ac:dyDescent="0.25">
      <c r="B171" s="52" t="s">
        <v>22</v>
      </c>
      <c r="C171" s="52" t="s">
        <v>991</v>
      </c>
      <c r="D171" s="52" t="s">
        <v>25</v>
      </c>
      <c r="E171" s="53">
        <v>0</v>
      </c>
      <c r="F171" s="52" t="s">
        <v>152</v>
      </c>
      <c r="G171" s="52" t="s">
        <v>153</v>
      </c>
      <c r="H171" s="52" t="s">
        <v>139</v>
      </c>
      <c r="I171" s="53">
        <v>2</v>
      </c>
      <c r="J171" s="52" t="s">
        <v>140</v>
      </c>
      <c r="K171" s="53">
        <v>30</v>
      </c>
      <c r="L171" s="53"/>
      <c r="M171" s="54" t="s">
        <v>154</v>
      </c>
      <c r="N171" s="54" t="s">
        <v>155</v>
      </c>
      <c r="O171" s="53" t="s">
        <v>142</v>
      </c>
      <c r="P171" s="52"/>
      <c r="Q171" s="56" t="s">
        <v>992</v>
      </c>
      <c r="R171" s="52" t="s">
        <v>152</v>
      </c>
      <c r="S171" s="52" t="s">
        <v>993</v>
      </c>
      <c r="T171" s="52" t="s">
        <v>994</v>
      </c>
      <c r="U171" s="52" t="s">
        <v>998</v>
      </c>
      <c r="V171" s="56" t="s">
        <v>999</v>
      </c>
      <c r="W171" s="53"/>
      <c r="X171" s="52" t="s">
        <v>997</v>
      </c>
      <c r="Y171" s="81" t="s">
        <v>994</v>
      </c>
      <c r="Z171" s="55" t="s">
        <v>1000</v>
      </c>
      <c r="AA171" s="53" t="s">
        <v>351</v>
      </c>
      <c r="AC171" s="24"/>
    </row>
    <row r="172" spans="2:29" ht="120" customHeight="1" x14ac:dyDescent="0.25">
      <c r="B172" s="52" t="s">
        <v>22</v>
      </c>
      <c r="C172" s="52" t="s">
        <v>991</v>
      </c>
      <c r="D172" s="52" t="s">
        <v>25</v>
      </c>
      <c r="E172" s="53">
        <v>0</v>
      </c>
      <c r="F172" s="52" t="s">
        <v>1001</v>
      </c>
      <c r="G172" s="52" t="s">
        <v>1002</v>
      </c>
      <c r="H172" s="52" t="s">
        <v>139</v>
      </c>
      <c r="I172" s="53">
        <v>3</v>
      </c>
      <c r="J172" s="52" t="s">
        <v>140</v>
      </c>
      <c r="K172" s="53">
        <v>10</v>
      </c>
      <c r="L172" s="53"/>
      <c r="M172" s="54" t="s">
        <v>1003</v>
      </c>
      <c r="N172" s="54" t="s">
        <v>1004</v>
      </c>
      <c r="O172" s="53" t="s">
        <v>142</v>
      </c>
      <c r="P172" s="52"/>
      <c r="Q172" s="56" t="s">
        <v>1005</v>
      </c>
      <c r="R172" s="56" t="s">
        <v>1006</v>
      </c>
      <c r="S172" s="52" t="s">
        <v>993</v>
      </c>
      <c r="T172" s="52" t="s">
        <v>994</v>
      </c>
      <c r="U172" s="52" t="s">
        <v>1007</v>
      </c>
      <c r="V172" s="56" t="s">
        <v>1008</v>
      </c>
      <c r="W172" s="53"/>
      <c r="X172" s="52" t="s">
        <v>997</v>
      </c>
      <c r="Y172" s="81" t="s">
        <v>994</v>
      </c>
      <c r="Z172" s="55" t="s">
        <v>1007</v>
      </c>
      <c r="AA172" s="53" t="s">
        <v>351</v>
      </c>
      <c r="AC172" s="24"/>
    </row>
    <row r="173" spans="2:29" ht="120" customHeight="1" x14ac:dyDescent="0.25">
      <c r="B173" s="52" t="s">
        <v>22</v>
      </c>
      <c r="C173" s="52" t="s">
        <v>991</v>
      </c>
      <c r="D173" s="52" t="s">
        <v>25</v>
      </c>
      <c r="E173" s="53">
        <v>0</v>
      </c>
      <c r="F173" s="52" t="s">
        <v>1009</v>
      </c>
      <c r="G173" s="52" t="s">
        <v>1010</v>
      </c>
      <c r="H173" s="52" t="s">
        <v>1011</v>
      </c>
      <c r="I173" s="53">
        <v>4</v>
      </c>
      <c r="J173" s="52" t="s">
        <v>140</v>
      </c>
      <c r="K173" s="53">
        <v>3</v>
      </c>
      <c r="L173" s="53"/>
      <c r="M173" s="54" t="s">
        <v>1012</v>
      </c>
      <c r="N173" s="54" t="s">
        <v>1013</v>
      </c>
      <c r="O173" s="53" t="s">
        <v>142</v>
      </c>
      <c r="P173" s="56" t="s">
        <v>1014</v>
      </c>
      <c r="Q173" s="56" t="s">
        <v>1015</v>
      </c>
      <c r="R173" s="56" t="s">
        <v>1016</v>
      </c>
      <c r="S173" s="52" t="s">
        <v>993</v>
      </c>
      <c r="T173" s="52" t="s">
        <v>994</v>
      </c>
      <c r="U173" s="52" t="s">
        <v>1017</v>
      </c>
      <c r="V173" s="56" t="s">
        <v>1018</v>
      </c>
      <c r="W173" s="53"/>
      <c r="X173" s="52" t="s">
        <v>997</v>
      </c>
      <c r="Y173" s="81" t="s">
        <v>994</v>
      </c>
      <c r="Z173" s="55" t="s">
        <v>1017</v>
      </c>
      <c r="AA173" s="53" t="s">
        <v>351</v>
      </c>
      <c r="AC173" s="24"/>
    </row>
    <row r="174" spans="2:29" ht="120" customHeight="1" x14ac:dyDescent="0.25">
      <c r="B174" s="52" t="s">
        <v>22</v>
      </c>
      <c r="C174" s="52" t="s">
        <v>991</v>
      </c>
      <c r="D174" s="52" t="s">
        <v>25</v>
      </c>
      <c r="E174" s="53">
        <v>0</v>
      </c>
      <c r="F174" s="52" t="s">
        <v>1019</v>
      </c>
      <c r="G174" s="52" t="s">
        <v>1020</v>
      </c>
      <c r="H174" s="52" t="s">
        <v>1021</v>
      </c>
      <c r="I174" s="53">
        <v>5</v>
      </c>
      <c r="J174" s="52" t="s">
        <v>446</v>
      </c>
      <c r="K174" s="53">
        <v>5</v>
      </c>
      <c r="L174" s="53"/>
      <c r="M174" s="54" t="s">
        <v>1022</v>
      </c>
      <c r="N174" s="54" t="s">
        <v>1023</v>
      </c>
      <c r="O174" s="53" t="s">
        <v>142</v>
      </c>
      <c r="P174" s="52"/>
      <c r="Q174" s="56" t="s">
        <v>992</v>
      </c>
      <c r="R174" s="52" t="s">
        <v>1024</v>
      </c>
      <c r="S174" s="52" t="s">
        <v>993</v>
      </c>
      <c r="T174" s="52" t="s">
        <v>994</v>
      </c>
      <c r="U174" s="52" t="s">
        <v>1025</v>
      </c>
      <c r="V174" s="56" t="s">
        <v>1026</v>
      </c>
      <c r="W174" s="53" t="s">
        <v>683</v>
      </c>
      <c r="X174" s="52" t="s">
        <v>997</v>
      </c>
      <c r="Y174" s="81" t="s">
        <v>994</v>
      </c>
      <c r="Z174" s="55" t="s">
        <v>1027</v>
      </c>
      <c r="AA174" s="53" t="s">
        <v>351</v>
      </c>
      <c r="AC174" s="24"/>
    </row>
    <row r="175" spans="2:29" ht="120" customHeight="1" x14ac:dyDescent="0.25">
      <c r="B175" s="52" t="s">
        <v>22</v>
      </c>
      <c r="C175" s="52" t="s">
        <v>991</v>
      </c>
      <c r="D175" s="52" t="s">
        <v>25</v>
      </c>
      <c r="E175" s="53">
        <v>0</v>
      </c>
      <c r="F175" s="52" t="s">
        <v>1028</v>
      </c>
      <c r="G175" s="52" t="s">
        <v>1029</v>
      </c>
      <c r="H175" s="55" t="s">
        <v>216</v>
      </c>
      <c r="I175" s="53">
        <v>6</v>
      </c>
      <c r="J175" s="52" t="s">
        <v>140</v>
      </c>
      <c r="K175" s="53">
        <v>10</v>
      </c>
      <c r="L175" s="53"/>
      <c r="M175" s="54" t="s">
        <v>1030</v>
      </c>
      <c r="N175" s="54" t="s">
        <v>1031</v>
      </c>
      <c r="O175" s="53"/>
      <c r="P175" s="52"/>
      <c r="Q175" s="56" t="s">
        <v>992</v>
      </c>
      <c r="R175" s="52" t="s">
        <v>1032</v>
      </c>
      <c r="S175" s="52" t="s">
        <v>993</v>
      </c>
      <c r="T175" s="52" t="s">
        <v>994</v>
      </c>
      <c r="U175" s="52" t="s">
        <v>1033</v>
      </c>
      <c r="V175" s="56" t="s">
        <v>1034</v>
      </c>
      <c r="W175" s="53"/>
      <c r="X175" s="52" t="s">
        <v>997</v>
      </c>
      <c r="Y175" s="81" t="s">
        <v>994</v>
      </c>
      <c r="Z175" s="55" t="s">
        <v>1035</v>
      </c>
      <c r="AA175" s="53" t="s">
        <v>351</v>
      </c>
      <c r="AC175" s="24"/>
    </row>
    <row r="176" spans="2:29" ht="120" customHeight="1" x14ac:dyDescent="0.25">
      <c r="B176" s="52" t="s">
        <v>22</v>
      </c>
      <c r="C176" s="52" t="s">
        <v>991</v>
      </c>
      <c r="D176" s="52" t="s">
        <v>25</v>
      </c>
      <c r="E176" s="53">
        <v>0</v>
      </c>
      <c r="F176" s="52" t="s">
        <v>329</v>
      </c>
      <c r="G176" s="52" t="s">
        <v>330</v>
      </c>
      <c r="H176" s="52" t="s">
        <v>331</v>
      </c>
      <c r="I176" s="53">
        <v>7</v>
      </c>
      <c r="J176" s="52" t="s">
        <v>140</v>
      </c>
      <c r="K176" s="53">
        <v>10</v>
      </c>
      <c r="L176" s="53"/>
      <c r="M176" s="54" t="s">
        <v>332</v>
      </c>
      <c r="N176" s="54" t="s">
        <v>333</v>
      </c>
      <c r="O176" s="53" t="s">
        <v>142</v>
      </c>
      <c r="P176" s="52"/>
      <c r="Q176" s="56"/>
      <c r="R176" s="52"/>
      <c r="S176" s="52" t="s">
        <v>993</v>
      </c>
      <c r="T176" s="52" t="s">
        <v>994</v>
      </c>
      <c r="U176" s="52" t="s">
        <v>1036</v>
      </c>
      <c r="V176" s="56" t="s">
        <v>1037</v>
      </c>
      <c r="W176" s="53"/>
      <c r="X176" s="52" t="s">
        <v>351</v>
      </c>
      <c r="Y176" s="52" t="s">
        <v>351</v>
      </c>
      <c r="Z176" s="52" t="s">
        <v>351</v>
      </c>
      <c r="AA176" s="53" t="s">
        <v>351</v>
      </c>
      <c r="AC176" s="24"/>
    </row>
    <row r="177" spans="2:29" ht="120" customHeight="1" x14ac:dyDescent="0.25">
      <c r="B177" s="52" t="s">
        <v>22</v>
      </c>
      <c r="C177" s="52" t="s">
        <v>991</v>
      </c>
      <c r="D177" s="52" t="s">
        <v>25</v>
      </c>
      <c r="E177" s="53">
        <v>0</v>
      </c>
      <c r="F177" s="52" t="s">
        <v>336</v>
      </c>
      <c r="G177" s="52" t="s">
        <v>337</v>
      </c>
      <c r="H177" s="52" t="s">
        <v>338</v>
      </c>
      <c r="I177" s="53">
        <v>8</v>
      </c>
      <c r="J177" s="52" t="s">
        <v>339</v>
      </c>
      <c r="K177" s="53">
        <v>23</v>
      </c>
      <c r="L177" s="53"/>
      <c r="M177" s="54" t="s">
        <v>340</v>
      </c>
      <c r="N177" s="54" t="s">
        <v>341</v>
      </c>
      <c r="O177" s="53"/>
      <c r="P177" s="52"/>
      <c r="Q177" s="56"/>
      <c r="R177" s="52"/>
      <c r="S177" s="52" t="s">
        <v>993</v>
      </c>
      <c r="T177" s="57" t="s">
        <v>994</v>
      </c>
      <c r="U177" s="57" t="s">
        <v>351</v>
      </c>
      <c r="V177" s="58" t="s">
        <v>1038</v>
      </c>
      <c r="W177" s="53"/>
      <c r="X177" s="52" t="s">
        <v>351</v>
      </c>
      <c r="Y177" s="52" t="s">
        <v>351</v>
      </c>
      <c r="Z177" s="52" t="s">
        <v>351</v>
      </c>
      <c r="AA177" s="53" t="s">
        <v>351</v>
      </c>
      <c r="AC177" s="24"/>
    </row>
    <row r="178" spans="2:29" ht="120" customHeight="1" x14ac:dyDescent="0.25">
      <c r="B178" s="52" t="s">
        <v>27</v>
      </c>
      <c r="C178" s="52" t="s">
        <v>1039</v>
      </c>
      <c r="D178" s="52" t="s">
        <v>1040</v>
      </c>
      <c r="E178" s="53">
        <v>3</v>
      </c>
      <c r="F178" s="52" t="s">
        <v>1041</v>
      </c>
      <c r="G178" s="52" t="s">
        <v>1042</v>
      </c>
      <c r="H178" s="55" t="s">
        <v>1043</v>
      </c>
      <c r="I178" s="53">
        <v>1</v>
      </c>
      <c r="J178" s="52" t="s">
        <v>140</v>
      </c>
      <c r="K178" s="53">
        <v>16</v>
      </c>
      <c r="L178" s="53"/>
      <c r="M178" s="54" t="s">
        <v>1044</v>
      </c>
      <c r="N178" s="54"/>
      <c r="O178" s="53" t="s">
        <v>142</v>
      </c>
      <c r="P178" s="55"/>
      <c r="Q178" s="56" t="s">
        <v>1045</v>
      </c>
      <c r="R178" s="52" t="s">
        <v>1041</v>
      </c>
      <c r="S178" s="293" t="s">
        <v>1046</v>
      </c>
      <c r="T178" s="293" t="s">
        <v>1047</v>
      </c>
      <c r="U178" s="54" t="s">
        <v>1048</v>
      </c>
      <c r="V178" s="54" t="s">
        <v>1049</v>
      </c>
      <c r="W178" s="94"/>
      <c r="X178" s="52" t="s">
        <v>1050</v>
      </c>
      <c r="Y178" s="55" t="s">
        <v>1051</v>
      </c>
      <c r="Z178" s="55" t="s">
        <v>1052</v>
      </c>
      <c r="AA178" s="53" t="s">
        <v>351</v>
      </c>
      <c r="AC178" s="24"/>
    </row>
    <row r="179" spans="2:29" ht="120" customHeight="1" x14ac:dyDescent="0.25">
      <c r="B179" s="52" t="s">
        <v>27</v>
      </c>
      <c r="C179" s="52" t="s">
        <v>1039</v>
      </c>
      <c r="D179" s="52" t="s">
        <v>1040</v>
      </c>
      <c r="E179" s="53">
        <v>3</v>
      </c>
      <c r="F179" s="52" t="s">
        <v>1053</v>
      </c>
      <c r="G179" s="52" t="s">
        <v>1054</v>
      </c>
      <c r="H179" s="55" t="s">
        <v>166</v>
      </c>
      <c r="I179" s="53">
        <v>2</v>
      </c>
      <c r="J179" s="52" t="s">
        <v>140</v>
      </c>
      <c r="K179" s="53">
        <v>4</v>
      </c>
      <c r="L179" s="53"/>
      <c r="M179" s="54" t="s">
        <v>1055</v>
      </c>
      <c r="N179" s="54"/>
      <c r="O179" s="53"/>
      <c r="P179" s="55"/>
      <c r="Q179" s="56" t="s">
        <v>1045</v>
      </c>
      <c r="R179" s="52" t="s">
        <v>152</v>
      </c>
      <c r="S179" s="294" t="s">
        <v>1056</v>
      </c>
      <c r="T179" s="294" t="s">
        <v>1057</v>
      </c>
      <c r="U179" s="56" t="s">
        <v>1058</v>
      </c>
      <c r="V179" s="56" t="s">
        <v>1059</v>
      </c>
      <c r="W179" s="94"/>
      <c r="X179" s="52" t="s">
        <v>1050</v>
      </c>
      <c r="Y179" s="55" t="s">
        <v>351</v>
      </c>
      <c r="Z179" s="55" t="s">
        <v>351</v>
      </c>
      <c r="AA179" s="53" t="s">
        <v>353</v>
      </c>
      <c r="AC179" s="24"/>
    </row>
    <row r="180" spans="2:29" ht="120" customHeight="1" x14ac:dyDescent="0.25">
      <c r="B180" s="52" t="s">
        <v>27</v>
      </c>
      <c r="C180" s="52" t="s">
        <v>1039</v>
      </c>
      <c r="D180" s="52" t="s">
        <v>1040</v>
      </c>
      <c r="E180" s="53">
        <v>3</v>
      </c>
      <c r="F180" s="52" t="s">
        <v>1060</v>
      </c>
      <c r="G180" s="52" t="s">
        <v>1061</v>
      </c>
      <c r="H180" s="55" t="s">
        <v>166</v>
      </c>
      <c r="I180" s="53">
        <v>3</v>
      </c>
      <c r="J180" s="52" t="s">
        <v>140</v>
      </c>
      <c r="K180" s="53">
        <v>30</v>
      </c>
      <c r="L180" s="53"/>
      <c r="M180" s="54" t="s">
        <v>1062</v>
      </c>
      <c r="N180" s="54" t="s">
        <v>155</v>
      </c>
      <c r="O180" s="53"/>
      <c r="P180" s="55"/>
      <c r="Q180" s="56" t="s">
        <v>1045</v>
      </c>
      <c r="R180" s="52" t="s">
        <v>152</v>
      </c>
      <c r="S180" s="293" t="s">
        <v>1063</v>
      </c>
      <c r="T180" s="293" t="s">
        <v>1064</v>
      </c>
      <c r="U180" s="147" t="s">
        <v>1065</v>
      </c>
      <c r="V180" s="147" t="s">
        <v>1066</v>
      </c>
      <c r="W180" s="53"/>
      <c r="X180" s="52" t="s">
        <v>1050</v>
      </c>
      <c r="Y180" s="55" t="s">
        <v>1067</v>
      </c>
      <c r="Z180" s="55" t="s">
        <v>558</v>
      </c>
      <c r="AA180" s="53" t="s">
        <v>351</v>
      </c>
      <c r="AC180" s="24"/>
    </row>
    <row r="181" spans="2:29" ht="120" customHeight="1" x14ac:dyDescent="0.25">
      <c r="B181" s="52" t="s">
        <v>27</v>
      </c>
      <c r="C181" s="52" t="s">
        <v>1039</v>
      </c>
      <c r="D181" s="52" t="s">
        <v>1040</v>
      </c>
      <c r="E181" s="53">
        <v>3</v>
      </c>
      <c r="F181" s="52" t="s">
        <v>1068</v>
      </c>
      <c r="G181" s="52" t="s">
        <v>1069</v>
      </c>
      <c r="H181" s="55" t="s">
        <v>166</v>
      </c>
      <c r="I181" s="53">
        <v>4</v>
      </c>
      <c r="J181" s="52" t="s">
        <v>140</v>
      </c>
      <c r="K181" s="53">
        <v>10</v>
      </c>
      <c r="L181" s="53"/>
      <c r="M181" s="54" t="s">
        <v>1070</v>
      </c>
      <c r="N181" s="54"/>
      <c r="O181" s="53"/>
      <c r="P181" s="55"/>
      <c r="Q181" s="56"/>
      <c r="R181" s="52"/>
      <c r="S181" s="293" t="s">
        <v>1063</v>
      </c>
      <c r="T181" s="293" t="s">
        <v>1071</v>
      </c>
      <c r="U181" s="54" t="s">
        <v>1072</v>
      </c>
      <c r="V181" s="54" t="s">
        <v>1073</v>
      </c>
      <c r="W181" s="53"/>
      <c r="X181" s="52" t="s">
        <v>1050</v>
      </c>
      <c r="Y181" s="55" t="s">
        <v>1051</v>
      </c>
      <c r="Z181" s="55" t="s">
        <v>1074</v>
      </c>
      <c r="AA181" s="53" t="s">
        <v>351</v>
      </c>
      <c r="AC181" s="24"/>
    </row>
    <row r="182" spans="2:29" ht="120" customHeight="1" x14ac:dyDescent="0.25">
      <c r="B182" s="52" t="s">
        <v>27</v>
      </c>
      <c r="C182" s="52" t="s">
        <v>1039</v>
      </c>
      <c r="D182" s="52" t="s">
        <v>1040</v>
      </c>
      <c r="E182" s="53">
        <v>3</v>
      </c>
      <c r="F182" s="52" t="s">
        <v>1075</v>
      </c>
      <c r="G182" s="52" t="s">
        <v>1076</v>
      </c>
      <c r="H182" s="55" t="s">
        <v>216</v>
      </c>
      <c r="I182" s="53">
        <v>5</v>
      </c>
      <c r="J182" s="52" t="s">
        <v>140</v>
      </c>
      <c r="K182" s="53">
        <v>10</v>
      </c>
      <c r="L182" s="53"/>
      <c r="M182" s="54" t="s">
        <v>1077</v>
      </c>
      <c r="N182" s="54"/>
      <c r="O182" s="53"/>
      <c r="P182" s="55"/>
      <c r="Q182" s="56" t="s">
        <v>1045</v>
      </c>
      <c r="R182" s="52" t="s">
        <v>1078</v>
      </c>
      <c r="S182" s="293" t="s">
        <v>1046</v>
      </c>
      <c r="T182" s="293" t="s">
        <v>1047</v>
      </c>
      <c r="U182" s="54" t="s">
        <v>1079</v>
      </c>
      <c r="V182" s="54" t="s">
        <v>1080</v>
      </c>
      <c r="W182" s="53"/>
      <c r="X182" s="52" t="s">
        <v>1050</v>
      </c>
      <c r="Y182" s="55" t="s">
        <v>1051</v>
      </c>
      <c r="Z182" s="55" t="s">
        <v>1081</v>
      </c>
      <c r="AA182" s="53" t="s">
        <v>351</v>
      </c>
      <c r="AC182" s="24"/>
    </row>
    <row r="183" spans="2:29" ht="120" customHeight="1" x14ac:dyDescent="0.25">
      <c r="B183" s="52" t="s">
        <v>27</v>
      </c>
      <c r="C183" s="52" t="s">
        <v>1039</v>
      </c>
      <c r="D183" s="52" t="s">
        <v>1040</v>
      </c>
      <c r="E183" s="53">
        <v>3</v>
      </c>
      <c r="F183" s="52" t="s">
        <v>1082</v>
      </c>
      <c r="G183" s="52" t="s">
        <v>1083</v>
      </c>
      <c r="H183" s="55" t="s">
        <v>216</v>
      </c>
      <c r="I183" s="53">
        <v>6</v>
      </c>
      <c r="J183" s="52" t="s">
        <v>140</v>
      </c>
      <c r="K183" s="53">
        <v>10</v>
      </c>
      <c r="L183" s="53"/>
      <c r="M183" s="54" t="s">
        <v>1084</v>
      </c>
      <c r="N183" s="54"/>
      <c r="O183" s="53"/>
      <c r="P183" s="55"/>
      <c r="Q183" s="56" t="s">
        <v>1045</v>
      </c>
      <c r="R183" s="52" t="s">
        <v>1085</v>
      </c>
      <c r="S183" s="293" t="s">
        <v>1046</v>
      </c>
      <c r="T183" s="293" t="s">
        <v>1047</v>
      </c>
      <c r="U183" s="54" t="s">
        <v>1086</v>
      </c>
      <c r="V183" s="54" t="s">
        <v>1087</v>
      </c>
      <c r="W183" s="53"/>
      <c r="X183" s="52" t="s">
        <v>1050</v>
      </c>
      <c r="Y183" s="55" t="s">
        <v>1051</v>
      </c>
      <c r="Z183" s="55" t="s">
        <v>1088</v>
      </c>
      <c r="AA183" s="53" t="s">
        <v>351</v>
      </c>
      <c r="AC183" s="24"/>
    </row>
    <row r="184" spans="2:29" ht="120" customHeight="1" x14ac:dyDescent="0.25">
      <c r="B184" s="52" t="s">
        <v>27</v>
      </c>
      <c r="C184" s="52" t="s">
        <v>1039</v>
      </c>
      <c r="D184" s="52" t="s">
        <v>1040</v>
      </c>
      <c r="E184" s="53">
        <v>3</v>
      </c>
      <c r="F184" s="52" t="s">
        <v>1089</v>
      </c>
      <c r="G184" s="52" t="s">
        <v>1090</v>
      </c>
      <c r="H184" s="55" t="s">
        <v>1091</v>
      </c>
      <c r="I184" s="53">
        <v>7</v>
      </c>
      <c r="J184" s="52" t="s">
        <v>263</v>
      </c>
      <c r="K184" s="53">
        <v>23</v>
      </c>
      <c r="L184" s="53">
        <v>6</v>
      </c>
      <c r="M184" s="54" t="s">
        <v>1092</v>
      </c>
      <c r="N184" s="54"/>
      <c r="O184" s="53"/>
      <c r="P184" s="55"/>
      <c r="Q184" s="56" t="s">
        <v>1045</v>
      </c>
      <c r="R184" s="52" t="s">
        <v>1093</v>
      </c>
      <c r="S184" s="293" t="s">
        <v>1046</v>
      </c>
      <c r="T184" s="293" t="s">
        <v>1094</v>
      </c>
      <c r="U184" s="54" t="s">
        <v>1095</v>
      </c>
      <c r="V184" s="54" t="s">
        <v>1096</v>
      </c>
      <c r="W184" s="53"/>
      <c r="X184" s="52" t="s">
        <v>1050</v>
      </c>
      <c r="Y184" s="55" t="s">
        <v>1097</v>
      </c>
      <c r="Z184" s="55" t="s">
        <v>1098</v>
      </c>
      <c r="AA184" s="53" t="s">
        <v>351</v>
      </c>
      <c r="AC184" s="24"/>
    </row>
    <row r="185" spans="2:29" ht="120" customHeight="1" x14ac:dyDescent="0.25">
      <c r="B185" s="52" t="s">
        <v>27</v>
      </c>
      <c r="C185" s="52" t="s">
        <v>1039</v>
      </c>
      <c r="D185" s="52" t="s">
        <v>1040</v>
      </c>
      <c r="E185" s="53">
        <v>3</v>
      </c>
      <c r="F185" s="52" t="s">
        <v>1099</v>
      </c>
      <c r="G185" s="52" t="s">
        <v>1100</v>
      </c>
      <c r="H185" s="55" t="s">
        <v>1091</v>
      </c>
      <c r="I185" s="53">
        <v>8</v>
      </c>
      <c r="J185" s="52" t="s">
        <v>263</v>
      </c>
      <c r="K185" s="53">
        <v>23</v>
      </c>
      <c r="L185" s="53">
        <v>6</v>
      </c>
      <c r="M185" s="54" t="s">
        <v>1101</v>
      </c>
      <c r="N185" s="54"/>
      <c r="O185" s="53"/>
      <c r="P185" s="55"/>
      <c r="Q185" s="56" t="s">
        <v>1045</v>
      </c>
      <c r="R185" s="52" t="s">
        <v>1102</v>
      </c>
      <c r="S185" s="293" t="s">
        <v>1046</v>
      </c>
      <c r="T185" s="293" t="s">
        <v>1094</v>
      </c>
      <c r="U185" s="54" t="s">
        <v>1103</v>
      </c>
      <c r="V185" s="54" t="s">
        <v>1104</v>
      </c>
      <c r="W185" s="53"/>
      <c r="X185" s="52" t="s">
        <v>1050</v>
      </c>
      <c r="Y185" s="55" t="s">
        <v>1097</v>
      </c>
      <c r="Z185" s="55" t="s">
        <v>1105</v>
      </c>
      <c r="AA185" s="53" t="s">
        <v>351</v>
      </c>
      <c r="AC185" s="24"/>
    </row>
    <row r="186" spans="2:29" ht="120" customHeight="1" x14ac:dyDescent="0.25">
      <c r="B186" s="52" t="s">
        <v>27</v>
      </c>
      <c r="C186" s="52" t="s">
        <v>1039</v>
      </c>
      <c r="D186" s="52" t="s">
        <v>1040</v>
      </c>
      <c r="E186" s="53">
        <v>3</v>
      </c>
      <c r="F186" s="52" t="s">
        <v>1106</v>
      </c>
      <c r="G186" s="52" t="s">
        <v>1107</v>
      </c>
      <c r="H186" s="55" t="s">
        <v>303</v>
      </c>
      <c r="I186" s="53">
        <v>9</v>
      </c>
      <c r="J186" s="52" t="s">
        <v>140</v>
      </c>
      <c r="K186" s="53">
        <v>20</v>
      </c>
      <c r="L186" s="53"/>
      <c r="M186" s="54" t="s">
        <v>1108</v>
      </c>
      <c r="N186" s="54"/>
      <c r="O186" s="53"/>
      <c r="P186" s="54" t="s">
        <v>1109</v>
      </c>
      <c r="Q186" s="56" t="s">
        <v>1045</v>
      </c>
      <c r="R186" s="52" t="s">
        <v>1110</v>
      </c>
      <c r="S186" s="56" t="s">
        <v>1111</v>
      </c>
      <c r="T186" s="56" t="s">
        <v>1057</v>
      </c>
      <c r="U186" s="56" t="s">
        <v>147</v>
      </c>
      <c r="V186" s="56" t="s">
        <v>1112</v>
      </c>
      <c r="W186" s="53"/>
      <c r="X186" s="52" t="s">
        <v>1050</v>
      </c>
      <c r="Y186" s="55" t="s">
        <v>1051</v>
      </c>
      <c r="Z186" s="72" t="s">
        <v>1113</v>
      </c>
      <c r="AA186" s="53" t="s">
        <v>351</v>
      </c>
      <c r="AC186" s="24"/>
    </row>
    <row r="187" spans="2:29" ht="120" customHeight="1" x14ac:dyDescent="0.25">
      <c r="B187" s="52" t="s">
        <v>27</v>
      </c>
      <c r="C187" s="52" t="s">
        <v>1039</v>
      </c>
      <c r="D187" s="52" t="s">
        <v>1040</v>
      </c>
      <c r="E187" s="53">
        <v>3</v>
      </c>
      <c r="F187" s="52" t="s">
        <v>329</v>
      </c>
      <c r="G187" s="52" t="s">
        <v>330</v>
      </c>
      <c r="H187" s="52" t="s">
        <v>331</v>
      </c>
      <c r="I187" s="53">
        <v>10</v>
      </c>
      <c r="J187" s="52" t="s">
        <v>140</v>
      </c>
      <c r="K187" s="53">
        <v>10</v>
      </c>
      <c r="L187" s="53"/>
      <c r="M187" s="54" t="s">
        <v>332</v>
      </c>
      <c r="N187" s="54" t="s">
        <v>333</v>
      </c>
      <c r="O187" s="53" t="s">
        <v>142</v>
      </c>
      <c r="P187" s="55"/>
      <c r="Q187" s="56"/>
      <c r="R187" s="52"/>
      <c r="S187" s="293" t="s">
        <v>1046</v>
      </c>
      <c r="T187" s="293" t="s">
        <v>1047</v>
      </c>
      <c r="U187" s="54" t="s">
        <v>686</v>
      </c>
      <c r="V187" s="54" t="s">
        <v>1114</v>
      </c>
      <c r="W187" s="53"/>
      <c r="X187" s="52" t="s">
        <v>351</v>
      </c>
      <c r="Y187" s="52" t="s">
        <v>351</v>
      </c>
      <c r="Z187" s="52" t="s">
        <v>351</v>
      </c>
      <c r="AA187" s="53" t="s">
        <v>351</v>
      </c>
      <c r="AC187" s="24"/>
    </row>
    <row r="188" spans="2:29" ht="120" customHeight="1" x14ac:dyDescent="0.25">
      <c r="B188" s="52" t="s">
        <v>27</v>
      </c>
      <c r="C188" s="52" t="s">
        <v>1039</v>
      </c>
      <c r="D188" s="52" t="s">
        <v>1040</v>
      </c>
      <c r="E188" s="53">
        <v>3</v>
      </c>
      <c r="F188" s="52" t="s">
        <v>336</v>
      </c>
      <c r="G188" s="52" t="s">
        <v>337</v>
      </c>
      <c r="H188" s="52" t="s">
        <v>338</v>
      </c>
      <c r="I188" s="53">
        <v>11</v>
      </c>
      <c r="J188" s="52" t="s">
        <v>339</v>
      </c>
      <c r="K188" s="53">
        <v>23</v>
      </c>
      <c r="L188" s="53"/>
      <c r="M188" s="54" t="s">
        <v>340</v>
      </c>
      <c r="N188" s="54" t="s">
        <v>341</v>
      </c>
      <c r="O188" s="53"/>
      <c r="P188" s="55"/>
      <c r="Q188" s="56"/>
      <c r="R188" s="52"/>
      <c r="S188" s="293" t="s">
        <v>1046</v>
      </c>
      <c r="T188" s="293" t="s">
        <v>1047</v>
      </c>
      <c r="U188" s="54" t="s">
        <v>450</v>
      </c>
      <c r="V188" s="54" t="s">
        <v>1115</v>
      </c>
      <c r="W188" s="53"/>
      <c r="X188" s="52" t="s">
        <v>351</v>
      </c>
      <c r="Y188" s="52" t="s">
        <v>351</v>
      </c>
      <c r="Z188" s="52" t="s">
        <v>351</v>
      </c>
      <c r="AA188" s="53" t="s">
        <v>351</v>
      </c>
      <c r="AC188" s="24"/>
    </row>
    <row r="189" spans="2:29" ht="120" customHeight="1" x14ac:dyDescent="0.25">
      <c r="B189" s="52" t="s">
        <v>27</v>
      </c>
      <c r="C189" s="52" t="s">
        <v>1116</v>
      </c>
      <c r="D189" s="52" t="s">
        <v>1117</v>
      </c>
      <c r="E189" s="53">
        <v>2</v>
      </c>
      <c r="F189" s="52" t="s">
        <v>137</v>
      </c>
      <c r="G189" s="52" t="s">
        <v>138</v>
      </c>
      <c r="H189" s="52" t="s">
        <v>139</v>
      </c>
      <c r="I189" s="53">
        <v>1</v>
      </c>
      <c r="J189" s="52" t="s">
        <v>140</v>
      </c>
      <c r="K189" s="53">
        <v>4</v>
      </c>
      <c r="L189" s="53"/>
      <c r="M189" s="54" t="s">
        <v>141</v>
      </c>
      <c r="N189" s="54"/>
      <c r="O189" s="53" t="s">
        <v>142</v>
      </c>
      <c r="P189" s="55"/>
      <c r="Q189" s="56"/>
      <c r="R189" s="52"/>
      <c r="S189" s="54" t="s">
        <v>1118</v>
      </c>
      <c r="T189" s="54" t="s">
        <v>1119</v>
      </c>
      <c r="U189" s="54" t="s">
        <v>517</v>
      </c>
      <c r="V189" s="54" t="s">
        <v>1120</v>
      </c>
      <c r="W189" s="295"/>
      <c r="X189" s="52" t="s">
        <v>1050</v>
      </c>
      <c r="Y189" s="55" t="s">
        <v>351</v>
      </c>
      <c r="Z189" s="55" t="s">
        <v>351</v>
      </c>
      <c r="AA189" s="53" t="s">
        <v>353</v>
      </c>
      <c r="AC189" s="24"/>
    </row>
    <row r="190" spans="2:29" ht="120" customHeight="1" x14ac:dyDescent="0.25">
      <c r="B190" s="52" t="s">
        <v>27</v>
      </c>
      <c r="C190" s="52" t="s">
        <v>1116</v>
      </c>
      <c r="D190" s="52" t="s">
        <v>1117</v>
      </c>
      <c r="E190" s="53">
        <v>2</v>
      </c>
      <c r="F190" s="52" t="s">
        <v>1121</v>
      </c>
      <c r="G190" s="52" t="s">
        <v>1122</v>
      </c>
      <c r="H190" s="52" t="s">
        <v>139</v>
      </c>
      <c r="I190" s="53">
        <v>2</v>
      </c>
      <c r="J190" s="52" t="s">
        <v>140</v>
      </c>
      <c r="K190" s="53">
        <v>15</v>
      </c>
      <c r="L190" s="53"/>
      <c r="M190" s="54" t="s">
        <v>1123</v>
      </c>
      <c r="N190" s="54" t="s">
        <v>155</v>
      </c>
      <c r="O190" s="53" t="s">
        <v>142</v>
      </c>
      <c r="P190" s="55"/>
      <c r="Q190" s="82"/>
      <c r="R190" s="82"/>
      <c r="S190" s="54" t="s">
        <v>1046</v>
      </c>
      <c r="T190" s="54" t="s">
        <v>1124</v>
      </c>
      <c r="U190" s="54" t="s">
        <v>556</v>
      </c>
      <c r="V190" s="54" t="s">
        <v>1125</v>
      </c>
      <c r="W190" s="53"/>
      <c r="X190" s="52" t="s">
        <v>1050</v>
      </c>
      <c r="Y190" s="55" t="s">
        <v>1067</v>
      </c>
      <c r="Z190" s="55" t="s">
        <v>558</v>
      </c>
      <c r="AA190" s="53" t="s">
        <v>351</v>
      </c>
      <c r="AC190" s="24"/>
    </row>
    <row r="191" spans="2:29" ht="120" customHeight="1" x14ac:dyDescent="0.25">
      <c r="B191" s="52" t="s">
        <v>27</v>
      </c>
      <c r="C191" s="52" t="s">
        <v>1116</v>
      </c>
      <c r="D191" s="52" t="s">
        <v>1117</v>
      </c>
      <c r="E191" s="53">
        <v>2</v>
      </c>
      <c r="F191" s="52" t="s">
        <v>164</v>
      </c>
      <c r="G191" s="52" t="s">
        <v>165</v>
      </c>
      <c r="H191" s="55" t="s">
        <v>166</v>
      </c>
      <c r="I191" s="53">
        <v>3</v>
      </c>
      <c r="J191" s="52" t="s">
        <v>140</v>
      </c>
      <c r="K191" s="53">
        <v>20</v>
      </c>
      <c r="L191" s="53"/>
      <c r="M191" s="54" t="s">
        <v>167</v>
      </c>
      <c r="N191" s="54" t="s">
        <v>168</v>
      </c>
      <c r="O191" s="53"/>
      <c r="P191" s="54" t="s">
        <v>971</v>
      </c>
      <c r="Q191" s="56"/>
      <c r="R191" s="52"/>
      <c r="S191" s="54" t="s">
        <v>1118</v>
      </c>
      <c r="T191" s="54" t="s">
        <v>1119</v>
      </c>
      <c r="U191" s="54" t="s">
        <v>517</v>
      </c>
      <c r="V191" s="54" t="s">
        <v>1126</v>
      </c>
      <c r="W191" s="53"/>
      <c r="X191" s="52" t="s">
        <v>351</v>
      </c>
      <c r="Y191" s="55" t="s">
        <v>351</v>
      </c>
      <c r="Z191" s="55" t="s">
        <v>351</v>
      </c>
      <c r="AA191" s="53" t="s">
        <v>351</v>
      </c>
      <c r="AC191" s="24"/>
    </row>
    <row r="192" spans="2:29" ht="120" customHeight="1" x14ac:dyDescent="0.25">
      <c r="B192" s="52" t="s">
        <v>27</v>
      </c>
      <c r="C192" s="52" t="s">
        <v>1116</v>
      </c>
      <c r="D192" s="52" t="s">
        <v>1117</v>
      </c>
      <c r="E192" s="53">
        <v>2</v>
      </c>
      <c r="F192" s="52" t="s">
        <v>172</v>
      </c>
      <c r="G192" s="52" t="s">
        <v>173</v>
      </c>
      <c r="H192" s="55" t="s">
        <v>166</v>
      </c>
      <c r="I192" s="53">
        <v>4</v>
      </c>
      <c r="J192" s="52" t="s">
        <v>140</v>
      </c>
      <c r="K192" s="53">
        <v>20</v>
      </c>
      <c r="L192" s="53"/>
      <c r="M192" s="54" t="s">
        <v>174</v>
      </c>
      <c r="N192" s="54" t="s">
        <v>175</v>
      </c>
      <c r="O192" s="53"/>
      <c r="P192" s="54" t="s">
        <v>1127</v>
      </c>
      <c r="Q192" s="65"/>
      <c r="R192" s="63"/>
      <c r="S192" s="54" t="s">
        <v>1063</v>
      </c>
      <c r="T192" s="54" t="s">
        <v>1128</v>
      </c>
      <c r="U192" s="54" t="s">
        <v>1129</v>
      </c>
      <c r="V192" s="54" t="s">
        <v>1130</v>
      </c>
      <c r="W192" s="53"/>
      <c r="X192" s="52" t="s">
        <v>1050</v>
      </c>
      <c r="Y192" s="55" t="s">
        <v>1131</v>
      </c>
      <c r="Z192" s="55" t="s">
        <v>534</v>
      </c>
      <c r="AA192" s="53" t="s">
        <v>351</v>
      </c>
      <c r="AC192" s="24"/>
    </row>
    <row r="193" spans="2:29" ht="120" customHeight="1" x14ac:dyDescent="0.25">
      <c r="B193" s="52" t="s">
        <v>27</v>
      </c>
      <c r="C193" s="52" t="s">
        <v>1116</v>
      </c>
      <c r="D193" s="52" t="s">
        <v>1117</v>
      </c>
      <c r="E193" s="53">
        <v>2</v>
      </c>
      <c r="F193" s="52" t="s">
        <v>184</v>
      </c>
      <c r="G193" s="52" t="s">
        <v>185</v>
      </c>
      <c r="H193" s="55" t="s">
        <v>166</v>
      </c>
      <c r="I193" s="53">
        <v>5</v>
      </c>
      <c r="J193" s="52" t="s">
        <v>140</v>
      </c>
      <c r="K193" s="53">
        <v>20</v>
      </c>
      <c r="L193" s="53"/>
      <c r="M193" s="54" t="s">
        <v>186</v>
      </c>
      <c r="N193" s="54" t="s">
        <v>187</v>
      </c>
      <c r="O193" s="53"/>
      <c r="P193" s="54" t="s">
        <v>1132</v>
      </c>
      <c r="Q193" s="65"/>
      <c r="R193" s="63"/>
      <c r="S193" s="54" t="s">
        <v>1063</v>
      </c>
      <c r="T193" s="54" t="s">
        <v>1128</v>
      </c>
      <c r="U193" s="54" t="s">
        <v>1133</v>
      </c>
      <c r="V193" s="54" t="s">
        <v>1134</v>
      </c>
      <c r="W193" s="53"/>
      <c r="X193" s="52" t="s">
        <v>1050</v>
      </c>
      <c r="Y193" s="55" t="s">
        <v>1131</v>
      </c>
      <c r="Z193" s="55" t="s">
        <v>538</v>
      </c>
      <c r="AA193" s="53" t="s">
        <v>351</v>
      </c>
      <c r="AC193" s="24"/>
    </row>
    <row r="194" spans="2:29" ht="120" customHeight="1" x14ac:dyDescent="0.25">
      <c r="B194" s="52" t="s">
        <v>27</v>
      </c>
      <c r="C194" s="52" t="s">
        <v>1116</v>
      </c>
      <c r="D194" s="52" t="s">
        <v>1117</v>
      </c>
      <c r="E194" s="53">
        <v>2</v>
      </c>
      <c r="F194" s="52" t="s">
        <v>193</v>
      </c>
      <c r="G194" s="52" t="s">
        <v>194</v>
      </c>
      <c r="H194" s="55" t="s">
        <v>166</v>
      </c>
      <c r="I194" s="53">
        <v>6</v>
      </c>
      <c r="J194" s="52" t="s">
        <v>140</v>
      </c>
      <c r="K194" s="53">
        <v>4</v>
      </c>
      <c r="L194" s="53"/>
      <c r="M194" s="79" t="s">
        <v>1135</v>
      </c>
      <c r="N194" s="54"/>
      <c r="O194" s="53"/>
      <c r="P194" s="55"/>
      <c r="Q194" s="56"/>
      <c r="R194" s="52"/>
      <c r="S194" s="54" t="s">
        <v>1118</v>
      </c>
      <c r="T194" s="54" t="s">
        <v>1119</v>
      </c>
      <c r="U194" s="54" t="s">
        <v>517</v>
      </c>
      <c r="V194" s="54" t="s">
        <v>1136</v>
      </c>
      <c r="W194" s="53"/>
      <c r="X194" s="52" t="s">
        <v>1050</v>
      </c>
      <c r="Y194" s="55" t="s">
        <v>351</v>
      </c>
      <c r="Z194" s="55" t="s">
        <v>351</v>
      </c>
      <c r="AA194" s="53" t="s">
        <v>353</v>
      </c>
      <c r="AC194" s="24"/>
    </row>
    <row r="195" spans="2:29" ht="120" customHeight="1" x14ac:dyDescent="0.25">
      <c r="B195" s="52" t="s">
        <v>27</v>
      </c>
      <c r="C195" s="52" t="s">
        <v>1116</v>
      </c>
      <c r="D195" s="52" t="s">
        <v>1117</v>
      </c>
      <c r="E195" s="53">
        <v>2</v>
      </c>
      <c r="F195" s="52" t="s">
        <v>203</v>
      </c>
      <c r="G195" s="52" t="s">
        <v>204</v>
      </c>
      <c r="H195" s="55" t="s">
        <v>166</v>
      </c>
      <c r="I195" s="53">
        <v>7</v>
      </c>
      <c r="J195" s="52" t="s">
        <v>140</v>
      </c>
      <c r="K195" s="53">
        <v>30</v>
      </c>
      <c r="L195" s="53"/>
      <c r="M195" s="54" t="s">
        <v>1137</v>
      </c>
      <c r="N195" s="54"/>
      <c r="O195" s="53"/>
      <c r="P195" s="55"/>
      <c r="Q195" s="56"/>
      <c r="R195" s="56"/>
      <c r="S195" s="54" t="s">
        <v>1063</v>
      </c>
      <c r="T195" s="54" t="s">
        <v>1138</v>
      </c>
      <c r="U195" s="54" t="s">
        <v>1139</v>
      </c>
      <c r="V195" s="54" t="s">
        <v>1140</v>
      </c>
      <c r="W195" s="53"/>
      <c r="X195" s="52" t="s">
        <v>1050</v>
      </c>
      <c r="Y195" s="55" t="s">
        <v>1141</v>
      </c>
      <c r="Z195" s="55" t="s">
        <v>1142</v>
      </c>
      <c r="AA195" s="53" t="s">
        <v>351</v>
      </c>
      <c r="AC195" s="24"/>
    </row>
    <row r="196" spans="2:29" ht="120" customHeight="1" x14ac:dyDescent="0.25">
      <c r="B196" s="52" t="s">
        <v>27</v>
      </c>
      <c r="C196" s="52" t="s">
        <v>1116</v>
      </c>
      <c r="D196" s="52" t="s">
        <v>1117</v>
      </c>
      <c r="E196" s="53">
        <v>2</v>
      </c>
      <c r="F196" s="52" t="s">
        <v>214</v>
      </c>
      <c r="G196" s="52" t="s">
        <v>215</v>
      </c>
      <c r="H196" s="55" t="s">
        <v>216</v>
      </c>
      <c r="I196" s="53">
        <v>8</v>
      </c>
      <c r="J196" s="52" t="s">
        <v>140</v>
      </c>
      <c r="K196" s="53">
        <v>10</v>
      </c>
      <c r="L196" s="53"/>
      <c r="M196" s="54" t="s">
        <v>1143</v>
      </c>
      <c r="N196" s="54" t="s">
        <v>218</v>
      </c>
      <c r="O196" s="53"/>
      <c r="P196" s="55"/>
      <c r="Q196" s="65"/>
      <c r="R196" s="63"/>
      <c r="S196" s="54" t="s">
        <v>1046</v>
      </c>
      <c r="T196" s="54" t="s">
        <v>1124</v>
      </c>
      <c r="U196" s="54" t="s">
        <v>1144</v>
      </c>
      <c r="V196" s="54" t="s">
        <v>1145</v>
      </c>
      <c r="W196" s="53"/>
      <c r="X196" s="52" t="s">
        <v>1050</v>
      </c>
      <c r="Y196" s="55" t="s">
        <v>1067</v>
      </c>
      <c r="Z196" s="55" t="s">
        <v>1146</v>
      </c>
      <c r="AA196" s="53" t="s">
        <v>351</v>
      </c>
      <c r="AC196" s="24"/>
    </row>
    <row r="197" spans="2:29" ht="120" customHeight="1" x14ac:dyDescent="0.25">
      <c r="B197" s="52" t="s">
        <v>27</v>
      </c>
      <c r="C197" s="52" t="s">
        <v>1116</v>
      </c>
      <c r="D197" s="52" t="s">
        <v>1117</v>
      </c>
      <c r="E197" s="53">
        <v>2</v>
      </c>
      <c r="F197" s="52" t="s">
        <v>226</v>
      </c>
      <c r="G197" s="52" t="s">
        <v>227</v>
      </c>
      <c r="H197" s="55" t="s">
        <v>216</v>
      </c>
      <c r="I197" s="53">
        <v>9</v>
      </c>
      <c r="J197" s="52" t="s">
        <v>140</v>
      </c>
      <c r="K197" s="53">
        <v>10</v>
      </c>
      <c r="L197" s="53"/>
      <c r="M197" s="54" t="s">
        <v>1147</v>
      </c>
      <c r="N197" s="54"/>
      <c r="O197" s="53"/>
      <c r="P197" s="55"/>
      <c r="Q197" s="65"/>
      <c r="R197" s="63"/>
      <c r="S197" s="163" t="s">
        <v>1046</v>
      </c>
      <c r="T197" s="163" t="s">
        <v>1124</v>
      </c>
      <c r="U197" s="163" t="s">
        <v>450</v>
      </c>
      <c r="V197" s="54" t="s">
        <v>1148</v>
      </c>
      <c r="W197" s="53"/>
      <c r="X197" s="52" t="s">
        <v>1050</v>
      </c>
      <c r="Y197" s="55" t="s">
        <v>351</v>
      </c>
      <c r="Z197" s="55" t="s">
        <v>351</v>
      </c>
      <c r="AA197" s="66" t="s">
        <v>712</v>
      </c>
      <c r="AC197" s="24"/>
    </row>
    <row r="198" spans="2:29" ht="120" customHeight="1" x14ac:dyDescent="0.25">
      <c r="B198" s="52" t="s">
        <v>27</v>
      </c>
      <c r="C198" s="52" t="s">
        <v>1116</v>
      </c>
      <c r="D198" s="52" t="s">
        <v>1117</v>
      </c>
      <c r="E198" s="53">
        <v>2</v>
      </c>
      <c r="F198" s="52" t="s">
        <v>238</v>
      </c>
      <c r="G198" s="52" t="s">
        <v>239</v>
      </c>
      <c r="H198" s="55" t="s">
        <v>1149</v>
      </c>
      <c r="I198" s="53">
        <v>10</v>
      </c>
      <c r="J198" s="52" t="s">
        <v>140</v>
      </c>
      <c r="K198" s="53">
        <v>3</v>
      </c>
      <c r="L198" s="53"/>
      <c r="M198" s="54" t="s">
        <v>1150</v>
      </c>
      <c r="N198" s="54"/>
      <c r="O198" s="53"/>
      <c r="P198" s="54" t="s">
        <v>1151</v>
      </c>
      <c r="Q198" s="65"/>
      <c r="R198" s="296"/>
      <c r="S198" s="54" t="s">
        <v>1046</v>
      </c>
      <c r="T198" s="54" t="s">
        <v>1124</v>
      </c>
      <c r="U198" s="54" t="s">
        <v>1152</v>
      </c>
      <c r="V198" s="297" t="s">
        <v>1153</v>
      </c>
      <c r="W198" s="53"/>
      <c r="X198" s="52" t="s">
        <v>1050</v>
      </c>
      <c r="Y198" s="55" t="s">
        <v>1067</v>
      </c>
      <c r="Z198" s="55" t="s">
        <v>1154</v>
      </c>
      <c r="AA198" s="53" t="s">
        <v>351</v>
      </c>
      <c r="AC198" s="24"/>
    </row>
    <row r="199" spans="2:29" ht="120" customHeight="1" x14ac:dyDescent="0.25">
      <c r="B199" s="52" t="s">
        <v>27</v>
      </c>
      <c r="C199" s="52" t="s">
        <v>1116</v>
      </c>
      <c r="D199" s="52" t="s">
        <v>1117</v>
      </c>
      <c r="E199" s="53">
        <v>2</v>
      </c>
      <c r="F199" s="52" t="s">
        <v>1155</v>
      </c>
      <c r="G199" s="52" t="s">
        <v>1156</v>
      </c>
      <c r="H199" s="55" t="s">
        <v>303</v>
      </c>
      <c r="I199" s="53">
        <v>11</v>
      </c>
      <c r="J199" s="52" t="s">
        <v>140</v>
      </c>
      <c r="K199" s="53">
        <v>3</v>
      </c>
      <c r="L199" s="53"/>
      <c r="M199" s="54" t="s">
        <v>1157</v>
      </c>
      <c r="N199" s="54" t="s">
        <v>1158</v>
      </c>
      <c r="O199" s="53"/>
      <c r="P199" s="54" t="s">
        <v>1159</v>
      </c>
      <c r="Q199" s="65"/>
      <c r="R199" s="296"/>
      <c r="S199" s="56" t="s">
        <v>1160</v>
      </c>
      <c r="T199" s="56" t="s">
        <v>1119</v>
      </c>
      <c r="U199" s="56" t="s">
        <v>517</v>
      </c>
      <c r="V199" s="298" t="s">
        <v>1161</v>
      </c>
      <c r="W199" s="53"/>
      <c r="X199" s="52" t="s">
        <v>1050</v>
      </c>
      <c r="Y199" s="55" t="s">
        <v>1067</v>
      </c>
      <c r="Z199" s="55" t="s">
        <v>1162</v>
      </c>
      <c r="AA199" s="53" t="s">
        <v>351</v>
      </c>
      <c r="AC199" s="24"/>
    </row>
    <row r="200" spans="2:29" ht="120" customHeight="1" x14ac:dyDescent="0.25">
      <c r="B200" s="52" t="s">
        <v>27</v>
      </c>
      <c r="C200" s="52" t="s">
        <v>1116</v>
      </c>
      <c r="D200" s="52" t="s">
        <v>1117</v>
      </c>
      <c r="E200" s="53">
        <v>2</v>
      </c>
      <c r="F200" s="52" t="s">
        <v>329</v>
      </c>
      <c r="G200" s="52" t="s">
        <v>330</v>
      </c>
      <c r="H200" s="52" t="s">
        <v>331</v>
      </c>
      <c r="I200" s="53">
        <v>12</v>
      </c>
      <c r="J200" s="52" t="s">
        <v>140</v>
      </c>
      <c r="K200" s="53">
        <v>10</v>
      </c>
      <c r="L200" s="53"/>
      <c r="M200" s="54" t="s">
        <v>332</v>
      </c>
      <c r="N200" s="54" t="s">
        <v>333</v>
      </c>
      <c r="O200" s="53" t="s">
        <v>142</v>
      </c>
      <c r="P200" s="55"/>
      <c r="Q200" s="65"/>
      <c r="R200" s="63"/>
      <c r="S200" s="54" t="s">
        <v>1046</v>
      </c>
      <c r="T200" s="54" t="s">
        <v>1124</v>
      </c>
      <c r="U200" s="147" t="s">
        <v>686</v>
      </c>
      <c r="V200" s="54" t="s">
        <v>1163</v>
      </c>
      <c r="W200" s="53"/>
      <c r="X200" s="52" t="s">
        <v>351</v>
      </c>
      <c r="Y200" s="55" t="s">
        <v>351</v>
      </c>
      <c r="Z200" s="55" t="s">
        <v>351</v>
      </c>
      <c r="AA200" s="53" t="s">
        <v>351</v>
      </c>
      <c r="AC200" s="24"/>
    </row>
    <row r="201" spans="2:29" ht="120" customHeight="1" x14ac:dyDescent="0.25">
      <c r="B201" s="52" t="s">
        <v>27</v>
      </c>
      <c r="C201" s="52" t="s">
        <v>1116</v>
      </c>
      <c r="D201" s="52" t="s">
        <v>1117</v>
      </c>
      <c r="E201" s="53">
        <v>2</v>
      </c>
      <c r="F201" s="52" t="s">
        <v>336</v>
      </c>
      <c r="G201" s="52" t="s">
        <v>337</v>
      </c>
      <c r="H201" s="52" t="s">
        <v>338</v>
      </c>
      <c r="I201" s="53">
        <v>13</v>
      </c>
      <c r="J201" s="52" t="s">
        <v>339</v>
      </c>
      <c r="K201" s="53">
        <v>23</v>
      </c>
      <c r="L201" s="53"/>
      <c r="M201" s="54" t="s">
        <v>340</v>
      </c>
      <c r="N201" s="54" t="s">
        <v>341</v>
      </c>
      <c r="O201" s="53"/>
      <c r="P201" s="55"/>
      <c r="Q201" s="56"/>
      <c r="R201" s="52"/>
      <c r="S201" s="54" t="s">
        <v>1046</v>
      </c>
      <c r="T201" s="54" t="s">
        <v>1124</v>
      </c>
      <c r="U201" s="54" t="s">
        <v>450</v>
      </c>
      <c r="V201" s="54" t="s">
        <v>1164</v>
      </c>
      <c r="W201" s="53"/>
      <c r="X201" s="52" t="s">
        <v>351</v>
      </c>
      <c r="Y201" s="55" t="s">
        <v>351</v>
      </c>
      <c r="Z201" s="55" t="s">
        <v>351</v>
      </c>
      <c r="AA201" s="53" t="s">
        <v>351</v>
      </c>
      <c r="AC201" s="24"/>
    </row>
    <row r="202" spans="2:29" ht="208.5" customHeight="1" x14ac:dyDescent="0.25">
      <c r="B202" s="52" t="s">
        <v>27</v>
      </c>
      <c r="C202" s="52" t="s">
        <v>1165</v>
      </c>
      <c r="D202" s="52" t="s">
        <v>1166</v>
      </c>
      <c r="E202" s="53">
        <v>1</v>
      </c>
      <c r="F202" s="52" t="s">
        <v>137</v>
      </c>
      <c r="G202" s="52" t="s">
        <v>138</v>
      </c>
      <c r="H202" s="52" t="s">
        <v>139</v>
      </c>
      <c r="I202" s="53">
        <v>1</v>
      </c>
      <c r="J202" s="52" t="s">
        <v>140</v>
      </c>
      <c r="K202" s="53">
        <v>4</v>
      </c>
      <c r="L202" s="53"/>
      <c r="M202" s="54" t="s">
        <v>141</v>
      </c>
      <c r="N202" s="54"/>
      <c r="O202" s="53" t="s">
        <v>142</v>
      </c>
      <c r="P202" s="55"/>
      <c r="Q202" s="56"/>
      <c r="R202" s="52"/>
      <c r="S202" s="56" t="s">
        <v>1167</v>
      </c>
      <c r="T202" s="56" t="s">
        <v>1168</v>
      </c>
      <c r="U202" s="56" t="s">
        <v>200</v>
      </c>
      <c r="V202" s="56" t="s">
        <v>1169</v>
      </c>
      <c r="W202" s="53"/>
      <c r="X202" s="56" t="s">
        <v>1170</v>
      </c>
      <c r="Y202" s="54" t="s">
        <v>257</v>
      </c>
      <c r="Z202" s="54" t="s">
        <v>257</v>
      </c>
      <c r="AA202" s="62" t="s">
        <v>738</v>
      </c>
      <c r="AC202" s="24"/>
    </row>
    <row r="203" spans="2:29" ht="120" customHeight="1" x14ac:dyDescent="0.25">
      <c r="B203" s="52" t="s">
        <v>27</v>
      </c>
      <c r="C203" s="52" t="s">
        <v>1165</v>
      </c>
      <c r="D203" s="52" t="s">
        <v>1166</v>
      </c>
      <c r="E203" s="53">
        <v>1</v>
      </c>
      <c r="F203" s="52" t="s">
        <v>152</v>
      </c>
      <c r="G203" s="52" t="s">
        <v>153</v>
      </c>
      <c r="H203" s="52" t="s">
        <v>139</v>
      </c>
      <c r="I203" s="53">
        <v>2</v>
      </c>
      <c r="J203" s="52" t="s">
        <v>140</v>
      </c>
      <c r="K203" s="53">
        <v>30</v>
      </c>
      <c r="L203" s="53"/>
      <c r="M203" s="54" t="s">
        <v>154</v>
      </c>
      <c r="N203" s="54"/>
      <c r="O203" s="53" t="s">
        <v>142</v>
      </c>
      <c r="P203" s="55"/>
      <c r="Q203" s="56"/>
      <c r="R203" s="52"/>
      <c r="S203" s="56" t="s">
        <v>1167</v>
      </c>
      <c r="T203" s="56" t="s">
        <v>1168</v>
      </c>
      <c r="U203" s="56" t="s">
        <v>1171</v>
      </c>
      <c r="V203" s="56" t="s">
        <v>1172</v>
      </c>
      <c r="W203" s="53"/>
      <c r="X203" s="56" t="s">
        <v>1170</v>
      </c>
      <c r="Y203" s="54" t="s">
        <v>1173</v>
      </c>
      <c r="Z203" s="54" t="s">
        <v>1174</v>
      </c>
      <c r="AA203" s="62" t="s">
        <v>257</v>
      </c>
      <c r="AC203" s="24"/>
    </row>
    <row r="204" spans="2:29" ht="120" customHeight="1" x14ac:dyDescent="0.25">
      <c r="B204" s="52" t="s">
        <v>27</v>
      </c>
      <c r="C204" s="52" t="s">
        <v>1165</v>
      </c>
      <c r="D204" s="52" t="s">
        <v>1166</v>
      </c>
      <c r="E204" s="53">
        <v>1</v>
      </c>
      <c r="F204" s="52" t="s">
        <v>164</v>
      </c>
      <c r="G204" s="52" t="s">
        <v>165</v>
      </c>
      <c r="H204" s="55" t="s">
        <v>166</v>
      </c>
      <c r="I204" s="53">
        <v>3</v>
      </c>
      <c r="J204" s="52" t="s">
        <v>140</v>
      </c>
      <c r="K204" s="53">
        <v>20</v>
      </c>
      <c r="L204" s="53"/>
      <c r="M204" s="54" t="s">
        <v>167</v>
      </c>
      <c r="N204" s="54" t="s">
        <v>168</v>
      </c>
      <c r="O204" s="53"/>
      <c r="P204" s="54" t="s">
        <v>1175</v>
      </c>
      <c r="Q204" s="56"/>
      <c r="R204" s="52"/>
      <c r="S204" s="56" t="s">
        <v>1167</v>
      </c>
      <c r="T204" s="56" t="s">
        <v>1168</v>
      </c>
      <c r="U204" s="56" t="s">
        <v>200</v>
      </c>
      <c r="V204" s="56" t="s">
        <v>1176</v>
      </c>
      <c r="W204" s="53"/>
      <c r="X204" s="54" t="s">
        <v>257</v>
      </c>
      <c r="Y204" s="54" t="s">
        <v>257</v>
      </c>
      <c r="Z204" s="54" t="s">
        <v>257</v>
      </c>
      <c r="AA204" s="62" t="s">
        <v>257</v>
      </c>
      <c r="AC204" s="24"/>
    </row>
    <row r="205" spans="2:29" ht="120" customHeight="1" x14ac:dyDescent="0.25">
      <c r="B205" s="52" t="s">
        <v>27</v>
      </c>
      <c r="C205" s="52" t="s">
        <v>1165</v>
      </c>
      <c r="D205" s="52" t="s">
        <v>1166</v>
      </c>
      <c r="E205" s="53">
        <v>1</v>
      </c>
      <c r="F205" s="52" t="s">
        <v>172</v>
      </c>
      <c r="G205" s="52" t="s">
        <v>173</v>
      </c>
      <c r="H205" s="55" t="s">
        <v>166</v>
      </c>
      <c r="I205" s="53">
        <v>4</v>
      </c>
      <c r="J205" s="52" t="s">
        <v>140</v>
      </c>
      <c r="K205" s="53">
        <v>20</v>
      </c>
      <c r="L205" s="53"/>
      <c r="M205" s="54" t="s">
        <v>174</v>
      </c>
      <c r="N205" s="54" t="s">
        <v>175</v>
      </c>
      <c r="O205" s="53"/>
      <c r="P205" s="54" t="s">
        <v>1177</v>
      </c>
      <c r="Q205" s="56" t="s">
        <v>177</v>
      </c>
      <c r="R205" s="56" t="s">
        <v>178</v>
      </c>
      <c r="S205" s="56" t="s">
        <v>1178</v>
      </c>
      <c r="T205" s="56" t="s">
        <v>1179</v>
      </c>
      <c r="U205" s="56" t="s">
        <v>1180</v>
      </c>
      <c r="V205" s="56" t="s">
        <v>1181</v>
      </c>
      <c r="W205" s="53"/>
      <c r="X205" s="56" t="s">
        <v>1170</v>
      </c>
      <c r="Y205" s="54" t="s">
        <v>1182</v>
      </c>
      <c r="Z205" s="54" t="s">
        <v>751</v>
      </c>
      <c r="AA205" s="62" t="s">
        <v>257</v>
      </c>
      <c r="AC205" s="24"/>
    </row>
    <row r="206" spans="2:29" ht="120" customHeight="1" x14ac:dyDescent="0.25">
      <c r="B206" s="52" t="s">
        <v>27</v>
      </c>
      <c r="C206" s="52" t="s">
        <v>1165</v>
      </c>
      <c r="D206" s="52" t="s">
        <v>1166</v>
      </c>
      <c r="E206" s="53">
        <v>1</v>
      </c>
      <c r="F206" s="52" t="s">
        <v>184</v>
      </c>
      <c r="G206" s="52" t="s">
        <v>185</v>
      </c>
      <c r="H206" s="55" t="s">
        <v>166</v>
      </c>
      <c r="I206" s="53">
        <v>5</v>
      </c>
      <c r="J206" s="52" t="s">
        <v>140</v>
      </c>
      <c r="K206" s="53">
        <v>20</v>
      </c>
      <c r="L206" s="53"/>
      <c r="M206" s="54" t="s">
        <v>186</v>
      </c>
      <c r="N206" s="54" t="s">
        <v>187</v>
      </c>
      <c r="O206" s="53"/>
      <c r="P206" s="54" t="s">
        <v>1183</v>
      </c>
      <c r="Q206" s="56" t="s">
        <v>177</v>
      </c>
      <c r="R206" s="56" t="s">
        <v>189</v>
      </c>
      <c r="S206" s="56" t="s">
        <v>1178</v>
      </c>
      <c r="T206" s="56" t="s">
        <v>1179</v>
      </c>
      <c r="U206" s="56" t="s">
        <v>1184</v>
      </c>
      <c r="V206" s="56" t="s">
        <v>1185</v>
      </c>
      <c r="W206" s="53"/>
      <c r="X206" s="56" t="s">
        <v>1170</v>
      </c>
      <c r="Y206" s="54" t="s">
        <v>1182</v>
      </c>
      <c r="Z206" s="54" t="s">
        <v>755</v>
      </c>
      <c r="AA206" s="62" t="s">
        <v>257</v>
      </c>
      <c r="AC206" s="24"/>
    </row>
    <row r="207" spans="2:29" ht="120" customHeight="1" x14ac:dyDescent="0.25">
      <c r="B207" s="52" t="s">
        <v>27</v>
      </c>
      <c r="C207" s="52" t="s">
        <v>1165</v>
      </c>
      <c r="D207" s="52" t="s">
        <v>1166</v>
      </c>
      <c r="E207" s="53">
        <v>2</v>
      </c>
      <c r="F207" s="52" t="s">
        <v>193</v>
      </c>
      <c r="G207" s="52" t="s">
        <v>194</v>
      </c>
      <c r="H207" s="55" t="s">
        <v>166</v>
      </c>
      <c r="I207" s="53">
        <v>6</v>
      </c>
      <c r="J207" s="52" t="s">
        <v>140</v>
      </c>
      <c r="K207" s="53">
        <v>4</v>
      </c>
      <c r="L207" s="53"/>
      <c r="M207" s="79" t="s">
        <v>1135</v>
      </c>
      <c r="N207" s="54"/>
      <c r="O207" s="53"/>
      <c r="P207" s="55"/>
      <c r="Q207" s="56" t="s">
        <v>1186</v>
      </c>
      <c r="R207" s="56" t="s">
        <v>1187</v>
      </c>
      <c r="S207" s="56" t="s">
        <v>1178</v>
      </c>
      <c r="T207" s="56" t="s">
        <v>1168</v>
      </c>
      <c r="U207" s="56" t="s">
        <v>200</v>
      </c>
      <c r="V207" s="56" t="s">
        <v>1188</v>
      </c>
      <c r="W207" s="53"/>
      <c r="X207" s="56" t="s">
        <v>1189</v>
      </c>
      <c r="Y207" s="54" t="s">
        <v>1190</v>
      </c>
      <c r="Z207" s="54" t="s">
        <v>1190</v>
      </c>
      <c r="AA207" s="62" t="s">
        <v>1191</v>
      </c>
      <c r="AC207" s="24"/>
    </row>
    <row r="208" spans="2:29" ht="120" customHeight="1" x14ac:dyDescent="0.25">
      <c r="B208" s="52" t="s">
        <v>27</v>
      </c>
      <c r="C208" s="52" t="s">
        <v>1165</v>
      </c>
      <c r="D208" s="52" t="s">
        <v>1166</v>
      </c>
      <c r="E208" s="53">
        <v>2</v>
      </c>
      <c r="F208" s="52" t="s">
        <v>203</v>
      </c>
      <c r="G208" s="52" t="s">
        <v>204</v>
      </c>
      <c r="H208" s="55" t="s">
        <v>166</v>
      </c>
      <c r="I208" s="53">
        <v>7</v>
      </c>
      <c r="J208" s="52" t="s">
        <v>140</v>
      </c>
      <c r="K208" s="53">
        <v>30</v>
      </c>
      <c r="L208" s="53"/>
      <c r="M208" s="54" t="s">
        <v>1192</v>
      </c>
      <c r="N208" s="54"/>
      <c r="O208" s="53"/>
      <c r="P208" s="55"/>
      <c r="Q208" s="56" t="s">
        <v>1186</v>
      </c>
      <c r="R208" s="56" t="s">
        <v>1187</v>
      </c>
      <c r="S208" s="56" t="s">
        <v>1178</v>
      </c>
      <c r="T208" s="56" t="s">
        <v>1193</v>
      </c>
      <c r="U208" s="56" t="s">
        <v>1194</v>
      </c>
      <c r="V208" s="56" t="s">
        <v>1195</v>
      </c>
      <c r="W208" s="53"/>
      <c r="X208" s="56" t="s">
        <v>1189</v>
      </c>
      <c r="Y208" s="54" t="s">
        <v>1196</v>
      </c>
      <c r="Z208" s="54" t="s">
        <v>1197</v>
      </c>
      <c r="AA208" s="62" t="s">
        <v>1198</v>
      </c>
      <c r="AC208" s="24"/>
    </row>
    <row r="209" spans="2:29" ht="120" customHeight="1" x14ac:dyDescent="0.25">
      <c r="B209" s="52" t="s">
        <v>27</v>
      </c>
      <c r="C209" s="52" t="s">
        <v>1165</v>
      </c>
      <c r="D209" s="52" t="s">
        <v>1166</v>
      </c>
      <c r="E209" s="53">
        <v>1</v>
      </c>
      <c r="F209" s="52" t="s">
        <v>1053</v>
      </c>
      <c r="G209" s="52" t="s">
        <v>1054</v>
      </c>
      <c r="H209" s="52" t="s">
        <v>139</v>
      </c>
      <c r="I209" s="53">
        <v>8</v>
      </c>
      <c r="J209" s="52" t="s">
        <v>140</v>
      </c>
      <c r="K209" s="53">
        <v>4</v>
      </c>
      <c r="L209" s="53"/>
      <c r="M209" s="54" t="s">
        <v>1199</v>
      </c>
      <c r="N209" s="54"/>
      <c r="O209" s="53"/>
      <c r="P209" s="55"/>
      <c r="Q209" s="56" t="s">
        <v>1200</v>
      </c>
      <c r="R209" s="56" t="s">
        <v>1201</v>
      </c>
      <c r="S209" s="56" t="s">
        <v>1178</v>
      </c>
      <c r="T209" s="56" t="s">
        <v>1168</v>
      </c>
      <c r="U209" s="56" t="s">
        <v>200</v>
      </c>
      <c r="V209" s="56" t="s">
        <v>1169</v>
      </c>
      <c r="W209" s="53"/>
      <c r="X209" s="56" t="s">
        <v>1170</v>
      </c>
      <c r="Y209" s="54" t="s">
        <v>257</v>
      </c>
      <c r="Z209" s="54" t="s">
        <v>257</v>
      </c>
      <c r="AA209" s="62" t="s">
        <v>770</v>
      </c>
      <c r="AC209" s="24"/>
    </row>
    <row r="210" spans="2:29" ht="120" customHeight="1" x14ac:dyDescent="0.25">
      <c r="B210" s="52" t="s">
        <v>27</v>
      </c>
      <c r="C210" s="52" t="s">
        <v>1165</v>
      </c>
      <c r="D210" s="52" t="s">
        <v>1166</v>
      </c>
      <c r="E210" s="53">
        <v>1</v>
      </c>
      <c r="F210" s="52" t="s">
        <v>1060</v>
      </c>
      <c r="G210" s="52" t="s">
        <v>1061</v>
      </c>
      <c r="H210" s="52" t="s">
        <v>139</v>
      </c>
      <c r="I210" s="53">
        <v>9</v>
      </c>
      <c r="J210" s="52" t="s">
        <v>140</v>
      </c>
      <c r="K210" s="53">
        <v>30</v>
      </c>
      <c r="L210" s="53"/>
      <c r="M210" s="54" t="s">
        <v>1202</v>
      </c>
      <c r="N210" s="54" t="s">
        <v>155</v>
      </c>
      <c r="O210" s="53"/>
      <c r="P210" s="55"/>
      <c r="Q210" s="56" t="s">
        <v>1200</v>
      </c>
      <c r="R210" s="56" t="s">
        <v>1201</v>
      </c>
      <c r="S210" s="56" t="s">
        <v>1178</v>
      </c>
      <c r="T210" s="56" t="s">
        <v>1168</v>
      </c>
      <c r="U210" s="183" t="s">
        <v>556</v>
      </c>
      <c r="V210" s="183" t="s">
        <v>1203</v>
      </c>
      <c r="W210" s="53"/>
      <c r="X210" s="56" t="s">
        <v>1170</v>
      </c>
      <c r="Y210" s="54" t="s">
        <v>1204</v>
      </c>
      <c r="Z210" s="54" t="s">
        <v>1205</v>
      </c>
      <c r="AA210" s="62" t="s">
        <v>776</v>
      </c>
      <c r="AC210" s="24"/>
    </row>
    <row r="211" spans="2:29" ht="120" customHeight="1" x14ac:dyDescent="0.25">
      <c r="B211" s="52" t="s">
        <v>27</v>
      </c>
      <c r="C211" s="52" t="s">
        <v>1165</v>
      </c>
      <c r="D211" s="52" t="s">
        <v>1166</v>
      </c>
      <c r="E211" s="53">
        <v>1</v>
      </c>
      <c r="F211" s="52" t="s">
        <v>214</v>
      </c>
      <c r="G211" s="52" t="s">
        <v>215</v>
      </c>
      <c r="H211" s="55" t="s">
        <v>216</v>
      </c>
      <c r="I211" s="53">
        <v>10</v>
      </c>
      <c r="J211" s="52" t="s">
        <v>140</v>
      </c>
      <c r="K211" s="53">
        <v>10</v>
      </c>
      <c r="L211" s="53"/>
      <c r="M211" s="54" t="s">
        <v>217</v>
      </c>
      <c r="N211" s="54" t="s">
        <v>218</v>
      </c>
      <c r="O211" s="53"/>
      <c r="P211" s="55"/>
      <c r="Q211" s="56" t="s">
        <v>219</v>
      </c>
      <c r="R211" s="52" t="s">
        <v>214</v>
      </c>
      <c r="S211" s="56" t="s">
        <v>1167</v>
      </c>
      <c r="T211" s="54" t="s">
        <v>1168</v>
      </c>
      <c r="U211" s="54" t="s">
        <v>1206</v>
      </c>
      <c r="V211" s="56" t="s">
        <v>1207</v>
      </c>
      <c r="W211" s="53"/>
      <c r="X211" s="56" t="s">
        <v>1170</v>
      </c>
      <c r="Y211" s="54" t="s">
        <v>1208</v>
      </c>
      <c r="Z211" s="54" t="s">
        <v>1209</v>
      </c>
      <c r="AA211" s="62" t="s">
        <v>257</v>
      </c>
      <c r="AC211" s="24"/>
    </row>
    <row r="212" spans="2:29" ht="120" customHeight="1" x14ac:dyDescent="0.25">
      <c r="B212" s="52" t="s">
        <v>27</v>
      </c>
      <c r="C212" s="52" t="s">
        <v>1165</v>
      </c>
      <c r="D212" s="52" t="s">
        <v>1166</v>
      </c>
      <c r="E212" s="53">
        <v>1</v>
      </c>
      <c r="F212" s="52" t="s">
        <v>226</v>
      </c>
      <c r="G212" s="52" t="s">
        <v>227</v>
      </c>
      <c r="H212" s="55" t="s">
        <v>216</v>
      </c>
      <c r="I212" s="53">
        <v>11</v>
      </c>
      <c r="J212" s="52" t="s">
        <v>140</v>
      </c>
      <c r="K212" s="53">
        <v>10</v>
      </c>
      <c r="L212" s="53"/>
      <c r="M212" s="54" t="s">
        <v>710</v>
      </c>
      <c r="N212" s="54"/>
      <c r="O212" s="53"/>
      <c r="P212" s="55"/>
      <c r="Q212" s="56" t="s">
        <v>230</v>
      </c>
      <c r="R212" s="52" t="s">
        <v>226</v>
      </c>
      <c r="S212" s="56" t="s">
        <v>1167</v>
      </c>
      <c r="T212" s="54" t="s">
        <v>1168</v>
      </c>
      <c r="U212" s="54" t="s">
        <v>1210</v>
      </c>
      <c r="V212" s="56" t="s">
        <v>1211</v>
      </c>
      <c r="W212" s="53"/>
      <c r="X212" s="56" t="s">
        <v>1189</v>
      </c>
      <c r="Y212" s="54" t="s">
        <v>1212</v>
      </c>
      <c r="Z212" s="54" t="s">
        <v>1213</v>
      </c>
      <c r="AA212" s="62" t="s">
        <v>1214</v>
      </c>
      <c r="AC212" s="24"/>
    </row>
    <row r="213" spans="2:29" ht="120" customHeight="1" x14ac:dyDescent="0.25">
      <c r="B213" s="52" t="s">
        <v>27</v>
      </c>
      <c r="C213" s="52" t="s">
        <v>1165</v>
      </c>
      <c r="D213" s="52" t="s">
        <v>1166</v>
      </c>
      <c r="E213" s="53">
        <v>1</v>
      </c>
      <c r="F213" s="52" t="s">
        <v>238</v>
      </c>
      <c r="G213" s="52" t="s">
        <v>239</v>
      </c>
      <c r="H213" s="55" t="s">
        <v>216</v>
      </c>
      <c r="I213" s="53">
        <v>12</v>
      </c>
      <c r="J213" s="52" t="s">
        <v>140</v>
      </c>
      <c r="K213" s="53">
        <v>3</v>
      </c>
      <c r="L213" s="53"/>
      <c r="M213" s="54" t="s">
        <v>241</v>
      </c>
      <c r="N213" s="54"/>
      <c r="O213" s="53"/>
      <c r="P213" s="54" t="s">
        <v>1215</v>
      </c>
      <c r="Q213" s="56" t="s">
        <v>566</v>
      </c>
      <c r="R213" s="56" t="s">
        <v>245</v>
      </c>
      <c r="S213" s="56" t="s">
        <v>1167</v>
      </c>
      <c r="T213" s="54" t="s">
        <v>1168</v>
      </c>
      <c r="U213" s="54" t="s">
        <v>1216</v>
      </c>
      <c r="V213" s="56" t="s">
        <v>1217</v>
      </c>
      <c r="W213" s="53"/>
      <c r="X213" s="56" t="s">
        <v>1218</v>
      </c>
      <c r="Y213" s="54" t="s">
        <v>1219</v>
      </c>
      <c r="Z213" s="54" t="s">
        <v>1220</v>
      </c>
      <c r="AA213" s="62" t="s">
        <v>793</v>
      </c>
      <c r="AC213" s="24"/>
    </row>
    <row r="214" spans="2:29" ht="120" customHeight="1" x14ac:dyDescent="0.25">
      <c r="B214" s="52" t="s">
        <v>27</v>
      </c>
      <c r="C214" s="52" t="s">
        <v>1165</v>
      </c>
      <c r="D214" s="52" t="s">
        <v>1166</v>
      </c>
      <c r="E214" s="53">
        <v>1</v>
      </c>
      <c r="F214" s="52" t="s">
        <v>253</v>
      </c>
      <c r="G214" s="52" t="s">
        <v>254</v>
      </c>
      <c r="H214" s="55" t="s">
        <v>255</v>
      </c>
      <c r="I214" s="53">
        <v>13</v>
      </c>
      <c r="J214" s="52" t="s">
        <v>140</v>
      </c>
      <c r="K214" s="53"/>
      <c r="L214" s="53"/>
      <c r="M214" s="54" t="s">
        <v>256</v>
      </c>
      <c r="N214" s="54"/>
      <c r="O214" s="53"/>
      <c r="P214" s="55"/>
      <c r="Q214" s="65"/>
      <c r="R214" s="63"/>
      <c r="S214" s="56" t="s">
        <v>1167</v>
      </c>
      <c r="T214" s="54" t="s">
        <v>1168</v>
      </c>
      <c r="U214" s="54" t="s">
        <v>450</v>
      </c>
      <c r="V214" s="56" t="s">
        <v>1221</v>
      </c>
      <c r="W214" s="73"/>
      <c r="X214" s="56" t="s">
        <v>1189</v>
      </c>
      <c r="Y214" s="54" t="s">
        <v>1190</v>
      </c>
      <c r="Z214" s="54" t="s">
        <v>1222</v>
      </c>
      <c r="AA214" s="62" t="s">
        <v>1223</v>
      </c>
      <c r="AC214" s="24"/>
    </row>
    <row r="215" spans="2:29" ht="120" customHeight="1" x14ac:dyDescent="0.25">
      <c r="B215" s="52" t="s">
        <v>27</v>
      </c>
      <c r="C215" s="52" t="s">
        <v>1165</v>
      </c>
      <c r="D215" s="52" t="s">
        <v>1166</v>
      </c>
      <c r="E215" s="53">
        <v>1</v>
      </c>
      <c r="F215" s="52" t="s">
        <v>1224</v>
      </c>
      <c r="G215" s="52" t="s">
        <v>1225</v>
      </c>
      <c r="H215" s="55" t="s">
        <v>1149</v>
      </c>
      <c r="I215" s="53">
        <v>14</v>
      </c>
      <c r="J215" s="52" t="s">
        <v>140</v>
      </c>
      <c r="K215" s="53">
        <v>4</v>
      </c>
      <c r="L215" s="53"/>
      <c r="M215" s="54" t="s">
        <v>1226</v>
      </c>
      <c r="N215" s="54"/>
      <c r="O215" s="53"/>
      <c r="P215" s="54" t="s">
        <v>1227</v>
      </c>
      <c r="Q215" s="56" t="s">
        <v>1045</v>
      </c>
      <c r="R215" s="52" t="s">
        <v>1228</v>
      </c>
      <c r="S215" s="56" t="s">
        <v>1167</v>
      </c>
      <c r="T215" s="54" t="s">
        <v>1168</v>
      </c>
      <c r="U215" s="54" t="s">
        <v>450</v>
      </c>
      <c r="V215" s="56" t="s">
        <v>1229</v>
      </c>
      <c r="W215" s="53"/>
      <c r="X215" s="56" t="s">
        <v>1170</v>
      </c>
      <c r="Y215" s="54" t="s">
        <v>1230</v>
      </c>
      <c r="Z215" s="54" t="s">
        <v>1231</v>
      </c>
      <c r="AA215" s="62" t="s">
        <v>1232</v>
      </c>
      <c r="AC215" s="24"/>
    </row>
    <row r="216" spans="2:29" ht="120" customHeight="1" x14ac:dyDescent="0.25">
      <c r="B216" s="52" t="s">
        <v>27</v>
      </c>
      <c r="C216" s="52" t="s">
        <v>1165</v>
      </c>
      <c r="D216" s="52" t="s">
        <v>1166</v>
      </c>
      <c r="E216" s="53">
        <v>1</v>
      </c>
      <c r="F216" s="52" t="s">
        <v>1233</v>
      </c>
      <c r="G216" s="52" t="s">
        <v>1234</v>
      </c>
      <c r="H216" s="55" t="s">
        <v>1091</v>
      </c>
      <c r="I216" s="53">
        <v>15</v>
      </c>
      <c r="J216" s="52" t="s">
        <v>140</v>
      </c>
      <c r="K216" s="53"/>
      <c r="L216" s="53">
        <v>6</v>
      </c>
      <c r="M216" s="54" t="s">
        <v>1235</v>
      </c>
      <c r="N216" s="54"/>
      <c r="O216" s="53"/>
      <c r="P216" s="55"/>
      <c r="Q216" s="56" t="s">
        <v>1045</v>
      </c>
      <c r="R216" s="52" t="s">
        <v>1236</v>
      </c>
      <c r="S216" s="56" t="s">
        <v>1167</v>
      </c>
      <c r="T216" s="54" t="s">
        <v>1168</v>
      </c>
      <c r="U216" s="54" t="s">
        <v>450</v>
      </c>
      <c r="V216" s="56" t="s">
        <v>1229</v>
      </c>
      <c r="W216" s="53"/>
      <c r="X216" s="56" t="s">
        <v>1170</v>
      </c>
      <c r="Y216" s="54" t="s">
        <v>1230</v>
      </c>
      <c r="Z216" s="54" t="s">
        <v>1237</v>
      </c>
      <c r="AA216" s="62" t="s">
        <v>1232</v>
      </c>
      <c r="AC216" s="24"/>
    </row>
    <row r="217" spans="2:29" ht="120" customHeight="1" x14ac:dyDescent="0.25">
      <c r="B217" s="52" t="s">
        <v>27</v>
      </c>
      <c r="C217" s="52" t="s">
        <v>1165</v>
      </c>
      <c r="D217" s="52" t="s">
        <v>1166</v>
      </c>
      <c r="E217" s="53">
        <v>1</v>
      </c>
      <c r="F217" s="52" t="s">
        <v>1238</v>
      </c>
      <c r="G217" s="52" t="s">
        <v>1239</v>
      </c>
      <c r="H217" s="55" t="s">
        <v>1091</v>
      </c>
      <c r="I217" s="53">
        <v>16</v>
      </c>
      <c r="J217" s="52" t="s">
        <v>140</v>
      </c>
      <c r="K217" s="53"/>
      <c r="L217" s="53">
        <v>6</v>
      </c>
      <c r="M217" s="54" t="s">
        <v>1240</v>
      </c>
      <c r="N217" s="54"/>
      <c r="O217" s="53"/>
      <c r="P217" s="55"/>
      <c r="Q217" s="56" t="s">
        <v>1045</v>
      </c>
      <c r="R217" s="52" t="s">
        <v>1238</v>
      </c>
      <c r="S217" s="56" t="s">
        <v>1167</v>
      </c>
      <c r="T217" s="54" t="s">
        <v>1168</v>
      </c>
      <c r="U217" s="54" t="s">
        <v>450</v>
      </c>
      <c r="V217" s="56" t="s">
        <v>1229</v>
      </c>
      <c r="W217" s="53"/>
      <c r="X217" s="56" t="s">
        <v>1170</v>
      </c>
      <c r="Y217" s="54" t="s">
        <v>1230</v>
      </c>
      <c r="Z217" s="54" t="s">
        <v>1241</v>
      </c>
      <c r="AA217" s="62" t="s">
        <v>1232</v>
      </c>
      <c r="AC217" s="24"/>
    </row>
    <row r="218" spans="2:29" ht="120" customHeight="1" x14ac:dyDescent="0.25">
      <c r="B218" s="52" t="s">
        <v>27</v>
      </c>
      <c r="C218" s="52" t="s">
        <v>1165</v>
      </c>
      <c r="D218" s="52" t="s">
        <v>1166</v>
      </c>
      <c r="E218" s="53">
        <v>1</v>
      </c>
      <c r="F218" s="52" t="s">
        <v>1242</v>
      </c>
      <c r="G218" s="52" t="s">
        <v>1243</v>
      </c>
      <c r="H218" s="55" t="s">
        <v>262</v>
      </c>
      <c r="I218" s="53">
        <v>17</v>
      </c>
      <c r="J218" s="52" t="s">
        <v>140</v>
      </c>
      <c r="K218" s="53">
        <v>5</v>
      </c>
      <c r="L218" s="53"/>
      <c r="M218" s="54" t="s">
        <v>1244</v>
      </c>
      <c r="N218" s="54"/>
      <c r="O218" s="53"/>
      <c r="P218" s="55"/>
      <c r="Q218" s="56"/>
      <c r="R218" s="52"/>
      <c r="S218" s="56" t="s">
        <v>1167</v>
      </c>
      <c r="T218" s="56" t="s">
        <v>1168</v>
      </c>
      <c r="U218" s="56" t="s">
        <v>1245</v>
      </c>
      <c r="V218" s="56" t="s">
        <v>1246</v>
      </c>
      <c r="W218" s="53"/>
      <c r="X218" s="56" t="s">
        <v>1170</v>
      </c>
      <c r="Y218" s="54" t="s">
        <v>1247</v>
      </c>
      <c r="Z218" s="54" t="s">
        <v>1248</v>
      </c>
      <c r="AA218" s="62" t="s">
        <v>839</v>
      </c>
      <c r="AC218" s="24"/>
    </row>
    <row r="219" spans="2:29" ht="120" customHeight="1" x14ac:dyDescent="0.25">
      <c r="B219" s="52" t="s">
        <v>27</v>
      </c>
      <c r="C219" s="52" t="s">
        <v>1165</v>
      </c>
      <c r="D219" s="52" t="s">
        <v>1166</v>
      </c>
      <c r="E219" s="53">
        <v>1</v>
      </c>
      <c r="F219" s="52" t="s">
        <v>260</v>
      </c>
      <c r="G219" s="52" t="s">
        <v>261</v>
      </c>
      <c r="H219" s="52" t="s">
        <v>262</v>
      </c>
      <c r="I219" s="53">
        <v>18</v>
      </c>
      <c r="J219" s="52" t="s">
        <v>263</v>
      </c>
      <c r="K219" s="53">
        <v>23</v>
      </c>
      <c r="L219" s="53">
        <v>6</v>
      </c>
      <c r="M219" s="54" t="s">
        <v>1249</v>
      </c>
      <c r="N219" s="54"/>
      <c r="O219" s="53"/>
      <c r="P219" s="55"/>
      <c r="Q219" s="54" t="s">
        <v>1250</v>
      </c>
      <c r="R219" s="54" t="s">
        <v>1251</v>
      </c>
      <c r="S219" s="56" t="s">
        <v>1167</v>
      </c>
      <c r="T219" s="56" t="s">
        <v>1168</v>
      </c>
      <c r="U219" s="56" t="s">
        <v>1252</v>
      </c>
      <c r="V219" s="56" t="s">
        <v>1253</v>
      </c>
      <c r="W219" s="53"/>
      <c r="X219" s="56" t="s">
        <v>1170</v>
      </c>
      <c r="Y219" s="54" t="s">
        <v>1254</v>
      </c>
      <c r="Z219" s="54" t="s">
        <v>1255</v>
      </c>
      <c r="AA219" s="62" t="s">
        <v>800</v>
      </c>
      <c r="AC219" s="24"/>
    </row>
    <row r="220" spans="2:29" ht="120" customHeight="1" x14ac:dyDescent="0.25">
      <c r="B220" s="52" t="s">
        <v>27</v>
      </c>
      <c r="C220" s="52" t="s">
        <v>1165</v>
      </c>
      <c r="D220" s="52" t="s">
        <v>1166</v>
      </c>
      <c r="E220" s="53">
        <v>1</v>
      </c>
      <c r="F220" s="52" t="s">
        <v>272</v>
      </c>
      <c r="G220" s="52" t="s">
        <v>273</v>
      </c>
      <c r="H220" s="52" t="s">
        <v>262</v>
      </c>
      <c r="I220" s="53">
        <v>19</v>
      </c>
      <c r="J220" s="52" t="s">
        <v>263</v>
      </c>
      <c r="K220" s="53">
        <v>23</v>
      </c>
      <c r="L220" s="53">
        <v>6</v>
      </c>
      <c r="M220" s="54" t="s">
        <v>1256</v>
      </c>
      <c r="N220" s="54"/>
      <c r="O220" s="53"/>
      <c r="P220" s="55"/>
      <c r="Q220" s="56"/>
      <c r="R220" s="52"/>
      <c r="S220" s="56" t="s">
        <v>1167</v>
      </c>
      <c r="T220" s="56" t="s">
        <v>1168</v>
      </c>
      <c r="U220" s="56" t="s">
        <v>1252</v>
      </c>
      <c r="V220" s="56" t="s">
        <v>1253</v>
      </c>
      <c r="W220" s="53"/>
      <c r="X220" s="56" t="s">
        <v>1170</v>
      </c>
      <c r="Y220" s="54" t="s">
        <v>1254</v>
      </c>
      <c r="Z220" s="54" t="s">
        <v>1255</v>
      </c>
      <c r="AA220" s="62" t="s">
        <v>800</v>
      </c>
      <c r="AC220" s="24"/>
    </row>
    <row r="221" spans="2:29" ht="120" customHeight="1" x14ac:dyDescent="0.25">
      <c r="B221" s="52" t="s">
        <v>27</v>
      </c>
      <c r="C221" s="52" t="s">
        <v>1165</v>
      </c>
      <c r="D221" s="52" t="s">
        <v>1166</v>
      </c>
      <c r="E221" s="53">
        <v>1</v>
      </c>
      <c r="F221" s="52" t="s">
        <v>801</v>
      </c>
      <c r="G221" s="52" t="s">
        <v>802</v>
      </c>
      <c r="H221" s="52" t="s">
        <v>262</v>
      </c>
      <c r="I221" s="53">
        <v>20</v>
      </c>
      <c r="J221" s="52" t="s">
        <v>263</v>
      </c>
      <c r="K221" s="53">
        <v>23</v>
      </c>
      <c r="L221" s="53">
        <v>6</v>
      </c>
      <c r="M221" s="54" t="s">
        <v>1257</v>
      </c>
      <c r="N221" s="54"/>
      <c r="O221" s="53"/>
      <c r="P221" s="55"/>
      <c r="Q221" s="54"/>
      <c r="R221" s="55"/>
      <c r="S221" s="56" t="s">
        <v>1167</v>
      </c>
      <c r="T221" s="56" t="s">
        <v>1168</v>
      </c>
      <c r="U221" s="56" t="s">
        <v>450</v>
      </c>
      <c r="V221" s="56" t="s">
        <v>1258</v>
      </c>
      <c r="W221" s="53"/>
      <c r="X221" s="56" t="s">
        <v>1170</v>
      </c>
      <c r="Y221" s="54" t="s">
        <v>1259</v>
      </c>
      <c r="Z221" s="54" t="s">
        <v>1260</v>
      </c>
      <c r="AA221" s="62" t="s">
        <v>1261</v>
      </c>
      <c r="AC221" s="24"/>
    </row>
    <row r="222" spans="2:29" ht="120" customHeight="1" x14ac:dyDescent="0.25">
      <c r="B222" s="52" t="s">
        <v>27</v>
      </c>
      <c r="C222" s="52" t="s">
        <v>1165</v>
      </c>
      <c r="D222" s="52" t="s">
        <v>1166</v>
      </c>
      <c r="E222" s="53">
        <v>1</v>
      </c>
      <c r="F222" s="52" t="s">
        <v>1262</v>
      </c>
      <c r="G222" s="52" t="s">
        <v>1263</v>
      </c>
      <c r="H222" s="52" t="s">
        <v>262</v>
      </c>
      <c r="I222" s="53">
        <v>21</v>
      </c>
      <c r="J222" s="52" t="s">
        <v>263</v>
      </c>
      <c r="K222" s="53">
        <v>23</v>
      </c>
      <c r="L222" s="53">
        <v>6</v>
      </c>
      <c r="M222" s="54" t="s">
        <v>1264</v>
      </c>
      <c r="N222" s="54"/>
      <c r="O222" s="53"/>
      <c r="P222" s="55"/>
      <c r="Q222" s="54" t="s">
        <v>584</v>
      </c>
      <c r="R222" s="54" t="s">
        <v>585</v>
      </c>
      <c r="S222" s="56" t="s">
        <v>1178</v>
      </c>
      <c r="T222" s="56" t="s">
        <v>1265</v>
      </c>
      <c r="U222" s="56" t="s">
        <v>1266</v>
      </c>
      <c r="V222" s="56" t="s">
        <v>1267</v>
      </c>
      <c r="W222" s="53"/>
      <c r="X222" s="56" t="s">
        <v>1189</v>
      </c>
      <c r="Y222" s="54" t="s">
        <v>1268</v>
      </c>
      <c r="Z222" s="54" t="s">
        <v>1269</v>
      </c>
      <c r="AA222" s="62" t="s">
        <v>811</v>
      </c>
      <c r="AC222" s="24"/>
    </row>
    <row r="223" spans="2:29" ht="120" customHeight="1" x14ac:dyDescent="0.25">
      <c r="B223" s="52" t="s">
        <v>27</v>
      </c>
      <c r="C223" s="52" t="s">
        <v>1165</v>
      </c>
      <c r="D223" s="52" t="s">
        <v>1166</v>
      </c>
      <c r="E223" s="53">
        <v>1</v>
      </c>
      <c r="F223" s="52" t="s">
        <v>581</v>
      </c>
      <c r="G223" s="52" t="s">
        <v>582</v>
      </c>
      <c r="H223" s="52" t="s">
        <v>262</v>
      </c>
      <c r="I223" s="53">
        <v>22</v>
      </c>
      <c r="J223" s="52" t="s">
        <v>263</v>
      </c>
      <c r="K223" s="53">
        <v>23</v>
      </c>
      <c r="L223" s="53">
        <v>6</v>
      </c>
      <c r="M223" s="54" t="s">
        <v>583</v>
      </c>
      <c r="N223" s="54"/>
      <c r="O223" s="53"/>
      <c r="P223" s="55"/>
      <c r="Q223" s="54"/>
      <c r="R223" s="55"/>
      <c r="S223" s="56" t="s">
        <v>1178</v>
      </c>
      <c r="T223" s="56" t="s">
        <v>1265</v>
      </c>
      <c r="U223" s="56" t="s">
        <v>1270</v>
      </c>
      <c r="V223" s="56" t="s">
        <v>1271</v>
      </c>
      <c r="W223" s="53"/>
      <c r="X223" s="56" t="s">
        <v>1170</v>
      </c>
      <c r="Y223" s="54" t="s">
        <v>1272</v>
      </c>
      <c r="Z223" s="54" t="s">
        <v>1273</v>
      </c>
      <c r="AA223" s="62" t="s">
        <v>1274</v>
      </c>
      <c r="AC223" s="24"/>
    </row>
    <row r="224" spans="2:29" ht="120" customHeight="1" x14ac:dyDescent="0.25">
      <c r="B224" s="52" t="s">
        <v>27</v>
      </c>
      <c r="C224" s="52" t="s">
        <v>1165</v>
      </c>
      <c r="D224" s="52" t="s">
        <v>1166</v>
      </c>
      <c r="E224" s="53">
        <v>1</v>
      </c>
      <c r="F224" s="52" t="s">
        <v>281</v>
      </c>
      <c r="G224" s="52" t="s">
        <v>282</v>
      </c>
      <c r="H224" s="52" t="s">
        <v>262</v>
      </c>
      <c r="I224" s="53">
        <v>23</v>
      </c>
      <c r="J224" s="52" t="s">
        <v>263</v>
      </c>
      <c r="K224" s="53">
        <v>23</v>
      </c>
      <c r="L224" s="53">
        <v>6</v>
      </c>
      <c r="M224" s="54" t="s">
        <v>1275</v>
      </c>
      <c r="N224" s="54"/>
      <c r="O224" s="53"/>
      <c r="P224" s="55"/>
      <c r="Q224" s="54"/>
      <c r="R224" s="81"/>
      <c r="S224" s="56" t="s">
        <v>1167</v>
      </c>
      <c r="T224" s="56" t="s">
        <v>1168</v>
      </c>
      <c r="U224" s="56" t="s">
        <v>450</v>
      </c>
      <c r="V224" s="56" t="s">
        <v>1276</v>
      </c>
      <c r="W224" s="53"/>
      <c r="X224" s="56" t="s">
        <v>1189</v>
      </c>
      <c r="Y224" s="54" t="s">
        <v>1277</v>
      </c>
      <c r="Z224" s="147" t="s">
        <v>1278</v>
      </c>
      <c r="AA224" s="62" t="s">
        <v>1279</v>
      </c>
      <c r="AC224" s="24"/>
    </row>
    <row r="225" spans="2:29" ht="120" customHeight="1" x14ac:dyDescent="0.25">
      <c r="B225" s="52" t="s">
        <v>27</v>
      </c>
      <c r="C225" s="52" t="s">
        <v>1165</v>
      </c>
      <c r="D225" s="52" t="s">
        <v>1166</v>
      </c>
      <c r="E225" s="53">
        <v>1</v>
      </c>
      <c r="F225" s="52" t="s">
        <v>291</v>
      </c>
      <c r="G225" s="52" t="s">
        <v>292</v>
      </c>
      <c r="H225" s="52" t="s">
        <v>262</v>
      </c>
      <c r="I225" s="53">
        <v>24</v>
      </c>
      <c r="J225" s="52" t="s">
        <v>263</v>
      </c>
      <c r="K225" s="53">
        <v>23</v>
      </c>
      <c r="L225" s="53">
        <v>6</v>
      </c>
      <c r="M225" s="54" t="s">
        <v>293</v>
      </c>
      <c r="N225" s="54"/>
      <c r="O225" s="53"/>
      <c r="P225" s="55"/>
      <c r="Q225" s="65"/>
      <c r="R225" s="63"/>
      <c r="S225" s="56" t="s">
        <v>1167</v>
      </c>
      <c r="T225" s="56" t="s">
        <v>1168</v>
      </c>
      <c r="U225" s="56" t="s">
        <v>450</v>
      </c>
      <c r="V225" s="65" t="s">
        <v>1276</v>
      </c>
      <c r="W225" s="73"/>
      <c r="X225" s="56" t="s">
        <v>1189</v>
      </c>
      <c r="Y225" s="70" t="s">
        <v>1280</v>
      </c>
      <c r="Z225" s="54" t="s">
        <v>1281</v>
      </c>
      <c r="AA225" s="62" t="s">
        <v>1282</v>
      </c>
      <c r="AC225" s="24"/>
    </row>
    <row r="226" spans="2:29" ht="120" customHeight="1" x14ac:dyDescent="0.25">
      <c r="B226" s="266" t="s">
        <v>27</v>
      </c>
      <c r="C226" s="266" t="s">
        <v>1165</v>
      </c>
      <c r="D226" s="266" t="s">
        <v>1166</v>
      </c>
      <c r="E226" s="267">
        <v>1</v>
      </c>
      <c r="F226" s="266" t="s">
        <v>602</v>
      </c>
      <c r="G226" s="266" t="s">
        <v>603</v>
      </c>
      <c r="H226" s="268" t="s">
        <v>262</v>
      </c>
      <c r="I226" s="267">
        <v>25</v>
      </c>
      <c r="J226" s="266" t="s">
        <v>140</v>
      </c>
      <c r="K226" s="267">
        <v>10</v>
      </c>
      <c r="L226" s="267">
        <v>6</v>
      </c>
      <c r="M226" s="269" t="s">
        <v>1283</v>
      </c>
      <c r="N226" s="269"/>
      <c r="O226" s="267"/>
      <c r="P226" s="268"/>
      <c r="Q226" s="270"/>
      <c r="R226" s="266"/>
      <c r="S226" s="270" t="s">
        <v>1167</v>
      </c>
      <c r="T226" s="270" t="s">
        <v>1168</v>
      </c>
      <c r="U226" s="270" t="s">
        <v>450</v>
      </c>
      <c r="V226" s="270" t="s">
        <v>1284</v>
      </c>
      <c r="W226" s="267"/>
      <c r="X226" s="270" t="s">
        <v>1170</v>
      </c>
      <c r="Y226" s="269" t="s">
        <v>1285</v>
      </c>
      <c r="Z226" s="269" t="s">
        <v>1286</v>
      </c>
      <c r="AA226" s="271" t="s">
        <v>1287</v>
      </c>
      <c r="AC226" s="24"/>
    </row>
    <row r="227" spans="2:29" ht="120" customHeight="1" x14ac:dyDescent="0.25">
      <c r="B227" s="266" t="s">
        <v>27</v>
      </c>
      <c r="C227" s="266" t="s">
        <v>1165</v>
      </c>
      <c r="D227" s="266" t="s">
        <v>1166</v>
      </c>
      <c r="E227" s="267">
        <v>1</v>
      </c>
      <c r="F227" s="266" t="s">
        <v>1288</v>
      </c>
      <c r="G227" s="266" t="s">
        <v>1289</v>
      </c>
      <c r="H227" s="268" t="s">
        <v>409</v>
      </c>
      <c r="I227" s="267">
        <v>26</v>
      </c>
      <c r="J227" s="266" t="s">
        <v>140</v>
      </c>
      <c r="K227" s="267"/>
      <c r="L227" s="267"/>
      <c r="M227" s="269" t="s">
        <v>1290</v>
      </c>
      <c r="N227" s="269"/>
      <c r="O227" s="267"/>
      <c r="P227" s="268"/>
      <c r="Q227" s="270"/>
      <c r="R227" s="266"/>
      <c r="S227" s="270" t="s">
        <v>1178</v>
      </c>
      <c r="T227" s="270" t="s">
        <v>1265</v>
      </c>
      <c r="U227" s="270" t="s">
        <v>1291</v>
      </c>
      <c r="V227" s="270" t="s">
        <v>1292</v>
      </c>
      <c r="W227" s="267"/>
      <c r="X227" s="270" t="s">
        <v>1170</v>
      </c>
      <c r="Y227" s="269" t="s">
        <v>1293</v>
      </c>
      <c r="Z227" s="269" t="s">
        <v>1294</v>
      </c>
      <c r="AA227" s="271" t="s">
        <v>839</v>
      </c>
      <c r="AC227" s="24"/>
    </row>
    <row r="228" spans="2:29" ht="120" customHeight="1" x14ac:dyDescent="0.25">
      <c r="B228" s="259" t="s">
        <v>27</v>
      </c>
      <c r="C228" s="259" t="s">
        <v>1165</v>
      </c>
      <c r="D228" s="259" t="s">
        <v>1166</v>
      </c>
      <c r="E228" s="260">
        <v>1</v>
      </c>
      <c r="F228" s="259" t="s">
        <v>1295</v>
      </c>
      <c r="G228" s="259" t="s">
        <v>1296</v>
      </c>
      <c r="H228" s="261" t="s">
        <v>409</v>
      </c>
      <c r="I228" s="260">
        <v>27</v>
      </c>
      <c r="J228" s="259" t="s">
        <v>140</v>
      </c>
      <c r="K228" s="260">
        <v>10</v>
      </c>
      <c r="L228" s="260"/>
      <c r="M228" s="265" t="s">
        <v>1297</v>
      </c>
      <c r="N228" s="262"/>
      <c r="O228" s="260"/>
      <c r="P228" s="261"/>
      <c r="Q228" s="263"/>
      <c r="R228" s="259"/>
      <c r="S228" s="263" t="s">
        <v>1178</v>
      </c>
      <c r="T228" s="263" t="s">
        <v>1265</v>
      </c>
      <c r="U228" s="263" t="s">
        <v>1298</v>
      </c>
      <c r="V228" s="263" t="s">
        <v>1299</v>
      </c>
      <c r="W228" s="260"/>
      <c r="X228" s="263" t="s">
        <v>1170</v>
      </c>
      <c r="Y228" s="262" t="s">
        <v>1300</v>
      </c>
      <c r="Z228" s="262" t="s">
        <v>1301</v>
      </c>
      <c r="AA228" s="264" t="s">
        <v>776</v>
      </c>
      <c r="AC228" s="24"/>
    </row>
    <row r="229" spans="2:29" ht="120" customHeight="1" x14ac:dyDescent="0.25">
      <c r="B229" s="259" t="s">
        <v>27</v>
      </c>
      <c r="C229" s="259" t="s">
        <v>1165</v>
      </c>
      <c r="D229" s="259" t="s">
        <v>1166</v>
      </c>
      <c r="E229" s="260">
        <v>1</v>
      </c>
      <c r="F229" s="259" t="s">
        <v>1302</v>
      </c>
      <c r="G229" s="259" t="s">
        <v>1303</v>
      </c>
      <c r="H229" s="261" t="s">
        <v>262</v>
      </c>
      <c r="I229" s="260">
        <v>28</v>
      </c>
      <c r="J229" s="259" t="s">
        <v>140</v>
      </c>
      <c r="K229" s="260"/>
      <c r="L229" s="260">
        <v>6</v>
      </c>
      <c r="M229" s="262" t="s">
        <v>1304</v>
      </c>
      <c r="N229" s="262"/>
      <c r="O229" s="260"/>
      <c r="P229" s="261"/>
      <c r="Q229" s="263"/>
      <c r="R229" s="259"/>
      <c r="S229" s="263" t="s">
        <v>1178</v>
      </c>
      <c r="T229" s="263" t="s">
        <v>1265</v>
      </c>
      <c r="U229" s="263" t="s">
        <v>1305</v>
      </c>
      <c r="V229" s="263" t="s">
        <v>1306</v>
      </c>
      <c r="W229" s="260"/>
      <c r="X229" s="263" t="s">
        <v>1170</v>
      </c>
      <c r="Y229" s="262" t="s">
        <v>1293</v>
      </c>
      <c r="Z229" s="263" t="s">
        <v>1294</v>
      </c>
      <c r="AA229" s="264" t="s">
        <v>1307</v>
      </c>
      <c r="AC229" s="24"/>
    </row>
    <row r="230" spans="2:29" ht="120" customHeight="1" x14ac:dyDescent="0.25">
      <c r="B230" s="68" t="s">
        <v>27</v>
      </c>
      <c r="C230" s="68" t="s">
        <v>1165</v>
      </c>
      <c r="D230" s="68" t="s">
        <v>1166</v>
      </c>
      <c r="E230" s="256">
        <v>1</v>
      </c>
      <c r="F230" s="257" t="s">
        <v>1308</v>
      </c>
      <c r="G230" s="68" t="s">
        <v>1309</v>
      </c>
      <c r="H230" s="77" t="s">
        <v>409</v>
      </c>
      <c r="I230" s="80">
        <v>29</v>
      </c>
      <c r="J230" s="68" t="s">
        <v>140</v>
      </c>
      <c r="K230" s="80">
        <v>10</v>
      </c>
      <c r="L230" s="80"/>
      <c r="M230" s="75" t="s">
        <v>1290</v>
      </c>
      <c r="N230" s="75"/>
      <c r="O230" s="80"/>
      <c r="P230" s="77"/>
      <c r="Q230" s="69"/>
      <c r="R230" s="68"/>
      <c r="S230" s="69" t="s">
        <v>1167</v>
      </c>
      <c r="T230" s="69" t="s">
        <v>1168</v>
      </c>
      <c r="U230" s="69" t="s">
        <v>450</v>
      </c>
      <c r="V230" s="69" t="s">
        <v>1229</v>
      </c>
      <c r="W230" s="80"/>
      <c r="X230" s="69" t="s">
        <v>1170</v>
      </c>
      <c r="Y230" s="75" t="s">
        <v>1310</v>
      </c>
      <c r="Z230" s="75" t="s">
        <v>1311</v>
      </c>
      <c r="AA230" s="78" t="s">
        <v>1232</v>
      </c>
      <c r="AC230" s="24"/>
    </row>
    <row r="231" spans="2:29" ht="120" customHeight="1" x14ac:dyDescent="0.25">
      <c r="B231" s="68" t="s">
        <v>27</v>
      </c>
      <c r="C231" s="68" t="s">
        <v>1165</v>
      </c>
      <c r="D231" s="68" t="s">
        <v>1166</v>
      </c>
      <c r="E231" s="80">
        <v>1</v>
      </c>
      <c r="F231" s="68" t="s">
        <v>1312</v>
      </c>
      <c r="G231" s="68" t="s">
        <v>1313</v>
      </c>
      <c r="H231" s="77" t="s">
        <v>262</v>
      </c>
      <c r="I231" s="80">
        <v>30</v>
      </c>
      <c r="J231" s="68" t="s">
        <v>140</v>
      </c>
      <c r="K231" s="80"/>
      <c r="L231" s="80">
        <v>6</v>
      </c>
      <c r="M231" s="75" t="s">
        <v>1314</v>
      </c>
      <c r="N231" s="75"/>
      <c r="O231" s="80"/>
      <c r="P231" s="77"/>
      <c r="Q231" s="69"/>
      <c r="R231" s="68"/>
      <c r="S231" s="69" t="s">
        <v>1167</v>
      </c>
      <c r="T231" s="69" t="s">
        <v>1168</v>
      </c>
      <c r="U231" s="69" t="s">
        <v>450</v>
      </c>
      <c r="V231" s="69" t="s">
        <v>1229</v>
      </c>
      <c r="W231" s="80"/>
      <c r="X231" s="69" t="s">
        <v>1170</v>
      </c>
      <c r="Y231" s="75" t="s">
        <v>1310</v>
      </c>
      <c r="Z231" s="75" t="s">
        <v>1315</v>
      </c>
      <c r="AA231" s="78" t="s">
        <v>1232</v>
      </c>
      <c r="AC231" s="24"/>
    </row>
    <row r="232" spans="2:29" ht="120" customHeight="1" x14ac:dyDescent="0.25">
      <c r="B232" s="272" t="s">
        <v>27</v>
      </c>
      <c r="C232" s="272" t="s">
        <v>1165</v>
      </c>
      <c r="D232" s="272" t="s">
        <v>1166</v>
      </c>
      <c r="E232" s="273">
        <v>1</v>
      </c>
      <c r="F232" s="272" t="s">
        <v>407</v>
      </c>
      <c r="G232" s="272" t="s">
        <v>408</v>
      </c>
      <c r="H232" s="274" t="s">
        <v>409</v>
      </c>
      <c r="I232" s="273">
        <v>31</v>
      </c>
      <c r="J232" s="272" t="s">
        <v>140</v>
      </c>
      <c r="K232" s="273">
        <v>10</v>
      </c>
      <c r="L232" s="273"/>
      <c r="M232" s="275" t="s">
        <v>1316</v>
      </c>
      <c r="N232" s="275"/>
      <c r="O232" s="273"/>
      <c r="P232" s="274"/>
      <c r="Q232" s="276"/>
      <c r="R232" s="272"/>
      <c r="S232" s="276" t="s">
        <v>1178</v>
      </c>
      <c r="T232" s="276" t="s">
        <v>1265</v>
      </c>
      <c r="U232" s="276" t="s">
        <v>1298</v>
      </c>
      <c r="V232" s="276" t="s">
        <v>1317</v>
      </c>
      <c r="W232" s="273"/>
      <c r="X232" s="276" t="s">
        <v>1170</v>
      </c>
      <c r="Y232" s="275" t="s">
        <v>1318</v>
      </c>
      <c r="Z232" s="275" t="s">
        <v>1319</v>
      </c>
      <c r="AA232" s="277" t="s">
        <v>776</v>
      </c>
      <c r="AC232" s="24"/>
    </row>
    <row r="233" spans="2:29" ht="120" customHeight="1" x14ac:dyDescent="0.25">
      <c r="B233" s="272" t="s">
        <v>27</v>
      </c>
      <c r="C233" s="272" t="s">
        <v>1165</v>
      </c>
      <c r="D233" s="272" t="s">
        <v>1166</v>
      </c>
      <c r="E233" s="273">
        <v>1</v>
      </c>
      <c r="F233" s="272" t="s">
        <v>416</v>
      </c>
      <c r="G233" s="272" t="s">
        <v>417</v>
      </c>
      <c r="H233" s="274" t="s">
        <v>262</v>
      </c>
      <c r="I233" s="273">
        <v>32</v>
      </c>
      <c r="J233" s="272" t="s">
        <v>140</v>
      </c>
      <c r="K233" s="273"/>
      <c r="L233" s="273">
        <v>6</v>
      </c>
      <c r="M233" s="275" t="s">
        <v>1320</v>
      </c>
      <c r="N233" s="275"/>
      <c r="O233" s="273"/>
      <c r="P233" s="274"/>
      <c r="Q233" s="276"/>
      <c r="R233" s="272"/>
      <c r="S233" s="276" t="s">
        <v>1178</v>
      </c>
      <c r="T233" s="276" t="s">
        <v>1265</v>
      </c>
      <c r="U233" s="276" t="s">
        <v>1321</v>
      </c>
      <c r="V233" s="276" t="s">
        <v>1322</v>
      </c>
      <c r="W233" s="273"/>
      <c r="X233" s="276" t="s">
        <v>1170</v>
      </c>
      <c r="Y233" s="275" t="s">
        <v>1318</v>
      </c>
      <c r="Z233" s="275" t="s">
        <v>1323</v>
      </c>
      <c r="AA233" s="277" t="s">
        <v>776</v>
      </c>
      <c r="AC233" s="24"/>
    </row>
    <row r="234" spans="2:29" ht="120" customHeight="1" x14ac:dyDescent="0.25">
      <c r="B234" s="272" t="s">
        <v>27</v>
      </c>
      <c r="C234" s="272" t="s">
        <v>1165</v>
      </c>
      <c r="D234" s="272" t="s">
        <v>1166</v>
      </c>
      <c r="E234" s="273">
        <v>1</v>
      </c>
      <c r="F234" s="272" t="s">
        <v>1324</v>
      </c>
      <c r="G234" s="272" t="s">
        <v>1325</v>
      </c>
      <c r="H234" s="274" t="s">
        <v>262</v>
      </c>
      <c r="I234" s="273">
        <v>33</v>
      </c>
      <c r="J234" s="272" t="s">
        <v>140</v>
      </c>
      <c r="K234" s="273"/>
      <c r="L234" s="273"/>
      <c r="M234" s="275" t="s">
        <v>1326</v>
      </c>
      <c r="N234" s="275"/>
      <c r="O234" s="273"/>
      <c r="P234" s="274"/>
      <c r="Q234" s="278"/>
      <c r="R234" s="279"/>
      <c r="S234" s="276" t="s">
        <v>1178</v>
      </c>
      <c r="T234" s="276" t="s">
        <v>1265</v>
      </c>
      <c r="U234" s="276" t="s">
        <v>1327</v>
      </c>
      <c r="V234" s="278" t="s">
        <v>1328</v>
      </c>
      <c r="W234" s="280"/>
      <c r="X234" s="276" t="s">
        <v>1170</v>
      </c>
      <c r="Y234" s="275" t="s">
        <v>1293</v>
      </c>
      <c r="Z234" s="275" t="s">
        <v>1329</v>
      </c>
      <c r="AA234" s="277" t="s">
        <v>839</v>
      </c>
      <c r="AC234" s="24"/>
    </row>
    <row r="235" spans="2:29" ht="120" customHeight="1" x14ac:dyDescent="0.25">
      <c r="B235" s="52" t="s">
        <v>27</v>
      </c>
      <c r="C235" s="52" t="s">
        <v>1165</v>
      </c>
      <c r="D235" s="52" t="s">
        <v>1166</v>
      </c>
      <c r="E235" s="53">
        <v>1</v>
      </c>
      <c r="F235" s="52" t="s">
        <v>1330</v>
      </c>
      <c r="G235" s="52" t="s">
        <v>1331</v>
      </c>
      <c r="H235" s="55" t="s">
        <v>1332</v>
      </c>
      <c r="I235" s="53">
        <v>34</v>
      </c>
      <c r="J235" s="52" t="s">
        <v>140</v>
      </c>
      <c r="K235" s="53"/>
      <c r="L235" s="53"/>
      <c r="M235" s="54" t="s">
        <v>1333</v>
      </c>
      <c r="N235" s="54"/>
      <c r="O235" s="53"/>
      <c r="P235" s="54"/>
      <c r="Q235" s="54"/>
      <c r="R235" s="55"/>
      <c r="S235" s="56" t="s">
        <v>1167</v>
      </c>
      <c r="T235" s="56" t="s">
        <v>1168</v>
      </c>
      <c r="U235" s="56" t="s">
        <v>450</v>
      </c>
      <c r="V235" s="56" t="s">
        <v>1334</v>
      </c>
      <c r="W235" s="53"/>
      <c r="X235" s="56" t="s">
        <v>1189</v>
      </c>
      <c r="Y235" s="54" t="s">
        <v>257</v>
      </c>
      <c r="Z235" s="54" t="s">
        <v>257</v>
      </c>
      <c r="AA235" s="62" t="s">
        <v>1335</v>
      </c>
      <c r="AC235" s="24"/>
    </row>
    <row r="236" spans="2:29" ht="120" customHeight="1" x14ac:dyDescent="0.25">
      <c r="B236" s="52" t="s">
        <v>27</v>
      </c>
      <c r="C236" s="52" t="s">
        <v>1165</v>
      </c>
      <c r="D236" s="52" t="s">
        <v>1166</v>
      </c>
      <c r="E236" s="53">
        <v>1</v>
      </c>
      <c r="F236" s="52" t="s">
        <v>1336</v>
      </c>
      <c r="G236" s="52" t="s">
        <v>1337</v>
      </c>
      <c r="H236" s="55" t="s">
        <v>650</v>
      </c>
      <c r="I236" s="53">
        <v>35</v>
      </c>
      <c r="J236" s="52" t="s">
        <v>263</v>
      </c>
      <c r="K236" s="53">
        <v>23</v>
      </c>
      <c r="L236" s="53">
        <v>6</v>
      </c>
      <c r="M236" s="54" t="s">
        <v>1338</v>
      </c>
      <c r="N236" s="54" t="s">
        <v>1339</v>
      </c>
      <c r="O236" s="53"/>
      <c r="P236" s="52"/>
      <c r="Q236" s="56" t="s">
        <v>668</v>
      </c>
      <c r="R236" s="52" t="s">
        <v>1340</v>
      </c>
      <c r="S236" s="56" t="s">
        <v>1167</v>
      </c>
      <c r="T236" s="56" t="s">
        <v>1168</v>
      </c>
      <c r="U236" s="56" t="s">
        <v>1341</v>
      </c>
      <c r="V236" s="56" t="s">
        <v>1342</v>
      </c>
      <c r="W236" s="53"/>
      <c r="X236" s="56" t="s">
        <v>1189</v>
      </c>
      <c r="Y236" s="54" t="s">
        <v>1254</v>
      </c>
      <c r="Z236" s="54" t="s">
        <v>1343</v>
      </c>
      <c r="AA236" s="62" t="s">
        <v>1344</v>
      </c>
      <c r="AC236" s="24"/>
    </row>
    <row r="237" spans="2:29" ht="120" customHeight="1" x14ac:dyDescent="0.25">
      <c r="B237" s="52" t="s">
        <v>27</v>
      </c>
      <c r="C237" s="52" t="s">
        <v>1165</v>
      </c>
      <c r="D237" s="52" t="s">
        <v>1166</v>
      </c>
      <c r="E237" s="53">
        <v>1</v>
      </c>
      <c r="F237" s="52" t="s">
        <v>629</v>
      </c>
      <c r="G237" s="52" t="s">
        <v>1345</v>
      </c>
      <c r="H237" s="55" t="s">
        <v>631</v>
      </c>
      <c r="I237" s="53">
        <v>36</v>
      </c>
      <c r="J237" s="52" t="s">
        <v>140</v>
      </c>
      <c r="K237" s="53">
        <v>4</v>
      </c>
      <c r="L237" s="53"/>
      <c r="M237" s="54" t="s">
        <v>1346</v>
      </c>
      <c r="N237" s="54"/>
      <c r="O237" s="53"/>
      <c r="P237" s="54" t="s">
        <v>891</v>
      </c>
      <c r="Q237" s="54"/>
      <c r="R237" s="55"/>
      <c r="S237" s="56" t="s">
        <v>1167</v>
      </c>
      <c r="T237" s="56" t="s">
        <v>1168</v>
      </c>
      <c r="U237" s="56" t="s">
        <v>450</v>
      </c>
      <c r="V237" s="56" t="s">
        <v>1334</v>
      </c>
      <c r="W237" s="53"/>
      <c r="X237" s="56" t="s">
        <v>1189</v>
      </c>
      <c r="Y237" s="54" t="s">
        <v>1190</v>
      </c>
      <c r="Z237" s="54" t="s">
        <v>257</v>
      </c>
      <c r="AA237" s="62" t="s">
        <v>1335</v>
      </c>
      <c r="AC237" s="24"/>
    </row>
    <row r="238" spans="2:29" ht="120" customHeight="1" x14ac:dyDescent="0.25">
      <c r="B238" s="52" t="s">
        <v>27</v>
      </c>
      <c r="C238" s="52" t="s">
        <v>1165</v>
      </c>
      <c r="D238" s="52" t="s">
        <v>1166</v>
      </c>
      <c r="E238" s="53">
        <v>1</v>
      </c>
      <c r="F238" s="52" t="s">
        <v>664</v>
      </c>
      <c r="G238" s="52" t="s">
        <v>665</v>
      </c>
      <c r="H238" s="55" t="s">
        <v>650</v>
      </c>
      <c r="I238" s="53">
        <v>37</v>
      </c>
      <c r="J238" s="52" t="s">
        <v>263</v>
      </c>
      <c r="K238" s="53">
        <v>23</v>
      </c>
      <c r="L238" s="53">
        <v>6</v>
      </c>
      <c r="M238" s="54" t="s">
        <v>1347</v>
      </c>
      <c r="N238" s="54" t="s">
        <v>1339</v>
      </c>
      <c r="O238" s="53"/>
      <c r="P238" s="52"/>
      <c r="Q238" s="56" t="s">
        <v>668</v>
      </c>
      <c r="R238" s="52" t="s">
        <v>669</v>
      </c>
      <c r="S238" s="56" t="s">
        <v>1167</v>
      </c>
      <c r="T238" s="56" t="s">
        <v>1168</v>
      </c>
      <c r="U238" s="56" t="s">
        <v>1341</v>
      </c>
      <c r="V238" s="56" t="s">
        <v>1342</v>
      </c>
      <c r="W238" s="53"/>
      <c r="X238" s="56" t="s">
        <v>1189</v>
      </c>
      <c r="Y238" s="54" t="s">
        <v>1348</v>
      </c>
      <c r="Z238" s="54" t="s">
        <v>1343</v>
      </c>
      <c r="AA238" s="62" t="s">
        <v>1344</v>
      </c>
      <c r="AC238" s="24"/>
    </row>
    <row r="239" spans="2:29" ht="120" customHeight="1" x14ac:dyDescent="0.25">
      <c r="B239" s="52" t="s">
        <v>27</v>
      </c>
      <c r="C239" s="52" t="s">
        <v>1165</v>
      </c>
      <c r="D239" s="52" t="s">
        <v>1166</v>
      </c>
      <c r="E239" s="53">
        <v>1</v>
      </c>
      <c r="F239" s="52" t="s">
        <v>1349</v>
      </c>
      <c r="G239" s="52" t="s">
        <v>1350</v>
      </c>
      <c r="H239" s="55" t="s">
        <v>1351</v>
      </c>
      <c r="I239" s="53">
        <v>38</v>
      </c>
      <c r="J239" s="52" t="s">
        <v>140</v>
      </c>
      <c r="K239" s="53"/>
      <c r="L239" s="53"/>
      <c r="M239" s="54" t="s">
        <v>1352</v>
      </c>
      <c r="N239" s="54"/>
      <c r="O239" s="53"/>
      <c r="P239" s="55"/>
      <c r="Q239" s="65"/>
      <c r="R239" s="63"/>
      <c r="S239" s="63"/>
      <c r="T239" s="63"/>
      <c r="U239" s="63"/>
      <c r="V239" s="63"/>
      <c r="W239" s="73"/>
      <c r="X239" s="56" t="s">
        <v>1170</v>
      </c>
      <c r="Y239" s="54" t="s">
        <v>257</v>
      </c>
      <c r="Z239" s="54" t="s">
        <v>257</v>
      </c>
      <c r="AA239" s="62" t="s">
        <v>1353</v>
      </c>
      <c r="AC239" s="24"/>
    </row>
    <row r="240" spans="2:29" ht="120" customHeight="1" x14ac:dyDescent="0.25">
      <c r="B240" s="52" t="s">
        <v>27</v>
      </c>
      <c r="C240" s="52" t="s">
        <v>1165</v>
      </c>
      <c r="D240" s="52" t="s">
        <v>1166</v>
      </c>
      <c r="E240" s="53">
        <v>1</v>
      </c>
      <c r="F240" s="52" t="s">
        <v>301</v>
      </c>
      <c r="G240" s="52" t="s">
        <v>302</v>
      </c>
      <c r="H240" s="55" t="s">
        <v>303</v>
      </c>
      <c r="I240" s="53">
        <v>39</v>
      </c>
      <c r="J240" s="52" t="s">
        <v>140</v>
      </c>
      <c r="K240" s="53">
        <v>3</v>
      </c>
      <c r="L240" s="53"/>
      <c r="M240" s="54" t="s">
        <v>304</v>
      </c>
      <c r="N240" s="54" t="s">
        <v>305</v>
      </c>
      <c r="O240" s="53"/>
      <c r="P240" s="54" t="s">
        <v>1354</v>
      </c>
      <c r="Q240" s="56" t="s">
        <v>307</v>
      </c>
      <c r="R240" s="55" t="s">
        <v>308</v>
      </c>
      <c r="S240" s="52"/>
      <c r="T240" s="52"/>
      <c r="U240" s="52"/>
      <c r="V240" s="52"/>
      <c r="W240" s="53"/>
      <c r="X240" s="56" t="s">
        <v>1170</v>
      </c>
      <c r="Y240" s="54" t="s">
        <v>1355</v>
      </c>
      <c r="Z240" s="54" t="s">
        <v>1356</v>
      </c>
      <c r="AA240" s="62" t="s">
        <v>257</v>
      </c>
      <c r="AC240" s="24"/>
    </row>
    <row r="241" spans="2:29" ht="120" customHeight="1" x14ac:dyDescent="0.25">
      <c r="B241" s="52" t="s">
        <v>27</v>
      </c>
      <c r="C241" s="52" t="s">
        <v>1165</v>
      </c>
      <c r="D241" s="52" t="s">
        <v>1166</v>
      </c>
      <c r="E241" s="53">
        <v>1</v>
      </c>
      <c r="F241" s="52" t="s">
        <v>311</v>
      </c>
      <c r="G241" s="52" t="s">
        <v>312</v>
      </c>
      <c r="H241" s="55" t="s">
        <v>303</v>
      </c>
      <c r="I241" s="53">
        <v>40</v>
      </c>
      <c r="J241" s="52" t="s">
        <v>140</v>
      </c>
      <c r="K241" s="53">
        <v>3</v>
      </c>
      <c r="L241" s="53"/>
      <c r="M241" s="54" t="s">
        <v>313</v>
      </c>
      <c r="N241" s="54" t="s">
        <v>314</v>
      </c>
      <c r="O241" s="53"/>
      <c r="P241" s="54" t="s">
        <v>1357</v>
      </c>
      <c r="Q241" s="56" t="s">
        <v>219</v>
      </c>
      <c r="R241" s="52" t="s">
        <v>316</v>
      </c>
      <c r="S241" s="52"/>
      <c r="T241" s="52"/>
      <c r="U241" s="52"/>
      <c r="V241" s="52"/>
      <c r="W241" s="53"/>
      <c r="X241" s="56" t="s">
        <v>1358</v>
      </c>
      <c r="Y241" s="67" t="s">
        <v>1359</v>
      </c>
      <c r="Z241" s="67" t="s">
        <v>1360</v>
      </c>
      <c r="AA241" s="62" t="s">
        <v>1361</v>
      </c>
      <c r="AC241" s="24"/>
    </row>
    <row r="242" spans="2:29" ht="120" customHeight="1" x14ac:dyDescent="0.25">
      <c r="B242" s="52" t="s">
        <v>27</v>
      </c>
      <c r="C242" s="52" t="s">
        <v>1165</v>
      </c>
      <c r="D242" s="52" t="s">
        <v>1166</v>
      </c>
      <c r="E242" s="53">
        <v>1</v>
      </c>
      <c r="F242" s="52" t="s">
        <v>322</v>
      </c>
      <c r="G242" s="52" t="s">
        <v>323</v>
      </c>
      <c r="H242" s="52" t="s">
        <v>324</v>
      </c>
      <c r="I242" s="53">
        <v>41</v>
      </c>
      <c r="J242" s="52" t="s">
        <v>140</v>
      </c>
      <c r="K242" s="53">
        <v>2</v>
      </c>
      <c r="L242" s="53"/>
      <c r="M242" s="54" t="s">
        <v>325</v>
      </c>
      <c r="N242" s="54"/>
      <c r="O242" s="53"/>
      <c r="P242" s="54" t="s">
        <v>1362</v>
      </c>
      <c r="Q242" s="56"/>
      <c r="R242" s="52"/>
      <c r="S242" s="52"/>
      <c r="T242" s="52"/>
      <c r="U242" s="52"/>
      <c r="V242" s="52"/>
      <c r="W242" s="53"/>
      <c r="X242" s="56" t="s">
        <v>1189</v>
      </c>
      <c r="Y242" s="56" t="s">
        <v>257</v>
      </c>
      <c r="Z242" s="56" t="s">
        <v>257</v>
      </c>
      <c r="AA242" s="62" t="s">
        <v>1363</v>
      </c>
      <c r="AC242" s="24"/>
    </row>
    <row r="243" spans="2:29" ht="120" customHeight="1" x14ac:dyDescent="0.25">
      <c r="B243" s="52" t="s">
        <v>27</v>
      </c>
      <c r="C243" s="52" t="s">
        <v>1165</v>
      </c>
      <c r="D243" s="52" t="s">
        <v>1166</v>
      </c>
      <c r="E243" s="53">
        <v>1</v>
      </c>
      <c r="F243" s="52" t="s">
        <v>329</v>
      </c>
      <c r="G243" s="52" t="s">
        <v>330</v>
      </c>
      <c r="H243" s="52" t="s">
        <v>331</v>
      </c>
      <c r="I243" s="53">
        <v>42</v>
      </c>
      <c r="J243" s="52" t="s">
        <v>140</v>
      </c>
      <c r="K243" s="53">
        <v>10</v>
      </c>
      <c r="L243" s="53"/>
      <c r="M243" s="54" t="s">
        <v>332</v>
      </c>
      <c r="N243" s="54" t="s">
        <v>333</v>
      </c>
      <c r="O243" s="53" t="s">
        <v>142</v>
      </c>
      <c r="P243" s="55"/>
      <c r="Q243" s="56" t="s">
        <v>284</v>
      </c>
      <c r="R243" s="52" t="s">
        <v>685</v>
      </c>
      <c r="S243" s="52"/>
      <c r="T243" s="52"/>
      <c r="U243" s="52"/>
      <c r="V243" s="52"/>
      <c r="W243" s="53"/>
      <c r="X243" s="56" t="s">
        <v>257</v>
      </c>
      <c r="Y243" s="56" t="s">
        <v>257</v>
      </c>
      <c r="Z243" s="56" t="s">
        <v>257</v>
      </c>
      <c r="AA243" s="62" t="s">
        <v>257</v>
      </c>
      <c r="AC243" s="24"/>
    </row>
    <row r="244" spans="2:29" ht="120" customHeight="1" x14ac:dyDescent="0.25">
      <c r="B244" s="52" t="s">
        <v>27</v>
      </c>
      <c r="C244" s="52" t="s">
        <v>1165</v>
      </c>
      <c r="D244" s="52" t="s">
        <v>1166</v>
      </c>
      <c r="E244" s="53">
        <v>1</v>
      </c>
      <c r="F244" s="52" t="s">
        <v>336</v>
      </c>
      <c r="G244" s="52" t="s">
        <v>337</v>
      </c>
      <c r="H244" s="52" t="s">
        <v>338</v>
      </c>
      <c r="I244" s="53">
        <v>43</v>
      </c>
      <c r="J244" s="52" t="s">
        <v>339</v>
      </c>
      <c r="K244" s="53">
        <v>23</v>
      </c>
      <c r="L244" s="53"/>
      <c r="M244" s="54" t="s">
        <v>340</v>
      </c>
      <c r="N244" s="54"/>
      <c r="O244" s="53"/>
      <c r="P244" s="55"/>
      <c r="Q244" s="56"/>
      <c r="R244" s="52"/>
      <c r="S244" s="52"/>
      <c r="T244" s="52"/>
      <c r="U244" s="52"/>
      <c r="V244" s="52"/>
      <c r="W244" s="53"/>
      <c r="X244" s="56" t="s">
        <v>257</v>
      </c>
      <c r="Y244" s="56" t="s">
        <v>257</v>
      </c>
      <c r="Z244" s="56" t="s">
        <v>257</v>
      </c>
      <c r="AA244" s="62" t="s">
        <v>257</v>
      </c>
      <c r="AC244" s="24"/>
    </row>
    <row r="245" spans="2:29" ht="120" customHeight="1" x14ac:dyDescent="0.25">
      <c r="B245" s="52" t="s">
        <v>38</v>
      </c>
      <c r="C245" s="52" t="s">
        <v>1364</v>
      </c>
      <c r="D245" s="52" t="s">
        <v>1365</v>
      </c>
      <c r="E245" s="53">
        <v>1</v>
      </c>
      <c r="F245" s="52" t="s">
        <v>137</v>
      </c>
      <c r="G245" s="52" t="s">
        <v>138</v>
      </c>
      <c r="H245" s="52" t="s">
        <v>139</v>
      </c>
      <c r="I245" s="53">
        <v>1</v>
      </c>
      <c r="J245" s="52" t="s">
        <v>140</v>
      </c>
      <c r="K245" s="53">
        <v>4</v>
      </c>
      <c r="L245" s="53"/>
      <c r="M245" s="54" t="s">
        <v>141</v>
      </c>
      <c r="N245" s="54"/>
      <c r="O245" s="53" t="s">
        <v>142</v>
      </c>
      <c r="P245" s="55"/>
      <c r="Q245" s="56" t="s">
        <v>1366</v>
      </c>
      <c r="R245" s="56" t="s">
        <v>1367</v>
      </c>
      <c r="S245" s="56" t="s">
        <v>1368</v>
      </c>
      <c r="T245" s="56" t="s">
        <v>1369</v>
      </c>
      <c r="U245" s="56" t="s">
        <v>517</v>
      </c>
      <c r="V245" s="56" t="s">
        <v>1370</v>
      </c>
      <c r="W245" s="53"/>
      <c r="X245" s="56" t="s">
        <v>404</v>
      </c>
      <c r="Y245" s="54" t="s">
        <v>351</v>
      </c>
      <c r="Z245" s="54" t="s">
        <v>351</v>
      </c>
      <c r="AA245" s="62" t="s">
        <v>353</v>
      </c>
      <c r="AC245" s="24"/>
    </row>
    <row r="246" spans="2:29" ht="120" customHeight="1" x14ac:dyDescent="0.25">
      <c r="B246" s="52" t="s">
        <v>38</v>
      </c>
      <c r="C246" s="52" t="s">
        <v>1364</v>
      </c>
      <c r="D246" s="52" t="s">
        <v>1365</v>
      </c>
      <c r="E246" s="53">
        <v>1</v>
      </c>
      <c r="F246" s="52" t="s">
        <v>152</v>
      </c>
      <c r="G246" s="52" t="s">
        <v>153</v>
      </c>
      <c r="H246" s="52" t="s">
        <v>139</v>
      </c>
      <c r="I246" s="53">
        <v>2</v>
      </c>
      <c r="J246" s="52" t="s">
        <v>140</v>
      </c>
      <c r="K246" s="53">
        <v>30</v>
      </c>
      <c r="L246" s="53"/>
      <c r="M246" s="54" t="s">
        <v>154</v>
      </c>
      <c r="N246" s="54" t="s">
        <v>155</v>
      </c>
      <c r="O246" s="53" t="s">
        <v>142</v>
      </c>
      <c r="P246" s="52"/>
      <c r="Q246" s="56" t="s">
        <v>1366</v>
      </c>
      <c r="R246" s="56" t="s">
        <v>1367</v>
      </c>
      <c r="S246" s="56" t="s">
        <v>1371</v>
      </c>
      <c r="T246" s="56" t="s">
        <v>1372</v>
      </c>
      <c r="U246" s="56" t="s">
        <v>1373</v>
      </c>
      <c r="V246" s="56" t="s">
        <v>1374</v>
      </c>
      <c r="W246" s="53"/>
      <c r="X246" s="56" t="s">
        <v>404</v>
      </c>
      <c r="Y246" s="54" t="s">
        <v>1375</v>
      </c>
      <c r="Z246" s="54" t="s">
        <v>1376</v>
      </c>
      <c r="AA246" s="62" t="s">
        <v>351</v>
      </c>
      <c r="AC246" s="24"/>
    </row>
    <row r="247" spans="2:29" ht="120" customHeight="1" x14ac:dyDescent="0.25">
      <c r="B247" s="52" t="s">
        <v>38</v>
      </c>
      <c r="C247" s="52" t="s">
        <v>1364</v>
      </c>
      <c r="D247" s="52" t="s">
        <v>1365</v>
      </c>
      <c r="E247" s="53">
        <v>1</v>
      </c>
      <c r="F247" s="52" t="s">
        <v>164</v>
      </c>
      <c r="G247" s="52" t="s">
        <v>165</v>
      </c>
      <c r="H247" s="55" t="s">
        <v>166</v>
      </c>
      <c r="I247" s="53">
        <v>3</v>
      </c>
      <c r="J247" s="52" t="s">
        <v>140</v>
      </c>
      <c r="K247" s="53">
        <v>20</v>
      </c>
      <c r="L247" s="53"/>
      <c r="M247" s="54" t="s">
        <v>167</v>
      </c>
      <c r="N247" s="54" t="s">
        <v>168</v>
      </c>
      <c r="O247" s="53"/>
      <c r="P247" s="54" t="s">
        <v>526</v>
      </c>
      <c r="Q247" s="56"/>
      <c r="R247" s="52"/>
      <c r="S247" s="56" t="s">
        <v>1368</v>
      </c>
      <c r="T247" s="56" t="s">
        <v>1369</v>
      </c>
      <c r="U247" s="56" t="s">
        <v>517</v>
      </c>
      <c r="V247" s="56" t="s">
        <v>1377</v>
      </c>
      <c r="W247" s="53"/>
      <c r="X247" s="56" t="s">
        <v>1378</v>
      </c>
      <c r="Y247" s="54" t="s">
        <v>1375</v>
      </c>
      <c r="Z247" s="56" t="s">
        <v>1379</v>
      </c>
      <c r="AA247" s="62" t="s">
        <v>351</v>
      </c>
      <c r="AC247" s="24"/>
    </row>
    <row r="248" spans="2:29" ht="120" customHeight="1" x14ac:dyDescent="0.25">
      <c r="B248" s="52" t="s">
        <v>38</v>
      </c>
      <c r="C248" s="52" t="s">
        <v>1364</v>
      </c>
      <c r="D248" s="52" t="s">
        <v>1365</v>
      </c>
      <c r="E248" s="53">
        <v>1</v>
      </c>
      <c r="F248" s="52" t="s">
        <v>172</v>
      </c>
      <c r="G248" s="52" t="s">
        <v>173</v>
      </c>
      <c r="H248" s="55" t="s">
        <v>166</v>
      </c>
      <c r="I248" s="53">
        <v>4</v>
      </c>
      <c r="J248" s="52" t="s">
        <v>140</v>
      </c>
      <c r="K248" s="53">
        <v>20</v>
      </c>
      <c r="L248" s="53"/>
      <c r="M248" s="54" t="s">
        <v>174</v>
      </c>
      <c r="N248" s="54" t="s">
        <v>175</v>
      </c>
      <c r="O248" s="53"/>
      <c r="P248" s="56" t="s">
        <v>1380</v>
      </c>
      <c r="Q248" s="56" t="s">
        <v>177</v>
      </c>
      <c r="R248" s="56" t="s">
        <v>178</v>
      </c>
      <c r="S248" s="56" t="s">
        <v>1371</v>
      </c>
      <c r="T248" s="56" t="s">
        <v>1372</v>
      </c>
      <c r="U248" s="56" t="s">
        <v>1381</v>
      </c>
      <c r="V248" s="56" t="s">
        <v>1382</v>
      </c>
      <c r="W248" s="53"/>
      <c r="X248" s="56" t="s">
        <v>404</v>
      </c>
      <c r="Y248" s="54" t="s">
        <v>1375</v>
      </c>
      <c r="Z248" s="54" t="s">
        <v>534</v>
      </c>
      <c r="AA248" s="62" t="s">
        <v>351</v>
      </c>
      <c r="AC248" s="24"/>
    </row>
    <row r="249" spans="2:29" ht="120" customHeight="1" x14ac:dyDescent="0.25">
      <c r="B249" s="52" t="s">
        <v>38</v>
      </c>
      <c r="C249" s="52" t="s">
        <v>1364</v>
      </c>
      <c r="D249" s="52" t="s">
        <v>1365</v>
      </c>
      <c r="E249" s="53">
        <v>1</v>
      </c>
      <c r="F249" s="52" t="s">
        <v>184</v>
      </c>
      <c r="G249" s="52" t="s">
        <v>185</v>
      </c>
      <c r="H249" s="55" t="s">
        <v>166</v>
      </c>
      <c r="I249" s="53">
        <v>5</v>
      </c>
      <c r="J249" s="52" t="s">
        <v>140</v>
      </c>
      <c r="K249" s="53">
        <v>20</v>
      </c>
      <c r="L249" s="53"/>
      <c r="M249" s="54" t="s">
        <v>186</v>
      </c>
      <c r="N249" s="54" t="s">
        <v>187</v>
      </c>
      <c r="O249" s="53"/>
      <c r="P249" s="56" t="s">
        <v>1383</v>
      </c>
      <c r="Q249" s="56" t="s">
        <v>177</v>
      </c>
      <c r="R249" s="56" t="s">
        <v>189</v>
      </c>
      <c r="S249" s="56" t="s">
        <v>1371</v>
      </c>
      <c r="T249" s="56" t="s">
        <v>1372</v>
      </c>
      <c r="U249" s="56" t="s">
        <v>1384</v>
      </c>
      <c r="V249" s="56" t="s">
        <v>1385</v>
      </c>
      <c r="W249" s="53"/>
      <c r="X249" s="56" t="s">
        <v>404</v>
      </c>
      <c r="Y249" s="54" t="s">
        <v>1375</v>
      </c>
      <c r="Z249" s="54" t="s">
        <v>538</v>
      </c>
      <c r="AA249" s="62" t="s">
        <v>351</v>
      </c>
      <c r="AC249" s="24"/>
    </row>
    <row r="250" spans="2:29" ht="120" customHeight="1" x14ac:dyDescent="0.25">
      <c r="B250" s="52" t="s">
        <v>38</v>
      </c>
      <c r="C250" s="52" t="s">
        <v>1364</v>
      </c>
      <c r="D250" s="52" t="s">
        <v>1365</v>
      </c>
      <c r="E250" s="53">
        <v>1</v>
      </c>
      <c r="F250" s="52" t="s">
        <v>214</v>
      </c>
      <c r="G250" s="52" t="s">
        <v>215</v>
      </c>
      <c r="H250" s="55" t="s">
        <v>216</v>
      </c>
      <c r="I250" s="53">
        <v>6</v>
      </c>
      <c r="J250" s="52" t="s">
        <v>140</v>
      </c>
      <c r="K250" s="53">
        <v>10</v>
      </c>
      <c r="L250" s="53"/>
      <c r="M250" s="54" t="s">
        <v>217</v>
      </c>
      <c r="N250" s="54" t="s">
        <v>218</v>
      </c>
      <c r="O250" s="53"/>
      <c r="P250" s="52"/>
      <c r="Q250" s="56" t="s">
        <v>219</v>
      </c>
      <c r="R250" s="52" t="s">
        <v>214</v>
      </c>
      <c r="S250" s="56" t="s">
        <v>1371</v>
      </c>
      <c r="T250" s="56" t="s">
        <v>1372</v>
      </c>
      <c r="U250" s="56" t="s">
        <v>1386</v>
      </c>
      <c r="V250" s="56" t="s">
        <v>1387</v>
      </c>
      <c r="W250" s="53"/>
      <c r="X250" s="56" t="s">
        <v>404</v>
      </c>
      <c r="Y250" s="54" t="s">
        <v>1375</v>
      </c>
      <c r="Z250" s="54" t="s">
        <v>708</v>
      </c>
      <c r="AA250" s="62" t="s">
        <v>351</v>
      </c>
      <c r="AC250" s="24"/>
    </row>
    <row r="251" spans="2:29" ht="120" customHeight="1" x14ac:dyDescent="0.25">
      <c r="B251" s="52" t="s">
        <v>38</v>
      </c>
      <c r="C251" s="52" t="s">
        <v>1364</v>
      </c>
      <c r="D251" s="52" t="s">
        <v>1365</v>
      </c>
      <c r="E251" s="53">
        <v>1</v>
      </c>
      <c r="F251" s="52" t="s">
        <v>226</v>
      </c>
      <c r="G251" s="52" t="s">
        <v>227</v>
      </c>
      <c r="H251" s="55" t="s">
        <v>216</v>
      </c>
      <c r="I251" s="53">
        <v>7</v>
      </c>
      <c r="J251" s="52" t="s">
        <v>140</v>
      </c>
      <c r="K251" s="53">
        <v>10</v>
      </c>
      <c r="L251" s="53"/>
      <c r="M251" s="54" t="s">
        <v>710</v>
      </c>
      <c r="N251" s="54"/>
      <c r="O251" s="53"/>
      <c r="P251" s="55"/>
      <c r="Q251" s="56"/>
      <c r="R251" s="52"/>
      <c r="S251" s="56" t="s">
        <v>1371</v>
      </c>
      <c r="T251" s="56" t="s">
        <v>1372</v>
      </c>
      <c r="U251" s="56" t="s">
        <v>450</v>
      </c>
      <c r="V251" s="56" t="s">
        <v>1388</v>
      </c>
      <c r="W251" s="53"/>
      <c r="X251" s="56" t="s">
        <v>1378</v>
      </c>
      <c r="Y251" s="54" t="s">
        <v>351</v>
      </c>
      <c r="Z251" s="54" t="s">
        <v>351</v>
      </c>
      <c r="AA251" s="89" t="s">
        <v>712</v>
      </c>
      <c r="AC251" s="24"/>
    </row>
    <row r="252" spans="2:29" ht="120" customHeight="1" x14ac:dyDescent="0.25">
      <c r="B252" s="52" t="s">
        <v>38</v>
      </c>
      <c r="C252" s="52" t="s">
        <v>1364</v>
      </c>
      <c r="D252" s="52" t="s">
        <v>1365</v>
      </c>
      <c r="E252" s="53">
        <v>1</v>
      </c>
      <c r="F252" s="52" t="s">
        <v>238</v>
      </c>
      <c r="G252" s="52" t="s">
        <v>239</v>
      </c>
      <c r="H252" s="55" t="s">
        <v>240</v>
      </c>
      <c r="I252" s="53">
        <v>8</v>
      </c>
      <c r="J252" s="52" t="s">
        <v>140</v>
      </c>
      <c r="K252" s="53">
        <v>3</v>
      </c>
      <c r="L252" s="53"/>
      <c r="M252" s="54" t="s">
        <v>241</v>
      </c>
      <c r="N252" s="54"/>
      <c r="O252" s="53"/>
      <c r="P252" s="56" t="s">
        <v>397</v>
      </c>
      <c r="Q252" s="56" t="s">
        <v>1389</v>
      </c>
      <c r="R252" s="56" t="s">
        <v>787</v>
      </c>
      <c r="S252" s="56" t="s">
        <v>1371</v>
      </c>
      <c r="T252" s="56" t="s">
        <v>1372</v>
      </c>
      <c r="U252" s="56" t="s">
        <v>1390</v>
      </c>
      <c r="V252" s="183" t="s">
        <v>1391</v>
      </c>
      <c r="W252" s="55"/>
      <c r="X252" s="56" t="s">
        <v>1378</v>
      </c>
      <c r="Y252" s="54" t="s">
        <v>1375</v>
      </c>
      <c r="Z252" s="54" t="s">
        <v>406</v>
      </c>
      <c r="AA252" s="62" t="s">
        <v>351</v>
      </c>
      <c r="AC252" s="24"/>
    </row>
    <row r="253" spans="2:29" ht="120" customHeight="1" x14ac:dyDescent="0.25">
      <c r="B253" s="52" t="s">
        <v>38</v>
      </c>
      <c r="C253" s="52" t="s">
        <v>1364</v>
      </c>
      <c r="D253" s="52" t="s">
        <v>1365</v>
      </c>
      <c r="E253" s="53">
        <v>1</v>
      </c>
      <c r="F253" s="52" t="s">
        <v>253</v>
      </c>
      <c r="G253" s="52" t="s">
        <v>254</v>
      </c>
      <c r="H253" s="55" t="s">
        <v>255</v>
      </c>
      <c r="I253" s="53">
        <v>9</v>
      </c>
      <c r="J253" s="52" t="s">
        <v>140</v>
      </c>
      <c r="K253" s="53">
        <v>4</v>
      </c>
      <c r="L253" s="53"/>
      <c r="M253" s="54" t="s">
        <v>256</v>
      </c>
      <c r="N253" s="54"/>
      <c r="O253" s="53"/>
      <c r="P253" s="55"/>
      <c r="Q253" s="65"/>
      <c r="R253" s="63"/>
      <c r="S253" s="56" t="s">
        <v>1371</v>
      </c>
      <c r="T253" s="56" t="s">
        <v>1372</v>
      </c>
      <c r="U253" s="54" t="s">
        <v>450</v>
      </c>
      <c r="V253" s="96" t="s">
        <v>1392</v>
      </c>
      <c r="W253" s="73"/>
      <c r="X253" s="56" t="s">
        <v>1393</v>
      </c>
      <c r="Y253" s="54" t="s">
        <v>542</v>
      </c>
      <c r="Z253" s="54" t="s">
        <v>542</v>
      </c>
      <c r="AA253" s="62" t="s">
        <v>570</v>
      </c>
      <c r="AC253" s="24"/>
    </row>
    <row r="254" spans="2:29" ht="120" customHeight="1" x14ac:dyDescent="0.25">
      <c r="B254" s="52" t="s">
        <v>38</v>
      </c>
      <c r="C254" s="52" t="s">
        <v>1364</v>
      </c>
      <c r="D254" s="52" t="s">
        <v>1365</v>
      </c>
      <c r="E254" s="53">
        <v>1</v>
      </c>
      <c r="F254" s="52" t="s">
        <v>1394</v>
      </c>
      <c r="G254" s="52" t="s">
        <v>1395</v>
      </c>
      <c r="H254" s="55" t="s">
        <v>262</v>
      </c>
      <c r="I254" s="53">
        <v>10</v>
      </c>
      <c r="J254" s="52" t="s">
        <v>263</v>
      </c>
      <c r="K254" s="53">
        <v>23</v>
      </c>
      <c r="L254" s="53">
        <v>6</v>
      </c>
      <c r="M254" s="54" t="s">
        <v>1396</v>
      </c>
      <c r="N254" s="54"/>
      <c r="O254" s="53"/>
      <c r="P254" s="55"/>
      <c r="Q254" s="54"/>
      <c r="R254" s="55"/>
      <c r="S254" s="56" t="s">
        <v>1371</v>
      </c>
      <c r="T254" s="56" t="s">
        <v>1372</v>
      </c>
      <c r="U254" s="65" t="s">
        <v>1397</v>
      </c>
      <c r="V254" s="65" t="s">
        <v>1398</v>
      </c>
      <c r="W254" s="53"/>
      <c r="X254" s="56" t="s">
        <v>1378</v>
      </c>
      <c r="Y254" s="54" t="s">
        <v>1375</v>
      </c>
      <c r="Z254" s="54" t="s">
        <v>715</v>
      </c>
      <c r="AA254" s="62" t="s">
        <v>351</v>
      </c>
      <c r="AC254" s="24"/>
    </row>
    <row r="255" spans="2:29" ht="120" customHeight="1" x14ac:dyDescent="0.25">
      <c r="B255" s="52" t="s">
        <v>38</v>
      </c>
      <c r="C255" s="52" t="s">
        <v>1364</v>
      </c>
      <c r="D255" s="52" t="s">
        <v>1365</v>
      </c>
      <c r="E255" s="53">
        <v>1</v>
      </c>
      <c r="F255" s="52" t="s">
        <v>1399</v>
      </c>
      <c r="G255" s="52" t="s">
        <v>1400</v>
      </c>
      <c r="H255" s="55" t="s">
        <v>262</v>
      </c>
      <c r="I255" s="53">
        <v>11</v>
      </c>
      <c r="J255" s="52" t="s">
        <v>263</v>
      </c>
      <c r="K255" s="53">
        <v>23</v>
      </c>
      <c r="L255" s="53">
        <v>6</v>
      </c>
      <c r="M255" s="54" t="s">
        <v>1401</v>
      </c>
      <c r="N255" s="54"/>
      <c r="O255" s="53"/>
      <c r="P255" s="52"/>
      <c r="Q255" s="54"/>
      <c r="R255" s="55"/>
      <c r="S255" s="56" t="s">
        <v>1371</v>
      </c>
      <c r="T255" s="56" t="s">
        <v>1372</v>
      </c>
      <c r="U255" s="67" t="s">
        <v>1402</v>
      </c>
      <c r="V255" s="65" t="s">
        <v>1403</v>
      </c>
      <c r="W255" s="53"/>
      <c r="X255" s="56" t="s">
        <v>1378</v>
      </c>
      <c r="Y255" s="54" t="s">
        <v>1375</v>
      </c>
      <c r="Z255" s="52" t="s">
        <v>1404</v>
      </c>
      <c r="AA255" s="62" t="s">
        <v>351</v>
      </c>
      <c r="AC255" s="24"/>
    </row>
    <row r="256" spans="2:29" ht="120" customHeight="1" x14ac:dyDescent="0.25">
      <c r="B256" s="52" t="s">
        <v>38</v>
      </c>
      <c r="C256" s="52" t="s">
        <v>1364</v>
      </c>
      <c r="D256" s="52" t="s">
        <v>1365</v>
      </c>
      <c r="E256" s="53">
        <v>1</v>
      </c>
      <c r="F256" s="52" t="s">
        <v>1405</v>
      </c>
      <c r="G256" s="52" t="s">
        <v>1406</v>
      </c>
      <c r="H256" s="55" t="s">
        <v>262</v>
      </c>
      <c r="I256" s="53">
        <v>12</v>
      </c>
      <c r="J256" s="52" t="s">
        <v>263</v>
      </c>
      <c r="K256" s="53">
        <v>23</v>
      </c>
      <c r="L256" s="53">
        <v>6</v>
      </c>
      <c r="M256" s="54" t="s">
        <v>1407</v>
      </c>
      <c r="N256" s="54"/>
      <c r="O256" s="53"/>
      <c r="P256" s="55"/>
      <c r="Q256" s="54" t="s">
        <v>284</v>
      </c>
      <c r="R256" s="55" t="s">
        <v>285</v>
      </c>
      <c r="S256" s="56" t="s">
        <v>1371</v>
      </c>
      <c r="T256" s="56" t="s">
        <v>1372</v>
      </c>
      <c r="U256" s="65" t="s">
        <v>1408</v>
      </c>
      <c r="V256" s="65" t="s">
        <v>1409</v>
      </c>
      <c r="W256" s="53"/>
      <c r="X256" s="56" t="s">
        <v>1378</v>
      </c>
      <c r="Y256" s="54" t="s">
        <v>1375</v>
      </c>
      <c r="Z256" s="54" t="s">
        <v>1410</v>
      </c>
      <c r="AA256" s="62" t="s">
        <v>351</v>
      </c>
      <c r="AC256" s="24"/>
    </row>
    <row r="257" spans="2:29" ht="120" customHeight="1" x14ac:dyDescent="0.25">
      <c r="B257" s="52" t="s">
        <v>38</v>
      </c>
      <c r="C257" s="52" t="s">
        <v>1364</v>
      </c>
      <c r="D257" s="52" t="s">
        <v>1365</v>
      </c>
      <c r="E257" s="53">
        <v>1</v>
      </c>
      <c r="F257" s="52" t="s">
        <v>1411</v>
      </c>
      <c r="G257" s="52" t="s">
        <v>1412</v>
      </c>
      <c r="H257" s="55" t="s">
        <v>1413</v>
      </c>
      <c r="I257" s="53">
        <v>13</v>
      </c>
      <c r="J257" s="52" t="s">
        <v>263</v>
      </c>
      <c r="K257" s="53">
        <v>23</v>
      </c>
      <c r="L257" s="53">
        <v>6</v>
      </c>
      <c r="M257" s="54" t="s">
        <v>1414</v>
      </c>
      <c r="N257" s="54" t="s">
        <v>1415</v>
      </c>
      <c r="O257" s="53"/>
      <c r="P257" s="52"/>
      <c r="Q257" s="56" t="s">
        <v>1416</v>
      </c>
      <c r="R257" s="56" t="s">
        <v>1417</v>
      </c>
      <c r="S257" s="56" t="s">
        <v>1371</v>
      </c>
      <c r="T257" s="56" t="s">
        <v>1372</v>
      </c>
      <c r="U257" s="56" t="s">
        <v>1418</v>
      </c>
      <c r="V257" s="56" t="s">
        <v>1419</v>
      </c>
      <c r="W257" s="55"/>
      <c r="X257" s="56" t="s">
        <v>1378</v>
      </c>
      <c r="Y257" s="54" t="s">
        <v>1375</v>
      </c>
      <c r="Z257" s="54" t="s">
        <v>1420</v>
      </c>
      <c r="AA257" s="62" t="s">
        <v>351</v>
      </c>
      <c r="AC257" s="24"/>
    </row>
    <row r="258" spans="2:29" ht="120" customHeight="1" x14ac:dyDescent="0.25">
      <c r="B258" s="52" t="s">
        <v>38</v>
      </c>
      <c r="C258" s="52" t="s">
        <v>1364</v>
      </c>
      <c r="D258" s="52" t="s">
        <v>1365</v>
      </c>
      <c r="E258" s="53">
        <v>1</v>
      </c>
      <c r="F258" s="52" t="s">
        <v>1421</v>
      </c>
      <c r="G258" s="52" t="s">
        <v>1422</v>
      </c>
      <c r="H258" s="55" t="s">
        <v>1413</v>
      </c>
      <c r="I258" s="53">
        <v>14</v>
      </c>
      <c r="J258" s="52" t="s">
        <v>263</v>
      </c>
      <c r="K258" s="53">
        <v>23</v>
      </c>
      <c r="L258" s="53">
        <v>6</v>
      </c>
      <c r="M258" s="54" t="s">
        <v>1423</v>
      </c>
      <c r="N258" s="54"/>
      <c r="O258" s="53"/>
      <c r="P258" s="55"/>
      <c r="Q258" s="54"/>
      <c r="R258" s="55"/>
      <c r="S258" s="56" t="s">
        <v>1371</v>
      </c>
      <c r="T258" s="56" t="s">
        <v>1372</v>
      </c>
      <c r="U258" s="56" t="s">
        <v>1424</v>
      </c>
      <c r="V258" s="56" t="s">
        <v>1425</v>
      </c>
      <c r="W258" s="53"/>
      <c r="X258" s="56" t="s">
        <v>1378</v>
      </c>
      <c r="Y258" s="54" t="s">
        <v>1426</v>
      </c>
      <c r="Z258" s="54" t="s">
        <v>1427</v>
      </c>
      <c r="AA258" s="62" t="s">
        <v>674</v>
      </c>
      <c r="AC258" s="24"/>
    </row>
    <row r="259" spans="2:29" ht="120" customHeight="1" x14ac:dyDescent="0.25">
      <c r="B259" s="52" t="s">
        <v>38</v>
      </c>
      <c r="C259" s="52" t="s">
        <v>1364</v>
      </c>
      <c r="D259" s="52" t="s">
        <v>1365</v>
      </c>
      <c r="E259" s="53">
        <v>1</v>
      </c>
      <c r="F259" s="52" t="s">
        <v>1428</v>
      </c>
      <c r="G259" s="52" t="s">
        <v>1429</v>
      </c>
      <c r="H259" s="55" t="s">
        <v>1413</v>
      </c>
      <c r="I259" s="53">
        <v>15</v>
      </c>
      <c r="J259" s="52" t="s">
        <v>263</v>
      </c>
      <c r="K259" s="53">
        <v>23</v>
      </c>
      <c r="L259" s="53">
        <v>6</v>
      </c>
      <c r="M259" s="54" t="s">
        <v>1430</v>
      </c>
      <c r="N259" s="54"/>
      <c r="O259" s="53"/>
      <c r="P259" s="55"/>
      <c r="Q259" s="54" t="s">
        <v>609</v>
      </c>
      <c r="R259" s="55" t="s">
        <v>1431</v>
      </c>
      <c r="S259" s="56" t="s">
        <v>1371</v>
      </c>
      <c r="T259" s="56" t="s">
        <v>1372</v>
      </c>
      <c r="U259" s="65" t="s">
        <v>1432</v>
      </c>
      <c r="V259" s="56" t="s">
        <v>1433</v>
      </c>
      <c r="W259" s="53"/>
      <c r="X259" s="56" t="s">
        <v>1378</v>
      </c>
      <c r="Y259" s="54" t="s">
        <v>1434</v>
      </c>
      <c r="Z259" s="54" t="s">
        <v>1435</v>
      </c>
      <c r="AA259" s="62" t="s">
        <v>1436</v>
      </c>
      <c r="AC259" s="24"/>
    </row>
    <row r="260" spans="2:29" ht="120" customHeight="1" x14ac:dyDescent="0.25">
      <c r="B260" s="52" t="s">
        <v>38</v>
      </c>
      <c r="C260" s="52" t="s">
        <v>1364</v>
      </c>
      <c r="D260" s="52" t="s">
        <v>1365</v>
      </c>
      <c r="E260" s="53">
        <v>1</v>
      </c>
      <c r="F260" s="52" t="s">
        <v>1437</v>
      </c>
      <c r="G260" s="52" t="s">
        <v>1438</v>
      </c>
      <c r="H260" s="55" t="s">
        <v>1413</v>
      </c>
      <c r="I260" s="53">
        <v>16</v>
      </c>
      <c r="J260" s="52" t="s">
        <v>263</v>
      </c>
      <c r="K260" s="53">
        <v>23</v>
      </c>
      <c r="L260" s="53">
        <v>6</v>
      </c>
      <c r="M260" s="54" t="s">
        <v>1439</v>
      </c>
      <c r="N260" s="54"/>
      <c r="O260" s="53"/>
      <c r="P260" s="55"/>
      <c r="Q260" s="65"/>
      <c r="R260" s="55"/>
      <c r="S260" s="56" t="s">
        <v>1371</v>
      </c>
      <c r="T260" s="56" t="s">
        <v>1372</v>
      </c>
      <c r="U260" s="65" t="s">
        <v>1432</v>
      </c>
      <c r="V260" s="56" t="s">
        <v>1440</v>
      </c>
      <c r="W260" s="53"/>
      <c r="X260" s="56" t="s">
        <v>1378</v>
      </c>
      <c r="Y260" s="54" t="s">
        <v>1434</v>
      </c>
      <c r="Z260" s="54" t="s">
        <v>1441</v>
      </c>
      <c r="AA260" s="62" t="s">
        <v>1436</v>
      </c>
      <c r="AC260" s="24"/>
    </row>
    <row r="261" spans="2:29" ht="120" customHeight="1" x14ac:dyDescent="0.25">
      <c r="B261" s="52" t="s">
        <v>38</v>
      </c>
      <c r="C261" s="52" t="s">
        <v>1364</v>
      </c>
      <c r="D261" s="52" t="s">
        <v>1365</v>
      </c>
      <c r="E261" s="53">
        <v>1</v>
      </c>
      <c r="F261" s="52" t="s">
        <v>1442</v>
      </c>
      <c r="G261" s="52" t="s">
        <v>1443</v>
      </c>
      <c r="H261" s="52" t="s">
        <v>262</v>
      </c>
      <c r="I261" s="53">
        <v>17</v>
      </c>
      <c r="J261" s="52" t="s">
        <v>263</v>
      </c>
      <c r="K261" s="53">
        <v>23</v>
      </c>
      <c r="L261" s="53">
        <v>6</v>
      </c>
      <c r="M261" s="54" t="s">
        <v>293</v>
      </c>
      <c r="N261" s="54"/>
      <c r="O261" s="53"/>
      <c r="P261" s="55"/>
      <c r="Q261" s="65"/>
      <c r="R261" s="63"/>
      <c r="S261" s="56" t="s">
        <v>1444</v>
      </c>
      <c r="T261" s="56" t="s">
        <v>1445</v>
      </c>
      <c r="U261" s="65" t="s">
        <v>1446</v>
      </c>
      <c r="V261" s="65" t="s">
        <v>1447</v>
      </c>
      <c r="W261" s="73"/>
      <c r="X261" s="56" t="s">
        <v>1448</v>
      </c>
      <c r="Y261" s="70" t="s">
        <v>1449</v>
      </c>
      <c r="Z261" s="54" t="s">
        <v>1450</v>
      </c>
      <c r="AA261" s="62" t="s">
        <v>1436</v>
      </c>
      <c r="AC261" s="24"/>
    </row>
    <row r="262" spans="2:29" ht="120" customHeight="1" x14ac:dyDescent="0.25">
      <c r="B262" s="68" t="s">
        <v>38</v>
      </c>
      <c r="C262" s="68" t="s">
        <v>1364</v>
      </c>
      <c r="D262" s="68" t="s">
        <v>1365</v>
      </c>
      <c r="E262" s="80">
        <v>1</v>
      </c>
      <c r="F262" s="68" t="s">
        <v>1451</v>
      </c>
      <c r="G262" s="68" t="s">
        <v>1452</v>
      </c>
      <c r="H262" s="77" t="s">
        <v>631</v>
      </c>
      <c r="I262" s="80">
        <v>18</v>
      </c>
      <c r="J262" s="68" t="s">
        <v>140</v>
      </c>
      <c r="K262" s="80">
        <v>3</v>
      </c>
      <c r="L262" s="80"/>
      <c r="M262" s="75" t="s">
        <v>1453</v>
      </c>
      <c r="N262" s="75"/>
      <c r="O262" s="80"/>
      <c r="P262" s="75" t="s">
        <v>891</v>
      </c>
      <c r="Q262" s="75"/>
      <c r="R262" s="77"/>
      <c r="S262" s="68"/>
      <c r="T262" s="68"/>
      <c r="U262" s="68"/>
      <c r="V262" s="68"/>
      <c r="W262" s="80"/>
      <c r="X262" s="68" t="s">
        <v>1454</v>
      </c>
      <c r="Y262" s="68" t="s">
        <v>1454</v>
      </c>
      <c r="Z262" s="68" t="s">
        <v>1454</v>
      </c>
      <c r="AA262" s="78" t="s">
        <v>1454</v>
      </c>
      <c r="AC262" s="24"/>
    </row>
    <row r="263" spans="2:29" ht="120" customHeight="1" x14ac:dyDescent="0.25">
      <c r="B263" s="68" t="s">
        <v>38</v>
      </c>
      <c r="C263" s="68" t="s">
        <v>1364</v>
      </c>
      <c r="D263" s="68" t="s">
        <v>1365</v>
      </c>
      <c r="E263" s="80">
        <v>1</v>
      </c>
      <c r="F263" s="68" t="s">
        <v>1455</v>
      </c>
      <c r="G263" s="68" t="s">
        <v>1456</v>
      </c>
      <c r="H263" s="77" t="s">
        <v>631</v>
      </c>
      <c r="I263" s="80">
        <v>19</v>
      </c>
      <c r="J263" s="68" t="s">
        <v>140</v>
      </c>
      <c r="K263" s="80">
        <v>20</v>
      </c>
      <c r="L263" s="80"/>
      <c r="M263" s="75" t="s">
        <v>1457</v>
      </c>
      <c r="N263" s="75"/>
      <c r="O263" s="80"/>
      <c r="P263" s="75" t="s">
        <v>1458</v>
      </c>
      <c r="Q263" s="75"/>
      <c r="R263" s="77"/>
      <c r="S263" s="68"/>
      <c r="T263" s="68"/>
      <c r="U263" s="68"/>
      <c r="V263" s="68"/>
      <c r="W263" s="80"/>
      <c r="X263" s="68" t="s">
        <v>1454</v>
      </c>
      <c r="Y263" s="68" t="s">
        <v>1454</v>
      </c>
      <c r="Z263" s="68" t="s">
        <v>1454</v>
      </c>
      <c r="AA263" s="78" t="s">
        <v>1454</v>
      </c>
      <c r="AC263" s="24"/>
    </row>
    <row r="264" spans="2:29" ht="120" customHeight="1" x14ac:dyDescent="0.25">
      <c r="B264" s="68" t="s">
        <v>38</v>
      </c>
      <c r="C264" s="68" t="s">
        <v>1364</v>
      </c>
      <c r="D264" s="68" t="s">
        <v>1365</v>
      </c>
      <c r="E264" s="80">
        <v>1</v>
      </c>
      <c r="F264" s="68" t="s">
        <v>1459</v>
      </c>
      <c r="G264" s="68" t="s">
        <v>1460</v>
      </c>
      <c r="H264" s="77" t="s">
        <v>650</v>
      </c>
      <c r="I264" s="80">
        <v>20</v>
      </c>
      <c r="J264" s="68" t="s">
        <v>263</v>
      </c>
      <c r="K264" s="80">
        <v>23</v>
      </c>
      <c r="L264" s="80">
        <v>6</v>
      </c>
      <c r="M264" s="75" t="s">
        <v>1461</v>
      </c>
      <c r="N264" s="75"/>
      <c r="O264" s="80"/>
      <c r="P264" s="77"/>
      <c r="Q264" s="75"/>
      <c r="R264" s="77"/>
      <c r="S264" s="68"/>
      <c r="T264" s="68"/>
      <c r="U264" s="68"/>
      <c r="V264" s="68"/>
      <c r="W264" s="80"/>
      <c r="X264" s="68" t="s">
        <v>1454</v>
      </c>
      <c r="Y264" s="68" t="s">
        <v>1454</v>
      </c>
      <c r="Z264" s="68" t="s">
        <v>1454</v>
      </c>
      <c r="AA264" s="78" t="s">
        <v>1454</v>
      </c>
      <c r="AC264" s="24"/>
    </row>
    <row r="265" spans="2:29" ht="120" customHeight="1" x14ac:dyDescent="0.25">
      <c r="B265" s="68" t="s">
        <v>38</v>
      </c>
      <c r="C265" s="68" t="s">
        <v>1364</v>
      </c>
      <c r="D265" s="68" t="s">
        <v>1365</v>
      </c>
      <c r="E265" s="80">
        <v>1</v>
      </c>
      <c r="F265" s="68" t="s">
        <v>1462</v>
      </c>
      <c r="G265" s="68" t="s">
        <v>1463</v>
      </c>
      <c r="H265" s="77" t="s">
        <v>650</v>
      </c>
      <c r="I265" s="80">
        <v>21</v>
      </c>
      <c r="J265" s="68" t="s">
        <v>263</v>
      </c>
      <c r="K265" s="80">
        <v>23</v>
      </c>
      <c r="L265" s="80">
        <v>6</v>
      </c>
      <c r="M265" s="75" t="s">
        <v>1464</v>
      </c>
      <c r="N265" s="75"/>
      <c r="O265" s="80"/>
      <c r="P265" s="77"/>
      <c r="Q265" s="75"/>
      <c r="R265" s="77"/>
      <c r="S265" s="68"/>
      <c r="T265" s="68"/>
      <c r="U265" s="68"/>
      <c r="V265" s="68"/>
      <c r="W265" s="80"/>
      <c r="X265" s="68" t="s">
        <v>1454</v>
      </c>
      <c r="Y265" s="68" t="s">
        <v>1454</v>
      </c>
      <c r="Z265" s="68" t="s">
        <v>1454</v>
      </c>
      <c r="AA265" s="78" t="s">
        <v>1454</v>
      </c>
      <c r="AC265" s="24"/>
    </row>
    <row r="266" spans="2:29" ht="120" customHeight="1" x14ac:dyDescent="0.25">
      <c r="B266" s="68" t="s">
        <v>38</v>
      </c>
      <c r="C266" s="68" t="s">
        <v>1364</v>
      </c>
      <c r="D266" s="68" t="s">
        <v>1365</v>
      </c>
      <c r="E266" s="80">
        <v>1</v>
      </c>
      <c r="F266" s="68" t="s">
        <v>1465</v>
      </c>
      <c r="G266" s="68" t="s">
        <v>1466</v>
      </c>
      <c r="H266" s="77" t="s">
        <v>650</v>
      </c>
      <c r="I266" s="80">
        <v>22</v>
      </c>
      <c r="J266" s="68" t="s">
        <v>263</v>
      </c>
      <c r="K266" s="80">
        <v>23</v>
      </c>
      <c r="L266" s="80">
        <v>6</v>
      </c>
      <c r="M266" s="75" t="s">
        <v>1467</v>
      </c>
      <c r="N266" s="75" t="s">
        <v>1339</v>
      </c>
      <c r="O266" s="80"/>
      <c r="P266" s="68"/>
      <c r="Q266" s="69" t="s">
        <v>668</v>
      </c>
      <c r="R266" s="68" t="s">
        <v>1340</v>
      </c>
      <c r="S266" s="68"/>
      <c r="T266" s="68"/>
      <c r="U266" s="68"/>
      <c r="V266" s="68"/>
      <c r="W266" s="80"/>
      <c r="X266" s="68" t="s">
        <v>1454</v>
      </c>
      <c r="Y266" s="68" t="s">
        <v>1454</v>
      </c>
      <c r="Z266" s="68" t="s">
        <v>1454</v>
      </c>
      <c r="AA266" s="78" t="s">
        <v>1454</v>
      </c>
      <c r="AC266" s="24"/>
    </row>
    <row r="267" spans="2:29" ht="120" customHeight="1" x14ac:dyDescent="0.25">
      <c r="B267" s="68" t="s">
        <v>38</v>
      </c>
      <c r="C267" s="68" t="s">
        <v>1364</v>
      </c>
      <c r="D267" s="68" t="s">
        <v>1365</v>
      </c>
      <c r="E267" s="80">
        <v>1</v>
      </c>
      <c r="F267" s="68" t="s">
        <v>1468</v>
      </c>
      <c r="G267" s="68" t="s">
        <v>1469</v>
      </c>
      <c r="H267" s="77" t="s">
        <v>631</v>
      </c>
      <c r="I267" s="80">
        <v>23</v>
      </c>
      <c r="J267" s="68" t="s">
        <v>140</v>
      </c>
      <c r="K267" s="80">
        <v>3</v>
      </c>
      <c r="L267" s="80"/>
      <c r="M267" s="75" t="s">
        <v>632</v>
      </c>
      <c r="N267" s="75"/>
      <c r="O267" s="80"/>
      <c r="P267" s="75" t="s">
        <v>891</v>
      </c>
      <c r="Q267" s="75"/>
      <c r="R267" s="77"/>
      <c r="S267" s="68"/>
      <c r="T267" s="68"/>
      <c r="U267" s="68"/>
      <c r="V267" s="68"/>
      <c r="W267" s="80"/>
      <c r="X267" s="68" t="s">
        <v>1454</v>
      </c>
      <c r="Y267" s="68" t="s">
        <v>1454</v>
      </c>
      <c r="Z267" s="68" t="s">
        <v>1454</v>
      </c>
      <c r="AA267" s="78" t="s">
        <v>1454</v>
      </c>
      <c r="AC267" s="24"/>
    </row>
    <row r="268" spans="2:29" ht="120" customHeight="1" x14ac:dyDescent="0.25">
      <c r="B268" s="68" t="s">
        <v>38</v>
      </c>
      <c r="C268" s="68" t="s">
        <v>1364</v>
      </c>
      <c r="D268" s="68" t="s">
        <v>1365</v>
      </c>
      <c r="E268" s="80">
        <v>1</v>
      </c>
      <c r="F268" s="68" t="s">
        <v>1470</v>
      </c>
      <c r="G268" s="68" t="s">
        <v>1471</v>
      </c>
      <c r="H268" s="77" t="s">
        <v>631</v>
      </c>
      <c r="I268" s="80">
        <v>24</v>
      </c>
      <c r="J268" s="68" t="s">
        <v>140</v>
      </c>
      <c r="K268" s="80">
        <v>20</v>
      </c>
      <c r="L268" s="80"/>
      <c r="M268" s="75" t="s">
        <v>1472</v>
      </c>
      <c r="N268" s="75"/>
      <c r="O268" s="80"/>
      <c r="P268" s="75" t="s">
        <v>1473</v>
      </c>
      <c r="Q268" s="75"/>
      <c r="R268" s="77"/>
      <c r="S268" s="68"/>
      <c r="T268" s="68"/>
      <c r="U268" s="68"/>
      <c r="V268" s="68"/>
      <c r="W268" s="80"/>
      <c r="X268" s="68" t="s">
        <v>1454</v>
      </c>
      <c r="Y268" s="68" t="s">
        <v>1454</v>
      </c>
      <c r="Z268" s="68" t="s">
        <v>1454</v>
      </c>
      <c r="AA268" s="78" t="s">
        <v>1454</v>
      </c>
      <c r="AC268" s="24"/>
    </row>
    <row r="269" spans="2:29" ht="120" customHeight="1" x14ac:dyDescent="0.25">
      <c r="B269" s="68" t="s">
        <v>38</v>
      </c>
      <c r="C269" s="68" t="s">
        <v>1364</v>
      </c>
      <c r="D269" s="68" t="s">
        <v>1365</v>
      </c>
      <c r="E269" s="80">
        <v>1</v>
      </c>
      <c r="F269" s="68" t="s">
        <v>1474</v>
      </c>
      <c r="G269" s="68" t="s">
        <v>1475</v>
      </c>
      <c r="H269" s="77" t="s">
        <v>650</v>
      </c>
      <c r="I269" s="80">
        <v>25</v>
      </c>
      <c r="J269" s="68" t="s">
        <v>263</v>
      </c>
      <c r="K269" s="80">
        <v>23</v>
      </c>
      <c r="L269" s="80">
        <v>6</v>
      </c>
      <c r="M269" s="75" t="s">
        <v>1476</v>
      </c>
      <c r="N269" s="75"/>
      <c r="O269" s="80"/>
      <c r="P269" s="77"/>
      <c r="Q269" s="75"/>
      <c r="R269" s="77"/>
      <c r="S269" s="68"/>
      <c r="T269" s="68"/>
      <c r="U269" s="68"/>
      <c r="V269" s="68"/>
      <c r="W269" s="80"/>
      <c r="X269" s="68" t="s">
        <v>1454</v>
      </c>
      <c r="Y269" s="68" t="s">
        <v>1454</v>
      </c>
      <c r="Z269" s="68" t="s">
        <v>1454</v>
      </c>
      <c r="AA269" s="78" t="s">
        <v>1454</v>
      </c>
      <c r="AC269" s="24"/>
    </row>
    <row r="270" spans="2:29" ht="120" customHeight="1" x14ac:dyDescent="0.25">
      <c r="B270" s="68" t="s">
        <v>38</v>
      </c>
      <c r="C270" s="68" t="s">
        <v>1364</v>
      </c>
      <c r="D270" s="68" t="s">
        <v>1365</v>
      </c>
      <c r="E270" s="80">
        <v>1</v>
      </c>
      <c r="F270" s="68" t="s">
        <v>1477</v>
      </c>
      <c r="G270" s="68" t="s">
        <v>1478</v>
      </c>
      <c r="H270" s="77" t="s">
        <v>650</v>
      </c>
      <c r="I270" s="80">
        <v>26</v>
      </c>
      <c r="J270" s="68" t="s">
        <v>263</v>
      </c>
      <c r="K270" s="80">
        <v>23</v>
      </c>
      <c r="L270" s="80">
        <v>6</v>
      </c>
      <c r="M270" s="75" t="s">
        <v>659</v>
      </c>
      <c r="N270" s="75"/>
      <c r="O270" s="80"/>
      <c r="P270" s="77"/>
      <c r="Q270" s="75"/>
      <c r="R270" s="77"/>
      <c r="S270" s="68"/>
      <c r="T270" s="68"/>
      <c r="U270" s="68"/>
      <c r="V270" s="68"/>
      <c r="W270" s="80"/>
      <c r="X270" s="68" t="s">
        <v>1454</v>
      </c>
      <c r="Y270" s="68" t="s">
        <v>1454</v>
      </c>
      <c r="Z270" s="68" t="s">
        <v>1454</v>
      </c>
      <c r="AA270" s="78" t="s">
        <v>1454</v>
      </c>
      <c r="AC270" s="24"/>
    </row>
    <row r="271" spans="2:29" ht="120" customHeight="1" x14ac:dyDescent="0.25">
      <c r="B271" s="68" t="s">
        <v>38</v>
      </c>
      <c r="C271" s="68" t="s">
        <v>1364</v>
      </c>
      <c r="D271" s="68" t="s">
        <v>1365</v>
      </c>
      <c r="E271" s="80">
        <v>1</v>
      </c>
      <c r="F271" s="68" t="s">
        <v>1479</v>
      </c>
      <c r="G271" s="68" t="s">
        <v>1480</v>
      </c>
      <c r="H271" s="77" t="s">
        <v>650</v>
      </c>
      <c r="I271" s="80">
        <v>27</v>
      </c>
      <c r="J271" s="68" t="s">
        <v>263</v>
      </c>
      <c r="K271" s="80">
        <v>23</v>
      </c>
      <c r="L271" s="80">
        <v>6</v>
      </c>
      <c r="M271" s="75" t="s">
        <v>1481</v>
      </c>
      <c r="N271" s="75" t="s">
        <v>667</v>
      </c>
      <c r="O271" s="80"/>
      <c r="P271" s="68"/>
      <c r="Q271" s="69" t="s">
        <v>1482</v>
      </c>
      <c r="R271" s="69" t="s">
        <v>1483</v>
      </c>
      <c r="S271" s="68"/>
      <c r="T271" s="68"/>
      <c r="U271" s="68"/>
      <c r="V271" s="68"/>
      <c r="W271" s="80"/>
      <c r="X271" s="68" t="s">
        <v>1454</v>
      </c>
      <c r="Y271" s="68" t="s">
        <v>1454</v>
      </c>
      <c r="Z271" s="68" t="s">
        <v>1454</v>
      </c>
      <c r="AA271" s="78" t="s">
        <v>1454</v>
      </c>
      <c r="AC271" s="24"/>
    </row>
    <row r="272" spans="2:29" ht="120" customHeight="1" x14ac:dyDescent="0.25">
      <c r="B272" s="52" t="s">
        <v>38</v>
      </c>
      <c r="C272" s="52" t="s">
        <v>1364</v>
      </c>
      <c r="D272" s="52" t="s">
        <v>1365</v>
      </c>
      <c r="E272" s="53">
        <v>1</v>
      </c>
      <c r="F272" s="52" t="s">
        <v>301</v>
      </c>
      <c r="G272" s="52" t="s">
        <v>302</v>
      </c>
      <c r="H272" s="55" t="s">
        <v>303</v>
      </c>
      <c r="I272" s="53">
        <v>29</v>
      </c>
      <c r="J272" s="52" t="s">
        <v>140</v>
      </c>
      <c r="K272" s="53">
        <v>3</v>
      </c>
      <c r="L272" s="53"/>
      <c r="M272" s="54" t="s">
        <v>304</v>
      </c>
      <c r="N272" s="54" t="s">
        <v>305</v>
      </c>
      <c r="O272" s="53"/>
      <c r="P272" s="54" t="s">
        <v>1484</v>
      </c>
      <c r="Q272" s="56" t="s">
        <v>1485</v>
      </c>
      <c r="R272" s="56" t="s">
        <v>1486</v>
      </c>
      <c r="S272" s="56" t="s">
        <v>1368</v>
      </c>
      <c r="T272" s="56" t="s">
        <v>1369</v>
      </c>
      <c r="U272" s="56" t="s">
        <v>517</v>
      </c>
      <c r="V272" s="56" t="s">
        <v>1487</v>
      </c>
      <c r="W272" s="53"/>
      <c r="X272" s="56" t="s">
        <v>1393</v>
      </c>
      <c r="Y272" s="54" t="s">
        <v>1488</v>
      </c>
      <c r="Z272" s="54" t="s">
        <v>1489</v>
      </c>
      <c r="AA272" s="62" t="s">
        <v>542</v>
      </c>
      <c r="AC272" s="24"/>
    </row>
    <row r="273" spans="2:29" ht="120" customHeight="1" x14ac:dyDescent="0.25">
      <c r="B273" s="52" t="s">
        <v>38</v>
      </c>
      <c r="C273" s="52" t="s">
        <v>1364</v>
      </c>
      <c r="D273" s="52" t="s">
        <v>1365</v>
      </c>
      <c r="E273" s="53">
        <v>1</v>
      </c>
      <c r="F273" s="52" t="s">
        <v>311</v>
      </c>
      <c r="G273" s="52" t="s">
        <v>312</v>
      </c>
      <c r="H273" s="55" t="s">
        <v>303</v>
      </c>
      <c r="I273" s="53">
        <v>30</v>
      </c>
      <c r="J273" s="52" t="s">
        <v>140</v>
      </c>
      <c r="K273" s="53">
        <v>3</v>
      </c>
      <c r="L273" s="53"/>
      <c r="M273" s="54" t="s">
        <v>1490</v>
      </c>
      <c r="N273" s="54" t="s">
        <v>314</v>
      </c>
      <c r="O273" s="53"/>
      <c r="P273" s="56" t="s">
        <v>434</v>
      </c>
      <c r="Q273" s="56" t="s">
        <v>219</v>
      </c>
      <c r="R273" s="52" t="s">
        <v>316</v>
      </c>
      <c r="S273" s="56" t="s">
        <v>1491</v>
      </c>
      <c r="T273" s="56" t="s">
        <v>1492</v>
      </c>
      <c r="U273" s="56" t="s">
        <v>517</v>
      </c>
      <c r="V273" s="56" t="s">
        <v>1493</v>
      </c>
      <c r="W273" s="53"/>
      <c r="X273" s="56" t="s">
        <v>351</v>
      </c>
      <c r="Y273" s="56" t="s">
        <v>351</v>
      </c>
      <c r="Z273" s="56" t="s">
        <v>351</v>
      </c>
      <c r="AA273" s="62" t="s">
        <v>351</v>
      </c>
      <c r="AC273" s="24"/>
    </row>
    <row r="274" spans="2:29" ht="120" customHeight="1" x14ac:dyDescent="0.25">
      <c r="B274" s="52" t="s">
        <v>38</v>
      </c>
      <c r="C274" s="52" t="s">
        <v>1364</v>
      </c>
      <c r="D274" s="52" t="s">
        <v>1365</v>
      </c>
      <c r="E274" s="53">
        <v>1</v>
      </c>
      <c r="F274" s="52" t="s">
        <v>322</v>
      </c>
      <c r="G274" s="52" t="s">
        <v>323</v>
      </c>
      <c r="H274" s="52" t="s">
        <v>324</v>
      </c>
      <c r="I274" s="53">
        <v>31</v>
      </c>
      <c r="J274" s="52" t="s">
        <v>140</v>
      </c>
      <c r="K274" s="53">
        <v>2</v>
      </c>
      <c r="L274" s="53"/>
      <c r="M274" s="54" t="s">
        <v>325</v>
      </c>
      <c r="N274" s="54"/>
      <c r="O274" s="53"/>
      <c r="P274" s="54" t="s">
        <v>1494</v>
      </c>
      <c r="Q274" s="56"/>
      <c r="R274" s="52"/>
      <c r="S274" s="56" t="s">
        <v>1371</v>
      </c>
      <c r="T274" s="56" t="s">
        <v>1372</v>
      </c>
      <c r="U274" s="56" t="s">
        <v>450</v>
      </c>
      <c r="V274" s="56" t="s">
        <v>1495</v>
      </c>
      <c r="W274" s="53"/>
      <c r="X274" s="56" t="s">
        <v>1378</v>
      </c>
      <c r="Y274" s="56" t="s">
        <v>351</v>
      </c>
      <c r="Z274" s="56" t="s">
        <v>351</v>
      </c>
      <c r="AA274" s="62" t="s">
        <v>1496</v>
      </c>
      <c r="AC274" s="24"/>
    </row>
    <row r="275" spans="2:29" ht="120" customHeight="1" x14ac:dyDescent="0.25">
      <c r="B275" s="52" t="s">
        <v>38</v>
      </c>
      <c r="C275" s="52" t="s">
        <v>1364</v>
      </c>
      <c r="D275" s="52" t="s">
        <v>1365</v>
      </c>
      <c r="E275" s="53">
        <v>1</v>
      </c>
      <c r="F275" s="52" t="s">
        <v>329</v>
      </c>
      <c r="G275" s="52" t="s">
        <v>330</v>
      </c>
      <c r="H275" s="52" t="s">
        <v>331</v>
      </c>
      <c r="I275" s="53">
        <v>32</v>
      </c>
      <c r="J275" s="52" t="s">
        <v>140</v>
      </c>
      <c r="K275" s="53">
        <v>10</v>
      </c>
      <c r="L275" s="53"/>
      <c r="M275" s="54" t="s">
        <v>332</v>
      </c>
      <c r="N275" s="54" t="s">
        <v>333</v>
      </c>
      <c r="O275" s="53" t="s">
        <v>142</v>
      </c>
      <c r="P275" s="52"/>
      <c r="Q275" s="56" t="s">
        <v>284</v>
      </c>
      <c r="R275" s="52" t="s">
        <v>685</v>
      </c>
      <c r="S275" s="56" t="s">
        <v>1371</v>
      </c>
      <c r="T275" s="56" t="s">
        <v>1372</v>
      </c>
      <c r="U275" s="56" t="s">
        <v>686</v>
      </c>
      <c r="V275" s="56" t="s">
        <v>1497</v>
      </c>
      <c r="W275" s="53"/>
      <c r="X275" s="56" t="s">
        <v>351</v>
      </c>
      <c r="Y275" s="56" t="s">
        <v>351</v>
      </c>
      <c r="Z275" s="56" t="s">
        <v>351</v>
      </c>
      <c r="AA275" s="62" t="s">
        <v>351</v>
      </c>
      <c r="AC275" s="24"/>
    </row>
    <row r="276" spans="2:29" ht="120" customHeight="1" x14ac:dyDescent="0.25">
      <c r="B276" s="52" t="s">
        <v>38</v>
      </c>
      <c r="C276" s="52" t="s">
        <v>1364</v>
      </c>
      <c r="D276" s="52" t="s">
        <v>1365</v>
      </c>
      <c r="E276" s="53">
        <v>1</v>
      </c>
      <c r="F276" s="52" t="s">
        <v>336</v>
      </c>
      <c r="G276" s="52" t="s">
        <v>337</v>
      </c>
      <c r="H276" s="52" t="s">
        <v>338</v>
      </c>
      <c r="I276" s="53">
        <v>33</v>
      </c>
      <c r="J276" s="52" t="s">
        <v>339</v>
      </c>
      <c r="K276" s="53">
        <v>23</v>
      </c>
      <c r="L276" s="53"/>
      <c r="M276" s="54" t="s">
        <v>340</v>
      </c>
      <c r="N276" s="54" t="s">
        <v>341</v>
      </c>
      <c r="O276" s="53"/>
      <c r="P276" s="52"/>
      <c r="Q276" s="56"/>
      <c r="R276" s="52"/>
      <c r="S276" s="56" t="s">
        <v>1371</v>
      </c>
      <c r="T276" s="56" t="s">
        <v>1372</v>
      </c>
      <c r="U276" s="56" t="s">
        <v>450</v>
      </c>
      <c r="V276" s="56" t="s">
        <v>1498</v>
      </c>
      <c r="W276" s="53"/>
      <c r="X276" s="56" t="s">
        <v>351</v>
      </c>
      <c r="Y276" s="56" t="s">
        <v>351</v>
      </c>
      <c r="Z276" s="56" t="s">
        <v>351</v>
      </c>
      <c r="AA276" s="62" t="s">
        <v>351</v>
      </c>
      <c r="AC276" s="24"/>
    </row>
    <row r="277" spans="2:29" ht="120" customHeight="1" x14ac:dyDescent="0.25">
      <c r="B277" s="52" t="s">
        <v>43</v>
      </c>
      <c r="C277" s="52" t="s">
        <v>1499</v>
      </c>
      <c r="D277" s="52" t="s">
        <v>1500</v>
      </c>
      <c r="E277" s="53">
        <v>2</v>
      </c>
      <c r="F277" s="52" t="s">
        <v>1041</v>
      </c>
      <c r="G277" s="52" t="s">
        <v>1042</v>
      </c>
      <c r="H277" s="55" t="s">
        <v>1043</v>
      </c>
      <c r="I277" s="53">
        <v>1</v>
      </c>
      <c r="J277" s="52" t="s">
        <v>140</v>
      </c>
      <c r="K277" s="53">
        <v>16</v>
      </c>
      <c r="L277" s="53"/>
      <c r="M277" s="54" t="s">
        <v>1044</v>
      </c>
      <c r="N277" s="54"/>
      <c r="O277" s="53" t="s">
        <v>142</v>
      </c>
      <c r="P277" s="55"/>
      <c r="Q277" s="56" t="s">
        <v>1045</v>
      </c>
      <c r="R277" s="52" t="s">
        <v>1041</v>
      </c>
      <c r="S277" s="293" t="s">
        <v>1046</v>
      </c>
      <c r="T277" s="293" t="s">
        <v>1047</v>
      </c>
      <c r="U277" s="54" t="s">
        <v>1048</v>
      </c>
      <c r="V277" s="54" t="s">
        <v>1501</v>
      </c>
      <c r="W277" s="53"/>
      <c r="X277" s="52" t="s">
        <v>1050</v>
      </c>
      <c r="Y277" s="81" t="s">
        <v>1051</v>
      </c>
      <c r="Z277" s="72" t="s">
        <v>1052</v>
      </c>
      <c r="AA277" s="53" t="s">
        <v>351</v>
      </c>
      <c r="AC277" s="24"/>
    </row>
    <row r="278" spans="2:29" ht="120" customHeight="1" x14ac:dyDescent="0.25">
      <c r="B278" s="52" t="s">
        <v>43</v>
      </c>
      <c r="C278" s="52" t="s">
        <v>1499</v>
      </c>
      <c r="D278" s="52" t="s">
        <v>1500</v>
      </c>
      <c r="E278" s="53">
        <v>2</v>
      </c>
      <c r="F278" s="52" t="s">
        <v>1502</v>
      </c>
      <c r="G278" s="52" t="s">
        <v>1503</v>
      </c>
      <c r="H278" s="55" t="s">
        <v>166</v>
      </c>
      <c r="I278" s="53">
        <v>2</v>
      </c>
      <c r="J278" s="52" t="s">
        <v>140</v>
      </c>
      <c r="K278" s="53">
        <v>4</v>
      </c>
      <c r="L278" s="53"/>
      <c r="M278" s="54" t="s">
        <v>1504</v>
      </c>
      <c r="N278" s="54"/>
      <c r="O278" s="53"/>
      <c r="P278" s="55"/>
      <c r="Q278" s="56" t="s">
        <v>1045</v>
      </c>
      <c r="R278" s="52" t="s">
        <v>152</v>
      </c>
      <c r="S278" s="294" t="s">
        <v>1056</v>
      </c>
      <c r="T278" s="294" t="s">
        <v>1057</v>
      </c>
      <c r="U278" s="56" t="s">
        <v>1058</v>
      </c>
      <c r="V278" s="56" t="s">
        <v>1505</v>
      </c>
      <c r="W278" s="53"/>
      <c r="X278" s="52" t="s">
        <v>1050</v>
      </c>
      <c r="Y278" s="55" t="s">
        <v>351</v>
      </c>
      <c r="Z278" s="55" t="s">
        <v>351</v>
      </c>
      <c r="AA278" s="53" t="s">
        <v>353</v>
      </c>
      <c r="AC278" s="24"/>
    </row>
    <row r="279" spans="2:29" ht="120" customHeight="1" x14ac:dyDescent="0.25">
      <c r="B279" s="52" t="s">
        <v>43</v>
      </c>
      <c r="C279" s="52" t="s">
        <v>1499</v>
      </c>
      <c r="D279" s="52" t="s">
        <v>1500</v>
      </c>
      <c r="E279" s="53">
        <v>2</v>
      </c>
      <c r="F279" s="52" t="s">
        <v>1506</v>
      </c>
      <c r="G279" s="52" t="s">
        <v>1507</v>
      </c>
      <c r="H279" s="55" t="s">
        <v>166</v>
      </c>
      <c r="I279" s="53">
        <v>3</v>
      </c>
      <c r="J279" s="52" t="s">
        <v>140</v>
      </c>
      <c r="K279" s="53">
        <v>30</v>
      </c>
      <c r="L279" s="53"/>
      <c r="M279" s="54" t="s">
        <v>1508</v>
      </c>
      <c r="N279" s="54" t="s">
        <v>155</v>
      </c>
      <c r="O279" s="53"/>
      <c r="P279" s="55"/>
      <c r="Q279" s="56" t="s">
        <v>1045</v>
      </c>
      <c r="R279" s="52" t="s">
        <v>152</v>
      </c>
      <c r="S279" s="293" t="s">
        <v>1063</v>
      </c>
      <c r="T279" s="293" t="s">
        <v>1064</v>
      </c>
      <c r="U279" s="147" t="s">
        <v>1065</v>
      </c>
      <c r="V279" s="147" t="s">
        <v>1509</v>
      </c>
      <c r="W279" s="53"/>
      <c r="X279" s="52" t="s">
        <v>1050</v>
      </c>
      <c r="Y279" s="55" t="s">
        <v>1067</v>
      </c>
      <c r="Z279" s="55" t="s">
        <v>558</v>
      </c>
      <c r="AA279" s="53" t="s">
        <v>351</v>
      </c>
      <c r="AC279" s="24"/>
    </row>
    <row r="280" spans="2:29" ht="120" customHeight="1" x14ac:dyDescent="0.25">
      <c r="B280" s="52" t="s">
        <v>43</v>
      </c>
      <c r="C280" s="52" t="s">
        <v>1499</v>
      </c>
      <c r="D280" s="52" t="s">
        <v>1500</v>
      </c>
      <c r="E280" s="53">
        <v>2</v>
      </c>
      <c r="F280" s="52" t="s">
        <v>1068</v>
      </c>
      <c r="G280" s="52" t="s">
        <v>1069</v>
      </c>
      <c r="H280" s="55" t="s">
        <v>166</v>
      </c>
      <c r="I280" s="53">
        <v>4</v>
      </c>
      <c r="J280" s="52" t="s">
        <v>140</v>
      </c>
      <c r="K280" s="53">
        <v>10</v>
      </c>
      <c r="L280" s="53"/>
      <c r="M280" s="54" t="s">
        <v>1070</v>
      </c>
      <c r="N280" s="54"/>
      <c r="O280" s="53"/>
      <c r="P280" s="55"/>
      <c r="Q280" s="56"/>
      <c r="R280" s="52"/>
      <c r="S280" s="293" t="s">
        <v>1063</v>
      </c>
      <c r="T280" s="293" t="s">
        <v>1071</v>
      </c>
      <c r="U280" s="54" t="s">
        <v>1072</v>
      </c>
      <c r="V280" s="54" t="s">
        <v>1510</v>
      </c>
      <c r="W280" s="53"/>
      <c r="X280" s="52" t="s">
        <v>1050</v>
      </c>
      <c r="Y280" s="55" t="s">
        <v>1051</v>
      </c>
      <c r="Z280" s="55" t="s">
        <v>1074</v>
      </c>
      <c r="AA280" s="53" t="s">
        <v>351</v>
      </c>
      <c r="AC280" s="24"/>
    </row>
    <row r="281" spans="2:29" ht="120" customHeight="1" x14ac:dyDescent="0.25">
      <c r="B281" s="52" t="s">
        <v>43</v>
      </c>
      <c r="C281" s="52" t="s">
        <v>1499</v>
      </c>
      <c r="D281" s="52" t="s">
        <v>1500</v>
      </c>
      <c r="E281" s="53">
        <v>2</v>
      </c>
      <c r="F281" s="52" t="s">
        <v>1075</v>
      </c>
      <c r="G281" s="52" t="s">
        <v>1076</v>
      </c>
      <c r="H281" s="55" t="s">
        <v>216</v>
      </c>
      <c r="I281" s="53">
        <v>5</v>
      </c>
      <c r="J281" s="52" t="s">
        <v>140</v>
      </c>
      <c r="K281" s="53">
        <v>10</v>
      </c>
      <c r="L281" s="53"/>
      <c r="M281" s="54" t="s">
        <v>1511</v>
      </c>
      <c r="N281" s="54"/>
      <c r="O281" s="53"/>
      <c r="P281" s="55"/>
      <c r="Q281" s="56" t="s">
        <v>1045</v>
      </c>
      <c r="R281" s="52" t="s">
        <v>1078</v>
      </c>
      <c r="S281" s="293" t="s">
        <v>1046</v>
      </c>
      <c r="T281" s="293" t="s">
        <v>1047</v>
      </c>
      <c r="U281" s="54" t="s">
        <v>1079</v>
      </c>
      <c r="V281" s="54" t="s">
        <v>1512</v>
      </c>
      <c r="W281" s="53"/>
      <c r="X281" s="52" t="s">
        <v>1050</v>
      </c>
      <c r="Y281" s="81" t="s">
        <v>1051</v>
      </c>
      <c r="Z281" s="72" t="s">
        <v>1081</v>
      </c>
      <c r="AA281" s="53" t="s">
        <v>351</v>
      </c>
      <c r="AB281" s="51"/>
      <c r="AC281" s="24"/>
    </row>
    <row r="282" spans="2:29" ht="120" customHeight="1" x14ac:dyDescent="0.25">
      <c r="B282" s="52" t="s">
        <v>43</v>
      </c>
      <c r="C282" s="52" t="s">
        <v>1499</v>
      </c>
      <c r="D282" s="52" t="s">
        <v>1500</v>
      </c>
      <c r="E282" s="53">
        <v>2</v>
      </c>
      <c r="F282" s="52" t="s">
        <v>1082</v>
      </c>
      <c r="G282" s="52" t="s">
        <v>1083</v>
      </c>
      <c r="H282" s="55" t="s">
        <v>216</v>
      </c>
      <c r="I282" s="53">
        <v>6</v>
      </c>
      <c r="J282" s="52" t="s">
        <v>140</v>
      </c>
      <c r="K282" s="53">
        <v>10</v>
      </c>
      <c r="L282" s="53"/>
      <c r="M282" s="54" t="s">
        <v>1513</v>
      </c>
      <c r="N282" s="54"/>
      <c r="O282" s="53"/>
      <c r="P282" s="55"/>
      <c r="Q282" s="56" t="s">
        <v>1045</v>
      </c>
      <c r="R282" s="52" t="s">
        <v>1085</v>
      </c>
      <c r="S282" s="293" t="s">
        <v>1046</v>
      </c>
      <c r="T282" s="293" t="s">
        <v>1047</v>
      </c>
      <c r="U282" s="54" t="s">
        <v>1086</v>
      </c>
      <c r="V282" s="54" t="s">
        <v>1514</v>
      </c>
      <c r="W282" s="53"/>
      <c r="X282" s="52" t="s">
        <v>1050</v>
      </c>
      <c r="Y282" s="81" t="s">
        <v>1051</v>
      </c>
      <c r="Z282" s="72" t="s">
        <v>1088</v>
      </c>
      <c r="AA282" s="53" t="s">
        <v>351</v>
      </c>
      <c r="AB282" s="51"/>
      <c r="AC282" s="24"/>
    </row>
    <row r="283" spans="2:29" ht="120" customHeight="1" x14ac:dyDescent="0.25">
      <c r="B283" s="52" t="s">
        <v>43</v>
      </c>
      <c r="C283" s="52" t="s">
        <v>1499</v>
      </c>
      <c r="D283" s="52" t="s">
        <v>1500</v>
      </c>
      <c r="E283" s="53">
        <v>2</v>
      </c>
      <c r="F283" s="52" t="s">
        <v>1089</v>
      </c>
      <c r="G283" s="52" t="s">
        <v>1090</v>
      </c>
      <c r="H283" s="55" t="s">
        <v>1091</v>
      </c>
      <c r="I283" s="53">
        <v>7</v>
      </c>
      <c r="J283" s="52" t="s">
        <v>263</v>
      </c>
      <c r="K283" s="53">
        <v>23</v>
      </c>
      <c r="L283" s="53">
        <v>6</v>
      </c>
      <c r="M283" s="54" t="s">
        <v>1092</v>
      </c>
      <c r="N283" s="54"/>
      <c r="O283" s="53"/>
      <c r="P283" s="55"/>
      <c r="Q283" s="56" t="s">
        <v>1045</v>
      </c>
      <c r="R283" s="52" t="s">
        <v>1093</v>
      </c>
      <c r="S283" s="293" t="s">
        <v>1046</v>
      </c>
      <c r="T283" s="293" t="s">
        <v>1094</v>
      </c>
      <c r="U283" s="54" t="s">
        <v>1095</v>
      </c>
      <c r="V283" s="54" t="s">
        <v>1515</v>
      </c>
      <c r="W283" s="53"/>
      <c r="X283" s="52" t="s">
        <v>1050</v>
      </c>
      <c r="Y283" s="55" t="s">
        <v>1097</v>
      </c>
      <c r="Z283" s="72" t="s">
        <v>1098</v>
      </c>
      <c r="AA283" s="53" t="s">
        <v>351</v>
      </c>
      <c r="AC283" s="24"/>
    </row>
    <row r="284" spans="2:29" ht="120" customHeight="1" x14ac:dyDescent="0.25">
      <c r="B284" s="52" t="s">
        <v>43</v>
      </c>
      <c r="C284" s="52" t="s">
        <v>1499</v>
      </c>
      <c r="D284" s="52" t="s">
        <v>1500</v>
      </c>
      <c r="E284" s="53">
        <v>2</v>
      </c>
      <c r="F284" s="52" t="s">
        <v>1099</v>
      </c>
      <c r="G284" s="52" t="s">
        <v>1100</v>
      </c>
      <c r="H284" s="55" t="s">
        <v>1091</v>
      </c>
      <c r="I284" s="53">
        <v>8</v>
      </c>
      <c r="J284" s="52" t="s">
        <v>263</v>
      </c>
      <c r="K284" s="53">
        <v>23</v>
      </c>
      <c r="L284" s="53">
        <v>6</v>
      </c>
      <c r="M284" s="54" t="s">
        <v>1101</v>
      </c>
      <c r="N284" s="54"/>
      <c r="O284" s="53"/>
      <c r="P284" s="55"/>
      <c r="Q284" s="56" t="s">
        <v>1045</v>
      </c>
      <c r="R284" s="52" t="s">
        <v>1102</v>
      </c>
      <c r="S284" s="293" t="s">
        <v>1046</v>
      </c>
      <c r="T284" s="293" t="s">
        <v>1094</v>
      </c>
      <c r="U284" s="54" t="s">
        <v>1103</v>
      </c>
      <c r="V284" s="54" t="s">
        <v>1516</v>
      </c>
      <c r="W284" s="53"/>
      <c r="X284" s="52" t="s">
        <v>1050</v>
      </c>
      <c r="Y284" s="55" t="s">
        <v>1097</v>
      </c>
      <c r="Z284" s="55" t="s">
        <v>1105</v>
      </c>
      <c r="AA284" s="53" t="s">
        <v>351</v>
      </c>
      <c r="AC284" s="24"/>
    </row>
    <row r="285" spans="2:29" ht="120" customHeight="1" x14ac:dyDescent="0.25">
      <c r="B285" s="52" t="s">
        <v>43</v>
      </c>
      <c r="C285" s="52" t="s">
        <v>1499</v>
      </c>
      <c r="D285" s="52" t="s">
        <v>1500</v>
      </c>
      <c r="E285" s="53">
        <v>2</v>
      </c>
      <c r="F285" s="52" t="s">
        <v>1106</v>
      </c>
      <c r="G285" s="52" t="s">
        <v>1107</v>
      </c>
      <c r="H285" s="55" t="s">
        <v>303</v>
      </c>
      <c r="I285" s="53">
        <v>9</v>
      </c>
      <c r="J285" s="52" t="s">
        <v>140</v>
      </c>
      <c r="K285" s="53">
        <v>20</v>
      </c>
      <c r="L285" s="53"/>
      <c r="M285" s="54" t="s">
        <v>1517</v>
      </c>
      <c r="N285" s="54"/>
      <c r="O285" s="53"/>
      <c r="P285" s="54" t="s">
        <v>1109</v>
      </c>
      <c r="Q285" s="56" t="s">
        <v>1045</v>
      </c>
      <c r="R285" s="52" t="s">
        <v>1110</v>
      </c>
      <c r="S285" s="56" t="s">
        <v>1111</v>
      </c>
      <c r="T285" s="56" t="s">
        <v>1057</v>
      </c>
      <c r="U285" s="56" t="s">
        <v>147</v>
      </c>
      <c r="V285" s="56" t="s">
        <v>1518</v>
      </c>
      <c r="W285" s="53"/>
      <c r="X285" s="52" t="s">
        <v>1050</v>
      </c>
      <c r="Y285" s="81" t="s">
        <v>1051</v>
      </c>
      <c r="Z285" s="72" t="s">
        <v>1113</v>
      </c>
      <c r="AA285" s="53" t="s">
        <v>351</v>
      </c>
      <c r="AC285" s="24"/>
    </row>
    <row r="286" spans="2:29" ht="120" customHeight="1" x14ac:dyDescent="0.25">
      <c r="B286" s="52" t="s">
        <v>43</v>
      </c>
      <c r="C286" s="52" t="s">
        <v>1499</v>
      </c>
      <c r="D286" s="52" t="s">
        <v>1500</v>
      </c>
      <c r="E286" s="53">
        <v>2</v>
      </c>
      <c r="F286" s="52" t="s">
        <v>329</v>
      </c>
      <c r="G286" s="52" t="s">
        <v>330</v>
      </c>
      <c r="H286" s="52" t="s">
        <v>331</v>
      </c>
      <c r="I286" s="53">
        <v>10</v>
      </c>
      <c r="J286" s="52" t="s">
        <v>140</v>
      </c>
      <c r="K286" s="53">
        <v>10</v>
      </c>
      <c r="L286" s="53"/>
      <c r="M286" s="54" t="s">
        <v>332</v>
      </c>
      <c r="N286" s="54" t="s">
        <v>333</v>
      </c>
      <c r="O286" s="53" t="s">
        <v>142</v>
      </c>
      <c r="P286" s="55"/>
      <c r="Q286" s="56"/>
      <c r="R286" s="52"/>
      <c r="S286" s="293" t="s">
        <v>1046</v>
      </c>
      <c r="T286" s="293" t="s">
        <v>1047</v>
      </c>
      <c r="U286" s="54" t="s">
        <v>686</v>
      </c>
      <c r="V286" s="54" t="s">
        <v>1519</v>
      </c>
      <c r="W286" s="53"/>
      <c r="X286" s="52" t="s">
        <v>351</v>
      </c>
      <c r="Y286" s="52" t="s">
        <v>351</v>
      </c>
      <c r="Z286" s="52" t="s">
        <v>351</v>
      </c>
      <c r="AA286" s="53" t="s">
        <v>351</v>
      </c>
      <c r="AC286" s="24"/>
    </row>
    <row r="287" spans="2:29" ht="120" customHeight="1" x14ac:dyDescent="0.25">
      <c r="B287" s="52" t="s">
        <v>43</v>
      </c>
      <c r="C287" s="52" t="s">
        <v>1499</v>
      </c>
      <c r="D287" s="52" t="s">
        <v>1500</v>
      </c>
      <c r="E287" s="53">
        <v>2</v>
      </c>
      <c r="F287" s="52" t="s">
        <v>336</v>
      </c>
      <c r="G287" s="52" t="s">
        <v>337</v>
      </c>
      <c r="H287" s="52" t="s">
        <v>338</v>
      </c>
      <c r="I287" s="53">
        <v>11</v>
      </c>
      <c r="J287" s="52" t="s">
        <v>339</v>
      </c>
      <c r="K287" s="53">
        <v>23</v>
      </c>
      <c r="L287" s="53"/>
      <c r="M287" s="54" t="s">
        <v>340</v>
      </c>
      <c r="N287" s="54" t="s">
        <v>341</v>
      </c>
      <c r="O287" s="53"/>
      <c r="P287" s="55"/>
      <c r="Q287" s="56"/>
      <c r="R287" s="52"/>
      <c r="S287" s="293" t="s">
        <v>1046</v>
      </c>
      <c r="T287" s="293" t="s">
        <v>1047</v>
      </c>
      <c r="U287" s="54" t="s">
        <v>450</v>
      </c>
      <c r="V287" s="54" t="s">
        <v>1520</v>
      </c>
      <c r="W287" s="53"/>
      <c r="X287" s="52" t="s">
        <v>351</v>
      </c>
      <c r="Y287" s="52" t="s">
        <v>351</v>
      </c>
      <c r="Z287" s="52" t="s">
        <v>351</v>
      </c>
      <c r="AA287" s="53" t="s">
        <v>351</v>
      </c>
      <c r="AC287" s="24"/>
    </row>
    <row r="288" spans="2:29" ht="120" customHeight="1" x14ac:dyDescent="0.25">
      <c r="B288" s="52" t="s">
        <v>43</v>
      </c>
      <c r="C288" s="52" t="s">
        <v>1521</v>
      </c>
      <c r="D288" s="52" t="s">
        <v>1522</v>
      </c>
      <c r="E288" s="53">
        <v>1</v>
      </c>
      <c r="F288" s="52" t="s">
        <v>137</v>
      </c>
      <c r="G288" s="52" t="s">
        <v>138</v>
      </c>
      <c r="H288" s="52" t="s">
        <v>139</v>
      </c>
      <c r="I288" s="53">
        <v>1</v>
      </c>
      <c r="J288" s="52" t="s">
        <v>140</v>
      </c>
      <c r="K288" s="53">
        <v>4</v>
      </c>
      <c r="L288" s="53"/>
      <c r="M288" s="54" t="s">
        <v>141</v>
      </c>
      <c r="N288" s="54"/>
      <c r="O288" s="53" t="s">
        <v>142</v>
      </c>
      <c r="P288" s="55"/>
      <c r="Q288" s="56" t="s">
        <v>1523</v>
      </c>
      <c r="R288" s="56" t="s">
        <v>1201</v>
      </c>
      <c r="S288" s="54" t="s">
        <v>1118</v>
      </c>
      <c r="T288" s="54" t="s">
        <v>1119</v>
      </c>
      <c r="U288" s="54" t="s">
        <v>517</v>
      </c>
      <c r="V288" s="54" t="s">
        <v>1524</v>
      </c>
      <c r="W288" s="53"/>
      <c r="X288" s="52" t="s">
        <v>1050</v>
      </c>
      <c r="Y288" s="55" t="s">
        <v>351</v>
      </c>
      <c r="Z288" s="55" t="s">
        <v>351</v>
      </c>
      <c r="AA288" s="53" t="s">
        <v>353</v>
      </c>
      <c r="AC288" s="24"/>
    </row>
    <row r="289" spans="2:29" ht="120" customHeight="1" x14ac:dyDescent="0.25">
      <c r="B289" s="52" t="s">
        <v>43</v>
      </c>
      <c r="C289" s="52" t="s">
        <v>1521</v>
      </c>
      <c r="D289" s="52" t="s">
        <v>1522</v>
      </c>
      <c r="E289" s="53">
        <v>1</v>
      </c>
      <c r="F289" s="52" t="s">
        <v>152</v>
      </c>
      <c r="G289" s="52" t="s">
        <v>153</v>
      </c>
      <c r="H289" s="52" t="s">
        <v>139</v>
      </c>
      <c r="I289" s="53">
        <v>2</v>
      </c>
      <c r="J289" s="52" t="s">
        <v>140</v>
      </c>
      <c r="K289" s="53">
        <v>15</v>
      </c>
      <c r="L289" s="53"/>
      <c r="M289" s="54" t="s">
        <v>1525</v>
      </c>
      <c r="N289" s="54" t="s">
        <v>155</v>
      </c>
      <c r="O289" s="53" t="s">
        <v>142</v>
      </c>
      <c r="P289" s="55"/>
      <c r="Q289" s="56" t="s">
        <v>1523</v>
      </c>
      <c r="R289" s="56" t="s">
        <v>1201</v>
      </c>
      <c r="S289" s="54" t="s">
        <v>1046</v>
      </c>
      <c r="T289" s="54" t="s">
        <v>1124</v>
      </c>
      <c r="U289" s="54" t="s">
        <v>556</v>
      </c>
      <c r="V289" s="54" t="s">
        <v>1526</v>
      </c>
      <c r="W289" s="53"/>
      <c r="X289" s="52" t="s">
        <v>1050</v>
      </c>
      <c r="Y289" s="55" t="s">
        <v>1067</v>
      </c>
      <c r="Z289" s="55" t="s">
        <v>558</v>
      </c>
      <c r="AA289" s="53" t="s">
        <v>351</v>
      </c>
      <c r="AC289" s="24"/>
    </row>
    <row r="290" spans="2:29" ht="120" customHeight="1" x14ac:dyDescent="0.25">
      <c r="B290" s="52" t="s">
        <v>43</v>
      </c>
      <c r="C290" s="52" t="s">
        <v>1521</v>
      </c>
      <c r="D290" s="52" t="s">
        <v>1522</v>
      </c>
      <c r="E290" s="53">
        <v>1</v>
      </c>
      <c r="F290" s="52" t="s">
        <v>164</v>
      </c>
      <c r="G290" s="52" t="s">
        <v>165</v>
      </c>
      <c r="H290" s="52" t="s">
        <v>166</v>
      </c>
      <c r="I290" s="53">
        <v>3</v>
      </c>
      <c r="J290" s="52" t="s">
        <v>140</v>
      </c>
      <c r="K290" s="53">
        <v>20</v>
      </c>
      <c r="L290" s="53"/>
      <c r="M290" s="54" t="s">
        <v>167</v>
      </c>
      <c r="N290" s="54" t="s">
        <v>168</v>
      </c>
      <c r="O290" s="53"/>
      <c r="P290" s="54" t="s">
        <v>971</v>
      </c>
      <c r="Q290" s="54"/>
      <c r="R290" s="55"/>
      <c r="S290" s="54" t="s">
        <v>1118</v>
      </c>
      <c r="T290" s="54" t="s">
        <v>1119</v>
      </c>
      <c r="U290" s="54" t="s">
        <v>517</v>
      </c>
      <c r="V290" s="54" t="s">
        <v>1527</v>
      </c>
      <c r="W290" s="53"/>
      <c r="X290" s="52" t="s">
        <v>351</v>
      </c>
      <c r="Y290" s="55" t="s">
        <v>351</v>
      </c>
      <c r="Z290" s="55" t="s">
        <v>351</v>
      </c>
      <c r="AA290" s="53" t="s">
        <v>351</v>
      </c>
      <c r="AC290" s="24"/>
    </row>
    <row r="291" spans="2:29" ht="120" customHeight="1" x14ac:dyDescent="0.25">
      <c r="B291" s="52" t="s">
        <v>43</v>
      </c>
      <c r="C291" s="52" t="s">
        <v>1521</v>
      </c>
      <c r="D291" s="52" t="s">
        <v>1522</v>
      </c>
      <c r="E291" s="53">
        <v>1</v>
      </c>
      <c r="F291" s="52" t="s">
        <v>172</v>
      </c>
      <c r="G291" s="52" t="s">
        <v>173</v>
      </c>
      <c r="H291" s="52" t="s">
        <v>166</v>
      </c>
      <c r="I291" s="53">
        <v>4</v>
      </c>
      <c r="J291" s="52" t="s">
        <v>140</v>
      </c>
      <c r="K291" s="53">
        <v>20</v>
      </c>
      <c r="L291" s="53"/>
      <c r="M291" s="54" t="s">
        <v>174</v>
      </c>
      <c r="N291" s="54" t="s">
        <v>175</v>
      </c>
      <c r="O291" s="53"/>
      <c r="P291" s="54" t="s">
        <v>1127</v>
      </c>
      <c r="Q291" s="54" t="s">
        <v>219</v>
      </c>
      <c r="R291" s="55" t="s">
        <v>1528</v>
      </c>
      <c r="S291" s="54" t="s">
        <v>1063</v>
      </c>
      <c r="T291" s="54" t="s">
        <v>1128</v>
      </c>
      <c r="U291" s="54" t="s">
        <v>1129</v>
      </c>
      <c r="V291" s="54" t="s">
        <v>1529</v>
      </c>
      <c r="W291" s="53"/>
      <c r="X291" s="52" t="s">
        <v>1050</v>
      </c>
      <c r="Y291" s="55" t="s">
        <v>1131</v>
      </c>
      <c r="Z291" s="55" t="s">
        <v>534</v>
      </c>
      <c r="AA291" s="53" t="s">
        <v>351</v>
      </c>
      <c r="AC291" s="24"/>
    </row>
    <row r="292" spans="2:29" ht="120" customHeight="1" x14ac:dyDescent="0.25">
      <c r="B292" s="52" t="s">
        <v>43</v>
      </c>
      <c r="C292" s="52" t="s">
        <v>1521</v>
      </c>
      <c r="D292" s="52" t="s">
        <v>1522</v>
      </c>
      <c r="E292" s="53">
        <v>1</v>
      </c>
      <c r="F292" s="52" t="s">
        <v>184</v>
      </c>
      <c r="G292" s="52" t="s">
        <v>185</v>
      </c>
      <c r="H292" s="52" t="s">
        <v>166</v>
      </c>
      <c r="I292" s="53">
        <v>5</v>
      </c>
      <c r="J292" s="52" t="s">
        <v>140</v>
      </c>
      <c r="K292" s="53">
        <v>20</v>
      </c>
      <c r="L292" s="53"/>
      <c r="M292" s="54" t="s">
        <v>186</v>
      </c>
      <c r="N292" s="54" t="s">
        <v>187</v>
      </c>
      <c r="O292" s="53"/>
      <c r="P292" s="54" t="s">
        <v>1132</v>
      </c>
      <c r="Q292" s="54" t="s">
        <v>219</v>
      </c>
      <c r="R292" s="55" t="s">
        <v>1530</v>
      </c>
      <c r="S292" s="54" t="s">
        <v>1063</v>
      </c>
      <c r="T292" s="54" t="s">
        <v>1128</v>
      </c>
      <c r="U292" s="54" t="s">
        <v>1133</v>
      </c>
      <c r="V292" s="54" t="s">
        <v>1531</v>
      </c>
      <c r="W292" s="53"/>
      <c r="X292" s="52" t="s">
        <v>1050</v>
      </c>
      <c r="Y292" s="55" t="s">
        <v>1131</v>
      </c>
      <c r="Z292" s="55" t="s">
        <v>538</v>
      </c>
      <c r="AA292" s="53" t="s">
        <v>351</v>
      </c>
      <c r="AC292" s="24"/>
    </row>
    <row r="293" spans="2:29" ht="120" customHeight="1" x14ac:dyDescent="0.25">
      <c r="B293" s="52" t="s">
        <v>43</v>
      </c>
      <c r="C293" s="52" t="s">
        <v>1521</v>
      </c>
      <c r="D293" s="52" t="s">
        <v>1522</v>
      </c>
      <c r="E293" s="53">
        <v>1</v>
      </c>
      <c r="F293" s="52" t="s">
        <v>193</v>
      </c>
      <c r="G293" s="52" t="s">
        <v>194</v>
      </c>
      <c r="H293" s="52" t="s">
        <v>166</v>
      </c>
      <c r="I293" s="53">
        <v>6</v>
      </c>
      <c r="J293" s="52" t="s">
        <v>140</v>
      </c>
      <c r="K293" s="53">
        <v>4</v>
      </c>
      <c r="L293" s="53"/>
      <c r="M293" s="54" t="s">
        <v>1532</v>
      </c>
      <c r="N293" s="54"/>
      <c r="O293" s="53"/>
      <c r="P293" s="55"/>
      <c r="Q293" s="54" t="s">
        <v>1250</v>
      </c>
      <c r="R293" s="54" t="s">
        <v>197</v>
      </c>
      <c r="S293" s="54" t="s">
        <v>1118</v>
      </c>
      <c r="T293" s="54" t="s">
        <v>1119</v>
      </c>
      <c r="U293" s="54" t="s">
        <v>517</v>
      </c>
      <c r="V293" s="54" t="s">
        <v>1533</v>
      </c>
      <c r="W293" s="53"/>
      <c r="X293" s="52" t="s">
        <v>1050</v>
      </c>
      <c r="Y293" s="55" t="s">
        <v>351</v>
      </c>
      <c r="Z293" s="55" t="s">
        <v>351</v>
      </c>
      <c r="AA293" s="53" t="s">
        <v>353</v>
      </c>
      <c r="AC293" s="24"/>
    </row>
    <row r="294" spans="2:29" ht="120" customHeight="1" x14ac:dyDescent="0.25">
      <c r="B294" s="52" t="s">
        <v>43</v>
      </c>
      <c r="C294" s="52" t="s">
        <v>1521</v>
      </c>
      <c r="D294" s="52" t="s">
        <v>1522</v>
      </c>
      <c r="E294" s="53">
        <v>1</v>
      </c>
      <c r="F294" s="52" t="s">
        <v>203</v>
      </c>
      <c r="G294" s="52" t="s">
        <v>204</v>
      </c>
      <c r="H294" s="52" t="s">
        <v>166</v>
      </c>
      <c r="I294" s="53">
        <v>7</v>
      </c>
      <c r="J294" s="52" t="s">
        <v>140</v>
      </c>
      <c r="K294" s="53">
        <v>30</v>
      </c>
      <c r="L294" s="53"/>
      <c r="M294" s="54" t="s">
        <v>1534</v>
      </c>
      <c r="N294" s="54"/>
      <c r="O294" s="53"/>
      <c r="P294" s="55"/>
      <c r="Q294" s="54" t="s">
        <v>1250</v>
      </c>
      <c r="R294" s="54" t="s">
        <v>197</v>
      </c>
      <c r="S294" s="54" t="s">
        <v>1063</v>
      </c>
      <c r="T294" s="54" t="s">
        <v>1138</v>
      </c>
      <c r="U294" s="163" t="s">
        <v>1139</v>
      </c>
      <c r="V294" s="163" t="s">
        <v>1535</v>
      </c>
      <c r="W294" s="53"/>
      <c r="X294" s="52" t="s">
        <v>1050</v>
      </c>
      <c r="Y294" s="55" t="s">
        <v>1141</v>
      </c>
      <c r="Z294" s="55" t="s">
        <v>1536</v>
      </c>
      <c r="AA294" s="53" t="s">
        <v>351</v>
      </c>
      <c r="AC294" s="24"/>
    </row>
    <row r="295" spans="2:29" ht="120" customHeight="1" x14ac:dyDescent="0.25">
      <c r="B295" s="52" t="s">
        <v>43</v>
      </c>
      <c r="C295" s="52" t="s">
        <v>1521</v>
      </c>
      <c r="D295" s="52" t="s">
        <v>1522</v>
      </c>
      <c r="E295" s="53">
        <v>1</v>
      </c>
      <c r="F295" s="52" t="s">
        <v>214</v>
      </c>
      <c r="G295" s="52" t="s">
        <v>215</v>
      </c>
      <c r="H295" s="52" t="s">
        <v>216</v>
      </c>
      <c r="I295" s="53">
        <v>8</v>
      </c>
      <c r="J295" s="52" t="s">
        <v>140</v>
      </c>
      <c r="K295" s="53">
        <v>10</v>
      </c>
      <c r="L295" s="53"/>
      <c r="M295" s="54" t="s">
        <v>1537</v>
      </c>
      <c r="N295" s="54" t="s">
        <v>218</v>
      </c>
      <c r="O295" s="53"/>
      <c r="P295" s="55"/>
      <c r="Q295" s="54" t="s">
        <v>219</v>
      </c>
      <c r="R295" s="55" t="s">
        <v>214</v>
      </c>
      <c r="S295" s="54" t="s">
        <v>1046</v>
      </c>
      <c r="T295" s="293" t="s">
        <v>1124</v>
      </c>
      <c r="U295" s="54" t="s">
        <v>1144</v>
      </c>
      <c r="V295" s="54" t="s">
        <v>1538</v>
      </c>
      <c r="W295" s="94"/>
      <c r="X295" s="52" t="s">
        <v>1050</v>
      </c>
      <c r="Y295" s="55" t="s">
        <v>1067</v>
      </c>
      <c r="Z295" s="55" t="s">
        <v>1146</v>
      </c>
      <c r="AA295" s="53" t="s">
        <v>351</v>
      </c>
      <c r="AC295" s="24"/>
    </row>
    <row r="296" spans="2:29" ht="120" customHeight="1" x14ac:dyDescent="0.25">
      <c r="B296" s="52" t="s">
        <v>43</v>
      </c>
      <c r="C296" s="52" t="s">
        <v>1521</v>
      </c>
      <c r="D296" s="52" t="s">
        <v>1522</v>
      </c>
      <c r="E296" s="53">
        <v>1</v>
      </c>
      <c r="F296" s="52" t="s">
        <v>226</v>
      </c>
      <c r="G296" s="52" t="s">
        <v>227</v>
      </c>
      <c r="H296" s="52" t="s">
        <v>216</v>
      </c>
      <c r="I296" s="53">
        <v>9</v>
      </c>
      <c r="J296" s="52" t="s">
        <v>140</v>
      </c>
      <c r="K296" s="53">
        <v>10</v>
      </c>
      <c r="L296" s="53"/>
      <c r="M296" s="54" t="s">
        <v>710</v>
      </c>
      <c r="N296" s="54"/>
      <c r="O296" s="53"/>
      <c r="P296" s="55"/>
      <c r="Q296" s="54"/>
      <c r="R296" s="55"/>
      <c r="S296" s="163" t="s">
        <v>1046</v>
      </c>
      <c r="T296" s="299" t="s">
        <v>1124</v>
      </c>
      <c r="U296" s="54" t="s">
        <v>450</v>
      </c>
      <c r="V296" s="54" t="s">
        <v>1539</v>
      </c>
      <c r="W296" s="94"/>
      <c r="X296" s="52" t="s">
        <v>1050</v>
      </c>
      <c r="Y296" s="55" t="s">
        <v>351</v>
      </c>
      <c r="Z296" s="55" t="s">
        <v>351</v>
      </c>
      <c r="AA296" s="66" t="s">
        <v>712</v>
      </c>
      <c r="AC296" s="24"/>
    </row>
    <row r="297" spans="2:29" ht="120" customHeight="1" x14ac:dyDescent="0.25">
      <c r="B297" s="52" t="s">
        <v>43</v>
      </c>
      <c r="C297" s="52" t="s">
        <v>1521</v>
      </c>
      <c r="D297" s="52" t="s">
        <v>1522</v>
      </c>
      <c r="E297" s="53">
        <v>1</v>
      </c>
      <c r="F297" s="52" t="s">
        <v>238</v>
      </c>
      <c r="G297" s="52" t="s">
        <v>239</v>
      </c>
      <c r="H297" s="52" t="s">
        <v>1149</v>
      </c>
      <c r="I297" s="53">
        <v>10</v>
      </c>
      <c r="J297" s="52" t="s">
        <v>140</v>
      </c>
      <c r="K297" s="53">
        <v>3</v>
      </c>
      <c r="L297" s="53"/>
      <c r="M297" s="54" t="s">
        <v>1540</v>
      </c>
      <c r="N297" s="54"/>
      <c r="O297" s="53"/>
      <c r="P297" s="54" t="s">
        <v>1151</v>
      </c>
      <c r="Q297" s="54" t="s">
        <v>566</v>
      </c>
      <c r="R297" s="54" t="s">
        <v>245</v>
      </c>
      <c r="S297" s="54" t="s">
        <v>1046</v>
      </c>
      <c r="T297" s="293" t="s">
        <v>1124</v>
      </c>
      <c r="U297" s="54" t="s">
        <v>1152</v>
      </c>
      <c r="V297" s="54" t="s">
        <v>1541</v>
      </c>
      <c r="W297" s="94"/>
      <c r="X297" s="52" t="s">
        <v>1050</v>
      </c>
      <c r="Y297" s="55" t="s">
        <v>1067</v>
      </c>
      <c r="Z297" s="55" t="s">
        <v>1154</v>
      </c>
      <c r="AA297" s="53" t="s">
        <v>351</v>
      </c>
      <c r="AC297" s="24"/>
    </row>
    <row r="298" spans="2:29" ht="120" customHeight="1" x14ac:dyDescent="0.25">
      <c r="B298" s="52" t="s">
        <v>43</v>
      </c>
      <c r="C298" s="52" t="s">
        <v>1521</v>
      </c>
      <c r="D298" s="52" t="s">
        <v>1522</v>
      </c>
      <c r="E298" s="53">
        <v>1</v>
      </c>
      <c r="F298" s="52" t="s">
        <v>301</v>
      </c>
      <c r="G298" s="52" t="s">
        <v>302</v>
      </c>
      <c r="H298" s="52" t="s">
        <v>303</v>
      </c>
      <c r="I298" s="53">
        <v>11</v>
      </c>
      <c r="J298" s="52" t="s">
        <v>140</v>
      </c>
      <c r="K298" s="53">
        <v>3</v>
      </c>
      <c r="L298" s="53"/>
      <c r="M298" s="54" t="s">
        <v>1542</v>
      </c>
      <c r="N298" s="54" t="s">
        <v>1158</v>
      </c>
      <c r="O298" s="53"/>
      <c r="P298" s="54" t="s">
        <v>1159</v>
      </c>
      <c r="Q298" s="54" t="s">
        <v>307</v>
      </c>
      <c r="R298" s="55" t="s">
        <v>308</v>
      </c>
      <c r="S298" s="56" t="s">
        <v>1160</v>
      </c>
      <c r="T298" s="56" t="s">
        <v>1119</v>
      </c>
      <c r="U298" s="56" t="s">
        <v>517</v>
      </c>
      <c r="V298" s="298" t="s">
        <v>1543</v>
      </c>
      <c r="W298" s="53"/>
      <c r="X298" s="52" t="s">
        <v>1050</v>
      </c>
      <c r="Y298" s="55" t="s">
        <v>1067</v>
      </c>
      <c r="Z298" s="55" t="s">
        <v>1162</v>
      </c>
      <c r="AA298" s="53" t="s">
        <v>351</v>
      </c>
      <c r="AC298" s="24"/>
    </row>
    <row r="299" spans="2:29" ht="120" customHeight="1" x14ac:dyDescent="0.25">
      <c r="B299" s="52" t="s">
        <v>43</v>
      </c>
      <c r="C299" s="52" t="s">
        <v>1521</v>
      </c>
      <c r="D299" s="52" t="s">
        <v>1522</v>
      </c>
      <c r="E299" s="53">
        <v>1</v>
      </c>
      <c r="F299" s="52" t="s">
        <v>311</v>
      </c>
      <c r="G299" s="52" t="s">
        <v>312</v>
      </c>
      <c r="H299" s="55" t="s">
        <v>303</v>
      </c>
      <c r="I299" s="53">
        <v>12</v>
      </c>
      <c r="J299" s="52" t="s">
        <v>140</v>
      </c>
      <c r="K299" s="53">
        <v>3</v>
      </c>
      <c r="L299" s="53"/>
      <c r="M299" s="54" t="s">
        <v>1544</v>
      </c>
      <c r="N299" s="54" t="s">
        <v>314</v>
      </c>
      <c r="O299" s="53"/>
      <c r="P299" s="54" t="s">
        <v>1545</v>
      </c>
      <c r="Q299" s="56" t="s">
        <v>219</v>
      </c>
      <c r="R299" s="52" t="s">
        <v>316</v>
      </c>
      <c r="S299" s="56" t="s">
        <v>1546</v>
      </c>
      <c r="T299" s="56" t="s">
        <v>1547</v>
      </c>
      <c r="U299" s="56" t="s">
        <v>1548</v>
      </c>
      <c r="V299" s="298" t="s">
        <v>1549</v>
      </c>
      <c r="W299" s="53"/>
      <c r="X299" s="52" t="s">
        <v>1050</v>
      </c>
      <c r="Y299" s="67" t="s">
        <v>1550</v>
      </c>
      <c r="Z299" s="67" t="s">
        <v>1551</v>
      </c>
      <c r="AA299" s="53" t="s">
        <v>1552</v>
      </c>
      <c r="AC299" s="24"/>
    </row>
    <row r="300" spans="2:29" ht="120" customHeight="1" x14ac:dyDescent="0.25">
      <c r="B300" s="52" t="s">
        <v>43</v>
      </c>
      <c r="C300" s="52" t="s">
        <v>1521</v>
      </c>
      <c r="D300" s="52" t="s">
        <v>1522</v>
      </c>
      <c r="E300" s="53">
        <v>1</v>
      </c>
      <c r="F300" s="52" t="s">
        <v>322</v>
      </c>
      <c r="G300" s="52" t="s">
        <v>323</v>
      </c>
      <c r="H300" s="52" t="s">
        <v>324</v>
      </c>
      <c r="I300" s="53">
        <v>13</v>
      </c>
      <c r="J300" s="52" t="s">
        <v>140</v>
      </c>
      <c r="K300" s="53">
        <v>2</v>
      </c>
      <c r="L300" s="53"/>
      <c r="M300" s="54" t="s">
        <v>325</v>
      </c>
      <c r="N300" s="54"/>
      <c r="O300" s="53"/>
      <c r="P300" s="54" t="s">
        <v>1553</v>
      </c>
      <c r="Q300" s="54"/>
      <c r="R300" s="55"/>
      <c r="S300" s="54" t="s">
        <v>1046</v>
      </c>
      <c r="T300" s="293" t="s">
        <v>1124</v>
      </c>
      <c r="U300" s="96" t="s">
        <v>450</v>
      </c>
      <c r="V300" s="183" t="s">
        <v>1554</v>
      </c>
      <c r="W300" s="53"/>
      <c r="X300" s="52" t="s">
        <v>1050</v>
      </c>
      <c r="Y300" s="55" t="s">
        <v>351</v>
      </c>
      <c r="Z300" s="55" t="s">
        <v>351</v>
      </c>
      <c r="AA300" s="53" t="s">
        <v>1555</v>
      </c>
      <c r="AC300" s="24"/>
    </row>
    <row r="301" spans="2:29" ht="120" customHeight="1" x14ac:dyDescent="0.25">
      <c r="B301" s="52" t="s">
        <v>43</v>
      </c>
      <c r="C301" s="52" t="s">
        <v>1521</v>
      </c>
      <c r="D301" s="52" t="s">
        <v>1522</v>
      </c>
      <c r="E301" s="53">
        <v>2</v>
      </c>
      <c r="F301" s="52" t="s">
        <v>329</v>
      </c>
      <c r="G301" s="52" t="s">
        <v>330</v>
      </c>
      <c r="H301" s="52" t="s">
        <v>331</v>
      </c>
      <c r="I301" s="53">
        <v>14</v>
      </c>
      <c r="J301" s="52" t="s">
        <v>140</v>
      </c>
      <c r="K301" s="53">
        <v>10</v>
      </c>
      <c r="L301" s="53"/>
      <c r="M301" s="54" t="s">
        <v>332</v>
      </c>
      <c r="N301" s="54" t="s">
        <v>333</v>
      </c>
      <c r="O301" s="53" t="s">
        <v>142</v>
      </c>
      <c r="P301" s="55"/>
      <c r="Q301" s="54" t="s">
        <v>284</v>
      </c>
      <c r="R301" s="55" t="s">
        <v>685</v>
      </c>
      <c r="S301" s="54" t="s">
        <v>1046</v>
      </c>
      <c r="T301" s="54" t="s">
        <v>1124</v>
      </c>
      <c r="U301" s="147" t="s">
        <v>686</v>
      </c>
      <c r="V301" s="54" t="s">
        <v>1556</v>
      </c>
      <c r="W301" s="53"/>
      <c r="X301" s="52" t="s">
        <v>351</v>
      </c>
      <c r="Y301" s="55" t="s">
        <v>351</v>
      </c>
      <c r="Z301" s="55" t="s">
        <v>351</v>
      </c>
      <c r="AA301" s="53" t="s">
        <v>351</v>
      </c>
      <c r="AC301" s="24"/>
    </row>
    <row r="302" spans="2:29" ht="120" customHeight="1" x14ac:dyDescent="0.25">
      <c r="B302" s="52" t="s">
        <v>43</v>
      </c>
      <c r="C302" s="52" t="s">
        <v>1521</v>
      </c>
      <c r="D302" s="52" t="s">
        <v>1522</v>
      </c>
      <c r="E302" s="53">
        <v>2</v>
      </c>
      <c r="F302" s="52" t="s">
        <v>336</v>
      </c>
      <c r="G302" s="52" t="s">
        <v>337</v>
      </c>
      <c r="H302" s="52" t="s">
        <v>338</v>
      </c>
      <c r="I302" s="53">
        <v>15</v>
      </c>
      <c r="J302" s="52" t="s">
        <v>339</v>
      </c>
      <c r="K302" s="53">
        <v>23</v>
      </c>
      <c r="L302" s="53"/>
      <c r="M302" s="54" t="s">
        <v>340</v>
      </c>
      <c r="N302" s="54" t="s">
        <v>341</v>
      </c>
      <c r="O302" s="53"/>
      <c r="P302" s="55"/>
      <c r="Q302" s="54"/>
      <c r="R302" s="55"/>
      <c r="S302" s="54" t="s">
        <v>1046</v>
      </c>
      <c r="T302" s="54" t="s">
        <v>1124</v>
      </c>
      <c r="U302" s="54" t="s">
        <v>450</v>
      </c>
      <c r="V302" s="54" t="s">
        <v>1557</v>
      </c>
      <c r="W302" s="53"/>
      <c r="X302" s="52" t="s">
        <v>351</v>
      </c>
      <c r="Y302" s="55" t="s">
        <v>351</v>
      </c>
      <c r="Z302" s="55" t="s">
        <v>351</v>
      </c>
      <c r="AA302" s="53" t="s">
        <v>351</v>
      </c>
      <c r="AC302" s="24"/>
    </row>
    <row r="303" spans="2:29" ht="120" customHeight="1" x14ac:dyDescent="0.25">
      <c r="B303" s="52" t="s">
        <v>48</v>
      </c>
      <c r="C303" s="52" t="s">
        <v>1558</v>
      </c>
      <c r="D303" s="52" t="s">
        <v>1559</v>
      </c>
      <c r="E303" s="53">
        <v>1</v>
      </c>
      <c r="F303" s="52" t="s">
        <v>137</v>
      </c>
      <c r="G303" s="52" t="s">
        <v>138</v>
      </c>
      <c r="H303" s="52" t="s">
        <v>139</v>
      </c>
      <c r="I303" s="53">
        <v>1</v>
      </c>
      <c r="J303" s="52" t="s">
        <v>140</v>
      </c>
      <c r="K303" s="53">
        <v>4</v>
      </c>
      <c r="L303" s="53"/>
      <c r="M303" s="54" t="s">
        <v>141</v>
      </c>
      <c r="N303" s="54"/>
      <c r="O303" s="53" t="s">
        <v>142</v>
      </c>
      <c r="P303" s="52"/>
      <c r="Q303" s="56" t="s">
        <v>1200</v>
      </c>
      <c r="R303" s="56" t="s">
        <v>1201</v>
      </c>
      <c r="S303" s="54" t="s">
        <v>1046</v>
      </c>
      <c r="T303" s="54" t="s">
        <v>1124</v>
      </c>
      <c r="U303" s="54" t="s">
        <v>450</v>
      </c>
      <c r="V303" s="54" t="s">
        <v>1164</v>
      </c>
      <c r="W303" s="55"/>
      <c r="X303" s="56" t="s">
        <v>1560</v>
      </c>
      <c r="Y303" s="54" t="s">
        <v>342</v>
      </c>
      <c r="Z303" s="54" t="s">
        <v>342</v>
      </c>
      <c r="AA303" s="62" t="s">
        <v>1561</v>
      </c>
      <c r="AC303" s="24"/>
    </row>
    <row r="304" spans="2:29" ht="120" customHeight="1" x14ac:dyDescent="0.25">
      <c r="B304" s="52" t="s">
        <v>48</v>
      </c>
      <c r="C304" s="52" t="s">
        <v>1558</v>
      </c>
      <c r="D304" s="52" t="s">
        <v>1559</v>
      </c>
      <c r="E304" s="53">
        <v>1</v>
      </c>
      <c r="F304" s="52" t="s">
        <v>152</v>
      </c>
      <c r="G304" s="52" t="s">
        <v>153</v>
      </c>
      <c r="H304" s="52" t="s">
        <v>139</v>
      </c>
      <c r="I304" s="53">
        <v>2</v>
      </c>
      <c r="J304" s="52" t="s">
        <v>140</v>
      </c>
      <c r="K304" s="53">
        <v>30</v>
      </c>
      <c r="L304" s="53"/>
      <c r="M304" s="54" t="s">
        <v>154</v>
      </c>
      <c r="N304" s="54" t="s">
        <v>155</v>
      </c>
      <c r="O304" s="53" t="s">
        <v>142</v>
      </c>
      <c r="P304" s="52"/>
      <c r="Q304" s="56" t="s">
        <v>1200</v>
      </c>
      <c r="R304" s="56" t="s">
        <v>1201</v>
      </c>
      <c r="S304" s="52" t="s">
        <v>1562</v>
      </c>
      <c r="T304" s="52" t="s">
        <v>1563</v>
      </c>
      <c r="U304" s="52" t="s">
        <v>1564</v>
      </c>
      <c r="V304" s="56" t="s">
        <v>1565</v>
      </c>
      <c r="W304" s="53"/>
      <c r="X304" s="56" t="s">
        <v>1560</v>
      </c>
      <c r="Y304" s="54" t="s">
        <v>1566</v>
      </c>
      <c r="Z304" s="84" t="s">
        <v>1567</v>
      </c>
      <c r="AA304" s="62" t="s">
        <v>342</v>
      </c>
      <c r="AC304" s="24"/>
    </row>
    <row r="305" spans="2:29" ht="120" customHeight="1" x14ac:dyDescent="0.25">
      <c r="B305" s="68" t="s">
        <v>48</v>
      </c>
      <c r="C305" s="68" t="s">
        <v>1558</v>
      </c>
      <c r="D305" s="68" t="s">
        <v>1559</v>
      </c>
      <c r="E305" s="80">
        <v>1</v>
      </c>
      <c r="F305" s="68" t="s">
        <v>164</v>
      </c>
      <c r="G305" s="68" t="s">
        <v>165</v>
      </c>
      <c r="H305" s="77" t="s">
        <v>166</v>
      </c>
      <c r="I305" s="80">
        <v>3</v>
      </c>
      <c r="J305" s="68" t="s">
        <v>140</v>
      </c>
      <c r="K305" s="80">
        <v>20</v>
      </c>
      <c r="L305" s="80"/>
      <c r="M305" s="75" t="s">
        <v>167</v>
      </c>
      <c r="N305" s="75" t="s">
        <v>168</v>
      </c>
      <c r="O305" s="80"/>
      <c r="P305" s="75" t="s">
        <v>1568</v>
      </c>
      <c r="Q305" s="69"/>
      <c r="R305" s="68"/>
      <c r="S305" s="68"/>
      <c r="T305" s="68"/>
      <c r="U305" s="68"/>
      <c r="V305" s="68"/>
      <c r="W305" s="80"/>
      <c r="X305" s="75" t="s">
        <v>342</v>
      </c>
      <c r="Y305" s="75" t="s">
        <v>342</v>
      </c>
      <c r="Z305" s="75" t="s">
        <v>342</v>
      </c>
      <c r="AA305" s="78" t="s">
        <v>342</v>
      </c>
      <c r="AC305" s="24"/>
    </row>
    <row r="306" spans="2:29" ht="120" customHeight="1" x14ac:dyDescent="0.25">
      <c r="B306" s="52" t="s">
        <v>48</v>
      </c>
      <c r="C306" s="52" t="s">
        <v>1558</v>
      </c>
      <c r="D306" s="52" t="s">
        <v>1559</v>
      </c>
      <c r="E306" s="53">
        <v>1</v>
      </c>
      <c r="F306" s="52" t="s">
        <v>172</v>
      </c>
      <c r="G306" s="52" t="s">
        <v>173</v>
      </c>
      <c r="H306" s="55" t="s">
        <v>166</v>
      </c>
      <c r="I306" s="53">
        <v>4</v>
      </c>
      <c r="J306" s="52" t="s">
        <v>140</v>
      </c>
      <c r="K306" s="53">
        <v>3</v>
      </c>
      <c r="L306" s="53"/>
      <c r="M306" s="54" t="s">
        <v>174</v>
      </c>
      <c r="N306" s="54" t="s">
        <v>175</v>
      </c>
      <c r="O306" s="53"/>
      <c r="P306" s="56" t="s">
        <v>1569</v>
      </c>
      <c r="Q306" s="56" t="s">
        <v>177</v>
      </c>
      <c r="R306" s="56" t="s">
        <v>178</v>
      </c>
      <c r="S306" s="52" t="s">
        <v>1562</v>
      </c>
      <c r="T306" s="52" t="s">
        <v>1563</v>
      </c>
      <c r="U306" s="52" t="s">
        <v>351</v>
      </c>
      <c r="V306" s="56" t="s">
        <v>1570</v>
      </c>
      <c r="W306" s="53"/>
      <c r="X306" s="56" t="s">
        <v>1560</v>
      </c>
      <c r="Y306" s="67" t="s">
        <v>1571</v>
      </c>
      <c r="Z306" s="67" t="s">
        <v>1572</v>
      </c>
      <c r="AA306" s="62" t="s">
        <v>1573</v>
      </c>
      <c r="AC306" s="24"/>
    </row>
    <row r="307" spans="2:29" ht="120" customHeight="1" x14ac:dyDescent="0.25">
      <c r="B307" s="52" t="s">
        <v>48</v>
      </c>
      <c r="C307" s="52" t="s">
        <v>1558</v>
      </c>
      <c r="D307" s="52" t="s">
        <v>1559</v>
      </c>
      <c r="E307" s="53">
        <v>1</v>
      </c>
      <c r="F307" s="52" t="s">
        <v>184</v>
      </c>
      <c r="G307" s="52" t="s">
        <v>185</v>
      </c>
      <c r="H307" s="55" t="s">
        <v>166</v>
      </c>
      <c r="I307" s="53">
        <v>5</v>
      </c>
      <c r="J307" s="52" t="s">
        <v>140</v>
      </c>
      <c r="K307" s="53">
        <v>3</v>
      </c>
      <c r="L307" s="53"/>
      <c r="M307" s="54" t="s">
        <v>186</v>
      </c>
      <c r="N307" s="54" t="s">
        <v>187</v>
      </c>
      <c r="O307" s="53"/>
      <c r="P307" s="54" t="s">
        <v>1574</v>
      </c>
      <c r="Q307" s="56" t="s">
        <v>177</v>
      </c>
      <c r="R307" s="56" t="s">
        <v>189</v>
      </c>
      <c r="S307" s="56" t="s">
        <v>1575</v>
      </c>
      <c r="T307" s="56" t="s">
        <v>1576</v>
      </c>
      <c r="U307" s="56" t="s">
        <v>1577</v>
      </c>
      <c r="V307" s="56" t="s">
        <v>1578</v>
      </c>
      <c r="W307" s="53"/>
      <c r="X307" s="56" t="s">
        <v>1560</v>
      </c>
      <c r="Y307" s="67" t="s">
        <v>1579</v>
      </c>
      <c r="Z307" s="67" t="s">
        <v>1580</v>
      </c>
      <c r="AA307" s="62" t="s">
        <v>1581</v>
      </c>
      <c r="AC307" s="24"/>
    </row>
    <row r="308" spans="2:29" ht="120" customHeight="1" x14ac:dyDescent="0.25">
      <c r="B308" s="52" t="s">
        <v>48</v>
      </c>
      <c r="C308" s="52" t="s">
        <v>1558</v>
      </c>
      <c r="D308" s="52" t="s">
        <v>1559</v>
      </c>
      <c r="E308" s="53">
        <v>1</v>
      </c>
      <c r="F308" s="52" t="s">
        <v>193</v>
      </c>
      <c r="G308" s="52" t="s">
        <v>194</v>
      </c>
      <c r="H308" s="55" t="s">
        <v>166</v>
      </c>
      <c r="I308" s="53">
        <v>6</v>
      </c>
      <c r="J308" s="52" t="s">
        <v>140</v>
      </c>
      <c r="K308" s="53">
        <v>4</v>
      </c>
      <c r="L308" s="53"/>
      <c r="M308" s="79" t="s">
        <v>1582</v>
      </c>
      <c r="N308" s="54"/>
      <c r="O308" s="53"/>
      <c r="P308" s="55"/>
      <c r="Q308" s="56" t="s">
        <v>196</v>
      </c>
      <c r="R308" s="56" t="s">
        <v>197</v>
      </c>
      <c r="S308" s="56" t="s">
        <v>1575</v>
      </c>
      <c r="T308" s="56" t="s">
        <v>1583</v>
      </c>
      <c r="U308" s="56" t="s">
        <v>1584</v>
      </c>
      <c r="V308" s="56" t="s">
        <v>1585</v>
      </c>
      <c r="W308" s="53" t="s">
        <v>683</v>
      </c>
      <c r="X308" s="56" t="s">
        <v>1560</v>
      </c>
      <c r="Y308" s="67" t="s">
        <v>1586</v>
      </c>
      <c r="Z308" s="67" t="s">
        <v>1586</v>
      </c>
      <c r="AA308" s="62" t="s">
        <v>1587</v>
      </c>
      <c r="AC308" s="24"/>
    </row>
    <row r="309" spans="2:29" ht="120" customHeight="1" x14ac:dyDescent="0.25">
      <c r="B309" s="52" t="s">
        <v>48</v>
      </c>
      <c r="C309" s="52" t="s">
        <v>1558</v>
      </c>
      <c r="D309" s="52" t="s">
        <v>1559</v>
      </c>
      <c r="E309" s="53">
        <v>1</v>
      </c>
      <c r="F309" s="52" t="s">
        <v>203</v>
      </c>
      <c r="G309" s="52" t="s">
        <v>204</v>
      </c>
      <c r="H309" s="55" t="s">
        <v>166</v>
      </c>
      <c r="I309" s="53">
        <v>7</v>
      </c>
      <c r="J309" s="52" t="s">
        <v>140</v>
      </c>
      <c r="K309" s="53">
        <v>30</v>
      </c>
      <c r="L309" s="53"/>
      <c r="M309" s="54" t="s">
        <v>1588</v>
      </c>
      <c r="N309" s="54" t="s">
        <v>206</v>
      </c>
      <c r="O309" s="53"/>
      <c r="P309" s="55"/>
      <c r="Q309" s="56" t="s">
        <v>196</v>
      </c>
      <c r="R309" s="56" t="s">
        <v>197</v>
      </c>
      <c r="S309" s="56" t="s">
        <v>1575</v>
      </c>
      <c r="T309" s="56" t="s">
        <v>1583</v>
      </c>
      <c r="U309" s="56" t="s">
        <v>1584</v>
      </c>
      <c r="V309" s="56" t="s">
        <v>1589</v>
      </c>
      <c r="W309" s="53"/>
      <c r="X309" s="56" t="s">
        <v>1560</v>
      </c>
      <c r="Y309" s="54" t="s">
        <v>1590</v>
      </c>
      <c r="Z309" s="67" t="s">
        <v>1591</v>
      </c>
      <c r="AA309" s="62" t="s">
        <v>1592</v>
      </c>
      <c r="AC309" s="24"/>
    </row>
    <row r="310" spans="2:29" ht="120" customHeight="1" x14ac:dyDescent="0.25">
      <c r="B310" s="52" t="s">
        <v>48</v>
      </c>
      <c r="C310" s="52" t="s">
        <v>1558</v>
      </c>
      <c r="D310" s="52" t="s">
        <v>1559</v>
      </c>
      <c r="E310" s="53">
        <v>1</v>
      </c>
      <c r="F310" s="52" t="s">
        <v>1593</v>
      </c>
      <c r="G310" s="52" t="s">
        <v>1594</v>
      </c>
      <c r="H310" s="55" t="s">
        <v>166</v>
      </c>
      <c r="I310" s="53">
        <v>8</v>
      </c>
      <c r="J310" s="52" t="s">
        <v>140</v>
      </c>
      <c r="K310" s="53">
        <v>21</v>
      </c>
      <c r="L310" s="53"/>
      <c r="M310" s="54" t="s">
        <v>1595</v>
      </c>
      <c r="N310" s="54"/>
      <c r="O310" s="53"/>
      <c r="P310" s="55"/>
      <c r="Q310" s="54"/>
      <c r="R310" s="55"/>
      <c r="S310" s="56" t="s">
        <v>1575</v>
      </c>
      <c r="T310" s="56" t="s">
        <v>1583</v>
      </c>
      <c r="U310" s="56" t="s">
        <v>1584</v>
      </c>
      <c r="V310" s="56" t="s">
        <v>1596</v>
      </c>
      <c r="W310" s="53"/>
      <c r="X310" s="56" t="s">
        <v>1560</v>
      </c>
      <c r="Y310" s="54" t="s">
        <v>1597</v>
      </c>
      <c r="Z310" s="54" t="s">
        <v>1598</v>
      </c>
      <c r="AA310" s="62" t="s">
        <v>1599</v>
      </c>
      <c r="AC310" s="24"/>
    </row>
    <row r="311" spans="2:29" ht="120" customHeight="1" x14ac:dyDescent="0.25">
      <c r="B311" s="52" t="s">
        <v>48</v>
      </c>
      <c r="C311" s="52" t="s">
        <v>1558</v>
      </c>
      <c r="D311" s="52" t="s">
        <v>1559</v>
      </c>
      <c r="E311" s="53">
        <v>1</v>
      </c>
      <c r="F311" s="52" t="s">
        <v>1600</v>
      </c>
      <c r="G311" s="52" t="s">
        <v>1601</v>
      </c>
      <c r="H311" s="55" t="s">
        <v>166</v>
      </c>
      <c r="I311" s="53">
        <v>9</v>
      </c>
      <c r="J311" s="52" t="s">
        <v>140</v>
      </c>
      <c r="K311" s="53">
        <v>4</v>
      </c>
      <c r="L311" s="53"/>
      <c r="M311" s="54" t="s">
        <v>1602</v>
      </c>
      <c r="N311" s="54"/>
      <c r="O311" s="53"/>
      <c r="P311" s="55"/>
      <c r="Q311" s="56"/>
      <c r="R311" s="52"/>
      <c r="S311" s="56" t="s">
        <v>1575</v>
      </c>
      <c r="T311" s="56" t="s">
        <v>1583</v>
      </c>
      <c r="U311" s="56" t="s">
        <v>1603</v>
      </c>
      <c r="V311" s="56" t="s">
        <v>1604</v>
      </c>
      <c r="W311" s="53"/>
      <c r="X311" s="56" t="s">
        <v>1560</v>
      </c>
      <c r="Y311" s="67" t="s">
        <v>1586</v>
      </c>
      <c r="Z311" s="67" t="s">
        <v>1586</v>
      </c>
      <c r="AA311" s="62" t="s">
        <v>1605</v>
      </c>
      <c r="AC311" s="24"/>
    </row>
    <row r="312" spans="2:29" ht="120" customHeight="1" x14ac:dyDescent="0.25">
      <c r="B312" s="52" t="s">
        <v>48</v>
      </c>
      <c r="C312" s="52" t="s">
        <v>1558</v>
      </c>
      <c r="D312" s="52" t="s">
        <v>1559</v>
      </c>
      <c r="E312" s="53">
        <v>1</v>
      </c>
      <c r="F312" s="52" t="s">
        <v>1606</v>
      </c>
      <c r="G312" s="52" t="s">
        <v>1607</v>
      </c>
      <c r="H312" s="55" t="s">
        <v>166</v>
      </c>
      <c r="I312" s="53">
        <v>10</v>
      </c>
      <c r="J312" s="52" t="s">
        <v>140</v>
      </c>
      <c r="K312" s="53">
        <v>30</v>
      </c>
      <c r="L312" s="53"/>
      <c r="M312" s="54" t="s">
        <v>1608</v>
      </c>
      <c r="N312" s="54" t="s">
        <v>206</v>
      </c>
      <c r="O312" s="53"/>
      <c r="P312" s="55"/>
      <c r="Q312" s="56"/>
      <c r="R312" s="52"/>
      <c r="S312" s="56" t="s">
        <v>1575</v>
      </c>
      <c r="T312" s="56" t="s">
        <v>1583</v>
      </c>
      <c r="U312" s="56" t="s">
        <v>1603</v>
      </c>
      <c r="V312" s="56" t="s">
        <v>1609</v>
      </c>
      <c r="W312" s="53"/>
      <c r="X312" s="56" t="s">
        <v>1560</v>
      </c>
      <c r="Y312" s="54" t="s">
        <v>1610</v>
      </c>
      <c r="Z312" s="70" t="s">
        <v>1611</v>
      </c>
      <c r="AA312" s="62" t="s">
        <v>1612</v>
      </c>
      <c r="AC312" s="24"/>
    </row>
    <row r="313" spans="2:29" ht="120" customHeight="1" x14ac:dyDescent="0.25">
      <c r="B313" s="52" t="s">
        <v>48</v>
      </c>
      <c r="C313" s="52" t="s">
        <v>1558</v>
      </c>
      <c r="D313" s="52" t="s">
        <v>1559</v>
      </c>
      <c r="E313" s="53">
        <v>1</v>
      </c>
      <c r="F313" s="52" t="s">
        <v>1613</v>
      </c>
      <c r="G313" s="52" t="s">
        <v>1614</v>
      </c>
      <c r="H313" s="55" t="s">
        <v>166</v>
      </c>
      <c r="I313" s="53">
        <v>11</v>
      </c>
      <c r="J313" s="52" t="s">
        <v>140</v>
      </c>
      <c r="K313" s="53">
        <v>21</v>
      </c>
      <c r="L313" s="53"/>
      <c r="M313" s="54" t="s">
        <v>1615</v>
      </c>
      <c r="N313" s="54"/>
      <c r="O313" s="53"/>
      <c r="P313" s="55"/>
      <c r="Q313" s="54"/>
      <c r="R313" s="55"/>
      <c r="S313" s="56" t="s">
        <v>1575</v>
      </c>
      <c r="T313" s="56" t="s">
        <v>1583</v>
      </c>
      <c r="U313" s="56" t="s">
        <v>1603</v>
      </c>
      <c r="V313" s="56" t="s">
        <v>1616</v>
      </c>
      <c r="W313" s="53"/>
      <c r="X313" s="56" t="s">
        <v>1560</v>
      </c>
      <c r="Y313" s="54" t="s">
        <v>1597</v>
      </c>
      <c r="Z313" s="70" t="s">
        <v>1617</v>
      </c>
      <c r="AA313" s="62" t="s">
        <v>1599</v>
      </c>
      <c r="AC313" s="24"/>
    </row>
    <row r="314" spans="2:29" ht="120" customHeight="1" x14ac:dyDescent="0.25">
      <c r="B314" s="52" t="s">
        <v>48</v>
      </c>
      <c r="C314" s="52" t="s">
        <v>1558</v>
      </c>
      <c r="D314" s="52" t="s">
        <v>1559</v>
      </c>
      <c r="E314" s="53">
        <v>1</v>
      </c>
      <c r="F314" s="52" t="s">
        <v>550</v>
      </c>
      <c r="G314" s="52" t="s">
        <v>551</v>
      </c>
      <c r="H314" s="55" t="s">
        <v>166</v>
      </c>
      <c r="I314" s="53">
        <v>12</v>
      </c>
      <c r="J314" s="52" t="s">
        <v>140</v>
      </c>
      <c r="K314" s="53">
        <v>4</v>
      </c>
      <c r="L314" s="53"/>
      <c r="M314" s="54" t="s">
        <v>1618</v>
      </c>
      <c r="N314" s="54"/>
      <c r="O314" s="53"/>
      <c r="P314" s="52"/>
      <c r="Q314" s="56"/>
      <c r="R314" s="52"/>
      <c r="S314" s="52" t="s">
        <v>1562</v>
      </c>
      <c r="T314" s="52" t="s">
        <v>1563</v>
      </c>
      <c r="U314" s="52" t="s">
        <v>351</v>
      </c>
      <c r="V314" s="56" t="s">
        <v>1619</v>
      </c>
      <c r="W314" s="53"/>
      <c r="X314" s="56" t="s">
        <v>1560</v>
      </c>
      <c r="Y314" s="67" t="s">
        <v>342</v>
      </c>
      <c r="Z314" s="67" t="s">
        <v>342</v>
      </c>
      <c r="AA314" s="62" t="s">
        <v>1620</v>
      </c>
      <c r="AC314" s="24"/>
    </row>
    <row r="315" spans="2:29" ht="120" customHeight="1" x14ac:dyDescent="0.25">
      <c r="B315" s="52" t="s">
        <v>48</v>
      </c>
      <c r="C315" s="52" t="s">
        <v>1558</v>
      </c>
      <c r="D315" s="52" t="s">
        <v>1559</v>
      </c>
      <c r="E315" s="53">
        <v>1</v>
      </c>
      <c r="F315" s="52" t="s">
        <v>553</v>
      </c>
      <c r="G315" s="52" t="s">
        <v>554</v>
      </c>
      <c r="H315" s="52" t="s">
        <v>166</v>
      </c>
      <c r="I315" s="53">
        <v>13</v>
      </c>
      <c r="J315" s="52" t="s">
        <v>140</v>
      </c>
      <c r="K315" s="53">
        <v>15</v>
      </c>
      <c r="L315" s="53"/>
      <c r="M315" s="54" t="s">
        <v>1621</v>
      </c>
      <c r="N315" s="54"/>
      <c r="O315" s="53"/>
      <c r="P315" s="52"/>
      <c r="Q315" s="56"/>
      <c r="R315" s="52"/>
      <c r="S315" s="52" t="s">
        <v>1562</v>
      </c>
      <c r="T315" s="52" t="s">
        <v>1563</v>
      </c>
      <c r="U315" s="52" t="s">
        <v>1622</v>
      </c>
      <c r="V315" s="56" t="s">
        <v>1623</v>
      </c>
      <c r="W315" s="53"/>
      <c r="X315" s="56" t="s">
        <v>1560</v>
      </c>
      <c r="Y315" s="54" t="s">
        <v>1624</v>
      </c>
      <c r="Z315" s="54" t="s">
        <v>1625</v>
      </c>
      <c r="AA315" s="62" t="s">
        <v>1626</v>
      </c>
      <c r="AC315" s="24"/>
    </row>
    <row r="316" spans="2:29" ht="120" customHeight="1" x14ac:dyDescent="0.25">
      <c r="B316" s="52" t="s">
        <v>48</v>
      </c>
      <c r="C316" s="52" t="s">
        <v>1558</v>
      </c>
      <c r="D316" s="52" t="s">
        <v>1559</v>
      </c>
      <c r="E316" s="53">
        <v>1</v>
      </c>
      <c r="F316" s="52" t="s">
        <v>214</v>
      </c>
      <c r="G316" s="52" t="s">
        <v>215</v>
      </c>
      <c r="H316" s="55" t="s">
        <v>216</v>
      </c>
      <c r="I316" s="53">
        <v>14</v>
      </c>
      <c r="J316" s="52" t="s">
        <v>952</v>
      </c>
      <c r="K316" s="53">
        <v>10</v>
      </c>
      <c r="L316" s="53"/>
      <c r="M316" s="54" t="s">
        <v>217</v>
      </c>
      <c r="N316" s="54" t="s">
        <v>218</v>
      </c>
      <c r="O316" s="53"/>
      <c r="P316" s="52"/>
      <c r="Q316" s="56" t="s">
        <v>219</v>
      </c>
      <c r="R316" s="52" t="s">
        <v>214</v>
      </c>
      <c r="S316" s="52"/>
      <c r="T316" s="52"/>
      <c r="U316" s="52"/>
      <c r="V316" s="52"/>
      <c r="W316" s="53"/>
      <c r="X316" s="56" t="s">
        <v>1560</v>
      </c>
      <c r="Y316" s="54" t="s">
        <v>1627</v>
      </c>
      <c r="Z316" s="67" t="s">
        <v>1628</v>
      </c>
      <c r="AA316" s="62" t="s">
        <v>342</v>
      </c>
      <c r="AC316" s="24"/>
    </row>
    <row r="317" spans="2:29" ht="120" customHeight="1" x14ac:dyDescent="0.25">
      <c r="B317" s="52" t="s">
        <v>48</v>
      </c>
      <c r="C317" s="52" t="s">
        <v>1558</v>
      </c>
      <c r="D317" s="52" t="s">
        <v>1559</v>
      </c>
      <c r="E317" s="53">
        <v>1</v>
      </c>
      <c r="F317" s="52" t="s">
        <v>226</v>
      </c>
      <c r="G317" s="52" t="s">
        <v>227</v>
      </c>
      <c r="H317" s="55" t="s">
        <v>216</v>
      </c>
      <c r="I317" s="53">
        <v>15</v>
      </c>
      <c r="J317" s="52" t="s">
        <v>952</v>
      </c>
      <c r="K317" s="53">
        <v>10</v>
      </c>
      <c r="L317" s="53"/>
      <c r="M317" s="54" t="s">
        <v>228</v>
      </c>
      <c r="N317" s="54"/>
      <c r="O317" s="53"/>
      <c r="P317" s="55"/>
      <c r="Q317" s="56" t="s">
        <v>230</v>
      </c>
      <c r="R317" s="52" t="s">
        <v>226</v>
      </c>
      <c r="S317" s="52"/>
      <c r="T317" s="52"/>
      <c r="U317" s="52"/>
      <c r="V317" s="52"/>
      <c r="W317" s="53"/>
      <c r="X317" s="56" t="s">
        <v>1560</v>
      </c>
      <c r="Y317" s="54" t="s">
        <v>1627</v>
      </c>
      <c r="Z317" s="67" t="s">
        <v>1629</v>
      </c>
      <c r="AA317" s="62" t="s">
        <v>1630</v>
      </c>
      <c r="AC317" s="24"/>
    </row>
    <row r="318" spans="2:29" ht="120" customHeight="1" x14ac:dyDescent="0.25">
      <c r="B318" s="52" t="s">
        <v>48</v>
      </c>
      <c r="C318" s="52" t="s">
        <v>1558</v>
      </c>
      <c r="D318" s="52" t="s">
        <v>1559</v>
      </c>
      <c r="E318" s="53">
        <v>1</v>
      </c>
      <c r="F318" s="52" t="s">
        <v>238</v>
      </c>
      <c r="G318" s="52" t="s">
        <v>239</v>
      </c>
      <c r="H318" s="55" t="s">
        <v>240</v>
      </c>
      <c r="I318" s="53">
        <v>16</v>
      </c>
      <c r="J318" s="52" t="s">
        <v>140</v>
      </c>
      <c r="K318" s="53">
        <v>3</v>
      </c>
      <c r="L318" s="53"/>
      <c r="M318" s="54" t="s">
        <v>241</v>
      </c>
      <c r="N318" s="54" t="s">
        <v>1631</v>
      </c>
      <c r="O318" s="53"/>
      <c r="P318" s="56" t="s">
        <v>1632</v>
      </c>
      <c r="Q318" s="56" t="s">
        <v>566</v>
      </c>
      <c r="R318" s="56" t="s">
        <v>245</v>
      </c>
      <c r="S318" s="52"/>
      <c r="T318" s="52"/>
      <c r="U318" s="52"/>
      <c r="V318" s="52"/>
      <c r="W318" s="53"/>
      <c r="X318" s="56" t="s">
        <v>1633</v>
      </c>
      <c r="Y318" s="54" t="s">
        <v>1634</v>
      </c>
      <c r="Z318" s="67" t="s">
        <v>1635</v>
      </c>
      <c r="AA318" s="62" t="s">
        <v>1636</v>
      </c>
      <c r="AC318" s="24"/>
    </row>
    <row r="319" spans="2:29" ht="120" customHeight="1" x14ac:dyDescent="0.25">
      <c r="B319" s="52" t="s">
        <v>48</v>
      </c>
      <c r="C319" s="52" t="s">
        <v>1558</v>
      </c>
      <c r="D319" s="52" t="s">
        <v>1559</v>
      </c>
      <c r="E319" s="53">
        <v>1</v>
      </c>
      <c r="F319" s="52" t="s">
        <v>253</v>
      </c>
      <c r="G319" s="52" t="s">
        <v>254</v>
      </c>
      <c r="H319" s="55" t="s">
        <v>255</v>
      </c>
      <c r="I319" s="53">
        <v>17</v>
      </c>
      <c r="J319" s="52" t="s">
        <v>1637</v>
      </c>
      <c r="K319" s="53"/>
      <c r="L319" s="53"/>
      <c r="M319" s="54" t="s">
        <v>256</v>
      </c>
      <c r="N319" s="54"/>
      <c r="O319" s="53"/>
      <c r="P319" s="55"/>
      <c r="Q319" s="65"/>
      <c r="R319" s="63"/>
      <c r="S319" s="63"/>
      <c r="T319" s="63"/>
      <c r="U319" s="63"/>
      <c r="V319" s="63"/>
      <c r="W319" s="73"/>
      <c r="X319" s="56" t="s">
        <v>1560</v>
      </c>
      <c r="Y319" s="54" t="s">
        <v>342</v>
      </c>
      <c r="Z319" s="54" t="s">
        <v>342</v>
      </c>
      <c r="AA319" s="62" t="s">
        <v>1638</v>
      </c>
      <c r="AC319" s="24"/>
    </row>
    <row r="320" spans="2:29" ht="120" customHeight="1" x14ac:dyDescent="0.25">
      <c r="B320" s="52" t="s">
        <v>48</v>
      </c>
      <c r="C320" s="52" t="s">
        <v>1558</v>
      </c>
      <c r="D320" s="52" t="s">
        <v>1559</v>
      </c>
      <c r="E320" s="53">
        <v>1</v>
      </c>
      <c r="F320" s="52" t="s">
        <v>272</v>
      </c>
      <c r="G320" s="52" t="s">
        <v>273</v>
      </c>
      <c r="H320" s="52" t="s">
        <v>262</v>
      </c>
      <c r="I320" s="53">
        <v>18</v>
      </c>
      <c r="J320" s="52" t="s">
        <v>263</v>
      </c>
      <c r="K320" s="53">
        <v>23</v>
      </c>
      <c r="L320" s="53">
        <v>6</v>
      </c>
      <c r="M320" s="54" t="s">
        <v>1639</v>
      </c>
      <c r="N320" s="54"/>
      <c r="O320" s="53"/>
      <c r="P320" s="55"/>
      <c r="Q320" s="56"/>
      <c r="R320" s="52"/>
      <c r="S320" s="52"/>
      <c r="T320" s="52"/>
      <c r="U320" s="52"/>
      <c r="V320" s="52"/>
      <c r="W320" s="53"/>
      <c r="X320" s="56" t="s">
        <v>1560</v>
      </c>
      <c r="Y320" s="67" t="s">
        <v>1640</v>
      </c>
      <c r="Z320" s="67" t="s">
        <v>1641</v>
      </c>
      <c r="AA320" s="62" t="s">
        <v>1642</v>
      </c>
      <c r="AC320" s="24"/>
    </row>
    <row r="321" spans="2:29" ht="120" customHeight="1" x14ac:dyDescent="0.25">
      <c r="B321" s="52" t="s">
        <v>48</v>
      </c>
      <c r="C321" s="52" t="s">
        <v>1558</v>
      </c>
      <c r="D321" s="52" t="s">
        <v>1559</v>
      </c>
      <c r="E321" s="53">
        <v>1</v>
      </c>
      <c r="F321" s="52" t="s">
        <v>801</v>
      </c>
      <c r="G321" s="57" t="s">
        <v>802</v>
      </c>
      <c r="H321" s="52" t="s">
        <v>262</v>
      </c>
      <c r="I321" s="53">
        <v>19</v>
      </c>
      <c r="J321" s="52" t="s">
        <v>263</v>
      </c>
      <c r="K321" s="53">
        <v>23</v>
      </c>
      <c r="L321" s="53">
        <v>6</v>
      </c>
      <c r="M321" s="54" t="s">
        <v>1643</v>
      </c>
      <c r="N321" s="54"/>
      <c r="O321" s="53"/>
      <c r="P321" s="55"/>
      <c r="Q321" s="54"/>
      <c r="R321" s="55"/>
      <c r="S321" s="52"/>
      <c r="T321" s="52"/>
      <c r="U321" s="52"/>
      <c r="V321" s="52"/>
      <c r="W321" s="53"/>
      <c r="X321" s="56" t="s">
        <v>1560</v>
      </c>
      <c r="Y321" s="54" t="s">
        <v>1644</v>
      </c>
      <c r="Z321" s="54" t="s">
        <v>1645</v>
      </c>
      <c r="AA321" s="62" t="s">
        <v>1642</v>
      </c>
      <c r="AC321" s="24"/>
    </row>
    <row r="322" spans="2:29" ht="120" customHeight="1" x14ac:dyDescent="0.25">
      <c r="B322" s="52" t="s">
        <v>48</v>
      </c>
      <c r="C322" s="52" t="s">
        <v>1558</v>
      </c>
      <c r="D322" s="52" t="s">
        <v>1559</v>
      </c>
      <c r="E322" s="53">
        <v>1</v>
      </c>
      <c r="F322" s="52" t="s">
        <v>1646</v>
      </c>
      <c r="G322" s="52" t="s">
        <v>1647</v>
      </c>
      <c r="H322" s="52" t="s">
        <v>262</v>
      </c>
      <c r="I322" s="53">
        <v>20</v>
      </c>
      <c r="J322" s="52" t="s">
        <v>263</v>
      </c>
      <c r="K322" s="53">
        <v>23</v>
      </c>
      <c r="L322" s="53">
        <v>6</v>
      </c>
      <c r="M322" s="54" t="s">
        <v>1648</v>
      </c>
      <c r="N322" s="54"/>
      <c r="O322" s="53"/>
      <c r="P322" s="55"/>
      <c r="Q322" s="54"/>
      <c r="R322" s="55"/>
      <c r="S322" s="52"/>
      <c r="T322" s="52"/>
      <c r="U322" s="52"/>
      <c r="V322" s="52"/>
      <c r="W322" s="53"/>
      <c r="X322" s="56" t="s">
        <v>1560</v>
      </c>
      <c r="Y322" s="54" t="s">
        <v>1649</v>
      </c>
      <c r="Z322" s="54" t="s">
        <v>1650</v>
      </c>
      <c r="AA322" s="62" t="s">
        <v>1651</v>
      </c>
      <c r="AC322" s="24"/>
    </row>
    <row r="323" spans="2:29" ht="120" customHeight="1" x14ac:dyDescent="0.25">
      <c r="B323" s="52" t="s">
        <v>48</v>
      </c>
      <c r="C323" s="52" t="s">
        <v>1558</v>
      </c>
      <c r="D323" s="52" t="s">
        <v>1559</v>
      </c>
      <c r="E323" s="53">
        <v>1</v>
      </c>
      <c r="F323" s="52" t="s">
        <v>581</v>
      </c>
      <c r="G323" s="52" t="s">
        <v>582</v>
      </c>
      <c r="H323" s="52" t="s">
        <v>262</v>
      </c>
      <c r="I323" s="53">
        <v>21</v>
      </c>
      <c r="J323" s="52" t="s">
        <v>263</v>
      </c>
      <c r="K323" s="53">
        <v>23</v>
      </c>
      <c r="L323" s="53">
        <v>6</v>
      </c>
      <c r="M323" s="54" t="s">
        <v>1652</v>
      </c>
      <c r="N323" s="54"/>
      <c r="O323" s="53"/>
      <c r="P323" s="55"/>
      <c r="Q323" s="54" t="s">
        <v>584</v>
      </c>
      <c r="R323" s="54" t="s">
        <v>585</v>
      </c>
      <c r="S323" s="52"/>
      <c r="T323" s="52"/>
      <c r="U323" s="52"/>
      <c r="V323" s="52"/>
      <c r="W323" s="53"/>
      <c r="X323" s="56" t="s">
        <v>1560</v>
      </c>
      <c r="Y323" s="54" t="s">
        <v>1653</v>
      </c>
      <c r="Z323" s="70" t="s">
        <v>1654</v>
      </c>
      <c r="AA323" s="62" t="s">
        <v>1655</v>
      </c>
      <c r="AC323" s="24"/>
    </row>
    <row r="324" spans="2:29" ht="120" customHeight="1" x14ac:dyDescent="0.25">
      <c r="B324" s="52" t="s">
        <v>48</v>
      </c>
      <c r="C324" s="52" t="s">
        <v>1558</v>
      </c>
      <c r="D324" s="52" t="s">
        <v>1559</v>
      </c>
      <c r="E324" s="53">
        <v>1</v>
      </c>
      <c r="F324" s="52" t="s">
        <v>281</v>
      </c>
      <c r="G324" s="52" t="s">
        <v>282</v>
      </c>
      <c r="H324" s="52" t="s">
        <v>262</v>
      </c>
      <c r="I324" s="53">
        <v>22</v>
      </c>
      <c r="J324" s="52" t="s">
        <v>263</v>
      </c>
      <c r="K324" s="53">
        <v>23</v>
      </c>
      <c r="L324" s="53">
        <v>6</v>
      </c>
      <c r="M324" s="54" t="s">
        <v>1656</v>
      </c>
      <c r="N324" s="54"/>
      <c r="O324" s="53"/>
      <c r="P324" s="55"/>
      <c r="Q324" s="54" t="s">
        <v>284</v>
      </c>
      <c r="R324" s="55" t="s">
        <v>285</v>
      </c>
      <c r="S324" s="52"/>
      <c r="T324" s="52"/>
      <c r="U324" s="52"/>
      <c r="V324" s="52"/>
      <c r="W324" s="53"/>
      <c r="X324" s="56" t="s">
        <v>1560</v>
      </c>
      <c r="Y324" s="54" t="s">
        <v>1657</v>
      </c>
      <c r="Z324" s="70" t="s">
        <v>1658</v>
      </c>
      <c r="AA324" s="62" t="s">
        <v>1659</v>
      </c>
      <c r="AC324" s="24"/>
    </row>
    <row r="325" spans="2:29" ht="120" customHeight="1" x14ac:dyDescent="0.25">
      <c r="B325" s="52" t="s">
        <v>48</v>
      </c>
      <c r="C325" s="52" t="s">
        <v>1558</v>
      </c>
      <c r="D325" s="52" t="s">
        <v>1559</v>
      </c>
      <c r="E325" s="53">
        <v>1</v>
      </c>
      <c r="F325" s="52" t="s">
        <v>291</v>
      </c>
      <c r="G325" s="52" t="s">
        <v>292</v>
      </c>
      <c r="H325" s="52" t="s">
        <v>262</v>
      </c>
      <c r="I325" s="53">
        <v>23</v>
      </c>
      <c r="J325" s="52" t="s">
        <v>263</v>
      </c>
      <c r="K325" s="53">
        <v>23</v>
      </c>
      <c r="L325" s="53">
        <v>6</v>
      </c>
      <c r="M325" s="54" t="s">
        <v>595</v>
      </c>
      <c r="N325" s="54"/>
      <c r="O325" s="53"/>
      <c r="P325" s="55"/>
      <c r="Q325" s="65"/>
      <c r="R325" s="63"/>
      <c r="S325" s="63"/>
      <c r="T325" s="63"/>
      <c r="U325" s="63"/>
      <c r="V325" s="63"/>
      <c r="W325" s="73"/>
      <c r="X325" s="56" t="s">
        <v>1560</v>
      </c>
      <c r="Y325" s="54" t="s">
        <v>1660</v>
      </c>
      <c r="Z325" s="54" t="s">
        <v>1661</v>
      </c>
      <c r="AA325" s="62" t="s">
        <v>1662</v>
      </c>
      <c r="AC325" s="24"/>
    </row>
    <row r="326" spans="2:29" ht="120" customHeight="1" x14ac:dyDescent="0.25">
      <c r="B326" s="266" t="s">
        <v>48</v>
      </c>
      <c r="C326" s="266" t="s">
        <v>1558</v>
      </c>
      <c r="D326" s="266" t="s">
        <v>1559</v>
      </c>
      <c r="E326" s="267">
        <v>1</v>
      </c>
      <c r="F326" s="266" t="s">
        <v>602</v>
      </c>
      <c r="G326" s="266" t="s">
        <v>603</v>
      </c>
      <c r="H326" s="268" t="s">
        <v>409</v>
      </c>
      <c r="I326" s="267">
        <v>24</v>
      </c>
      <c r="J326" s="266" t="s">
        <v>952</v>
      </c>
      <c r="K326" s="267">
        <v>10</v>
      </c>
      <c r="L326" s="267"/>
      <c r="M326" s="269" t="s">
        <v>832</v>
      </c>
      <c r="N326" s="269"/>
      <c r="O326" s="267"/>
      <c r="P326" s="268"/>
      <c r="Q326" s="270"/>
      <c r="R326" s="266"/>
      <c r="S326" s="266"/>
      <c r="T326" s="266"/>
      <c r="U326" s="266"/>
      <c r="V326" s="266"/>
      <c r="W326" s="267"/>
      <c r="X326" s="270" t="s">
        <v>1560</v>
      </c>
      <c r="Y326" s="269" t="s">
        <v>1663</v>
      </c>
      <c r="Z326" s="269" t="s">
        <v>1664</v>
      </c>
      <c r="AA326" s="271" t="s">
        <v>1665</v>
      </c>
      <c r="AC326" s="24"/>
    </row>
    <row r="327" spans="2:29" ht="120" customHeight="1" x14ac:dyDescent="0.25">
      <c r="B327" s="272" t="s">
        <v>48</v>
      </c>
      <c r="C327" s="272" t="s">
        <v>1558</v>
      </c>
      <c r="D327" s="272" t="s">
        <v>1559</v>
      </c>
      <c r="E327" s="273">
        <v>1</v>
      </c>
      <c r="F327" s="272" t="s">
        <v>407</v>
      </c>
      <c r="G327" s="272" t="s">
        <v>408</v>
      </c>
      <c r="H327" s="274" t="s">
        <v>409</v>
      </c>
      <c r="I327" s="273">
        <v>25</v>
      </c>
      <c r="J327" s="272" t="s">
        <v>952</v>
      </c>
      <c r="K327" s="273">
        <v>10</v>
      </c>
      <c r="L327" s="273"/>
      <c r="M327" s="275" t="s">
        <v>1666</v>
      </c>
      <c r="N327" s="275"/>
      <c r="O327" s="273"/>
      <c r="P327" s="274"/>
      <c r="Q327" s="276" t="s">
        <v>609</v>
      </c>
      <c r="R327" s="272" t="s">
        <v>610</v>
      </c>
      <c r="S327" s="272"/>
      <c r="T327" s="272"/>
      <c r="U327" s="272"/>
      <c r="V327" s="272"/>
      <c r="W327" s="273"/>
      <c r="X327" s="276" t="s">
        <v>1560</v>
      </c>
      <c r="Y327" s="275" t="s">
        <v>1663</v>
      </c>
      <c r="Z327" s="275" t="s">
        <v>1667</v>
      </c>
      <c r="AA327" s="277" t="s">
        <v>1665</v>
      </c>
      <c r="AC327" s="24"/>
    </row>
    <row r="328" spans="2:29" ht="120" customHeight="1" x14ac:dyDescent="0.25">
      <c r="B328" s="52" t="s">
        <v>48</v>
      </c>
      <c r="C328" s="52" t="s">
        <v>1558</v>
      </c>
      <c r="D328" s="52" t="s">
        <v>1559</v>
      </c>
      <c r="E328" s="53">
        <v>1</v>
      </c>
      <c r="F328" s="52" t="s">
        <v>614</v>
      </c>
      <c r="G328" s="52" t="s">
        <v>615</v>
      </c>
      <c r="H328" s="52" t="s">
        <v>262</v>
      </c>
      <c r="I328" s="53">
        <v>26</v>
      </c>
      <c r="J328" s="52" t="s">
        <v>263</v>
      </c>
      <c r="K328" s="53">
        <v>23</v>
      </c>
      <c r="L328" s="53">
        <v>6</v>
      </c>
      <c r="M328" s="54" t="s">
        <v>846</v>
      </c>
      <c r="N328" s="54"/>
      <c r="O328" s="53"/>
      <c r="P328" s="55"/>
      <c r="Q328" s="54"/>
      <c r="R328" s="55"/>
      <c r="S328" s="52"/>
      <c r="T328" s="52"/>
      <c r="U328" s="52"/>
      <c r="V328" s="52"/>
      <c r="W328" s="53"/>
      <c r="X328" s="56" t="s">
        <v>1560</v>
      </c>
      <c r="Y328" s="67" t="s">
        <v>1663</v>
      </c>
      <c r="Z328" s="54" t="s">
        <v>1668</v>
      </c>
      <c r="AA328" s="62" t="s">
        <v>1669</v>
      </c>
      <c r="AC328" s="24"/>
    </row>
    <row r="329" spans="2:29" ht="120" customHeight="1" x14ac:dyDescent="0.25">
      <c r="B329" s="52" t="s">
        <v>48</v>
      </c>
      <c r="C329" s="52" t="s">
        <v>1558</v>
      </c>
      <c r="D329" s="52" t="s">
        <v>1559</v>
      </c>
      <c r="E329" s="53">
        <v>1</v>
      </c>
      <c r="F329" s="52" t="s">
        <v>865</v>
      </c>
      <c r="G329" s="52" t="s">
        <v>866</v>
      </c>
      <c r="H329" s="55" t="s">
        <v>409</v>
      </c>
      <c r="I329" s="53">
        <v>27</v>
      </c>
      <c r="J329" s="52" t="s">
        <v>952</v>
      </c>
      <c r="K329" s="53">
        <v>10</v>
      </c>
      <c r="L329" s="53"/>
      <c r="M329" s="54" t="s">
        <v>1670</v>
      </c>
      <c r="N329" s="54"/>
      <c r="O329" s="53"/>
      <c r="P329" s="52"/>
      <c r="Q329" s="56"/>
      <c r="R329" s="52"/>
      <c r="S329" s="52"/>
      <c r="T329" s="52"/>
      <c r="U329" s="52"/>
      <c r="V329" s="52"/>
      <c r="W329" s="53"/>
      <c r="X329" s="56" t="s">
        <v>1560</v>
      </c>
      <c r="Y329" s="56" t="s">
        <v>1671</v>
      </c>
      <c r="Z329" s="56" t="s">
        <v>1672</v>
      </c>
      <c r="AA329" s="62" t="s">
        <v>1665</v>
      </c>
      <c r="AC329" s="24"/>
    </row>
    <row r="330" spans="2:29" ht="120" customHeight="1" x14ac:dyDescent="0.25">
      <c r="B330" s="52" t="s">
        <v>48</v>
      </c>
      <c r="C330" s="52" t="s">
        <v>1558</v>
      </c>
      <c r="D330" s="52" t="s">
        <v>1559</v>
      </c>
      <c r="E330" s="53">
        <v>1</v>
      </c>
      <c r="F330" s="52" t="s">
        <v>1673</v>
      </c>
      <c r="G330" s="52" t="s">
        <v>1674</v>
      </c>
      <c r="H330" s="52" t="s">
        <v>262</v>
      </c>
      <c r="I330" s="53">
        <v>28</v>
      </c>
      <c r="J330" s="52" t="s">
        <v>263</v>
      </c>
      <c r="K330" s="53">
        <v>23</v>
      </c>
      <c r="L330" s="53">
        <v>6</v>
      </c>
      <c r="M330" s="54" t="s">
        <v>1675</v>
      </c>
      <c r="N330" s="54"/>
      <c r="O330" s="53"/>
      <c r="P330" s="52"/>
      <c r="Q330" s="56"/>
      <c r="R330" s="52"/>
      <c r="S330" s="52"/>
      <c r="T330" s="52"/>
      <c r="U330" s="52"/>
      <c r="V330" s="52"/>
      <c r="W330" s="53"/>
      <c r="X330" s="56" t="s">
        <v>1560</v>
      </c>
      <c r="Y330" s="56" t="s">
        <v>1676</v>
      </c>
      <c r="Z330" s="56" t="s">
        <v>1677</v>
      </c>
      <c r="AA330" s="62" t="s">
        <v>1651</v>
      </c>
      <c r="AC330" s="24"/>
    </row>
    <row r="331" spans="2:29" ht="120" customHeight="1" x14ac:dyDescent="0.25">
      <c r="B331" s="52" t="s">
        <v>48</v>
      </c>
      <c r="C331" s="52" t="s">
        <v>1558</v>
      </c>
      <c r="D331" s="52" t="s">
        <v>1559</v>
      </c>
      <c r="E331" s="53">
        <v>1</v>
      </c>
      <c r="F331" s="52" t="s">
        <v>883</v>
      </c>
      <c r="G331" s="52" t="s">
        <v>884</v>
      </c>
      <c r="H331" s="52" t="s">
        <v>262</v>
      </c>
      <c r="I331" s="53">
        <v>29</v>
      </c>
      <c r="J331" s="52" t="s">
        <v>263</v>
      </c>
      <c r="K331" s="53">
        <v>23</v>
      </c>
      <c r="L331" s="53">
        <v>6</v>
      </c>
      <c r="M331" s="54" t="s">
        <v>1678</v>
      </c>
      <c r="N331" s="54"/>
      <c r="O331" s="53"/>
      <c r="P331" s="55"/>
      <c r="Q331" s="54"/>
      <c r="R331" s="55"/>
      <c r="S331" s="52"/>
      <c r="T331" s="52"/>
      <c r="U331" s="52"/>
      <c r="V331" s="52"/>
      <c r="W331" s="53"/>
      <c r="X331" s="56" t="s">
        <v>1560</v>
      </c>
      <c r="Y331" s="54" t="s">
        <v>1679</v>
      </c>
      <c r="Z331" s="70" t="s">
        <v>1680</v>
      </c>
      <c r="AA331" s="62" t="s">
        <v>1651</v>
      </c>
      <c r="AC331" s="24"/>
    </row>
    <row r="332" spans="2:29" ht="120" customHeight="1" x14ac:dyDescent="0.25">
      <c r="B332" s="68" t="s">
        <v>48</v>
      </c>
      <c r="C332" s="68" t="s">
        <v>1558</v>
      </c>
      <c r="D332" s="68" t="s">
        <v>1559</v>
      </c>
      <c r="E332" s="80">
        <v>1</v>
      </c>
      <c r="F332" s="68" t="s">
        <v>1681</v>
      </c>
      <c r="G332" s="68" t="s">
        <v>1682</v>
      </c>
      <c r="H332" s="77" t="s">
        <v>1332</v>
      </c>
      <c r="I332" s="80">
        <v>30</v>
      </c>
      <c r="J332" s="52" t="s">
        <v>1637</v>
      </c>
      <c r="K332" s="80"/>
      <c r="L332" s="80"/>
      <c r="M332" s="75" t="s">
        <v>1683</v>
      </c>
      <c r="N332" s="75"/>
      <c r="O332" s="80"/>
      <c r="P332" s="75"/>
      <c r="Q332" s="75"/>
      <c r="R332" s="77"/>
      <c r="S332" s="68"/>
      <c r="T332" s="68"/>
      <c r="U332" s="68"/>
      <c r="V332" s="68"/>
      <c r="W332" s="80"/>
      <c r="X332" s="69" t="s">
        <v>1560</v>
      </c>
      <c r="Y332" s="75" t="s">
        <v>1684</v>
      </c>
      <c r="Z332" s="75" t="s">
        <v>1685</v>
      </c>
      <c r="AA332" s="78" t="s">
        <v>1686</v>
      </c>
      <c r="AC332" s="24"/>
    </row>
    <row r="333" spans="2:29" ht="120" customHeight="1" x14ac:dyDescent="0.25">
      <c r="B333" s="68" t="s">
        <v>48</v>
      </c>
      <c r="C333" s="68" t="s">
        <v>1558</v>
      </c>
      <c r="D333" s="68" t="s">
        <v>1559</v>
      </c>
      <c r="E333" s="80">
        <v>1</v>
      </c>
      <c r="F333" s="68" t="s">
        <v>1687</v>
      </c>
      <c r="G333" s="68" t="s">
        <v>1688</v>
      </c>
      <c r="H333" s="77" t="s">
        <v>631</v>
      </c>
      <c r="I333" s="80">
        <v>31</v>
      </c>
      <c r="J333" s="68" t="s">
        <v>140</v>
      </c>
      <c r="K333" s="80">
        <v>3</v>
      </c>
      <c r="L333" s="80"/>
      <c r="M333" s="75" t="s">
        <v>1689</v>
      </c>
      <c r="N333" s="75"/>
      <c r="O333" s="80"/>
      <c r="P333" s="75" t="s">
        <v>1690</v>
      </c>
      <c r="Q333" s="75"/>
      <c r="R333" s="77"/>
      <c r="S333" s="68"/>
      <c r="T333" s="68"/>
      <c r="U333" s="68"/>
      <c r="V333" s="68"/>
      <c r="W333" s="80"/>
      <c r="X333" s="69" t="s">
        <v>1560</v>
      </c>
      <c r="Y333" s="75" t="s">
        <v>1691</v>
      </c>
      <c r="Z333" s="75" t="s">
        <v>1692</v>
      </c>
      <c r="AA333" s="78" t="s">
        <v>1693</v>
      </c>
      <c r="AC333" s="24"/>
    </row>
    <row r="334" spans="2:29" ht="120" customHeight="1" x14ac:dyDescent="0.25">
      <c r="B334" s="68" t="s">
        <v>48</v>
      </c>
      <c r="C334" s="68" t="s">
        <v>1558</v>
      </c>
      <c r="D334" s="68" t="s">
        <v>1559</v>
      </c>
      <c r="E334" s="80">
        <v>1</v>
      </c>
      <c r="F334" s="68" t="s">
        <v>1694</v>
      </c>
      <c r="G334" s="68" t="s">
        <v>1695</v>
      </c>
      <c r="H334" s="77" t="s">
        <v>650</v>
      </c>
      <c r="I334" s="80">
        <v>32</v>
      </c>
      <c r="J334" s="68" t="s">
        <v>263</v>
      </c>
      <c r="K334" s="80">
        <v>23</v>
      </c>
      <c r="L334" s="80">
        <v>6</v>
      </c>
      <c r="M334" s="75" t="s">
        <v>1696</v>
      </c>
      <c r="N334" s="75"/>
      <c r="O334" s="80"/>
      <c r="P334" s="77"/>
      <c r="Q334" s="75"/>
      <c r="R334" s="77"/>
      <c r="S334" s="68"/>
      <c r="T334" s="68"/>
      <c r="U334" s="68"/>
      <c r="V334" s="68"/>
      <c r="W334" s="80"/>
      <c r="X334" s="69" t="s">
        <v>1560</v>
      </c>
      <c r="Y334" s="75" t="s">
        <v>1697</v>
      </c>
      <c r="Z334" s="75" t="s">
        <v>1698</v>
      </c>
      <c r="AA334" s="78" t="s">
        <v>1699</v>
      </c>
      <c r="AC334" s="24"/>
    </row>
    <row r="335" spans="2:29" ht="120" customHeight="1" x14ac:dyDescent="0.25">
      <c r="B335" s="68" t="s">
        <v>48</v>
      </c>
      <c r="C335" s="68" t="s">
        <v>1558</v>
      </c>
      <c r="D335" s="68" t="s">
        <v>1559</v>
      </c>
      <c r="E335" s="80">
        <v>1</v>
      </c>
      <c r="F335" s="68" t="s">
        <v>1700</v>
      </c>
      <c r="G335" s="68" t="s">
        <v>1701</v>
      </c>
      <c r="H335" s="77" t="s">
        <v>650</v>
      </c>
      <c r="I335" s="80">
        <v>33</v>
      </c>
      <c r="J335" s="68" t="s">
        <v>263</v>
      </c>
      <c r="K335" s="80">
        <v>23</v>
      </c>
      <c r="L335" s="80">
        <v>6</v>
      </c>
      <c r="M335" s="75" t="s">
        <v>1702</v>
      </c>
      <c r="N335" s="75"/>
      <c r="O335" s="80"/>
      <c r="P335" s="77"/>
      <c r="Q335" s="75"/>
      <c r="R335" s="77"/>
      <c r="S335" s="68"/>
      <c r="T335" s="68"/>
      <c r="U335" s="68"/>
      <c r="V335" s="68"/>
      <c r="W335" s="80"/>
      <c r="X335" s="69" t="s">
        <v>1560</v>
      </c>
      <c r="Y335" s="75" t="s">
        <v>1684</v>
      </c>
      <c r="Z335" s="75" t="s">
        <v>1703</v>
      </c>
      <c r="AA335" s="78" t="s">
        <v>1704</v>
      </c>
      <c r="AC335" s="24"/>
    </row>
    <row r="336" spans="2:29" ht="120" customHeight="1" x14ac:dyDescent="0.25">
      <c r="B336" s="68" t="s">
        <v>48</v>
      </c>
      <c r="C336" s="68" t="s">
        <v>1558</v>
      </c>
      <c r="D336" s="68" t="s">
        <v>1559</v>
      </c>
      <c r="E336" s="80">
        <v>1</v>
      </c>
      <c r="F336" s="68" t="s">
        <v>1336</v>
      </c>
      <c r="G336" s="68" t="s">
        <v>1337</v>
      </c>
      <c r="H336" s="77" t="s">
        <v>650</v>
      </c>
      <c r="I336" s="80">
        <v>34</v>
      </c>
      <c r="J336" s="68" t="s">
        <v>263</v>
      </c>
      <c r="K336" s="80">
        <v>23</v>
      </c>
      <c r="L336" s="80">
        <v>6</v>
      </c>
      <c r="M336" s="75" t="s">
        <v>1705</v>
      </c>
      <c r="N336" s="75" t="s">
        <v>1339</v>
      </c>
      <c r="O336" s="80"/>
      <c r="P336" s="68"/>
      <c r="Q336" s="69" t="s">
        <v>668</v>
      </c>
      <c r="R336" s="68" t="s">
        <v>1340</v>
      </c>
      <c r="S336" s="68"/>
      <c r="T336" s="68"/>
      <c r="U336" s="68"/>
      <c r="V336" s="68"/>
      <c r="W336" s="80"/>
      <c r="X336" s="69" t="s">
        <v>1560</v>
      </c>
      <c r="Y336" s="75" t="s">
        <v>1684</v>
      </c>
      <c r="Z336" s="71" t="s">
        <v>1706</v>
      </c>
      <c r="AA336" s="78" t="s">
        <v>1704</v>
      </c>
      <c r="AC336" s="24"/>
    </row>
    <row r="337" spans="2:29" ht="120" customHeight="1" x14ac:dyDescent="0.25">
      <c r="B337" s="68" t="s">
        <v>48</v>
      </c>
      <c r="C337" s="68" t="s">
        <v>1558</v>
      </c>
      <c r="D337" s="68" t="s">
        <v>1559</v>
      </c>
      <c r="E337" s="80">
        <v>1</v>
      </c>
      <c r="F337" s="68" t="s">
        <v>629</v>
      </c>
      <c r="G337" s="68" t="s">
        <v>1345</v>
      </c>
      <c r="H337" s="77" t="s">
        <v>631</v>
      </c>
      <c r="I337" s="80">
        <v>35</v>
      </c>
      <c r="J337" s="68" t="s">
        <v>140</v>
      </c>
      <c r="K337" s="80">
        <v>3</v>
      </c>
      <c r="L337" s="80"/>
      <c r="M337" s="75" t="s">
        <v>1707</v>
      </c>
      <c r="N337" s="75"/>
      <c r="O337" s="80"/>
      <c r="P337" s="75" t="s">
        <v>891</v>
      </c>
      <c r="Q337" s="75"/>
      <c r="R337" s="77"/>
      <c r="S337" s="68"/>
      <c r="T337" s="68"/>
      <c r="U337" s="68"/>
      <c r="V337" s="68"/>
      <c r="W337" s="80"/>
      <c r="X337" s="69" t="s">
        <v>1560</v>
      </c>
      <c r="Y337" s="71" t="s">
        <v>1708</v>
      </c>
      <c r="Z337" s="71" t="s">
        <v>1709</v>
      </c>
      <c r="AA337" s="78" t="s">
        <v>1710</v>
      </c>
      <c r="AC337" s="24"/>
    </row>
    <row r="338" spans="2:29" ht="120" customHeight="1" x14ac:dyDescent="0.25">
      <c r="B338" s="68" t="s">
        <v>48</v>
      </c>
      <c r="C338" s="68" t="s">
        <v>1558</v>
      </c>
      <c r="D338" s="68" t="s">
        <v>1559</v>
      </c>
      <c r="E338" s="80">
        <v>1</v>
      </c>
      <c r="F338" s="68" t="s">
        <v>639</v>
      </c>
      <c r="G338" s="68" t="s">
        <v>640</v>
      </c>
      <c r="H338" s="77" t="s">
        <v>631</v>
      </c>
      <c r="I338" s="80">
        <v>36</v>
      </c>
      <c r="J338" s="68" t="s">
        <v>140</v>
      </c>
      <c r="K338" s="80">
        <v>3</v>
      </c>
      <c r="L338" s="80"/>
      <c r="M338" s="75" t="s">
        <v>895</v>
      </c>
      <c r="N338" s="75"/>
      <c r="O338" s="80"/>
      <c r="P338" s="75" t="s">
        <v>1690</v>
      </c>
      <c r="Q338" s="75"/>
      <c r="R338" s="77"/>
      <c r="S338" s="68"/>
      <c r="T338" s="68"/>
      <c r="U338" s="68"/>
      <c r="V338" s="68"/>
      <c r="W338" s="80"/>
      <c r="X338" s="69" t="s">
        <v>1560</v>
      </c>
      <c r="Y338" s="71" t="s">
        <v>1711</v>
      </c>
      <c r="Z338" s="75" t="s">
        <v>1712</v>
      </c>
      <c r="AA338" s="78" t="s">
        <v>1713</v>
      </c>
      <c r="AC338" s="24"/>
    </row>
    <row r="339" spans="2:29" ht="120" customHeight="1" x14ac:dyDescent="0.25">
      <c r="B339" s="68" t="s">
        <v>48</v>
      </c>
      <c r="C339" s="68" t="s">
        <v>1558</v>
      </c>
      <c r="D339" s="68" t="s">
        <v>1559</v>
      </c>
      <c r="E339" s="80">
        <v>1</v>
      </c>
      <c r="F339" s="68" t="s">
        <v>648</v>
      </c>
      <c r="G339" s="68" t="s">
        <v>649</v>
      </c>
      <c r="H339" s="77" t="s">
        <v>650</v>
      </c>
      <c r="I339" s="78">
        <v>37</v>
      </c>
      <c r="J339" s="68" t="s">
        <v>263</v>
      </c>
      <c r="K339" s="80">
        <v>23</v>
      </c>
      <c r="L339" s="80">
        <v>6</v>
      </c>
      <c r="M339" s="75" t="s">
        <v>1714</v>
      </c>
      <c r="N339" s="75"/>
      <c r="O339" s="80"/>
      <c r="P339" s="77"/>
      <c r="Q339" s="75"/>
      <c r="R339" s="77"/>
      <c r="S339" s="68"/>
      <c r="T339" s="68"/>
      <c r="U339" s="68"/>
      <c r="V339" s="68"/>
      <c r="W339" s="80"/>
      <c r="X339" s="69" t="s">
        <v>1560</v>
      </c>
      <c r="Y339" s="75" t="s">
        <v>1697</v>
      </c>
      <c r="Z339" s="75" t="s">
        <v>1698</v>
      </c>
      <c r="AA339" s="78" t="s">
        <v>1715</v>
      </c>
      <c r="AC339" s="24"/>
    </row>
    <row r="340" spans="2:29" ht="120" customHeight="1" x14ac:dyDescent="0.25">
      <c r="B340" s="68" t="s">
        <v>48</v>
      </c>
      <c r="C340" s="68" t="s">
        <v>1558</v>
      </c>
      <c r="D340" s="68" t="s">
        <v>1559</v>
      </c>
      <c r="E340" s="80">
        <v>1</v>
      </c>
      <c r="F340" s="68" t="s">
        <v>657</v>
      </c>
      <c r="G340" s="68" t="s">
        <v>658</v>
      </c>
      <c r="H340" s="77" t="s">
        <v>650</v>
      </c>
      <c r="I340" s="80">
        <v>38</v>
      </c>
      <c r="J340" s="68" t="s">
        <v>263</v>
      </c>
      <c r="K340" s="80">
        <v>23</v>
      </c>
      <c r="L340" s="80">
        <v>6</v>
      </c>
      <c r="M340" s="75" t="s">
        <v>907</v>
      </c>
      <c r="N340" s="75"/>
      <c r="O340" s="80"/>
      <c r="P340" s="77"/>
      <c r="Q340" s="75"/>
      <c r="R340" s="77"/>
      <c r="S340" s="68"/>
      <c r="T340" s="68"/>
      <c r="U340" s="68"/>
      <c r="V340" s="68"/>
      <c r="W340" s="80"/>
      <c r="X340" s="69" t="s">
        <v>1560</v>
      </c>
      <c r="Y340" s="75" t="s">
        <v>1708</v>
      </c>
      <c r="Z340" s="75" t="s">
        <v>1716</v>
      </c>
      <c r="AA340" s="78" t="s">
        <v>1717</v>
      </c>
      <c r="AC340" s="24"/>
    </row>
    <row r="341" spans="2:29" ht="120" customHeight="1" x14ac:dyDescent="0.25">
      <c r="B341" s="68" t="s">
        <v>48</v>
      </c>
      <c r="C341" s="68" t="s">
        <v>1558</v>
      </c>
      <c r="D341" s="68" t="s">
        <v>1559</v>
      </c>
      <c r="E341" s="80">
        <v>1</v>
      </c>
      <c r="F341" s="68" t="s">
        <v>664</v>
      </c>
      <c r="G341" s="68" t="s">
        <v>665</v>
      </c>
      <c r="H341" s="77" t="s">
        <v>650</v>
      </c>
      <c r="I341" s="78">
        <v>39</v>
      </c>
      <c r="J341" s="68" t="s">
        <v>263</v>
      </c>
      <c r="K341" s="80">
        <v>23</v>
      </c>
      <c r="L341" s="80">
        <v>6</v>
      </c>
      <c r="M341" s="75" t="s">
        <v>1718</v>
      </c>
      <c r="N341" s="75"/>
      <c r="O341" s="80"/>
      <c r="P341" s="77"/>
      <c r="Q341" s="69" t="s">
        <v>668</v>
      </c>
      <c r="R341" s="68" t="s">
        <v>669</v>
      </c>
      <c r="S341" s="68"/>
      <c r="T341" s="68"/>
      <c r="U341" s="68"/>
      <c r="V341" s="68"/>
      <c r="W341" s="80"/>
      <c r="X341" s="69" t="s">
        <v>1560</v>
      </c>
      <c r="Y341" s="75" t="s">
        <v>1649</v>
      </c>
      <c r="Z341" s="71" t="s">
        <v>1719</v>
      </c>
      <c r="AA341" s="78" t="s">
        <v>1717</v>
      </c>
      <c r="AC341" s="24"/>
    </row>
    <row r="342" spans="2:29" ht="120" customHeight="1" x14ac:dyDescent="0.25">
      <c r="B342" s="52" t="s">
        <v>48</v>
      </c>
      <c r="C342" s="52" t="s">
        <v>1558</v>
      </c>
      <c r="D342" s="52" t="s">
        <v>1559</v>
      </c>
      <c r="E342" s="53">
        <v>1</v>
      </c>
      <c r="F342" s="52" t="s">
        <v>1720</v>
      </c>
      <c r="G342" s="52" t="s">
        <v>1721</v>
      </c>
      <c r="H342" s="55" t="s">
        <v>255</v>
      </c>
      <c r="I342" s="53">
        <v>40</v>
      </c>
      <c r="J342" s="52" t="s">
        <v>1637</v>
      </c>
      <c r="K342" s="53"/>
      <c r="L342" s="53"/>
      <c r="M342" s="54" t="s">
        <v>1722</v>
      </c>
      <c r="N342" s="54" t="s">
        <v>1723</v>
      </c>
      <c r="O342" s="53"/>
      <c r="P342" s="52"/>
      <c r="Q342" s="56"/>
      <c r="R342" s="56"/>
      <c r="S342" s="52"/>
      <c r="T342" s="52"/>
      <c r="U342" s="52"/>
      <c r="V342" s="52"/>
      <c r="W342" s="53"/>
      <c r="X342" s="56" t="s">
        <v>1560</v>
      </c>
      <c r="Y342" s="56" t="s">
        <v>1663</v>
      </c>
      <c r="Z342" s="56" t="s">
        <v>1724</v>
      </c>
      <c r="AA342" s="62" t="s">
        <v>1725</v>
      </c>
      <c r="AC342" s="24"/>
    </row>
    <row r="343" spans="2:29" ht="120" customHeight="1" x14ac:dyDescent="0.25">
      <c r="B343" s="52" t="s">
        <v>48</v>
      </c>
      <c r="C343" s="52" t="s">
        <v>1558</v>
      </c>
      <c r="D343" s="52" t="s">
        <v>1559</v>
      </c>
      <c r="E343" s="53">
        <v>1</v>
      </c>
      <c r="F343" s="52" t="s">
        <v>301</v>
      </c>
      <c r="G343" s="52" t="s">
        <v>302</v>
      </c>
      <c r="H343" s="55" t="s">
        <v>303</v>
      </c>
      <c r="I343" s="53">
        <v>41</v>
      </c>
      <c r="J343" s="52" t="s">
        <v>140</v>
      </c>
      <c r="K343" s="53">
        <v>3</v>
      </c>
      <c r="L343" s="53"/>
      <c r="M343" s="54" t="s">
        <v>304</v>
      </c>
      <c r="N343" s="54" t="s">
        <v>1726</v>
      </c>
      <c r="O343" s="53"/>
      <c r="P343" s="54" t="s">
        <v>1727</v>
      </c>
      <c r="Q343" s="56" t="s">
        <v>307</v>
      </c>
      <c r="R343" s="52" t="s">
        <v>308</v>
      </c>
      <c r="S343" s="52"/>
      <c r="T343" s="52"/>
      <c r="U343" s="52"/>
      <c r="V343" s="52"/>
      <c r="W343" s="53"/>
      <c r="X343" s="56" t="s">
        <v>1560</v>
      </c>
      <c r="Y343" s="67" t="s">
        <v>1627</v>
      </c>
      <c r="Z343" s="67" t="s">
        <v>1728</v>
      </c>
      <c r="AA343" s="62" t="s">
        <v>342</v>
      </c>
      <c r="AC343" s="24"/>
    </row>
    <row r="344" spans="2:29" ht="120" customHeight="1" x14ac:dyDescent="0.25">
      <c r="B344" s="52" t="s">
        <v>48</v>
      </c>
      <c r="C344" s="52" t="s">
        <v>1558</v>
      </c>
      <c r="D344" s="52" t="s">
        <v>1559</v>
      </c>
      <c r="E344" s="53">
        <v>1</v>
      </c>
      <c r="F344" s="52" t="s">
        <v>311</v>
      </c>
      <c r="G344" s="52" t="s">
        <v>312</v>
      </c>
      <c r="H344" s="55" t="s">
        <v>303</v>
      </c>
      <c r="I344" s="53">
        <v>42</v>
      </c>
      <c r="J344" s="52" t="s">
        <v>140</v>
      </c>
      <c r="K344" s="53">
        <v>3</v>
      </c>
      <c r="L344" s="53"/>
      <c r="M344" s="54" t="s">
        <v>313</v>
      </c>
      <c r="N344" s="54" t="s">
        <v>314</v>
      </c>
      <c r="O344" s="53"/>
      <c r="P344" s="54" t="s">
        <v>1729</v>
      </c>
      <c r="Q344" s="56" t="s">
        <v>219</v>
      </c>
      <c r="R344" s="52" t="s">
        <v>316</v>
      </c>
      <c r="S344" s="52"/>
      <c r="T344" s="52"/>
      <c r="U344" s="52"/>
      <c r="V344" s="52"/>
      <c r="W344" s="53"/>
      <c r="X344" s="56" t="s">
        <v>1560</v>
      </c>
      <c r="Y344" s="54" t="s">
        <v>342</v>
      </c>
      <c r="Z344" s="54" t="s">
        <v>342</v>
      </c>
      <c r="AA344" s="62" t="s">
        <v>1730</v>
      </c>
      <c r="AC344" s="24"/>
    </row>
    <row r="345" spans="2:29" ht="120" customHeight="1" x14ac:dyDescent="0.25">
      <c r="B345" s="52" t="s">
        <v>48</v>
      </c>
      <c r="C345" s="52" t="s">
        <v>1558</v>
      </c>
      <c r="D345" s="52" t="s">
        <v>1559</v>
      </c>
      <c r="E345" s="53">
        <v>1</v>
      </c>
      <c r="F345" s="52" t="s">
        <v>322</v>
      </c>
      <c r="G345" s="52" t="s">
        <v>323</v>
      </c>
      <c r="H345" s="52" t="s">
        <v>324</v>
      </c>
      <c r="I345" s="53">
        <v>43</v>
      </c>
      <c r="J345" s="52" t="s">
        <v>140</v>
      </c>
      <c r="K345" s="53">
        <v>2</v>
      </c>
      <c r="L345" s="53"/>
      <c r="M345" s="54" t="s">
        <v>325</v>
      </c>
      <c r="N345" s="54"/>
      <c r="O345" s="53"/>
      <c r="P345" s="54" t="s">
        <v>1731</v>
      </c>
      <c r="Q345" s="56"/>
      <c r="R345" s="52"/>
      <c r="S345" s="52"/>
      <c r="T345" s="52"/>
      <c r="U345" s="52"/>
      <c r="V345" s="52"/>
      <c r="W345" s="53"/>
      <c r="X345" s="56" t="s">
        <v>1560</v>
      </c>
      <c r="Y345" s="54" t="s">
        <v>342</v>
      </c>
      <c r="Z345" s="54" t="s">
        <v>342</v>
      </c>
      <c r="AA345" s="62" t="s">
        <v>1732</v>
      </c>
      <c r="AC345" s="24"/>
    </row>
    <row r="346" spans="2:29" ht="120" customHeight="1" x14ac:dyDescent="0.25">
      <c r="B346" s="52" t="s">
        <v>48</v>
      </c>
      <c r="C346" s="52" t="s">
        <v>1558</v>
      </c>
      <c r="D346" s="52" t="s">
        <v>1559</v>
      </c>
      <c r="E346" s="53">
        <v>1</v>
      </c>
      <c r="F346" s="52" t="s">
        <v>329</v>
      </c>
      <c r="G346" s="52" t="s">
        <v>330</v>
      </c>
      <c r="H346" s="52" t="s">
        <v>331</v>
      </c>
      <c r="I346" s="53">
        <v>44</v>
      </c>
      <c r="J346" s="52" t="s">
        <v>140</v>
      </c>
      <c r="K346" s="53">
        <v>10</v>
      </c>
      <c r="L346" s="53"/>
      <c r="M346" s="54" t="s">
        <v>332</v>
      </c>
      <c r="N346" s="54" t="s">
        <v>333</v>
      </c>
      <c r="O346" s="53" t="s">
        <v>142</v>
      </c>
      <c r="P346" s="52"/>
      <c r="Q346" s="56" t="s">
        <v>284</v>
      </c>
      <c r="R346" s="52" t="s">
        <v>685</v>
      </c>
      <c r="S346" s="52"/>
      <c r="T346" s="52"/>
      <c r="U346" s="52"/>
      <c r="V346" s="52"/>
      <c r="W346" s="53"/>
      <c r="X346" s="54" t="s">
        <v>342</v>
      </c>
      <c r="Y346" s="54" t="s">
        <v>342</v>
      </c>
      <c r="Z346" s="54" t="s">
        <v>342</v>
      </c>
      <c r="AA346" s="62" t="s">
        <v>342</v>
      </c>
      <c r="AC346" s="24"/>
    </row>
    <row r="347" spans="2:29" ht="120" customHeight="1" x14ac:dyDescent="0.25">
      <c r="B347" s="52" t="s">
        <v>48</v>
      </c>
      <c r="C347" s="52" t="s">
        <v>1558</v>
      </c>
      <c r="D347" s="52" t="s">
        <v>1559</v>
      </c>
      <c r="E347" s="53">
        <v>1</v>
      </c>
      <c r="F347" s="52" t="s">
        <v>336</v>
      </c>
      <c r="G347" s="52" t="s">
        <v>337</v>
      </c>
      <c r="H347" s="52" t="s">
        <v>338</v>
      </c>
      <c r="I347" s="53">
        <v>45</v>
      </c>
      <c r="J347" s="52" t="s">
        <v>339</v>
      </c>
      <c r="K347" s="53">
        <v>23</v>
      </c>
      <c r="L347" s="53"/>
      <c r="M347" s="54" t="s">
        <v>340</v>
      </c>
      <c r="N347" s="54" t="s">
        <v>341</v>
      </c>
      <c r="O347" s="53"/>
      <c r="P347" s="52"/>
      <c r="Q347" s="56"/>
      <c r="R347" s="52"/>
      <c r="S347" s="52"/>
      <c r="T347" s="52"/>
      <c r="U347" s="52"/>
      <c r="V347" s="52"/>
      <c r="W347" s="53"/>
      <c r="X347" s="54" t="s">
        <v>342</v>
      </c>
      <c r="Y347" s="54" t="s">
        <v>342</v>
      </c>
      <c r="Z347" s="54" t="s">
        <v>342</v>
      </c>
      <c r="AA347" s="62" t="s">
        <v>342</v>
      </c>
      <c r="AC347" s="24"/>
    </row>
    <row r="348" spans="2:29" ht="120" customHeight="1" x14ac:dyDescent="0.25">
      <c r="B348" s="52" t="s">
        <v>48</v>
      </c>
      <c r="C348" s="52" t="s">
        <v>1733</v>
      </c>
      <c r="D348" s="52" t="s">
        <v>1734</v>
      </c>
      <c r="E348" s="53">
        <v>2</v>
      </c>
      <c r="F348" s="52" t="s">
        <v>137</v>
      </c>
      <c r="G348" s="52" t="s">
        <v>138</v>
      </c>
      <c r="H348" s="52" t="s">
        <v>139</v>
      </c>
      <c r="I348" s="53">
        <v>1</v>
      </c>
      <c r="J348" s="52" t="s">
        <v>140</v>
      </c>
      <c r="K348" s="53">
        <v>4</v>
      </c>
      <c r="L348" s="53"/>
      <c r="M348" s="54" t="s">
        <v>141</v>
      </c>
      <c r="N348" s="54"/>
      <c r="O348" s="53" t="s">
        <v>142</v>
      </c>
      <c r="P348" s="52"/>
      <c r="Q348" s="56"/>
      <c r="R348" s="52"/>
      <c r="S348" s="125" t="s">
        <v>1735</v>
      </c>
      <c r="T348" s="56" t="s">
        <v>1736</v>
      </c>
      <c r="U348" s="56" t="s">
        <v>349</v>
      </c>
      <c r="V348" s="56" t="s">
        <v>1737</v>
      </c>
      <c r="W348" s="53"/>
      <c r="X348" s="52" t="s">
        <v>1738</v>
      </c>
      <c r="Y348" s="55" t="s">
        <v>351</v>
      </c>
      <c r="Z348" s="55" t="s">
        <v>351</v>
      </c>
      <c r="AA348" s="53" t="s">
        <v>1739</v>
      </c>
      <c r="AC348" s="24"/>
    </row>
    <row r="349" spans="2:29" ht="120" customHeight="1" x14ac:dyDescent="0.25">
      <c r="B349" s="52" t="s">
        <v>48</v>
      </c>
      <c r="C349" s="52" t="s">
        <v>1733</v>
      </c>
      <c r="D349" s="52" t="s">
        <v>1734</v>
      </c>
      <c r="E349" s="53">
        <v>2</v>
      </c>
      <c r="F349" s="52" t="s">
        <v>553</v>
      </c>
      <c r="G349" s="52" t="s">
        <v>554</v>
      </c>
      <c r="H349" s="52" t="s">
        <v>139</v>
      </c>
      <c r="I349" s="53">
        <v>2</v>
      </c>
      <c r="J349" s="52" t="s">
        <v>140</v>
      </c>
      <c r="K349" s="53">
        <v>15</v>
      </c>
      <c r="L349" s="53"/>
      <c r="M349" s="54" t="s">
        <v>1740</v>
      </c>
      <c r="N349" s="54" t="s">
        <v>155</v>
      </c>
      <c r="O349" s="53" t="s">
        <v>142</v>
      </c>
      <c r="P349" s="52"/>
      <c r="Q349" s="56"/>
      <c r="R349" s="52"/>
      <c r="S349" s="184" t="s">
        <v>1562</v>
      </c>
      <c r="T349" s="52" t="s">
        <v>1741</v>
      </c>
      <c r="U349" s="52" t="s">
        <v>1742</v>
      </c>
      <c r="V349" s="56" t="s">
        <v>1743</v>
      </c>
      <c r="W349" s="53"/>
      <c r="X349" s="52" t="s">
        <v>1738</v>
      </c>
      <c r="Y349" s="55" t="s">
        <v>1741</v>
      </c>
      <c r="Z349" s="81" t="s">
        <v>1744</v>
      </c>
      <c r="AA349" s="53" t="s">
        <v>351</v>
      </c>
      <c r="AC349" s="24"/>
    </row>
    <row r="350" spans="2:29" ht="120" customHeight="1" x14ac:dyDescent="0.25">
      <c r="B350" s="52" t="s">
        <v>48</v>
      </c>
      <c r="C350" s="52" t="s">
        <v>1733</v>
      </c>
      <c r="D350" s="52" t="s">
        <v>1734</v>
      </c>
      <c r="E350" s="53">
        <v>2</v>
      </c>
      <c r="F350" s="52" t="s">
        <v>193</v>
      </c>
      <c r="G350" s="52" t="s">
        <v>194</v>
      </c>
      <c r="H350" s="55" t="s">
        <v>166</v>
      </c>
      <c r="I350" s="53">
        <v>3</v>
      </c>
      <c r="J350" s="52" t="s">
        <v>140</v>
      </c>
      <c r="K350" s="53">
        <v>4</v>
      </c>
      <c r="L350" s="53"/>
      <c r="M350" s="54" t="s">
        <v>1745</v>
      </c>
      <c r="N350" s="54"/>
      <c r="O350" s="53"/>
      <c r="P350" s="55"/>
      <c r="Q350" s="56"/>
      <c r="R350" s="52"/>
      <c r="S350" s="125" t="s">
        <v>1735</v>
      </c>
      <c r="T350" s="56" t="s">
        <v>1736</v>
      </c>
      <c r="U350" s="56" t="s">
        <v>349</v>
      </c>
      <c r="V350" s="56" t="s">
        <v>1746</v>
      </c>
      <c r="W350" s="53"/>
      <c r="X350" s="52" t="s">
        <v>1738</v>
      </c>
      <c r="Y350" s="72" t="s">
        <v>542</v>
      </c>
      <c r="Z350" s="72" t="s">
        <v>542</v>
      </c>
      <c r="AA350" s="53" t="s">
        <v>1747</v>
      </c>
      <c r="AC350" s="24"/>
    </row>
    <row r="351" spans="2:29" ht="120" customHeight="1" x14ac:dyDescent="0.25">
      <c r="B351" s="52" t="s">
        <v>48</v>
      </c>
      <c r="C351" s="52" t="s">
        <v>1733</v>
      </c>
      <c r="D351" s="52" t="s">
        <v>1734</v>
      </c>
      <c r="E351" s="53">
        <v>2</v>
      </c>
      <c r="F351" s="52" t="s">
        <v>203</v>
      </c>
      <c r="G351" s="52" t="s">
        <v>204</v>
      </c>
      <c r="H351" s="55" t="s">
        <v>166</v>
      </c>
      <c r="I351" s="53">
        <v>4</v>
      </c>
      <c r="J351" s="52" t="s">
        <v>140</v>
      </c>
      <c r="K351" s="53">
        <v>30</v>
      </c>
      <c r="L351" s="53"/>
      <c r="M351" s="54" t="s">
        <v>1748</v>
      </c>
      <c r="N351" s="54" t="s">
        <v>206</v>
      </c>
      <c r="O351" s="53"/>
      <c r="P351" s="55"/>
      <c r="Q351" s="56"/>
      <c r="R351" s="52"/>
      <c r="S351" s="125" t="s">
        <v>1575</v>
      </c>
      <c r="T351" s="56" t="s">
        <v>1749</v>
      </c>
      <c r="U351" s="56" t="s">
        <v>1584</v>
      </c>
      <c r="V351" s="56" t="s">
        <v>1750</v>
      </c>
      <c r="W351" s="53"/>
      <c r="X351" s="52" t="s">
        <v>1738</v>
      </c>
      <c r="Y351" s="55" t="s">
        <v>1751</v>
      </c>
      <c r="Z351" s="67" t="s">
        <v>1752</v>
      </c>
      <c r="AA351" s="53" t="s">
        <v>1753</v>
      </c>
      <c r="AC351" s="24"/>
    </row>
    <row r="352" spans="2:29" ht="120" customHeight="1" x14ac:dyDescent="0.25">
      <c r="B352" s="52" t="s">
        <v>48</v>
      </c>
      <c r="C352" s="52" t="s">
        <v>1733</v>
      </c>
      <c r="D352" s="52" t="s">
        <v>1734</v>
      </c>
      <c r="E352" s="53">
        <v>2</v>
      </c>
      <c r="F352" s="52" t="s">
        <v>1593</v>
      </c>
      <c r="G352" s="52" t="s">
        <v>1594</v>
      </c>
      <c r="H352" s="55" t="s">
        <v>166</v>
      </c>
      <c r="I352" s="53">
        <v>5</v>
      </c>
      <c r="J352" s="52" t="s">
        <v>140</v>
      </c>
      <c r="K352" s="53">
        <v>34</v>
      </c>
      <c r="L352" s="53"/>
      <c r="M352" s="54" t="s">
        <v>1595</v>
      </c>
      <c r="N352" s="54"/>
      <c r="O352" s="53"/>
      <c r="P352" s="55"/>
      <c r="Q352" s="54"/>
      <c r="R352" s="55"/>
      <c r="S352" s="125" t="s">
        <v>1575</v>
      </c>
      <c r="T352" s="56" t="s">
        <v>1749</v>
      </c>
      <c r="U352" s="56" t="s">
        <v>1584</v>
      </c>
      <c r="V352" s="56" t="s">
        <v>1754</v>
      </c>
      <c r="W352" s="53"/>
      <c r="X352" s="52" t="s">
        <v>1738</v>
      </c>
      <c r="Y352" s="55" t="s">
        <v>1755</v>
      </c>
      <c r="Z352" s="55" t="s">
        <v>1756</v>
      </c>
      <c r="AA352" s="53" t="s">
        <v>351</v>
      </c>
      <c r="AC352" s="24"/>
    </row>
    <row r="353" spans="2:29" ht="120" customHeight="1" x14ac:dyDescent="0.25">
      <c r="B353" s="52" t="s">
        <v>48</v>
      </c>
      <c r="C353" s="52" t="s">
        <v>1733</v>
      </c>
      <c r="D353" s="52" t="s">
        <v>1734</v>
      </c>
      <c r="E353" s="53">
        <v>2</v>
      </c>
      <c r="F353" s="52" t="s">
        <v>1600</v>
      </c>
      <c r="G353" s="52" t="s">
        <v>1601</v>
      </c>
      <c r="H353" s="55" t="s">
        <v>166</v>
      </c>
      <c r="I353" s="53">
        <v>6</v>
      </c>
      <c r="J353" s="52" t="s">
        <v>140</v>
      </c>
      <c r="K353" s="53">
        <v>4</v>
      </c>
      <c r="L353" s="53"/>
      <c r="M353" s="54" t="s">
        <v>1757</v>
      </c>
      <c r="N353" s="54"/>
      <c r="O353" s="53"/>
      <c r="P353" s="55"/>
      <c r="Q353" s="56"/>
      <c r="R353" s="52"/>
      <c r="S353" s="125" t="s">
        <v>1735</v>
      </c>
      <c r="T353" s="56" t="s">
        <v>1736</v>
      </c>
      <c r="U353" s="56" t="s">
        <v>349</v>
      </c>
      <c r="V353" s="56" t="s">
        <v>1758</v>
      </c>
      <c r="W353" s="53"/>
      <c r="X353" s="52" t="s">
        <v>1738</v>
      </c>
      <c r="Y353" s="72" t="s">
        <v>542</v>
      </c>
      <c r="Z353" s="72" t="s">
        <v>542</v>
      </c>
      <c r="AA353" s="53" t="s">
        <v>1747</v>
      </c>
      <c r="AC353" s="24"/>
    </row>
    <row r="354" spans="2:29" ht="120" customHeight="1" x14ac:dyDescent="0.25">
      <c r="B354" s="52" t="s">
        <v>48</v>
      </c>
      <c r="C354" s="52" t="s">
        <v>1733</v>
      </c>
      <c r="D354" s="52" t="s">
        <v>1734</v>
      </c>
      <c r="E354" s="53">
        <v>2</v>
      </c>
      <c r="F354" s="52" t="s">
        <v>1606</v>
      </c>
      <c r="G354" s="52" t="s">
        <v>1607</v>
      </c>
      <c r="H354" s="55" t="s">
        <v>166</v>
      </c>
      <c r="I354" s="53">
        <v>7</v>
      </c>
      <c r="J354" s="52" t="s">
        <v>140</v>
      </c>
      <c r="K354" s="53">
        <v>30</v>
      </c>
      <c r="L354" s="53"/>
      <c r="M354" s="54" t="s">
        <v>1759</v>
      </c>
      <c r="N354" s="54" t="s">
        <v>206</v>
      </c>
      <c r="O354" s="53"/>
      <c r="P354" s="55"/>
      <c r="Q354" s="56"/>
      <c r="R354" s="52"/>
      <c r="S354" s="125" t="s">
        <v>1575</v>
      </c>
      <c r="T354" s="56" t="s">
        <v>1749</v>
      </c>
      <c r="U354" s="56" t="s">
        <v>1603</v>
      </c>
      <c r="V354" s="56" t="s">
        <v>1760</v>
      </c>
      <c r="W354" s="53"/>
      <c r="X354" s="52" t="s">
        <v>1738</v>
      </c>
      <c r="Y354" s="55" t="s">
        <v>1755</v>
      </c>
      <c r="Z354" s="81" t="s">
        <v>1761</v>
      </c>
      <c r="AA354" s="53" t="s">
        <v>1753</v>
      </c>
      <c r="AC354" s="24"/>
    </row>
    <row r="355" spans="2:29" ht="120" customHeight="1" x14ac:dyDescent="0.25">
      <c r="B355" s="52" t="s">
        <v>48</v>
      </c>
      <c r="C355" s="52" t="s">
        <v>1733</v>
      </c>
      <c r="D355" s="52" t="s">
        <v>1734</v>
      </c>
      <c r="E355" s="53">
        <v>2</v>
      </c>
      <c r="F355" s="52" t="s">
        <v>1613</v>
      </c>
      <c r="G355" s="52" t="s">
        <v>1614</v>
      </c>
      <c r="H355" s="55" t="s">
        <v>166</v>
      </c>
      <c r="I355" s="53">
        <v>8</v>
      </c>
      <c r="J355" s="52" t="s">
        <v>140</v>
      </c>
      <c r="K355" s="53">
        <v>34</v>
      </c>
      <c r="L355" s="53"/>
      <c r="M355" s="54" t="s">
        <v>1615</v>
      </c>
      <c r="N355" s="54"/>
      <c r="O355" s="53"/>
      <c r="P355" s="55"/>
      <c r="Q355" s="54"/>
      <c r="R355" s="55"/>
      <c r="S355" s="125" t="s">
        <v>1575</v>
      </c>
      <c r="T355" s="56" t="s">
        <v>1749</v>
      </c>
      <c r="U355" s="56" t="s">
        <v>1603</v>
      </c>
      <c r="V355" s="56" t="s">
        <v>1762</v>
      </c>
      <c r="W355" s="53"/>
      <c r="X355" s="52" t="s">
        <v>1738</v>
      </c>
      <c r="Y355" s="55" t="s">
        <v>1755</v>
      </c>
      <c r="Z355" s="81" t="s">
        <v>1763</v>
      </c>
      <c r="AA355" s="53" t="s">
        <v>1764</v>
      </c>
      <c r="AC355" s="24"/>
    </row>
    <row r="356" spans="2:29" ht="120" customHeight="1" x14ac:dyDescent="0.25">
      <c r="B356" s="52" t="s">
        <v>48</v>
      </c>
      <c r="C356" s="52" t="s">
        <v>1733</v>
      </c>
      <c r="D356" s="52" t="s">
        <v>1734</v>
      </c>
      <c r="E356" s="53">
        <v>2</v>
      </c>
      <c r="F356" s="52" t="s">
        <v>214</v>
      </c>
      <c r="G356" s="52" t="s">
        <v>215</v>
      </c>
      <c r="H356" s="55" t="s">
        <v>1765</v>
      </c>
      <c r="I356" s="53">
        <v>9</v>
      </c>
      <c r="J356" s="52" t="s">
        <v>140</v>
      </c>
      <c r="K356" s="53">
        <v>10</v>
      </c>
      <c r="L356" s="53"/>
      <c r="M356" s="54" t="s">
        <v>1766</v>
      </c>
      <c r="N356" s="54" t="s">
        <v>218</v>
      </c>
      <c r="O356" s="53"/>
      <c r="P356" s="55"/>
      <c r="Q356" s="56"/>
      <c r="R356" s="52"/>
      <c r="S356" s="56" t="s">
        <v>1562</v>
      </c>
      <c r="T356" s="52" t="s">
        <v>1741</v>
      </c>
      <c r="U356" s="52" t="s">
        <v>1767</v>
      </c>
      <c r="V356" s="56" t="s">
        <v>1768</v>
      </c>
      <c r="W356" s="53"/>
      <c r="X356" s="52" t="s">
        <v>1738</v>
      </c>
      <c r="Y356" s="55" t="s">
        <v>1741</v>
      </c>
      <c r="Z356" s="55" t="s">
        <v>1769</v>
      </c>
      <c r="AA356" s="53" t="s">
        <v>351</v>
      </c>
      <c r="AC356" s="24"/>
    </row>
    <row r="357" spans="2:29" ht="120" customHeight="1" x14ac:dyDescent="0.25">
      <c r="B357" s="52" t="s">
        <v>48</v>
      </c>
      <c r="C357" s="52" t="s">
        <v>1733</v>
      </c>
      <c r="D357" s="52" t="s">
        <v>1734</v>
      </c>
      <c r="E357" s="53">
        <v>2</v>
      </c>
      <c r="F357" s="52" t="s">
        <v>226</v>
      </c>
      <c r="G357" s="52" t="s">
        <v>227</v>
      </c>
      <c r="H357" s="55" t="s">
        <v>216</v>
      </c>
      <c r="I357" s="53">
        <v>10</v>
      </c>
      <c r="J357" s="52" t="s">
        <v>140</v>
      </c>
      <c r="K357" s="53">
        <v>10</v>
      </c>
      <c r="L357" s="53"/>
      <c r="M357" s="54" t="s">
        <v>1770</v>
      </c>
      <c r="N357" s="54" t="s">
        <v>229</v>
      </c>
      <c r="O357" s="53"/>
      <c r="P357" s="52"/>
      <c r="Q357" s="56"/>
      <c r="R357" s="52"/>
      <c r="S357" s="56" t="s">
        <v>1562</v>
      </c>
      <c r="T357" s="52" t="s">
        <v>1741</v>
      </c>
      <c r="U357" s="52" t="s">
        <v>1771</v>
      </c>
      <c r="V357" s="56" t="s">
        <v>1772</v>
      </c>
      <c r="W357" s="53"/>
      <c r="X357" s="52" t="s">
        <v>1738</v>
      </c>
      <c r="Y357" s="55" t="s">
        <v>1741</v>
      </c>
      <c r="Z357" s="55" t="s">
        <v>1773</v>
      </c>
      <c r="AA357" s="53" t="s">
        <v>351</v>
      </c>
      <c r="AC357" s="24"/>
    </row>
    <row r="358" spans="2:29" ht="120" customHeight="1" x14ac:dyDescent="0.25">
      <c r="B358" s="52" t="s">
        <v>48</v>
      </c>
      <c r="C358" s="52" t="s">
        <v>1733</v>
      </c>
      <c r="D358" s="52" t="s">
        <v>1734</v>
      </c>
      <c r="E358" s="53">
        <v>2</v>
      </c>
      <c r="F358" s="52" t="s">
        <v>238</v>
      </c>
      <c r="G358" s="52" t="s">
        <v>239</v>
      </c>
      <c r="H358" s="55" t="s">
        <v>240</v>
      </c>
      <c r="I358" s="53">
        <v>11</v>
      </c>
      <c r="J358" s="52" t="s">
        <v>140</v>
      </c>
      <c r="K358" s="53">
        <v>3</v>
      </c>
      <c r="L358" s="53"/>
      <c r="M358" s="54" t="s">
        <v>1774</v>
      </c>
      <c r="N358" s="54" t="s">
        <v>242</v>
      </c>
      <c r="O358" s="53"/>
      <c r="P358" s="56" t="s">
        <v>1775</v>
      </c>
      <c r="Q358" s="56"/>
      <c r="R358" s="52"/>
      <c r="S358" s="125" t="s">
        <v>1575</v>
      </c>
      <c r="T358" s="56" t="s">
        <v>1749</v>
      </c>
      <c r="U358" s="56" t="s">
        <v>1776</v>
      </c>
      <c r="V358" s="56" t="s">
        <v>1777</v>
      </c>
      <c r="W358" s="53"/>
      <c r="X358" s="52" t="s">
        <v>1738</v>
      </c>
      <c r="Y358" s="55" t="s">
        <v>1778</v>
      </c>
      <c r="Z358" s="55" t="s">
        <v>1779</v>
      </c>
      <c r="AA358" s="53" t="s">
        <v>351</v>
      </c>
      <c r="AC358" s="24"/>
    </row>
    <row r="359" spans="2:29" ht="120" customHeight="1" x14ac:dyDescent="0.25">
      <c r="B359" s="52" t="s">
        <v>48</v>
      </c>
      <c r="C359" s="52" t="s">
        <v>1733</v>
      </c>
      <c r="D359" s="52" t="s">
        <v>1734</v>
      </c>
      <c r="E359" s="53">
        <v>2</v>
      </c>
      <c r="F359" s="52" t="s">
        <v>260</v>
      </c>
      <c r="G359" s="52" t="s">
        <v>261</v>
      </c>
      <c r="H359" s="52" t="s">
        <v>262</v>
      </c>
      <c r="I359" s="53">
        <v>12</v>
      </c>
      <c r="J359" s="52" t="s">
        <v>263</v>
      </c>
      <c r="K359" s="53">
        <v>23</v>
      </c>
      <c r="L359" s="53">
        <v>6</v>
      </c>
      <c r="M359" s="54" t="s">
        <v>1780</v>
      </c>
      <c r="N359" s="54"/>
      <c r="O359" s="53"/>
      <c r="P359" s="55"/>
      <c r="Q359" s="56"/>
      <c r="R359" s="52"/>
      <c r="S359" s="125" t="s">
        <v>1781</v>
      </c>
      <c r="T359" s="56" t="s">
        <v>1782</v>
      </c>
      <c r="U359" s="56" t="s">
        <v>1783</v>
      </c>
      <c r="V359" s="56" t="s">
        <v>1784</v>
      </c>
      <c r="W359" s="53"/>
      <c r="X359" s="52" t="s">
        <v>1738</v>
      </c>
      <c r="Y359" s="54" t="s">
        <v>1785</v>
      </c>
      <c r="Z359" s="54" t="s">
        <v>1786</v>
      </c>
      <c r="AA359" s="53" t="s">
        <v>542</v>
      </c>
      <c r="AC359" s="24"/>
    </row>
    <row r="360" spans="2:29" ht="120" customHeight="1" x14ac:dyDescent="0.25">
      <c r="B360" s="52" t="s">
        <v>48</v>
      </c>
      <c r="C360" s="52" t="s">
        <v>1733</v>
      </c>
      <c r="D360" s="52" t="s">
        <v>1734</v>
      </c>
      <c r="E360" s="53">
        <v>2</v>
      </c>
      <c r="F360" s="52" t="s">
        <v>272</v>
      </c>
      <c r="G360" s="52" t="s">
        <v>273</v>
      </c>
      <c r="H360" s="52" t="s">
        <v>262</v>
      </c>
      <c r="I360" s="53">
        <v>13</v>
      </c>
      <c r="J360" s="52" t="s">
        <v>263</v>
      </c>
      <c r="K360" s="53">
        <v>23</v>
      </c>
      <c r="L360" s="53">
        <v>6</v>
      </c>
      <c r="M360" s="54" t="s">
        <v>1787</v>
      </c>
      <c r="N360" s="54"/>
      <c r="O360" s="53"/>
      <c r="P360" s="55"/>
      <c r="Q360" s="56" t="s">
        <v>219</v>
      </c>
      <c r="R360" s="52" t="s">
        <v>265</v>
      </c>
      <c r="S360" s="125" t="s">
        <v>1575</v>
      </c>
      <c r="T360" s="56" t="s">
        <v>1749</v>
      </c>
      <c r="U360" s="56" t="s">
        <v>1788</v>
      </c>
      <c r="V360" s="56" t="s">
        <v>1789</v>
      </c>
      <c r="W360" s="53"/>
      <c r="X360" s="52" t="s">
        <v>1738</v>
      </c>
      <c r="Y360" s="54" t="s">
        <v>1785</v>
      </c>
      <c r="Z360" s="54" t="s">
        <v>1786</v>
      </c>
      <c r="AA360" s="53" t="s">
        <v>542</v>
      </c>
      <c r="AC360" s="24"/>
    </row>
    <row r="361" spans="2:29" ht="120" customHeight="1" x14ac:dyDescent="0.25">
      <c r="B361" s="52" t="s">
        <v>48</v>
      </c>
      <c r="C361" s="52" t="s">
        <v>1733</v>
      </c>
      <c r="D361" s="52" t="s">
        <v>1734</v>
      </c>
      <c r="E361" s="53">
        <v>2</v>
      </c>
      <c r="F361" s="52" t="s">
        <v>717</v>
      </c>
      <c r="G361" s="52" t="s">
        <v>718</v>
      </c>
      <c r="H361" s="55" t="s">
        <v>303</v>
      </c>
      <c r="I361" s="53">
        <v>14</v>
      </c>
      <c r="J361" s="52" t="s">
        <v>140</v>
      </c>
      <c r="K361" s="53">
        <v>3</v>
      </c>
      <c r="L361" s="53"/>
      <c r="M361" s="54" t="s">
        <v>719</v>
      </c>
      <c r="N361" s="54" t="s">
        <v>305</v>
      </c>
      <c r="O361" s="53"/>
      <c r="P361" s="54" t="s">
        <v>1790</v>
      </c>
      <c r="Q361" s="54"/>
      <c r="R361" s="55"/>
      <c r="S361" s="56" t="s">
        <v>1735</v>
      </c>
      <c r="T361" s="56" t="s">
        <v>1736</v>
      </c>
      <c r="U361" s="56" t="s">
        <v>349</v>
      </c>
      <c r="V361" s="56" t="s">
        <v>1791</v>
      </c>
      <c r="W361" s="53"/>
      <c r="X361" s="52" t="s">
        <v>1738</v>
      </c>
      <c r="Y361" s="55" t="s">
        <v>1741</v>
      </c>
      <c r="Z361" s="55" t="s">
        <v>1792</v>
      </c>
      <c r="AA361" s="53" t="s">
        <v>351</v>
      </c>
      <c r="AC361" s="24"/>
    </row>
    <row r="362" spans="2:29" ht="120" customHeight="1" x14ac:dyDescent="0.25">
      <c r="B362" s="52" t="s">
        <v>48</v>
      </c>
      <c r="C362" s="52" t="s">
        <v>1733</v>
      </c>
      <c r="D362" s="52" t="s">
        <v>1734</v>
      </c>
      <c r="E362" s="53">
        <v>2</v>
      </c>
      <c r="F362" s="52" t="s">
        <v>723</v>
      </c>
      <c r="G362" s="52" t="s">
        <v>724</v>
      </c>
      <c r="H362" s="55" t="s">
        <v>303</v>
      </c>
      <c r="I362" s="53">
        <v>15</v>
      </c>
      <c r="J362" s="52" t="s">
        <v>140</v>
      </c>
      <c r="K362" s="53">
        <v>3</v>
      </c>
      <c r="L362" s="53"/>
      <c r="M362" s="54" t="s">
        <v>725</v>
      </c>
      <c r="N362" s="54" t="s">
        <v>314</v>
      </c>
      <c r="O362" s="53"/>
      <c r="P362" s="56" t="s">
        <v>726</v>
      </c>
      <c r="Q362" s="65"/>
      <c r="R362" s="63"/>
      <c r="S362" s="56" t="s">
        <v>1735</v>
      </c>
      <c r="T362" s="56" t="s">
        <v>1736</v>
      </c>
      <c r="U362" s="56" t="s">
        <v>349</v>
      </c>
      <c r="V362" s="56" t="s">
        <v>1793</v>
      </c>
      <c r="W362" s="53"/>
      <c r="X362" s="52" t="s">
        <v>1738</v>
      </c>
      <c r="Y362" s="55" t="s">
        <v>351</v>
      </c>
      <c r="Z362" s="55" t="s">
        <v>351</v>
      </c>
      <c r="AA362" s="53" t="s">
        <v>437</v>
      </c>
      <c r="AC362" s="24"/>
    </row>
    <row r="363" spans="2:29" ht="120" customHeight="1" x14ac:dyDescent="0.25">
      <c r="B363" s="52" t="s">
        <v>48</v>
      </c>
      <c r="C363" s="52" t="s">
        <v>1733</v>
      </c>
      <c r="D363" s="52" t="s">
        <v>1734</v>
      </c>
      <c r="E363" s="53">
        <v>2</v>
      </c>
      <c r="F363" s="52" t="s">
        <v>329</v>
      </c>
      <c r="G363" s="52" t="s">
        <v>330</v>
      </c>
      <c r="H363" s="52" t="s">
        <v>331</v>
      </c>
      <c r="I363" s="53">
        <v>16</v>
      </c>
      <c r="J363" s="52" t="s">
        <v>140</v>
      </c>
      <c r="K363" s="53">
        <v>10</v>
      </c>
      <c r="L363" s="53"/>
      <c r="M363" s="54" t="s">
        <v>332</v>
      </c>
      <c r="N363" s="54" t="s">
        <v>333</v>
      </c>
      <c r="O363" s="53" t="s">
        <v>142</v>
      </c>
      <c r="P363" s="52"/>
      <c r="Q363" s="56"/>
      <c r="R363" s="52"/>
      <c r="S363" s="56" t="s">
        <v>1562</v>
      </c>
      <c r="T363" s="52" t="s">
        <v>1741</v>
      </c>
      <c r="U363" s="52" t="s">
        <v>728</v>
      </c>
      <c r="V363" s="56" t="s">
        <v>1794</v>
      </c>
      <c r="W363" s="53"/>
      <c r="X363" s="52" t="s">
        <v>351</v>
      </c>
      <c r="Y363" s="55" t="s">
        <v>351</v>
      </c>
      <c r="Z363" s="55" t="s">
        <v>351</v>
      </c>
      <c r="AA363" s="53" t="s">
        <v>351</v>
      </c>
      <c r="AC363" s="24"/>
    </row>
    <row r="364" spans="2:29" ht="120" customHeight="1" x14ac:dyDescent="0.25">
      <c r="B364" s="52" t="s">
        <v>48</v>
      </c>
      <c r="C364" s="52" t="s">
        <v>1733</v>
      </c>
      <c r="D364" s="52" t="s">
        <v>1734</v>
      </c>
      <c r="E364" s="53">
        <v>2</v>
      </c>
      <c r="F364" s="52" t="s">
        <v>336</v>
      </c>
      <c r="G364" s="52" t="s">
        <v>337</v>
      </c>
      <c r="H364" s="52" t="s">
        <v>338</v>
      </c>
      <c r="I364" s="53">
        <v>17</v>
      </c>
      <c r="J364" s="52" t="s">
        <v>339</v>
      </c>
      <c r="K364" s="53">
        <v>23</v>
      </c>
      <c r="L364" s="53"/>
      <c r="M364" s="54" t="s">
        <v>340</v>
      </c>
      <c r="N364" s="54" t="s">
        <v>341</v>
      </c>
      <c r="O364" s="53"/>
      <c r="P364" s="52"/>
      <c r="Q364" s="56"/>
      <c r="R364" s="52"/>
      <c r="S364" s="56" t="s">
        <v>1562</v>
      </c>
      <c r="T364" s="52" t="s">
        <v>1741</v>
      </c>
      <c r="U364" s="52" t="s">
        <v>351</v>
      </c>
      <c r="V364" s="56" t="s">
        <v>1795</v>
      </c>
      <c r="W364" s="53"/>
      <c r="X364" s="52" t="s">
        <v>351</v>
      </c>
      <c r="Y364" s="55" t="s">
        <v>351</v>
      </c>
      <c r="Z364" s="55" t="s">
        <v>351</v>
      </c>
      <c r="AA364" s="53" t="s">
        <v>351</v>
      </c>
      <c r="AC364" s="24"/>
    </row>
    <row r="365" spans="2:29" ht="120" customHeight="1" x14ac:dyDescent="0.25">
      <c r="B365" s="52" t="s">
        <v>1796</v>
      </c>
      <c r="C365" s="52" t="s">
        <v>1797</v>
      </c>
      <c r="D365" s="52" t="s">
        <v>1798</v>
      </c>
      <c r="E365" s="53">
        <v>1</v>
      </c>
      <c r="F365" s="52" t="s">
        <v>137</v>
      </c>
      <c r="G365" s="52" t="s">
        <v>138</v>
      </c>
      <c r="H365" s="52" t="s">
        <v>139</v>
      </c>
      <c r="I365" s="53">
        <v>1</v>
      </c>
      <c r="J365" s="52" t="s">
        <v>140</v>
      </c>
      <c r="K365" s="53">
        <v>4</v>
      </c>
      <c r="L365" s="53"/>
      <c r="M365" s="54" t="s">
        <v>141</v>
      </c>
      <c r="N365" s="54"/>
      <c r="O365" s="53" t="s">
        <v>142</v>
      </c>
      <c r="P365" s="55"/>
      <c r="Q365" s="56" t="s">
        <v>143</v>
      </c>
      <c r="R365" s="56" t="s">
        <v>1799</v>
      </c>
      <c r="S365" s="56" t="s">
        <v>1800</v>
      </c>
      <c r="T365" s="56" t="s">
        <v>1801</v>
      </c>
      <c r="U365" s="56" t="s">
        <v>349</v>
      </c>
      <c r="V365" s="56" t="s">
        <v>1802</v>
      </c>
      <c r="W365" s="53"/>
      <c r="X365" s="52" t="s">
        <v>1378</v>
      </c>
      <c r="Y365" s="55" t="s">
        <v>351</v>
      </c>
      <c r="Z365" s="55" t="s">
        <v>351</v>
      </c>
      <c r="AA365" s="53" t="s">
        <v>353</v>
      </c>
      <c r="AC365" s="24"/>
    </row>
    <row r="366" spans="2:29" ht="120" customHeight="1" x14ac:dyDescent="0.25">
      <c r="B366" s="52" t="s">
        <v>1796</v>
      </c>
      <c r="C366" s="52" t="s">
        <v>1797</v>
      </c>
      <c r="D366" s="52" t="s">
        <v>1798</v>
      </c>
      <c r="E366" s="53">
        <v>1</v>
      </c>
      <c r="F366" s="52" t="s">
        <v>152</v>
      </c>
      <c r="G366" s="52" t="s">
        <v>153</v>
      </c>
      <c r="H366" s="52" t="s">
        <v>139</v>
      </c>
      <c r="I366" s="53">
        <v>2</v>
      </c>
      <c r="J366" s="52" t="s">
        <v>140</v>
      </c>
      <c r="K366" s="53">
        <v>30</v>
      </c>
      <c r="L366" s="53"/>
      <c r="M366" s="54" t="s">
        <v>154</v>
      </c>
      <c r="N366" s="54" t="s">
        <v>155</v>
      </c>
      <c r="O366" s="53" t="s">
        <v>142</v>
      </c>
      <c r="P366" s="55"/>
      <c r="Q366" s="56" t="s">
        <v>143</v>
      </c>
      <c r="R366" s="56" t="s">
        <v>1799</v>
      </c>
      <c r="S366" s="52" t="s">
        <v>1803</v>
      </c>
      <c r="T366" s="52" t="s">
        <v>405</v>
      </c>
      <c r="U366" s="52" t="s">
        <v>1804</v>
      </c>
      <c r="V366" s="56" t="s">
        <v>1805</v>
      </c>
      <c r="W366" s="53"/>
      <c r="X366" s="52" t="s">
        <v>1378</v>
      </c>
      <c r="Y366" s="55" t="s">
        <v>1375</v>
      </c>
      <c r="Z366" s="55" t="s">
        <v>1376</v>
      </c>
      <c r="AA366" s="53" t="s">
        <v>351</v>
      </c>
      <c r="AC366" s="24"/>
    </row>
    <row r="367" spans="2:29" ht="120" customHeight="1" x14ac:dyDescent="0.25">
      <c r="B367" s="52" t="s">
        <v>1796</v>
      </c>
      <c r="C367" s="52" t="s">
        <v>1797</v>
      </c>
      <c r="D367" s="52" t="s">
        <v>1798</v>
      </c>
      <c r="E367" s="53">
        <v>1</v>
      </c>
      <c r="F367" s="52" t="s">
        <v>164</v>
      </c>
      <c r="G367" s="52" t="s">
        <v>165</v>
      </c>
      <c r="H367" s="52" t="s">
        <v>166</v>
      </c>
      <c r="I367" s="53">
        <v>3</v>
      </c>
      <c r="J367" s="52" t="s">
        <v>140</v>
      </c>
      <c r="K367" s="53">
        <v>20</v>
      </c>
      <c r="L367" s="53"/>
      <c r="M367" s="54" t="s">
        <v>167</v>
      </c>
      <c r="N367" s="54" t="s">
        <v>168</v>
      </c>
      <c r="O367" s="53"/>
      <c r="P367" s="54" t="s">
        <v>526</v>
      </c>
      <c r="Q367" s="56"/>
      <c r="R367" s="52"/>
      <c r="S367" s="56" t="s">
        <v>1800</v>
      </c>
      <c r="T367" s="56" t="s">
        <v>1801</v>
      </c>
      <c r="U367" s="56" t="s">
        <v>349</v>
      </c>
      <c r="V367" s="56" t="s">
        <v>1806</v>
      </c>
      <c r="W367" s="53"/>
      <c r="X367" s="56" t="s">
        <v>1378</v>
      </c>
      <c r="Y367" s="54" t="s">
        <v>1375</v>
      </c>
      <c r="Z367" s="56" t="s">
        <v>1379</v>
      </c>
      <c r="AA367" s="53" t="s">
        <v>351</v>
      </c>
      <c r="AC367" s="24"/>
    </row>
    <row r="368" spans="2:29" ht="120" customHeight="1" x14ac:dyDescent="0.25">
      <c r="B368" s="52" t="s">
        <v>1796</v>
      </c>
      <c r="C368" s="52" t="s">
        <v>1797</v>
      </c>
      <c r="D368" s="52" t="s">
        <v>1798</v>
      </c>
      <c r="E368" s="53">
        <v>1</v>
      </c>
      <c r="F368" s="52" t="s">
        <v>172</v>
      </c>
      <c r="G368" s="52" t="s">
        <v>173</v>
      </c>
      <c r="H368" s="52" t="s">
        <v>166</v>
      </c>
      <c r="I368" s="53">
        <v>4</v>
      </c>
      <c r="J368" s="52" t="s">
        <v>140</v>
      </c>
      <c r="K368" s="53">
        <v>3</v>
      </c>
      <c r="L368" s="53"/>
      <c r="M368" s="54" t="s">
        <v>174</v>
      </c>
      <c r="N368" s="54" t="s">
        <v>175</v>
      </c>
      <c r="O368" s="53"/>
      <c r="P368" s="56" t="s">
        <v>1380</v>
      </c>
      <c r="Q368" s="56" t="s">
        <v>177</v>
      </c>
      <c r="R368" s="56" t="s">
        <v>178</v>
      </c>
      <c r="S368" s="52" t="s">
        <v>1803</v>
      </c>
      <c r="T368" s="52" t="s">
        <v>405</v>
      </c>
      <c r="U368" s="52" t="s">
        <v>1807</v>
      </c>
      <c r="V368" s="56" t="s">
        <v>1808</v>
      </c>
      <c r="W368" s="53"/>
      <c r="X368" s="52" t="s">
        <v>1378</v>
      </c>
      <c r="Y368" s="55" t="s">
        <v>1375</v>
      </c>
      <c r="Z368" s="55" t="s">
        <v>534</v>
      </c>
      <c r="AA368" s="53" t="s">
        <v>351</v>
      </c>
      <c r="AC368" s="24"/>
    </row>
    <row r="369" spans="2:29" ht="120" customHeight="1" x14ac:dyDescent="0.25">
      <c r="B369" s="52" t="s">
        <v>1796</v>
      </c>
      <c r="C369" s="52" t="s">
        <v>1797</v>
      </c>
      <c r="D369" s="52" t="s">
        <v>1798</v>
      </c>
      <c r="E369" s="53">
        <v>1</v>
      </c>
      <c r="F369" s="52" t="s">
        <v>184</v>
      </c>
      <c r="G369" s="52" t="s">
        <v>185</v>
      </c>
      <c r="H369" s="52" t="s">
        <v>166</v>
      </c>
      <c r="I369" s="53">
        <v>5</v>
      </c>
      <c r="J369" s="52" t="s">
        <v>140</v>
      </c>
      <c r="K369" s="53">
        <v>3</v>
      </c>
      <c r="L369" s="53"/>
      <c r="M369" s="54" t="s">
        <v>186</v>
      </c>
      <c r="N369" s="54" t="s">
        <v>187</v>
      </c>
      <c r="O369" s="53"/>
      <c r="P369" s="56" t="s">
        <v>1383</v>
      </c>
      <c r="Q369" s="56" t="s">
        <v>177</v>
      </c>
      <c r="R369" s="56" t="s">
        <v>189</v>
      </c>
      <c r="S369" s="52" t="s">
        <v>1803</v>
      </c>
      <c r="T369" s="52" t="s">
        <v>405</v>
      </c>
      <c r="U369" s="52" t="s">
        <v>1809</v>
      </c>
      <c r="V369" s="56" t="s">
        <v>1810</v>
      </c>
      <c r="W369" s="53"/>
      <c r="X369" s="52" t="s">
        <v>1378</v>
      </c>
      <c r="Y369" s="55" t="s">
        <v>1375</v>
      </c>
      <c r="Z369" s="55" t="s">
        <v>538</v>
      </c>
      <c r="AA369" s="53" t="s">
        <v>351</v>
      </c>
      <c r="AC369" s="24"/>
    </row>
    <row r="370" spans="2:29" ht="120" customHeight="1" x14ac:dyDescent="0.25">
      <c r="B370" s="52" t="s">
        <v>1796</v>
      </c>
      <c r="C370" s="52" t="s">
        <v>1797</v>
      </c>
      <c r="D370" s="52" t="s">
        <v>1798</v>
      </c>
      <c r="E370" s="53">
        <v>1</v>
      </c>
      <c r="F370" s="52" t="s">
        <v>193</v>
      </c>
      <c r="G370" s="52" t="s">
        <v>194</v>
      </c>
      <c r="H370" s="52" t="s">
        <v>166</v>
      </c>
      <c r="I370" s="53">
        <v>6</v>
      </c>
      <c r="J370" s="52" t="s">
        <v>140</v>
      </c>
      <c r="K370" s="53">
        <v>4</v>
      </c>
      <c r="L370" s="53"/>
      <c r="M370" s="54" t="s">
        <v>1811</v>
      </c>
      <c r="N370" s="54"/>
      <c r="O370" s="53"/>
      <c r="P370" s="55"/>
      <c r="Q370" s="56" t="s">
        <v>219</v>
      </c>
      <c r="R370" s="52" t="s">
        <v>387</v>
      </c>
      <c r="S370" s="56" t="s">
        <v>1800</v>
      </c>
      <c r="T370" s="56" t="s">
        <v>1801</v>
      </c>
      <c r="U370" s="56" t="s">
        <v>349</v>
      </c>
      <c r="V370" s="56" t="s">
        <v>1812</v>
      </c>
      <c r="W370" s="53"/>
      <c r="X370" s="52" t="s">
        <v>1378</v>
      </c>
      <c r="Y370" s="55" t="s">
        <v>351</v>
      </c>
      <c r="Z370" s="55" t="s">
        <v>351</v>
      </c>
      <c r="AA370" s="53" t="s">
        <v>353</v>
      </c>
      <c r="AC370" s="24"/>
    </row>
    <row r="371" spans="2:29" ht="120" customHeight="1" x14ac:dyDescent="0.25">
      <c r="B371" s="52" t="s">
        <v>1796</v>
      </c>
      <c r="C371" s="52" t="s">
        <v>1797</v>
      </c>
      <c r="D371" s="52" t="s">
        <v>1798</v>
      </c>
      <c r="E371" s="53">
        <v>1</v>
      </c>
      <c r="F371" s="52" t="s">
        <v>203</v>
      </c>
      <c r="G371" s="52" t="s">
        <v>204</v>
      </c>
      <c r="H371" s="52" t="s">
        <v>166</v>
      </c>
      <c r="I371" s="53">
        <v>7</v>
      </c>
      <c r="J371" s="52" t="s">
        <v>140</v>
      </c>
      <c r="K371" s="53">
        <v>30</v>
      </c>
      <c r="L371" s="53"/>
      <c r="M371" s="54" t="s">
        <v>1813</v>
      </c>
      <c r="N371" s="54" t="s">
        <v>206</v>
      </c>
      <c r="O371" s="53"/>
      <c r="P371" s="55"/>
      <c r="Q371" s="56" t="s">
        <v>219</v>
      </c>
      <c r="R371" s="52" t="s">
        <v>387</v>
      </c>
      <c r="S371" s="56" t="s">
        <v>1814</v>
      </c>
      <c r="T371" s="56" t="s">
        <v>1815</v>
      </c>
      <c r="U371" s="56" t="s">
        <v>1816</v>
      </c>
      <c r="V371" s="56" t="s">
        <v>1817</v>
      </c>
      <c r="W371" s="53"/>
      <c r="X371" s="56" t="s">
        <v>1818</v>
      </c>
      <c r="Y371" s="54" t="s">
        <v>1819</v>
      </c>
      <c r="Z371" s="54" t="s">
        <v>1820</v>
      </c>
      <c r="AA371" s="62" t="s">
        <v>463</v>
      </c>
      <c r="AC371" s="24"/>
    </row>
    <row r="372" spans="2:29" ht="120" customHeight="1" x14ac:dyDescent="0.25">
      <c r="B372" s="52" t="s">
        <v>1796</v>
      </c>
      <c r="C372" s="52" t="s">
        <v>1797</v>
      </c>
      <c r="D372" s="52" t="s">
        <v>1798</v>
      </c>
      <c r="E372" s="53">
        <v>1</v>
      </c>
      <c r="F372" s="52" t="s">
        <v>214</v>
      </c>
      <c r="G372" s="52" t="s">
        <v>215</v>
      </c>
      <c r="H372" s="52" t="s">
        <v>216</v>
      </c>
      <c r="I372" s="53">
        <v>8</v>
      </c>
      <c r="J372" s="52" t="s">
        <v>140</v>
      </c>
      <c r="K372" s="53">
        <v>10</v>
      </c>
      <c r="L372" s="53"/>
      <c r="M372" s="54" t="s">
        <v>217</v>
      </c>
      <c r="N372" s="54" t="s">
        <v>218</v>
      </c>
      <c r="O372" s="53"/>
      <c r="P372" s="55"/>
      <c r="Q372" s="56" t="s">
        <v>219</v>
      </c>
      <c r="R372" s="52" t="s">
        <v>214</v>
      </c>
      <c r="S372" s="52" t="s">
        <v>1803</v>
      </c>
      <c r="T372" s="52" t="s">
        <v>405</v>
      </c>
      <c r="U372" s="52" t="s">
        <v>1821</v>
      </c>
      <c r="V372" s="56" t="s">
        <v>1822</v>
      </c>
      <c r="W372" s="53"/>
      <c r="X372" s="52" t="s">
        <v>1378</v>
      </c>
      <c r="Y372" s="55" t="s">
        <v>1375</v>
      </c>
      <c r="Z372" s="55" t="s">
        <v>708</v>
      </c>
      <c r="AA372" s="53" t="s">
        <v>351</v>
      </c>
      <c r="AC372" s="24"/>
    </row>
    <row r="373" spans="2:29" ht="120" customHeight="1" x14ac:dyDescent="0.25">
      <c r="B373" s="52" t="s">
        <v>1796</v>
      </c>
      <c r="C373" s="52" t="s">
        <v>1797</v>
      </c>
      <c r="D373" s="52" t="s">
        <v>1798</v>
      </c>
      <c r="E373" s="53">
        <v>1</v>
      </c>
      <c r="F373" s="52" t="s">
        <v>226</v>
      </c>
      <c r="G373" s="52" t="s">
        <v>227</v>
      </c>
      <c r="H373" s="52" t="s">
        <v>216</v>
      </c>
      <c r="I373" s="53">
        <v>9</v>
      </c>
      <c r="J373" s="52" t="s">
        <v>140</v>
      </c>
      <c r="K373" s="53">
        <v>10</v>
      </c>
      <c r="L373" s="53"/>
      <c r="M373" s="54" t="s">
        <v>1823</v>
      </c>
      <c r="N373" s="54" t="s">
        <v>229</v>
      </c>
      <c r="O373" s="53"/>
      <c r="P373" s="55"/>
      <c r="Q373" s="56"/>
      <c r="R373" s="52"/>
      <c r="S373" s="52" t="s">
        <v>1803</v>
      </c>
      <c r="T373" s="52" t="s">
        <v>405</v>
      </c>
      <c r="U373" s="56" t="s">
        <v>351</v>
      </c>
      <c r="V373" s="56" t="s">
        <v>1824</v>
      </c>
      <c r="W373" s="53"/>
      <c r="X373" s="52" t="s">
        <v>1378</v>
      </c>
      <c r="Y373" s="54" t="s">
        <v>351</v>
      </c>
      <c r="Z373" s="54" t="s">
        <v>351</v>
      </c>
      <c r="AA373" s="66" t="s">
        <v>712</v>
      </c>
      <c r="AC373" s="24"/>
    </row>
    <row r="374" spans="2:29" ht="120" customHeight="1" x14ac:dyDescent="0.25">
      <c r="B374" s="52" t="s">
        <v>1796</v>
      </c>
      <c r="C374" s="52" t="s">
        <v>1797</v>
      </c>
      <c r="D374" s="52" t="s">
        <v>1798</v>
      </c>
      <c r="E374" s="53">
        <v>1</v>
      </c>
      <c r="F374" s="52" t="s">
        <v>238</v>
      </c>
      <c r="G374" s="52" t="s">
        <v>239</v>
      </c>
      <c r="H374" s="52" t="s">
        <v>240</v>
      </c>
      <c r="I374" s="53">
        <v>10</v>
      </c>
      <c r="J374" s="52" t="s">
        <v>140</v>
      </c>
      <c r="K374" s="53">
        <v>3</v>
      </c>
      <c r="L374" s="53"/>
      <c r="M374" s="54" t="s">
        <v>241</v>
      </c>
      <c r="N374" s="54"/>
      <c r="O374" s="53"/>
      <c r="P374" s="56" t="s">
        <v>397</v>
      </c>
      <c r="Q374" s="56" t="s">
        <v>566</v>
      </c>
      <c r="R374" s="56" t="s">
        <v>245</v>
      </c>
      <c r="S374" s="52" t="s">
        <v>1803</v>
      </c>
      <c r="T374" s="52" t="s">
        <v>405</v>
      </c>
      <c r="U374" s="52" t="s">
        <v>1825</v>
      </c>
      <c r="V374" s="56" t="s">
        <v>1826</v>
      </c>
      <c r="W374" s="53"/>
      <c r="X374" s="52" t="s">
        <v>1378</v>
      </c>
      <c r="Y374" s="55" t="s">
        <v>1375</v>
      </c>
      <c r="Z374" s="55" t="s">
        <v>406</v>
      </c>
      <c r="AA374" s="53" t="s">
        <v>351</v>
      </c>
      <c r="AC374" s="24"/>
    </row>
    <row r="375" spans="2:29" ht="120" customHeight="1" x14ac:dyDescent="0.25">
      <c r="B375" s="52" t="s">
        <v>1796</v>
      </c>
      <c r="C375" s="52" t="s">
        <v>1797</v>
      </c>
      <c r="D375" s="52" t="s">
        <v>1798</v>
      </c>
      <c r="E375" s="53">
        <v>1</v>
      </c>
      <c r="F375" s="52" t="s">
        <v>1394</v>
      </c>
      <c r="G375" s="52" t="s">
        <v>1395</v>
      </c>
      <c r="H375" s="55" t="s">
        <v>262</v>
      </c>
      <c r="I375" s="53">
        <v>11</v>
      </c>
      <c r="J375" s="52" t="s">
        <v>263</v>
      </c>
      <c r="K375" s="53">
        <v>23</v>
      </c>
      <c r="L375" s="53">
        <v>6</v>
      </c>
      <c r="M375" s="54" t="s">
        <v>1396</v>
      </c>
      <c r="N375" s="54"/>
      <c r="O375" s="53"/>
      <c r="P375" s="55"/>
      <c r="Q375" s="54"/>
      <c r="R375" s="55"/>
      <c r="S375" s="52" t="s">
        <v>1803</v>
      </c>
      <c r="T375" s="52" t="s">
        <v>405</v>
      </c>
      <c r="U375" s="52" t="s">
        <v>1827</v>
      </c>
      <c r="V375" s="56" t="s">
        <v>1828</v>
      </c>
      <c r="W375" s="53"/>
      <c r="X375" s="52" t="s">
        <v>1378</v>
      </c>
      <c r="Y375" s="55" t="s">
        <v>1375</v>
      </c>
      <c r="Z375" s="55" t="s">
        <v>715</v>
      </c>
      <c r="AA375" s="53" t="s">
        <v>351</v>
      </c>
      <c r="AC375" s="24"/>
    </row>
    <row r="376" spans="2:29" ht="120" customHeight="1" x14ac:dyDescent="0.25">
      <c r="B376" s="52" t="s">
        <v>1796</v>
      </c>
      <c r="C376" s="52" t="s">
        <v>1797</v>
      </c>
      <c r="D376" s="52" t="s">
        <v>1798</v>
      </c>
      <c r="E376" s="53">
        <v>1</v>
      </c>
      <c r="F376" s="52" t="s">
        <v>1399</v>
      </c>
      <c r="G376" s="52" t="s">
        <v>1400</v>
      </c>
      <c r="H376" s="55" t="s">
        <v>262</v>
      </c>
      <c r="I376" s="53">
        <v>12</v>
      </c>
      <c r="J376" s="52" t="s">
        <v>263</v>
      </c>
      <c r="K376" s="53">
        <v>23</v>
      </c>
      <c r="L376" s="53">
        <v>6</v>
      </c>
      <c r="M376" s="54" t="s">
        <v>1401</v>
      </c>
      <c r="N376" s="54"/>
      <c r="O376" s="53"/>
      <c r="P376" s="52"/>
      <c r="Q376" s="54"/>
      <c r="R376" s="55"/>
      <c r="S376" s="56" t="s">
        <v>1803</v>
      </c>
      <c r="T376" s="56" t="s">
        <v>405</v>
      </c>
      <c r="U376" s="72" t="s">
        <v>1829</v>
      </c>
      <c r="V376" s="65" t="s">
        <v>1830</v>
      </c>
      <c r="W376" s="53"/>
      <c r="X376" s="56" t="s">
        <v>1378</v>
      </c>
      <c r="Y376" s="54" t="s">
        <v>1375</v>
      </c>
      <c r="Z376" s="52" t="s">
        <v>1404</v>
      </c>
      <c r="AA376" s="62" t="s">
        <v>351</v>
      </c>
      <c r="AC376" s="24"/>
    </row>
    <row r="377" spans="2:29" ht="120" customHeight="1" x14ac:dyDescent="0.25">
      <c r="B377" s="52" t="s">
        <v>1796</v>
      </c>
      <c r="C377" s="52" t="s">
        <v>1797</v>
      </c>
      <c r="D377" s="52" t="s">
        <v>1798</v>
      </c>
      <c r="E377" s="53">
        <v>1</v>
      </c>
      <c r="F377" s="52" t="s">
        <v>1405</v>
      </c>
      <c r="G377" s="52" t="s">
        <v>1406</v>
      </c>
      <c r="H377" s="55" t="s">
        <v>262</v>
      </c>
      <c r="I377" s="53">
        <v>13</v>
      </c>
      <c r="J377" s="52" t="s">
        <v>263</v>
      </c>
      <c r="K377" s="53">
        <v>23</v>
      </c>
      <c r="L377" s="53">
        <v>6</v>
      </c>
      <c r="M377" s="54" t="s">
        <v>1407</v>
      </c>
      <c r="N377" s="54"/>
      <c r="O377" s="53"/>
      <c r="P377" s="55"/>
      <c r="Q377" s="54" t="s">
        <v>284</v>
      </c>
      <c r="R377" s="55" t="s">
        <v>285</v>
      </c>
      <c r="S377" s="52" t="s">
        <v>1803</v>
      </c>
      <c r="T377" s="52" t="s">
        <v>405</v>
      </c>
      <c r="U377" s="52" t="s">
        <v>1831</v>
      </c>
      <c r="V377" s="56" t="s">
        <v>1832</v>
      </c>
      <c r="W377" s="53"/>
      <c r="X377" s="52" t="s">
        <v>1378</v>
      </c>
      <c r="Y377" s="55" t="s">
        <v>1375</v>
      </c>
      <c r="Z377" s="55" t="s">
        <v>1410</v>
      </c>
      <c r="AA377" s="53" t="s">
        <v>351</v>
      </c>
      <c r="AC377" s="24"/>
    </row>
    <row r="378" spans="2:29" ht="120" customHeight="1" x14ac:dyDescent="0.25">
      <c r="B378" s="68" t="s">
        <v>1796</v>
      </c>
      <c r="C378" s="68" t="s">
        <v>1797</v>
      </c>
      <c r="D378" s="68" t="s">
        <v>1798</v>
      </c>
      <c r="E378" s="80">
        <v>1</v>
      </c>
      <c r="F378" s="68" t="s">
        <v>1833</v>
      </c>
      <c r="G378" s="68" t="s">
        <v>1834</v>
      </c>
      <c r="H378" s="77" t="s">
        <v>631</v>
      </c>
      <c r="I378" s="80">
        <v>14</v>
      </c>
      <c r="J378" s="68" t="s">
        <v>140</v>
      </c>
      <c r="K378" s="80">
        <v>3</v>
      </c>
      <c r="L378" s="80"/>
      <c r="M378" s="75" t="s">
        <v>1835</v>
      </c>
      <c r="N378" s="75"/>
      <c r="O378" s="80"/>
      <c r="P378" s="75" t="s">
        <v>891</v>
      </c>
      <c r="Q378" s="75"/>
      <c r="R378" s="77"/>
      <c r="S378" s="68"/>
      <c r="T378" s="68"/>
      <c r="U378" s="68"/>
      <c r="V378" s="68"/>
      <c r="W378" s="80"/>
      <c r="X378" s="68" t="s">
        <v>1454</v>
      </c>
      <c r="Y378" s="68" t="s">
        <v>1454</v>
      </c>
      <c r="Z378" s="68" t="s">
        <v>1454</v>
      </c>
      <c r="AA378" s="78" t="s">
        <v>1454</v>
      </c>
      <c r="AC378" s="24"/>
    </row>
    <row r="379" spans="2:29" ht="120" customHeight="1" x14ac:dyDescent="0.25">
      <c r="B379" s="68" t="s">
        <v>1796</v>
      </c>
      <c r="C379" s="68" t="s">
        <v>1797</v>
      </c>
      <c r="D379" s="68" t="s">
        <v>1798</v>
      </c>
      <c r="E379" s="80">
        <v>1</v>
      </c>
      <c r="F379" s="68" t="s">
        <v>1836</v>
      </c>
      <c r="G379" s="68" t="s">
        <v>1837</v>
      </c>
      <c r="H379" s="77" t="s">
        <v>631</v>
      </c>
      <c r="I379" s="80">
        <v>15</v>
      </c>
      <c r="J379" s="68" t="s">
        <v>140</v>
      </c>
      <c r="K379" s="80">
        <v>3</v>
      </c>
      <c r="L379" s="80"/>
      <c r="M379" s="75" t="s">
        <v>1457</v>
      </c>
      <c r="N379" s="75"/>
      <c r="O379" s="80"/>
      <c r="P379" s="75" t="s">
        <v>1458</v>
      </c>
      <c r="Q379" s="75"/>
      <c r="R379" s="77"/>
      <c r="S379" s="68"/>
      <c r="T379" s="68"/>
      <c r="U379" s="68"/>
      <c r="V379" s="68"/>
      <c r="W379" s="80"/>
      <c r="X379" s="68" t="s">
        <v>1454</v>
      </c>
      <c r="Y379" s="68" t="s">
        <v>1454</v>
      </c>
      <c r="Z379" s="68" t="s">
        <v>1454</v>
      </c>
      <c r="AA379" s="78" t="s">
        <v>1454</v>
      </c>
      <c r="AC379" s="24"/>
    </row>
    <row r="380" spans="2:29" ht="120" customHeight="1" x14ac:dyDescent="0.25">
      <c r="B380" s="68" t="s">
        <v>1796</v>
      </c>
      <c r="C380" s="68" t="s">
        <v>1797</v>
      </c>
      <c r="D380" s="68" t="s">
        <v>1798</v>
      </c>
      <c r="E380" s="80">
        <v>1</v>
      </c>
      <c r="F380" s="68" t="s">
        <v>1838</v>
      </c>
      <c r="G380" s="68" t="s">
        <v>1839</v>
      </c>
      <c r="H380" s="77" t="s">
        <v>650</v>
      </c>
      <c r="I380" s="80">
        <v>16</v>
      </c>
      <c r="J380" s="68" t="s">
        <v>263</v>
      </c>
      <c r="K380" s="80">
        <v>23</v>
      </c>
      <c r="L380" s="80">
        <v>6</v>
      </c>
      <c r="M380" s="75" t="s">
        <v>1840</v>
      </c>
      <c r="N380" s="75"/>
      <c r="O380" s="80"/>
      <c r="P380" s="77"/>
      <c r="Q380" s="75"/>
      <c r="R380" s="77"/>
      <c r="S380" s="68"/>
      <c r="T380" s="68"/>
      <c r="U380" s="68"/>
      <c r="V380" s="68"/>
      <c r="W380" s="80"/>
      <c r="X380" s="68" t="s">
        <v>1454</v>
      </c>
      <c r="Y380" s="68" t="s">
        <v>1454</v>
      </c>
      <c r="Z380" s="68" t="s">
        <v>1454</v>
      </c>
      <c r="AA380" s="78" t="s">
        <v>1454</v>
      </c>
      <c r="AC380" s="24"/>
    </row>
    <row r="381" spans="2:29" ht="120" customHeight="1" x14ac:dyDescent="0.25">
      <c r="B381" s="68" t="s">
        <v>1796</v>
      </c>
      <c r="C381" s="68" t="s">
        <v>1797</v>
      </c>
      <c r="D381" s="68" t="s">
        <v>1798</v>
      </c>
      <c r="E381" s="80">
        <v>1</v>
      </c>
      <c r="F381" s="68" t="s">
        <v>1841</v>
      </c>
      <c r="G381" s="68" t="s">
        <v>1842</v>
      </c>
      <c r="H381" s="77" t="s">
        <v>650</v>
      </c>
      <c r="I381" s="80">
        <v>17</v>
      </c>
      <c r="J381" s="68" t="s">
        <v>263</v>
      </c>
      <c r="K381" s="80">
        <v>23</v>
      </c>
      <c r="L381" s="80">
        <v>6</v>
      </c>
      <c r="M381" s="75" t="s">
        <v>1464</v>
      </c>
      <c r="N381" s="75"/>
      <c r="O381" s="80"/>
      <c r="P381" s="77"/>
      <c r="Q381" s="75"/>
      <c r="R381" s="77"/>
      <c r="S381" s="68"/>
      <c r="T381" s="68"/>
      <c r="U381" s="68"/>
      <c r="V381" s="68"/>
      <c r="W381" s="80"/>
      <c r="X381" s="68" t="s">
        <v>1454</v>
      </c>
      <c r="Y381" s="68" t="s">
        <v>1454</v>
      </c>
      <c r="Z381" s="68" t="s">
        <v>1454</v>
      </c>
      <c r="AA381" s="78" t="s">
        <v>1454</v>
      </c>
      <c r="AC381" s="24"/>
    </row>
    <row r="382" spans="2:29" ht="120" customHeight="1" x14ac:dyDescent="0.25">
      <c r="B382" s="68" t="s">
        <v>1796</v>
      </c>
      <c r="C382" s="68" t="s">
        <v>1797</v>
      </c>
      <c r="D382" s="68" t="s">
        <v>1798</v>
      </c>
      <c r="E382" s="80">
        <v>1</v>
      </c>
      <c r="F382" s="68" t="s">
        <v>1843</v>
      </c>
      <c r="G382" s="68" t="s">
        <v>1844</v>
      </c>
      <c r="H382" s="77" t="s">
        <v>650</v>
      </c>
      <c r="I382" s="80">
        <v>18</v>
      </c>
      <c r="J382" s="68" t="s">
        <v>263</v>
      </c>
      <c r="K382" s="80">
        <v>23</v>
      </c>
      <c r="L382" s="80">
        <v>6</v>
      </c>
      <c r="M382" s="75" t="s">
        <v>1845</v>
      </c>
      <c r="N382" s="75" t="s">
        <v>1339</v>
      </c>
      <c r="O382" s="80"/>
      <c r="P382" s="68"/>
      <c r="Q382" s="69" t="s">
        <v>668</v>
      </c>
      <c r="R382" s="68" t="s">
        <v>1340</v>
      </c>
      <c r="S382" s="68"/>
      <c r="T382" s="68"/>
      <c r="U382" s="68"/>
      <c r="V382" s="68"/>
      <c r="W382" s="80"/>
      <c r="X382" s="68" t="s">
        <v>1454</v>
      </c>
      <c r="Y382" s="68" t="s">
        <v>1454</v>
      </c>
      <c r="Z382" s="68" t="s">
        <v>1454</v>
      </c>
      <c r="AA382" s="78" t="s">
        <v>1454</v>
      </c>
      <c r="AC382" s="24"/>
    </row>
    <row r="383" spans="2:29" ht="120" customHeight="1" x14ac:dyDescent="0.25">
      <c r="B383" s="68" t="s">
        <v>1796</v>
      </c>
      <c r="C383" s="68" t="s">
        <v>1797</v>
      </c>
      <c r="D383" s="68" t="s">
        <v>1798</v>
      </c>
      <c r="E383" s="80">
        <v>1</v>
      </c>
      <c r="F383" s="68" t="s">
        <v>1846</v>
      </c>
      <c r="G383" s="68" t="s">
        <v>1847</v>
      </c>
      <c r="H383" s="77" t="s">
        <v>631</v>
      </c>
      <c r="I383" s="80">
        <v>19</v>
      </c>
      <c r="J383" s="68" t="s">
        <v>140</v>
      </c>
      <c r="K383" s="80">
        <v>3</v>
      </c>
      <c r="L383" s="80"/>
      <c r="M383" s="75" t="s">
        <v>1848</v>
      </c>
      <c r="N383" s="75"/>
      <c r="O383" s="80"/>
      <c r="P383" s="75" t="s">
        <v>891</v>
      </c>
      <c r="Q383" s="75"/>
      <c r="R383" s="77"/>
      <c r="S383" s="68"/>
      <c r="T383" s="68"/>
      <c r="U383" s="68"/>
      <c r="V383" s="68"/>
      <c r="W383" s="80"/>
      <c r="X383" s="68" t="s">
        <v>1454</v>
      </c>
      <c r="Y383" s="68" t="s">
        <v>1454</v>
      </c>
      <c r="Z383" s="68" t="s">
        <v>1454</v>
      </c>
      <c r="AA383" s="78" t="s">
        <v>1454</v>
      </c>
      <c r="AC383" s="24"/>
    </row>
    <row r="384" spans="2:29" ht="120" customHeight="1" x14ac:dyDescent="0.25">
      <c r="B384" s="68" t="s">
        <v>1796</v>
      </c>
      <c r="C384" s="68" t="s">
        <v>1797</v>
      </c>
      <c r="D384" s="68" t="s">
        <v>1798</v>
      </c>
      <c r="E384" s="80">
        <v>1</v>
      </c>
      <c r="F384" s="68" t="s">
        <v>1849</v>
      </c>
      <c r="G384" s="68" t="s">
        <v>1850</v>
      </c>
      <c r="H384" s="77" t="s">
        <v>631</v>
      </c>
      <c r="I384" s="80">
        <v>20</v>
      </c>
      <c r="J384" s="68" t="s">
        <v>140</v>
      </c>
      <c r="K384" s="80">
        <v>3</v>
      </c>
      <c r="L384" s="80"/>
      <c r="M384" s="75" t="s">
        <v>1472</v>
      </c>
      <c r="N384" s="75"/>
      <c r="O384" s="80"/>
      <c r="P384" s="75" t="s">
        <v>1473</v>
      </c>
      <c r="Q384" s="75"/>
      <c r="R384" s="77"/>
      <c r="S384" s="68"/>
      <c r="T384" s="68"/>
      <c r="U384" s="68"/>
      <c r="V384" s="68"/>
      <c r="W384" s="80"/>
      <c r="X384" s="68" t="s">
        <v>1454</v>
      </c>
      <c r="Y384" s="68" t="s">
        <v>1454</v>
      </c>
      <c r="Z384" s="68" t="s">
        <v>1454</v>
      </c>
      <c r="AA384" s="78" t="s">
        <v>1454</v>
      </c>
      <c r="AC384" s="24"/>
    </row>
    <row r="385" spans="2:29" ht="120" customHeight="1" x14ac:dyDescent="0.25">
      <c r="B385" s="68" t="s">
        <v>1796</v>
      </c>
      <c r="C385" s="68" t="s">
        <v>1797</v>
      </c>
      <c r="D385" s="68" t="s">
        <v>1798</v>
      </c>
      <c r="E385" s="80">
        <v>1</v>
      </c>
      <c r="F385" s="68" t="s">
        <v>1851</v>
      </c>
      <c r="G385" s="68" t="s">
        <v>1852</v>
      </c>
      <c r="H385" s="77" t="s">
        <v>650</v>
      </c>
      <c r="I385" s="80">
        <v>21</v>
      </c>
      <c r="J385" s="68" t="s">
        <v>263</v>
      </c>
      <c r="K385" s="80">
        <v>23</v>
      </c>
      <c r="L385" s="80">
        <v>6</v>
      </c>
      <c r="M385" s="75" t="s">
        <v>1853</v>
      </c>
      <c r="N385" s="75"/>
      <c r="O385" s="80"/>
      <c r="P385" s="77"/>
      <c r="Q385" s="75"/>
      <c r="R385" s="77"/>
      <c r="S385" s="68"/>
      <c r="T385" s="68"/>
      <c r="U385" s="68"/>
      <c r="V385" s="68"/>
      <c r="W385" s="80"/>
      <c r="X385" s="68" t="s">
        <v>1454</v>
      </c>
      <c r="Y385" s="68" t="s">
        <v>1454</v>
      </c>
      <c r="Z385" s="68" t="s">
        <v>1454</v>
      </c>
      <c r="AA385" s="78" t="s">
        <v>1454</v>
      </c>
      <c r="AC385" s="24"/>
    </row>
    <row r="386" spans="2:29" ht="120" customHeight="1" x14ac:dyDescent="0.25">
      <c r="B386" s="68" t="s">
        <v>1796</v>
      </c>
      <c r="C386" s="68" t="s">
        <v>1797</v>
      </c>
      <c r="D386" s="68" t="s">
        <v>1798</v>
      </c>
      <c r="E386" s="80">
        <v>1</v>
      </c>
      <c r="F386" s="68" t="s">
        <v>1854</v>
      </c>
      <c r="G386" s="68" t="s">
        <v>1855</v>
      </c>
      <c r="H386" s="77" t="s">
        <v>650</v>
      </c>
      <c r="I386" s="80">
        <v>22</v>
      </c>
      <c r="J386" s="68" t="s">
        <v>263</v>
      </c>
      <c r="K386" s="80">
        <v>23</v>
      </c>
      <c r="L386" s="80">
        <v>6</v>
      </c>
      <c r="M386" s="75" t="s">
        <v>659</v>
      </c>
      <c r="N386" s="75"/>
      <c r="O386" s="80"/>
      <c r="P386" s="77"/>
      <c r="Q386" s="75"/>
      <c r="R386" s="77"/>
      <c r="S386" s="68"/>
      <c r="T386" s="68"/>
      <c r="U386" s="68"/>
      <c r="V386" s="68"/>
      <c r="W386" s="80"/>
      <c r="X386" s="68" t="s">
        <v>1454</v>
      </c>
      <c r="Y386" s="68" t="s">
        <v>1454</v>
      </c>
      <c r="Z386" s="68" t="s">
        <v>1454</v>
      </c>
      <c r="AA386" s="78" t="s">
        <v>1454</v>
      </c>
      <c r="AC386" s="24"/>
    </row>
    <row r="387" spans="2:29" ht="120" customHeight="1" x14ac:dyDescent="0.25">
      <c r="B387" s="68" t="s">
        <v>1796</v>
      </c>
      <c r="C387" s="68" t="s">
        <v>1797</v>
      </c>
      <c r="D387" s="68" t="s">
        <v>1798</v>
      </c>
      <c r="E387" s="80">
        <v>1</v>
      </c>
      <c r="F387" s="68" t="s">
        <v>1856</v>
      </c>
      <c r="G387" s="68" t="s">
        <v>1857</v>
      </c>
      <c r="H387" s="77" t="s">
        <v>650</v>
      </c>
      <c r="I387" s="80">
        <v>23</v>
      </c>
      <c r="J387" s="68" t="s">
        <v>263</v>
      </c>
      <c r="K387" s="80">
        <v>23</v>
      </c>
      <c r="L387" s="80">
        <v>6</v>
      </c>
      <c r="M387" s="75" t="s">
        <v>1858</v>
      </c>
      <c r="N387" s="75" t="s">
        <v>667</v>
      </c>
      <c r="O387" s="80"/>
      <c r="P387" s="68"/>
      <c r="Q387" s="69" t="s">
        <v>1482</v>
      </c>
      <c r="R387" s="69" t="s">
        <v>1483</v>
      </c>
      <c r="S387" s="68"/>
      <c r="T387" s="68"/>
      <c r="U387" s="68"/>
      <c r="V387" s="68"/>
      <c r="W387" s="80"/>
      <c r="X387" s="68" t="s">
        <v>1454</v>
      </c>
      <c r="Y387" s="68" t="s">
        <v>1454</v>
      </c>
      <c r="Z387" s="68" t="s">
        <v>1454</v>
      </c>
      <c r="AA387" s="78" t="s">
        <v>1454</v>
      </c>
      <c r="AC387" s="24"/>
    </row>
    <row r="388" spans="2:29" ht="120" customHeight="1" x14ac:dyDescent="0.25">
      <c r="B388" s="52" t="s">
        <v>1796</v>
      </c>
      <c r="C388" s="52" t="s">
        <v>1797</v>
      </c>
      <c r="D388" s="52" t="s">
        <v>1798</v>
      </c>
      <c r="E388" s="53">
        <v>1</v>
      </c>
      <c r="F388" s="52" t="s">
        <v>301</v>
      </c>
      <c r="G388" s="52" t="s">
        <v>302</v>
      </c>
      <c r="H388" s="52" t="s">
        <v>303</v>
      </c>
      <c r="I388" s="53">
        <v>24</v>
      </c>
      <c r="J388" s="52" t="s">
        <v>140</v>
      </c>
      <c r="K388" s="53">
        <v>3</v>
      </c>
      <c r="L388" s="53"/>
      <c r="M388" s="54" t="s">
        <v>304</v>
      </c>
      <c r="N388" s="54" t="s">
        <v>305</v>
      </c>
      <c r="O388" s="53"/>
      <c r="P388" s="54" t="s">
        <v>1484</v>
      </c>
      <c r="Q388" s="56" t="s">
        <v>307</v>
      </c>
      <c r="R388" s="56" t="s">
        <v>308</v>
      </c>
      <c r="S388" s="56" t="s">
        <v>1800</v>
      </c>
      <c r="T388" s="56" t="s">
        <v>1801</v>
      </c>
      <c r="U388" s="56" t="s">
        <v>349</v>
      </c>
      <c r="V388" s="56" t="s">
        <v>1859</v>
      </c>
      <c r="W388" s="53"/>
      <c r="X388" s="52" t="s">
        <v>1378</v>
      </c>
      <c r="Y388" s="55" t="s">
        <v>1375</v>
      </c>
      <c r="Z388" s="55" t="s">
        <v>965</v>
      </c>
      <c r="AA388" s="53" t="s">
        <v>351</v>
      </c>
      <c r="AC388" s="24"/>
    </row>
    <row r="389" spans="2:29" ht="120" customHeight="1" x14ac:dyDescent="0.25">
      <c r="B389" s="68" t="s">
        <v>1796</v>
      </c>
      <c r="C389" s="68" t="s">
        <v>1797</v>
      </c>
      <c r="D389" s="68" t="s">
        <v>1798</v>
      </c>
      <c r="E389" s="80">
        <v>1</v>
      </c>
      <c r="F389" s="68" t="s">
        <v>311</v>
      </c>
      <c r="G389" s="68" t="s">
        <v>312</v>
      </c>
      <c r="H389" s="68" t="s">
        <v>303</v>
      </c>
      <c r="I389" s="80">
        <v>25</v>
      </c>
      <c r="J389" s="68" t="s">
        <v>140</v>
      </c>
      <c r="K389" s="80">
        <v>3</v>
      </c>
      <c r="L389" s="80"/>
      <c r="M389" s="75" t="s">
        <v>313</v>
      </c>
      <c r="N389" s="75" t="s">
        <v>314</v>
      </c>
      <c r="O389" s="80"/>
      <c r="P389" s="75" t="s">
        <v>1860</v>
      </c>
      <c r="Q389" s="69" t="s">
        <v>219</v>
      </c>
      <c r="R389" s="68" t="s">
        <v>316</v>
      </c>
      <c r="S389" s="68"/>
      <c r="T389" s="68"/>
      <c r="U389" s="68"/>
      <c r="V389" s="68"/>
      <c r="W389" s="80"/>
      <c r="X389" s="91" t="s">
        <v>1454</v>
      </c>
      <c r="Y389" s="91" t="s">
        <v>1454</v>
      </c>
      <c r="Z389" s="91" t="s">
        <v>1454</v>
      </c>
      <c r="AA389" s="80" t="s">
        <v>1454</v>
      </c>
      <c r="AC389" s="24"/>
    </row>
    <row r="390" spans="2:29" ht="120" customHeight="1" x14ac:dyDescent="0.25">
      <c r="B390" s="52" t="s">
        <v>1796</v>
      </c>
      <c r="C390" s="52" t="s">
        <v>1797</v>
      </c>
      <c r="D390" s="52" t="s">
        <v>1798</v>
      </c>
      <c r="E390" s="53">
        <v>1</v>
      </c>
      <c r="F390" s="52" t="s">
        <v>322</v>
      </c>
      <c r="G390" s="52" t="s">
        <v>323</v>
      </c>
      <c r="H390" s="52" t="s">
        <v>324</v>
      </c>
      <c r="I390" s="53">
        <v>26</v>
      </c>
      <c r="J390" s="52" t="s">
        <v>140</v>
      </c>
      <c r="K390" s="53">
        <v>2</v>
      </c>
      <c r="L390" s="53"/>
      <c r="M390" s="54" t="s">
        <v>325</v>
      </c>
      <c r="N390" s="54"/>
      <c r="O390" s="53"/>
      <c r="P390" s="54" t="s">
        <v>438</v>
      </c>
      <c r="Q390" s="56"/>
      <c r="R390" s="52"/>
      <c r="S390" s="52" t="s">
        <v>1803</v>
      </c>
      <c r="T390" s="52" t="s">
        <v>405</v>
      </c>
      <c r="U390" s="52" t="s">
        <v>351</v>
      </c>
      <c r="V390" s="56" t="s">
        <v>1861</v>
      </c>
      <c r="W390" s="53"/>
      <c r="X390" s="56" t="s">
        <v>1378</v>
      </c>
      <c r="Y390" s="56" t="s">
        <v>351</v>
      </c>
      <c r="Z390" s="56" t="s">
        <v>351</v>
      </c>
      <c r="AA390" s="53" t="s">
        <v>1496</v>
      </c>
      <c r="AC390" s="24"/>
    </row>
    <row r="391" spans="2:29" ht="120" customHeight="1" x14ac:dyDescent="0.25">
      <c r="B391" s="52" t="s">
        <v>1796</v>
      </c>
      <c r="C391" s="52" t="s">
        <v>1797</v>
      </c>
      <c r="D391" s="52" t="s">
        <v>1798</v>
      </c>
      <c r="E391" s="53">
        <v>1</v>
      </c>
      <c r="F391" s="52" t="s">
        <v>329</v>
      </c>
      <c r="G391" s="52" t="s">
        <v>330</v>
      </c>
      <c r="H391" s="52" t="s">
        <v>331</v>
      </c>
      <c r="I391" s="53">
        <v>27</v>
      </c>
      <c r="J391" s="52" t="s">
        <v>140</v>
      </c>
      <c r="K391" s="53">
        <v>10</v>
      </c>
      <c r="L391" s="53"/>
      <c r="M391" s="54" t="s">
        <v>332</v>
      </c>
      <c r="N391" s="54" t="s">
        <v>333</v>
      </c>
      <c r="O391" s="53" t="s">
        <v>142</v>
      </c>
      <c r="P391" s="55"/>
      <c r="Q391" s="56" t="s">
        <v>284</v>
      </c>
      <c r="R391" s="52" t="s">
        <v>685</v>
      </c>
      <c r="S391" s="52" t="s">
        <v>1803</v>
      </c>
      <c r="T391" s="52" t="s">
        <v>405</v>
      </c>
      <c r="U391" s="82" t="s">
        <v>728</v>
      </c>
      <c r="V391" s="56" t="s">
        <v>1862</v>
      </c>
      <c r="W391" s="53"/>
      <c r="X391" s="56" t="s">
        <v>351</v>
      </c>
      <c r="Y391" s="56" t="s">
        <v>351</v>
      </c>
      <c r="Z391" s="56" t="s">
        <v>351</v>
      </c>
      <c r="AA391" s="53" t="s">
        <v>351</v>
      </c>
      <c r="AC391" s="24"/>
    </row>
    <row r="392" spans="2:29" ht="120" customHeight="1" x14ac:dyDescent="0.25">
      <c r="B392" s="52" t="s">
        <v>1796</v>
      </c>
      <c r="C392" s="52" t="s">
        <v>1797</v>
      </c>
      <c r="D392" s="52" t="s">
        <v>1798</v>
      </c>
      <c r="E392" s="53">
        <v>1</v>
      </c>
      <c r="F392" s="52" t="s">
        <v>336</v>
      </c>
      <c r="G392" s="52" t="s">
        <v>337</v>
      </c>
      <c r="H392" s="52" t="s">
        <v>338</v>
      </c>
      <c r="I392" s="53">
        <v>28</v>
      </c>
      <c r="J392" s="52" t="s">
        <v>339</v>
      </c>
      <c r="K392" s="53">
        <v>23</v>
      </c>
      <c r="L392" s="53"/>
      <c r="M392" s="54" t="s">
        <v>340</v>
      </c>
      <c r="N392" s="54" t="s">
        <v>341</v>
      </c>
      <c r="O392" s="53"/>
      <c r="P392" s="55"/>
      <c r="Q392" s="56"/>
      <c r="R392" s="52"/>
      <c r="S392" s="52" t="s">
        <v>1803</v>
      </c>
      <c r="T392" s="52" t="s">
        <v>405</v>
      </c>
      <c r="U392" s="52" t="s">
        <v>351</v>
      </c>
      <c r="V392" s="56" t="s">
        <v>1863</v>
      </c>
      <c r="W392" s="53"/>
      <c r="X392" s="56" t="s">
        <v>351</v>
      </c>
      <c r="Y392" s="56" t="s">
        <v>351</v>
      </c>
      <c r="Z392" s="56" t="s">
        <v>351</v>
      </c>
      <c r="AA392" s="53" t="s">
        <v>351</v>
      </c>
      <c r="AC392" s="24"/>
    </row>
    <row r="393" spans="2:29" ht="120" customHeight="1" x14ac:dyDescent="0.25">
      <c r="B393" s="52" t="s">
        <v>61</v>
      </c>
      <c r="C393" s="52" t="s">
        <v>1864</v>
      </c>
      <c r="D393" s="52" t="s">
        <v>1865</v>
      </c>
      <c r="E393" s="53">
        <v>1</v>
      </c>
      <c r="F393" s="52" t="s">
        <v>137</v>
      </c>
      <c r="G393" s="52" t="s">
        <v>138</v>
      </c>
      <c r="H393" s="52" t="s">
        <v>139</v>
      </c>
      <c r="I393" s="53">
        <v>1</v>
      </c>
      <c r="J393" s="52" t="s">
        <v>140</v>
      </c>
      <c r="K393" s="53">
        <v>4</v>
      </c>
      <c r="L393" s="53"/>
      <c r="M393" s="54" t="s">
        <v>141</v>
      </c>
      <c r="N393" s="54"/>
      <c r="O393" s="53" t="s">
        <v>142</v>
      </c>
      <c r="P393" s="52"/>
      <c r="Q393" s="56" t="s">
        <v>1200</v>
      </c>
      <c r="R393" s="56" t="s">
        <v>1799</v>
      </c>
      <c r="S393" s="53"/>
      <c r="T393" s="53"/>
      <c r="U393" s="53"/>
      <c r="V393" s="53"/>
      <c r="W393" s="53"/>
      <c r="X393" s="52" t="s">
        <v>1866</v>
      </c>
      <c r="Y393" s="54" t="s">
        <v>1867</v>
      </c>
      <c r="Z393" s="54" t="s">
        <v>995</v>
      </c>
      <c r="AA393" s="62" t="s">
        <v>351</v>
      </c>
      <c r="AC393" s="24"/>
    </row>
    <row r="394" spans="2:29" ht="120" customHeight="1" x14ac:dyDescent="0.25">
      <c r="B394" s="52" t="s">
        <v>61</v>
      </c>
      <c r="C394" s="52" t="s">
        <v>1864</v>
      </c>
      <c r="D394" s="52" t="s">
        <v>1865</v>
      </c>
      <c r="E394" s="53">
        <v>1</v>
      </c>
      <c r="F394" s="52" t="s">
        <v>152</v>
      </c>
      <c r="G394" s="52" t="s">
        <v>153</v>
      </c>
      <c r="H394" s="52" t="s">
        <v>139</v>
      </c>
      <c r="I394" s="53">
        <v>2</v>
      </c>
      <c r="J394" s="52" t="s">
        <v>140</v>
      </c>
      <c r="K394" s="53">
        <v>30</v>
      </c>
      <c r="L394" s="53"/>
      <c r="M394" s="54" t="s">
        <v>154</v>
      </c>
      <c r="N394" s="54" t="s">
        <v>155</v>
      </c>
      <c r="O394" s="53" t="s">
        <v>142</v>
      </c>
      <c r="P394" s="52"/>
      <c r="Q394" s="56" t="s">
        <v>1200</v>
      </c>
      <c r="R394" s="56" t="s">
        <v>1799</v>
      </c>
      <c r="S394" s="53"/>
      <c r="T394" s="53"/>
      <c r="U394" s="53"/>
      <c r="V394" s="53"/>
      <c r="W394" s="53"/>
      <c r="X394" s="52" t="s">
        <v>1866</v>
      </c>
      <c r="Y394" s="54" t="s">
        <v>1867</v>
      </c>
      <c r="Z394" s="54" t="s">
        <v>1868</v>
      </c>
      <c r="AA394" s="62" t="s">
        <v>351</v>
      </c>
      <c r="AC394" s="24"/>
    </row>
    <row r="395" spans="2:29" ht="120" customHeight="1" x14ac:dyDescent="0.25">
      <c r="B395" s="52" t="s">
        <v>61</v>
      </c>
      <c r="C395" s="52" t="s">
        <v>1864</v>
      </c>
      <c r="D395" s="52" t="s">
        <v>1865</v>
      </c>
      <c r="E395" s="53">
        <v>1</v>
      </c>
      <c r="F395" s="52" t="s">
        <v>164</v>
      </c>
      <c r="G395" s="52" t="s">
        <v>165</v>
      </c>
      <c r="H395" s="55" t="s">
        <v>166</v>
      </c>
      <c r="I395" s="53">
        <v>3</v>
      </c>
      <c r="J395" s="52" t="s">
        <v>140</v>
      </c>
      <c r="K395" s="53">
        <v>20</v>
      </c>
      <c r="L395" s="53"/>
      <c r="M395" s="54" t="s">
        <v>167</v>
      </c>
      <c r="N395" s="54" t="s">
        <v>168</v>
      </c>
      <c r="O395" s="53"/>
      <c r="P395" s="54" t="s">
        <v>971</v>
      </c>
      <c r="Q395" s="56"/>
      <c r="R395" s="52"/>
      <c r="S395" s="53"/>
      <c r="T395" s="53"/>
      <c r="U395" s="53"/>
      <c r="V395" s="53"/>
      <c r="W395" s="53"/>
      <c r="X395" s="56" t="s">
        <v>351</v>
      </c>
      <c r="Y395" s="56" t="s">
        <v>351</v>
      </c>
      <c r="Z395" s="56" t="s">
        <v>351</v>
      </c>
      <c r="AA395" s="62" t="s">
        <v>351</v>
      </c>
      <c r="AC395" s="24"/>
    </row>
    <row r="396" spans="2:29" ht="120" customHeight="1" x14ac:dyDescent="0.25">
      <c r="B396" s="52" t="s">
        <v>61</v>
      </c>
      <c r="C396" s="52" t="s">
        <v>1864</v>
      </c>
      <c r="D396" s="52" t="s">
        <v>1865</v>
      </c>
      <c r="E396" s="53">
        <v>1</v>
      </c>
      <c r="F396" s="52" t="s">
        <v>172</v>
      </c>
      <c r="G396" s="52" t="s">
        <v>173</v>
      </c>
      <c r="H396" s="55" t="s">
        <v>166</v>
      </c>
      <c r="I396" s="53">
        <v>4</v>
      </c>
      <c r="J396" s="52" t="s">
        <v>140</v>
      </c>
      <c r="K396" s="53">
        <v>20</v>
      </c>
      <c r="L396" s="53"/>
      <c r="M396" s="54" t="s">
        <v>174</v>
      </c>
      <c r="N396" s="54" t="s">
        <v>175</v>
      </c>
      <c r="O396" s="53"/>
      <c r="P396" s="56" t="s">
        <v>1869</v>
      </c>
      <c r="Q396" s="56" t="s">
        <v>177</v>
      </c>
      <c r="R396" s="56" t="s">
        <v>178</v>
      </c>
      <c r="S396" s="53"/>
      <c r="T396" s="53"/>
      <c r="U396" s="53"/>
      <c r="V396" s="53"/>
      <c r="W396" s="53"/>
      <c r="X396" s="56" t="s">
        <v>1866</v>
      </c>
      <c r="Y396" s="54" t="s">
        <v>1870</v>
      </c>
      <c r="Z396" s="54" t="s">
        <v>1871</v>
      </c>
      <c r="AA396" s="62" t="s">
        <v>463</v>
      </c>
      <c r="AC396" s="24"/>
    </row>
    <row r="397" spans="2:29" ht="120" customHeight="1" x14ac:dyDescent="0.25">
      <c r="B397" s="52" t="s">
        <v>61</v>
      </c>
      <c r="C397" s="52" t="s">
        <v>1864</v>
      </c>
      <c r="D397" s="52" t="s">
        <v>1865</v>
      </c>
      <c r="E397" s="53">
        <v>1</v>
      </c>
      <c r="F397" s="52" t="s">
        <v>184</v>
      </c>
      <c r="G397" s="52" t="s">
        <v>185</v>
      </c>
      <c r="H397" s="55" t="s">
        <v>166</v>
      </c>
      <c r="I397" s="53">
        <v>5</v>
      </c>
      <c r="J397" s="52" t="s">
        <v>140</v>
      </c>
      <c r="K397" s="53">
        <v>20</v>
      </c>
      <c r="L397" s="53"/>
      <c r="M397" s="54" t="s">
        <v>186</v>
      </c>
      <c r="N397" s="54" t="s">
        <v>187</v>
      </c>
      <c r="O397" s="53"/>
      <c r="P397" s="56" t="s">
        <v>1872</v>
      </c>
      <c r="Q397" s="56" t="s">
        <v>177</v>
      </c>
      <c r="R397" s="56" t="s">
        <v>189</v>
      </c>
      <c r="S397" s="53"/>
      <c r="T397" s="53"/>
      <c r="U397" s="53"/>
      <c r="V397" s="53"/>
      <c r="W397" s="53"/>
      <c r="X397" s="56" t="s">
        <v>1866</v>
      </c>
      <c r="Y397" s="54" t="s">
        <v>1873</v>
      </c>
      <c r="Z397" s="54" t="s">
        <v>1874</v>
      </c>
      <c r="AA397" s="62" t="s">
        <v>463</v>
      </c>
      <c r="AC397" s="24"/>
    </row>
    <row r="398" spans="2:29" ht="120" customHeight="1" x14ac:dyDescent="0.25">
      <c r="B398" s="52" t="s">
        <v>61</v>
      </c>
      <c r="C398" s="52" t="s">
        <v>1864</v>
      </c>
      <c r="D398" s="52" t="s">
        <v>1865</v>
      </c>
      <c r="E398" s="53">
        <v>1</v>
      </c>
      <c r="F398" s="52" t="s">
        <v>193</v>
      </c>
      <c r="G398" s="52" t="s">
        <v>194</v>
      </c>
      <c r="H398" s="55" t="s">
        <v>166</v>
      </c>
      <c r="I398" s="53">
        <v>6</v>
      </c>
      <c r="J398" s="52" t="s">
        <v>140</v>
      </c>
      <c r="K398" s="53">
        <v>4</v>
      </c>
      <c r="L398" s="53"/>
      <c r="M398" s="79" t="s">
        <v>1875</v>
      </c>
      <c r="N398" s="54"/>
      <c r="O398" s="53"/>
      <c r="P398" s="52"/>
      <c r="Q398" s="56" t="s">
        <v>219</v>
      </c>
      <c r="R398" s="52" t="s">
        <v>387</v>
      </c>
      <c r="S398" s="55"/>
      <c r="T398" s="55"/>
      <c r="U398" s="55"/>
      <c r="V398" s="55"/>
      <c r="W398" s="55"/>
      <c r="X398" s="52" t="s">
        <v>1866</v>
      </c>
      <c r="Y398" s="54" t="s">
        <v>351</v>
      </c>
      <c r="Z398" s="54" t="s">
        <v>351</v>
      </c>
      <c r="AA398" s="62" t="s">
        <v>353</v>
      </c>
      <c r="AC398" s="24"/>
    </row>
    <row r="399" spans="2:29" ht="120" customHeight="1" x14ac:dyDescent="0.25">
      <c r="B399" s="52" t="s">
        <v>61</v>
      </c>
      <c r="C399" s="52" t="s">
        <v>1864</v>
      </c>
      <c r="D399" s="52" t="s">
        <v>1865</v>
      </c>
      <c r="E399" s="53">
        <v>1</v>
      </c>
      <c r="F399" s="52" t="s">
        <v>203</v>
      </c>
      <c r="G399" s="52" t="s">
        <v>204</v>
      </c>
      <c r="H399" s="55" t="s">
        <v>166</v>
      </c>
      <c r="I399" s="53">
        <v>7</v>
      </c>
      <c r="J399" s="52" t="s">
        <v>140</v>
      </c>
      <c r="K399" s="53">
        <v>30</v>
      </c>
      <c r="L399" s="53"/>
      <c r="M399" s="54" t="s">
        <v>1876</v>
      </c>
      <c r="N399" s="54" t="s">
        <v>206</v>
      </c>
      <c r="O399" s="53"/>
      <c r="P399" s="52"/>
      <c r="Q399" s="56" t="s">
        <v>219</v>
      </c>
      <c r="R399" s="52" t="s">
        <v>387</v>
      </c>
      <c r="S399" s="53"/>
      <c r="T399" s="53"/>
      <c r="U399" s="53"/>
      <c r="V399" s="53"/>
      <c r="W399" s="53"/>
      <c r="X399" s="52" t="s">
        <v>1866</v>
      </c>
      <c r="Y399" s="54" t="s">
        <v>1867</v>
      </c>
      <c r="Z399" s="54" t="s">
        <v>1877</v>
      </c>
      <c r="AA399" s="62" t="s">
        <v>351</v>
      </c>
      <c r="AC399" s="24"/>
    </row>
    <row r="400" spans="2:29" ht="120" customHeight="1" x14ac:dyDescent="0.25">
      <c r="B400" s="52" t="s">
        <v>61</v>
      </c>
      <c r="C400" s="52" t="s">
        <v>1864</v>
      </c>
      <c r="D400" s="52" t="s">
        <v>1865</v>
      </c>
      <c r="E400" s="53">
        <v>1</v>
      </c>
      <c r="F400" s="52" t="s">
        <v>1593</v>
      </c>
      <c r="G400" s="52" t="s">
        <v>1594</v>
      </c>
      <c r="H400" s="55" t="s">
        <v>1043</v>
      </c>
      <c r="I400" s="53">
        <v>8</v>
      </c>
      <c r="J400" s="52" t="s">
        <v>140</v>
      </c>
      <c r="K400" s="53">
        <v>25</v>
      </c>
      <c r="L400" s="53"/>
      <c r="M400" s="54" t="s">
        <v>1878</v>
      </c>
      <c r="N400" s="54"/>
      <c r="O400" s="53"/>
      <c r="P400" s="55"/>
      <c r="Q400" s="56" t="s">
        <v>219</v>
      </c>
      <c r="R400" s="52" t="s">
        <v>387</v>
      </c>
      <c r="S400" s="53"/>
      <c r="T400" s="53"/>
      <c r="U400" s="53"/>
      <c r="V400" s="53"/>
      <c r="W400" s="53"/>
      <c r="X400" s="52" t="s">
        <v>1866</v>
      </c>
      <c r="Y400" s="54" t="s">
        <v>1867</v>
      </c>
      <c r="Z400" s="54" t="s">
        <v>1879</v>
      </c>
      <c r="AA400" s="62" t="s">
        <v>351</v>
      </c>
      <c r="AC400" s="24"/>
    </row>
    <row r="401" spans="2:29" ht="120" customHeight="1" x14ac:dyDescent="0.25">
      <c r="B401" s="52" t="s">
        <v>61</v>
      </c>
      <c r="C401" s="52" t="s">
        <v>1864</v>
      </c>
      <c r="D401" s="52" t="s">
        <v>1865</v>
      </c>
      <c r="E401" s="53">
        <v>1</v>
      </c>
      <c r="F401" s="52" t="s">
        <v>1880</v>
      </c>
      <c r="G401" s="52" t="s">
        <v>1881</v>
      </c>
      <c r="H401" s="55" t="s">
        <v>1043</v>
      </c>
      <c r="I401" s="53">
        <v>9</v>
      </c>
      <c r="J401" s="52" t="s">
        <v>140</v>
      </c>
      <c r="K401" s="53">
        <v>21</v>
      </c>
      <c r="L401" s="53"/>
      <c r="M401" s="54" t="s">
        <v>1882</v>
      </c>
      <c r="N401" s="54"/>
      <c r="O401" s="53"/>
      <c r="P401" s="52"/>
      <c r="Q401" s="56" t="s">
        <v>219</v>
      </c>
      <c r="R401" s="52" t="s">
        <v>387</v>
      </c>
      <c r="S401" s="53"/>
      <c r="T401" s="55"/>
      <c r="U401" s="55"/>
      <c r="V401" s="53"/>
      <c r="W401" s="53"/>
      <c r="X401" s="52" t="s">
        <v>1866</v>
      </c>
      <c r="Y401" s="54" t="s">
        <v>1867</v>
      </c>
      <c r="Z401" s="52" t="s">
        <v>1883</v>
      </c>
      <c r="AA401" s="62" t="s">
        <v>351</v>
      </c>
      <c r="AC401" s="24"/>
    </row>
    <row r="402" spans="2:29" ht="120" customHeight="1" x14ac:dyDescent="0.25">
      <c r="B402" s="52" t="s">
        <v>61</v>
      </c>
      <c r="C402" s="52" t="s">
        <v>1864</v>
      </c>
      <c r="D402" s="52" t="s">
        <v>1865</v>
      </c>
      <c r="E402" s="53">
        <v>1</v>
      </c>
      <c r="F402" s="52" t="s">
        <v>1884</v>
      </c>
      <c r="G402" s="52" t="s">
        <v>1885</v>
      </c>
      <c r="H402" s="55" t="s">
        <v>1886</v>
      </c>
      <c r="I402" s="53">
        <v>10</v>
      </c>
      <c r="J402" s="52" t="s">
        <v>140</v>
      </c>
      <c r="K402" s="53">
        <v>4</v>
      </c>
      <c r="L402" s="53"/>
      <c r="M402" s="54" t="s">
        <v>1887</v>
      </c>
      <c r="N402" s="54"/>
      <c r="O402" s="53"/>
      <c r="P402" s="56" t="s">
        <v>1888</v>
      </c>
      <c r="Q402" s="54"/>
      <c r="R402" s="55"/>
      <c r="S402" s="53"/>
      <c r="T402" s="55"/>
      <c r="U402" s="55"/>
      <c r="V402" s="53"/>
      <c r="W402" s="53"/>
      <c r="X402" s="52" t="s">
        <v>1866</v>
      </c>
      <c r="Y402" s="54" t="s">
        <v>1867</v>
      </c>
      <c r="Z402" s="52" t="s">
        <v>1889</v>
      </c>
      <c r="AA402" s="62" t="s">
        <v>351</v>
      </c>
      <c r="AC402" s="24"/>
    </row>
    <row r="403" spans="2:29" ht="120" customHeight="1" x14ac:dyDescent="0.25">
      <c r="B403" s="52" t="s">
        <v>61</v>
      </c>
      <c r="C403" s="52" t="s">
        <v>1864</v>
      </c>
      <c r="D403" s="52" t="s">
        <v>1865</v>
      </c>
      <c r="E403" s="53">
        <v>1</v>
      </c>
      <c r="F403" s="52" t="s">
        <v>1890</v>
      </c>
      <c r="G403" s="52" t="s">
        <v>1891</v>
      </c>
      <c r="H403" s="55" t="s">
        <v>166</v>
      </c>
      <c r="I403" s="53">
        <v>11</v>
      </c>
      <c r="J403" s="52" t="s">
        <v>140</v>
      </c>
      <c r="K403" s="53">
        <v>4</v>
      </c>
      <c r="L403" s="53"/>
      <c r="M403" s="54"/>
      <c r="N403" s="54"/>
      <c r="O403" s="53"/>
      <c r="P403" s="56" t="s">
        <v>1892</v>
      </c>
      <c r="Q403" s="54"/>
      <c r="R403" s="55"/>
      <c r="S403" s="53"/>
      <c r="T403" s="55"/>
      <c r="U403" s="55"/>
      <c r="V403" s="53"/>
      <c r="W403" s="53"/>
      <c r="X403" s="52" t="s">
        <v>1866</v>
      </c>
      <c r="Y403" s="54" t="s">
        <v>1867</v>
      </c>
      <c r="Z403" s="52" t="s">
        <v>1893</v>
      </c>
      <c r="AA403" s="62" t="s">
        <v>351</v>
      </c>
      <c r="AC403" s="24"/>
    </row>
    <row r="404" spans="2:29" ht="120" customHeight="1" x14ac:dyDescent="0.25">
      <c r="B404" s="52" t="s">
        <v>61</v>
      </c>
      <c r="C404" s="52" t="s">
        <v>1864</v>
      </c>
      <c r="D404" s="52" t="s">
        <v>1865</v>
      </c>
      <c r="E404" s="53">
        <v>1</v>
      </c>
      <c r="F404" s="52" t="s">
        <v>1894</v>
      </c>
      <c r="G404" s="52" t="s">
        <v>1895</v>
      </c>
      <c r="H404" s="55" t="s">
        <v>1043</v>
      </c>
      <c r="I404" s="53">
        <v>12</v>
      </c>
      <c r="J404" s="52" t="s">
        <v>140</v>
      </c>
      <c r="K404" s="53">
        <v>17</v>
      </c>
      <c r="L404" s="53"/>
      <c r="M404" s="54" t="s">
        <v>1896</v>
      </c>
      <c r="N404" s="54"/>
      <c r="O404" s="53"/>
      <c r="P404" s="52"/>
      <c r="Q404" s="56" t="s">
        <v>219</v>
      </c>
      <c r="R404" s="52" t="s">
        <v>387</v>
      </c>
      <c r="S404" s="53"/>
      <c r="T404" s="55"/>
      <c r="U404" s="55"/>
      <c r="V404" s="53"/>
      <c r="W404" s="53"/>
      <c r="X404" s="52" t="s">
        <v>1866</v>
      </c>
      <c r="Y404" s="54" t="s">
        <v>1867</v>
      </c>
      <c r="Z404" s="52" t="s">
        <v>1897</v>
      </c>
      <c r="AA404" s="62" t="s">
        <v>351</v>
      </c>
      <c r="AC404" s="24"/>
    </row>
    <row r="405" spans="2:29" ht="120" customHeight="1" x14ac:dyDescent="0.25">
      <c r="B405" s="52" t="s">
        <v>61</v>
      </c>
      <c r="C405" s="52" t="s">
        <v>1864</v>
      </c>
      <c r="D405" s="52" t="s">
        <v>1865</v>
      </c>
      <c r="E405" s="53">
        <v>1</v>
      </c>
      <c r="F405" s="52" t="s">
        <v>214</v>
      </c>
      <c r="G405" s="52" t="s">
        <v>215</v>
      </c>
      <c r="H405" s="55" t="s">
        <v>216</v>
      </c>
      <c r="I405" s="53">
        <v>13</v>
      </c>
      <c r="J405" s="52" t="s">
        <v>952</v>
      </c>
      <c r="K405" s="53">
        <v>10</v>
      </c>
      <c r="L405" s="53"/>
      <c r="M405" s="54" t="s">
        <v>217</v>
      </c>
      <c r="N405" s="54" t="s">
        <v>218</v>
      </c>
      <c r="O405" s="53"/>
      <c r="P405" s="52"/>
      <c r="Q405" s="56" t="s">
        <v>219</v>
      </c>
      <c r="R405" s="52" t="s">
        <v>214</v>
      </c>
      <c r="S405" s="53"/>
      <c r="T405" s="53"/>
      <c r="U405" s="53"/>
      <c r="V405" s="53"/>
      <c r="W405" s="53"/>
      <c r="X405" s="52" t="s">
        <v>1866</v>
      </c>
      <c r="Y405" s="54" t="s">
        <v>1867</v>
      </c>
      <c r="Z405" s="54" t="s">
        <v>1898</v>
      </c>
      <c r="AA405" s="62" t="s">
        <v>351</v>
      </c>
      <c r="AC405" s="24"/>
    </row>
    <row r="406" spans="2:29" ht="120" customHeight="1" x14ac:dyDescent="0.25">
      <c r="B406" s="52" t="s">
        <v>61</v>
      </c>
      <c r="C406" s="52" t="s">
        <v>1864</v>
      </c>
      <c r="D406" s="52" t="s">
        <v>1865</v>
      </c>
      <c r="E406" s="53">
        <v>1</v>
      </c>
      <c r="F406" s="52" t="s">
        <v>226</v>
      </c>
      <c r="G406" s="52" t="s">
        <v>227</v>
      </c>
      <c r="H406" s="55" t="s">
        <v>216</v>
      </c>
      <c r="I406" s="53">
        <v>14</v>
      </c>
      <c r="J406" s="52" t="s">
        <v>952</v>
      </c>
      <c r="K406" s="53">
        <v>10</v>
      </c>
      <c r="L406" s="53"/>
      <c r="M406" s="54" t="s">
        <v>228</v>
      </c>
      <c r="N406" s="54" t="s">
        <v>229</v>
      </c>
      <c r="O406" s="53"/>
      <c r="P406" s="52"/>
      <c r="Q406" s="56" t="s">
        <v>230</v>
      </c>
      <c r="R406" s="52" t="s">
        <v>226</v>
      </c>
      <c r="S406" s="53"/>
      <c r="T406" s="53"/>
      <c r="U406" s="53"/>
      <c r="V406" s="53"/>
      <c r="W406" s="53"/>
      <c r="X406" s="52" t="s">
        <v>1866</v>
      </c>
      <c r="Y406" s="54" t="s">
        <v>1867</v>
      </c>
      <c r="Z406" s="54" t="s">
        <v>1899</v>
      </c>
      <c r="AA406" s="62" t="s">
        <v>351</v>
      </c>
      <c r="AC406" s="24"/>
    </row>
    <row r="407" spans="2:29" ht="120" customHeight="1" x14ac:dyDescent="0.25">
      <c r="B407" s="52" t="s">
        <v>61</v>
      </c>
      <c r="C407" s="52" t="s">
        <v>1864</v>
      </c>
      <c r="D407" s="52" t="s">
        <v>1865</v>
      </c>
      <c r="E407" s="53">
        <v>1</v>
      </c>
      <c r="F407" s="52" t="s">
        <v>238</v>
      </c>
      <c r="G407" s="52" t="s">
        <v>239</v>
      </c>
      <c r="H407" s="55" t="s">
        <v>240</v>
      </c>
      <c r="I407" s="53">
        <v>15</v>
      </c>
      <c r="J407" s="52" t="s">
        <v>140</v>
      </c>
      <c r="K407" s="53">
        <v>3</v>
      </c>
      <c r="L407" s="53"/>
      <c r="M407" s="54" t="s">
        <v>241</v>
      </c>
      <c r="N407" s="54" t="s">
        <v>242</v>
      </c>
      <c r="O407" s="53"/>
      <c r="P407" s="56" t="s">
        <v>1900</v>
      </c>
      <c r="Q407" s="56" t="s">
        <v>566</v>
      </c>
      <c r="R407" s="56" t="s">
        <v>245</v>
      </c>
      <c r="S407" s="53"/>
      <c r="T407" s="53"/>
      <c r="U407" s="53"/>
      <c r="V407" s="53"/>
      <c r="W407" s="53"/>
      <c r="X407" s="52" t="s">
        <v>1866</v>
      </c>
      <c r="Y407" s="54" t="s">
        <v>1901</v>
      </c>
      <c r="Z407" s="54" t="s">
        <v>1902</v>
      </c>
      <c r="AA407" s="62" t="s">
        <v>351</v>
      </c>
      <c r="AC407" s="24"/>
    </row>
    <row r="408" spans="2:29" ht="120" customHeight="1" x14ac:dyDescent="0.25">
      <c r="B408" s="52" t="s">
        <v>61</v>
      </c>
      <c r="C408" s="52" t="s">
        <v>1864</v>
      </c>
      <c r="D408" s="52" t="s">
        <v>1865</v>
      </c>
      <c r="E408" s="53">
        <v>1</v>
      </c>
      <c r="F408" s="52" t="s">
        <v>253</v>
      </c>
      <c r="G408" s="52" t="s">
        <v>254</v>
      </c>
      <c r="H408" s="55" t="s">
        <v>255</v>
      </c>
      <c r="I408" s="53">
        <v>16</v>
      </c>
      <c r="J408" s="52" t="s">
        <v>1637</v>
      </c>
      <c r="K408" s="53"/>
      <c r="L408" s="53"/>
      <c r="M408" s="54" t="s">
        <v>256</v>
      </c>
      <c r="N408" s="54"/>
      <c r="O408" s="53"/>
      <c r="P408" s="55"/>
      <c r="Q408" s="65"/>
      <c r="R408" s="63"/>
      <c r="S408" s="73"/>
      <c r="T408" s="73"/>
      <c r="U408" s="73"/>
      <c r="V408" s="73"/>
      <c r="W408" s="73"/>
      <c r="X408" s="52" t="s">
        <v>1866</v>
      </c>
      <c r="Y408" s="54" t="s">
        <v>1867</v>
      </c>
      <c r="Z408" s="54" t="s">
        <v>1903</v>
      </c>
      <c r="AA408" s="62" t="s">
        <v>351</v>
      </c>
      <c r="AC408" s="24"/>
    </row>
    <row r="409" spans="2:29" ht="120" customHeight="1" x14ac:dyDescent="0.25">
      <c r="B409" s="52" t="s">
        <v>61</v>
      </c>
      <c r="C409" s="52" t="s">
        <v>1864</v>
      </c>
      <c r="D409" s="52" t="s">
        <v>1865</v>
      </c>
      <c r="E409" s="53">
        <v>1</v>
      </c>
      <c r="F409" s="52" t="s">
        <v>1904</v>
      </c>
      <c r="G409" s="52" t="s">
        <v>1905</v>
      </c>
      <c r="H409" s="55" t="s">
        <v>262</v>
      </c>
      <c r="I409" s="53">
        <v>17</v>
      </c>
      <c r="J409" s="52" t="s">
        <v>446</v>
      </c>
      <c r="K409" s="53"/>
      <c r="L409" s="53"/>
      <c r="M409" s="54" t="s">
        <v>1906</v>
      </c>
      <c r="N409" s="54"/>
      <c r="O409" s="53"/>
      <c r="P409" s="55"/>
      <c r="Q409" s="56" t="s">
        <v>609</v>
      </c>
      <c r="R409" s="52" t="s">
        <v>1907</v>
      </c>
      <c r="S409" s="53"/>
      <c r="T409" s="53"/>
      <c r="U409" s="53"/>
      <c r="V409" s="53"/>
      <c r="W409" s="53"/>
      <c r="X409" s="52" t="s">
        <v>1866</v>
      </c>
      <c r="Y409" s="54" t="s">
        <v>1908</v>
      </c>
      <c r="Z409" s="54" t="s">
        <v>1909</v>
      </c>
      <c r="AA409" s="62" t="s">
        <v>351</v>
      </c>
      <c r="AC409" s="24"/>
    </row>
    <row r="410" spans="2:29" ht="120" customHeight="1" x14ac:dyDescent="0.25">
      <c r="B410" s="52" t="s">
        <v>61</v>
      </c>
      <c r="C410" s="52" t="s">
        <v>1864</v>
      </c>
      <c r="D410" s="52" t="s">
        <v>1865</v>
      </c>
      <c r="E410" s="53">
        <v>1</v>
      </c>
      <c r="F410" s="52" t="s">
        <v>260</v>
      </c>
      <c r="G410" s="52" t="s">
        <v>261</v>
      </c>
      <c r="H410" s="52" t="s">
        <v>262</v>
      </c>
      <c r="I410" s="53">
        <v>18</v>
      </c>
      <c r="J410" s="52" t="s">
        <v>263</v>
      </c>
      <c r="K410" s="53">
        <v>23</v>
      </c>
      <c r="L410" s="53">
        <v>6</v>
      </c>
      <c r="M410" s="54" t="s">
        <v>1910</v>
      </c>
      <c r="N410" s="54"/>
      <c r="O410" s="53"/>
      <c r="P410" s="55"/>
      <c r="Q410" s="56" t="s">
        <v>219</v>
      </c>
      <c r="R410" s="52" t="s">
        <v>265</v>
      </c>
      <c r="S410" s="53"/>
      <c r="T410" s="52"/>
      <c r="U410" s="52"/>
      <c r="V410" s="53"/>
      <c r="W410" s="53"/>
      <c r="X410" s="52" t="s">
        <v>1866</v>
      </c>
      <c r="Y410" s="54" t="s">
        <v>1867</v>
      </c>
      <c r="Z410" s="67" t="s">
        <v>1911</v>
      </c>
      <c r="AA410" s="62" t="s">
        <v>351</v>
      </c>
      <c r="AC410" s="24"/>
    </row>
    <row r="411" spans="2:29" ht="120" customHeight="1" x14ac:dyDescent="0.25">
      <c r="B411" s="52" t="s">
        <v>61</v>
      </c>
      <c r="C411" s="52" t="s">
        <v>1864</v>
      </c>
      <c r="D411" s="52" t="s">
        <v>1865</v>
      </c>
      <c r="E411" s="53">
        <v>1</v>
      </c>
      <c r="F411" s="52" t="s">
        <v>272</v>
      </c>
      <c r="G411" s="52" t="s">
        <v>273</v>
      </c>
      <c r="H411" s="52" t="s">
        <v>262</v>
      </c>
      <c r="I411" s="53">
        <v>19</v>
      </c>
      <c r="J411" s="52" t="s">
        <v>263</v>
      </c>
      <c r="K411" s="53">
        <v>23</v>
      </c>
      <c r="L411" s="53">
        <v>6</v>
      </c>
      <c r="M411" s="54" t="s">
        <v>1912</v>
      </c>
      <c r="N411" s="54"/>
      <c r="O411" s="53"/>
      <c r="P411" s="55"/>
      <c r="Q411" s="56"/>
      <c r="R411" s="52"/>
      <c r="S411" s="53"/>
      <c r="T411" s="52"/>
      <c r="U411" s="52"/>
      <c r="V411" s="53"/>
      <c r="W411" s="53"/>
      <c r="X411" s="52" t="s">
        <v>1866</v>
      </c>
      <c r="Y411" s="54" t="s">
        <v>1867</v>
      </c>
      <c r="Z411" s="67" t="s">
        <v>1911</v>
      </c>
      <c r="AA411" s="62" t="s">
        <v>351</v>
      </c>
      <c r="AC411" s="24"/>
    </row>
    <row r="412" spans="2:29" ht="120" customHeight="1" x14ac:dyDescent="0.25">
      <c r="B412" s="52" t="s">
        <v>61</v>
      </c>
      <c r="C412" s="52" t="s">
        <v>1864</v>
      </c>
      <c r="D412" s="52" t="s">
        <v>1865</v>
      </c>
      <c r="E412" s="53">
        <v>1</v>
      </c>
      <c r="F412" s="52" t="s">
        <v>1913</v>
      </c>
      <c r="G412" s="52" t="s">
        <v>1914</v>
      </c>
      <c r="H412" s="55" t="s">
        <v>262</v>
      </c>
      <c r="I412" s="53">
        <v>20</v>
      </c>
      <c r="J412" s="52" t="s">
        <v>263</v>
      </c>
      <c r="K412" s="53">
        <v>23</v>
      </c>
      <c r="L412" s="53">
        <v>6</v>
      </c>
      <c r="M412" s="54" t="s">
        <v>1915</v>
      </c>
      <c r="N412" s="54"/>
      <c r="O412" s="53"/>
      <c r="P412" s="52"/>
      <c r="Q412" s="56"/>
      <c r="R412" s="52"/>
      <c r="S412" s="53"/>
      <c r="T412" s="53"/>
      <c r="U412" s="53"/>
      <c r="V412" s="53"/>
      <c r="W412" s="53"/>
      <c r="X412" s="52" t="s">
        <v>1866</v>
      </c>
      <c r="Y412" s="54" t="s">
        <v>1867</v>
      </c>
      <c r="Z412" s="54" t="s">
        <v>1916</v>
      </c>
      <c r="AA412" s="62" t="s">
        <v>351</v>
      </c>
      <c r="AC412" s="24"/>
    </row>
    <row r="413" spans="2:29" ht="120" customHeight="1" x14ac:dyDescent="0.25">
      <c r="B413" s="52" t="s">
        <v>61</v>
      </c>
      <c r="C413" s="52" t="s">
        <v>1864</v>
      </c>
      <c r="D413" s="52" t="s">
        <v>1865</v>
      </c>
      <c r="E413" s="53">
        <v>1</v>
      </c>
      <c r="F413" s="52" t="s">
        <v>1917</v>
      </c>
      <c r="G413" s="52" t="s">
        <v>1918</v>
      </c>
      <c r="H413" s="55" t="s">
        <v>262</v>
      </c>
      <c r="I413" s="53">
        <v>21</v>
      </c>
      <c r="J413" s="52" t="s">
        <v>263</v>
      </c>
      <c r="K413" s="53">
        <v>23</v>
      </c>
      <c r="L413" s="53">
        <v>6</v>
      </c>
      <c r="M413" s="54" t="s">
        <v>1919</v>
      </c>
      <c r="N413" s="54"/>
      <c r="O413" s="53"/>
      <c r="P413" s="52"/>
      <c r="Q413" s="56"/>
      <c r="R413" s="52"/>
      <c r="S413" s="53"/>
      <c r="T413" s="53"/>
      <c r="U413" s="53"/>
      <c r="V413" s="53"/>
      <c r="W413" s="53"/>
      <c r="X413" s="52" t="s">
        <v>1866</v>
      </c>
      <c r="Y413" s="54" t="s">
        <v>1867</v>
      </c>
      <c r="Z413" s="54" t="s">
        <v>1920</v>
      </c>
      <c r="AA413" s="62" t="s">
        <v>351</v>
      </c>
      <c r="AC413" s="24"/>
    </row>
    <row r="414" spans="2:29" ht="120" customHeight="1" x14ac:dyDescent="0.25">
      <c r="B414" s="52" t="s">
        <v>61</v>
      </c>
      <c r="C414" s="52" t="s">
        <v>1864</v>
      </c>
      <c r="D414" s="52" t="s">
        <v>1865</v>
      </c>
      <c r="E414" s="53">
        <v>1</v>
      </c>
      <c r="F414" s="52" t="s">
        <v>801</v>
      </c>
      <c r="G414" s="52" t="s">
        <v>802</v>
      </c>
      <c r="H414" s="52" t="s">
        <v>262</v>
      </c>
      <c r="I414" s="53">
        <v>22</v>
      </c>
      <c r="J414" s="52" t="s">
        <v>263</v>
      </c>
      <c r="K414" s="53">
        <v>23</v>
      </c>
      <c r="L414" s="53">
        <v>6</v>
      </c>
      <c r="M414" s="54" t="s">
        <v>1921</v>
      </c>
      <c r="N414" s="54"/>
      <c r="O414" s="53"/>
      <c r="P414" s="55"/>
      <c r="Q414" s="54"/>
      <c r="R414" s="55"/>
      <c r="S414" s="53"/>
      <c r="T414" s="53"/>
      <c r="U414" s="53"/>
      <c r="V414" s="53"/>
      <c r="W414" s="53"/>
      <c r="X414" s="52" t="s">
        <v>1866</v>
      </c>
      <c r="Y414" s="54" t="s">
        <v>1901</v>
      </c>
      <c r="Z414" s="54" t="s">
        <v>1922</v>
      </c>
      <c r="AA414" s="62" t="s">
        <v>351</v>
      </c>
      <c r="AC414" s="24"/>
    </row>
    <row r="415" spans="2:29" ht="120" customHeight="1" x14ac:dyDescent="0.25">
      <c r="B415" s="52" t="s">
        <v>61</v>
      </c>
      <c r="C415" s="52" t="s">
        <v>1864</v>
      </c>
      <c r="D415" s="52" t="s">
        <v>1865</v>
      </c>
      <c r="E415" s="53">
        <v>1</v>
      </c>
      <c r="F415" s="52" t="s">
        <v>581</v>
      </c>
      <c r="G415" s="52" t="s">
        <v>582</v>
      </c>
      <c r="H415" s="52" t="s">
        <v>262</v>
      </c>
      <c r="I415" s="53">
        <v>23</v>
      </c>
      <c r="J415" s="52" t="s">
        <v>263</v>
      </c>
      <c r="K415" s="53">
        <v>23</v>
      </c>
      <c r="L415" s="53">
        <v>6</v>
      </c>
      <c r="M415" s="54" t="s">
        <v>583</v>
      </c>
      <c r="N415" s="54"/>
      <c r="O415" s="53"/>
      <c r="P415" s="55"/>
      <c r="Q415" s="54" t="s">
        <v>584</v>
      </c>
      <c r="R415" s="54" t="s">
        <v>1923</v>
      </c>
      <c r="S415" s="53"/>
      <c r="T415" s="53"/>
      <c r="U415" s="53"/>
      <c r="V415" s="53"/>
      <c r="W415" s="53"/>
      <c r="X415" s="52" t="s">
        <v>1866</v>
      </c>
      <c r="Y415" s="54" t="s">
        <v>1924</v>
      </c>
      <c r="Z415" s="64" t="s">
        <v>1925</v>
      </c>
      <c r="AA415" s="62" t="s">
        <v>351</v>
      </c>
      <c r="AC415" s="24"/>
    </row>
    <row r="416" spans="2:29" ht="120" customHeight="1" x14ac:dyDescent="0.25">
      <c r="B416" s="52" t="s">
        <v>61</v>
      </c>
      <c r="C416" s="52" t="s">
        <v>1864</v>
      </c>
      <c r="D416" s="52" t="s">
        <v>1865</v>
      </c>
      <c r="E416" s="53">
        <v>1</v>
      </c>
      <c r="F416" s="52" t="s">
        <v>281</v>
      </c>
      <c r="G416" s="52" t="s">
        <v>282</v>
      </c>
      <c r="H416" s="52" t="s">
        <v>262</v>
      </c>
      <c r="I416" s="53">
        <v>24</v>
      </c>
      <c r="J416" s="52" t="s">
        <v>263</v>
      </c>
      <c r="K416" s="53">
        <v>23</v>
      </c>
      <c r="L416" s="53">
        <v>6</v>
      </c>
      <c r="M416" s="54" t="s">
        <v>283</v>
      </c>
      <c r="N416" s="54"/>
      <c r="O416" s="53"/>
      <c r="P416" s="55"/>
      <c r="Q416" s="54" t="s">
        <v>284</v>
      </c>
      <c r="R416" s="55" t="s">
        <v>285</v>
      </c>
      <c r="S416" s="53"/>
      <c r="T416" s="53"/>
      <c r="U416" s="53"/>
      <c r="V416" s="53"/>
      <c r="W416" s="53"/>
      <c r="X416" s="52" t="s">
        <v>1866</v>
      </c>
      <c r="Y416" s="54" t="s">
        <v>1926</v>
      </c>
      <c r="Z416" s="54" t="s">
        <v>1927</v>
      </c>
      <c r="AA416" s="62" t="s">
        <v>351</v>
      </c>
      <c r="AC416" s="24"/>
    </row>
    <row r="417" spans="2:29" ht="120" customHeight="1" x14ac:dyDescent="0.25">
      <c r="B417" s="52" t="s">
        <v>61</v>
      </c>
      <c r="C417" s="52" t="s">
        <v>1864</v>
      </c>
      <c r="D417" s="52" t="s">
        <v>1865</v>
      </c>
      <c r="E417" s="53">
        <v>1</v>
      </c>
      <c r="F417" s="52" t="s">
        <v>1928</v>
      </c>
      <c r="G417" s="52" t="s">
        <v>1929</v>
      </c>
      <c r="H417" s="52" t="s">
        <v>262</v>
      </c>
      <c r="I417" s="53">
        <v>25</v>
      </c>
      <c r="J417" s="52" t="s">
        <v>263</v>
      </c>
      <c r="K417" s="53">
        <v>23</v>
      </c>
      <c r="L417" s="53">
        <v>6</v>
      </c>
      <c r="M417" s="54" t="s">
        <v>1930</v>
      </c>
      <c r="N417" s="54"/>
      <c r="O417" s="53"/>
      <c r="P417" s="55"/>
      <c r="Q417" s="54"/>
      <c r="R417" s="55"/>
      <c r="S417" s="53"/>
      <c r="T417" s="53"/>
      <c r="U417" s="53"/>
      <c r="V417" s="53"/>
      <c r="W417" s="53"/>
      <c r="X417" s="52" t="s">
        <v>1866</v>
      </c>
      <c r="Y417" s="54" t="s">
        <v>1926</v>
      </c>
      <c r="Z417" s="54" t="s">
        <v>1931</v>
      </c>
      <c r="AA417" s="62" t="s">
        <v>351</v>
      </c>
      <c r="AC417" s="24"/>
    </row>
    <row r="418" spans="2:29" ht="120" customHeight="1" x14ac:dyDescent="0.25">
      <c r="B418" s="52" t="s">
        <v>61</v>
      </c>
      <c r="C418" s="52" t="s">
        <v>1864</v>
      </c>
      <c r="D418" s="52" t="s">
        <v>1865</v>
      </c>
      <c r="E418" s="53">
        <v>1</v>
      </c>
      <c r="F418" s="52" t="s">
        <v>1932</v>
      </c>
      <c r="G418" s="52" t="s">
        <v>1933</v>
      </c>
      <c r="H418" s="52" t="s">
        <v>262</v>
      </c>
      <c r="I418" s="53">
        <v>26</v>
      </c>
      <c r="J418" s="52" t="s">
        <v>263</v>
      </c>
      <c r="K418" s="53">
        <v>23</v>
      </c>
      <c r="L418" s="53">
        <v>6</v>
      </c>
      <c r="M418" s="54" t="s">
        <v>1934</v>
      </c>
      <c r="N418" s="54"/>
      <c r="O418" s="53"/>
      <c r="P418" s="55"/>
      <c r="Q418" s="54"/>
      <c r="R418" s="55"/>
      <c r="S418" s="53"/>
      <c r="T418" s="53"/>
      <c r="U418" s="53"/>
      <c r="V418" s="53"/>
      <c r="W418" s="53"/>
      <c r="X418" s="52" t="s">
        <v>1866</v>
      </c>
      <c r="Y418" s="54" t="s">
        <v>1926</v>
      </c>
      <c r="Z418" s="54" t="s">
        <v>1935</v>
      </c>
      <c r="AA418" s="62" t="s">
        <v>351</v>
      </c>
      <c r="AC418" s="24"/>
    </row>
    <row r="419" spans="2:29" ht="120" customHeight="1" x14ac:dyDescent="0.25">
      <c r="B419" s="52" t="s">
        <v>61</v>
      </c>
      <c r="C419" s="52" t="s">
        <v>1864</v>
      </c>
      <c r="D419" s="52" t="s">
        <v>1865</v>
      </c>
      <c r="E419" s="53">
        <v>1</v>
      </c>
      <c r="F419" s="52" t="s">
        <v>1936</v>
      </c>
      <c r="G419" s="52" t="s">
        <v>1937</v>
      </c>
      <c r="H419" s="52" t="s">
        <v>262</v>
      </c>
      <c r="I419" s="53">
        <v>27</v>
      </c>
      <c r="J419" s="52" t="s">
        <v>263</v>
      </c>
      <c r="K419" s="53">
        <v>23</v>
      </c>
      <c r="L419" s="53">
        <v>6</v>
      </c>
      <c r="M419" s="54" t="s">
        <v>1938</v>
      </c>
      <c r="N419" s="54"/>
      <c r="O419" s="53"/>
      <c r="P419" s="55"/>
      <c r="Q419" s="54"/>
      <c r="R419" s="55"/>
      <c r="S419" s="53"/>
      <c r="T419" s="53"/>
      <c r="U419" s="53"/>
      <c r="V419" s="53"/>
      <c r="W419" s="53"/>
      <c r="X419" s="52" t="s">
        <v>1866</v>
      </c>
      <c r="Y419" s="54" t="s">
        <v>1926</v>
      </c>
      <c r="Z419" s="54" t="s">
        <v>1939</v>
      </c>
      <c r="AA419" s="62" t="s">
        <v>351</v>
      </c>
      <c r="AC419" s="24"/>
    </row>
    <row r="420" spans="2:29" ht="120" customHeight="1" x14ac:dyDescent="0.25">
      <c r="B420" s="52" t="s">
        <v>61</v>
      </c>
      <c r="C420" s="52" t="s">
        <v>1864</v>
      </c>
      <c r="D420" s="52" t="s">
        <v>1865</v>
      </c>
      <c r="E420" s="53">
        <v>1</v>
      </c>
      <c r="F420" s="52" t="s">
        <v>291</v>
      </c>
      <c r="G420" s="52" t="s">
        <v>292</v>
      </c>
      <c r="H420" s="52" t="s">
        <v>262</v>
      </c>
      <c r="I420" s="53">
        <v>28</v>
      </c>
      <c r="J420" s="52" t="s">
        <v>263</v>
      </c>
      <c r="K420" s="53">
        <v>23</v>
      </c>
      <c r="L420" s="53">
        <v>6</v>
      </c>
      <c r="M420" s="54" t="s">
        <v>293</v>
      </c>
      <c r="N420" s="54"/>
      <c r="O420" s="53"/>
      <c r="P420" s="55"/>
      <c r="Q420" s="65"/>
      <c r="R420" s="63"/>
      <c r="S420" s="73"/>
      <c r="T420" s="73"/>
      <c r="U420" s="73"/>
      <c r="V420" s="73"/>
      <c r="W420" s="73"/>
      <c r="X420" s="52" t="s">
        <v>1866</v>
      </c>
      <c r="Y420" s="54" t="s">
        <v>1454</v>
      </c>
      <c r="Z420" s="54" t="s">
        <v>1454</v>
      </c>
      <c r="AA420" s="62" t="s">
        <v>1454</v>
      </c>
      <c r="AC420" s="24"/>
    </row>
    <row r="421" spans="2:29" ht="120" customHeight="1" x14ac:dyDescent="0.25">
      <c r="B421" s="52" t="s">
        <v>61</v>
      </c>
      <c r="C421" s="52" t="s">
        <v>1864</v>
      </c>
      <c r="D421" s="52" t="s">
        <v>1865</v>
      </c>
      <c r="E421" s="53">
        <v>1</v>
      </c>
      <c r="F421" s="52" t="s">
        <v>1940</v>
      </c>
      <c r="G421" s="52" t="s">
        <v>1941</v>
      </c>
      <c r="H421" s="52" t="s">
        <v>262</v>
      </c>
      <c r="I421" s="53">
        <v>29</v>
      </c>
      <c r="J421" s="52" t="s">
        <v>263</v>
      </c>
      <c r="K421" s="53">
        <v>23</v>
      </c>
      <c r="L421" s="53">
        <v>6</v>
      </c>
      <c r="M421" s="54" t="s">
        <v>1942</v>
      </c>
      <c r="N421" s="54"/>
      <c r="O421" s="53"/>
      <c r="P421" s="52"/>
      <c r="Q421" s="54"/>
      <c r="R421" s="55"/>
      <c r="S421" s="53"/>
      <c r="T421" s="55"/>
      <c r="U421" s="55"/>
      <c r="V421" s="53"/>
      <c r="W421" s="53"/>
      <c r="X421" s="52" t="s">
        <v>1866</v>
      </c>
      <c r="Y421" s="54" t="s">
        <v>1943</v>
      </c>
      <c r="Z421" s="52" t="s">
        <v>1944</v>
      </c>
      <c r="AA421" s="62" t="s">
        <v>351</v>
      </c>
      <c r="AC421" s="24"/>
    </row>
    <row r="422" spans="2:29" ht="120" customHeight="1" x14ac:dyDescent="0.25">
      <c r="B422" s="52" t="s">
        <v>61</v>
      </c>
      <c r="C422" s="52" t="s">
        <v>1864</v>
      </c>
      <c r="D422" s="52" t="s">
        <v>1865</v>
      </c>
      <c r="E422" s="53">
        <v>1</v>
      </c>
      <c r="F422" s="52" t="s">
        <v>1945</v>
      </c>
      <c r="G422" s="52" t="s">
        <v>1946</v>
      </c>
      <c r="H422" s="52" t="s">
        <v>262</v>
      </c>
      <c r="I422" s="53">
        <v>30</v>
      </c>
      <c r="J422" s="52" t="s">
        <v>263</v>
      </c>
      <c r="K422" s="53">
        <v>23</v>
      </c>
      <c r="L422" s="53">
        <v>6</v>
      </c>
      <c r="M422" s="54" t="s">
        <v>1947</v>
      </c>
      <c r="N422" s="54"/>
      <c r="O422" s="53"/>
      <c r="P422" s="52"/>
      <c r="Q422" s="54"/>
      <c r="R422" s="55"/>
      <c r="S422" s="53"/>
      <c r="T422" s="55"/>
      <c r="U422" s="55"/>
      <c r="V422" s="53"/>
      <c r="W422" s="53"/>
      <c r="X422" s="52" t="s">
        <v>1866</v>
      </c>
      <c r="Y422" s="54" t="s">
        <v>1943</v>
      </c>
      <c r="Z422" s="52" t="s">
        <v>1948</v>
      </c>
      <c r="AA422" s="62" t="s">
        <v>351</v>
      </c>
      <c r="AC422" s="24"/>
    </row>
    <row r="423" spans="2:29" ht="120" customHeight="1" x14ac:dyDescent="0.25">
      <c r="B423" s="52" t="s">
        <v>61</v>
      </c>
      <c r="C423" s="52" t="s">
        <v>1864</v>
      </c>
      <c r="D423" s="52" t="s">
        <v>1865</v>
      </c>
      <c r="E423" s="53">
        <v>1</v>
      </c>
      <c r="F423" s="52" t="s">
        <v>1949</v>
      </c>
      <c r="G423" s="52" t="s">
        <v>1950</v>
      </c>
      <c r="H423" s="52" t="s">
        <v>262</v>
      </c>
      <c r="I423" s="53">
        <v>31</v>
      </c>
      <c r="J423" s="52" t="s">
        <v>263</v>
      </c>
      <c r="K423" s="53">
        <v>23</v>
      </c>
      <c r="L423" s="53">
        <v>6</v>
      </c>
      <c r="M423" s="54" t="s">
        <v>1951</v>
      </c>
      <c r="N423" s="54"/>
      <c r="O423" s="53"/>
      <c r="P423" s="52"/>
      <c r="Q423" s="54"/>
      <c r="R423" s="55"/>
      <c r="S423" s="53"/>
      <c r="T423" s="55"/>
      <c r="U423" s="55"/>
      <c r="V423" s="53"/>
      <c r="W423" s="53"/>
      <c r="X423" s="52" t="s">
        <v>1866</v>
      </c>
      <c r="Y423" s="54" t="s">
        <v>1943</v>
      </c>
      <c r="Z423" s="52" t="s">
        <v>1952</v>
      </c>
      <c r="AA423" s="62" t="s">
        <v>351</v>
      </c>
      <c r="AC423" s="24"/>
    </row>
    <row r="424" spans="2:29" ht="120" customHeight="1" x14ac:dyDescent="0.25">
      <c r="B424" s="52" t="s">
        <v>61</v>
      </c>
      <c r="C424" s="52" t="s">
        <v>1864</v>
      </c>
      <c r="D424" s="52" t="s">
        <v>1865</v>
      </c>
      <c r="E424" s="53">
        <v>1</v>
      </c>
      <c r="F424" s="52" t="s">
        <v>1953</v>
      </c>
      <c r="G424" s="52" t="s">
        <v>1954</v>
      </c>
      <c r="H424" s="52" t="s">
        <v>262</v>
      </c>
      <c r="I424" s="53">
        <v>32</v>
      </c>
      <c r="J424" s="52" t="s">
        <v>263</v>
      </c>
      <c r="K424" s="53">
        <v>23</v>
      </c>
      <c r="L424" s="53">
        <v>6</v>
      </c>
      <c r="M424" s="54" t="s">
        <v>1955</v>
      </c>
      <c r="N424" s="54"/>
      <c r="O424" s="53"/>
      <c r="P424" s="52"/>
      <c r="Q424" s="54"/>
      <c r="R424" s="55"/>
      <c r="S424" s="53"/>
      <c r="T424" s="55"/>
      <c r="U424" s="55"/>
      <c r="V424" s="53"/>
      <c r="W424" s="53"/>
      <c r="X424" s="52" t="s">
        <v>1866</v>
      </c>
      <c r="Y424" s="54" t="s">
        <v>1943</v>
      </c>
      <c r="Z424" s="52" t="s">
        <v>1956</v>
      </c>
      <c r="AA424" s="62" t="s">
        <v>351</v>
      </c>
      <c r="AC424" s="24"/>
    </row>
    <row r="425" spans="2:29" ht="120" customHeight="1" x14ac:dyDescent="0.25">
      <c r="B425" s="266" t="s">
        <v>61</v>
      </c>
      <c r="C425" s="266" t="s">
        <v>1864</v>
      </c>
      <c r="D425" s="266" t="s">
        <v>1865</v>
      </c>
      <c r="E425" s="267">
        <v>1</v>
      </c>
      <c r="F425" s="266" t="s">
        <v>602</v>
      </c>
      <c r="G425" s="266" t="s">
        <v>603</v>
      </c>
      <c r="H425" s="268" t="s">
        <v>409</v>
      </c>
      <c r="I425" s="267">
        <v>33</v>
      </c>
      <c r="J425" s="266" t="s">
        <v>952</v>
      </c>
      <c r="K425" s="267">
        <v>10</v>
      </c>
      <c r="L425" s="267"/>
      <c r="M425" s="269" t="s">
        <v>1957</v>
      </c>
      <c r="N425" s="269"/>
      <c r="O425" s="267"/>
      <c r="P425" s="268"/>
      <c r="Q425" s="270"/>
      <c r="R425" s="266"/>
      <c r="S425" s="267"/>
      <c r="T425" s="267"/>
      <c r="U425" s="267"/>
      <c r="V425" s="267"/>
      <c r="W425" s="267"/>
      <c r="X425" s="266" t="s">
        <v>1866</v>
      </c>
      <c r="Y425" s="269" t="s">
        <v>1943</v>
      </c>
      <c r="Z425" s="269" t="s">
        <v>1958</v>
      </c>
      <c r="AA425" s="271" t="s">
        <v>351</v>
      </c>
      <c r="AC425" s="24"/>
    </row>
    <row r="426" spans="2:29" ht="120" customHeight="1" x14ac:dyDescent="0.25">
      <c r="B426" s="266" t="s">
        <v>61</v>
      </c>
      <c r="C426" s="266" t="s">
        <v>1864</v>
      </c>
      <c r="D426" s="266" t="s">
        <v>1865</v>
      </c>
      <c r="E426" s="267">
        <v>1</v>
      </c>
      <c r="F426" s="266" t="s">
        <v>1288</v>
      </c>
      <c r="G426" s="266" t="s">
        <v>1289</v>
      </c>
      <c r="H426" s="268" t="s">
        <v>262</v>
      </c>
      <c r="I426" s="267">
        <v>34</v>
      </c>
      <c r="J426" s="266" t="s">
        <v>263</v>
      </c>
      <c r="K426" s="267">
        <v>23</v>
      </c>
      <c r="L426" s="267">
        <v>6</v>
      </c>
      <c r="M426" s="269" t="s">
        <v>1959</v>
      </c>
      <c r="N426" s="269"/>
      <c r="O426" s="267"/>
      <c r="P426" s="268"/>
      <c r="Q426" s="270" t="s">
        <v>609</v>
      </c>
      <c r="R426" s="266" t="s">
        <v>1960</v>
      </c>
      <c r="S426" s="267"/>
      <c r="T426" s="267"/>
      <c r="U426" s="267"/>
      <c r="V426" s="267"/>
      <c r="W426" s="267"/>
      <c r="X426" s="266" t="s">
        <v>1866</v>
      </c>
      <c r="Y426" s="269" t="s">
        <v>1943</v>
      </c>
      <c r="Z426" s="269" t="s">
        <v>1961</v>
      </c>
      <c r="AA426" s="271" t="s">
        <v>351</v>
      </c>
      <c r="AC426" s="24"/>
    </row>
    <row r="427" spans="2:29" ht="120" customHeight="1" x14ac:dyDescent="0.25">
      <c r="B427" s="281" t="s">
        <v>61</v>
      </c>
      <c r="C427" s="281" t="s">
        <v>1864</v>
      </c>
      <c r="D427" s="281" t="s">
        <v>1865</v>
      </c>
      <c r="E427" s="282">
        <v>1</v>
      </c>
      <c r="F427" s="281" t="s">
        <v>1295</v>
      </c>
      <c r="G427" s="281" t="s">
        <v>1296</v>
      </c>
      <c r="H427" s="283" t="s">
        <v>409</v>
      </c>
      <c r="I427" s="282">
        <v>35</v>
      </c>
      <c r="J427" s="281" t="s">
        <v>263</v>
      </c>
      <c r="K427" s="282">
        <v>23</v>
      </c>
      <c r="L427" s="282">
        <v>6</v>
      </c>
      <c r="M427" s="284" t="s">
        <v>1962</v>
      </c>
      <c r="N427" s="284"/>
      <c r="O427" s="282"/>
      <c r="P427" s="283"/>
      <c r="Q427" s="285"/>
      <c r="R427" s="281"/>
      <c r="S427" s="281"/>
      <c r="T427" s="285"/>
      <c r="U427" s="285"/>
      <c r="V427" s="286"/>
      <c r="W427" s="287"/>
      <c r="X427" s="281" t="s">
        <v>1866</v>
      </c>
      <c r="Y427" s="284" t="s">
        <v>1943</v>
      </c>
      <c r="Z427" s="284" t="s">
        <v>1963</v>
      </c>
      <c r="AA427" s="286" t="s">
        <v>351</v>
      </c>
      <c r="AC427" s="24"/>
    </row>
    <row r="428" spans="2:29" ht="120" customHeight="1" x14ac:dyDescent="0.25">
      <c r="B428" s="281" t="s">
        <v>61</v>
      </c>
      <c r="C428" s="281" t="s">
        <v>1864</v>
      </c>
      <c r="D428" s="281" t="s">
        <v>1865</v>
      </c>
      <c r="E428" s="282">
        <v>1</v>
      </c>
      <c r="F428" s="281" t="s">
        <v>1302</v>
      </c>
      <c r="G428" s="281" t="s">
        <v>1303</v>
      </c>
      <c r="H428" s="283" t="s">
        <v>262</v>
      </c>
      <c r="I428" s="282">
        <v>36</v>
      </c>
      <c r="J428" s="281" t="s">
        <v>263</v>
      </c>
      <c r="K428" s="282">
        <v>23</v>
      </c>
      <c r="L428" s="282">
        <v>6</v>
      </c>
      <c r="M428" s="284" t="s">
        <v>1964</v>
      </c>
      <c r="N428" s="284"/>
      <c r="O428" s="282"/>
      <c r="P428" s="283"/>
      <c r="Q428" s="285"/>
      <c r="R428" s="281"/>
      <c r="S428" s="282"/>
      <c r="T428" s="282"/>
      <c r="U428" s="282"/>
      <c r="V428" s="282"/>
      <c r="W428" s="282"/>
      <c r="X428" s="281" t="s">
        <v>1866</v>
      </c>
      <c r="Y428" s="284" t="s">
        <v>1943</v>
      </c>
      <c r="Z428" s="285" t="s">
        <v>1965</v>
      </c>
      <c r="AA428" s="286" t="s">
        <v>351</v>
      </c>
      <c r="AC428" s="24"/>
    </row>
    <row r="429" spans="2:29" ht="120" customHeight="1" x14ac:dyDescent="0.25">
      <c r="B429" s="281" t="s">
        <v>61</v>
      </c>
      <c r="C429" s="281" t="s">
        <v>1864</v>
      </c>
      <c r="D429" s="281" t="s">
        <v>1865</v>
      </c>
      <c r="E429" s="282">
        <v>1</v>
      </c>
      <c r="F429" s="281" t="s">
        <v>1966</v>
      </c>
      <c r="G429" s="281" t="s">
        <v>1967</v>
      </c>
      <c r="H429" s="283" t="s">
        <v>262</v>
      </c>
      <c r="I429" s="282">
        <v>37</v>
      </c>
      <c r="J429" s="281" t="s">
        <v>263</v>
      </c>
      <c r="K429" s="282">
        <v>23</v>
      </c>
      <c r="L429" s="282">
        <v>6</v>
      </c>
      <c r="M429" s="284" t="s">
        <v>1968</v>
      </c>
      <c r="N429" s="284"/>
      <c r="O429" s="282"/>
      <c r="P429" s="283"/>
      <c r="Q429" s="291"/>
      <c r="R429" s="292"/>
      <c r="S429" s="287"/>
      <c r="T429" s="287"/>
      <c r="U429" s="287"/>
      <c r="V429" s="287"/>
      <c r="W429" s="287"/>
      <c r="X429" s="281" t="s">
        <v>1866</v>
      </c>
      <c r="Y429" s="284" t="s">
        <v>1943</v>
      </c>
      <c r="Z429" s="283" t="s">
        <v>1969</v>
      </c>
      <c r="AA429" s="286" t="s">
        <v>351</v>
      </c>
      <c r="AC429" s="24"/>
    </row>
    <row r="430" spans="2:29" ht="120" customHeight="1" x14ac:dyDescent="0.25">
      <c r="B430" s="281" t="s">
        <v>61</v>
      </c>
      <c r="C430" s="281" t="s">
        <v>1864</v>
      </c>
      <c r="D430" s="281" t="s">
        <v>1865</v>
      </c>
      <c r="E430" s="282">
        <v>1</v>
      </c>
      <c r="F430" s="281" t="s">
        <v>1970</v>
      </c>
      <c r="G430" s="281" t="s">
        <v>1971</v>
      </c>
      <c r="H430" s="283" t="s">
        <v>262</v>
      </c>
      <c r="I430" s="282">
        <v>38</v>
      </c>
      <c r="J430" s="281" t="s">
        <v>263</v>
      </c>
      <c r="K430" s="282">
        <v>23</v>
      </c>
      <c r="L430" s="282">
        <v>6</v>
      </c>
      <c r="M430" s="284" t="s">
        <v>1972</v>
      </c>
      <c r="N430" s="284"/>
      <c r="O430" s="282"/>
      <c r="P430" s="283"/>
      <c r="Q430" s="291"/>
      <c r="R430" s="292"/>
      <c r="S430" s="287"/>
      <c r="T430" s="287"/>
      <c r="U430" s="287"/>
      <c r="V430" s="287"/>
      <c r="W430" s="287"/>
      <c r="X430" s="281" t="s">
        <v>1866</v>
      </c>
      <c r="Y430" s="284" t="s">
        <v>1943</v>
      </c>
      <c r="Z430" s="283" t="s">
        <v>1973</v>
      </c>
      <c r="AA430" s="286" t="s">
        <v>351</v>
      </c>
      <c r="AC430" s="24"/>
    </row>
    <row r="431" spans="2:29" ht="120" customHeight="1" x14ac:dyDescent="0.25">
      <c r="B431" s="281" t="s">
        <v>61</v>
      </c>
      <c r="C431" s="281" t="s">
        <v>1864</v>
      </c>
      <c r="D431" s="281" t="s">
        <v>1865</v>
      </c>
      <c r="E431" s="282">
        <v>1</v>
      </c>
      <c r="F431" s="281" t="s">
        <v>1974</v>
      </c>
      <c r="G431" s="281" t="s">
        <v>1975</v>
      </c>
      <c r="H431" s="283" t="s">
        <v>262</v>
      </c>
      <c r="I431" s="282">
        <v>39</v>
      </c>
      <c r="J431" s="281" t="s">
        <v>263</v>
      </c>
      <c r="K431" s="282">
        <v>23</v>
      </c>
      <c r="L431" s="282">
        <v>6</v>
      </c>
      <c r="M431" s="284" t="s">
        <v>1976</v>
      </c>
      <c r="N431" s="284"/>
      <c r="O431" s="282"/>
      <c r="P431" s="283"/>
      <c r="Q431" s="291"/>
      <c r="R431" s="292"/>
      <c r="S431" s="287"/>
      <c r="T431" s="287"/>
      <c r="U431" s="287"/>
      <c r="V431" s="287"/>
      <c r="W431" s="287"/>
      <c r="X431" s="281" t="s">
        <v>1866</v>
      </c>
      <c r="Y431" s="284" t="s">
        <v>1943</v>
      </c>
      <c r="Z431" s="283" t="s">
        <v>1977</v>
      </c>
      <c r="AA431" s="286" t="s">
        <v>351</v>
      </c>
      <c r="AC431" s="24"/>
    </row>
    <row r="432" spans="2:29" ht="120" customHeight="1" x14ac:dyDescent="0.25">
      <c r="B432" s="68" t="s">
        <v>61</v>
      </c>
      <c r="C432" s="68" t="s">
        <v>1864</v>
      </c>
      <c r="D432" s="68" t="s">
        <v>1865</v>
      </c>
      <c r="E432" s="80">
        <v>1</v>
      </c>
      <c r="F432" s="257" t="s">
        <v>1308</v>
      </c>
      <c r="G432" s="68" t="s">
        <v>1309</v>
      </c>
      <c r="H432" s="77" t="s">
        <v>409</v>
      </c>
      <c r="I432" s="80">
        <v>40</v>
      </c>
      <c r="J432" s="68" t="s">
        <v>952</v>
      </c>
      <c r="K432" s="80">
        <v>10</v>
      </c>
      <c r="L432" s="80"/>
      <c r="M432" s="75" t="s">
        <v>1978</v>
      </c>
      <c r="N432" s="75"/>
      <c r="O432" s="80"/>
      <c r="P432" s="77"/>
      <c r="Q432" s="69" t="s">
        <v>609</v>
      </c>
      <c r="R432" s="68" t="s">
        <v>610</v>
      </c>
      <c r="S432" s="80"/>
      <c r="T432" s="80"/>
      <c r="U432" s="80"/>
      <c r="V432" s="80"/>
      <c r="W432" s="80"/>
      <c r="X432" s="68" t="s">
        <v>1866</v>
      </c>
      <c r="Y432" s="75" t="s">
        <v>1908</v>
      </c>
      <c r="Z432" s="75" t="s">
        <v>1979</v>
      </c>
      <c r="AA432" s="78" t="s">
        <v>351</v>
      </c>
      <c r="AC432" s="24"/>
    </row>
    <row r="433" spans="2:29" ht="120" customHeight="1" x14ac:dyDescent="0.25">
      <c r="B433" s="68" t="s">
        <v>61</v>
      </c>
      <c r="C433" s="68" t="s">
        <v>1864</v>
      </c>
      <c r="D433" s="68" t="s">
        <v>1865</v>
      </c>
      <c r="E433" s="80">
        <v>1</v>
      </c>
      <c r="F433" s="68" t="s">
        <v>1312</v>
      </c>
      <c r="G433" s="68" t="s">
        <v>1313</v>
      </c>
      <c r="H433" s="77" t="s">
        <v>262</v>
      </c>
      <c r="I433" s="80">
        <v>41</v>
      </c>
      <c r="J433" s="68" t="s">
        <v>263</v>
      </c>
      <c r="K433" s="80">
        <v>23</v>
      </c>
      <c r="L433" s="80">
        <v>6</v>
      </c>
      <c r="M433" s="75" t="s">
        <v>1980</v>
      </c>
      <c r="N433" s="75"/>
      <c r="O433" s="80"/>
      <c r="P433" s="77"/>
      <c r="Q433" s="69"/>
      <c r="R433" s="68"/>
      <c r="S433" s="80"/>
      <c r="T433" s="80"/>
      <c r="U433" s="80"/>
      <c r="V433" s="80"/>
      <c r="W433" s="80"/>
      <c r="X433" s="68" t="s">
        <v>1866</v>
      </c>
      <c r="Y433" s="75" t="s">
        <v>1908</v>
      </c>
      <c r="Z433" s="75" t="s">
        <v>1981</v>
      </c>
      <c r="AA433" s="78" t="s">
        <v>351</v>
      </c>
      <c r="AC433" s="24"/>
    </row>
    <row r="434" spans="2:29" ht="120" customHeight="1" x14ac:dyDescent="0.25">
      <c r="B434" s="68" t="s">
        <v>61</v>
      </c>
      <c r="C434" s="68" t="s">
        <v>1864</v>
      </c>
      <c r="D434" s="68" t="s">
        <v>1865</v>
      </c>
      <c r="E434" s="80">
        <v>1</v>
      </c>
      <c r="F434" s="68" t="s">
        <v>1982</v>
      </c>
      <c r="G434" s="68" t="s">
        <v>1983</v>
      </c>
      <c r="H434" s="77" t="s">
        <v>262</v>
      </c>
      <c r="I434" s="80">
        <v>42</v>
      </c>
      <c r="J434" s="68" t="s">
        <v>263</v>
      </c>
      <c r="K434" s="80">
        <v>23</v>
      </c>
      <c r="L434" s="80">
        <v>6</v>
      </c>
      <c r="M434" s="75" t="s">
        <v>1984</v>
      </c>
      <c r="N434" s="75"/>
      <c r="O434" s="80"/>
      <c r="P434" s="77"/>
      <c r="Q434" s="232"/>
      <c r="R434" s="91"/>
      <c r="S434" s="258"/>
      <c r="T434" s="258"/>
      <c r="U434" s="258"/>
      <c r="V434" s="258"/>
      <c r="W434" s="258"/>
      <c r="X434" s="68" t="s">
        <v>1866</v>
      </c>
      <c r="Y434" s="75" t="s">
        <v>1908</v>
      </c>
      <c r="Z434" s="77" t="s">
        <v>1985</v>
      </c>
      <c r="AA434" s="78" t="s">
        <v>351</v>
      </c>
      <c r="AC434" s="24"/>
    </row>
    <row r="435" spans="2:29" ht="120" customHeight="1" x14ac:dyDescent="0.25">
      <c r="B435" s="68" t="s">
        <v>61</v>
      </c>
      <c r="C435" s="68" t="s">
        <v>1864</v>
      </c>
      <c r="D435" s="68" t="s">
        <v>1865</v>
      </c>
      <c r="E435" s="80">
        <v>1</v>
      </c>
      <c r="F435" s="68" t="s">
        <v>1986</v>
      </c>
      <c r="G435" s="68" t="s">
        <v>1987</v>
      </c>
      <c r="H435" s="77" t="s">
        <v>262</v>
      </c>
      <c r="I435" s="80">
        <v>43</v>
      </c>
      <c r="J435" s="68" t="s">
        <v>263</v>
      </c>
      <c r="K435" s="80">
        <v>23</v>
      </c>
      <c r="L435" s="80">
        <v>6</v>
      </c>
      <c r="M435" s="75" t="s">
        <v>1988</v>
      </c>
      <c r="N435" s="75"/>
      <c r="O435" s="80"/>
      <c r="P435" s="77"/>
      <c r="Q435" s="232"/>
      <c r="R435" s="91"/>
      <c r="S435" s="258"/>
      <c r="T435" s="258"/>
      <c r="U435" s="258"/>
      <c r="V435" s="258"/>
      <c r="W435" s="258"/>
      <c r="X435" s="68" t="s">
        <v>1866</v>
      </c>
      <c r="Y435" s="75" t="s">
        <v>1908</v>
      </c>
      <c r="Z435" s="77" t="s">
        <v>1989</v>
      </c>
      <c r="AA435" s="78" t="s">
        <v>351</v>
      </c>
      <c r="AC435" s="24"/>
    </row>
    <row r="436" spans="2:29" ht="120" customHeight="1" x14ac:dyDescent="0.25">
      <c r="B436" s="272" t="s">
        <v>61</v>
      </c>
      <c r="C436" s="272" t="s">
        <v>1864</v>
      </c>
      <c r="D436" s="272" t="s">
        <v>1865</v>
      </c>
      <c r="E436" s="273">
        <v>1</v>
      </c>
      <c r="F436" s="272" t="s">
        <v>407</v>
      </c>
      <c r="G436" s="272" t="s">
        <v>1990</v>
      </c>
      <c r="H436" s="274" t="s">
        <v>409</v>
      </c>
      <c r="I436" s="273">
        <v>44</v>
      </c>
      <c r="J436" s="272" t="s">
        <v>952</v>
      </c>
      <c r="K436" s="273">
        <v>10</v>
      </c>
      <c r="L436" s="273"/>
      <c r="M436" s="275" t="s">
        <v>1991</v>
      </c>
      <c r="N436" s="275"/>
      <c r="O436" s="273"/>
      <c r="P436" s="274"/>
      <c r="Q436" s="276" t="s">
        <v>609</v>
      </c>
      <c r="R436" s="272" t="s">
        <v>610</v>
      </c>
      <c r="S436" s="273"/>
      <c r="T436" s="273"/>
      <c r="U436" s="273"/>
      <c r="V436" s="273"/>
      <c r="W436" s="273"/>
      <c r="X436" s="272" t="s">
        <v>1866</v>
      </c>
      <c r="Y436" s="275" t="s">
        <v>1908</v>
      </c>
      <c r="Z436" s="275" t="s">
        <v>1992</v>
      </c>
      <c r="AA436" s="277" t="s">
        <v>351</v>
      </c>
      <c r="AC436" s="24"/>
    </row>
    <row r="437" spans="2:29" ht="120" customHeight="1" x14ac:dyDescent="0.25">
      <c r="B437" s="272" t="s">
        <v>61</v>
      </c>
      <c r="C437" s="272" t="s">
        <v>1864</v>
      </c>
      <c r="D437" s="272" t="s">
        <v>1865</v>
      </c>
      <c r="E437" s="273">
        <v>1</v>
      </c>
      <c r="F437" s="272" t="s">
        <v>416</v>
      </c>
      <c r="G437" s="272" t="s">
        <v>1993</v>
      </c>
      <c r="H437" s="274" t="s">
        <v>262</v>
      </c>
      <c r="I437" s="273">
        <v>45</v>
      </c>
      <c r="J437" s="272" t="s">
        <v>263</v>
      </c>
      <c r="K437" s="273">
        <v>23</v>
      </c>
      <c r="L437" s="273">
        <v>6</v>
      </c>
      <c r="M437" s="275" t="s">
        <v>1994</v>
      </c>
      <c r="N437" s="275"/>
      <c r="O437" s="273"/>
      <c r="P437" s="274"/>
      <c r="Q437" s="276"/>
      <c r="R437" s="272"/>
      <c r="S437" s="273"/>
      <c r="T437" s="273"/>
      <c r="U437" s="273"/>
      <c r="V437" s="273"/>
      <c r="W437" s="273"/>
      <c r="X437" s="272" t="s">
        <v>1866</v>
      </c>
      <c r="Y437" s="275" t="s">
        <v>1908</v>
      </c>
      <c r="Z437" s="275" t="s">
        <v>1995</v>
      </c>
      <c r="AA437" s="277" t="s">
        <v>351</v>
      </c>
      <c r="AC437" s="24"/>
    </row>
    <row r="438" spans="2:29" ht="120" customHeight="1" x14ac:dyDescent="0.25">
      <c r="B438" s="272" t="s">
        <v>61</v>
      </c>
      <c r="C438" s="272" t="s">
        <v>1864</v>
      </c>
      <c r="D438" s="272" t="s">
        <v>1865</v>
      </c>
      <c r="E438" s="273">
        <v>1</v>
      </c>
      <c r="F438" s="272" t="s">
        <v>1324</v>
      </c>
      <c r="G438" s="272" t="s">
        <v>1325</v>
      </c>
      <c r="H438" s="274" t="s">
        <v>262</v>
      </c>
      <c r="I438" s="273">
        <v>46</v>
      </c>
      <c r="J438" s="272" t="s">
        <v>446</v>
      </c>
      <c r="K438" s="273"/>
      <c r="L438" s="273"/>
      <c r="M438" s="275" t="s">
        <v>1326</v>
      </c>
      <c r="N438" s="275"/>
      <c r="O438" s="273"/>
      <c r="P438" s="274"/>
      <c r="Q438" s="278"/>
      <c r="R438" s="279"/>
      <c r="S438" s="280"/>
      <c r="T438" s="280"/>
      <c r="U438" s="280"/>
      <c r="V438" s="280"/>
      <c r="W438" s="280"/>
      <c r="X438" s="272" t="s">
        <v>1866</v>
      </c>
      <c r="Y438" s="275" t="s">
        <v>1908</v>
      </c>
      <c r="Z438" s="275" t="s">
        <v>1996</v>
      </c>
      <c r="AA438" s="277" t="s">
        <v>351</v>
      </c>
      <c r="AC438" s="24"/>
    </row>
    <row r="439" spans="2:29" ht="120" customHeight="1" x14ac:dyDescent="0.25">
      <c r="B439" s="52" t="s">
        <v>61</v>
      </c>
      <c r="C439" s="52" t="s">
        <v>1864</v>
      </c>
      <c r="D439" s="52" t="s">
        <v>1865</v>
      </c>
      <c r="E439" s="53">
        <v>1</v>
      </c>
      <c r="F439" s="52" t="s">
        <v>1681</v>
      </c>
      <c r="G439" s="52" t="s">
        <v>1682</v>
      </c>
      <c r="H439" s="55" t="s">
        <v>1332</v>
      </c>
      <c r="I439" s="53">
        <v>47</v>
      </c>
      <c r="J439" s="52" t="s">
        <v>1637</v>
      </c>
      <c r="K439" s="53"/>
      <c r="L439" s="53"/>
      <c r="M439" s="54" t="s">
        <v>1835</v>
      </c>
      <c r="N439" s="54"/>
      <c r="O439" s="53"/>
      <c r="P439" s="54"/>
      <c r="Q439" s="54"/>
      <c r="R439" s="55"/>
      <c r="S439" s="52"/>
      <c r="T439" s="55"/>
      <c r="U439" s="55"/>
      <c r="V439" s="53"/>
      <c r="W439" s="53"/>
      <c r="X439" s="52" t="s">
        <v>1866</v>
      </c>
      <c r="Y439" s="54" t="s">
        <v>1867</v>
      </c>
      <c r="Z439" s="54" t="s">
        <v>1997</v>
      </c>
      <c r="AA439" s="62" t="s">
        <v>351</v>
      </c>
      <c r="AC439" s="24"/>
    </row>
    <row r="440" spans="2:29" ht="120" customHeight="1" x14ac:dyDescent="0.25">
      <c r="B440" s="52" t="s">
        <v>61</v>
      </c>
      <c r="C440" s="52" t="s">
        <v>1864</v>
      </c>
      <c r="D440" s="52" t="s">
        <v>1865</v>
      </c>
      <c r="E440" s="53">
        <v>1</v>
      </c>
      <c r="F440" s="52" t="s">
        <v>1687</v>
      </c>
      <c r="G440" s="52" t="s">
        <v>1688</v>
      </c>
      <c r="H440" s="55" t="s">
        <v>631</v>
      </c>
      <c r="I440" s="53">
        <v>48</v>
      </c>
      <c r="J440" s="52" t="s">
        <v>140</v>
      </c>
      <c r="K440" s="53">
        <v>20</v>
      </c>
      <c r="L440" s="53"/>
      <c r="M440" s="54" t="s">
        <v>1457</v>
      </c>
      <c r="N440" s="54"/>
      <c r="O440" s="53"/>
      <c r="P440" s="54" t="s">
        <v>1998</v>
      </c>
      <c r="Q440" s="54"/>
      <c r="R440" s="55"/>
      <c r="S440" s="52"/>
      <c r="T440" s="55"/>
      <c r="U440" s="55"/>
      <c r="V440" s="53"/>
      <c r="W440" s="53"/>
      <c r="X440" s="52" t="s">
        <v>1866</v>
      </c>
      <c r="Y440" s="54" t="s">
        <v>1943</v>
      </c>
      <c r="Z440" s="64" t="s">
        <v>1999</v>
      </c>
      <c r="AA440" s="62" t="s">
        <v>351</v>
      </c>
      <c r="AC440" s="24"/>
    </row>
    <row r="441" spans="2:29" ht="120" customHeight="1" x14ac:dyDescent="0.25">
      <c r="B441" s="52" t="s">
        <v>61</v>
      </c>
      <c r="C441" s="52" t="s">
        <v>1864</v>
      </c>
      <c r="D441" s="52" t="s">
        <v>1865</v>
      </c>
      <c r="E441" s="53">
        <v>1</v>
      </c>
      <c r="F441" s="52" t="s">
        <v>1694</v>
      </c>
      <c r="G441" s="52" t="s">
        <v>1695</v>
      </c>
      <c r="H441" s="55" t="s">
        <v>650</v>
      </c>
      <c r="I441" s="53">
        <v>49</v>
      </c>
      <c r="J441" s="52" t="s">
        <v>263</v>
      </c>
      <c r="K441" s="53">
        <v>23</v>
      </c>
      <c r="L441" s="53">
        <v>6</v>
      </c>
      <c r="M441" s="54" t="s">
        <v>1840</v>
      </c>
      <c r="N441" s="54"/>
      <c r="O441" s="53"/>
      <c r="P441" s="55"/>
      <c r="Q441" s="54"/>
      <c r="R441" s="55"/>
      <c r="S441" s="52"/>
      <c r="T441" s="55"/>
      <c r="U441" s="55"/>
      <c r="V441" s="53"/>
      <c r="W441" s="53"/>
      <c r="X441" s="52" t="s">
        <v>1866</v>
      </c>
      <c r="Y441" s="54" t="s">
        <v>1943</v>
      </c>
      <c r="Z441" s="54" t="s">
        <v>2000</v>
      </c>
      <c r="AA441" s="62" t="s">
        <v>351</v>
      </c>
      <c r="AC441" s="24"/>
    </row>
    <row r="442" spans="2:29" ht="120" customHeight="1" x14ac:dyDescent="0.25">
      <c r="B442" s="52" t="s">
        <v>61</v>
      </c>
      <c r="C442" s="52" t="s">
        <v>1864</v>
      </c>
      <c r="D442" s="52" t="s">
        <v>1865</v>
      </c>
      <c r="E442" s="53">
        <v>1</v>
      </c>
      <c r="F442" s="52" t="s">
        <v>1700</v>
      </c>
      <c r="G442" s="52" t="s">
        <v>1701</v>
      </c>
      <c r="H442" s="55" t="s">
        <v>650</v>
      </c>
      <c r="I442" s="53">
        <v>50</v>
      </c>
      <c r="J442" s="52" t="s">
        <v>263</v>
      </c>
      <c r="K442" s="53">
        <v>23</v>
      </c>
      <c r="L442" s="53">
        <v>6</v>
      </c>
      <c r="M442" s="54" t="s">
        <v>1464</v>
      </c>
      <c r="N442" s="54"/>
      <c r="O442" s="53"/>
      <c r="P442" s="55"/>
      <c r="Q442" s="54"/>
      <c r="R442" s="55"/>
      <c r="S442" s="52"/>
      <c r="T442" s="55"/>
      <c r="U442" s="55"/>
      <c r="V442" s="53"/>
      <c r="W442" s="53"/>
      <c r="X442" s="52" t="s">
        <v>1866</v>
      </c>
      <c r="Y442" s="54" t="s">
        <v>1943</v>
      </c>
      <c r="Z442" s="54" t="s">
        <v>2001</v>
      </c>
      <c r="AA442" s="62" t="s">
        <v>351</v>
      </c>
      <c r="AC442" s="24"/>
    </row>
    <row r="443" spans="2:29" ht="120" customHeight="1" x14ac:dyDescent="0.25">
      <c r="B443" s="52" t="s">
        <v>61</v>
      </c>
      <c r="C443" s="52" t="s">
        <v>1864</v>
      </c>
      <c r="D443" s="52" t="s">
        <v>1865</v>
      </c>
      <c r="E443" s="53">
        <v>1</v>
      </c>
      <c r="F443" s="52" t="s">
        <v>1336</v>
      </c>
      <c r="G443" s="52" t="s">
        <v>1337</v>
      </c>
      <c r="H443" s="55" t="s">
        <v>650</v>
      </c>
      <c r="I443" s="53">
        <v>51</v>
      </c>
      <c r="J443" s="52" t="s">
        <v>263</v>
      </c>
      <c r="K443" s="53">
        <v>23</v>
      </c>
      <c r="L443" s="53">
        <v>6</v>
      </c>
      <c r="M443" s="54" t="s">
        <v>1845</v>
      </c>
      <c r="N443" s="54" t="s">
        <v>1339</v>
      </c>
      <c r="O443" s="53"/>
      <c r="P443" s="52"/>
      <c r="Q443" s="56" t="s">
        <v>668</v>
      </c>
      <c r="R443" s="52" t="s">
        <v>1340</v>
      </c>
      <c r="S443" s="53"/>
      <c r="T443" s="53"/>
      <c r="U443" s="53"/>
      <c r="V443" s="53"/>
      <c r="W443" s="53"/>
      <c r="X443" s="52" t="s">
        <v>1866</v>
      </c>
      <c r="Y443" s="54" t="s">
        <v>1867</v>
      </c>
      <c r="Z443" s="54" t="s">
        <v>2002</v>
      </c>
      <c r="AA443" s="62" t="s">
        <v>351</v>
      </c>
      <c r="AC443" s="24"/>
    </row>
    <row r="444" spans="2:29" ht="120" customHeight="1" x14ac:dyDescent="0.25">
      <c r="B444" s="52" t="s">
        <v>61</v>
      </c>
      <c r="C444" s="52" t="s">
        <v>1864</v>
      </c>
      <c r="D444" s="52" t="s">
        <v>1865</v>
      </c>
      <c r="E444" s="53">
        <v>1</v>
      </c>
      <c r="F444" s="52" t="s">
        <v>629</v>
      </c>
      <c r="G444" s="52" t="s">
        <v>1345</v>
      </c>
      <c r="H444" s="55" t="s">
        <v>631</v>
      </c>
      <c r="I444" s="53">
        <v>52</v>
      </c>
      <c r="J444" s="52" t="s">
        <v>140</v>
      </c>
      <c r="K444" s="53">
        <v>3</v>
      </c>
      <c r="L444" s="53"/>
      <c r="M444" s="54" t="s">
        <v>1848</v>
      </c>
      <c r="N444" s="54"/>
      <c r="O444" s="53"/>
      <c r="P444" s="54" t="s">
        <v>891</v>
      </c>
      <c r="Q444" s="54"/>
      <c r="R444" s="55"/>
      <c r="S444" s="52"/>
      <c r="T444" s="55"/>
      <c r="U444" s="55"/>
      <c r="V444" s="53"/>
      <c r="W444" s="53"/>
      <c r="X444" s="52" t="s">
        <v>1866</v>
      </c>
      <c r="Y444" s="54" t="s">
        <v>1867</v>
      </c>
      <c r="Z444" s="54" t="s">
        <v>2003</v>
      </c>
      <c r="AA444" s="62" t="s">
        <v>351</v>
      </c>
      <c r="AC444" s="24"/>
    </row>
    <row r="445" spans="2:29" ht="120" customHeight="1" x14ac:dyDescent="0.25">
      <c r="B445" s="52" t="s">
        <v>61</v>
      </c>
      <c r="C445" s="52" t="s">
        <v>1864</v>
      </c>
      <c r="D445" s="52" t="s">
        <v>1865</v>
      </c>
      <c r="E445" s="53">
        <v>1</v>
      </c>
      <c r="F445" s="52" t="s">
        <v>639</v>
      </c>
      <c r="G445" s="52" t="s">
        <v>640</v>
      </c>
      <c r="H445" s="55" t="s">
        <v>631</v>
      </c>
      <c r="I445" s="53">
        <v>53</v>
      </c>
      <c r="J445" s="52" t="s">
        <v>140</v>
      </c>
      <c r="K445" s="53">
        <v>20</v>
      </c>
      <c r="L445" s="53"/>
      <c r="M445" s="54" t="s">
        <v>1472</v>
      </c>
      <c r="N445" s="54"/>
      <c r="O445" s="53"/>
      <c r="P445" s="54" t="s">
        <v>2004</v>
      </c>
      <c r="Q445" s="54"/>
      <c r="R445" s="55"/>
      <c r="S445" s="52"/>
      <c r="T445" s="55"/>
      <c r="U445" s="55"/>
      <c r="V445" s="53"/>
      <c r="W445" s="53"/>
      <c r="X445" s="52" t="s">
        <v>1866</v>
      </c>
      <c r="Y445" s="54" t="s">
        <v>1943</v>
      </c>
      <c r="Z445" s="54" t="s">
        <v>2005</v>
      </c>
      <c r="AA445" s="62" t="s">
        <v>351</v>
      </c>
      <c r="AC445" s="24"/>
    </row>
    <row r="446" spans="2:29" ht="120" customHeight="1" x14ac:dyDescent="0.25">
      <c r="B446" s="52" t="s">
        <v>61</v>
      </c>
      <c r="C446" s="52" t="s">
        <v>1864</v>
      </c>
      <c r="D446" s="52" t="s">
        <v>1865</v>
      </c>
      <c r="E446" s="53">
        <v>1</v>
      </c>
      <c r="F446" s="52" t="s">
        <v>648</v>
      </c>
      <c r="G446" s="52" t="s">
        <v>649</v>
      </c>
      <c r="H446" s="55" t="s">
        <v>650</v>
      </c>
      <c r="I446" s="53">
        <v>54</v>
      </c>
      <c r="J446" s="52" t="s">
        <v>263</v>
      </c>
      <c r="K446" s="53">
        <v>23</v>
      </c>
      <c r="L446" s="53">
        <v>6</v>
      </c>
      <c r="M446" s="54" t="s">
        <v>1853</v>
      </c>
      <c r="N446" s="54"/>
      <c r="O446" s="53"/>
      <c r="P446" s="55"/>
      <c r="Q446" s="54"/>
      <c r="R446" s="55"/>
      <c r="S446" s="52"/>
      <c r="T446" s="55"/>
      <c r="U446" s="55"/>
      <c r="V446" s="53"/>
      <c r="W446" s="53"/>
      <c r="X446" s="52" t="s">
        <v>1866</v>
      </c>
      <c r="Y446" s="54" t="s">
        <v>1943</v>
      </c>
      <c r="Z446" s="54" t="s">
        <v>2006</v>
      </c>
      <c r="AA446" s="62" t="s">
        <v>351</v>
      </c>
      <c r="AC446" s="24"/>
    </row>
    <row r="447" spans="2:29" ht="120" customHeight="1" x14ac:dyDescent="0.25">
      <c r="B447" s="52" t="s">
        <v>61</v>
      </c>
      <c r="C447" s="52" t="s">
        <v>1864</v>
      </c>
      <c r="D447" s="52" t="s">
        <v>1865</v>
      </c>
      <c r="E447" s="53">
        <v>1</v>
      </c>
      <c r="F447" s="52" t="s">
        <v>657</v>
      </c>
      <c r="G447" s="52" t="s">
        <v>658</v>
      </c>
      <c r="H447" s="55" t="s">
        <v>650</v>
      </c>
      <c r="I447" s="53">
        <v>55</v>
      </c>
      <c r="J447" s="52" t="s">
        <v>263</v>
      </c>
      <c r="K447" s="53">
        <v>23</v>
      </c>
      <c r="L447" s="53">
        <v>6</v>
      </c>
      <c r="M447" s="54" t="s">
        <v>659</v>
      </c>
      <c r="N447" s="54"/>
      <c r="O447" s="53"/>
      <c r="P447" s="55"/>
      <c r="Q447" s="54"/>
      <c r="R447" s="55"/>
      <c r="S447" s="52"/>
      <c r="T447" s="55"/>
      <c r="U447" s="55"/>
      <c r="V447" s="53"/>
      <c r="W447" s="53"/>
      <c r="X447" s="52" t="s">
        <v>1866</v>
      </c>
      <c r="Y447" s="54" t="s">
        <v>1867</v>
      </c>
      <c r="Z447" s="54" t="s">
        <v>2007</v>
      </c>
      <c r="AA447" s="62" t="s">
        <v>351</v>
      </c>
      <c r="AC447" s="24"/>
    </row>
    <row r="448" spans="2:29" ht="120" customHeight="1" x14ac:dyDescent="0.25">
      <c r="B448" s="52" t="s">
        <v>61</v>
      </c>
      <c r="C448" s="52" t="s">
        <v>1864</v>
      </c>
      <c r="D448" s="52" t="s">
        <v>1865</v>
      </c>
      <c r="E448" s="53">
        <v>1</v>
      </c>
      <c r="F448" s="52" t="s">
        <v>664</v>
      </c>
      <c r="G448" s="52" t="s">
        <v>665</v>
      </c>
      <c r="H448" s="55" t="s">
        <v>650</v>
      </c>
      <c r="I448" s="53">
        <v>56</v>
      </c>
      <c r="J448" s="52" t="s">
        <v>263</v>
      </c>
      <c r="K448" s="53">
        <v>23</v>
      </c>
      <c r="L448" s="53">
        <v>6</v>
      </c>
      <c r="M448" s="54" t="s">
        <v>1858</v>
      </c>
      <c r="N448" s="54" t="s">
        <v>667</v>
      </c>
      <c r="O448" s="53"/>
      <c r="P448" s="52"/>
      <c r="Q448" s="56" t="s">
        <v>668</v>
      </c>
      <c r="R448" s="52" t="s">
        <v>669</v>
      </c>
      <c r="S448" s="53"/>
      <c r="T448" s="53"/>
      <c r="U448" s="53"/>
      <c r="V448" s="53"/>
      <c r="W448" s="53"/>
      <c r="X448" s="52" t="s">
        <v>1866</v>
      </c>
      <c r="Y448" s="54" t="s">
        <v>1867</v>
      </c>
      <c r="Z448" s="54" t="s">
        <v>2008</v>
      </c>
      <c r="AA448" s="62" t="s">
        <v>351</v>
      </c>
      <c r="AC448" s="24"/>
    </row>
    <row r="449" spans="2:29" ht="120" customHeight="1" x14ac:dyDescent="0.25">
      <c r="B449" s="52" t="s">
        <v>61</v>
      </c>
      <c r="C449" s="52" t="s">
        <v>1864</v>
      </c>
      <c r="D449" s="52" t="s">
        <v>1865</v>
      </c>
      <c r="E449" s="53">
        <v>1</v>
      </c>
      <c r="F449" s="52" t="s">
        <v>301</v>
      </c>
      <c r="G449" s="52" t="s">
        <v>302</v>
      </c>
      <c r="H449" s="55" t="s">
        <v>303</v>
      </c>
      <c r="I449" s="53">
        <v>57</v>
      </c>
      <c r="J449" s="52" t="s">
        <v>140</v>
      </c>
      <c r="K449" s="53">
        <v>3</v>
      </c>
      <c r="L449" s="53"/>
      <c r="M449" s="54" t="s">
        <v>304</v>
      </c>
      <c r="N449" s="54" t="s">
        <v>305</v>
      </c>
      <c r="O449" s="53"/>
      <c r="P449" s="54" t="s">
        <v>2009</v>
      </c>
      <c r="Q449" s="56" t="s">
        <v>307</v>
      </c>
      <c r="R449" s="52" t="s">
        <v>308</v>
      </c>
      <c r="S449" s="53"/>
      <c r="T449" s="53"/>
      <c r="U449" s="53"/>
      <c r="V449" s="53"/>
      <c r="W449" s="53"/>
      <c r="X449" s="52" t="s">
        <v>1866</v>
      </c>
      <c r="Y449" s="54" t="s">
        <v>1867</v>
      </c>
      <c r="Z449" s="54" t="s">
        <v>1903</v>
      </c>
      <c r="AA449" s="62" t="s">
        <v>351</v>
      </c>
      <c r="AC449" s="24"/>
    </row>
    <row r="450" spans="2:29" ht="120" customHeight="1" x14ac:dyDescent="0.25">
      <c r="B450" s="52" t="s">
        <v>61</v>
      </c>
      <c r="C450" s="52" t="s">
        <v>1864</v>
      </c>
      <c r="D450" s="52" t="s">
        <v>1865</v>
      </c>
      <c r="E450" s="53">
        <v>1</v>
      </c>
      <c r="F450" s="52" t="s">
        <v>311</v>
      </c>
      <c r="G450" s="52" t="s">
        <v>312</v>
      </c>
      <c r="H450" s="55" t="s">
        <v>303</v>
      </c>
      <c r="I450" s="53">
        <v>58</v>
      </c>
      <c r="J450" s="52" t="s">
        <v>140</v>
      </c>
      <c r="K450" s="53">
        <v>3</v>
      </c>
      <c r="L450" s="53"/>
      <c r="M450" s="54" t="s">
        <v>313</v>
      </c>
      <c r="N450" s="54" t="s">
        <v>314</v>
      </c>
      <c r="O450" s="53"/>
      <c r="P450" s="56" t="s">
        <v>1545</v>
      </c>
      <c r="Q450" s="56" t="s">
        <v>219</v>
      </c>
      <c r="R450" s="52" t="s">
        <v>316</v>
      </c>
      <c r="S450" s="53"/>
      <c r="T450" s="53"/>
      <c r="U450" s="53"/>
      <c r="V450" s="98"/>
      <c r="W450" s="53"/>
      <c r="X450" s="52" t="s">
        <v>2010</v>
      </c>
      <c r="Y450" s="54" t="s">
        <v>2011</v>
      </c>
      <c r="Z450" s="54" t="s">
        <v>2012</v>
      </c>
      <c r="AA450" s="62" t="s">
        <v>351</v>
      </c>
      <c r="AC450" s="24"/>
    </row>
    <row r="451" spans="2:29" ht="120" customHeight="1" x14ac:dyDescent="0.25">
      <c r="B451" s="52" t="s">
        <v>61</v>
      </c>
      <c r="C451" s="52" t="s">
        <v>1864</v>
      </c>
      <c r="D451" s="52" t="s">
        <v>1865</v>
      </c>
      <c r="E451" s="53">
        <v>1</v>
      </c>
      <c r="F451" s="52" t="s">
        <v>322</v>
      </c>
      <c r="G451" s="52" t="s">
        <v>323</v>
      </c>
      <c r="H451" s="52" t="s">
        <v>324</v>
      </c>
      <c r="I451" s="53">
        <v>59</v>
      </c>
      <c r="J451" s="52" t="s">
        <v>140</v>
      </c>
      <c r="K451" s="53">
        <v>2</v>
      </c>
      <c r="L451" s="53"/>
      <c r="M451" s="54" t="s">
        <v>325</v>
      </c>
      <c r="N451" s="54"/>
      <c r="O451" s="53"/>
      <c r="P451" s="54" t="s">
        <v>1553</v>
      </c>
      <c r="Q451" s="56"/>
      <c r="R451" s="52"/>
      <c r="S451" s="53"/>
      <c r="T451" s="53"/>
      <c r="U451" s="53"/>
      <c r="V451" s="53"/>
      <c r="W451" s="53"/>
      <c r="X451" s="52" t="s">
        <v>1866</v>
      </c>
      <c r="Y451" s="55" t="s">
        <v>351</v>
      </c>
      <c r="Z451" s="55" t="s">
        <v>351</v>
      </c>
      <c r="AA451" s="62" t="s">
        <v>2013</v>
      </c>
      <c r="AC451" s="24"/>
    </row>
    <row r="452" spans="2:29" ht="120" customHeight="1" x14ac:dyDescent="0.25">
      <c r="B452" s="52" t="s">
        <v>61</v>
      </c>
      <c r="C452" s="52" t="s">
        <v>1864</v>
      </c>
      <c r="D452" s="52" t="s">
        <v>1865</v>
      </c>
      <c r="E452" s="53">
        <v>1</v>
      </c>
      <c r="F452" s="52" t="s">
        <v>329</v>
      </c>
      <c r="G452" s="52" t="s">
        <v>330</v>
      </c>
      <c r="H452" s="52" t="s">
        <v>331</v>
      </c>
      <c r="I452" s="53">
        <v>60</v>
      </c>
      <c r="J452" s="52" t="s">
        <v>140</v>
      </c>
      <c r="K452" s="53">
        <v>10</v>
      </c>
      <c r="L452" s="53"/>
      <c r="M452" s="54" t="s">
        <v>332</v>
      </c>
      <c r="N452" s="54" t="s">
        <v>333</v>
      </c>
      <c r="O452" s="53" t="s">
        <v>142</v>
      </c>
      <c r="P452" s="52"/>
      <c r="Q452" s="56" t="s">
        <v>284</v>
      </c>
      <c r="R452" s="52" t="s">
        <v>685</v>
      </c>
      <c r="S452" s="52"/>
      <c r="T452" s="53"/>
      <c r="U452" s="53"/>
      <c r="V452" s="53"/>
      <c r="W452" s="53"/>
      <c r="X452" s="55" t="s">
        <v>351</v>
      </c>
      <c r="Y452" s="55" t="s">
        <v>351</v>
      </c>
      <c r="Z452" s="55" t="s">
        <v>351</v>
      </c>
      <c r="AA452" s="62" t="s">
        <v>351</v>
      </c>
      <c r="AC452" s="24"/>
    </row>
    <row r="453" spans="2:29" ht="120" customHeight="1" x14ac:dyDescent="0.25">
      <c r="B453" s="52" t="s">
        <v>61</v>
      </c>
      <c r="C453" s="52" t="s">
        <v>1864</v>
      </c>
      <c r="D453" s="52" t="s">
        <v>1865</v>
      </c>
      <c r="E453" s="53">
        <v>1</v>
      </c>
      <c r="F453" s="52" t="s">
        <v>336</v>
      </c>
      <c r="G453" s="52" t="s">
        <v>337</v>
      </c>
      <c r="H453" s="52" t="s">
        <v>338</v>
      </c>
      <c r="I453" s="53">
        <v>61</v>
      </c>
      <c r="J453" s="52" t="s">
        <v>339</v>
      </c>
      <c r="K453" s="53">
        <v>23</v>
      </c>
      <c r="L453" s="53"/>
      <c r="M453" s="54" t="s">
        <v>340</v>
      </c>
      <c r="N453" s="54" t="s">
        <v>341</v>
      </c>
      <c r="O453" s="53"/>
      <c r="P453" s="52"/>
      <c r="Q453" s="56"/>
      <c r="R453" s="52"/>
      <c r="S453" s="53"/>
      <c r="T453" s="53"/>
      <c r="U453" s="53"/>
      <c r="V453" s="53"/>
      <c r="W453" s="53"/>
      <c r="X453" s="55" t="s">
        <v>351</v>
      </c>
      <c r="Y453" s="55" t="s">
        <v>351</v>
      </c>
      <c r="Z453" s="55" t="s">
        <v>351</v>
      </c>
      <c r="AA453" s="62" t="s">
        <v>351</v>
      </c>
      <c r="AC453" s="24"/>
    </row>
    <row r="454" spans="2:29" ht="120" customHeight="1" x14ac:dyDescent="0.25">
      <c r="B454" s="52" t="s">
        <v>71</v>
      </c>
      <c r="C454" s="52" t="s">
        <v>2014</v>
      </c>
      <c r="D454" s="52" t="s">
        <v>2015</v>
      </c>
      <c r="E454" s="53">
        <v>1</v>
      </c>
      <c r="F454" s="52" t="s">
        <v>137</v>
      </c>
      <c r="G454" s="52" t="s">
        <v>138</v>
      </c>
      <c r="H454" s="52" t="s">
        <v>139</v>
      </c>
      <c r="I454" s="53">
        <v>1</v>
      </c>
      <c r="J454" s="52" t="s">
        <v>140</v>
      </c>
      <c r="K454" s="53">
        <v>4</v>
      </c>
      <c r="L454" s="53"/>
      <c r="M454" s="54" t="s">
        <v>141</v>
      </c>
      <c r="N454" s="54"/>
      <c r="O454" s="53" t="s">
        <v>142</v>
      </c>
      <c r="P454" s="52"/>
      <c r="Q454" s="56" t="s">
        <v>1200</v>
      </c>
      <c r="R454" s="56" t="s">
        <v>1201</v>
      </c>
      <c r="S454" s="53"/>
      <c r="T454" s="53"/>
      <c r="U454" s="53"/>
      <c r="V454" s="53"/>
      <c r="W454" s="53"/>
      <c r="X454" s="56" t="s">
        <v>2016</v>
      </c>
      <c r="Y454" s="54" t="s">
        <v>2017</v>
      </c>
      <c r="Z454" s="54" t="s">
        <v>2018</v>
      </c>
      <c r="AA454" s="62" t="s">
        <v>2019</v>
      </c>
      <c r="AC454" s="24"/>
    </row>
    <row r="455" spans="2:29" ht="120" customHeight="1" x14ac:dyDescent="0.25">
      <c r="B455" s="52" t="s">
        <v>71</v>
      </c>
      <c r="C455" s="52" t="s">
        <v>2014</v>
      </c>
      <c r="D455" s="52" t="s">
        <v>2015</v>
      </c>
      <c r="E455" s="53">
        <v>1</v>
      </c>
      <c r="F455" s="52" t="s">
        <v>152</v>
      </c>
      <c r="G455" s="52" t="s">
        <v>153</v>
      </c>
      <c r="H455" s="52" t="s">
        <v>139</v>
      </c>
      <c r="I455" s="53">
        <v>2</v>
      </c>
      <c r="J455" s="52" t="s">
        <v>140</v>
      </c>
      <c r="K455" s="53">
        <v>30</v>
      </c>
      <c r="L455" s="53"/>
      <c r="M455" s="54" t="s">
        <v>154</v>
      </c>
      <c r="N455" s="54" t="s">
        <v>155</v>
      </c>
      <c r="O455" s="53" t="s">
        <v>142</v>
      </c>
      <c r="P455" s="52"/>
      <c r="Q455" s="56" t="s">
        <v>1200</v>
      </c>
      <c r="R455" s="56" t="s">
        <v>1201</v>
      </c>
      <c r="S455" s="53"/>
      <c r="T455" s="53"/>
      <c r="U455" s="53"/>
      <c r="V455" s="53"/>
      <c r="W455" s="53"/>
      <c r="X455" s="56" t="s">
        <v>2020</v>
      </c>
      <c r="Y455" s="54" t="s">
        <v>2021</v>
      </c>
      <c r="Z455" s="54" t="s">
        <v>2022</v>
      </c>
      <c r="AA455" s="62" t="s">
        <v>2023</v>
      </c>
      <c r="AC455" s="24"/>
    </row>
    <row r="456" spans="2:29" ht="120" customHeight="1" x14ac:dyDescent="0.25">
      <c r="B456" s="52" t="s">
        <v>71</v>
      </c>
      <c r="C456" s="52" t="s">
        <v>2014</v>
      </c>
      <c r="D456" s="52" t="s">
        <v>2015</v>
      </c>
      <c r="E456" s="53">
        <v>1</v>
      </c>
      <c r="F456" s="52" t="s">
        <v>164</v>
      </c>
      <c r="G456" s="52" t="s">
        <v>165</v>
      </c>
      <c r="H456" s="55" t="s">
        <v>166</v>
      </c>
      <c r="I456" s="53">
        <v>3</v>
      </c>
      <c r="J456" s="52" t="s">
        <v>140</v>
      </c>
      <c r="K456" s="53">
        <v>20</v>
      </c>
      <c r="L456" s="53"/>
      <c r="M456" s="54" t="s">
        <v>167</v>
      </c>
      <c r="N456" s="54" t="s">
        <v>168</v>
      </c>
      <c r="O456" s="53"/>
      <c r="P456" s="54" t="s">
        <v>971</v>
      </c>
      <c r="Q456" s="56"/>
      <c r="R456" s="52"/>
      <c r="S456" s="53"/>
      <c r="T456" s="53"/>
      <c r="U456" s="53"/>
      <c r="V456" s="53"/>
      <c r="W456" s="53"/>
      <c r="X456" s="56" t="s">
        <v>450</v>
      </c>
      <c r="Y456" s="56" t="s">
        <v>450</v>
      </c>
      <c r="Z456" s="56" t="s">
        <v>450</v>
      </c>
      <c r="AA456" s="62" t="s">
        <v>450</v>
      </c>
      <c r="AC456" s="24"/>
    </row>
    <row r="457" spans="2:29" ht="120" customHeight="1" x14ac:dyDescent="0.25">
      <c r="B457" s="52" t="s">
        <v>71</v>
      </c>
      <c r="C457" s="52" t="s">
        <v>2014</v>
      </c>
      <c r="D457" s="52" t="s">
        <v>2015</v>
      </c>
      <c r="E457" s="53">
        <v>1</v>
      </c>
      <c r="F457" s="52" t="s">
        <v>172</v>
      </c>
      <c r="G457" s="52" t="s">
        <v>173</v>
      </c>
      <c r="H457" s="55" t="s">
        <v>166</v>
      </c>
      <c r="I457" s="53">
        <v>4</v>
      </c>
      <c r="J457" s="52" t="s">
        <v>140</v>
      </c>
      <c r="K457" s="53">
        <v>20</v>
      </c>
      <c r="L457" s="53"/>
      <c r="M457" s="54" t="s">
        <v>174</v>
      </c>
      <c r="N457" s="54" t="s">
        <v>175</v>
      </c>
      <c r="O457" s="53"/>
      <c r="P457" s="56" t="s">
        <v>2024</v>
      </c>
      <c r="Q457" s="56" t="s">
        <v>177</v>
      </c>
      <c r="R457" s="56" t="s">
        <v>178</v>
      </c>
      <c r="S457" s="53"/>
      <c r="T457" s="53"/>
      <c r="U457" s="53"/>
      <c r="V457" s="53"/>
      <c r="W457" s="53"/>
      <c r="X457" s="56" t="s">
        <v>2020</v>
      </c>
      <c r="Y457" s="67" t="s">
        <v>2025</v>
      </c>
      <c r="Z457" s="83" t="s">
        <v>2026</v>
      </c>
      <c r="AA457" s="62" t="s">
        <v>2023</v>
      </c>
      <c r="AC457" s="24"/>
    </row>
    <row r="458" spans="2:29" ht="120" customHeight="1" x14ac:dyDescent="0.25">
      <c r="B458" s="52" t="s">
        <v>71</v>
      </c>
      <c r="C458" s="52" t="s">
        <v>2014</v>
      </c>
      <c r="D458" s="52" t="s">
        <v>2015</v>
      </c>
      <c r="E458" s="53">
        <v>1</v>
      </c>
      <c r="F458" s="52" t="s">
        <v>184</v>
      </c>
      <c r="G458" s="52" t="s">
        <v>185</v>
      </c>
      <c r="H458" s="55" t="s">
        <v>166</v>
      </c>
      <c r="I458" s="53">
        <v>5</v>
      </c>
      <c r="J458" s="52" t="s">
        <v>140</v>
      </c>
      <c r="K458" s="53">
        <v>20</v>
      </c>
      <c r="L458" s="53"/>
      <c r="M458" s="54" t="s">
        <v>186</v>
      </c>
      <c r="N458" s="54" t="s">
        <v>187</v>
      </c>
      <c r="O458" s="53"/>
      <c r="P458" s="56" t="s">
        <v>2027</v>
      </c>
      <c r="Q458" s="56" t="s">
        <v>177</v>
      </c>
      <c r="R458" s="56" t="s">
        <v>189</v>
      </c>
      <c r="S458" s="53"/>
      <c r="T458" s="53"/>
      <c r="U458" s="53"/>
      <c r="V458" s="53"/>
      <c r="W458" s="53"/>
      <c r="X458" s="56" t="s">
        <v>2020</v>
      </c>
      <c r="Y458" s="67" t="s">
        <v>2025</v>
      </c>
      <c r="Z458" s="85" t="s">
        <v>2028</v>
      </c>
      <c r="AA458" s="62" t="s">
        <v>2023</v>
      </c>
      <c r="AC458" s="24"/>
    </row>
    <row r="459" spans="2:29" ht="120" customHeight="1" x14ac:dyDescent="0.25">
      <c r="B459" s="52" t="s">
        <v>71</v>
      </c>
      <c r="C459" s="52" t="s">
        <v>2014</v>
      </c>
      <c r="D459" s="52" t="s">
        <v>2015</v>
      </c>
      <c r="E459" s="53">
        <v>1</v>
      </c>
      <c r="F459" s="52" t="s">
        <v>193</v>
      </c>
      <c r="G459" s="52" t="s">
        <v>194</v>
      </c>
      <c r="H459" s="55" t="s">
        <v>166</v>
      </c>
      <c r="I459" s="53">
        <v>6</v>
      </c>
      <c r="J459" s="52" t="s">
        <v>140</v>
      </c>
      <c r="K459" s="53">
        <v>4</v>
      </c>
      <c r="L459" s="53"/>
      <c r="M459" s="79" t="s">
        <v>2029</v>
      </c>
      <c r="N459" s="54"/>
      <c r="O459" s="53"/>
      <c r="P459" s="52"/>
      <c r="Q459" s="56" t="s">
        <v>196</v>
      </c>
      <c r="R459" s="56" t="s">
        <v>197</v>
      </c>
      <c r="S459" s="55"/>
      <c r="T459" s="55"/>
      <c r="U459" s="55"/>
      <c r="V459" s="55"/>
      <c r="W459" s="55"/>
      <c r="X459" s="56" t="s">
        <v>2016</v>
      </c>
      <c r="Y459" s="54" t="s">
        <v>450</v>
      </c>
      <c r="Z459" s="54" t="s">
        <v>450</v>
      </c>
      <c r="AA459" s="62" t="s">
        <v>2019</v>
      </c>
      <c r="AC459" s="24"/>
    </row>
    <row r="460" spans="2:29" ht="120" customHeight="1" x14ac:dyDescent="0.25">
      <c r="B460" s="52" t="s">
        <v>71</v>
      </c>
      <c r="C460" s="52" t="s">
        <v>2014</v>
      </c>
      <c r="D460" s="52" t="s">
        <v>2015</v>
      </c>
      <c r="E460" s="53">
        <v>1</v>
      </c>
      <c r="F460" s="52" t="s">
        <v>203</v>
      </c>
      <c r="G460" s="52" t="s">
        <v>204</v>
      </c>
      <c r="H460" s="55" t="s">
        <v>166</v>
      </c>
      <c r="I460" s="53">
        <v>7</v>
      </c>
      <c r="J460" s="52" t="s">
        <v>140</v>
      </c>
      <c r="K460" s="53">
        <v>30</v>
      </c>
      <c r="L460" s="53"/>
      <c r="M460" s="54" t="s">
        <v>2030</v>
      </c>
      <c r="N460" s="54" t="s">
        <v>206</v>
      </c>
      <c r="O460" s="53"/>
      <c r="P460" s="52"/>
      <c r="Q460" s="56" t="s">
        <v>196</v>
      </c>
      <c r="R460" s="56" t="s">
        <v>197</v>
      </c>
      <c r="S460" s="53"/>
      <c r="T460" s="53"/>
      <c r="U460" s="53"/>
      <c r="V460" s="53"/>
      <c r="W460" s="53"/>
      <c r="X460" s="56" t="s">
        <v>2020</v>
      </c>
      <c r="Y460" s="54" t="s">
        <v>2031</v>
      </c>
      <c r="Z460" s="54" t="s">
        <v>2032</v>
      </c>
      <c r="AA460" s="62" t="s">
        <v>2023</v>
      </c>
      <c r="AC460" s="24"/>
    </row>
    <row r="461" spans="2:29" ht="120" customHeight="1" x14ac:dyDescent="0.25">
      <c r="B461" s="52" t="s">
        <v>71</v>
      </c>
      <c r="C461" s="52" t="s">
        <v>2014</v>
      </c>
      <c r="D461" s="52" t="s">
        <v>2015</v>
      </c>
      <c r="E461" s="53">
        <v>1</v>
      </c>
      <c r="F461" s="52" t="s">
        <v>214</v>
      </c>
      <c r="G461" s="52" t="s">
        <v>215</v>
      </c>
      <c r="H461" s="55" t="s">
        <v>216</v>
      </c>
      <c r="I461" s="53">
        <v>8</v>
      </c>
      <c r="J461" s="52" t="s">
        <v>140</v>
      </c>
      <c r="K461" s="53">
        <v>10</v>
      </c>
      <c r="L461" s="53"/>
      <c r="M461" s="54" t="s">
        <v>217</v>
      </c>
      <c r="N461" s="54" t="s">
        <v>218</v>
      </c>
      <c r="O461" s="53"/>
      <c r="P461" s="52"/>
      <c r="Q461" s="56" t="s">
        <v>219</v>
      </c>
      <c r="R461" s="52" t="s">
        <v>214</v>
      </c>
      <c r="S461" s="53"/>
      <c r="T461" s="53"/>
      <c r="U461" s="53"/>
      <c r="V461" s="53"/>
      <c r="W461" s="53"/>
      <c r="X461" s="56" t="s">
        <v>2016</v>
      </c>
      <c r="Y461" s="54" t="s">
        <v>2033</v>
      </c>
      <c r="Z461" s="54" t="s">
        <v>2034</v>
      </c>
      <c r="AA461" s="62" t="s">
        <v>450</v>
      </c>
      <c r="AC461" s="24"/>
    </row>
    <row r="462" spans="2:29" ht="120" customHeight="1" x14ac:dyDescent="0.25">
      <c r="B462" s="52" t="s">
        <v>71</v>
      </c>
      <c r="C462" s="52" t="s">
        <v>2014</v>
      </c>
      <c r="D462" s="52" t="s">
        <v>2015</v>
      </c>
      <c r="E462" s="53">
        <v>1</v>
      </c>
      <c r="F462" s="52" t="s">
        <v>226</v>
      </c>
      <c r="G462" s="52" t="s">
        <v>227</v>
      </c>
      <c r="H462" s="55" t="s">
        <v>216</v>
      </c>
      <c r="I462" s="53">
        <v>9</v>
      </c>
      <c r="J462" s="52" t="s">
        <v>140</v>
      </c>
      <c r="K462" s="53">
        <v>10</v>
      </c>
      <c r="L462" s="53"/>
      <c r="M462" s="54" t="s">
        <v>228</v>
      </c>
      <c r="N462" s="54" t="s">
        <v>229</v>
      </c>
      <c r="O462" s="53"/>
      <c r="P462" s="52"/>
      <c r="Q462" s="56" t="s">
        <v>230</v>
      </c>
      <c r="R462" s="52" t="s">
        <v>226</v>
      </c>
      <c r="S462" s="53"/>
      <c r="T462" s="53"/>
      <c r="U462" s="53"/>
      <c r="V462" s="53"/>
      <c r="W462" s="53"/>
      <c r="X462" s="56" t="s">
        <v>2016</v>
      </c>
      <c r="Y462" s="54" t="s">
        <v>2033</v>
      </c>
      <c r="Z462" s="54" t="s">
        <v>2035</v>
      </c>
      <c r="AA462" s="62" t="s">
        <v>450</v>
      </c>
      <c r="AC462" s="24"/>
    </row>
    <row r="463" spans="2:29" ht="120" customHeight="1" x14ac:dyDescent="0.25">
      <c r="B463" s="52" t="s">
        <v>71</v>
      </c>
      <c r="C463" s="52" t="s">
        <v>2014</v>
      </c>
      <c r="D463" s="52" t="s">
        <v>2015</v>
      </c>
      <c r="E463" s="53">
        <v>1</v>
      </c>
      <c r="F463" s="52" t="s">
        <v>238</v>
      </c>
      <c r="G463" s="52" t="s">
        <v>239</v>
      </c>
      <c r="H463" s="55" t="s">
        <v>240</v>
      </c>
      <c r="I463" s="53">
        <v>10</v>
      </c>
      <c r="J463" s="52" t="s">
        <v>140</v>
      </c>
      <c r="K463" s="53">
        <v>3</v>
      </c>
      <c r="L463" s="53"/>
      <c r="M463" s="54" t="s">
        <v>241</v>
      </c>
      <c r="N463" s="54" t="s">
        <v>242</v>
      </c>
      <c r="O463" s="53"/>
      <c r="P463" s="56" t="s">
        <v>2036</v>
      </c>
      <c r="Q463" s="56" t="s">
        <v>566</v>
      </c>
      <c r="R463" s="56" t="s">
        <v>245</v>
      </c>
      <c r="S463" s="53"/>
      <c r="T463" s="53"/>
      <c r="U463" s="53"/>
      <c r="V463" s="53"/>
      <c r="W463" s="53"/>
      <c r="X463" s="56" t="s">
        <v>2020</v>
      </c>
      <c r="Y463" s="54" t="s">
        <v>2037</v>
      </c>
      <c r="Z463" s="54" t="s">
        <v>2038</v>
      </c>
      <c r="AA463" s="62" t="s">
        <v>2023</v>
      </c>
      <c r="AC463" s="24"/>
    </row>
    <row r="464" spans="2:29" ht="120" customHeight="1" x14ac:dyDescent="0.25">
      <c r="B464" s="52" t="s">
        <v>71</v>
      </c>
      <c r="C464" s="52" t="s">
        <v>2014</v>
      </c>
      <c r="D464" s="52" t="s">
        <v>2015</v>
      </c>
      <c r="E464" s="53">
        <v>1</v>
      </c>
      <c r="F464" s="52" t="s">
        <v>253</v>
      </c>
      <c r="G464" s="52" t="s">
        <v>254</v>
      </c>
      <c r="H464" s="55" t="s">
        <v>255</v>
      </c>
      <c r="I464" s="53">
        <v>11</v>
      </c>
      <c r="J464" s="52" t="s">
        <v>140</v>
      </c>
      <c r="K464" s="53"/>
      <c r="L464" s="53"/>
      <c r="M464" s="54" t="s">
        <v>256</v>
      </c>
      <c r="N464" s="54"/>
      <c r="O464" s="53"/>
      <c r="P464" s="55"/>
      <c r="Q464" s="65"/>
      <c r="R464" s="63"/>
      <c r="S464" s="73"/>
      <c r="T464" s="73"/>
      <c r="U464" s="73"/>
      <c r="V464" s="73"/>
      <c r="W464" s="73"/>
      <c r="X464" s="56" t="s">
        <v>2039</v>
      </c>
      <c r="Y464" s="54" t="s">
        <v>2040</v>
      </c>
      <c r="Z464" s="54" t="s">
        <v>2040</v>
      </c>
      <c r="AA464" s="62" t="s">
        <v>2041</v>
      </c>
      <c r="AC464" s="24"/>
    </row>
    <row r="465" spans="2:29" ht="120" customHeight="1" x14ac:dyDescent="0.25">
      <c r="B465" s="281" t="s">
        <v>71</v>
      </c>
      <c r="C465" s="281" t="s">
        <v>2014</v>
      </c>
      <c r="D465" s="281" t="s">
        <v>2015</v>
      </c>
      <c r="E465" s="282">
        <v>1</v>
      </c>
      <c r="F465" s="281" t="s">
        <v>1904</v>
      </c>
      <c r="G465" s="281" t="s">
        <v>1905</v>
      </c>
      <c r="H465" s="283" t="s">
        <v>262</v>
      </c>
      <c r="I465" s="282">
        <v>12</v>
      </c>
      <c r="J465" s="281" t="s">
        <v>446</v>
      </c>
      <c r="K465" s="282"/>
      <c r="L465" s="282"/>
      <c r="M465" s="284" t="s">
        <v>1906</v>
      </c>
      <c r="N465" s="284"/>
      <c r="O465" s="282"/>
      <c r="P465" s="283"/>
      <c r="Q465" s="285" t="s">
        <v>609</v>
      </c>
      <c r="R465" s="281" t="s">
        <v>1907</v>
      </c>
      <c r="S465" s="282"/>
      <c r="T465" s="282"/>
      <c r="U465" s="282"/>
      <c r="V465" s="282" t="s">
        <v>2042</v>
      </c>
      <c r="W465" s="282"/>
      <c r="X465" s="285" t="s">
        <v>2016</v>
      </c>
      <c r="Y465" s="284" t="s">
        <v>2043</v>
      </c>
      <c r="Z465" s="284" t="s">
        <v>2044</v>
      </c>
      <c r="AA465" s="286" t="s">
        <v>450</v>
      </c>
      <c r="AC465" s="24"/>
    </row>
    <row r="466" spans="2:29" ht="120" customHeight="1" x14ac:dyDescent="0.25">
      <c r="B466" s="52" t="s">
        <v>71</v>
      </c>
      <c r="C466" s="52" t="s">
        <v>2014</v>
      </c>
      <c r="D466" s="52" t="s">
        <v>2015</v>
      </c>
      <c r="E466" s="53">
        <v>1</v>
      </c>
      <c r="F466" s="52" t="s">
        <v>2045</v>
      </c>
      <c r="G466" s="52" t="s">
        <v>2046</v>
      </c>
      <c r="H466" s="55" t="s">
        <v>262</v>
      </c>
      <c r="I466" s="53">
        <v>13</v>
      </c>
      <c r="J466" s="52" t="s">
        <v>263</v>
      </c>
      <c r="K466" s="53">
        <v>23</v>
      </c>
      <c r="L466" s="53">
        <v>6</v>
      </c>
      <c r="M466" s="54" t="s">
        <v>2047</v>
      </c>
      <c r="N466" s="54"/>
      <c r="O466" s="53"/>
      <c r="P466" s="52"/>
      <c r="Q466" s="82"/>
      <c r="R466" s="82"/>
      <c r="S466" s="53"/>
      <c r="T466" s="53"/>
      <c r="U466" s="53"/>
      <c r="V466" s="53"/>
      <c r="W466" s="53"/>
      <c r="X466" s="56" t="s">
        <v>2016</v>
      </c>
      <c r="Y466" s="54" t="s">
        <v>2048</v>
      </c>
      <c r="Z466" s="183" t="s">
        <v>2049</v>
      </c>
      <c r="AA466" s="62" t="s">
        <v>450</v>
      </c>
      <c r="AC466" s="24"/>
    </row>
    <row r="467" spans="2:29" ht="120" customHeight="1" x14ac:dyDescent="0.25">
      <c r="B467" s="52" t="s">
        <v>71</v>
      </c>
      <c r="C467" s="52" t="s">
        <v>2014</v>
      </c>
      <c r="D467" s="52" t="s">
        <v>2015</v>
      </c>
      <c r="E467" s="53">
        <v>1</v>
      </c>
      <c r="F467" s="52" t="s">
        <v>272</v>
      </c>
      <c r="G467" s="52" t="s">
        <v>273</v>
      </c>
      <c r="H467" s="55" t="s">
        <v>262</v>
      </c>
      <c r="I467" s="53">
        <v>14</v>
      </c>
      <c r="J467" s="52" t="s">
        <v>263</v>
      </c>
      <c r="K467" s="53">
        <v>23</v>
      </c>
      <c r="L467" s="53">
        <v>6</v>
      </c>
      <c r="M467" s="54" t="s">
        <v>1912</v>
      </c>
      <c r="N467" s="54"/>
      <c r="O467" s="53"/>
      <c r="P467" s="52"/>
      <c r="Q467" s="56" t="s">
        <v>219</v>
      </c>
      <c r="R467" s="52" t="s">
        <v>265</v>
      </c>
      <c r="S467" s="53"/>
      <c r="T467" s="55"/>
      <c r="U467" s="55"/>
      <c r="V467" s="53"/>
      <c r="W467" s="53"/>
      <c r="X467" s="56" t="s">
        <v>2016</v>
      </c>
      <c r="Y467" s="54" t="s">
        <v>2048</v>
      </c>
      <c r="Z467" s="54" t="s">
        <v>2050</v>
      </c>
      <c r="AA467" s="62" t="s">
        <v>450</v>
      </c>
      <c r="AC467" s="24"/>
    </row>
    <row r="468" spans="2:29" ht="120" customHeight="1" x14ac:dyDescent="0.25">
      <c r="B468" s="52" t="s">
        <v>71</v>
      </c>
      <c r="C468" s="52" t="s">
        <v>2014</v>
      </c>
      <c r="D468" s="52" t="s">
        <v>2015</v>
      </c>
      <c r="E468" s="53">
        <v>1</v>
      </c>
      <c r="F468" s="52" t="s">
        <v>883</v>
      </c>
      <c r="G468" s="52" t="s">
        <v>884</v>
      </c>
      <c r="H468" s="52" t="s">
        <v>262</v>
      </c>
      <c r="I468" s="53">
        <v>15</v>
      </c>
      <c r="J468" s="52" t="s">
        <v>263</v>
      </c>
      <c r="K468" s="53">
        <v>23</v>
      </c>
      <c r="L468" s="53">
        <v>6</v>
      </c>
      <c r="M468" s="54" t="s">
        <v>885</v>
      </c>
      <c r="N468" s="54"/>
      <c r="O468" s="53"/>
      <c r="P468" s="55"/>
      <c r="Q468" s="54" t="s">
        <v>833</v>
      </c>
      <c r="R468" s="55" t="s">
        <v>886</v>
      </c>
      <c r="S468" s="56"/>
      <c r="T468" s="56"/>
      <c r="U468" s="56"/>
      <c r="V468" s="56"/>
      <c r="W468" s="53"/>
      <c r="X468" s="56" t="s">
        <v>2016</v>
      </c>
      <c r="Y468" s="54" t="s">
        <v>2048</v>
      </c>
      <c r="Z468" s="54" t="s">
        <v>2051</v>
      </c>
      <c r="AA468" s="62" t="s">
        <v>450</v>
      </c>
      <c r="AC468" s="24"/>
    </row>
    <row r="469" spans="2:29" ht="120" customHeight="1" x14ac:dyDescent="0.25">
      <c r="B469" s="52" t="s">
        <v>71</v>
      </c>
      <c r="C469" s="52" t="s">
        <v>2014</v>
      </c>
      <c r="D469" s="52" t="s">
        <v>2015</v>
      </c>
      <c r="E469" s="53">
        <v>1</v>
      </c>
      <c r="F469" s="52" t="s">
        <v>581</v>
      </c>
      <c r="G469" s="52" t="s">
        <v>582</v>
      </c>
      <c r="H469" s="52" t="s">
        <v>262</v>
      </c>
      <c r="I469" s="53">
        <v>16</v>
      </c>
      <c r="J469" s="52" t="s">
        <v>263</v>
      </c>
      <c r="K469" s="53">
        <v>23</v>
      </c>
      <c r="L469" s="53">
        <v>6</v>
      </c>
      <c r="M469" s="54" t="s">
        <v>583</v>
      </c>
      <c r="N469" s="54"/>
      <c r="O469" s="53"/>
      <c r="P469" s="55"/>
      <c r="Q469" s="54" t="s">
        <v>584</v>
      </c>
      <c r="R469" s="54" t="s">
        <v>1923</v>
      </c>
      <c r="S469" s="53"/>
      <c r="T469" s="53"/>
      <c r="U469" s="53"/>
      <c r="V469" s="53"/>
      <c r="W469" s="53"/>
      <c r="X469" s="56" t="s">
        <v>2039</v>
      </c>
      <c r="Y469" s="54" t="s">
        <v>2052</v>
      </c>
      <c r="Z469" s="54" t="s">
        <v>2053</v>
      </c>
      <c r="AA469" s="62" t="s">
        <v>2054</v>
      </c>
      <c r="AC469" s="24"/>
    </row>
    <row r="470" spans="2:29" ht="120" customHeight="1" x14ac:dyDescent="0.25">
      <c r="B470" s="52" t="s">
        <v>71</v>
      </c>
      <c r="C470" s="52" t="s">
        <v>2014</v>
      </c>
      <c r="D470" s="52" t="s">
        <v>2015</v>
      </c>
      <c r="E470" s="53">
        <v>1</v>
      </c>
      <c r="F470" s="52" t="s">
        <v>281</v>
      </c>
      <c r="G470" s="52" t="s">
        <v>282</v>
      </c>
      <c r="H470" s="52" t="s">
        <v>262</v>
      </c>
      <c r="I470" s="53">
        <v>17</v>
      </c>
      <c r="J470" s="52" t="s">
        <v>263</v>
      </c>
      <c r="K470" s="53">
        <v>23</v>
      </c>
      <c r="L470" s="53">
        <v>6</v>
      </c>
      <c r="M470" s="54" t="s">
        <v>283</v>
      </c>
      <c r="N470" s="54"/>
      <c r="O470" s="53"/>
      <c r="P470" s="55"/>
      <c r="Q470" s="54" t="s">
        <v>284</v>
      </c>
      <c r="R470" s="55" t="s">
        <v>2055</v>
      </c>
      <c r="S470" s="53"/>
      <c r="T470" s="53"/>
      <c r="U470" s="53"/>
      <c r="V470" s="53"/>
      <c r="W470" s="53"/>
      <c r="X470" s="56" t="s">
        <v>2039</v>
      </c>
      <c r="Y470" s="54" t="s">
        <v>2056</v>
      </c>
      <c r="Z470" s="54" t="s">
        <v>2057</v>
      </c>
      <c r="AA470" s="62" t="s">
        <v>2054</v>
      </c>
      <c r="AC470" s="24"/>
    </row>
    <row r="471" spans="2:29" ht="120" customHeight="1" x14ac:dyDescent="0.25">
      <c r="B471" s="52" t="s">
        <v>71</v>
      </c>
      <c r="C471" s="52" t="s">
        <v>2014</v>
      </c>
      <c r="D471" s="52" t="s">
        <v>2015</v>
      </c>
      <c r="E471" s="53">
        <v>1</v>
      </c>
      <c r="F471" s="52" t="s">
        <v>291</v>
      </c>
      <c r="G471" s="52" t="s">
        <v>292</v>
      </c>
      <c r="H471" s="52" t="s">
        <v>262</v>
      </c>
      <c r="I471" s="53">
        <v>18</v>
      </c>
      <c r="J471" s="52" t="s">
        <v>263</v>
      </c>
      <c r="K471" s="53">
        <v>23</v>
      </c>
      <c r="L471" s="53">
        <v>6</v>
      </c>
      <c r="M471" s="54" t="s">
        <v>293</v>
      </c>
      <c r="N471" s="54"/>
      <c r="O471" s="53"/>
      <c r="P471" s="55"/>
      <c r="Q471" s="65"/>
      <c r="R471" s="63"/>
      <c r="S471" s="73"/>
      <c r="T471" s="73"/>
      <c r="U471" s="73"/>
      <c r="V471" s="73"/>
      <c r="W471" s="73"/>
      <c r="X471" s="56" t="s">
        <v>2039</v>
      </c>
      <c r="Y471" s="54" t="s">
        <v>2058</v>
      </c>
      <c r="Z471" s="54" t="s">
        <v>2059</v>
      </c>
      <c r="AA471" s="62" t="s">
        <v>2060</v>
      </c>
      <c r="AC471" s="24"/>
    </row>
    <row r="472" spans="2:29" ht="120" customHeight="1" x14ac:dyDescent="0.25">
      <c r="B472" s="266" t="s">
        <v>71</v>
      </c>
      <c r="C472" s="266" t="s">
        <v>2014</v>
      </c>
      <c r="D472" s="266" t="s">
        <v>2015</v>
      </c>
      <c r="E472" s="267">
        <v>1</v>
      </c>
      <c r="F472" s="266" t="s">
        <v>602</v>
      </c>
      <c r="G472" s="266" t="s">
        <v>603</v>
      </c>
      <c r="H472" s="268" t="s">
        <v>409</v>
      </c>
      <c r="I472" s="267">
        <v>19</v>
      </c>
      <c r="J472" s="266" t="s">
        <v>140</v>
      </c>
      <c r="K472" s="267">
        <v>10</v>
      </c>
      <c r="L472" s="267"/>
      <c r="M472" s="269" t="s">
        <v>2061</v>
      </c>
      <c r="N472" s="269"/>
      <c r="O472" s="267"/>
      <c r="P472" s="268"/>
      <c r="Q472" s="270"/>
      <c r="R472" s="266"/>
      <c r="S472" s="267"/>
      <c r="T472" s="267"/>
      <c r="U472" s="267"/>
      <c r="V472" s="267"/>
      <c r="W472" s="267"/>
      <c r="X472" s="270" t="s">
        <v>2016</v>
      </c>
      <c r="Y472" s="269" t="s">
        <v>2033</v>
      </c>
      <c r="Z472" s="269" t="s">
        <v>2062</v>
      </c>
      <c r="AA472" s="271" t="s">
        <v>450</v>
      </c>
      <c r="AC472" s="24"/>
    </row>
    <row r="473" spans="2:29" ht="120" customHeight="1" x14ac:dyDescent="0.25">
      <c r="B473" s="266" t="s">
        <v>71</v>
      </c>
      <c r="C473" s="266" t="s">
        <v>2014</v>
      </c>
      <c r="D473" s="266" t="s">
        <v>2015</v>
      </c>
      <c r="E473" s="267">
        <v>1</v>
      </c>
      <c r="F473" s="266" t="s">
        <v>1288</v>
      </c>
      <c r="G473" s="266" t="s">
        <v>1289</v>
      </c>
      <c r="H473" s="268" t="s">
        <v>262</v>
      </c>
      <c r="I473" s="267">
        <v>20</v>
      </c>
      <c r="J473" s="266" t="s">
        <v>263</v>
      </c>
      <c r="K473" s="267">
        <v>23</v>
      </c>
      <c r="L473" s="267">
        <v>6</v>
      </c>
      <c r="M473" s="269" t="s">
        <v>1283</v>
      </c>
      <c r="N473" s="269"/>
      <c r="O473" s="267"/>
      <c r="P473" s="268"/>
      <c r="Q473" s="270" t="s">
        <v>609</v>
      </c>
      <c r="R473" s="266" t="s">
        <v>1960</v>
      </c>
      <c r="S473" s="267"/>
      <c r="T473" s="267"/>
      <c r="U473" s="267"/>
      <c r="V473" s="267"/>
      <c r="W473" s="267"/>
      <c r="X473" s="270" t="s">
        <v>2016</v>
      </c>
      <c r="Y473" s="269" t="s">
        <v>2063</v>
      </c>
      <c r="Z473" s="269" t="s">
        <v>2064</v>
      </c>
      <c r="AA473" s="271" t="s">
        <v>450</v>
      </c>
      <c r="AC473" s="24"/>
    </row>
    <row r="474" spans="2:29" ht="120" customHeight="1" x14ac:dyDescent="0.25">
      <c r="B474" s="266" t="s">
        <v>71</v>
      </c>
      <c r="C474" s="266" t="s">
        <v>2014</v>
      </c>
      <c r="D474" s="266" t="s">
        <v>2015</v>
      </c>
      <c r="E474" s="267">
        <v>1</v>
      </c>
      <c r="F474" s="266" t="s">
        <v>2065</v>
      </c>
      <c r="G474" s="266" t="s">
        <v>2066</v>
      </c>
      <c r="H474" s="268" t="s">
        <v>262</v>
      </c>
      <c r="I474" s="267">
        <v>22</v>
      </c>
      <c r="J474" s="266" t="s">
        <v>263</v>
      </c>
      <c r="K474" s="267">
        <v>23</v>
      </c>
      <c r="L474" s="267">
        <v>6</v>
      </c>
      <c r="M474" s="269" t="s">
        <v>2067</v>
      </c>
      <c r="N474" s="269"/>
      <c r="O474" s="267"/>
      <c r="P474" s="268"/>
      <c r="Q474" s="270" t="s">
        <v>609</v>
      </c>
      <c r="R474" s="266" t="s">
        <v>1960</v>
      </c>
      <c r="S474" s="267"/>
      <c r="T474" s="267"/>
      <c r="U474" s="267"/>
      <c r="V474" s="267"/>
      <c r="W474" s="267"/>
      <c r="X474" s="270" t="s">
        <v>2016</v>
      </c>
      <c r="Y474" s="269" t="s">
        <v>2068</v>
      </c>
      <c r="Z474" s="269" t="s">
        <v>2069</v>
      </c>
      <c r="AA474" s="271" t="s">
        <v>2070</v>
      </c>
      <c r="AC474" s="24"/>
    </row>
    <row r="475" spans="2:29" ht="120" customHeight="1" x14ac:dyDescent="0.25">
      <c r="B475" s="281" t="s">
        <v>71</v>
      </c>
      <c r="C475" s="281" t="s">
        <v>2014</v>
      </c>
      <c r="D475" s="281" t="s">
        <v>2015</v>
      </c>
      <c r="E475" s="282">
        <v>1</v>
      </c>
      <c r="F475" s="281" t="s">
        <v>1295</v>
      </c>
      <c r="G475" s="281" t="s">
        <v>1296</v>
      </c>
      <c r="H475" s="283" t="s">
        <v>409</v>
      </c>
      <c r="I475" s="282">
        <v>23</v>
      </c>
      <c r="J475" s="281" t="s">
        <v>263</v>
      </c>
      <c r="K475" s="282">
        <v>23</v>
      </c>
      <c r="L475" s="282">
        <v>6</v>
      </c>
      <c r="M475" s="284" t="s">
        <v>2071</v>
      </c>
      <c r="N475" s="284"/>
      <c r="O475" s="282"/>
      <c r="P475" s="283"/>
      <c r="Q475" s="285"/>
      <c r="R475" s="281"/>
      <c r="S475" s="281"/>
      <c r="T475" s="285"/>
      <c r="U475" s="285"/>
      <c r="V475" s="286"/>
      <c r="W475" s="287"/>
      <c r="X475" s="285" t="s">
        <v>2016</v>
      </c>
      <c r="Y475" s="285" t="s">
        <v>2072</v>
      </c>
      <c r="Z475" s="284" t="s">
        <v>2073</v>
      </c>
      <c r="AA475" s="286" t="s">
        <v>450</v>
      </c>
      <c r="AC475" s="24"/>
    </row>
    <row r="476" spans="2:29" ht="120" customHeight="1" x14ac:dyDescent="0.25">
      <c r="B476" s="281" t="s">
        <v>71</v>
      </c>
      <c r="C476" s="281" t="s">
        <v>2014</v>
      </c>
      <c r="D476" s="281" t="s">
        <v>2015</v>
      </c>
      <c r="E476" s="282">
        <v>1</v>
      </c>
      <c r="F476" s="281" t="s">
        <v>1302</v>
      </c>
      <c r="G476" s="281" t="s">
        <v>1303</v>
      </c>
      <c r="H476" s="283" t="s">
        <v>262</v>
      </c>
      <c r="I476" s="282">
        <v>24</v>
      </c>
      <c r="J476" s="281" t="s">
        <v>263</v>
      </c>
      <c r="K476" s="282">
        <v>23</v>
      </c>
      <c r="L476" s="282">
        <v>6</v>
      </c>
      <c r="M476" s="284" t="s">
        <v>1304</v>
      </c>
      <c r="N476" s="284"/>
      <c r="O476" s="282"/>
      <c r="P476" s="283"/>
      <c r="Q476" s="285"/>
      <c r="R476" s="281"/>
      <c r="S476" s="282"/>
      <c r="T476" s="282"/>
      <c r="U476" s="282"/>
      <c r="V476" s="282"/>
      <c r="W476" s="282"/>
      <c r="X476" s="285" t="s">
        <v>2074</v>
      </c>
      <c r="Y476" s="285" t="s">
        <v>2072</v>
      </c>
      <c r="Z476" s="285" t="s">
        <v>2075</v>
      </c>
      <c r="AA476" s="286" t="s">
        <v>450</v>
      </c>
      <c r="AC476" s="24"/>
    </row>
    <row r="477" spans="2:29" ht="120" customHeight="1" x14ac:dyDescent="0.25">
      <c r="B477" s="68" t="s">
        <v>71</v>
      </c>
      <c r="C477" s="68" t="s">
        <v>2014</v>
      </c>
      <c r="D477" s="257" t="s">
        <v>2015</v>
      </c>
      <c r="E477" s="256">
        <v>1</v>
      </c>
      <c r="F477" s="257" t="s">
        <v>1308</v>
      </c>
      <c r="G477" s="68" t="s">
        <v>1309</v>
      </c>
      <c r="H477" s="77" t="s">
        <v>409</v>
      </c>
      <c r="I477" s="80">
        <v>25</v>
      </c>
      <c r="J477" s="68" t="s">
        <v>140</v>
      </c>
      <c r="K477" s="80">
        <v>10</v>
      </c>
      <c r="L477" s="80"/>
      <c r="M477" s="75" t="s">
        <v>1290</v>
      </c>
      <c r="N477" s="75"/>
      <c r="O477" s="80"/>
      <c r="P477" s="77"/>
      <c r="Q477" s="69" t="s">
        <v>609</v>
      </c>
      <c r="R477" s="68" t="s">
        <v>610</v>
      </c>
      <c r="S477" s="80"/>
      <c r="T477" s="80"/>
      <c r="U477" s="80"/>
      <c r="V477" s="80"/>
      <c r="W477" s="80"/>
      <c r="X477" s="69" t="s">
        <v>2016</v>
      </c>
      <c r="Y477" s="75" t="s">
        <v>2076</v>
      </c>
      <c r="Z477" s="75" t="s">
        <v>2077</v>
      </c>
      <c r="AA477" s="78" t="s">
        <v>450</v>
      </c>
      <c r="AC477" s="24"/>
    </row>
    <row r="478" spans="2:29" ht="120" customHeight="1" x14ac:dyDescent="0.25">
      <c r="B478" s="68" t="s">
        <v>71</v>
      </c>
      <c r="C478" s="68" t="s">
        <v>2014</v>
      </c>
      <c r="D478" s="68" t="s">
        <v>2015</v>
      </c>
      <c r="E478" s="80">
        <v>1</v>
      </c>
      <c r="F478" s="68" t="s">
        <v>1312</v>
      </c>
      <c r="G478" s="68" t="s">
        <v>1313</v>
      </c>
      <c r="H478" s="77" t="s">
        <v>262</v>
      </c>
      <c r="I478" s="80">
        <v>26</v>
      </c>
      <c r="J478" s="68" t="s">
        <v>263</v>
      </c>
      <c r="K478" s="80">
        <v>23</v>
      </c>
      <c r="L478" s="80">
        <v>6</v>
      </c>
      <c r="M478" s="75" t="s">
        <v>1314</v>
      </c>
      <c r="N478" s="75"/>
      <c r="O478" s="80"/>
      <c r="P478" s="77"/>
      <c r="Q478" s="69"/>
      <c r="R478" s="68"/>
      <c r="S478" s="80"/>
      <c r="T478" s="80"/>
      <c r="U478" s="80"/>
      <c r="V478" s="80"/>
      <c r="W478" s="80"/>
      <c r="X478" s="69" t="s">
        <v>2016</v>
      </c>
      <c r="Y478" s="75" t="s">
        <v>2076</v>
      </c>
      <c r="Z478" s="75" t="s">
        <v>2078</v>
      </c>
      <c r="AA478" s="78" t="s">
        <v>450</v>
      </c>
      <c r="AC478" s="24"/>
    </row>
    <row r="479" spans="2:29" ht="120" customHeight="1" x14ac:dyDescent="0.25">
      <c r="B479" s="272" t="s">
        <v>71</v>
      </c>
      <c r="C479" s="272" t="s">
        <v>2014</v>
      </c>
      <c r="D479" s="272" t="s">
        <v>2015</v>
      </c>
      <c r="E479" s="273">
        <v>1</v>
      </c>
      <c r="F479" s="272" t="s">
        <v>407</v>
      </c>
      <c r="G479" s="272" t="s">
        <v>408</v>
      </c>
      <c r="H479" s="274" t="s">
        <v>409</v>
      </c>
      <c r="I479" s="273">
        <v>27</v>
      </c>
      <c r="J479" s="272" t="s">
        <v>140</v>
      </c>
      <c r="K479" s="273">
        <v>10</v>
      </c>
      <c r="L479" s="273"/>
      <c r="M479" s="275" t="s">
        <v>2079</v>
      </c>
      <c r="N479" s="275"/>
      <c r="O479" s="273"/>
      <c r="P479" s="274"/>
      <c r="Q479" s="276" t="s">
        <v>609</v>
      </c>
      <c r="R479" s="272" t="s">
        <v>610</v>
      </c>
      <c r="S479" s="273"/>
      <c r="T479" s="273"/>
      <c r="U479" s="273"/>
      <c r="V479" s="273"/>
      <c r="W479" s="273"/>
      <c r="X479" s="276" t="s">
        <v>2016</v>
      </c>
      <c r="Y479" s="275" t="s">
        <v>2076</v>
      </c>
      <c r="Z479" s="275" t="s">
        <v>2077</v>
      </c>
      <c r="AA479" s="277" t="s">
        <v>450</v>
      </c>
      <c r="AC479" s="24"/>
    </row>
    <row r="480" spans="2:29" ht="120" customHeight="1" x14ac:dyDescent="0.25">
      <c r="B480" s="272" t="s">
        <v>71</v>
      </c>
      <c r="C480" s="272" t="s">
        <v>2014</v>
      </c>
      <c r="D480" s="272" t="s">
        <v>2015</v>
      </c>
      <c r="E480" s="273">
        <v>1</v>
      </c>
      <c r="F480" s="272" t="s">
        <v>416</v>
      </c>
      <c r="G480" s="272" t="s">
        <v>417</v>
      </c>
      <c r="H480" s="274" t="s">
        <v>262</v>
      </c>
      <c r="I480" s="273">
        <v>28</v>
      </c>
      <c r="J480" s="272" t="s">
        <v>263</v>
      </c>
      <c r="K480" s="273">
        <v>23</v>
      </c>
      <c r="L480" s="273">
        <v>6</v>
      </c>
      <c r="M480" s="275" t="s">
        <v>2080</v>
      </c>
      <c r="N480" s="275"/>
      <c r="O480" s="273"/>
      <c r="P480" s="274"/>
      <c r="Q480" s="276"/>
      <c r="R480" s="272"/>
      <c r="S480" s="273"/>
      <c r="T480" s="273"/>
      <c r="U480" s="273"/>
      <c r="V480" s="273"/>
      <c r="W480" s="273"/>
      <c r="X480" s="276" t="s">
        <v>2016</v>
      </c>
      <c r="Y480" s="275" t="s">
        <v>2076</v>
      </c>
      <c r="Z480" s="275" t="s">
        <v>2078</v>
      </c>
      <c r="AA480" s="277" t="s">
        <v>450</v>
      </c>
      <c r="AC480" s="24"/>
    </row>
    <row r="481" spans="2:29" ht="120" customHeight="1" x14ac:dyDescent="0.25">
      <c r="B481" s="272" t="s">
        <v>71</v>
      </c>
      <c r="C481" s="272" t="s">
        <v>2014</v>
      </c>
      <c r="D481" s="272" t="s">
        <v>2015</v>
      </c>
      <c r="E481" s="273">
        <v>1</v>
      </c>
      <c r="F481" s="272" t="s">
        <v>1324</v>
      </c>
      <c r="G481" s="272" t="s">
        <v>1325</v>
      </c>
      <c r="H481" s="274" t="s">
        <v>262</v>
      </c>
      <c r="I481" s="273">
        <v>29</v>
      </c>
      <c r="J481" s="272" t="s">
        <v>446</v>
      </c>
      <c r="K481" s="273"/>
      <c r="L481" s="273"/>
      <c r="M481" s="275" t="s">
        <v>1326</v>
      </c>
      <c r="N481" s="275"/>
      <c r="O481" s="273"/>
      <c r="P481" s="274"/>
      <c r="Q481" s="278"/>
      <c r="R481" s="279"/>
      <c r="S481" s="280"/>
      <c r="T481" s="280"/>
      <c r="U481" s="280"/>
      <c r="V481" s="280"/>
      <c r="W481" s="280"/>
      <c r="X481" s="276" t="s">
        <v>2016</v>
      </c>
      <c r="Y481" s="275" t="s">
        <v>2081</v>
      </c>
      <c r="Z481" s="275" t="s">
        <v>2082</v>
      </c>
      <c r="AA481" s="277" t="s">
        <v>450</v>
      </c>
      <c r="AC481" s="24"/>
    </row>
    <row r="482" spans="2:29" ht="120" customHeight="1" x14ac:dyDescent="0.25">
      <c r="B482" s="52" t="s">
        <v>71</v>
      </c>
      <c r="C482" s="52" t="s">
        <v>2014</v>
      </c>
      <c r="D482" s="52" t="s">
        <v>2015</v>
      </c>
      <c r="E482" s="53">
        <v>1</v>
      </c>
      <c r="F482" s="52" t="s">
        <v>2083</v>
      </c>
      <c r="G482" s="52" t="s">
        <v>2084</v>
      </c>
      <c r="H482" s="55" t="s">
        <v>1332</v>
      </c>
      <c r="I482" s="53">
        <v>30</v>
      </c>
      <c r="J482" s="52" t="s">
        <v>140</v>
      </c>
      <c r="K482" s="53"/>
      <c r="L482" s="53"/>
      <c r="M482" s="54" t="s">
        <v>2085</v>
      </c>
      <c r="N482" s="54"/>
      <c r="O482" s="53"/>
      <c r="P482" s="54" t="s">
        <v>2086</v>
      </c>
      <c r="Q482" s="54"/>
      <c r="R482" s="55"/>
      <c r="S482" s="53"/>
      <c r="T482" s="53"/>
      <c r="U482" s="53"/>
      <c r="V482" s="53"/>
      <c r="W482" s="53"/>
      <c r="X482" s="56" t="s">
        <v>2016</v>
      </c>
      <c r="Y482" s="54" t="s">
        <v>2087</v>
      </c>
      <c r="Z482" s="54" t="s">
        <v>2088</v>
      </c>
      <c r="AA482" s="62" t="s">
        <v>2089</v>
      </c>
      <c r="AC482" s="24"/>
    </row>
    <row r="483" spans="2:29" ht="120" customHeight="1" x14ac:dyDescent="0.25">
      <c r="B483" s="52" t="s">
        <v>71</v>
      </c>
      <c r="C483" s="52" t="s">
        <v>2014</v>
      </c>
      <c r="D483" s="52" t="s">
        <v>2015</v>
      </c>
      <c r="E483" s="53">
        <v>1</v>
      </c>
      <c r="F483" s="52" t="s">
        <v>1330</v>
      </c>
      <c r="G483" s="52" t="s">
        <v>2090</v>
      </c>
      <c r="H483" s="55" t="s">
        <v>1332</v>
      </c>
      <c r="I483" s="53">
        <v>31</v>
      </c>
      <c r="J483" s="52" t="s">
        <v>140</v>
      </c>
      <c r="K483" s="53"/>
      <c r="L483" s="53"/>
      <c r="M483" s="54" t="s">
        <v>1835</v>
      </c>
      <c r="N483" s="54"/>
      <c r="O483" s="53"/>
      <c r="P483" s="54"/>
      <c r="Q483" s="54"/>
      <c r="R483" s="55"/>
      <c r="S483" s="52"/>
      <c r="T483" s="55"/>
      <c r="U483" s="55"/>
      <c r="V483" s="53"/>
      <c r="W483" s="53"/>
      <c r="X483" s="56" t="s">
        <v>2016</v>
      </c>
      <c r="Y483" s="54" t="s">
        <v>2091</v>
      </c>
      <c r="Z483" s="54" t="s">
        <v>2092</v>
      </c>
      <c r="AA483" s="62" t="s">
        <v>450</v>
      </c>
      <c r="AC483" s="24"/>
    </row>
    <row r="484" spans="2:29" ht="120" customHeight="1" x14ac:dyDescent="0.25">
      <c r="B484" s="52" t="s">
        <v>71</v>
      </c>
      <c r="C484" s="52" t="s">
        <v>2014</v>
      </c>
      <c r="D484" s="52" t="s">
        <v>2015</v>
      </c>
      <c r="E484" s="53">
        <v>1</v>
      </c>
      <c r="F484" s="52" t="s">
        <v>1687</v>
      </c>
      <c r="G484" s="52" t="s">
        <v>1688</v>
      </c>
      <c r="H484" s="55" t="s">
        <v>631</v>
      </c>
      <c r="I484" s="53">
        <v>32</v>
      </c>
      <c r="J484" s="52" t="s">
        <v>140</v>
      </c>
      <c r="K484" s="53">
        <v>20</v>
      </c>
      <c r="L484" s="53"/>
      <c r="M484" s="54" t="s">
        <v>1457</v>
      </c>
      <c r="N484" s="54"/>
      <c r="O484" s="53"/>
      <c r="P484" s="54" t="s">
        <v>2093</v>
      </c>
      <c r="Q484" s="54"/>
      <c r="R484" s="55"/>
      <c r="S484" s="52"/>
      <c r="T484" s="55"/>
      <c r="U484" s="55"/>
      <c r="V484" s="53"/>
      <c r="W484" s="53"/>
      <c r="X484" s="56" t="s">
        <v>2020</v>
      </c>
      <c r="Y484" s="54" t="s">
        <v>2094</v>
      </c>
      <c r="Z484" s="54" t="s">
        <v>2095</v>
      </c>
      <c r="AA484" s="62" t="s">
        <v>2096</v>
      </c>
      <c r="AC484" s="24"/>
    </row>
    <row r="485" spans="2:29" ht="120" customHeight="1" x14ac:dyDescent="0.25">
      <c r="B485" s="52" t="s">
        <v>71</v>
      </c>
      <c r="C485" s="52" t="s">
        <v>2014</v>
      </c>
      <c r="D485" s="52" t="s">
        <v>2015</v>
      </c>
      <c r="E485" s="53">
        <v>1</v>
      </c>
      <c r="F485" s="52" t="s">
        <v>1694</v>
      </c>
      <c r="G485" s="52" t="s">
        <v>1695</v>
      </c>
      <c r="H485" s="55" t="s">
        <v>650</v>
      </c>
      <c r="I485" s="53">
        <v>33</v>
      </c>
      <c r="J485" s="52" t="s">
        <v>263</v>
      </c>
      <c r="K485" s="53">
        <v>23</v>
      </c>
      <c r="L485" s="53">
        <v>6</v>
      </c>
      <c r="M485" s="54" t="s">
        <v>1840</v>
      </c>
      <c r="N485" s="54"/>
      <c r="O485" s="53"/>
      <c r="P485" s="55"/>
      <c r="Q485" s="54"/>
      <c r="R485" s="55"/>
      <c r="S485" s="52"/>
      <c r="T485" s="55"/>
      <c r="U485" s="55"/>
      <c r="V485" s="53"/>
      <c r="W485" s="53"/>
      <c r="X485" s="56" t="s">
        <v>2016</v>
      </c>
      <c r="Y485" s="54" t="s">
        <v>2097</v>
      </c>
      <c r="Z485" s="54" t="s">
        <v>2098</v>
      </c>
      <c r="AA485" s="62" t="s">
        <v>2099</v>
      </c>
      <c r="AC485" s="24"/>
    </row>
    <row r="486" spans="2:29" ht="120" customHeight="1" x14ac:dyDescent="0.25">
      <c r="B486" s="52" t="s">
        <v>71</v>
      </c>
      <c r="C486" s="52" t="s">
        <v>2014</v>
      </c>
      <c r="D486" s="52" t="s">
        <v>2015</v>
      </c>
      <c r="E486" s="53">
        <v>1</v>
      </c>
      <c r="F486" s="52" t="s">
        <v>1700</v>
      </c>
      <c r="G486" s="52" t="s">
        <v>1701</v>
      </c>
      <c r="H486" s="55" t="s">
        <v>650</v>
      </c>
      <c r="I486" s="53">
        <v>34</v>
      </c>
      <c r="J486" s="52" t="s">
        <v>263</v>
      </c>
      <c r="K486" s="53">
        <v>23</v>
      </c>
      <c r="L486" s="53">
        <v>6</v>
      </c>
      <c r="M486" s="54" t="s">
        <v>1464</v>
      </c>
      <c r="N486" s="54"/>
      <c r="O486" s="53"/>
      <c r="P486" s="55"/>
      <c r="Q486" s="54"/>
      <c r="R486" s="55"/>
      <c r="S486" s="52"/>
      <c r="T486" s="55"/>
      <c r="U486" s="55"/>
      <c r="V486" s="53"/>
      <c r="W486" s="53"/>
      <c r="X486" s="56" t="s">
        <v>2016</v>
      </c>
      <c r="Y486" s="54" t="s">
        <v>2100</v>
      </c>
      <c r="Z486" s="54" t="s">
        <v>2101</v>
      </c>
      <c r="AA486" s="62" t="s">
        <v>450</v>
      </c>
      <c r="AC486" s="24"/>
    </row>
    <row r="487" spans="2:29" ht="120" customHeight="1" x14ac:dyDescent="0.25">
      <c r="B487" s="52" t="s">
        <v>71</v>
      </c>
      <c r="C487" s="52" t="s">
        <v>2014</v>
      </c>
      <c r="D487" s="52" t="s">
        <v>2015</v>
      </c>
      <c r="E487" s="53">
        <v>1</v>
      </c>
      <c r="F487" s="52" t="s">
        <v>1336</v>
      </c>
      <c r="G487" s="52" t="s">
        <v>1337</v>
      </c>
      <c r="H487" s="55" t="s">
        <v>650</v>
      </c>
      <c r="I487" s="53">
        <v>35</v>
      </c>
      <c r="J487" s="52" t="s">
        <v>263</v>
      </c>
      <c r="K487" s="53">
        <v>23</v>
      </c>
      <c r="L487" s="53">
        <v>6</v>
      </c>
      <c r="M487" s="54" t="s">
        <v>1845</v>
      </c>
      <c r="N487" s="54" t="s">
        <v>1339</v>
      </c>
      <c r="O487" s="53"/>
      <c r="P487" s="52"/>
      <c r="Q487" s="82"/>
      <c r="R487" s="64"/>
      <c r="S487" s="53"/>
      <c r="T487" s="53"/>
      <c r="U487" s="53"/>
      <c r="V487" s="53"/>
      <c r="W487" s="53"/>
      <c r="X487" s="56" t="s">
        <v>2016</v>
      </c>
      <c r="Y487" s="54" t="s">
        <v>2100</v>
      </c>
      <c r="Z487" s="54" t="s">
        <v>2102</v>
      </c>
      <c r="AA487" s="62" t="s">
        <v>450</v>
      </c>
      <c r="AC487" s="24"/>
    </row>
    <row r="488" spans="2:29" ht="120" customHeight="1" x14ac:dyDescent="0.25">
      <c r="B488" s="52" t="s">
        <v>71</v>
      </c>
      <c r="C488" s="52" t="s">
        <v>2014</v>
      </c>
      <c r="D488" s="52" t="s">
        <v>2015</v>
      </c>
      <c r="E488" s="53">
        <v>1</v>
      </c>
      <c r="F488" s="52" t="s">
        <v>2103</v>
      </c>
      <c r="G488" s="52" t="s">
        <v>2104</v>
      </c>
      <c r="H488" s="55" t="s">
        <v>650</v>
      </c>
      <c r="I488" s="53">
        <v>36</v>
      </c>
      <c r="J488" s="52" t="s">
        <v>263</v>
      </c>
      <c r="K488" s="53">
        <v>23</v>
      </c>
      <c r="L488" s="53">
        <v>6</v>
      </c>
      <c r="M488" s="54" t="s">
        <v>2105</v>
      </c>
      <c r="N488" s="54"/>
      <c r="O488" s="53"/>
      <c r="P488" s="55"/>
      <c r="Q488" s="56" t="s">
        <v>668</v>
      </c>
      <c r="R488" s="52" t="s">
        <v>1340</v>
      </c>
      <c r="S488" s="53"/>
      <c r="T488" s="53"/>
      <c r="U488" s="53"/>
      <c r="V488" s="53"/>
      <c r="W488" s="53"/>
      <c r="X488" s="56" t="s">
        <v>2016</v>
      </c>
      <c r="Y488" s="54" t="s">
        <v>2068</v>
      </c>
      <c r="Z488" s="54" t="s">
        <v>2106</v>
      </c>
      <c r="AA488" s="62" t="s">
        <v>2070</v>
      </c>
      <c r="AC488" s="24"/>
    </row>
    <row r="489" spans="2:29" ht="120" customHeight="1" x14ac:dyDescent="0.25">
      <c r="B489" s="52" t="s">
        <v>71</v>
      </c>
      <c r="C489" s="52" t="s">
        <v>2014</v>
      </c>
      <c r="D489" s="52" t="s">
        <v>2015</v>
      </c>
      <c r="E489" s="53">
        <v>1</v>
      </c>
      <c r="F489" s="52" t="s">
        <v>629</v>
      </c>
      <c r="G489" s="52" t="s">
        <v>1345</v>
      </c>
      <c r="H489" s="55" t="s">
        <v>631</v>
      </c>
      <c r="I489" s="53">
        <v>37</v>
      </c>
      <c r="J489" s="52" t="s">
        <v>140</v>
      </c>
      <c r="K489" s="53">
        <v>3</v>
      </c>
      <c r="L489" s="53"/>
      <c r="M489" s="54" t="s">
        <v>1848</v>
      </c>
      <c r="N489" s="54"/>
      <c r="O489" s="53"/>
      <c r="P489" s="54" t="s">
        <v>891</v>
      </c>
      <c r="Q489" s="54"/>
      <c r="R489" s="55"/>
      <c r="S489" s="52"/>
      <c r="T489" s="55"/>
      <c r="U489" s="55"/>
      <c r="V489" s="53"/>
      <c r="W489" s="53"/>
      <c r="X489" s="56" t="s">
        <v>2016</v>
      </c>
      <c r="Y489" s="54" t="s">
        <v>2091</v>
      </c>
      <c r="Z489" s="54" t="s">
        <v>2092</v>
      </c>
      <c r="AA489" s="62" t="s">
        <v>450</v>
      </c>
      <c r="AC489" s="24"/>
    </row>
    <row r="490" spans="2:29" ht="120" customHeight="1" x14ac:dyDescent="0.25">
      <c r="B490" s="52" t="s">
        <v>71</v>
      </c>
      <c r="C490" s="52" t="s">
        <v>2014</v>
      </c>
      <c r="D490" s="52" t="s">
        <v>2015</v>
      </c>
      <c r="E490" s="53">
        <v>1</v>
      </c>
      <c r="F490" s="52" t="s">
        <v>639</v>
      </c>
      <c r="G490" s="52" t="s">
        <v>640</v>
      </c>
      <c r="H490" s="55" t="s">
        <v>631</v>
      </c>
      <c r="I490" s="53">
        <v>38</v>
      </c>
      <c r="J490" s="52" t="s">
        <v>140</v>
      </c>
      <c r="K490" s="53">
        <v>20</v>
      </c>
      <c r="L490" s="53"/>
      <c r="M490" s="54" t="s">
        <v>1472</v>
      </c>
      <c r="N490" s="54"/>
      <c r="O490" s="53"/>
      <c r="P490" s="54" t="s">
        <v>2093</v>
      </c>
      <c r="Q490" s="54"/>
      <c r="R490" s="55"/>
      <c r="S490" s="52"/>
      <c r="T490" s="55"/>
      <c r="U490" s="55"/>
      <c r="V490" s="53"/>
      <c r="W490" s="53"/>
      <c r="X490" s="56" t="s">
        <v>2020</v>
      </c>
      <c r="Y490" s="54" t="s">
        <v>2094</v>
      </c>
      <c r="Z490" s="54" t="s">
        <v>2095</v>
      </c>
      <c r="AA490" s="62" t="s">
        <v>2096</v>
      </c>
      <c r="AC490" s="24"/>
    </row>
    <row r="491" spans="2:29" ht="120" customHeight="1" x14ac:dyDescent="0.25">
      <c r="B491" s="52" t="s">
        <v>71</v>
      </c>
      <c r="C491" s="52" t="s">
        <v>2014</v>
      </c>
      <c r="D491" s="52" t="s">
        <v>2015</v>
      </c>
      <c r="E491" s="53">
        <v>1</v>
      </c>
      <c r="F491" s="52" t="s">
        <v>648</v>
      </c>
      <c r="G491" s="52" t="s">
        <v>649</v>
      </c>
      <c r="H491" s="55" t="s">
        <v>650</v>
      </c>
      <c r="I491" s="53">
        <v>39</v>
      </c>
      <c r="J491" s="52" t="s">
        <v>263</v>
      </c>
      <c r="K491" s="53">
        <v>23</v>
      </c>
      <c r="L491" s="53">
        <v>6</v>
      </c>
      <c r="M491" s="54" t="s">
        <v>1853</v>
      </c>
      <c r="N491" s="54"/>
      <c r="O491" s="53"/>
      <c r="P491" s="55"/>
      <c r="Q491" s="54"/>
      <c r="R491" s="55"/>
      <c r="S491" s="52"/>
      <c r="T491" s="55"/>
      <c r="U491" s="55"/>
      <c r="V491" s="53"/>
      <c r="W491" s="53"/>
      <c r="X491" s="56" t="s">
        <v>2016</v>
      </c>
      <c r="Y491" s="54" t="s">
        <v>2097</v>
      </c>
      <c r="Z491" s="54" t="s">
        <v>2098</v>
      </c>
      <c r="AA491" s="62" t="s">
        <v>2107</v>
      </c>
      <c r="AC491" s="24"/>
    </row>
    <row r="492" spans="2:29" ht="120" customHeight="1" x14ac:dyDescent="0.25">
      <c r="B492" s="52" t="s">
        <v>71</v>
      </c>
      <c r="C492" s="52" t="s">
        <v>2014</v>
      </c>
      <c r="D492" s="52" t="s">
        <v>2015</v>
      </c>
      <c r="E492" s="53">
        <v>1</v>
      </c>
      <c r="F492" s="52" t="s">
        <v>657</v>
      </c>
      <c r="G492" s="52" t="s">
        <v>658</v>
      </c>
      <c r="H492" s="55" t="s">
        <v>650</v>
      </c>
      <c r="I492" s="53">
        <v>40</v>
      </c>
      <c r="J492" s="52" t="s">
        <v>263</v>
      </c>
      <c r="K492" s="53">
        <v>23</v>
      </c>
      <c r="L492" s="53">
        <v>6</v>
      </c>
      <c r="M492" s="54" t="s">
        <v>659</v>
      </c>
      <c r="N492" s="54"/>
      <c r="O492" s="53"/>
      <c r="P492" s="55"/>
      <c r="Q492" s="54"/>
      <c r="R492" s="55"/>
      <c r="S492" s="52"/>
      <c r="T492" s="55"/>
      <c r="U492" s="55"/>
      <c r="V492" s="53"/>
      <c r="W492" s="53"/>
      <c r="X492" s="56" t="s">
        <v>2016</v>
      </c>
      <c r="Y492" s="54" t="s">
        <v>2100</v>
      </c>
      <c r="Z492" s="54" t="s">
        <v>2101</v>
      </c>
      <c r="AA492" s="62" t="s">
        <v>450</v>
      </c>
      <c r="AC492" s="24"/>
    </row>
    <row r="493" spans="2:29" ht="120" customHeight="1" x14ac:dyDescent="0.25">
      <c r="B493" s="52" t="s">
        <v>71</v>
      </c>
      <c r="C493" s="52" t="s">
        <v>2014</v>
      </c>
      <c r="D493" s="52" t="s">
        <v>2015</v>
      </c>
      <c r="E493" s="53">
        <v>1</v>
      </c>
      <c r="F493" s="52" t="s">
        <v>664</v>
      </c>
      <c r="G493" s="52" t="s">
        <v>665</v>
      </c>
      <c r="H493" s="55" t="s">
        <v>650</v>
      </c>
      <c r="I493" s="53">
        <v>41</v>
      </c>
      <c r="J493" s="52" t="s">
        <v>263</v>
      </c>
      <c r="K493" s="53">
        <v>23</v>
      </c>
      <c r="L493" s="53">
        <v>6</v>
      </c>
      <c r="M493" s="54" t="s">
        <v>1858</v>
      </c>
      <c r="N493" s="54" t="s">
        <v>667</v>
      </c>
      <c r="O493" s="53"/>
      <c r="P493" s="52"/>
      <c r="Q493" s="82"/>
      <c r="R493" s="64"/>
      <c r="S493" s="53"/>
      <c r="T493" s="53"/>
      <c r="U493" s="53"/>
      <c r="V493" s="53"/>
      <c r="W493" s="53"/>
      <c r="X493" s="56" t="s">
        <v>2016</v>
      </c>
      <c r="Y493" s="54" t="s">
        <v>2100</v>
      </c>
      <c r="Z493" s="54" t="s">
        <v>2102</v>
      </c>
      <c r="AA493" s="62" t="s">
        <v>450</v>
      </c>
      <c r="AC493" s="24"/>
    </row>
    <row r="494" spans="2:29" ht="120" customHeight="1" x14ac:dyDescent="0.25">
      <c r="B494" s="52" t="s">
        <v>71</v>
      </c>
      <c r="C494" s="52" t="s">
        <v>2014</v>
      </c>
      <c r="D494" s="52" t="s">
        <v>2015</v>
      </c>
      <c r="E494" s="53">
        <v>1</v>
      </c>
      <c r="F494" s="52" t="s">
        <v>2108</v>
      </c>
      <c r="G494" s="52" t="s">
        <v>2109</v>
      </c>
      <c r="H494" s="55" t="s">
        <v>650</v>
      </c>
      <c r="I494" s="53">
        <v>42</v>
      </c>
      <c r="J494" s="52" t="s">
        <v>263</v>
      </c>
      <c r="K494" s="53">
        <v>23</v>
      </c>
      <c r="L494" s="53">
        <v>6</v>
      </c>
      <c r="M494" s="54" t="s">
        <v>2110</v>
      </c>
      <c r="N494" s="54"/>
      <c r="O494" s="53"/>
      <c r="P494" s="55"/>
      <c r="Q494" s="56" t="s">
        <v>668</v>
      </c>
      <c r="R494" s="52" t="s">
        <v>669</v>
      </c>
      <c r="S494" s="53"/>
      <c r="T494" s="53"/>
      <c r="U494" s="53"/>
      <c r="V494" s="53"/>
      <c r="W494" s="53"/>
      <c r="X494" s="56" t="s">
        <v>2016</v>
      </c>
      <c r="Y494" s="54" t="s">
        <v>2068</v>
      </c>
      <c r="Z494" s="54" t="s">
        <v>2106</v>
      </c>
      <c r="AA494" s="62" t="s">
        <v>2070</v>
      </c>
      <c r="AC494" s="24"/>
    </row>
    <row r="495" spans="2:29" ht="120" customHeight="1" x14ac:dyDescent="0.25">
      <c r="B495" s="52" t="s">
        <v>71</v>
      </c>
      <c r="C495" s="52" t="s">
        <v>2014</v>
      </c>
      <c r="D495" s="52" t="s">
        <v>2015</v>
      </c>
      <c r="E495" s="53">
        <v>1</v>
      </c>
      <c r="F495" s="52" t="s">
        <v>301</v>
      </c>
      <c r="G495" s="52" t="s">
        <v>302</v>
      </c>
      <c r="H495" s="55" t="s">
        <v>303</v>
      </c>
      <c r="I495" s="53">
        <v>43</v>
      </c>
      <c r="J495" s="52" t="s">
        <v>140</v>
      </c>
      <c r="K495" s="53">
        <v>3</v>
      </c>
      <c r="L495" s="53"/>
      <c r="M495" s="54" t="s">
        <v>304</v>
      </c>
      <c r="N495" s="54" t="s">
        <v>305</v>
      </c>
      <c r="O495" s="53"/>
      <c r="P495" s="54" t="s">
        <v>2111</v>
      </c>
      <c r="Q495" s="56" t="s">
        <v>307</v>
      </c>
      <c r="R495" s="52" t="s">
        <v>308</v>
      </c>
      <c r="S495" s="53"/>
      <c r="T495" s="53"/>
      <c r="U495" s="53"/>
      <c r="V495" s="53"/>
      <c r="W495" s="53"/>
      <c r="X495" s="56" t="s">
        <v>2020</v>
      </c>
      <c r="Y495" s="54" t="s">
        <v>2112</v>
      </c>
      <c r="Z495" s="54" t="s">
        <v>2113</v>
      </c>
      <c r="AA495" s="62" t="s">
        <v>2023</v>
      </c>
      <c r="AC495" s="24"/>
    </row>
    <row r="496" spans="2:29" ht="120" customHeight="1" x14ac:dyDescent="0.25">
      <c r="B496" s="52" t="s">
        <v>71</v>
      </c>
      <c r="C496" s="52" t="s">
        <v>2014</v>
      </c>
      <c r="D496" s="52" t="s">
        <v>2015</v>
      </c>
      <c r="E496" s="53">
        <v>1</v>
      </c>
      <c r="F496" s="52" t="s">
        <v>311</v>
      </c>
      <c r="G496" s="52" t="s">
        <v>312</v>
      </c>
      <c r="H496" s="55" t="s">
        <v>303</v>
      </c>
      <c r="I496" s="53">
        <v>44</v>
      </c>
      <c r="J496" s="52" t="s">
        <v>140</v>
      </c>
      <c r="K496" s="53">
        <v>3</v>
      </c>
      <c r="L496" s="53"/>
      <c r="M496" s="54" t="s">
        <v>313</v>
      </c>
      <c r="N496" s="54" t="s">
        <v>314</v>
      </c>
      <c r="O496" s="53"/>
      <c r="P496" s="56" t="s">
        <v>2114</v>
      </c>
      <c r="Q496" s="56" t="s">
        <v>219</v>
      </c>
      <c r="R496" s="52" t="s">
        <v>316</v>
      </c>
      <c r="S496" s="53"/>
      <c r="T496" s="53"/>
      <c r="U496" s="53"/>
      <c r="V496" s="53"/>
      <c r="W496" s="53"/>
      <c r="X496" s="56" t="s">
        <v>2115</v>
      </c>
      <c r="Y496" s="54" t="s">
        <v>2116</v>
      </c>
      <c r="Z496" s="54" t="s">
        <v>2117</v>
      </c>
      <c r="AA496" s="62" t="s">
        <v>450</v>
      </c>
      <c r="AC496" s="24"/>
    </row>
    <row r="497" spans="2:29" ht="120" customHeight="1" x14ac:dyDescent="0.25">
      <c r="B497" s="52" t="s">
        <v>71</v>
      </c>
      <c r="C497" s="52" t="s">
        <v>2014</v>
      </c>
      <c r="D497" s="52" t="s">
        <v>2015</v>
      </c>
      <c r="E497" s="53">
        <v>1</v>
      </c>
      <c r="F497" s="52" t="s">
        <v>322</v>
      </c>
      <c r="G497" s="52" t="s">
        <v>323</v>
      </c>
      <c r="H497" s="52" t="s">
        <v>324</v>
      </c>
      <c r="I497" s="53">
        <v>45</v>
      </c>
      <c r="J497" s="52" t="s">
        <v>140</v>
      </c>
      <c r="K497" s="53">
        <v>2</v>
      </c>
      <c r="L497" s="53"/>
      <c r="M497" s="54" t="s">
        <v>325</v>
      </c>
      <c r="N497" s="54"/>
      <c r="O497" s="53"/>
      <c r="P497" s="54" t="s">
        <v>2118</v>
      </c>
      <c r="Q497" s="56"/>
      <c r="R497" s="52"/>
      <c r="S497" s="53"/>
      <c r="T497" s="53"/>
      <c r="U497" s="53"/>
      <c r="V497" s="53"/>
      <c r="W497" s="53"/>
      <c r="X497" s="56" t="s">
        <v>2039</v>
      </c>
      <c r="Y497" s="54" t="s">
        <v>2040</v>
      </c>
      <c r="Z497" s="54" t="s">
        <v>2040</v>
      </c>
      <c r="AA497" s="62" t="s">
        <v>2119</v>
      </c>
      <c r="AC497" s="24"/>
    </row>
    <row r="498" spans="2:29" ht="120" customHeight="1" x14ac:dyDescent="0.25">
      <c r="B498" s="52" t="s">
        <v>71</v>
      </c>
      <c r="C498" s="52" t="s">
        <v>2014</v>
      </c>
      <c r="D498" s="52" t="s">
        <v>2015</v>
      </c>
      <c r="E498" s="53">
        <v>1</v>
      </c>
      <c r="F498" s="52" t="s">
        <v>329</v>
      </c>
      <c r="G498" s="52" t="s">
        <v>330</v>
      </c>
      <c r="H498" s="52" t="s">
        <v>331</v>
      </c>
      <c r="I498" s="53">
        <v>46</v>
      </c>
      <c r="J498" s="52" t="s">
        <v>140</v>
      </c>
      <c r="K498" s="53">
        <v>10</v>
      </c>
      <c r="L498" s="53"/>
      <c r="M498" s="54" t="s">
        <v>332</v>
      </c>
      <c r="N498" s="54" t="s">
        <v>333</v>
      </c>
      <c r="O498" s="53" t="s">
        <v>142</v>
      </c>
      <c r="P498" s="52"/>
      <c r="Q498" s="56" t="s">
        <v>284</v>
      </c>
      <c r="R498" s="52" t="s">
        <v>685</v>
      </c>
      <c r="S498" s="52"/>
      <c r="T498" s="53"/>
      <c r="U498" s="53"/>
      <c r="V498" s="53"/>
      <c r="W498" s="53"/>
      <c r="X498" s="56" t="s">
        <v>450</v>
      </c>
      <c r="Y498" s="56" t="s">
        <v>450</v>
      </c>
      <c r="Z498" s="56" t="s">
        <v>450</v>
      </c>
      <c r="AA498" s="62" t="s">
        <v>450</v>
      </c>
      <c r="AC498" s="24"/>
    </row>
    <row r="499" spans="2:29" ht="120" customHeight="1" x14ac:dyDescent="0.25">
      <c r="B499" s="52" t="s">
        <v>71</v>
      </c>
      <c r="C499" s="52" t="s">
        <v>2014</v>
      </c>
      <c r="D499" s="52" t="s">
        <v>2015</v>
      </c>
      <c r="E499" s="53">
        <v>1</v>
      </c>
      <c r="F499" s="52" t="s">
        <v>336</v>
      </c>
      <c r="G499" s="52" t="s">
        <v>337</v>
      </c>
      <c r="H499" s="52" t="s">
        <v>338</v>
      </c>
      <c r="I499" s="53">
        <v>47</v>
      </c>
      <c r="J499" s="52" t="s">
        <v>339</v>
      </c>
      <c r="K499" s="53">
        <v>23</v>
      </c>
      <c r="L499" s="53"/>
      <c r="M499" s="54" t="s">
        <v>340</v>
      </c>
      <c r="N499" s="54" t="s">
        <v>341</v>
      </c>
      <c r="O499" s="53"/>
      <c r="P499" s="52"/>
      <c r="Q499" s="56"/>
      <c r="R499" s="52"/>
      <c r="S499" s="53"/>
      <c r="T499" s="53"/>
      <c r="U499" s="53"/>
      <c r="V499" s="53"/>
      <c r="W499" s="53"/>
      <c r="X499" s="56" t="s">
        <v>450</v>
      </c>
      <c r="Y499" s="56" t="s">
        <v>450</v>
      </c>
      <c r="Z499" s="56" t="s">
        <v>450</v>
      </c>
      <c r="AA499" s="62" t="s">
        <v>450</v>
      </c>
      <c r="AC499" s="24"/>
    </row>
    <row r="500" spans="2:29" ht="120" customHeight="1" x14ac:dyDescent="0.25">
      <c r="B500" s="52" t="s">
        <v>66</v>
      </c>
      <c r="C500" s="52" t="s">
        <v>2120</v>
      </c>
      <c r="D500" s="52" t="s">
        <v>2121</v>
      </c>
      <c r="E500" s="53">
        <v>1</v>
      </c>
      <c r="F500" s="52" t="s">
        <v>137</v>
      </c>
      <c r="G500" s="52" t="s">
        <v>138</v>
      </c>
      <c r="H500" s="52" t="s">
        <v>139</v>
      </c>
      <c r="I500" s="53">
        <v>1</v>
      </c>
      <c r="J500" s="52" t="s">
        <v>140</v>
      </c>
      <c r="K500" s="53">
        <v>4</v>
      </c>
      <c r="L500" s="53"/>
      <c r="M500" s="54" t="s">
        <v>141</v>
      </c>
      <c r="N500" s="54"/>
      <c r="O500" s="53" t="s">
        <v>142</v>
      </c>
      <c r="P500" s="52"/>
      <c r="Q500" s="56" t="s">
        <v>143</v>
      </c>
      <c r="R500" s="56" t="s">
        <v>1799</v>
      </c>
      <c r="S500" s="53"/>
      <c r="T500" s="53"/>
      <c r="U500" s="53"/>
      <c r="V500" s="53"/>
      <c r="W500" s="53"/>
      <c r="X500" s="52" t="s">
        <v>1378</v>
      </c>
      <c r="Y500" s="55" t="s">
        <v>351</v>
      </c>
      <c r="Z500" s="55" t="s">
        <v>351</v>
      </c>
      <c r="AA500" s="53" t="s">
        <v>353</v>
      </c>
      <c r="AC500" s="24"/>
    </row>
    <row r="501" spans="2:29" ht="120" customHeight="1" x14ac:dyDescent="0.25">
      <c r="B501" s="52" t="s">
        <v>66</v>
      </c>
      <c r="C501" s="52" t="s">
        <v>2120</v>
      </c>
      <c r="D501" s="52" t="s">
        <v>2121</v>
      </c>
      <c r="E501" s="53">
        <v>1</v>
      </c>
      <c r="F501" s="52" t="s">
        <v>152</v>
      </c>
      <c r="G501" s="52" t="s">
        <v>153</v>
      </c>
      <c r="H501" s="52" t="s">
        <v>139</v>
      </c>
      <c r="I501" s="53">
        <v>2</v>
      </c>
      <c r="J501" s="52" t="s">
        <v>140</v>
      </c>
      <c r="K501" s="53">
        <v>30</v>
      </c>
      <c r="L501" s="53"/>
      <c r="M501" s="54" t="s">
        <v>154</v>
      </c>
      <c r="N501" s="54" t="s">
        <v>155</v>
      </c>
      <c r="O501" s="53" t="s">
        <v>142</v>
      </c>
      <c r="P501" s="52"/>
      <c r="Q501" s="56" t="s">
        <v>143</v>
      </c>
      <c r="R501" s="56" t="s">
        <v>1799</v>
      </c>
      <c r="S501" s="53"/>
      <c r="T501" s="53"/>
      <c r="U501" s="53"/>
      <c r="V501" s="53"/>
      <c r="W501" s="53"/>
      <c r="X501" s="52" t="s">
        <v>1378</v>
      </c>
      <c r="Y501" s="55" t="s">
        <v>1375</v>
      </c>
      <c r="Z501" s="55" t="s">
        <v>1376</v>
      </c>
      <c r="AA501" s="53" t="s">
        <v>351</v>
      </c>
      <c r="AC501" s="24"/>
    </row>
    <row r="502" spans="2:29" ht="120" customHeight="1" x14ac:dyDescent="0.25">
      <c r="B502" s="52" t="s">
        <v>66</v>
      </c>
      <c r="C502" s="52" t="s">
        <v>2120</v>
      </c>
      <c r="D502" s="52" t="s">
        <v>2121</v>
      </c>
      <c r="E502" s="53">
        <v>1</v>
      </c>
      <c r="F502" s="52" t="s">
        <v>164</v>
      </c>
      <c r="G502" s="52" t="s">
        <v>165</v>
      </c>
      <c r="H502" s="55" t="s">
        <v>166</v>
      </c>
      <c r="I502" s="53">
        <v>3</v>
      </c>
      <c r="J502" s="52" t="s">
        <v>140</v>
      </c>
      <c r="K502" s="53">
        <v>20</v>
      </c>
      <c r="L502" s="53"/>
      <c r="M502" s="54" t="s">
        <v>167</v>
      </c>
      <c r="N502" s="54" t="s">
        <v>168</v>
      </c>
      <c r="O502" s="53"/>
      <c r="P502" s="54" t="s">
        <v>971</v>
      </c>
      <c r="Q502" s="56"/>
      <c r="R502" s="52"/>
      <c r="S502" s="53"/>
      <c r="T502" s="53"/>
      <c r="U502" s="53"/>
      <c r="V502" s="53"/>
      <c r="W502" s="53"/>
      <c r="X502" s="56" t="s">
        <v>1378</v>
      </c>
      <c r="Y502" s="54" t="s">
        <v>1375</v>
      </c>
      <c r="Z502" s="56" t="s">
        <v>1379</v>
      </c>
      <c r="AA502" s="53" t="s">
        <v>351</v>
      </c>
      <c r="AC502" s="24"/>
    </row>
    <row r="503" spans="2:29" ht="120" customHeight="1" x14ac:dyDescent="0.25">
      <c r="B503" s="52" t="s">
        <v>66</v>
      </c>
      <c r="C503" s="52" t="s">
        <v>2120</v>
      </c>
      <c r="D503" s="52" t="s">
        <v>2121</v>
      </c>
      <c r="E503" s="53">
        <v>1</v>
      </c>
      <c r="F503" s="52" t="s">
        <v>172</v>
      </c>
      <c r="G503" s="52" t="s">
        <v>173</v>
      </c>
      <c r="H503" s="55" t="s">
        <v>166</v>
      </c>
      <c r="I503" s="53">
        <v>4</v>
      </c>
      <c r="J503" s="52" t="s">
        <v>140</v>
      </c>
      <c r="K503" s="53">
        <v>20</v>
      </c>
      <c r="L503" s="53"/>
      <c r="M503" s="54" t="s">
        <v>174</v>
      </c>
      <c r="N503" s="54" t="s">
        <v>175</v>
      </c>
      <c r="O503" s="53"/>
      <c r="P503" s="56" t="s">
        <v>2122</v>
      </c>
      <c r="Q503" s="56" t="s">
        <v>177</v>
      </c>
      <c r="R503" s="56" t="s">
        <v>178</v>
      </c>
      <c r="S503" s="53"/>
      <c r="T503" s="53"/>
      <c r="U503" s="53"/>
      <c r="V503" s="53"/>
      <c r="W503" s="53"/>
      <c r="X503" s="52" t="s">
        <v>1378</v>
      </c>
      <c r="Y503" s="55" t="s">
        <v>1375</v>
      </c>
      <c r="Z503" s="55" t="s">
        <v>534</v>
      </c>
      <c r="AA503" s="53" t="s">
        <v>351</v>
      </c>
      <c r="AC503" s="24"/>
    </row>
    <row r="504" spans="2:29" ht="120" customHeight="1" x14ac:dyDescent="0.25">
      <c r="B504" s="52" t="s">
        <v>66</v>
      </c>
      <c r="C504" s="52" t="s">
        <v>2120</v>
      </c>
      <c r="D504" s="52" t="s">
        <v>2121</v>
      </c>
      <c r="E504" s="53">
        <v>1</v>
      </c>
      <c r="F504" s="52" t="s">
        <v>184</v>
      </c>
      <c r="G504" s="52" t="s">
        <v>185</v>
      </c>
      <c r="H504" s="55" t="s">
        <v>166</v>
      </c>
      <c r="I504" s="53">
        <v>5</v>
      </c>
      <c r="J504" s="52" t="s">
        <v>140</v>
      </c>
      <c r="K504" s="53">
        <v>20</v>
      </c>
      <c r="L504" s="53"/>
      <c r="M504" s="54" t="s">
        <v>186</v>
      </c>
      <c r="N504" s="54" t="s">
        <v>187</v>
      </c>
      <c r="O504" s="53"/>
      <c r="P504" s="56" t="s">
        <v>2123</v>
      </c>
      <c r="Q504" s="56" t="s">
        <v>177</v>
      </c>
      <c r="R504" s="56" t="s">
        <v>189</v>
      </c>
      <c r="S504" s="53"/>
      <c r="T504" s="53"/>
      <c r="U504" s="53"/>
      <c r="V504" s="53"/>
      <c r="W504" s="53"/>
      <c r="X504" s="52" t="s">
        <v>1378</v>
      </c>
      <c r="Y504" s="55" t="s">
        <v>1375</v>
      </c>
      <c r="Z504" s="55" t="s">
        <v>538</v>
      </c>
      <c r="AA504" s="53" t="s">
        <v>351</v>
      </c>
      <c r="AC504" s="24"/>
    </row>
    <row r="505" spans="2:29" ht="120" customHeight="1" x14ac:dyDescent="0.25">
      <c r="B505" s="52" t="s">
        <v>66</v>
      </c>
      <c r="C505" s="52" t="s">
        <v>2120</v>
      </c>
      <c r="D505" s="52" t="s">
        <v>2121</v>
      </c>
      <c r="E505" s="53">
        <v>1</v>
      </c>
      <c r="F505" s="52" t="s">
        <v>193</v>
      </c>
      <c r="G505" s="52" t="s">
        <v>194</v>
      </c>
      <c r="H505" s="55" t="s">
        <v>166</v>
      </c>
      <c r="I505" s="53">
        <v>6</v>
      </c>
      <c r="J505" s="52" t="s">
        <v>140</v>
      </c>
      <c r="K505" s="53">
        <v>4</v>
      </c>
      <c r="L505" s="53"/>
      <c r="M505" s="79" t="s">
        <v>2124</v>
      </c>
      <c r="N505" s="54"/>
      <c r="O505" s="53"/>
      <c r="P505" s="52"/>
      <c r="Q505" s="56" t="s">
        <v>219</v>
      </c>
      <c r="R505" s="56" t="s">
        <v>387</v>
      </c>
      <c r="S505" s="55"/>
      <c r="T505" s="55"/>
      <c r="U505" s="55"/>
      <c r="V505" s="55"/>
      <c r="W505" s="55"/>
      <c r="X505" s="52" t="s">
        <v>1378</v>
      </c>
      <c r="Y505" s="55" t="s">
        <v>351</v>
      </c>
      <c r="Z505" s="55" t="s">
        <v>351</v>
      </c>
      <c r="AA505" s="53" t="s">
        <v>353</v>
      </c>
      <c r="AC505" s="24"/>
    </row>
    <row r="506" spans="2:29" ht="120" customHeight="1" x14ac:dyDescent="0.25">
      <c r="B506" s="52" t="s">
        <v>66</v>
      </c>
      <c r="C506" s="52" t="s">
        <v>2120</v>
      </c>
      <c r="D506" s="52" t="s">
        <v>2121</v>
      </c>
      <c r="E506" s="53">
        <v>1</v>
      </c>
      <c r="F506" s="52" t="s">
        <v>203</v>
      </c>
      <c r="G506" s="52" t="s">
        <v>204</v>
      </c>
      <c r="H506" s="55" t="s">
        <v>166</v>
      </c>
      <c r="I506" s="53">
        <v>7</v>
      </c>
      <c r="J506" s="52" t="s">
        <v>140</v>
      </c>
      <c r="K506" s="53">
        <v>30</v>
      </c>
      <c r="L506" s="53"/>
      <c r="M506" s="54" t="s">
        <v>2125</v>
      </c>
      <c r="N506" s="54" t="s">
        <v>206</v>
      </c>
      <c r="O506" s="53"/>
      <c r="P506" s="52"/>
      <c r="Q506" s="56" t="s">
        <v>219</v>
      </c>
      <c r="R506" s="56" t="s">
        <v>387</v>
      </c>
      <c r="S506" s="53"/>
      <c r="T506" s="53"/>
      <c r="U506" s="53"/>
      <c r="V506" s="53"/>
      <c r="W506" s="53"/>
      <c r="X506" s="56" t="s">
        <v>1818</v>
      </c>
      <c r="Y506" s="54" t="s">
        <v>1819</v>
      </c>
      <c r="Z506" s="54" t="s">
        <v>1820</v>
      </c>
      <c r="AA506" s="62" t="s">
        <v>463</v>
      </c>
      <c r="AC506" s="24"/>
    </row>
    <row r="507" spans="2:29" ht="120" customHeight="1" x14ac:dyDescent="0.25">
      <c r="B507" s="52" t="s">
        <v>66</v>
      </c>
      <c r="C507" s="52" t="s">
        <v>2120</v>
      </c>
      <c r="D507" s="52" t="s">
        <v>2121</v>
      </c>
      <c r="E507" s="53">
        <v>1</v>
      </c>
      <c r="F507" s="52" t="s">
        <v>214</v>
      </c>
      <c r="G507" s="52" t="s">
        <v>215</v>
      </c>
      <c r="H507" s="55" t="s">
        <v>216</v>
      </c>
      <c r="I507" s="53">
        <v>8</v>
      </c>
      <c r="J507" s="52" t="s">
        <v>952</v>
      </c>
      <c r="K507" s="53">
        <v>10</v>
      </c>
      <c r="L507" s="53"/>
      <c r="M507" s="54" t="s">
        <v>217</v>
      </c>
      <c r="N507" s="54" t="s">
        <v>218</v>
      </c>
      <c r="O507" s="53"/>
      <c r="P507" s="52"/>
      <c r="Q507" s="56" t="s">
        <v>219</v>
      </c>
      <c r="R507" s="52" t="s">
        <v>214</v>
      </c>
      <c r="S507" s="53"/>
      <c r="T507" s="53"/>
      <c r="U507" s="53"/>
      <c r="V507" s="53"/>
      <c r="W507" s="53"/>
      <c r="X507" s="52" t="s">
        <v>1378</v>
      </c>
      <c r="Y507" s="55" t="s">
        <v>1375</v>
      </c>
      <c r="Z507" s="55" t="s">
        <v>708</v>
      </c>
      <c r="AA507" s="53" t="s">
        <v>351</v>
      </c>
      <c r="AC507" s="24"/>
    </row>
    <row r="508" spans="2:29" ht="120" customHeight="1" x14ac:dyDescent="0.25">
      <c r="B508" s="52" t="s">
        <v>66</v>
      </c>
      <c r="C508" s="52" t="s">
        <v>2120</v>
      </c>
      <c r="D508" s="52" t="s">
        <v>2121</v>
      </c>
      <c r="E508" s="53">
        <v>1</v>
      </c>
      <c r="F508" s="52" t="s">
        <v>226</v>
      </c>
      <c r="G508" s="52" t="s">
        <v>227</v>
      </c>
      <c r="H508" s="55" t="s">
        <v>216</v>
      </c>
      <c r="I508" s="53">
        <v>9</v>
      </c>
      <c r="J508" s="52" t="s">
        <v>952</v>
      </c>
      <c r="K508" s="53">
        <v>10</v>
      </c>
      <c r="L508" s="53"/>
      <c r="M508" s="54" t="s">
        <v>228</v>
      </c>
      <c r="N508" s="54" t="s">
        <v>2126</v>
      </c>
      <c r="O508" s="53"/>
      <c r="P508" s="52"/>
      <c r="Q508" s="56" t="s">
        <v>230</v>
      </c>
      <c r="R508" s="52" t="s">
        <v>226</v>
      </c>
      <c r="S508" s="53"/>
      <c r="T508" s="53"/>
      <c r="U508" s="53"/>
      <c r="V508" s="53"/>
      <c r="W508" s="53"/>
      <c r="X508" s="56" t="s">
        <v>1393</v>
      </c>
      <c r="Y508" s="54" t="s">
        <v>2127</v>
      </c>
      <c r="Z508" s="54" t="s">
        <v>2128</v>
      </c>
      <c r="AA508" s="66" t="s">
        <v>2129</v>
      </c>
      <c r="AC508" s="24"/>
    </row>
    <row r="509" spans="2:29" ht="120" customHeight="1" x14ac:dyDescent="0.25">
      <c r="B509" s="52" t="s">
        <v>66</v>
      </c>
      <c r="C509" s="52" t="s">
        <v>2120</v>
      </c>
      <c r="D509" s="52" t="s">
        <v>2121</v>
      </c>
      <c r="E509" s="53">
        <v>1</v>
      </c>
      <c r="F509" s="52" t="s">
        <v>238</v>
      </c>
      <c r="G509" s="52" t="s">
        <v>239</v>
      </c>
      <c r="H509" s="55" t="s">
        <v>240</v>
      </c>
      <c r="I509" s="53">
        <v>10</v>
      </c>
      <c r="J509" s="52" t="s">
        <v>140</v>
      </c>
      <c r="K509" s="53">
        <v>3</v>
      </c>
      <c r="L509" s="53"/>
      <c r="M509" s="54" t="s">
        <v>241</v>
      </c>
      <c r="N509" s="54" t="s">
        <v>242</v>
      </c>
      <c r="O509" s="53"/>
      <c r="P509" s="56" t="s">
        <v>1151</v>
      </c>
      <c r="Q509" s="56" t="s">
        <v>244</v>
      </c>
      <c r="R509" s="56" t="s">
        <v>245</v>
      </c>
      <c r="S509" s="53"/>
      <c r="T509" s="53"/>
      <c r="U509" s="53"/>
      <c r="V509" s="53"/>
      <c r="W509" s="53"/>
      <c r="X509" s="52" t="s">
        <v>1378</v>
      </c>
      <c r="Y509" s="55" t="s">
        <v>1375</v>
      </c>
      <c r="Z509" s="55" t="s">
        <v>406</v>
      </c>
      <c r="AA509" s="53" t="s">
        <v>351</v>
      </c>
      <c r="AC509" s="24"/>
    </row>
    <row r="510" spans="2:29" ht="120" customHeight="1" x14ac:dyDescent="0.25">
      <c r="B510" s="52" t="s">
        <v>66</v>
      </c>
      <c r="C510" s="52" t="s">
        <v>2120</v>
      </c>
      <c r="D510" s="52" t="s">
        <v>2121</v>
      </c>
      <c r="E510" s="53">
        <v>1</v>
      </c>
      <c r="F510" s="52" t="s">
        <v>253</v>
      </c>
      <c r="G510" s="52" t="s">
        <v>254</v>
      </c>
      <c r="H510" s="55" t="s">
        <v>255</v>
      </c>
      <c r="I510" s="53">
        <v>11</v>
      </c>
      <c r="J510" s="52" t="s">
        <v>1637</v>
      </c>
      <c r="K510" s="53"/>
      <c r="L510" s="53"/>
      <c r="M510" s="54" t="s">
        <v>256</v>
      </c>
      <c r="N510" s="54"/>
      <c r="O510" s="53"/>
      <c r="P510" s="55"/>
      <c r="Q510" s="65"/>
      <c r="R510" s="63"/>
      <c r="S510" s="73"/>
      <c r="T510" s="73"/>
      <c r="U510" s="73"/>
      <c r="V510" s="73"/>
      <c r="W510" s="73"/>
      <c r="X510" s="56" t="s">
        <v>1393</v>
      </c>
      <c r="Y510" s="54" t="s">
        <v>542</v>
      </c>
      <c r="Z510" s="54" t="s">
        <v>542</v>
      </c>
      <c r="AA510" s="62" t="s">
        <v>570</v>
      </c>
      <c r="AC510" s="24"/>
    </row>
    <row r="511" spans="2:29" ht="120" customHeight="1" x14ac:dyDescent="0.25">
      <c r="B511" s="52" t="s">
        <v>66</v>
      </c>
      <c r="C511" s="52" t="s">
        <v>2120</v>
      </c>
      <c r="D511" s="52" t="s">
        <v>2121</v>
      </c>
      <c r="E511" s="53">
        <v>1</v>
      </c>
      <c r="F511" s="52" t="s">
        <v>272</v>
      </c>
      <c r="G511" s="52" t="s">
        <v>273</v>
      </c>
      <c r="H511" s="52" t="s">
        <v>262</v>
      </c>
      <c r="I511" s="53">
        <v>12</v>
      </c>
      <c r="J511" s="52" t="s">
        <v>263</v>
      </c>
      <c r="K511" s="53">
        <v>23</v>
      </c>
      <c r="L511" s="53">
        <v>6</v>
      </c>
      <c r="M511" s="54" t="s">
        <v>2130</v>
      </c>
      <c r="N511" s="54"/>
      <c r="O511" s="53"/>
      <c r="P511" s="55"/>
      <c r="Q511" s="54" t="s">
        <v>219</v>
      </c>
      <c r="R511" s="54" t="s">
        <v>265</v>
      </c>
      <c r="S511" s="53"/>
      <c r="T511" s="52"/>
      <c r="U511" s="52"/>
      <c r="V511" s="53"/>
      <c r="W511" s="53"/>
      <c r="X511" s="52" t="s">
        <v>1378</v>
      </c>
      <c r="Y511" s="55" t="s">
        <v>1434</v>
      </c>
      <c r="Z511" s="55" t="s">
        <v>2131</v>
      </c>
      <c r="AA511" s="53" t="s">
        <v>542</v>
      </c>
      <c r="AC511" s="24"/>
    </row>
    <row r="512" spans="2:29" ht="120" customHeight="1" x14ac:dyDescent="0.25">
      <c r="B512" s="52" t="s">
        <v>66</v>
      </c>
      <c r="C512" s="52" t="s">
        <v>2120</v>
      </c>
      <c r="D512" s="52" t="s">
        <v>2121</v>
      </c>
      <c r="E512" s="53">
        <v>1</v>
      </c>
      <c r="F512" s="52" t="s">
        <v>801</v>
      </c>
      <c r="G512" s="52" t="s">
        <v>802</v>
      </c>
      <c r="H512" s="52" t="s">
        <v>262</v>
      </c>
      <c r="I512" s="53">
        <v>13</v>
      </c>
      <c r="J512" s="52" t="s">
        <v>263</v>
      </c>
      <c r="K512" s="53">
        <v>23</v>
      </c>
      <c r="L512" s="53">
        <v>6</v>
      </c>
      <c r="M512" s="54" t="s">
        <v>2132</v>
      </c>
      <c r="N512" s="54"/>
      <c r="O512" s="53"/>
      <c r="P512" s="55"/>
      <c r="Q512" s="54" t="s">
        <v>284</v>
      </c>
      <c r="R512" s="55" t="s">
        <v>285</v>
      </c>
      <c r="S512" s="53"/>
      <c r="T512" s="52"/>
      <c r="U512" s="52"/>
      <c r="V512" s="53"/>
      <c r="W512" s="53"/>
      <c r="X512" s="52" t="s">
        <v>1378</v>
      </c>
      <c r="Y512" s="55" t="s">
        <v>1375</v>
      </c>
      <c r="Z512" s="55" t="s">
        <v>1410</v>
      </c>
      <c r="AA512" s="62" t="s">
        <v>351</v>
      </c>
      <c r="AC512" s="24"/>
    </row>
    <row r="513" spans="2:29" ht="120" customHeight="1" x14ac:dyDescent="0.25">
      <c r="B513" s="52" t="s">
        <v>66</v>
      </c>
      <c r="C513" s="52" t="s">
        <v>2120</v>
      </c>
      <c r="D513" s="52" t="s">
        <v>2121</v>
      </c>
      <c r="E513" s="53">
        <v>1</v>
      </c>
      <c r="F513" s="52" t="s">
        <v>581</v>
      </c>
      <c r="G513" s="52" t="s">
        <v>582</v>
      </c>
      <c r="H513" s="52" t="s">
        <v>262</v>
      </c>
      <c r="I513" s="53">
        <v>14</v>
      </c>
      <c r="J513" s="52" t="s">
        <v>263</v>
      </c>
      <c r="K513" s="53">
        <v>23</v>
      </c>
      <c r="L513" s="53">
        <v>6</v>
      </c>
      <c r="M513" s="54" t="s">
        <v>583</v>
      </c>
      <c r="N513" s="54"/>
      <c r="O513" s="53"/>
      <c r="P513" s="55"/>
      <c r="Q513" s="54"/>
      <c r="R513" s="55"/>
      <c r="S513" s="53"/>
      <c r="T513" s="53"/>
      <c r="U513" s="53"/>
      <c r="V513" s="53"/>
      <c r="W513" s="53"/>
      <c r="X513" s="52" t="s">
        <v>1378</v>
      </c>
      <c r="Y513" s="55" t="s">
        <v>1375</v>
      </c>
      <c r="Z513" s="55" t="s">
        <v>715</v>
      </c>
      <c r="AA513" s="53" t="s">
        <v>351</v>
      </c>
      <c r="AC513" s="24"/>
    </row>
    <row r="514" spans="2:29" ht="120" customHeight="1" x14ac:dyDescent="0.25">
      <c r="B514" s="52" t="s">
        <v>66</v>
      </c>
      <c r="C514" s="52" t="s">
        <v>2120</v>
      </c>
      <c r="D514" s="52" t="s">
        <v>2121</v>
      </c>
      <c r="E514" s="53">
        <v>1</v>
      </c>
      <c r="F514" s="52" t="s">
        <v>281</v>
      </c>
      <c r="G514" s="52" t="s">
        <v>282</v>
      </c>
      <c r="H514" s="52" t="s">
        <v>262</v>
      </c>
      <c r="I514" s="53">
        <v>15</v>
      </c>
      <c r="J514" s="52" t="s">
        <v>263</v>
      </c>
      <c r="K514" s="53">
        <v>23</v>
      </c>
      <c r="L514" s="53">
        <v>6</v>
      </c>
      <c r="M514" s="54" t="s">
        <v>283</v>
      </c>
      <c r="N514" s="54"/>
      <c r="O514" s="53"/>
      <c r="P514" s="55"/>
      <c r="Q514" s="54"/>
      <c r="R514" s="55"/>
      <c r="S514" s="53"/>
      <c r="T514" s="53"/>
      <c r="U514" s="53"/>
      <c r="V514" s="53"/>
      <c r="W514" s="53"/>
      <c r="X514" s="52" t="s">
        <v>1378</v>
      </c>
      <c r="Y514" s="55" t="s">
        <v>1375</v>
      </c>
      <c r="Z514" s="55" t="s">
        <v>715</v>
      </c>
      <c r="AA514" s="53" t="s">
        <v>351</v>
      </c>
      <c r="AC514" s="24"/>
    </row>
    <row r="515" spans="2:29" ht="120" customHeight="1" x14ac:dyDescent="0.25">
      <c r="B515" s="52" t="s">
        <v>66</v>
      </c>
      <c r="C515" s="52" t="s">
        <v>2120</v>
      </c>
      <c r="D515" s="52" t="s">
        <v>2121</v>
      </c>
      <c r="E515" s="53">
        <v>1</v>
      </c>
      <c r="F515" s="52" t="s">
        <v>291</v>
      </c>
      <c r="G515" s="52" t="s">
        <v>292</v>
      </c>
      <c r="H515" s="52" t="s">
        <v>262</v>
      </c>
      <c r="I515" s="53">
        <v>16</v>
      </c>
      <c r="J515" s="52" t="s">
        <v>263</v>
      </c>
      <c r="K515" s="53">
        <v>23</v>
      </c>
      <c r="L515" s="53">
        <v>6</v>
      </c>
      <c r="M515" s="54" t="s">
        <v>293</v>
      </c>
      <c r="N515" s="54"/>
      <c r="O515" s="53"/>
      <c r="P515" s="55"/>
      <c r="Q515" s="65"/>
      <c r="R515" s="63"/>
      <c r="S515" s="73"/>
      <c r="T515" s="73"/>
      <c r="U515" s="73"/>
      <c r="V515" s="73"/>
      <c r="W515" s="73"/>
      <c r="X515" s="56" t="s">
        <v>1393</v>
      </c>
      <c r="Y515" s="70" t="s">
        <v>626</v>
      </c>
      <c r="Z515" s="54" t="s">
        <v>2133</v>
      </c>
      <c r="AA515" s="62" t="s">
        <v>628</v>
      </c>
      <c r="AC515" s="24"/>
    </row>
    <row r="516" spans="2:29" ht="120" customHeight="1" x14ac:dyDescent="0.25">
      <c r="B516" s="68" t="s">
        <v>66</v>
      </c>
      <c r="C516" s="68" t="s">
        <v>2120</v>
      </c>
      <c r="D516" s="68" t="s">
        <v>2121</v>
      </c>
      <c r="E516" s="80">
        <v>1</v>
      </c>
      <c r="F516" s="68" t="s">
        <v>1681</v>
      </c>
      <c r="G516" s="68" t="s">
        <v>1682</v>
      </c>
      <c r="H516" s="77" t="s">
        <v>1332</v>
      </c>
      <c r="I516" s="80">
        <v>19</v>
      </c>
      <c r="J516" s="52" t="s">
        <v>1637</v>
      </c>
      <c r="K516" s="53"/>
      <c r="L516" s="80"/>
      <c r="M516" s="75" t="s">
        <v>1835</v>
      </c>
      <c r="N516" s="75"/>
      <c r="O516" s="80"/>
      <c r="P516" s="75"/>
      <c r="Q516" s="75"/>
      <c r="R516" s="77"/>
      <c r="S516" s="68"/>
      <c r="T516" s="77"/>
      <c r="U516" s="77"/>
      <c r="V516" s="80"/>
      <c r="W516" s="80"/>
      <c r="X516" s="68" t="s">
        <v>2134</v>
      </c>
      <c r="Y516" s="75" t="s">
        <v>2135</v>
      </c>
      <c r="Z516" s="75" t="s">
        <v>2136</v>
      </c>
      <c r="AA516" s="78" t="s">
        <v>542</v>
      </c>
      <c r="AC516" s="24"/>
    </row>
    <row r="517" spans="2:29" ht="120" customHeight="1" x14ac:dyDescent="0.25">
      <c r="B517" s="68" t="s">
        <v>66</v>
      </c>
      <c r="C517" s="68" t="s">
        <v>2120</v>
      </c>
      <c r="D517" s="68" t="s">
        <v>2121</v>
      </c>
      <c r="E517" s="80">
        <v>1</v>
      </c>
      <c r="F517" s="68" t="s">
        <v>1687</v>
      </c>
      <c r="G517" s="68" t="s">
        <v>1688</v>
      </c>
      <c r="H517" s="77" t="s">
        <v>631</v>
      </c>
      <c r="I517" s="80">
        <v>20</v>
      </c>
      <c r="J517" s="68" t="s">
        <v>140</v>
      </c>
      <c r="K517" s="80">
        <v>20</v>
      </c>
      <c r="L517" s="80"/>
      <c r="M517" s="75" t="s">
        <v>1457</v>
      </c>
      <c r="N517" s="75"/>
      <c r="O517" s="80"/>
      <c r="P517" s="75" t="s">
        <v>1458</v>
      </c>
      <c r="Q517" s="75"/>
      <c r="R517" s="77"/>
      <c r="S517" s="68"/>
      <c r="T517" s="77"/>
      <c r="U517" s="77"/>
      <c r="V517" s="80"/>
      <c r="W517" s="80"/>
      <c r="X517" s="68" t="s">
        <v>2137</v>
      </c>
      <c r="Y517" s="75" t="s">
        <v>2138</v>
      </c>
      <c r="Z517" s="75" t="s">
        <v>2139</v>
      </c>
      <c r="AA517" s="78" t="s">
        <v>2140</v>
      </c>
      <c r="AC517" s="24"/>
    </row>
    <row r="518" spans="2:29" ht="120" customHeight="1" x14ac:dyDescent="0.25">
      <c r="B518" s="68" t="s">
        <v>66</v>
      </c>
      <c r="C518" s="68" t="s">
        <v>2120</v>
      </c>
      <c r="D518" s="68" t="s">
        <v>2121</v>
      </c>
      <c r="E518" s="80">
        <v>1</v>
      </c>
      <c r="F518" s="68" t="s">
        <v>1694</v>
      </c>
      <c r="G518" s="68" t="s">
        <v>1695</v>
      </c>
      <c r="H518" s="77" t="s">
        <v>650</v>
      </c>
      <c r="I518" s="80">
        <v>21</v>
      </c>
      <c r="J518" s="68" t="s">
        <v>263</v>
      </c>
      <c r="K518" s="80">
        <v>23</v>
      </c>
      <c r="L518" s="80">
        <v>6</v>
      </c>
      <c r="M518" s="75" t="s">
        <v>1840</v>
      </c>
      <c r="N518" s="75"/>
      <c r="O518" s="80"/>
      <c r="P518" s="77"/>
      <c r="Q518" s="75"/>
      <c r="R518" s="77"/>
      <c r="S518" s="68"/>
      <c r="T518" s="77"/>
      <c r="U518" s="77"/>
      <c r="V518" s="80"/>
      <c r="W518" s="80"/>
      <c r="X518" s="68" t="s">
        <v>1378</v>
      </c>
      <c r="Y518" s="88" t="s">
        <v>2141</v>
      </c>
      <c r="Z518" s="88" t="s">
        <v>2142</v>
      </c>
      <c r="AA518" s="78" t="s">
        <v>351</v>
      </c>
      <c r="AC518" s="24"/>
    </row>
    <row r="519" spans="2:29" ht="120" customHeight="1" x14ac:dyDescent="0.25">
      <c r="B519" s="68" t="s">
        <v>66</v>
      </c>
      <c r="C519" s="68" t="s">
        <v>2120</v>
      </c>
      <c r="D519" s="68" t="s">
        <v>2121</v>
      </c>
      <c r="E519" s="80">
        <v>1</v>
      </c>
      <c r="F519" s="68" t="s">
        <v>1700</v>
      </c>
      <c r="G519" s="68" t="s">
        <v>1701</v>
      </c>
      <c r="H519" s="77" t="s">
        <v>650</v>
      </c>
      <c r="I519" s="80">
        <v>22</v>
      </c>
      <c r="J519" s="68" t="s">
        <v>263</v>
      </c>
      <c r="K519" s="80">
        <v>23</v>
      </c>
      <c r="L519" s="80">
        <v>6</v>
      </c>
      <c r="M519" s="75" t="s">
        <v>1464</v>
      </c>
      <c r="N519" s="75"/>
      <c r="O519" s="80"/>
      <c r="P519" s="77"/>
      <c r="Q519" s="75"/>
      <c r="R519" s="77"/>
      <c r="S519" s="68"/>
      <c r="T519" s="77"/>
      <c r="U519" s="77"/>
      <c r="V519" s="80"/>
      <c r="W519" s="80"/>
      <c r="X519" s="68" t="s">
        <v>1378</v>
      </c>
      <c r="Y519" s="75" t="s">
        <v>2135</v>
      </c>
      <c r="Z519" s="75" t="s">
        <v>2143</v>
      </c>
      <c r="AA519" s="78" t="s">
        <v>542</v>
      </c>
      <c r="AC519" s="24"/>
    </row>
    <row r="520" spans="2:29" ht="120" customHeight="1" x14ac:dyDescent="0.25">
      <c r="B520" s="68" t="s">
        <v>66</v>
      </c>
      <c r="C520" s="68" t="s">
        <v>2120</v>
      </c>
      <c r="D520" s="68" t="s">
        <v>2121</v>
      </c>
      <c r="E520" s="80">
        <v>1</v>
      </c>
      <c r="F520" s="68" t="s">
        <v>1336</v>
      </c>
      <c r="G520" s="68" t="s">
        <v>1337</v>
      </c>
      <c r="H520" s="77" t="s">
        <v>650</v>
      </c>
      <c r="I520" s="80">
        <v>23</v>
      </c>
      <c r="J520" s="68" t="s">
        <v>263</v>
      </c>
      <c r="K520" s="80">
        <v>23</v>
      </c>
      <c r="L520" s="80">
        <v>6</v>
      </c>
      <c r="M520" s="75" t="s">
        <v>1845</v>
      </c>
      <c r="N520" s="75" t="s">
        <v>1339</v>
      </c>
      <c r="O520" s="80"/>
      <c r="P520" s="68"/>
      <c r="Q520" s="69" t="s">
        <v>668</v>
      </c>
      <c r="R520" s="68" t="s">
        <v>1340</v>
      </c>
      <c r="S520" s="80"/>
      <c r="T520" s="80"/>
      <c r="U520" s="80"/>
      <c r="V520" s="80"/>
      <c r="W520" s="80"/>
      <c r="X520" s="68" t="s">
        <v>1378</v>
      </c>
      <c r="Y520" s="75" t="s">
        <v>2144</v>
      </c>
      <c r="Z520" s="88" t="s">
        <v>2145</v>
      </c>
      <c r="AA520" s="78" t="s">
        <v>542</v>
      </c>
      <c r="AC520" s="24"/>
    </row>
    <row r="521" spans="2:29" ht="120" customHeight="1" x14ac:dyDescent="0.25">
      <c r="B521" s="68" t="s">
        <v>66</v>
      </c>
      <c r="C521" s="68" t="s">
        <v>2120</v>
      </c>
      <c r="D521" s="68" t="s">
        <v>2121</v>
      </c>
      <c r="E521" s="80">
        <v>1</v>
      </c>
      <c r="F521" s="68" t="s">
        <v>629</v>
      </c>
      <c r="G521" s="68" t="s">
        <v>1345</v>
      </c>
      <c r="H521" s="77" t="s">
        <v>631</v>
      </c>
      <c r="I521" s="80">
        <v>24</v>
      </c>
      <c r="J521" s="68" t="s">
        <v>140</v>
      </c>
      <c r="K521" s="80">
        <v>3</v>
      </c>
      <c r="L521" s="80"/>
      <c r="M521" s="75" t="s">
        <v>1848</v>
      </c>
      <c r="N521" s="75"/>
      <c r="O521" s="80"/>
      <c r="P521" s="75" t="s">
        <v>891</v>
      </c>
      <c r="Q521" s="75"/>
      <c r="R521" s="77"/>
      <c r="S521" s="68"/>
      <c r="T521" s="77"/>
      <c r="U521" s="77"/>
      <c r="V521" s="80"/>
      <c r="W521" s="80"/>
      <c r="X521" s="68" t="s">
        <v>2137</v>
      </c>
      <c r="Y521" s="75" t="s">
        <v>2135</v>
      </c>
      <c r="Z521" s="75" t="s">
        <v>2136</v>
      </c>
      <c r="AA521" s="78" t="s">
        <v>542</v>
      </c>
      <c r="AC521" s="24"/>
    </row>
    <row r="522" spans="2:29" ht="120" customHeight="1" x14ac:dyDescent="0.25">
      <c r="B522" s="68" t="s">
        <v>66</v>
      </c>
      <c r="C522" s="68" t="s">
        <v>2120</v>
      </c>
      <c r="D522" s="68" t="s">
        <v>2121</v>
      </c>
      <c r="E522" s="80">
        <v>1</v>
      </c>
      <c r="F522" s="68" t="s">
        <v>639</v>
      </c>
      <c r="G522" s="68" t="s">
        <v>640</v>
      </c>
      <c r="H522" s="77" t="s">
        <v>631</v>
      </c>
      <c r="I522" s="80">
        <v>25</v>
      </c>
      <c r="J522" s="68" t="s">
        <v>140</v>
      </c>
      <c r="K522" s="80">
        <v>20</v>
      </c>
      <c r="L522" s="80"/>
      <c r="M522" s="75" t="s">
        <v>1472</v>
      </c>
      <c r="N522" s="75"/>
      <c r="O522" s="80"/>
      <c r="P522" s="75" t="s">
        <v>1473</v>
      </c>
      <c r="Q522" s="75"/>
      <c r="R522" s="77"/>
      <c r="S522" s="68"/>
      <c r="T522" s="77"/>
      <c r="U522" s="77"/>
      <c r="V522" s="80"/>
      <c r="W522" s="80"/>
      <c r="X522" s="68" t="s">
        <v>2137</v>
      </c>
      <c r="Y522" s="75" t="s">
        <v>2138</v>
      </c>
      <c r="Z522" s="75" t="s">
        <v>2139</v>
      </c>
      <c r="AA522" s="78" t="s">
        <v>2140</v>
      </c>
      <c r="AC522" s="24"/>
    </row>
    <row r="523" spans="2:29" ht="120" customHeight="1" x14ac:dyDescent="0.25">
      <c r="B523" s="68" t="s">
        <v>66</v>
      </c>
      <c r="C523" s="68" t="s">
        <v>2120</v>
      </c>
      <c r="D523" s="68" t="s">
        <v>2121</v>
      </c>
      <c r="E523" s="80">
        <v>1</v>
      </c>
      <c r="F523" s="68" t="s">
        <v>648</v>
      </c>
      <c r="G523" s="68" t="s">
        <v>649</v>
      </c>
      <c r="H523" s="77" t="s">
        <v>650</v>
      </c>
      <c r="I523" s="80">
        <v>26</v>
      </c>
      <c r="J523" s="68" t="s">
        <v>263</v>
      </c>
      <c r="K523" s="80">
        <v>23</v>
      </c>
      <c r="L523" s="80">
        <v>6</v>
      </c>
      <c r="M523" s="75" t="s">
        <v>1853</v>
      </c>
      <c r="N523" s="75"/>
      <c r="O523" s="80"/>
      <c r="P523" s="77"/>
      <c r="Q523" s="75"/>
      <c r="R523" s="77"/>
      <c r="S523" s="68"/>
      <c r="T523" s="77"/>
      <c r="U523" s="77"/>
      <c r="V523" s="80"/>
      <c r="W523" s="80"/>
      <c r="X523" s="68" t="s">
        <v>1378</v>
      </c>
      <c r="Y523" s="88" t="s">
        <v>2141</v>
      </c>
      <c r="Z523" s="88" t="s">
        <v>2142</v>
      </c>
      <c r="AA523" s="78" t="s">
        <v>351</v>
      </c>
      <c r="AC523" s="24"/>
    </row>
    <row r="524" spans="2:29" ht="120" customHeight="1" x14ac:dyDescent="0.25">
      <c r="B524" s="68" t="s">
        <v>66</v>
      </c>
      <c r="C524" s="68" t="s">
        <v>2120</v>
      </c>
      <c r="D524" s="68" t="s">
        <v>2121</v>
      </c>
      <c r="E524" s="80">
        <v>1</v>
      </c>
      <c r="F524" s="68" t="s">
        <v>657</v>
      </c>
      <c r="G524" s="68" t="s">
        <v>658</v>
      </c>
      <c r="H524" s="77" t="s">
        <v>650</v>
      </c>
      <c r="I524" s="80">
        <v>27</v>
      </c>
      <c r="J524" s="68" t="s">
        <v>263</v>
      </c>
      <c r="K524" s="80">
        <v>23</v>
      </c>
      <c r="L524" s="80">
        <v>6</v>
      </c>
      <c r="M524" s="75" t="s">
        <v>659</v>
      </c>
      <c r="N524" s="75"/>
      <c r="O524" s="80"/>
      <c r="P524" s="77"/>
      <c r="Q524" s="75"/>
      <c r="R524" s="77"/>
      <c r="S524" s="68"/>
      <c r="T524" s="77"/>
      <c r="U524" s="77"/>
      <c r="V524" s="80"/>
      <c r="W524" s="80"/>
      <c r="X524" s="68" t="s">
        <v>1378</v>
      </c>
      <c r="Y524" s="75" t="s">
        <v>2135</v>
      </c>
      <c r="Z524" s="75" t="s">
        <v>2143</v>
      </c>
      <c r="AA524" s="78" t="s">
        <v>542</v>
      </c>
      <c r="AC524" s="24"/>
    </row>
    <row r="525" spans="2:29" ht="120" customHeight="1" x14ac:dyDescent="0.25">
      <c r="B525" s="68" t="s">
        <v>66</v>
      </c>
      <c r="C525" s="68" t="s">
        <v>2120</v>
      </c>
      <c r="D525" s="68" t="s">
        <v>2121</v>
      </c>
      <c r="E525" s="80">
        <v>1</v>
      </c>
      <c r="F525" s="68" t="s">
        <v>664</v>
      </c>
      <c r="G525" s="68" t="s">
        <v>665</v>
      </c>
      <c r="H525" s="77" t="s">
        <v>650</v>
      </c>
      <c r="I525" s="80">
        <v>28</v>
      </c>
      <c r="J525" s="68" t="s">
        <v>263</v>
      </c>
      <c r="K525" s="80">
        <v>23</v>
      </c>
      <c r="L525" s="80">
        <v>6</v>
      </c>
      <c r="M525" s="75" t="s">
        <v>1858</v>
      </c>
      <c r="N525" s="75" t="s">
        <v>667</v>
      </c>
      <c r="O525" s="80"/>
      <c r="P525" s="68"/>
      <c r="Q525" s="69" t="s">
        <v>1482</v>
      </c>
      <c r="R525" s="69" t="s">
        <v>1483</v>
      </c>
      <c r="S525" s="80"/>
      <c r="T525" s="80"/>
      <c r="U525" s="80"/>
      <c r="V525" s="80"/>
      <c r="W525" s="80"/>
      <c r="X525" s="68" t="s">
        <v>1378</v>
      </c>
      <c r="Y525" s="75" t="s">
        <v>2144</v>
      </c>
      <c r="Z525" s="88" t="s">
        <v>2145</v>
      </c>
      <c r="AA525" s="78" t="s">
        <v>542</v>
      </c>
      <c r="AC525" s="24"/>
    </row>
    <row r="526" spans="2:29" ht="120" customHeight="1" x14ac:dyDescent="0.25">
      <c r="B526" s="52" t="s">
        <v>66</v>
      </c>
      <c r="C526" s="52" t="s">
        <v>2120</v>
      </c>
      <c r="D526" s="52" t="s">
        <v>2121</v>
      </c>
      <c r="E526" s="53">
        <v>1</v>
      </c>
      <c r="F526" s="52" t="s">
        <v>301</v>
      </c>
      <c r="G526" s="52" t="s">
        <v>302</v>
      </c>
      <c r="H526" s="55" t="s">
        <v>303</v>
      </c>
      <c r="I526" s="53">
        <v>29</v>
      </c>
      <c r="J526" s="52" t="s">
        <v>140</v>
      </c>
      <c r="K526" s="53">
        <v>3</v>
      </c>
      <c r="L526" s="53"/>
      <c r="M526" s="54" t="s">
        <v>304</v>
      </c>
      <c r="N526" s="54" t="s">
        <v>305</v>
      </c>
      <c r="O526" s="53"/>
      <c r="P526" s="54" t="s">
        <v>2146</v>
      </c>
      <c r="Q526" s="56" t="s">
        <v>307</v>
      </c>
      <c r="R526" s="52" t="s">
        <v>308</v>
      </c>
      <c r="S526" s="53"/>
      <c r="T526" s="53"/>
      <c r="U526" s="53"/>
      <c r="V526" s="53"/>
      <c r="W526" s="53"/>
      <c r="X526" s="52" t="s">
        <v>1378</v>
      </c>
      <c r="Y526" s="55" t="s">
        <v>1375</v>
      </c>
      <c r="Z526" s="55" t="s">
        <v>965</v>
      </c>
      <c r="AA526" s="53" t="s">
        <v>351</v>
      </c>
      <c r="AC526" s="24"/>
    </row>
    <row r="527" spans="2:29" ht="120" customHeight="1" x14ac:dyDescent="0.25">
      <c r="B527" s="52" t="s">
        <v>66</v>
      </c>
      <c r="C527" s="52" t="s">
        <v>2120</v>
      </c>
      <c r="D527" s="52" t="s">
        <v>2121</v>
      </c>
      <c r="E527" s="53">
        <v>1</v>
      </c>
      <c r="F527" s="52" t="s">
        <v>311</v>
      </c>
      <c r="G527" s="52" t="s">
        <v>312</v>
      </c>
      <c r="H527" s="55" t="s">
        <v>303</v>
      </c>
      <c r="I527" s="53">
        <v>30</v>
      </c>
      <c r="J527" s="52" t="s">
        <v>140</v>
      </c>
      <c r="K527" s="53">
        <v>3</v>
      </c>
      <c r="L527" s="53"/>
      <c r="M527" s="54" t="s">
        <v>313</v>
      </c>
      <c r="N527" s="54" t="s">
        <v>314</v>
      </c>
      <c r="O527" s="53"/>
      <c r="P527" s="56" t="s">
        <v>1545</v>
      </c>
      <c r="Q527" s="56" t="s">
        <v>219</v>
      </c>
      <c r="R527" s="52" t="s">
        <v>316</v>
      </c>
      <c r="S527" s="53"/>
      <c r="T527" s="53"/>
      <c r="U527" s="53"/>
      <c r="V527" s="53"/>
      <c r="W527" s="53"/>
      <c r="X527" s="52" t="s">
        <v>1378</v>
      </c>
      <c r="Y527" s="56" t="s">
        <v>351</v>
      </c>
      <c r="Z527" s="56" t="s">
        <v>351</v>
      </c>
      <c r="AA527" s="53" t="s">
        <v>437</v>
      </c>
      <c r="AC527" s="24"/>
    </row>
    <row r="528" spans="2:29" ht="120" customHeight="1" x14ac:dyDescent="0.25">
      <c r="B528" s="52" t="s">
        <v>66</v>
      </c>
      <c r="C528" s="52" t="s">
        <v>2120</v>
      </c>
      <c r="D528" s="52" t="s">
        <v>2121</v>
      </c>
      <c r="E528" s="53">
        <v>1</v>
      </c>
      <c r="F528" s="52" t="s">
        <v>322</v>
      </c>
      <c r="G528" s="52" t="s">
        <v>323</v>
      </c>
      <c r="H528" s="52" t="s">
        <v>324</v>
      </c>
      <c r="I528" s="53">
        <v>31</v>
      </c>
      <c r="J528" s="52" t="s">
        <v>140</v>
      </c>
      <c r="K528" s="53">
        <v>2</v>
      </c>
      <c r="L528" s="53"/>
      <c r="M528" s="54" t="s">
        <v>325</v>
      </c>
      <c r="N528" s="54"/>
      <c r="O528" s="53"/>
      <c r="P528" s="54" t="s">
        <v>2147</v>
      </c>
      <c r="Q528" s="56"/>
      <c r="R528" s="52"/>
      <c r="S528" s="53"/>
      <c r="T528" s="53"/>
      <c r="U528" s="53"/>
      <c r="V528" s="53"/>
      <c r="W528" s="53"/>
      <c r="X528" s="56" t="s">
        <v>1393</v>
      </c>
      <c r="Y528" s="56" t="s">
        <v>351</v>
      </c>
      <c r="Z528" s="56" t="s">
        <v>351</v>
      </c>
      <c r="AA528" s="53" t="s">
        <v>2148</v>
      </c>
      <c r="AC528" s="24"/>
    </row>
    <row r="529" spans="2:29" ht="120" customHeight="1" x14ac:dyDescent="0.25">
      <c r="B529" s="52" t="s">
        <v>66</v>
      </c>
      <c r="C529" s="52" t="s">
        <v>2120</v>
      </c>
      <c r="D529" s="52" t="s">
        <v>2121</v>
      </c>
      <c r="E529" s="53">
        <v>1</v>
      </c>
      <c r="F529" s="52" t="s">
        <v>329</v>
      </c>
      <c r="G529" s="52" t="s">
        <v>330</v>
      </c>
      <c r="H529" s="52" t="s">
        <v>331</v>
      </c>
      <c r="I529" s="53">
        <v>32</v>
      </c>
      <c r="J529" s="52" t="s">
        <v>140</v>
      </c>
      <c r="K529" s="53">
        <v>10</v>
      </c>
      <c r="L529" s="53"/>
      <c r="M529" s="54" t="s">
        <v>332</v>
      </c>
      <c r="N529" s="54" t="s">
        <v>333</v>
      </c>
      <c r="O529" s="53" t="s">
        <v>142</v>
      </c>
      <c r="P529" s="52"/>
      <c r="Q529" s="56" t="s">
        <v>284</v>
      </c>
      <c r="R529" s="52" t="s">
        <v>685</v>
      </c>
      <c r="S529" s="53"/>
      <c r="T529" s="53"/>
      <c r="U529" s="53"/>
      <c r="V529" s="53"/>
      <c r="W529" s="53"/>
      <c r="X529" s="56" t="s">
        <v>351</v>
      </c>
      <c r="Y529" s="56" t="s">
        <v>351</v>
      </c>
      <c r="Z529" s="56" t="s">
        <v>351</v>
      </c>
      <c r="AA529" s="53" t="s">
        <v>351</v>
      </c>
      <c r="AC529" s="24"/>
    </row>
    <row r="530" spans="2:29" ht="120" customHeight="1" x14ac:dyDescent="0.25">
      <c r="B530" s="52" t="s">
        <v>66</v>
      </c>
      <c r="C530" s="52" t="s">
        <v>2120</v>
      </c>
      <c r="D530" s="52" t="s">
        <v>2121</v>
      </c>
      <c r="E530" s="53">
        <v>1</v>
      </c>
      <c r="F530" s="52" t="s">
        <v>336</v>
      </c>
      <c r="G530" s="52" t="s">
        <v>337</v>
      </c>
      <c r="H530" s="52" t="s">
        <v>338</v>
      </c>
      <c r="I530" s="53">
        <v>33</v>
      </c>
      <c r="J530" s="52" t="s">
        <v>339</v>
      </c>
      <c r="K530" s="53">
        <v>23</v>
      </c>
      <c r="L530" s="53"/>
      <c r="M530" s="54" t="s">
        <v>340</v>
      </c>
      <c r="N530" s="54" t="s">
        <v>341</v>
      </c>
      <c r="O530" s="53"/>
      <c r="P530" s="52"/>
      <c r="Q530" s="56"/>
      <c r="R530" s="52"/>
      <c r="S530" s="53"/>
      <c r="T530" s="53"/>
      <c r="U530" s="53"/>
      <c r="V530" s="53"/>
      <c r="W530" s="53"/>
      <c r="X530" s="56" t="s">
        <v>351</v>
      </c>
      <c r="Y530" s="56" t="s">
        <v>351</v>
      </c>
      <c r="Z530" s="56" t="s">
        <v>351</v>
      </c>
      <c r="AA530" s="53" t="s">
        <v>351</v>
      </c>
      <c r="AC530" s="24"/>
    </row>
    <row r="531" spans="2:29" ht="120" customHeight="1" x14ac:dyDescent="0.25">
      <c r="B531" s="52" t="s">
        <v>96</v>
      </c>
      <c r="C531" s="52" t="s">
        <v>2149</v>
      </c>
      <c r="D531" s="52" t="s">
        <v>2150</v>
      </c>
      <c r="E531" s="53">
        <v>1</v>
      </c>
      <c r="F531" s="52" t="s">
        <v>137</v>
      </c>
      <c r="G531" s="52" t="s">
        <v>138</v>
      </c>
      <c r="H531" s="52" t="s">
        <v>139</v>
      </c>
      <c r="I531" s="53">
        <v>1</v>
      </c>
      <c r="J531" s="52" t="s">
        <v>140</v>
      </c>
      <c r="K531" s="53">
        <v>4</v>
      </c>
      <c r="L531" s="53"/>
      <c r="M531" s="54" t="s">
        <v>141</v>
      </c>
      <c r="N531" s="54"/>
      <c r="O531" s="53" t="s">
        <v>142</v>
      </c>
      <c r="P531" s="55"/>
      <c r="Q531" s="56" t="s">
        <v>143</v>
      </c>
      <c r="R531" s="56" t="s">
        <v>1799</v>
      </c>
      <c r="S531" s="53"/>
      <c r="T531" s="53"/>
      <c r="U531" s="53"/>
      <c r="V531" s="53"/>
      <c r="W531" s="53"/>
      <c r="X531" s="52" t="s">
        <v>1378</v>
      </c>
      <c r="Y531" s="55" t="s">
        <v>351</v>
      </c>
      <c r="Z531" s="55" t="s">
        <v>351</v>
      </c>
      <c r="AA531" s="53" t="s">
        <v>353</v>
      </c>
      <c r="AC531" s="24"/>
    </row>
    <row r="532" spans="2:29" ht="120" customHeight="1" x14ac:dyDescent="0.25">
      <c r="B532" s="52" t="s">
        <v>96</v>
      </c>
      <c r="C532" s="52" t="s">
        <v>2149</v>
      </c>
      <c r="D532" s="52" t="s">
        <v>2150</v>
      </c>
      <c r="E532" s="53">
        <v>1</v>
      </c>
      <c r="F532" s="52" t="s">
        <v>152</v>
      </c>
      <c r="G532" s="52" t="s">
        <v>153</v>
      </c>
      <c r="H532" s="52" t="s">
        <v>139</v>
      </c>
      <c r="I532" s="53">
        <v>2</v>
      </c>
      <c r="J532" s="52" t="s">
        <v>140</v>
      </c>
      <c r="K532" s="53">
        <v>30</v>
      </c>
      <c r="L532" s="53"/>
      <c r="M532" s="54" t="s">
        <v>154</v>
      </c>
      <c r="N532" s="54" t="s">
        <v>155</v>
      </c>
      <c r="O532" s="53" t="s">
        <v>142</v>
      </c>
      <c r="P532" s="55"/>
      <c r="Q532" s="56" t="s">
        <v>143</v>
      </c>
      <c r="R532" s="56" t="s">
        <v>1799</v>
      </c>
      <c r="S532" s="53"/>
      <c r="T532" s="53"/>
      <c r="U532" s="53"/>
      <c r="V532" s="53"/>
      <c r="W532" s="53"/>
      <c r="X532" s="52" t="s">
        <v>1378</v>
      </c>
      <c r="Y532" s="55" t="s">
        <v>1375</v>
      </c>
      <c r="Z532" s="55" t="s">
        <v>1376</v>
      </c>
      <c r="AA532" s="53" t="s">
        <v>351</v>
      </c>
      <c r="AC532" s="24"/>
    </row>
    <row r="533" spans="2:29" ht="120" customHeight="1" x14ac:dyDescent="0.25">
      <c r="B533" s="52" t="s">
        <v>96</v>
      </c>
      <c r="C533" s="52" t="s">
        <v>2149</v>
      </c>
      <c r="D533" s="52" t="s">
        <v>2150</v>
      </c>
      <c r="E533" s="53">
        <v>1</v>
      </c>
      <c r="F533" s="52" t="s">
        <v>164</v>
      </c>
      <c r="G533" s="52" t="s">
        <v>165</v>
      </c>
      <c r="H533" s="52" t="s">
        <v>166</v>
      </c>
      <c r="I533" s="53">
        <v>3</v>
      </c>
      <c r="J533" s="52" t="s">
        <v>140</v>
      </c>
      <c r="K533" s="53">
        <v>20</v>
      </c>
      <c r="L533" s="53"/>
      <c r="M533" s="54" t="s">
        <v>167</v>
      </c>
      <c r="N533" s="54" t="s">
        <v>168</v>
      </c>
      <c r="O533" s="53"/>
      <c r="P533" s="54" t="s">
        <v>971</v>
      </c>
      <c r="Q533" s="56"/>
      <c r="R533" s="52"/>
      <c r="S533" s="53"/>
      <c r="T533" s="53"/>
      <c r="U533" s="53"/>
      <c r="V533" s="53"/>
      <c r="W533" s="53"/>
      <c r="X533" s="56" t="s">
        <v>1378</v>
      </c>
      <c r="Y533" s="54" t="s">
        <v>1375</v>
      </c>
      <c r="Z533" s="69" t="s">
        <v>1379</v>
      </c>
      <c r="AA533" s="53" t="s">
        <v>351</v>
      </c>
      <c r="AC533" s="24"/>
    </row>
    <row r="534" spans="2:29" ht="120" customHeight="1" x14ac:dyDescent="0.25">
      <c r="B534" s="52" t="s">
        <v>96</v>
      </c>
      <c r="C534" s="52" t="s">
        <v>2149</v>
      </c>
      <c r="D534" s="52" t="s">
        <v>2150</v>
      </c>
      <c r="E534" s="53">
        <v>1</v>
      </c>
      <c r="F534" s="52" t="s">
        <v>172</v>
      </c>
      <c r="G534" s="52" t="s">
        <v>173</v>
      </c>
      <c r="H534" s="52" t="s">
        <v>166</v>
      </c>
      <c r="I534" s="53">
        <v>4</v>
      </c>
      <c r="J534" s="52" t="s">
        <v>140</v>
      </c>
      <c r="K534" s="53">
        <v>20</v>
      </c>
      <c r="L534" s="53"/>
      <c r="M534" s="54" t="s">
        <v>174</v>
      </c>
      <c r="N534" s="54" t="s">
        <v>175</v>
      </c>
      <c r="O534" s="53"/>
      <c r="P534" s="56" t="s">
        <v>2122</v>
      </c>
      <c r="Q534" s="56" t="s">
        <v>177</v>
      </c>
      <c r="R534" s="56" t="s">
        <v>178</v>
      </c>
      <c r="S534" s="53"/>
      <c r="T534" s="53"/>
      <c r="U534" s="53"/>
      <c r="V534" s="53"/>
      <c r="W534" s="53"/>
      <c r="X534" s="52" t="s">
        <v>1378</v>
      </c>
      <c r="Y534" s="55" t="s">
        <v>1375</v>
      </c>
      <c r="Z534" s="55" t="s">
        <v>534</v>
      </c>
      <c r="AA534" s="53" t="s">
        <v>351</v>
      </c>
      <c r="AC534" s="24"/>
    </row>
    <row r="535" spans="2:29" ht="120" customHeight="1" x14ac:dyDescent="0.25">
      <c r="B535" s="52" t="s">
        <v>96</v>
      </c>
      <c r="C535" s="52" t="s">
        <v>2149</v>
      </c>
      <c r="D535" s="52" t="s">
        <v>2150</v>
      </c>
      <c r="E535" s="53">
        <v>1</v>
      </c>
      <c r="F535" s="52" t="s">
        <v>184</v>
      </c>
      <c r="G535" s="52" t="s">
        <v>185</v>
      </c>
      <c r="H535" s="52" t="s">
        <v>166</v>
      </c>
      <c r="I535" s="53">
        <v>5</v>
      </c>
      <c r="J535" s="52" t="s">
        <v>140</v>
      </c>
      <c r="K535" s="53">
        <v>20</v>
      </c>
      <c r="L535" s="53"/>
      <c r="M535" s="54" t="s">
        <v>186</v>
      </c>
      <c r="N535" s="54" t="s">
        <v>187</v>
      </c>
      <c r="O535" s="53"/>
      <c r="P535" s="56" t="s">
        <v>2123</v>
      </c>
      <c r="Q535" s="56" t="s">
        <v>177</v>
      </c>
      <c r="R535" s="56" t="s">
        <v>189</v>
      </c>
      <c r="S535" s="53"/>
      <c r="T535" s="53"/>
      <c r="U535" s="53"/>
      <c r="V535" s="53"/>
      <c r="W535" s="53"/>
      <c r="X535" s="52" t="s">
        <v>1378</v>
      </c>
      <c r="Y535" s="55" t="s">
        <v>1375</v>
      </c>
      <c r="Z535" s="55" t="s">
        <v>538</v>
      </c>
      <c r="AA535" s="53" t="s">
        <v>351</v>
      </c>
      <c r="AC535" s="24"/>
    </row>
    <row r="536" spans="2:29" ht="120" customHeight="1" x14ac:dyDescent="0.25">
      <c r="B536" s="52" t="s">
        <v>96</v>
      </c>
      <c r="C536" s="52" t="s">
        <v>2149</v>
      </c>
      <c r="D536" s="52" t="s">
        <v>2150</v>
      </c>
      <c r="E536" s="53">
        <v>1</v>
      </c>
      <c r="F536" s="52" t="s">
        <v>214</v>
      </c>
      <c r="G536" s="52" t="s">
        <v>215</v>
      </c>
      <c r="H536" s="52" t="s">
        <v>216</v>
      </c>
      <c r="I536" s="53">
        <v>6</v>
      </c>
      <c r="J536" s="52" t="s">
        <v>952</v>
      </c>
      <c r="K536" s="53">
        <v>10</v>
      </c>
      <c r="L536" s="53"/>
      <c r="M536" s="54" t="s">
        <v>217</v>
      </c>
      <c r="N536" s="54" t="s">
        <v>218</v>
      </c>
      <c r="O536" s="53"/>
      <c r="P536" s="55"/>
      <c r="Q536" s="56" t="s">
        <v>219</v>
      </c>
      <c r="R536" s="52" t="s">
        <v>214</v>
      </c>
      <c r="S536" s="53"/>
      <c r="T536" s="53"/>
      <c r="U536" s="53"/>
      <c r="V536" s="53"/>
      <c r="W536" s="53"/>
      <c r="X536" s="52" t="s">
        <v>1378</v>
      </c>
      <c r="Y536" s="55" t="s">
        <v>1375</v>
      </c>
      <c r="Z536" s="55" t="s">
        <v>708</v>
      </c>
      <c r="AA536" s="53" t="s">
        <v>351</v>
      </c>
      <c r="AC536" s="24"/>
    </row>
    <row r="537" spans="2:29" ht="120" customHeight="1" x14ac:dyDescent="0.25">
      <c r="B537" s="52" t="s">
        <v>96</v>
      </c>
      <c r="C537" s="52" t="s">
        <v>2149</v>
      </c>
      <c r="D537" s="52" t="s">
        <v>2150</v>
      </c>
      <c r="E537" s="53">
        <v>1</v>
      </c>
      <c r="F537" s="52" t="s">
        <v>226</v>
      </c>
      <c r="G537" s="52" t="s">
        <v>227</v>
      </c>
      <c r="H537" s="52" t="s">
        <v>216</v>
      </c>
      <c r="I537" s="53">
        <v>7</v>
      </c>
      <c r="J537" s="52" t="s">
        <v>952</v>
      </c>
      <c r="K537" s="53">
        <v>10</v>
      </c>
      <c r="L537" s="53"/>
      <c r="M537" s="54" t="s">
        <v>710</v>
      </c>
      <c r="N537" s="54"/>
      <c r="O537" s="53"/>
      <c r="P537" s="55"/>
      <c r="Q537" s="56"/>
      <c r="R537" s="52"/>
      <c r="S537" s="53"/>
      <c r="T537" s="53"/>
      <c r="U537" s="53"/>
      <c r="V537" s="53"/>
      <c r="W537" s="53"/>
      <c r="X537" s="56" t="s">
        <v>1393</v>
      </c>
      <c r="Y537" s="54" t="s">
        <v>2127</v>
      </c>
      <c r="Z537" s="54" t="s">
        <v>2128</v>
      </c>
      <c r="AA537" s="66" t="s">
        <v>2129</v>
      </c>
      <c r="AC537" s="24"/>
    </row>
    <row r="538" spans="2:29" ht="120" customHeight="1" x14ac:dyDescent="0.25">
      <c r="B538" s="52" t="s">
        <v>96</v>
      </c>
      <c r="C538" s="52" t="s">
        <v>2149</v>
      </c>
      <c r="D538" s="52" t="s">
        <v>2150</v>
      </c>
      <c r="E538" s="53">
        <v>1</v>
      </c>
      <c r="F538" s="52" t="s">
        <v>238</v>
      </c>
      <c r="G538" s="52" t="s">
        <v>239</v>
      </c>
      <c r="H538" s="52" t="s">
        <v>240</v>
      </c>
      <c r="I538" s="53">
        <v>8</v>
      </c>
      <c r="J538" s="52" t="s">
        <v>140</v>
      </c>
      <c r="K538" s="53">
        <v>3</v>
      </c>
      <c r="L538" s="53"/>
      <c r="M538" s="54" t="s">
        <v>241</v>
      </c>
      <c r="N538" s="54"/>
      <c r="O538" s="53"/>
      <c r="P538" s="56" t="s">
        <v>1151</v>
      </c>
      <c r="Q538" s="56" t="s">
        <v>566</v>
      </c>
      <c r="R538" s="56" t="s">
        <v>245</v>
      </c>
      <c r="S538" s="53"/>
      <c r="T538" s="53"/>
      <c r="U538" s="53"/>
      <c r="V538" s="53"/>
      <c r="W538" s="53"/>
      <c r="X538" s="52" t="s">
        <v>1378</v>
      </c>
      <c r="Y538" s="55" t="s">
        <v>1375</v>
      </c>
      <c r="Z538" s="55" t="s">
        <v>406</v>
      </c>
      <c r="AA538" s="53" t="s">
        <v>351</v>
      </c>
      <c r="AC538" s="24"/>
    </row>
    <row r="539" spans="2:29" ht="120" customHeight="1" x14ac:dyDescent="0.25">
      <c r="B539" s="52" t="s">
        <v>96</v>
      </c>
      <c r="C539" s="52" t="s">
        <v>2149</v>
      </c>
      <c r="D539" s="52" t="s">
        <v>2150</v>
      </c>
      <c r="E539" s="53">
        <v>1</v>
      </c>
      <c r="F539" s="52" t="s">
        <v>253</v>
      </c>
      <c r="G539" s="52" t="s">
        <v>254</v>
      </c>
      <c r="H539" s="55" t="s">
        <v>255</v>
      </c>
      <c r="I539" s="53">
        <v>9</v>
      </c>
      <c r="J539" s="52" t="s">
        <v>1637</v>
      </c>
      <c r="K539" s="53"/>
      <c r="L539" s="53"/>
      <c r="M539" s="54" t="s">
        <v>256</v>
      </c>
      <c r="N539" s="54"/>
      <c r="O539" s="53"/>
      <c r="P539" s="55"/>
      <c r="Q539" s="65"/>
      <c r="R539" s="63"/>
      <c r="S539" s="73"/>
      <c r="T539" s="73"/>
      <c r="U539" s="73"/>
      <c r="V539" s="73"/>
      <c r="W539" s="73"/>
      <c r="X539" s="56" t="s">
        <v>1393</v>
      </c>
      <c r="Y539" s="54" t="s">
        <v>542</v>
      </c>
      <c r="Z539" s="54" t="s">
        <v>542</v>
      </c>
      <c r="AA539" s="62" t="s">
        <v>570</v>
      </c>
      <c r="AC539" s="24"/>
    </row>
    <row r="540" spans="2:29" ht="120" customHeight="1" x14ac:dyDescent="0.25">
      <c r="B540" s="52" t="s">
        <v>96</v>
      </c>
      <c r="C540" s="52" t="s">
        <v>2149</v>
      </c>
      <c r="D540" s="52" t="s">
        <v>2150</v>
      </c>
      <c r="E540" s="53">
        <v>1</v>
      </c>
      <c r="F540" s="52" t="s">
        <v>291</v>
      </c>
      <c r="G540" s="52" t="s">
        <v>292</v>
      </c>
      <c r="H540" s="52" t="s">
        <v>262</v>
      </c>
      <c r="I540" s="53">
        <v>10</v>
      </c>
      <c r="J540" s="52" t="s">
        <v>263</v>
      </c>
      <c r="K540" s="53">
        <v>23</v>
      </c>
      <c r="L540" s="53">
        <v>6</v>
      </c>
      <c r="M540" s="54" t="s">
        <v>293</v>
      </c>
      <c r="N540" s="54"/>
      <c r="O540" s="53"/>
      <c r="P540" s="55"/>
      <c r="Q540" s="65"/>
      <c r="R540" s="63"/>
      <c r="S540" s="73"/>
      <c r="T540" s="73"/>
      <c r="U540" s="73"/>
      <c r="V540" s="73"/>
      <c r="W540" s="73"/>
      <c r="X540" s="56" t="s">
        <v>1393</v>
      </c>
      <c r="Y540" s="70" t="s">
        <v>626</v>
      </c>
      <c r="Z540" s="54" t="s">
        <v>2133</v>
      </c>
      <c r="AA540" s="62" t="s">
        <v>628</v>
      </c>
      <c r="AC540" s="24"/>
    </row>
    <row r="541" spans="2:29" ht="120" customHeight="1" x14ac:dyDescent="0.25">
      <c r="B541" s="52" t="s">
        <v>96</v>
      </c>
      <c r="C541" s="52" t="s">
        <v>2149</v>
      </c>
      <c r="D541" s="52" t="s">
        <v>2150</v>
      </c>
      <c r="E541" s="53">
        <v>1</v>
      </c>
      <c r="F541" s="52" t="s">
        <v>1405</v>
      </c>
      <c r="G541" s="52" t="s">
        <v>1406</v>
      </c>
      <c r="H541" s="55" t="s">
        <v>262</v>
      </c>
      <c r="I541" s="53">
        <v>11</v>
      </c>
      <c r="J541" s="52" t="s">
        <v>263</v>
      </c>
      <c r="K541" s="53">
        <v>23</v>
      </c>
      <c r="L541" s="53">
        <v>6</v>
      </c>
      <c r="M541" s="54" t="s">
        <v>1407</v>
      </c>
      <c r="N541" s="54"/>
      <c r="O541" s="53"/>
      <c r="P541" s="55"/>
      <c r="Q541" s="54" t="s">
        <v>284</v>
      </c>
      <c r="R541" s="55" t="s">
        <v>285</v>
      </c>
      <c r="S541" s="53"/>
      <c r="T541" s="53"/>
      <c r="U541" s="53"/>
      <c r="V541" s="53"/>
      <c r="W541" s="53"/>
      <c r="X541" s="52" t="s">
        <v>1378</v>
      </c>
      <c r="Y541" s="55" t="s">
        <v>1375</v>
      </c>
      <c r="Z541" s="55" t="s">
        <v>1410</v>
      </c>
      <c r="AA541" s="53" t="s">
        <v>351</v>
      </c>
      <c r="AC541" s="24"/>
    </row>
    <row r="542" spans="2:29" ht="120" customHeight="1" x14ac:dyDescent="0.25">
      <c r="B542" s="52" t="s">
        <v>96</v>
      </c>
      <c r="C542" s="52" t="s">
        <v>2149</v>
      </c>
      <c r="D542" s="52" t="s">
        <v>2150</v>
      </c>
      <c r="E542" s="53">
        <v>1</v>
      </c>
      <c r="F542" s="52" t="s">
        <v>1394</v>
      </c>
      <c r="G542" s="52" t="s">
        <v>1395</v>
      </c>
      <c r="H542" s="55" t="s">
        <v>262</v>
      </c>
      <c r="I542" s="53">
        <v>12</v>
      </c>
      <c r="J542" s="52" t="s">
        <v>263</v>
      </c>
      <c r="K542" s="53">
        <v>23</v>
      </c>
      <c r="L542" s="53">
        <v>6</v>
      </c>
      <c r="M542" s="54" t="s">
        <v>1396</v>
      </c>
      <c r="N542" s="54"/>
      <c r="O542" s="53"/>
      <c r="P542" s="55"/>
      <c r="Q542" s="54"/>
      <c r="R542" s="55"/>
      <c r="S542" s="53"/>
      <c r="T542" s="53"/>
      <c r="U542" s="53"/>
      <c r="V542" s="53"/>
      <c r="W542" s="53"/>
      <c r="X542" s="52" t="s">
        <v>1378</v>
      </c>
      <c r="Y542" s="55" t="s">
        <v>1375</v>
      </c>
      <c r="Z542" s="55" t="s">
        <v>715</v>
      </c>
      <c r="AA542" s="53" t="s">
        <v>351</v>
      </c>
      <c r="AC542" s="24"/>
    </row>
    <row r="543" spans="2:29" ht="120" customHeight="1" x14ac:dyDescent="0.25">
      <c r="B543" s="68" t="s">
        <v>96</v>
      </c>
      <c r="C543" s="68" t="s">
        <v>2149</v>
      </c>
      <c r="D543" s="68" t="s">
        <v>2150</v>
      </c>
      <c r="E543" s="80">
        <v>1</v>
      </c>
      <c r="F543" s="68" t="s">
        <v>1681</v>
      </c>
      <c r="G543" s="68" t="s">
        <v>1682</v>
      </c>
      <c r="H543" s="77" t="s">
        <v>1332</v>
      </c>
      <c r="I543" s="80">
        <v>13</v>
      </c>
      <c r="J543" s="52" t="s">
        <v>1637</v>
      </c>
      <c r="K543" s="53"/>
      <c r="L543" s="80"/>
      <c r="M543" s="75" t="s">
        <v>1835</v>
      </c>
      <c r="N543" s="75"/>
      <c r="O543" s="80"/>
      <c r="P543" s="75"/>
      <c r="Q543" s="75"/>
      <c r="R543" s="77"/>
      <c r="S543" s="68"/>
      <c r="T543" s="77"/>
      <c r="U543" s="77"/>
      <c r="V543" s="80"/>
      <c r="W543" s="80"/>
      <c r="X543" s="68" t="s">
        <v>2134</v>
      </c>
      <c r="Y543" s="75" t="s">
        <v>2151</v>
      </c>
      <c r="Z543" s="75" t="s">
        <v>2136</v>
      </c>
      <c r="AA543" s="78" t="s">
        <v>542</v>
      </c>
      <c r="AC543" s="24"/>
    </row>
    <row r="544" spans="2:29" ht="120" customHeight="1" x14ac:dyDescent="0.25">
      <c r="B544" s="68" t="s">
        <v>96</v>
      </c>
      <c r="C544" s="68" t="s">
        <v>2149</v>
      </c>
      <c r="D544" s="68" t="s">
        <v>2150</v>
      </c>
      <c r="E544" s="80">
        <v>1</v>
      </c>
      <c r="F544" s="68" t="s">
        <v>1687</v>
      </c>
      <c r="G544" s="68" t="s">
        <v>1688</v>
      </c>
      <c r="H544" s="77" t="s">
        <v>631</v>
      </c>
      <c r="I544" s="80">
        <v>14</v>
      </c>
      <c r="J544" s="68" t="s">
        <v>140</v>
      </c>
      <c r="K544" s="80">
        <v>20</v>
      </c>
      <c r="L544" s="80"/>
      <c r="M544" s="75" t="s">
        <v>1457</v>
      </c>
      <c r="N544" s="75"/>
      <c r="O544" s="80"/>
      <c r="P544" s="75" t="s">
        <v>1458</v>
      </c>
      <c r="Q544" s="75"/>
      <c r="R544" s="77"/>
      <c r="S544" s="68"/>
      <c r="T544" s="77"/>
      <c r="U544" s="77"/>
      <c r="V544" s="80"/>
      <c r="W544" s="80"/>
      <c r="X544" s="68" t="s">
        <v>2137</v>
      </c>
      <c r="Y544" s="75" t="s">
        <v>2152</v>
      </c>
      <c r="Z544" s="75" t="s">
        <v>2139</v>
      </c>
      <c r="AA544" s="78" t="s">
        <v>2140</v>
      </c>
      <c r="AC544" s="24"/>
    </row>
    <row r="545" spans="2:29" ht="120" customHeight="1" x14ac:dyDescent="0.25">
      <c r="B545" s="68" t="s">
        <v>96</v>
      </c>
      <c r="C545" s="68" t="s">
        <v>2149</v>
      </c>
      <c r="D545" s="68" t="s">
        <v>2150</v>
      </c>
      <c r="E545" s="80">
        <v>1</v>
      </c>
      <c r="F545" s="68" t="s">
        <v>1694</v>
      </c>
      <c r="G545" s="68" t="s">
        <v>1695</v>
      </c>
      <c r="H545" s="77" t="s">
        <v>650</v>
      </c>
      <c r="I545" s="80">
        <v>15</v>
      </c>
      <c r="J545" s="68" t="s">
        <v>263</v>
      </c>
      <c r="K545" s="80">
        <v>23</v>
      </c>
      <c r="L545" s="80">
        <v>6</v>
      </c>
      <c r="M545" s="75" t="s">
        <v>1840</v>
      </c>
      <c r="N545" s="75"/>
      <c r="O545" s="80"/>
      <c r="P545" s="77"/>
      <c r="Q545" s="75"/>
      <c r="R545" s="77"/>
      <c r="S545" s="68"/>
      <c r="T545" s="77"/>
      <c r="U545" s="77"/>
      <c r="V545" s="80"/>
      <c r="W545" s="80"/>
      <c r="X545" s="68" t="s">
        <v>1378</v>
      </c>
      <c r="Y545" s="88" t="s">
        <v>2141</v>
      </c>
      <c r="Z545" s="88" t="s">
        <v>2142</v>
      </c>
      <c r="AA545" s="78" t="s">
        <v>351</v>
      </c>
      <c r="AC545" s="24"/>
    </row>
    <row r="546" spans="2:29" ht="120" customHeight="1" x14ac:dyDescent="0.25">
      <c r="B546" s="68" t="s">
        <v>96</v>
      </c>
      <c r="C546" s="68" t="s">
        <v>2149</v>
      </c>
      <c r="D546" s="68" t="s">
        <v>2150</v>
      </c>
      <c r="E546" s="80">
        <v>1</v>
      </c>
      <c r="F546" s="68" t="s">
        <v>1700</v>
      </c>
      <c r="G546" s="68" t="s">
        <v>1701</v>
      </c>
      <c r="H546" s="77" t="s">
        <v>650</v>
      </c>
      <c r="I546" s="80">
        <v>16</v>
      </c>
      <c r="J546" s="68" t="s">
        <v>263</v>
      </c>
      <c r="K546" s="80">
        <v>23</v>
      </c>
      <c r="L546" s="80">
        <v>6</v>
      </c>
      <c r="M546" s="75" t="s">
        <v>1464</v>
      </c>
      <c r="N546" s="75"/>
      <c r="O546" s="80"/>
      <c r="P546" s="77"/>
      <c r="Q546" s="75"/>
      <c r="R546" s="77"/>
      <c r="S546" s="68"/>
      <c r="T546" s="77"/>
      <c r="U546" s="77"/>
      <c r="V546" s="80"/>
      <c r="W546" s="80"/>
      <c r="X546" s="68" t="s">
        <v>1378</v>
      </c>
      <c r="Y546" s="75" t="s">
        <v>2151</v>
      </c>
      <c r="Z546" s="75" t="s">
        <v>2143</v>
      </c>
      <c r="AA546" s="78" t="s">
        <v>542</v>
      </c>
      <c r="AC546" s="24"/>
    </row>
    <row r="547" spans="2:29" ht="120" customHeight="1" x14ac:dyDescent="0.25">
      <c r="B547" s="68" t="s">
        <v>96</v>
      </c>
      <c r="C547" s="68" t="s">
        <v>2149</v>
      </c>
      <c r="D547" s="68" t="s">
        <v>2150</v>
      </c>
      <c r="E547" s="80">
        <v>1</v>
      </c>
      <c r="F547" s="68" t="s">
        <v>1336</v>
      </c>
      <c r="G547" s="68" t="s">
        <v>1337</v>
      </c>
      <c r="H547" s="77" t="s">
        <v>650</v>
      </c>
      <c r="I547" s="80">
        <v>17</v>
      </c>
      <c r="J547" s="68" t="s">
        <v>263</v>
      </c>
      <c r="K547" s="80">
        <v>23</v>
      </c>
      <c r="L547" s="80">
        <v>6</v>
      </c>
      <c r="M547" s="75" t="s">
        <v>1845</v>
      </c>
      <c r="N547" s="75" t="s">
        <v>1339</v>
      </c>
      <c r="O547" s="80"/>
      <c r="P547" s="68"/>
      <c r="Q547" s="69" t="s">
        <v>668</v>
      </c>
      <c r="R547" s="68" t="s">
        <v>1340</v>
      </c>
      <c r="S547" s="80"/>
      <c r="T547" s="80"/>
      <c r="U547" s="80"/>
      <c r="V547" s="80"/>
      <c r="W547" s="80"/>
      <c r="X547" s="68" t="s">
        <v>1378</v>
      </c>
      <c r="Y547" s="114" t="s">
        <v>2153</v>
      </c>
      <c r="Z547" s="88" t="s">
        <v>2145</v>
      </c>
      <c r="AA547" s="78" t="s">
        <v>542</v>
      </c>
      <c r="AC547" s="24"/>
    </row>
    <row r="548" spans="2:29" ht="120" customHeight="1" x14ac:dyDescent="0.25">
      <c r="B548" s="68" t="s">
        <v>96</v>
      </c>
      <c r="C548" s="68" t="s">
        <v>2149</v>
      </c>
      <c r="D548" s="68" t="s">
        <v>2150</v>
      </c>
      <c r="E548" s="80">
        <v>1</v>
      </c>
      <c r="F548" s="68" t="s">
        <v>629</v>
      </c>
      <c r="G548" s="68" t="s">
        <v>1345</v>
      </c>
      <c r="H548" s="77" t="s">
        <v>631</v>
      </c>
      <c r="I548" s="80">
        <v>18</v>
      </c>
      <c r="J548" s="68" t="s">
        <v>140</v>
      </c>
      <c r="K548" s="80">
        <v>3</v>
      </c>
      <c r="L548" s="80"/>
      <c r="M548" s="75" t="s">
        <v>1848</v>
      </c>
      <c r="N548" s="75"/>
      <c r="O548" s="80"/>
      <c r="P548" s="75" t="s">
        <v>891</v>
      </c>
      <c r="Q548" s="75"/>
      <c r="R548" s="77"/>
      <c r="S548" s="68"/>
      <c r="T548" s="77"/>
      <c r="U548" s="77"/>
      <c r="V548" s="80"/>
      <c r="W548" s="80"/>
      <c r="X548" s="68" t="s">
        <v>2137</v>
      </c>
      <c r="Y548" s="75" t="s">
        <v>2151</v>
      </c>
      <c r="Z548" s="75" t="s">
        <v>2136</v>
      </c>
      <c r="AA548" s="78" t="s">
        <v>542</v>
      </c>
      <c r="AC548" s="24"/>
    </row>
    <row r="549" spans="2:29" ht="120" customHeight="1" x14ac:dyDescent="0.25">
      <c r="B549" s="68" t="s">
        <v>96</v>
      </c>
      <c r="C549" s="68" t="s">
        <v>2149</v>
      </c>
      <c r="D549" s="68" t="s">
        <v>2150</v>
      </c>
      <c r="E549" s="80">
        <v>1</v>
      </c>
      <c r="F549" s="68" t="s">
        <v>639</v>
      </c>
      <c r="G549" s="68" t="s">
        <v>640</v>
      </c>
      <c r="H549" s="77" t="s">
        <v>631</v>
      </c>
      <c r="I549" s="80">
        <v>19</v>
      </c>
      <c r="J549" s="68" t="s">
        <v>140</v>
      </c>
      <c r="K549" s="80">
        <v>20</v>
      </c>
      <c r="L549" s="80"/>
      <c r="M549" s="75" t="s">
        <v>1472</v>
      </c>
      <c r="N549" s="75"/>
      <c r="O549" s="80"/>
      <c r="P549" s="75" t="s">
        <v>1473</v>
      </c>
      <c r="Q549" s="75"/>
      <c r="R549" s="77"/>
      <c r="S549" s="68"/>
      <c r="T549" s="77"/>
      <c r="U549" s="77"/>
      <c r="V549" s="80"/>
      <c r="W549" s="80"/>
      <c r="X549" s="68" t="s">
        <v>2137</v>
      </c>
      <c r="Y549" s="75" t="s">
        <v>2152</v>
      </c>
      <c r="Z549" s="75" t="s">
        <v>2139</v>
      </c>
      <c r="AA549" s="78" t="s">
        <v>2140</v>
      </c>
      <c r="AC549" s="24"/>
    </row>
    <row r="550" spans="2:29" ht="120" customHeight="1" x14ac:dyDescent="0.25">
      <c r="B550" s="68" t="s">
        <v>96</v>
      </c>
      <c r="C550" s="68" t="s">
        <v>2149</v>
      </c>
      <c r="D550" s="68" t="s">
        <v>2150</v>
      </c>
      <c r="E550" s="80">
        <v>1</v>
      </c>
      <c r="F550" s="68" t="s">
        <v>648</v>
      </c>
      <c r="G550" s="68" t="s">
        <v>649</v>
      </c>
      <c r="H550" s="77" t="s">
        <v>650</v>
      </c>
      <c r="I550" s="80">
        <v>20</v>
      </c>
      <c r="J550" s="68" t="s">
        <v>263</v>
      </c>
      <c r="K550" s="80">
        <v>23</v>
      </c>
      <c r="L550" s="80">
        <v>6</v>
      </c>
      <c r="M550" s="75" t="s">
        <v>1853</v>
      </c>
      <c r="N550" s="75"/>
      <c r="O550" s="80"/>
      <c r="P550" s="77"/>
      <c r="Q550" s="75"/>
      <c r="R550" s="77"/>
      <c r="S550" s="68"/>
      <c r="T550" s="77"/>
      <c r="U550" s="77"/>
      <c r="V550" s="80"/>
      <c r="W550" s="80"/>
      <c r="X550" s="68" t="s">
        <v>1378</v>
      </c>
      <c r="Y550" s="88" t="s">
        <v>2141</v>
      </c>
      <c r="Z550" s="88" t="s">
        <v>2142</v>
      </c>
      <c r="AA550" s="78" t="s">
        <v>351</v>
      </c>
      <c r="AC550" s="24"/>
    </row>
    <row r="551" spans="2:29" ht="120" customHeight="1" x14ac:dyDescent="0.25">
      <c r="B551" s="68" t="s">
        <v>96</v>
      </c>
      <c r="C551" s="68" t="s">
        <v>2149</v>
      </c>
      <c r="D551" s="68" t="s">
        <v>2150</v>
      </c>
      <c r="E551" s="80">
        <v>1</v>
      </c>
      <c r="F551" s="68" t="s">
        <v>657</v>
      </c>
      <c r="G551" s="68" t="s">
        <v>658</v>
      </c>
      <c r="H551" s="77" t="s">
        <v>650</v>
      </c>
      <c r="I551" s="80">
        <v>21</v>
      </c>
      <c r="J551" s="68" t="s">
        <v>263</v>
      </c>
      <c r="K551" s="80">
        <v>23</v>
      </c>
      <c r="L551" s="80">
        <v>6</v>
      </c>
      <c r="M551" s="75" t="s">
        <v>659</v>
      </c>
      <c r="N551" s="75"/>
      <c r="O551" s="80"/>
      <c r="P551" s="77"/>
      <c r="Q551" s="75"/>
      <c r="R551" s="77"/>
      <c r="S551" s="68"/>
      <c r="T551" s="77"/>
      <c r="U551" s="77"/>
      <c r="V551" s="80"/>
      <c r="W551" s="80"/>
      <c r="X551" s="68" t="s">
        <v>1378</v>
      </c>
      <c r="Y551" s="75" t="s">
        <v>2151</v>
      </c>
      <c r="Z551" s="75" t="s">
        <v>2143</v>
      </c>
      <c r="AA551" s="78" t="s">
        <v>542</v>
      </c>
      <c r="AC551" s="24"/>
    </row>
    <row r="552" spans="2:29" ht="120" customHeight="1" x14ac:dyDescent="0.25">
      <c r="B552" s="68" t="s">
        <v>96</v>
      </c>
      <c r="C552" s="68" t="s">
        <v>2149</v>
      </c>
      <c r="D552" s="68" t="s">
        <v>2150</v>
      </c>
      <c r="E552" s="80">
        <v>1</v>
      </c>
      <c r="F552" s="68" t="s">
        <v>664</v>
      </c>
      <c r="G552" s="68" t="s">
        <v>665</v>
      </c>
      <c r="H552" s="77" t="s">
        <v>650</v>
      </c>
      <c r="I552" s="80">
        <v>22</v>
      </c>
      <c r="J552" s="68" t="s">
        <v>263</v>
      </c>
      <c r="K552" s="80">
        <v>23</v>
      </c>
      <c r="L552" s="80">
        <v>6</v>
      </c>
      <c r="M552" s="75" t="s">
        <v>1858</v>
      </c>
      <c r="N552" s="75" t="s">
        <v>667</v>
      </c>
      <c r="O552" s="80"/>
      <c r="P552" s="68"/>
      <c r="Q552" s="69" t="s">
        <v>1482</v>
      </c>
      <c r="R552" s="69" t="s">
        <v>1483</v>
      </c>
      <c r="S552" s="80"/>
      <c r="T552" s="80"/>
      <c r="U552" s="80"/>
      <c r="V552" s="80"/>
      <c r="W552" s="80"/>
      <c r="X552" s="68" t="s">
        <v>1378</v>
      </c>
      <c r="Y552" s="75" t="s">
        <v>2153</v>
      </c>
      <c r="Z552" s="88" t="s">
        <v>2145</v>
      </c>
      <c r="AA552" s="78" t="s">
        <v>542</v>
      </c>
      <c r="AC552" s="24"/>
    </row>
    <row r="553" spans="2:29" ht="120" customHeight="1" x14ac:dyDescent="0.25">
      <c r="B553" s="52" t="s">
        <v>96</v>
      </c>
      <c r="C553" s="52" t="s">
        <v>2149</v>
      </c>
      <c r="D553" s="52" t="s">
        <v>2150</v>
      </c>
      <c r="E553" s="53">
        <v>1</v>
      </c>
      <c r="F553" s="52" t="s">
        <v>301</v>
      </c>
      <c r="G553" s="52" t="s">
        <v>302</v>
      </c>
      <c r="H553" s="52" t="s">
        <v>303</v>
      </c>
      <c r="I553" s="53">
        <v>23</v>
      </c>
      <c r="J553" s="52" t="s">
        <v>140</v>
      </c>
      <c r="K553" s="53">
        <v>3</v>
      </c>
      <c r="L553" s="53"/>
      <c r="M553" s="54" t="s">
        <v>304</v>
      </c>
      <c r="N553" s="54" t="s">
        <v>305</v>
      </c>
      <c r="O553" s="53"/>
      <c r="P553" s="54" t="s">
        <v>2146</v>
      </c>
      <c r="Q553" s="56" t="s">
        <v>307</v>
      </c>
      <c r="R553" s="56" t="s">
        <v>308</v>
      </c>
      <c r="S553" s="53"/>
      <c r="T553" s="53"/>
      <c r="U553" s="53"/>
      <c r="V553" s="53"/>
      <c r="W553" s="53"/>
      <c r="X553" s="52" t="s">
        <v>1378</v>
      </c>
      <c r="Y553" s="55" t="s">
        <v>1375</v>
      </c>
      <c r="Z553" s="55" t="s">
        <v>965</v>
      </c>
      <c r="AA553" s="53" t="s">
        <v>351</v>
      </c>
      <c r="AC553" s="24"/>
    </row>
    <row r="554" spans="2:29" ht="120" customHeight="1" x14ac:dyDescent="0.25">
      <c r="B554" s="52" t="s">
        <v>96</v>
      </c>
      <c r="C554" s="52" t="s">
        <v>2149</v>
      </c>
      <c r="D554" s="52" t="s">
        <v>2150</v>
      </c>
      <c r="E554" s="53">
        <v>1</v>
      </c>
      <c r="F554" s="52" t="s">
        <v>311</v>
      </c>
      <c r="G554" s="52" t="s">
        <v>312</v>
      </c>
      <c r="H554" s="52" t="s">
        <v>303</v>
      </c>
      <c r="I554" s="53">
        <v>24</v>
      </c>
      <c r="J554" s="52" t="s">
        <v>140</v>
      </c>
      <c r="K554" s="53">
        <v>3</v>
      </c>
      <c r="L554" s="53"/>
      <c r="M554" s="54" t="s">
        <v>313</v>
      </c>
      <c r="N554" s="54" t="s">
        <v>314</v>
      </c>
      <c r="O554" s="53"/>
      <c r="P554" s="56" t="s">
        <v>1545</v>
      </c>
      <c r="Q554" s="56" t="s">
        <v>219</v>
      </c>
      <c r="R554" s="52" t="s">
        <v>316</v>
      </c>
      <c r="S554" s="53"/>
      <c r="T554" s="53"/>
      <c r="U554" s="53"/>
      <c r="V554" s="53"/>
      <c r="W554" s="53"/>
      <c r="X554" s="52" t="s">
        <v>1378</v>
      </c>
      <c r="Y554" s="56" t="s">
        <v>351</v>
      </c>
      <c r="Z554" s="56" t="s">
        <v>351</v>
      </c>
      <c r="AA554" s="53" t="s">
        <v>437</v>
      </c>
      <c r="AC554" s="24"/>
    </row>
    <row r="555" spans="2:29" ht="120" customHeight="1" x14ac:dyDescent="0.25">
      <c r="B555" s="52" t="s">
        <v>96</v>
      </c>
      <c r="C555" s="52" t="s">
        <v>2149</v>
      </c>
      <c r="D555" s="52" t="s">
        <v>2150</v>
      </c>
      <c r="E555" s="53">
        <v>1</v>
      </c>
      <c r="F555" s="52" t="s">
        <v>322</v>
      </c>
      <c r="G555" s="52" t="s">
        <v>323</v>
      </c>
      <c r="H555" s="52" t="s">
        <v>324</v>
      </c>
      <c r="I555" s="53">
        <v>25</v>
      </c>
      <c r="J555" s="52" t="s">
        <v>140</v>
      </c>
      <c r="K555" s="53">
        <v>2</v>
      </c>
      <c r="L555" s="53"/>
      <c r="M555" s="54" t="s">
        <v>325</v>
      </c>
      <c r="N555" s="54"/>
      <c r="O555" s="53"/>
      <c r="P555" s="54" t="s">
        <v>1553</v>
      </c>
      <c r="Q555" s="56"/>
      <c r="R555" s="52"/>
      <c r="S555" s="53"/>
      <c r="T555" s="53"/>
      <c r="U555" s="53"/>
      <c r="V555" s="53"/>
      <c r="W555" s="53"/>
      <c r="X555" s="56" t="s">
        <v>1393</v>
      </c>
      <c r="Y555" s="56" t="s">
        <v>351</v>
      </c>
      <c r="Z555" s="56" t="s">
        <v>351</v>
      </c>
      <c r="AA555" s="53" t="s">
        <v>2148</v>
      </c>
      <c r="AC555" s="24"/>
    </row>
    <row r="556" spans="2:29" ht="120" customHeight="1" x14ac:dyDescent="0.25">
      <c r="B556" s="52" t="s">
        <v>96</v>
      </c>
      <c r="C556" s="52" t="s">
        <v>2149</v>
      </c>
      <c r="D556" s="52" t="s">
        <v>2150</v>
      </c>
      <c r="E556" s="53">
        <v>1</v>
      </c>
      <c r="F556" s="52" t="s">
        <v>329</v>
      </c>
      <c r="G556" s="52" t="s">
        <v>330</v>
      </c>
      <c r="H556" s="52" t="s">
        <v>331</v>
      </c>
      <c r="I556" s="53">
        <v>26</v>
      </c>
      <c r="J556" s="52" t="s">
        <v>140</v>
      </c>
      <c r="K556" s="53">
        <v>10</v>
      </c>
      <c r="L556" s="53"/>
      <c r="M556" s="54" t="s">
        <v>332</v>
      </c>
      <c r="N556" s="54" t="s">
        <v>333</v>
      </c>
      <c r="O556" s="53" t="s">
        <v>142</v>
      </c>
      <c r="P556" s="55"/>
      <c r="Q556" s="56" t="s">
        <v>284</v>
      </c>
      <c r="R556" s="52" t="s">
        <v>685</v>
      </c>
      <c r="S556" s="53"/>
      <c r="T556" s="53"/>
      <c r="U556" s="53"/>
      <c r="V556" s="53"/>
      <c r="W556" s="53"/>
      <c r="X556" s="56" t="s">
        <v>351</v>
      </c>
      <c r="Y556" s="56" t="s">
        <v>351</v>
      </c>
      <c r="Z556" s="56" t="s">
        <v>351</v>
      </c>
      <c r="AA556" s="53" t="s">
        <v>351</v>
      </c>
      <c r="AC556" s="24"/>
    </row>
    <row r="557" spans="2:29" ht="120" customHeight="1" x14ac:dyDescent="0.25">
      <c r="B557" s="52" t="s">
        <v>96</v>
      </c>
      <c r="C557" s="52" t="s">
        <v>2149</v>
      </c>
      <c r="D557" s="52" t="s">
        <v>2150</v>
      </c>
      <c r="E557" s="53">
        <v>1</v>
      </c>
      <c r="F557" s="52" t="s">
        <v>336</v>
      </c>
      <c r="G557" s="52" t="s">
        <v>337</v>
      </c>
      <c r="H557" s="52" t="s">
        <v>338</v>
      </c>
      <c r="I557" s="53">
        <v>27</v>
      </c>
      <c r="J557" s="52" t="s">
        <v>339</v>
      </c>
      <c r="K557" s="53">
        <v>23</v>
      </c>
      <c r="L557" s="53"/>
      <c r="M557" s="54" t="s">
        <v>340</v>
      </c>
      <c r="N557" s="54" t="s">
        <v>341</v>
      </c>
      <c r="O557" s="53"/>
      <c r="P557" s="55"/>
      <c r="Q557" s="56"/>
      <c r="R557" s="52"/>
      <c r="S557" s="53"/>
      <c r="T557" s="53"/>
      <c r="U557" s="53"/>
      <c r="V557" s="53"/>
      <c r="W557" s="53"/>
      <c r="X557" s="56" t="s">
        <v>351</v>
      </c>
      <c r="Y557" s="56" t="s">
        <v>351</v>
      </c>
      <c r="Z557" s="56" t="s">
        <v>351</v>
      </c>
      <c r="AA557" s="53" t="s">
        <v>351</v>
      </c>
      <c r="AC557" s="24"/>
    </row>
    <row r="558" spans="2:29" ht="120" customHeight="1" x14ac:dyDescent="0.25">
      <c r="B558" s="52" t="s">
        <v>76</v>
      </c>
      <c r="C558" s="52" t="s">
        <v>2154</v>
      </c>
      <c r="D558" s="52" t="s">
        <v>2155</v>
      </c>
      <c r="E558" s="53">
        <v>2</v>
      </c>
      <c r="F558" s="52" t="s">
        <v>1041</v>
      </c>
      <c r="G558" s="52" t="s">
        <v>1042</v>
      </c>
      <c r="H558" s="55" t="s">
        <v>1043</v>
      </c>
      <c r="I558" s="53">
        <v>1</v>
      </c>
      <c r="J558" s="52" t="s">
        <v>140</v>
      </c>
      <c r="K558" s="53">
        <v>16</v>
      </c>
      <c r="L558" s="53"/>
      <c r="M558" s="54" t="s">
        <v>1044</v>
      </c>
      <c r="N558" s="54"/>
      <c r="O558" s="53" t="s">
        <v>142</v>
      </c>
      <c r="P558" s="55"/>
      <c r="Q558" s="56" t="s">
        <v>1045</v>
      </c>
      <c r="R558" s="52" t="s">
        <v>1041</v>
      </c>
      <c r="S558" s="293" t="s">
        <v>1046</v>
      </c>
      <c r="T558" s="293" t="s">
        <v>1047</v>
      </c>
      <c r="U558" s="54" t="s">
        <v>1048</v>
      </c>
      <c r="V558" s="54" t="s">
        <v>2156</v>
      </c>
      <c r="W558" s="53"/>
      <c r="X558" s="52" t="s">
        <v>1050</v>
      </c>
      <c r="Y558" s="72" t="s">
        <v>1051</v>
      </c>
      <c r="Z558" s="72" t="s">
        <v>1052</v>
      </c>
      <c r="AA558" s="53" t="s">
        <v>351</v>
      </c>
      <c r="AC558" s="24"/>
    </row>
    <row r="559" spans="2:29" ht="120" customHeight="1" x14ac:dyDescent="0.25">
      <c r="B559" s="52" t="s">
        <v>76</v>
      </c>
      <c r="C559" s="52" t="s">
        <v>2154</v>
      </c>
      <c r="D559" s="52" t="s">
        <v>2155</v>
      </c>
      <c r="E559" s="53">
        <v>2</v>
      </c>
      <c r="F559" s="52" t="s">
        <v>1502</v>
      </c>
      <c r="G559" s="52" t="s">
        <v>1503</v>
      </c>
      <c r="H559" s="55" t="s">
        <v>166</v>
      </c>
      <c r="I559" s="53">
        <v>2</v>
      </c>
      <c r="J559" s="52" t="s">
        <v>140</v>
      </c>
      <c r="K559" s="53">
        <v>4</v>
      </c>
      <c r="L559" s="53"/>
      <c r="M559" s="54" t="s">
        <v>2157</v>
      </c>
      <c r="N559" s="54"/>
      <c r="O559" s="53"/>
      <c r="P559" s="55"/>
      <c r="Q559" s="56" t="s">
        <v>1045</v>
      </c>
      <c r="R559" s="52" t="s">
        <v>152</v>
      </c>
      <c r="S559" s="294" t="s">
        <v>1056</v>
      </c>
      <c r="T559" s="294" t="s">
        <v>1057</v>
      </c>
      <c r="U559" s="56" t="s">
        <v>1058</v>
      </c>
      <c r="V559" s="56" t="s">
        <v>2158</v>
      </c>
      <c r="W559" s="53"/>
      <c r="X559" s="52" t="s">
        <v>1050</v>
      </c>
      <c r="Y559" s="55" t="s">
        <v>351</v>
      </c>
      <c r="Z559" s="55" t="s">
        <v>351</v>
      </c>
      <c r="AA559" s="53" t="s">
        <v>353</v>
      </c>
      <c r="AC559" s="24"/>
    </row>
    <row r="560" spans="2:29" ht="120" customHeight="1" x14ac:dyDescent="0.25">
      <c r="B560" s="52" t="s">
        <v>76</v>
      </c>
      <c r="C560" s="52" t="s">
        <v>2154</v>
      </c>
      <c r="D560" s="52" t="s">
        <v>2155</v>
      </c>
      <c r="E560" s="53">
        <v>2</v>
      </c>
      <c r="F560" s="52" t="s">
        <v>1506</v>
      </c>
      <c r="G560" s="52" t="s">
        <v>1507</v>
      </c>
      <c r="H560" s="55" t="s">
        <v>166</v>
      </c>
      <c r="I560" s="53">
        <v>3</v>
      </c>
      <c r="J560" s="52" t="s">
        <v>140</v>
      </c>
      <c r="K560" s="53">
        <v>30</v>
      </c>
      <c r="L560" s="53"/>
      <c r="M560" s="54" t="s">
        <v>2159</v>
      </c>
      <c r="N560" s="54" t="s">
        <v>155</v>
      </c>
      <c r="O560" s="53"/>
      <c r="P560" s="55"/>
      <c r="Q560" s="56" t="s">
        <v>1045</v>
      </c>
      <c r="R560" s="52" t="s">
        <v>152</v>
      </c>
      <c r="S560" s="293" t="s">
        <v>1063</v>
      </c>
      <c r="T560" s="293" t="s">
        <v>1064</v>
      </c>
      <c r="U560" s="147" t="s">
        <v>1065</v>
      </c>
      <c r="V560" s="147" t="s">
        <v>2160</v>
      </c>
      <c r="W560" s="53"/>
      <c r="X560" s="52" t="s">
        <v>1050</v>
      </c>
      <c r="Y560" s="55" t="s">
        <v>1067</v>
      </c>
      <c r="Z560" s="55" t="s">
        <v>558</v>
      </c>
      <c r="AA560" s="53" t="s">
        <v>351</v>
      </c>
      <c r="AC560" s="24"/>
    </row>
    <row r="561" spans="2:29" ht="120" customHeight="1" x14ac:dyDescent="0.25">
      <c r="B561" s="52" t="s">
        <v>76</v>
      </c>
      <c r="C561" s="52" t="s">
        <v>2154</v>
      </c>
      <c r="D561" s="52" t="s">
        <v>2155</v>
      </c>
      <c r="E561" s="53">
        <v>2</v>
      </c>
      <c r="F561" s="52" t="s">
        <v>1068</v>
      </c>
      <c r="G561" s="52" t="s">
        <v>1069</v>
      </c>
      <c r="H561" s="55" t="s">
        <v>166</v>
      </c>
      <c r="I561" s="53">
        <v>4</v>
      </c>
      <c r="J561" s="52" t="s">
        <v>140</v>
      </c>
      <c r="K561" s="53">
        <v>10</v>
      </c>
      <c r="L561" s="53"/>
      <c r="M561" s="54" t="s">
        <v>1070</v>
      </c>
      <c r="N561" s="54"/>
      <c r="O561" s="53"/>
      <c r="P561" s="55"/>
      <c r="Q561" s="56"/>
      <c r="R561" s="52"/>
      <c r="S561" s="293" t="s">
        <v>1063</v>
      </c>
      <c r="T561" s="293" t="s">
        <v>1071</v>
      </c>
      <c r="U561" s="54" t="s">
        <v>1072</v>
      </c>
      <c r="V561" s="54" t="s">
        <v>2161</v>
      </c>
      <c r="W561" s="53"/>
      <c r="X561" s="52" t="s">
        <v>1050</v>
      </c>
      <c r="Y561" s="55" t="s">
        <v>1051</v>
      </c>
      <c r="Z561" s="55" t="s">
        <v>1074</v>
      </c>
      <c r="AA561" s="53" t="s">
        <v>351</v>
      </c>
      <c r="AC561" s="24"/>
    </row>
    <row r="562" spans="2:29" ht="120" customHeight="1" x14ac:dyDescent="0.25">
      <c r="B562" s="52" t="s">
        <v>76</v>
      </c>
      <c r="C562" s="52" t="s">
        <v>2154</v>
      </c>
      <c r="D562" s="52" t="s">
        <v>2155</v>
      </c>
      <c r="E562" s="53">
        <v>2</v>
      </c>
      <c r="F562" s="52" t="s">
        <v>1075</v>
      </c>
      <c r="G562" s="52" t="s">
        <v>1076</v>
      </c>
      <c r="H562" s="55" t="s">
        <v>216</v>
      </c>
      <c r="I562" s="53">
        <v>5</v>
      </c>
      <c r="J562" s="52" t="s">
        <v>140</v>
      </c>
      <c r="K562" s="53">
        <v>10</v>
      </c>
      <c r="L562" s="53"/>
      <c r="M562" s="54" t="s">
        <v>2162</v>
      </c>
      <c r="N562" s="54"/>
      <c r="O562" s="53"/>
      <c r="P562" s="55"/>
      <c r="Q562" s="56" t="s">
        <v>1045</v>
      </c>
      <c r="R562" s="52" t="s">
        <v>1078</v>
      </c>
      <c r="S562" s="293" t="s">
        <v>1046</v>
      </c>
      <c r="T562" s="293" t="s">
        <v>1047</v>
      </c>
      <c r="U562" s="54" t="s">
        <v>1079</v>
      </c>
      <c r="V562" s="54" t="s">
        <v>2163</v>
      </c>
      <c r="W562" s="53"/>
      <c r="X562" s="52" t="s">
        <v>1050</v>
      </c>
      <c r="Y562" s="72" t="s">
        <v>1051</v>
      </c>
      <c r="Z562" s="72" t="s">
        <v>1081</v>
      </c>
      <c r="AA562" s="53" t="s">
        <v>351</v>
      </c>
      <c r="AC562" s="24"/>
    </row>
    <row r="563" spans="2:29" ht="120" customHeight="1" x14ac:dyDescent="0.25">
      <c r="B563" s="52" t="s">
        <v>76</v>
      </c>
      <c r="C563" s="52" t="s">
        <v>2154</v>
      </c>
      <c r="D563" s="52" t="s">
        <v>2155</v>
      </c>
      <c r="E563" s="53">
        <v>2</v>
      </c>
      <c r="F563" s="52" t="s">
        <v>1082</v>
      </c>
      <c r="G563" s="52" t="s">
        <v>1083</v>
      </c>
      <c r="H563" s="55" t="s">
        <v>216</v>
      </c>
      <c r="I563" s="53">
        <v>6</v>
      </c>
      <c r="J563" s="52" t="s">
        <v>140</v>
      </c>
      <c r="K563" s="53">
        <v>10</v>
      </c>
      <c r="L563" s="53"/>
      <c r="M563" s="54" t="s">
        <v>2164</v>
      </c>
      <c r="N563" s="54"/>
      <c r="O563" s="53"/>
      <c r="P563" s="55"/>
      <c r="Q563" s="56" t="s">
        <v>1045</v>
      </c>
      <c r="R563" s="52" t="s">
        <v>1085</v>
      </c>
      <c r="S563" s="293" t="s">
        <v>1046</v>
      </c>
      <c r="T563" s="293" t="s">
        <v>1047</v>
      </c>
      <c r="U563" s="54" t="s">
        <v>1086</v>
      </c>
      <c r="V563" s="54" t="s">
        <v>2165</v>
      </c>
      <c r="W563" s="53"/>
      <c r="X563" s="52" t="s">
        <v>1050</v>
      </c>
      <c r="Y563" s="72" t="s">
        <v>1051</v>
      </c>
      <c r="Z563" s="72" t="s">
        <v>1088</v>
      </c>
      <c r="AA563" s="53" t="s">
        <v>351</v>
      </c>
      <c r="AC563" s="24"/>
    </row>
    <row r="564" spans="2:29" ht="120" customHeight="1" x14ac:dyDescent="0.25">
      <c r="B564" s="52" t="s">
        <v>76</v>
      </c>
      <c r="C564" s="52" t="s">
        <v>2154</v>
      </c>
      <c r="D564" s="52" t="s">
        <v>2155</v>
      </c>
      <c r="E564" s="53">
        <v>2</v>
      </c>
      <c r="F564" s="52" t="s">
        <v>1089</v>
      </c>
      <c r="G564" s="52" t="s">
        <v>1090</v>
      </c>
      <c r="H564" s="55" t="s">
        <v>1091</v>
      </c>
      <c r="I564" s="53">
        <v>7</v>
      </c>
      <c r="J564" s="52" t="s">
        <v>263</v>
      </c>
      <c r="K564" s="53">
        <v>23</v>
      </c>
      <c r="L564" s="53">
        <v>6</v>
      </c>
      <c r="M564" s="54" t="s">
        <v>1092</v>
      </c>
      <c r="N564" s="54"/>
      <c r="O564" s="53"/>
      <c r="P564" s="55"/>
      <c r="Q564" s="56" t="s">
        <v>1045</v>
      </c>
      <c r="R564" s="52" t="s">
        <v>1093</v>
      </c>
      <c r="S564" s="293" t="s">
        <v>1046</v>
      </c>
      <c r="T564" s="293" t="s">
        <v>1094</v>
      </c>
      <c r="U564" s="54" t="s">
        <v>1095</v>
      </c>
      <c r="V564" s="54" t="s">
        <v>2166</v>
      </c>
      <c r="W564" s="53"/>
      <c r="X564" s="52" t="s">
        <v>1050</v>
      </c>
      <c r="Y564" s="72" t="s">
        <v>1097</v>
      </c>
      <c r="Z564" s="72" t="s">
        <v>1098</v>
      </c>
      <c r="AA564" s="53" t="s">
        <v>351</v>
      </c>
      <c r="AC564" s="24"/>
    </row>
    <row r="565" spans="2:29" ht="120" customHeight="1" x14ac:dyDescent="0.25">
      <c r="B565" s="52" t="s">
        <v>76</v>
      </c>
      <c r="C565" s="52" t="s">
        <v>2154</v>
      </c>
      <c r="D565" s="52" t="s">
        <v>2155</v>
      </c>
      <c r="E565" s="53">
        <v>2</v>
      </c>
      <c r="F565" s="52" t="s">
        <v>1099</v>
      </c>
      <c r="G565" s="52" t="s">
        <v>1100</v>
      </c>
      <c r="H565" s="55" t="s">
        <v>1091</v>
      </c>
      <c r="I565" s="53">
        <v>8</v>
      </c>
      <c r="J565" s="52" t="s">
        <v>263</v>
      </c>
      <c r="K565" s="53">
        <v>23</v>
      </c>
      <c r="L565" s="53">
        <v>6</v>
      </c>
      <c r="M565" s="54" t="s">
        <v>1101</v>
      </c>
      <c r="N565" s="54"/>
      <c r="O565" s="53"/>
      <c r="P565" s="55"/>
      <c r="Q565" s="56" t="s">
        <v>1045</v>
      </c>
      <c r="R565" s="52" t="s">
        <v>1102</v>
      </c>
      <c r="S565" s="293" t="s">
        <v>1046</v>
      </c>
      <c r="T565" s="293" t="s">
        <v>1094</v>
      </c>
      <c r="U565" s="54" t="s">
        <v>1103</v>
      </c>
      <c r="V565" s="54" t="s">
        <v>2167</v>
      </c>
      <c r="W565" s="53"/>
      <c r="X565" s="52" t="s">
        <v>1050</v>
      </c>
      <c r="Y565" s="72" t="s">
        <v>1097</v>
      </c>
      <c r="Z565" s="72" t="s">
        <v>1105</v>
      </c>
      <c r="AA565" s="53" t="s">
        <v>351</v>
      </c>
      <c r="AC565" s="24"/>
    </row>
    <row r="566" spans="2:29" ht="120" customHeight="1" x14ac:dyDescent="0.25">
      <c r="B566" s="52" t="s">
        <v>76</v>
      </c>
      <c r="C566" s="52" t="s">
        <v>2154</v>
      </c>
      <c r="D566" s="52" t="s">
        <v>2155</v>
      </c>
      <c r="E566" s="53">
        <v>2</v>
      </c>
      <c r="F566" s="52" t="s">
        <v>1106</v>
      </c>
      <c r="G566" s="52" t="s">
        <v>1107</v>
      </c>
      <c r="H566" s="55" t="s">
        <v>303</v>
      </c>
      <c r="I566" s="53">
        <v>9</v>
      </c>
      <c r="J566" s="52" t="s">
        <v>140</v>
      </c>
      <c r="K566" s="53">
        <v>20</v>
      </c>
      <c r="L566" s="53"/>
      <c r="M566" s="54" t="s">
        <v>2168</v>
      </c>
      <c r="N566" s="54"/>
      <c r="O566" s="53"/>
      <c r="P566" s="54" t="s">
        <v>1109</v>
      </c>
      <c r="Q566" s="56" t="s">
        <v>1045</v>
      </c>
      <c r="R566" s="52" t="s">
        <v>1110</v>
      </c>
      <c r="S566" s="56" t="s">
        <v>1111</v>
      </c>
      <c r="T566" s="56" t="s">
        <v>1057</v>
      </c>
      <c r="U566" s="56" t="s">
        <v>147</v>
      </c>
      <c r="V566" s="56" t="s">
        <v>2169</v>
      </c>
      <c r="W566" s="53"/>
      <c r="X566" s="52" t="s">
        <v>1050</v>
      </c>
      <c r="Y566" s="72" t="s">
        <v>1051</v>
      </c>
      <c r="Z566" s="72" t="s">
        <v>1113</v>
      </c>
      <c r="AA566" s="53" t="s">
        <v>351</v>
      </c>
      <c r="AC566" s="24"/>
    </row>
    <row r="567" spans="2:29" ht="120" customHeight="1" x14ac:dyDescent="0.25">
      <c r="B567" s="52" t="s">
        <v>76</v>
      </c>
      <c r="C567" s="52" t="s">
        <v>2154</v>
      </c>
      <c r="D567" s="52" t="s">
        <v>2155</v>
      </c>
      <c r="E567" s="53">
        <v>2</v>
      </c>
      <c r="F567" s="52" t="s">
        <v>329</v>
      </c>
      <c r="G567" s="52" t="s">
        <v>330</v>
      </c>
      <c r="H567" s="52" t="s">
        <v>331</v>
      </c>
      <c r="I567" s="53">
        <v>10</v>
      </c>
      <c r="J567" s="52" t="s">
        <v>140</v>
      </c>
      <c r="K567" s="53">
        <v>10</v>
      </c>
      <c r="L567" s="53"/>
      <c r="M567" s="54" t="s">
        <v>332</v>
      </c>
      <c r="N567" s="54" t="s">
        <v>333</v>
      </c>
      <c r="O567" s="53" t="s">
        <v>142</v>
      </c>
      <c r="P567" s="55"/>
      <c r="Q567" s="56"/>
      <c r="R567" s="52"/>
      <c r="S567" s="293" t="s">
        <v>1046</v>
      </c>
      <c r="T567" s="293" t="s">
        <v>1047</v>
      </c>
      <c r="U567" s="54" t="s">
        <v>686</v>
      </c>
      <c r="V567" s="54" t="s">
        <v>2170</v>
      </c>
      <c r="W567" s="53"/>
      <c r="X567" s="52" t="s">
        <v>351</v>
      </c>
      <c r="Y567" s="52" t="s">
        <v>351</v>
      </c>
      <c r="Z567" s="52" t="s">
        <v>351</v>
      </c>
      <c r="AA567" s="53" t="s">
        <v>351</v>
      </c>
      <c r="AC567" s="24"/>
    </row>
    <row r="568" spans="2:29" ht="120" customHeight="1" x14ac:dyDescent="0.25">
      <c r="B568" s="52" t="s">
        <v>76</v>
      </c>
      <c r="C568" s="52" t="s">
        <v>2154</v>
      </c>
      <c r="D568" s="52" t="s">
        <v>2155</v>
      </c>
      <c r="E568" s="53">
        <v>2</v>
      </c>
      <c r="F568" s="52" t="s">
        <v>336</v>
      </c>
      <c r="G568" s="52" t="s">
        <v>337</v>
      </c>
      <c r="H568" s="52" t="s">
        <v>338</v>
      </c>
      <c r="I568" s="53">
        <v>11</v>
      </c>
      <c r="J568" s="52" t="s">
        <v>339</v>
      </c>
      <c r="K568" s="53">
        <v>23</v>
      </c>
      <c r="L568" s="53"/>
      <c r="M568" s="54" t="s">
        <v>340</v>
      </c>
      <c r="N568" s="54" t="s">
        <v>341</v>
      </c>
      <c r="O568" s="53"/>
      <c r="P568" s="55"/>
      <c r="Q568" s="56"/>
      <c r="R568" s="52"/>
      <c r="S568" s="293" t="s">
        <v>1046</v>
      </c>
      <c r="T568" s="293" t="s">
        <v>1047</v>
      </c>
      <c r="U568" s="54" t="s">
        <v>450</v>
      </c>
      <c r="V568" s="54" t="s">
        <v>2171</v>
      </c>
      <c r="W568" s="53"/>
      <c r="X568" s="52" t="s">
        <v>351</v>
      </c>
      <c r="Y568" s="52" t="s">
        <v>351</v>
      </c>
      <c r="Z568" s="52" t="s">
        <v>351</v>
      </c>
      <c r="AA568" s="53" t="s">
        <v>351</v>
      </c>
      <c r="AC568" s="24"/>
    </row>
    <row r="569" spans="2:29" ht="120" customHeight="1" x14ac:dyDescent="0.25">
      <c r="B569" s="52" t="s">
        <v>76</v>
      </c>
      <c r="C569" s="52" t="s">
        <v>2172</v>
      </c>
      <c r="D569" s="52" t="s">
        <v>2173</v>
      </c>
      <c r="E569" s="53">
        <v>1</v>
      </c>
      <c r="F569" s="52" t="s">
        <v>137</v>
      </c>
      <c r="G569" s="52" t="s">
        <v>138</v>
      </c>
      <c r="H569" s="52" t="s">
        <v>139</v>
      </c>
      <c r="I569" s="53">
        <v>1</v>
      </c>
      <c r="J569" s="52" t="s">
        <v>140</v>
      </c>
      <c r="K569" s="53">
        <v>4</v>
      </c>
      <c r="L569" s="53"/>
      <c r="M569" s="54" t="s">
        <v>141</v>
      </c>
      <c r="N569" s="54"/>
      <c r="O569" s="53" t="s">
        <v>142</v>
      </c>
      <c r="P569" s="55"/>
      <c r="Q569" s="56" t="s">
        <v>1523</v>
      </c>
      <c r="R569" s="56" t="s">
        <v>1201</v>
      </c>
      <c r="S569" s="54" t="s">
        <v>1118</v>
      </c>
      <c r="T569" s="54" t="s">
        <v>1119</v>
      </c>
      <c r="U569" s="54" t="s">
        <v>517</v>
      </c>
      <c r="V569" s="54" t="s">
        <v>2174</v>
      </c>
      <c r="W569" s="53"/>
      <c r="X569" s="52" t="s">
        <v>1050</v>
      </c>
      <c r="Y569" s="55" t="s">
        <v>351</v>
      </c>
      <c r="Z569" s="55" t="s">
        <v>351</v>
      </c>
      <c r="AA569" s="53" t="s">
        <v>353</v>
      </c>
      <c r="AC569" s="24"/>
    </row>
    <row r="570" spans="2:29" ht="120" customHeight="1" x14ac:dyDescent="0.25">
      <c r="B570" s="52" t="s">
        <v>76</v>
      </c>
      <c r="C570" s="52" t="s">
        <v>2172</v>
      </c>
      <c r="D570" s="52" t="s">
        <v>2173</v>
      </c>
      <c r="E570" s="53">
        <v>1</v>
      </c>
      <c r="F570" s="52" t="s">
        <v>152</v>
      </c>
      <c r="G570" s="52" t="s">
        <v>153</v>
      </c>
      <c r="H570" s="52" t="s">
        <v>139</v>
      </c>
      <c r="I570" s="53">
        <v>2</v>
      </c>
      <c r="J570" s="52" t="s">
        <v>140</v>
      </c>
      <c r="K570" s="53">
        <v>15</v>
      </c>
      <c r="L570" s="53"/>
      <c r="M570" s="54" t="s">
        <v>1525</v>
      </c>
      <c r="N570" s="54" t="s">
        <v>155</v>
      </c>
      <c r="O570" s="53" t="s">
        <v>142</v>
      </c>
      <c r="P570" s="55"/>
      <c r="Q570" s="56" t="s">
        <v>1523</v>
      </c>
      <c r="R570" s="56" t="s">
        <v>1201</v>
      </c>
      <c r="S570" s="54" t="s">
        <v>1046</v>
      </c>
      <c r="T570" s="54" t="s">
        <v>1124</v>
      </c>
      <c r="U570" s="54" t="s">
        <v>556</v>
      </c>
      <c r="V570" s="54" t="s">
        <v>2175</v>
      </c>
      <c r="W570" s="53"/>
      <c r="X570" s="52" t="s">
        <v>1050</v>
      </c>
      <c r="Y570" s="55" t="s">
        <v>1067</v>
      </c>
      <c r="Z570" s="55" t="s">
        <v>558</v>
      </c>
      <c r="AA570" s="53" t="s">
        <v>351</v>
      </c>
      <c r="AC570" s="24"/>
    </row>
    <row r="571" spans="2:29" ht="120" customHeight="1" x14ac:dyDescent="0.25">
      <c r="B571" s="52" t="s">
        <v>76</v>
      </c>
      <c r="C571" s="52" t="s">
        <v>2172</v>
      </c>
      <c r="D571" s="52" t="s">
        <v>2173</v>
      </c>
      <c r="E571" s="53">
        <v>1</v>
      </c>
      <c r="F571" s="52" t="s">
        <v>164</v>
      </c>
      <c r="G571" s="52" t="s">
        <v>165</v>
      </c>
      <c r="H571" s="55" t="s">
        <v>166</v>
      </c>
      <c r="I571" s="53">
        <v>3</v>
      </c>
      <c r="J571" s="52" t="s">
        <v>140</v>
      </c>
      <c r="K571" s="53">
        <v>20</v>
      </c>
      <c r="L571" s="53"/>
      <c r="M571" s="54" t="s">
        <v>167</v>
      </c>
      <c r="N571" s="54" t="s">
        <v>168</v>
      </c>
      <c r="O571" s="53"/>
      <c r="P571" s="54" t="s">
        <v>971</v>
      </c>
      <c r="Q571" s="56"/>
      <c r="R571" s="52"/>
      <c r="S571" s="54" t="s">
        <v>1118</v>
      </c>
      <c r="T571" s="54" t="s">
        <v>1119</v>
      </c>
      <c r="U571" s="54" t="s">
        <v>517</v>
      </c>
      <c r="V571" s="54" t="s">
        <v>2176</v>
      </c>
      <c r="W571" s="53"/>
      <c r="X571" s="52" t="s">
        <v>351</v>
      </c>
      <c r="Y571" s="55" t="s">
        <v>351</v>
      </c>
      <c r="Z571" s="55" t="s">
        <v>351</v>
      </c>
      <c r="AA571" s="53" t="s">
        <v>351</v>
      </c>
      <c r="AC571" s="24"/>
    </row>
    <row r="572" spans="2:29" ht="120" customHeight="1" x14ac:dyDescent="0.25">
      <c r="B572" s="52" t="s">
        <v>76</v>
      </c>
      <c r="C572" s="52" t="s">
        <v>2172</v>
      </c>
      <c r="D572" s="52" t="s">
        <v>2173</v>
      </c>
      <c r="E572" s="53">
        <v>1</v>
      </c>
      <c r="F572" s="52" t="s">
        <v>172</v>
      </c>
      <c r="G572" s="52" t="s">
        <v>173</v>
      </c>
      <c r="H572" s="55" t="s">
        <v>166</v>
      </c>
      <c r="I572" s="53">
        <v>4</v>
      </c>
      <c r="J572" s="52" t="s">
        <v>140</v>
      </c>
      <c r="K572" s="53">
        <v>20</v>
      </c>
      <c r="L572" s="53"/>
      <c r="M572" s="54" t="s">
        <v>174</v>
      </c>
      <c r="N572" s="54" t="s">
        <v>175</v>
      </c>
      <c r="O572" s="53"/>
      <c r="P572" s="54" t="s">
        <v>1127</v>
      </c>
      <c r="Q572" s="56" t="s">
        <v>219</v>
      </c>
      <c r="R572" s="52" t="s">
        <v>1528</v>
      </c>
      <c r="S572" s="54" t="s">
        <v>1063</v>
      </c>
      <c r="T572" s="54" t="s">
        <v>1128</v>
      </c>
      <c r="U572" s="54" t="s">
        <v>1129</v>
      </c>
      <c r="V572" s="54" t="s">
        <v>2177</v>
      </c>
      <c r="W572" s="53"/>
      <c r="X572" s="52" t="s">
        <v>1050</v>
      </c>
      <c r="Y572" s="67" t="s">
        <v>1131</v>
      </c>
      <c r="Z572" s="67" t="s">
        <v>534</v>
      </c>
      <c r="AA572" s="53" t="s">
        <v>351</v>
      </c>
      <c r="AC572" s="24"/>
    </row>
    <row r="573" spans="2:29" ht="120" customHeight="1" x14ac:dyDescent="0.25">
      <c r="B573" s="52" t="s">
        <v>76</v>
      </c>
      <c r="C573" s="52" t="s">
        <v>2172</v>
      </c>
      <c r="D573" s="52" t="s">
        <v>2173</v>
      </c>
      <c r="E573" s="53">
        <v>1</v>
      </c>
      <c r="F573" s="52" t="s">
        <v>184</v>
      </c>
      <c r="G573" s="52" t="s">
        <v>185</v>
      </c>
      <c r="H573" s="55" t="s">
        <v>166</v>
      </c>
      <c r="I573" s="53">
        <v>5</v>
      </c>
      <c r="J573" s="52" t="s">
        <v>140</v>
      </c>
      <c r="K573" s="53">
        <v>20</v>
      </c>
      <c r="L573" s="53"/>
      <c r="M573" s="54" t="s">
        <v>186</v>
      </c>
      <c r="N573" s="54" t="s">
        <v>187</v>
      </c>
      <c r="O573" s="53"/>
      <c r="P573" s="54" t="s">
        <v>1132</v>
      </c>
      <c r="Q573" s="56" t="s">
        <v>219</v>
      </c>
      <c r="R573" s="52" t="s">
        <v>1530</v>
      </c>
      <c r="S573" s="54" t="s">
        <v>1063</v>
      </c>
      <c r="T573" s="54" t="s">
        <v>1128</v>
      </c>
      <c r="U573" s="54" t="s">
        <v>1133</v>
      </c>
      <c r="V573" s="54" t="s">
        <v>2178</v>
      </c>
      <c r="W573" s="53"/>
      <c r="X573" s="52" t="s">
        <v>1050</v>
      </c>
      <c r="Y573" s="67" t="s">
        <v>1131</v>
      </c>
      <c r="Z573" s="67" t="s">
        <v>538</v>
      </c>
      <c r="AA573" s="53" t="s">
        <v>351</v>
      </c>
      <c r="AC573" s="24"/>
    </row>
    <row r="574" spans="2:29" ht="120" customHeight="1" x14ac:dyDescent="0.25">
      <c r="B574" s="52" t="s">
        <v>76</v>
      </c>
      <c r="C574" s="52" t="s">
        <v>2172</v>
      </c>
      <c r="D574" s="52" t="s">
        <v>2173</v>
      </c>
      <c r="E574" s="53">
        <v>1</v>
      </c>
      <c r="F574" s="52" t="s">
        <v>193</v>
      </c>
      <c r="G574" s="52" t="s">
        <v>194</v>
      </c>
      <c r="H574" s="55" t="s">
        <v>166</v>
      </c>
      <c r="I574" s="53">
        <v>6</v>
      </c>
      <c r="J574" s="52" t="s">
        <v>140</v>
      </c>
      <c r="K574" s="53">
        <v>4</v>
      </c>
      <c r="L574" s="53"/>
      <c r="M574" s="79" t="s">
        <v>1532</v>
      </c>
      <c r="N574" s="54"/>
      <c r="O574" s="53"/>
      <c r="P574" s="55"/>
      <c r="Q574" s="54" t="s">
        <v>1250</v>
      </c>
      <c r="R574" s="54" t="s">
        <v>197</v>
      </c>
      <c r="S574" s="54" t="s">
        <v>1118</v>
      </c>
      <c r="T574" s="54" t="s">
        <v>1119</v>
      </c>
      <c r="U574" s="54" t="s">
        <v>517</v>
      </c>
      <c r="V574" s="54" t="s">
        <v>2179</v>
      </c>
      <c r="W574" s="53"/>
      <c r="X574" s="52" t="s">
        <v>1050</v>
      </c>
      <c r="Y574" s="55" t="s">
        <v>351</v>
      </c>
      <c r="Z574" s="55" t="s">
        <v>351</v>
      </c>
      <c r="AA574" s="53" t="s">
        <v>353</v>
      </c>
      <c r="AC574" s="24"/>
    </row>
    <row r="575" spans="2:29" ht="120" customHeight="1" x14ac:dyDescent="0.25">
      <c r="B575" s="52" t="s">
        <v>76</v>
      </c>
      <c r="C575" s="52" t="s">
        <v>2172</v>
      </c>
      <c r="D575" s="52" t="s">
        <v>2173</v>
      </c>
      <c r="E575" s="53">
        <v>1</v>
      </c>
      <c r="F575" s="52" t="s">
        <v>203</v>
      </c>
      <c r="G575" s="52" t="s">
        <v>204</v>
      </c>
      <c r="H575" s="55" t="s">
        <v>166</v>
      </c>
      <c r="I575" s="53">
        <v>7</v>
      </c>
      <c r="J575" s="52" t="s">
        <v>140</v>
      </c>
      <c r="K575" s="53">
        <v>30</v>
      </c>
      <c r="L575" s="53"/>
      <c r="M575" s="54" t="s">
        <v>1534</v>
      </c>
      <c r="N575" s="54"/>
      <c r="O575" s="53"/>
      <c r="P575" s="55"/>
      <c r="Q575" s="54" t="s">
        <v>1250</v>
      </c>
      <c r="R575" s="54" t="s">
        <v>197</v>
      </c>
      <c r="S575" s="54" t="s">
        <v>1063</v>
      </c>
      <c r="T575" s="54" t="s">
        <v>1138</v>
      </c>
      <c r="U575" s="163" t="s">
        <v>1139</v>
      </c>
      <c r="V575" s="163" t="s">
        <v>2180</v>
      </c>
      <c r="W575" s="53"/>
      <c r="X575" s="52" t="s">
        <v>1050</v>
      </c>
      <c r="Y575" s="67" t="s">
        <v>1141</v>
      </c>
      <c r="Z575" s="72" t="s">
        <v>1536</v>
      </c>
      <c r="AA575" s="53" t="s">
        <v>351</v>
      </c>
      <c r="AC575" s="24"/>
    </row>
    <row r="576" spans="2:29" ht="120" customHeight="1" x14ac:dyDescent="0.25">
      <c r="B576" s="52" t="s">
        <v>76</v>
      </c>
      <c r="C576" s="52" t="s">
        <v>2172</v>
      </c>
      <c r="D576" s="52" t="s">
        <v>2173</v>
      </c>
      <c r="E576" s="53">
        <v>1</v>
      </c>
      <c r="F576" s="52" t="s">
        <v>214</v>
      </c>
      <c r="G576" s="52" t="s">
        <v>215</v>
      </c>
      <c r="H576" s="55" t="s">
        <v>216</v>
      </c>
      <c r="I576" s="53">
        <v>8</v>
      </c>
      <c r="J576" s="52" t="s">
        <v>952</v>
      </c>
      <c r="K576" s="53">
        <v>10</v>
      </c>
      <c r="L576" s="53"/>
      <c r="M576" s="54" t="s">
        <v>1537</v>
      </c>
      <c r="N576" s="54" t="s">
        <v>218</v>
      </c>
      <c r="O576" s="53"/>
      <c r="P576" s="55"/>
      <c r="Q576" s="56" t="s">
        <v>219</v>
      </c>
      <c r="R576" s="52" t="s">
        <v>214</v>
      </c>
      <c r="S576" s="54" t="s">
        <v>1046</v>
      </c>
      <c r="T576" s="293" t="s">
        <v>1124</v>
      </c>
      <c r="U576" s="54" t="s">
        <v>1144</v>
      </c>
      <c r="V576" s="54" t="s">
        <v>2181</v>
      </c>
      <c r="W576" s="53"/>
      <c r="X576" s="52" t="s">
        <v>1050</v>
      </c>
      <c r="Y576" s="55" t="s">
        <v>1067</v>
      </c>
      <c r="Z576" s="55" t="s">
        <v>1146</v>
      </c>
      <c r="AA576" s="53" t="s">
        <v>351</v>
      </c>
      <c r="AC576" s="24"/>
    </row>
    <row r="577" spans="2:29" ht="120" customHeight="1" x14ac:dyDescent="0.25">
      <c r="B577" s="52" t="s">
        <v>76</v>
      </c>
      <c r="C577" s="52" t="s">
        <v>2172</v>
      </c>
      <c r="D577" s="52" t="s">
        <v>2173</v>
      </c>
      <c r="E577" s="53">
        <v>1</v>
      </c>
      <c r="F577" s="52" t="s">
        <v>226</v>
      </c>
      <c r="G577" s="52" t="s">
        <v>227</v>
      </c>
      <c r="H577" s="55" t="s">
        <v>216</v>
      </c>
      <c r="I577" s="53">
        <v>9</v>
      </c>
      <c r="J577" s="52" t="s">
        <v>952</v>
      </c>
      <c r="K577" s="53">
        <v>10</v>
      </c>
      <c r="L577" s="53"/>
      <c r="M577" s="54" t="s">
        <v>710</v>
      </c>
      <c r="N577" s="54"/>
      <c r="O577" s="53"/>
      <c r="P577" s="55"/>
      <c r="Q577" s="54"/>
      <c r="R577" s="55"/>
      <c r="S577" s="163" t="s">
        <v>1046</v>
      </c>
      <c r="T577" s="299" t="s">
        <v>1124</v>
      </c>
      <c r="U577" s="54" t="s">
        <v>450</v>
      </c>
      <c r="V577" s="54" t="s">
        <v>2182</v>
      </c>
      <c r="W577" s="53"/>
      <c r="X577" s="52" t="s">
        <v>1050</v>
      </c>
      <c r="Y577" s="55" t="s">
        <v>351</v>
      </c>
      <c r="Z577" s="55" t="s">
        <v>351</v>
      </c>
      <c r="AA577" s="66" t="s">
        <v>712</v>
      </c>
      <c r="AC577" s="24"/>
    </row>
    <row r="578" spans="2:29" ht="120" customHeight="1" x14ac:dyDescent="0.25">
      <c r="B578" s="52" t="s">
        <v>76</v>
      </c>
      <c r="C578" s="52" t="s">
        <v>2172</v>
      </c>
      <c r="D578" s="52" t="s">
        <v>2173</v>
      </c>
      <c r="E578" s="53">
        <v>1</v>
      </c>
      <c r="F578" s="52" t="s">
        <v>238</v>
      </c>
      <c r="G578" s="52" t="s">
        <v>239</v>
      </c>
      <c r="H578" s="55" t="s">
        <v>240</v>
      </c>
      <c r="I578" s="53">
        <v>10</v>
      </c>
      <c r="J578" s="52" t="s">
        <v>140</v>
      </c>
      <c r="K578" s="53">
        <v>3</v>
      </c>
      <c r="L578" s="53"/>
      <c r="M578" s="54" t="s">
        <v>1540</v>
      </c>
      <c r="N578" s="54"/>
      <c r="O578" s="53"/>
      <c r="P578" s="54" t="s">
        <v>1151</v>
      </c>
      <c r="Q578" s="56" t="s">
        <v>566</v>
      </c>
      <c r="R578" s="56" t="s">
        <v>245</v>
      </c>
      <c r="S578" s="54" t="s">
        <v>1046</v>
      </c>
      <c r="T578" s="293" t="s">
        <v>1124</v>
      </c>
      <c r="U578" s="54" t="s">
        <v>1152</v>
      </c>
      <c r="V578" s="54" t="s">
        <v>2183</v>
      </c>
      <c r="W578" s="53"/>
      <c r="X578" s="52" t="s">
        <v>1050</v>
      </c>
      <c r="Y578" s="55" t="s">
        <v>1067</v>
      </c>
      <c r="Z578" s="55" t="s">
        <v>1154</v>
      </c>
      <c r="AA578" s="53" t="s">
        <v>351</v>
      </c>
      <c r="AC578" s="24"/>
    </row>
    <row r="579" spans="2:29" ht="120" customHeight="1" x14ac:dyDescent="0.25">
      <c r="B579" s="52" t="s">
        <v>76</v>
      </c>
      <c r="C579" s="52" t="s">
        <v>2172</v>
      </c>
      <c r="D579" s="52" t="s">
        <v>2173</v>
      </c>
      <c r="E579" s="53">
        <v>1</v>
      </c>
      <c r="F579" s="52" t="s">
        <v>301</v>
      </c>
      <c r="G579" s="52" t="s">
        <v>302</v>
      </c>
      <c r="H579" s="55" t="s">
        <v>303</v>
      </c>
      <c r="I579" s="53">
        <v>12</v>
      </c>
      <c r="J579" s="52" t="s">
        <v>140</v>
      </c>
      <c r="K579" s="53">
        <v>3</v>
      </c>
      <c r="L579" s="53"/>
      <c r="M579" s="54" t="s">
        <v>1542</v>
      </c>
      <c r="N579" s="54" t="s">
        <v>1158</v>
      </c>
      <c r="O579" s="53"/>
      <c r="P579" s="54" t="s">
        <v>1159</v>
      </c>
      <c r="Q579" s="54" t="s">
        <v>307</v>
      </c>
      <c r="R579" s="55" t="s">
        <v>308</v>
      </c>
      <c r="S579" s="56" t="s">
        <v>1160</v>
      </c>
      <c r="T579" s="56" t="s">
        <v>1119</v>
      </c>
      <c r="U579" s="56" t="s">
        <v>517</v>
      </c>
      <c r="V579" s="298" t="s">
        <v>2184</v>
      </c>
      <c r="W579" s="53"/>
      <c r="X579" s="52" t="s">
        <v>1050</v>
      </c>
      <c r="Y579" s="55" t="s">
        <v>1067</v>
      </c>
      <c r="Z579" s="55" t="s">
        <v>1162</v>
      </c>
      <c r="AA579" s="53" t="s">
        <v>351</v>
      </c>
      <c r="AC579" s="24"/>
    </row>
    <row r="580" spans="2:29" ht="120" customHeight="1" x14ac:dyDescent="0.25">
      <c r="B580" s="52" t="s">
        <v>76</v>
      </c>
      <c r="C580" s="52" t="s">
        <v>2172</v>
      </c>
      <c r="D580" s="52" t="s">
        <v>2173</v>
      </c>
      <c r="E580" s="53">
        <v>1</v>
      </c>
      <c r="F580" s="52" t="s">
        <v>311</v>
      </c>
      <c r="G580" s="52" t="s">
        <v>312</v>
      </c>
      <c r="H580" s="55" t="s">
        <v>303</v>
      </c>
      <c r="I580" s="53">
        <v>13</v>
      </c>
      <c r="J580" s="52" t="s">
        <v>140</v>
      </c>
      <c r="K580" s="53">
        <v>3</v>
      </c>
      <c r="L580" s="53"/>
      <c r="M580" s="54" t="s">
        <v>1544</v>
      </c>
      <c r="N580" s="54" t="s">
        <v>314</v>
      </c>
      <c r="O580" s="53"/>
      <c r="P580" s="54" t="s">
        <v>1545</v>
      </c>
      <c r="Q580" s="56" t="s">
        <v>219</v>
      </c>
      <c r="R580" s="52" t="s">
        <v>316</v>
      </c>
      <c r="S580" s="56" t="s">
        <v>1546</v>
      </c>
      <c r="T580" s="56" t="s">
        <v>1547</v>
      </c>
      <c r="U580" s="56" t="s">
        <v>1548</v>
      </c>
      <c r="V580" s="298" t="s">
        <v>2185</v>
      </c>
      <c r="W580" s="53"/>
      <c r="X580" s="52" t="s">
        <v>1050</v>
      </c>
      <c r="Y580" s="67" t="s">
        <v>1550</v>
      </c>
      <c r="Z580" s="67" t="s">
        <v>1551</v>
      </c>
      <c r="AA580" s="53" t="s">
        <v>1552</v>
      </c>
      <c r="AC580" s="24"/>
    </row>
    <row r="581" spans="2:29" ht="120" customHeight="1" x14ac:dyDescent="0.25">
      <c r="B581" s="52" t="s">
        <v>76</v>
      </c>
      <c r="C581" s="52" t="s">
        <v>2172</v>
      </c>
      <c r="D581" s="52" t="s">
        <v>2173</v>
      </c>
      <c r="E581" s="53">
        <v>1</v>
      </c>
      <c r="F581" s="52" t="s">
        <v>322</v>
      </c>
      <c r="G581" s="52" t="s">
        <v>323</v>
      </c>
      <c r="H581" s="52" t="s">
        <v>324</v>
      </c>
      <c r="I581" s="53">
        <v>14</v>
      </c>
      <c r="J581" s="52" t="s">
        <v>140</v>
      </c>
      <c r="K581" s="53">
        <v>2</v>
      </c>
      <c r="L581" s="53"/>
      <c r="M581" s="54" t="s">
        <v>325</v>
      </c>
      <c r="N581" s="54"/>
      <c r="O581" s="53"/>
      <c r="P581" s="54" t="s">
        <v>1553</v>
      </c>
      <c r="Q581" s="56"/>
      <c r="R581" s="52"/>
      <c r="S581" s="54" t="s">
        <v>1046</v>
      </c>
      <c r="T581" s="293" t="s">
        <v>1124</v>
      </c>
      <c r="U581" s="96" t="s">
        <v>450</v>
      </c>
      <c r="V581" s="183" t="s">
        <v>2186</v>
      </c>
      <c r="W581" s="53"/>
      <c r="X581" s="52" t="s">
        <v>1050</v>
      </c>
      <c r="Y581" s="55" t="s">
        <v>351</v>
      </c>
      <c r="Z581" s="55" t="s">
        <v>351</v>
      </c>
      <c r="AA581" s="53" t="s">
        <v>1555</v>
      </c>
      <c r="AC581" s="24"/>
    </row>
    <row r="582" spans="2:29" ht="120" customHeight="1" x14ac:dyDescent="0.25">
      <c r="B582" s="52" t="s">
        <v>76</v>
      </c>
      <c r="C582" s="52" t="s">
        <v>2172</v>
      </c>
      <c r="D582" s="52" t="s">
        <v>2173</v>
      </c>
      <c r="E582" s="53">
        <v>1</v>
      </c>
      <c r="F582" s="52" t="s">
        <v>329</v>
      </c>
      <c r="G582" s="52" t="s">
        <v>330</v>
      </c>
      <c r="H582" s="52" t="s">
        <v>331</v>
      </c>
      <c r="I582" s="53">
        <v>15</v>
      </c>
      <c r="J582" s="52" t="s">
        <v>140</v>
      </c>
      <c r="K582" s="53">
        <v>10</v>
      </c>
      <c r="L582" s="53"/>
      <c r="M582" s="54" t="s">
        <v>332</v>
      </c>
      <c r="N582" s="54" t="s">
        <v>333</v>
      </c>
      <c r="O582" s="53" t="s">
        <v>142</v>
      </c>
      <c r="P582" s="55"/>
      <c r="Q582" s="56" t="s">
        <v>284</v>
      </c>
      <c r="R582" s="52" t="s">
        <v>685</v>
      </c>
      <c r="S582" s="54" t="s">
        <v>1046</v>
      </c>
      <c r="T582" s="54" t="s">
        <v>1124</v>
      </c>
      <c r="U582" s="147" t="s">
        <v>686</v>
      </c>
      <c r="V582" s="54" t="s">
        <v>2187</v>
      </c>
      <c r="W582" s="53"/>
      <c r="X582" s="52" t="s">
        <v>351</v>
      </c>
      <c r="Y582" s="55" t="s">
        <v>351</v>
      </c>
      <c r="Z582" s="55" t="s">
        <v>351</v>
      </c>
      <c r="AA582" s="53" t="s">
        <v>351</v>
      </c>
      <c r="AC582" s="24"/>
    </row>
    <row r="583" spans="2:29" ht="120" customHeight="1" x14ac:dyDescent="0.25">
      <c r="B583" s="52" t="s">
        <v>76</v>
      </c>
      <c r="C583" s="52" t="s">
        <v>2172</v>
      </c>
      <c r="D583" s="52" t="s">
        <v>2173</v>
      </c>
      <c r="E583" s="53">
        <v>1</v>
      </c>
      <c r="F583" s="52" t="s">
        <v>336</v>
      </c>
      <c r="G583" s="52" t="s">
        <v>337</v>
      </c>
      <c r="H583" s="52" t="s">
        <v>338</v>
      </c>
      <c r="I583" s="53">
        <v>16</v>
      </c>
      <c r="J583" s="52" t="s">
        <v>339</v>
      </c>
      <c r="K583" s="53">
        <v>23</v>
      </c>
      <c r="L583" s="53"/>
      <c r="M583" s="54" t="s">
        <v>340</v>
      </c>
      <c r="N583" s="54" t="s">
        <v>341</v>
      </c>
      <c r="O583" s="53"/>
      <c r="P583" s="55"/>
      <c r="Q583" s="56"/>
      <c r="R583" s="52"/>
      <c r="S583" s="54" t="s">
        <v>1046</v>
      </c>
      <c r="T583" s="54" t="s">
        <v>1124</v>
      </c>
      <c r="U583" s="54" t="s">
        <v>450</v>
      </c>
      <c r="V583" s="54" t="s">
        <v>2188</v>
      </c>
      <c r="W583" s="53"/>
      <c r="X583" s="52" t="s">
        <v>351</v>
      </c>
      <c r="Y583" s="55" t="s">
        <v>351</v>
      </c>
      <c r="Z583" s="55" t="s">
        <v>351</v>
      </c>
      <c r="AA583" s="53" t="s">
        <v>351</v>
      </c>
      <c r="AC583" s="24"/>
    </row>
    <row r="584" spans="2:29" ht="120" customHeight="1" x14ac:dyDescent="0.25">
      <c r="B584" s="52" t="s">
        <v>86</v>
      </c>
      <c r="C584" s="52" t="s">
        <v>2189</v>
      </c>
      <c r="D584" s="52" t="s">
        <v>2190</v>
      </c>
      <c r="E584" s="53">
        <v>1</v>
      </c>
      <c r="F584" s="52" t="s">
        <v>137</v>
      </c>
      <c r="G584" s="52" t="s">
        <v>138</v>
      </c>
      <c r="H584" s="52" t="s">
        <v>139</v>
      </c>
      <c r="I584" s="53">
        <v>1</v>
      </c>
      <c r="J584" s="52" t="s">
        <v>140</v>
      </c>
      <c r="K584" s="53">
        <v>4</v>
      </c>
      <c r="L584" s="53"/>
      <c r="M584" s="54" t="s">
        <v>141</v>
      </c>
      <c r="N584" s="54"/>
      <c r="O584" s="53" t="s">
        <v>142</v>
      </c>
      <c r="P584" s="55"/>
      <c r="Q584" s="56" t="s">
        <v>2191</v>
      </c>
      <c r="R584" s="56" t="s">
        <v>2192</v>
      </c>
      <c r="S584" s="53"/>
      <c r="T584" s="53"/>
      <c r="U584" s="53"/>
      <c r="V584" s="53"/>
      <c r="W584" s="53"/>
      <c r="X584" s="52" t="s">
        <v>2193</v>
      </c>
      <c r="Y584" s="55" t="s">
        <v>351</v>
      </c>
      <c r="Z584" s="55" t="s">
        <v>351</v>
      </c>
      <c r="AA584" s="53" t="s">
        <v>353</v>
      </c>
      <c r="AC584" s="24"/>
    </row>
    <row r="585" spans="2:29" ht="120" customHeight="1" x14ac:dyDescent="0.25">
      <c r="B585" s="52" t="s">
        <v>86</v>
      </c>
      <c r="C585" s="52" t="s">
        <v>2189</v>
      </c>
      <c r="D585" s="52" t="s">
        <v>2190</v>
      </c>
      <c r="E585" s="53">
        <v>1</v>
      </c>
      <c r="F585" s="52" t="s">
        <v>152</v>
      </c>
      <c r="G585" s="52" t="s">
        <v>153</v>
      </c>
      <c r="H585" s="52" t="s">
        <v>139</v>
      </c>
      <c r="I585" s="53">
        <v>2</v>
      </c>
      <c r="J585" s="52" t="s">
        <v>140</v>
      </c>
      <c r="K585" s="53">
        <v>30</v>
      </c>
      <c r="L585" s="53"/>
      <c r="M585" s="54" t="s">
        <v>154</v>
      </c>
      <c r="N585" s="54" t="s">
        <v>155</v>
      </c>
      <c r="O585" s="53" t="s">
        <v>142</v>
      </c>
      <c r="P585" s="52"/>
      <c r="Q585" s="56" t="s">
        <v>2191</v>
      </c>
      <c r="R585" s="56" t="s">
        <v>2192</v>
      </c>
      <c r="S585" s="53"/>
      <c r="T585" s="53"/>
      <c r="U585" s="53"/>
      <c r="V585" s="53"/>
      <c r="W585" s="53"/>
      <c r="X585" s="52" t="s">
        <v>2193</v>
      </c>
      <c r="Y585" s="54" t="s">
        <v>2194</v>
      </c>
      <c r="Z585" s="55" t="s">
        <v>2195</v>
      </c>
      <c r="AA585" s="53" t="s">
        <v>351</v>
      </c>
      <c r="AC585" s="24"/>
    </row>
    <row r="586" spans="2:29" ht="120" customHeight="1" x14ac:dyDescent="0.25">
      <c r="B586" s="52" t="s">
        <v>86</v>
      </c>
      <c r="C586" s="52" t="s">
        <v>2189</v>
      </c>
      <c r="D586" s="52" t="s">
        <v>2190</v>
      </c>
      <c r="E586" s="53">
        <v>1</v>
      </c>
      <c r="F586" s="52" t="s">
        <v>164</v>
      </c>
      <c r="G586" s="52" t="s">
        <v>165</v>
      </c>
      <c r="H586" s="55" t="s">
        <v>166</v>
      </c>
      <c r="I586" s="53">
        <v>3</v>
      </c>
      <c r="J586" s="52" t="s">
        <v>140</v>
      </c>
      <c r="K586" s="53">
        <v>20</v>
      </c>
      <c r="L586" s="53"/>
      <c r="M586" s="54" t="s">
        <v>167</v>
      </c>
      <c r="N586" s="54" t="s">
        <v>168</v>
      </c>
      <c r="O586" s="53"/>
      <c r="P586" s="54" t="s">
        <v>971</v>
      </c>
      <c r="Q586" s="56"/>
      <c r="R586" s="52"/>
      <c r="S586" s="53"/>
      <c r="T586" s="53"/>
      <c r="U586" s="53"/>
      <c r="V586" s="53"/>
      <c r="W586" s="53"/>
      <c r="X586" s="52" t="s">
        <v>351</v>
      </c>
      <c r="Y586" s="52" t="s">
        <v>351</v>
      </c>
      <c r="Z586" s="52" t="s">
        <v>351</v>
      </c>
      <c r="AA586" s="53" t="s">
        <v>351</v>
      </c>
      <c r="AC586" s="24"/>
    </row>
    <row r="587" spans="2:29" ht="120" customHeight="1" x14ac:dyDescent="0.25">
      <c r="B587" s="52" t="s">
        <v>86</v>
      </c>
      <c r="C587" s="52" t="s">
        <v>2189</v>
      </c>
      <c r="D587" s="52" t="s">
        <v>2190</v>
      </c>
      <c r="E587" s="53">
        <v>1</v>
      </c>
      <c r="F587" s="52" t="s">
        <v>172</v>
      </c>
      <c r="G587" s="52" t="s">
        <v>173</v>
      </c>
      <c r="H587" s="55" t="s">
        <v>166</v>
      </c>
      <c r="I587" s="53">
        <v>4</v>
      </c>
      <c r="J587" s="52" t="s">
        <v>140</v>
      </c>
      <c r="K587" s="53">
        <v>20</v>
      </c>
      <c r="L587" s="53"/>
      <c r="M587" s="54" t="s">
        <v>174</v>
      </c>
      <c r="N587" s="54" t="s">
        <v>175</v>
      </c>
      <c r="O587" s="53"/>
      <c r="P587" s="56" t="s">
        <v>2122</v>
      </c>
      <c r="Q587" s="56" t="s">
        <v>177</v>
      </c>
      <c r="R587" s="56" t="s">
        <v>178</v>
      </c>
      <c r="S587" s="53"/>
      <c r="T587" s="53"/>
      <c r="U587" s="53"/>
      <c r="V587" s="53"/>
      <c r="W587" s="53"/>
      <c r="X587" s="52" t="s">
        <v>2193</v>
      </c>
      <c r="Y587" s="54" t="s">
        <v>2194</v>
      </c>
      <c r="Z587" s="54" t="s">
        <v>534</v>
      </c>
      <c r="AA587" s="53" t="s">
        <v>351</v>
      </c>
      <c r="AC587" s="24"/>
    </row>
    <row r="588" spans="2:29" ht="120" customHeight="1" x14ac:dyDescent="0.25">
      <c r="B588" s="52" t="s">
        <v>86</v>
      </c>
      <c r="C588" s="52" t="s">
        <v>2189</v>
      </c>
      <c r="D588" s="52" t="s">
        <v>2190</v>
      </c>
      <c r="E588" s="53">
        <v>1</v>
      </c>
      <c r="F588" s="52" t="s">
        <v>184</v>
      </c>
      <c r="G588" s="52" t="s">
        <v>185</v>
      </c>
      <c r="H588" s="55" t="s">
        <v>166</v>
      </c>
      <c r="I588" s="53">
        <v>5</v>
      </c>
      <c r="J588" s="52" t="s">
        <v>140</v>
      </c>
      <c r="K588" s="53">
        <v>20</v>
      </c>
      <c r="L588" s="53"/>
      <c r="M588" s="54" t="s">
        <v>186</v>
      </c>
      <c r="N588" s="54" t="s">
        <v>187</v>
      </c>
      <c r="O588" s="53"/>
      <c r="P588" s="56" t="s">
        <v>2123</v>
      </c>
      <c r="Q588" s="56" t="s">
        <v>177</v>
      </c>
      <c r="R588" s="56" t="s">
        <v>189</v>
      </c>
      <c r="S588" s="53"/>
      <c r="T588" s="53"/>
      <c r="U588" s="53"/>
      <c r="V588" s="53"/>
      <c r="W588" s="53"/>
      <c r="X588" s="52" t="s">
        <v>2193</v>
      </c>
      <c r="Y588" s="54" t="s">
        <v>2194</v>
      </c>
      <c r="Z588" s="54" t="s">
        <v>538</v>
      </c>
      <c r="AA588" s="53" t="s">
        <v>351</v>
      </c>
      <c r="AC588" s="24"/>
    </row>
    <row r="589" spans="2:29" ht="120" customHeight="1" x14ac:dyDescent="0.25">
      <c r="B589" s="52" t="s">
        <v>86</v>
      </c>
      <c r="C589" s="52" t="s">
        <v>2189</v>
      </c>
      <c r="D589" s="52" t="s">
        <v>2190</v>
      </c>
      <c r="E589" s="53">
        <v>1</v>
      </c>
      <c r="F589" s="52" t="s">
        <v>193</v>
      </c>
      <c r="G589" s="52" t="s">
        <v>194</v>
      </c>
      <c r="H589" s="55" t="s">
        <v>166</v>
      </c>
      <c r="I589" s="53">
        <v>6</v>
      </c>
      <c r="J589" s="52" t="s">
        <v>140</v>
      </c>
      <c r="K589" s="53">
        <v>4</v>
      </c>
      <c r="L589" s="53"/>
      <c r="M589" s="79" t="s">
        <v>1811</v>
      </c>
      <c r="N589" s="54"/>
      <c r="O589" s="53"/>
      <c r="P589" s="52"/>
      <c r="Q589" s="56" t="s">
        <v>2196</v>
      </c>
      <c r="R589" s="56" t="s">
        <v>197</v>
      </c>
      <c r="S589" s="55"/>
      <c r="T589" s="55"/>
      <c r="U589" s="55"/>
      <c r="V589" s="55"/>
      <c r="W589" s="55"/>
      <c r="X589" s="52" t="s">
        <v>2193</v>
      </c>
      <c r="Y589" s="64" t="s">
        <v>351</v>
      </c>
      <c r="Z589" s="64" t="s">
        <v>351</v>
      </c>
      <c r="AA589" s="53" t="s">
        <v>353</v>
      </c>
      <c r="AC589" s="24"/>
    </row>
    <row r="590" spans="2:29" ht="120" customHeight="1" x14ac:dyDescent="0.25">
      <c r="B590" s="52" t="s">
        <v>86</v>
      </c>
      <c r="C590" s="52" t="s">
        <v>2189</v>
      </c>
      <c r="D590" s="52" t="s">
        <v>2190</v>
      </c>
      <c r="E590" s="53">
        <v>1</v>
      </c>
      <c r="F590" s="52" t="s">
        <v>203</v>
      </c>
      <c r="G590" s="52" t="s">
        <v>204</v>
      </c>
      <c r="H590" s="55" t="s">
        <v>166</v>
      </c>
      <c r="I590" s="53">
        <v>7</v>
      </c>
      <c r="J590" s="52" t="s">
        <v>140</v>
      </c>
      <c r="K590" s="53">
        <v>30</v>
      </c>
      <c r="L590" s="53"/>
      <c r="M590" s="54" t="s">
        <v>2197</v>
      </c>
      <c r="N590" s="54" t="s">
        <v>206</v>
      </c>
      <c r="O590" s="53"/>
      <c r="P590" s="52"/>
      <c r="Q590" s="56" t="s">
        <v>2196</v>
      </c>
      <c r="R590" s="56" t="s">
        <v>197</v>
      </c>
      <c r="S590" s="53"/>
      <c r="T590" s="53"/>
      <c r="U590" s="53"/>
      <c r="V590" s="53"/>
      <c r="W590" s="53"/>
      <c r="X590" s="56" t="s">
        <v>1818</v>
      </c>
      <c r="Y590" s="54" t="s">
        <v>1819</v>
      </c>
      <c r="Z590" s="54" t="s">
        <v>1820</v>
      </c>
      <c r="AA590" s="53" t="s">
        <v>351</v>
      </c>
      <c r="AC590" s="24"/>
    </row>
    <row r="591" spans="2:29" ht="120" customHeight="1" x14ac:dyDescent="0.25">
      <c r="B591" s="52" t="s">
        <v>86</v>
      </c>
      <c r="C591" s="52" t="s">
        <v>2189</v>
      </c>
      <c r="D591" s="52" t="s">
        <v>2190</v>
      </c>
      <c r="E591" s="53">
        <v>1</v>
      </c>
      <c r="F591" s="52" t="s">
        <v>214</v>
      </c>
      <c r="G591" s="52" t="s">
        <v>215</v>
      </c>
      <c r="H591" s="55" t="s">
        <v>216</v>
      </c>
      <c r="I591" s="53">
        <v>8</v>
      </c>
      <c r="J591" s="52" t="s">
        <v>952</v>
      </c>
      <c r="K591" s="53">
        <v>10</v>
      </c>
      <c r="L591" s="53"/>
      <c r="M591" s="54" t="s">
        <v>217</v>
      </c>
      <c r="N591" s="54" t="s">
        <v>218</v>
      </c>
      <c r="O591" s="53"/>
      <c r="P591" s="52"/>
      <c r="Q591" s="56" t="s">
        <v>219</v>
      </c>
      <c r="R591" s="52" t="s">
        <v>214</v>
      </c>
      <c r="S591" s="53"/>
      <c r="T591" s="53"/>
      <c r="U591" s="53"/>
      <c r="V591" s="53"/>
      <c r="W591" s="53"/>
      <c r="X591" s="52" t="s">
        <v>2193</v>
      </c>
      <c r="Y591" s="54" t="s">
        <v>2194</v>
      </c>
      <c r="Z591" s="54" t="s">
        <v>708</v>
      </c>
      <c r="AA591" s="53" t="s">
        <v>351</v>
      </c>
      <c r="AC591" s="24"/>
    </row>
    <row r="592" spans="2:29" ht="120" customHeight="1" x14ac:dyDescent="0.25">
      <c r="B592" s="52" t="s">
        <v>86</v>
      </c>
      <c r="C592" s="52" t="s">
        <v>2189</v>
      </c>
      <c r="D592" s="52" t="s">
        <v>2190</v>
      </c>
      <c r="E592" s="53">
        <v>1</v>
      </c>
      <c r="F592" s="52" t="s">
        <v>226</v>
      </c>
      <c r="G592" s="52" t="s">
        <v>227</v>
      </c>
      <c r="H592" s="55" t="s">
        <v>216</v>
      </c>
      <c r="I592" s="53">
        <v>9</v>
      </c>
      <c r="J592" s="52" t="s">
        <v>952</v>
      </c>
      <c r="K592" s="53">
        <v>10</v>
      </c>
      <c r="L592" s="53"/>
      <c r="M592" s="54" t="s">
        <v>228</v>
      </c>
      <c r="N592" s="54" t="s">
        <v>229</v>
      </c>
      <c r="O592" s="53"/>
      <c r="P592" s="52"/>
      <c r="Q592" s="56" t="s">
        <v>2198</v>
      </c>
      <c r="R592" s="56" t="s">
        <v>2199</v>
      </c>
      <c r="S592" s="53"/>
      <c r="T592" s="53"/>
      <c r="U592" s="53"/>
      <c r="V592" s="53"/>
      <c r="W592" s="53"/>
      <c r="X592" s="52" t="s">
        <v>2193</v>
      </c>
      <c r="Y592" s="54" t="s">
        <v>2194</v>
      </c>
      <c r="Z592" s="54" t="s">
        <v>2200</v>
      </c>
      <c r="AA592" s="53" t="s">
        <v>351</v>
      </c>
      <c r="AC592" s="24"/>
    </row>
    <row r="593" spans="2:29" ht="120" customHeight="1" x14ac:dyDescent="0.25">
      <c r="B593" s="52" t="s">
        <v>86</v>
      </c>
      <c r="C593" s="52" t="s">
        <v>2189</v>
      </c>
      <c r="D593" s="52" t="s">
        <v>2190</v>
      </c>
      <c r="E593" s="53">
        <v>1</v>
      </c>
      <c r="F593" s="52" t="s">
        <v>238</v>
      </c>
      <c r="G593" s="52" t="s">
        <v>239</v>
      </c>
      <c r="H593" s="55" t="s">
        <v>240</v>
      </c>
      <c r="I593" s="53">
        <v>10</v>
      </c>
      <c r="J593" s="52" t="s">
        <v>140</v>
      </c>
      <c r="K593" s="53">
        <v>3</v>
      </c>
      <c r="L593" s="53"/>
      <c r="M593" s="54" t="s">
        <v>241</v>
      </c>
      <c r="N593" s="54" t="s">
        <v>242</v>
      </c>
      <c r="O593" s="53"/>
      <c r="P593" s="54" t="s">
        <v>1151</v>
      </c>
      <c r="Q593" s="56" t="s">
        <v>2201</v>
      </c>
      <c r="R593" s="86" t="s">
        <v>787</v>
      </c>
      <c r="S593" s="53"/>
      <c r="T593" s="53"/>
      <c r="U593" s="53"/>
      <c r="V593" s="53"/>
      <c r="W593" s="53"/>
      <c r="X593" s="52" t="s">
        <v>2193</v>
      </c>
      <c r="Y593" s="54" t="s">
        <v>2202</v>
      </c>
      <c r="Z593" s="54" t="s">
        <v>2203</v>
      </c>
      <c r="AA593" s="53" t="s">
        <v>351</v>
      </c>
      <c r="AC593" s="24"/>
    </row>
    <row r="594" spans="2:29" ht="120" customHeight="1" x14ac:dyDescent="0.25">
      <c r="B594" s="52" t="s">
        <v>86</v>
      </c>
      <c r="C594" s="52" t="s">
        <v>2189</v>
      </c>
      <c r="D594" s="52" t="s">
        <v>2190</v>
      </c>
      <c r="E594" s="53">
        <v>1</v>
      </c>
      <c r="F594" s="52" t="s">
        <v>2204</v>
      </c>
      <c r="G594" s="52" t="s">
        <v>2205</v>
      </c>
      <c r="H594" s="55" t="s">
        <v>2206</v>
      </c>
      <c r="I594" s="53">
        <v>11</v>
      </c>
      <c r="J594" s="52" t="s">
        <v>263</v>
      </c>
      <c r="K594" s="53">
        <v>23</v>
      </c>
      <c r="L594" s="53">
        <v>6</v>
      </c>
      <c r="M594" s="54" t="s">
        <v>2207</v>
      </c>
      <c r="N594" s="54"/>
      <c r="O594" s="53"/>
      <c r="P594" s="55"/>
      <c r="Q594" s="56" t="s">
        <v>2208</v>
      </c>
      <c r="R594" s="52" t="s">
        <v>2209</v>
      </c>
      <c r="S594" s="53"/>
      <c r="T594" s="53"/>
      <c r="U594" s="53"/>
      <c r="V594" s="53"/>
      <c r="W594" s="53"/>
      <c r="X594" s="52" t="s">
        <v>2193</v>
      </c>
      <c r="Y594" s="54" t="s">
        <v>2202</v>
      </c>
      <c r="Z594" s="55" t="s">
        <v>715</v>
      </c>
      <c r="AA594" s="53" t="s">
        <v>351</v>
      </c>
      <c r="AC594" s="24"/>
    </row>
    <row r="595" spans="2:29" ht="120" customHeight="1" x14ac:dyDescent="0.25">
      <c r="B595" s="52" t="s">
        <v>86</v>
      </c>
      <c r="C595" s="52" t="s">
        <v>2189</v>
      </c>
      <c r="D595" s="52" t="s">
        <v>2190</v>
      </c>
      <c r="E595" s="53">
        <v>1</v>
      </c>
      <c r="F595" s="52" t="s">
        <v>1405</v>
      </c>
      <c r="G595" s="52" t="s">
        <v>1406</v>
      </c>
      <c r="H595" s="55" t="s">
        <v>262</v>
      </c>
      <c r="I595" s="53">
        <v>12</v>
      </c>
      <c r="J595" s="52" t="s">
        <v>263</v>
      </c>
      <c r="K595" s="53">
        <v>23</v>
      </c>
      <c r="L595" s="53">
        <v>6</v>
      </c>
      <c r="M595" s="54" t="s">
        <v>1407</v>
      </c>
      <c r="N595" s="54"/>
      <c r="O595" s="53"/>
      <c r="P595" s="55"/>
      <c r="Q595" s="54" t="s">
        <v>284</v>
      </c>
      <c r="R595" s="54" t="s">
        <v>285</v>
      </c>
      <c r="S595" s="53"/>
      <c r="T595" s="53"/>
      <c r="U595" s="53"/>
      <c r="V595" s="53"/>
      <c r="W595" s="53"/>
      <c r="X595" s="52" t="s">
        <v>2193</v>
      </c>
      <c r="Y595" s="55" t="s">
        <v>2202</v>
      </c>
      <c r="Z595" s="55" t="s">
        <v>715</v>
      </c>
      <c r="AA595" s="53" t="s">
        <v>351</v>
      </c>
      <c r="AC595" s="24"/>
    </row>
    <row r="596" spans="2:29" ht="120" customHeight="1" x14ac:dyDescent="0.25">
      <c r="B596" s="68" t="s">
        <v>86</v>
      </c>
      <c r="C596" s="68" t="s">
        <v>2189</v>
      </c>
      <c r="D596" s="68" t="s">
        <v>2190</v>
      </c>
      <c r="E596" s="80">
        <v>1</v>
      </c>
      <c r="F596" s="68" t="s">
        <v>2210</v>
      </c>
      <c r="G596" s="68" t="s">
        <v>2211</v>
      </c>
      <c r="H596" s="68" t="s">
        <v>2206</v>
      </c>
      <c r="I596" s="80">
        <v>13</v>
      </c>
      <c r="J596" s="68" t="s">
        <v>263</v>
      </c>
      <c r="K596" s="80">
        <v>23</v>
      </c>
      <c r="L596" s="80">
        <v>6</v>
      </c>
      <c r="M596" s="75" t="s">
        <v>2212</v>
      </c>
      <c r="N596" s="75"/>
      <c r="O596" s="80"/>
      <c r="P596" s="77"/>
      <c r="Q596" s="69" t="s">
        <v>2208</v>
      </c>
      <c r="R596" s="68" t="s">
        <v>2213</v>
      </c>
      <c r="S596" s="80"/>
      <c r="T596" s="80"/>
      <c r="U596" s="80"/>
      <c r="V596" s="80"/>
      <c r="W596" s="80"/>
      <c r="X596" s="68" t="s">
        <v>1454</v>
      </c>
      <c r="Y596" s="68" t="s">
        <v>1454</v>
      </c>
      <c r="Z596" s="68" t="s">
        <v>1454</v>
      </c>
      <c r="AA596" s="80" t="s">
        <v>1454</v>
      </c>
      <c r="AC596" s="24"/>
    </row>
    <row r="597" spans="2:29" ht="120" customHeight="1" x14ac:dyDescent="0.25">
      <c r="B597" s="68" t="s">
        <v>86</v>
      </c>
      <c r="C597" s="68" t="s">
        <v>2189</v>
      </c>
      <c r="D597" s="68" t="s">
        <v>2190</v>
      </c>
      <c r="E597" s="80">
        <v>1</v>
      </c>
      <c r="F597" s="68" t="s">
        <v>1833</v>
      </c>
      <c r="G597" s="68" t="s">
        <v>1834</v>
      </c>
      <c r="H597" s="77" t="s">
        <v>631</v>
      </c>
      <c r="I597" s="80">
        <v>14</v>
      </c>
      <c r="J597" s="68" t="s">
        <v>140</v>
      </c>
      <c r="K597" s="80">
        <v>3</v>
      </c>
      <c r="L597" s="80"/>
      <c r="M597" s="75" t="s">
        <v>1835</v>
      </c>
      <c r="N597" s="75"/>
      <c r="O597" s="80"/>
      <c r="P597" s="75" t="s">
        <v>891</v>
      </c>
      <c r="Q597" s="75"/>
      <c r="R597" s="77"/>
      <c r="S597" s="68"/>
      <c r="T597" s="77"/>
      <c r="U597" s="77"/>
      <c r="V597" s="80"/>
      <c r="W597" s="80"/>
      <c r="X597" s="68" t="s">
        <v>1454</v>
      </c>
      <c r="Y597" s="68" t="s">
        <v>1454</v>
      </c>
      <c r="Z597" s="68" t="s">
        <v>1454</v>
      </c>
      <c r="AA597" s="78" t="s">
        <v>1454</v>
      </c>
      <c r="AC597" s="24"/>
    </row>
    <row r="598" spans="2:29" ht="120" customHeight="1" x14ac:dyDescent="0.25">
      <c r="B598" s="68" t="s">
        <v>86</v>
      </c>
      <c r="C598" s="68" t="s">
        <v>2189</v>
      </c>
      <c r="D598" s="68" t="s">
        <v>2190</v>
      </c>
      <c r="E598" s="80">
        <v>1</v>
      </c>
      <c r="F598" s="68" t="s">
        <v>1836</v>
      </c>
      <c r="G598" s="68" t="s">
        <v>1837</v>
      </c>
      <c r="H598" s="77" t="s">
        <v>631</v>
      </c>
      <c r="I598" s="80">
        <v>15</v>
      </c>
      <c r="J598" s="68" t="s">
        <v>140</v>
      </c>
      <c r="K598" s="80">
        <v>20</v>
      </c>
      <c r="L598" s="80"/>
      <c r="M598" s="75" t="s">
        <v>1457</v>
      </c>
      <c r="N598" s="75"/>
      <c r="O598" s="80"/>
      <c r="P598" s="75" t="s">
        <v>1458</v>
      </c>
      <c r="Q598" s="75"/>
      <c r="R598" s="77"/>
      <c r="S598" s="68"/>
      <c r="T598" s="77"/>
      <c r="U598" s="77"/>
      <c r="V598" s="80"/>
      <c r="W598" s="80"/>
      <c r="X598" s="68" t="s">
        <v>1454</v>
      </c>
      <c r="Y598" s="68" t="s">
        <v>1454</v>
      </c>
      <c r="Z598" s="68" t="s">
        <v>1454</v>
      </c>
      <c r="AA598" s="78" t="s">
        <v>1454</v>
      </c>
      <c r="AC598" s="24"/>
    </row>
    <row r="599" spans="2:29" ht="120" customHeight="1" x14ac:dyDescent="0.25">
      <c r="B599" s="68" t="s">
        <v>86</v>
      </c>
      <c r="C599" s="68" t="s">
        <v>2189</v>
      </c>
      <c r="D599" s="68" t="s">
        <v>2190</v>
      </c>
      <c r="E599" s="80">
        <v>1</v>
      </c>
      <c r="F599" s="68" t="s">
        <v>1838</v>
      </c>
      <c r="G599" s="68" t="s">
        <v>1839</v>
      </c>
      <c r="H599" s="77" t="s">
        <v>650</v>
      </c>
      <c r="I599" s="80">
        <v>16</v>
      </c>
      <c r="J599" s="68" t="s">
        <v>263</v>
      </c>
      <c r="K599" s="80">
        <v>23</v>
      </c>
      <c r="L599" s="80">
        <v>6</v>
      </c>
      <c r="M599" s="75" t="s">
        <v>1840</v>
      </c>
      <c r="N599" s="75"/>
      <c r="O599" s="80"/>
      <c r="P599" s="77"/>
      <c r="Q599" s="75"/>
      <c r="R599" s="77"/>
      <c r="S599" s="68"/>
      <c r="T599" s="77"/>
      <c r="U599" s="77"/>
      <c r="V599" s="80"/>
      <c r="W599" s="80"/>
      <c r="X599" s="68" t="s">
        <v>1454</v>
      </c>
      <c r="Y599" s="68" t="s">
        <v>1454</v>
      </c>
      <c r="Z599" s="68" t="s">
        <v>1454</v>
      </c>
      <c r="AA599" s="78" t="s">
        <v>1454</v>
      </c>
      <c r="AC599" s="24"/>
    </row>
    <row r="600" spans="2:29" ht="120" customHeight="1" x14ac:dyDescent="0.25">
      <c r="B600" s="68" t="s">
        <v>86</v>
      </c>
      <c r="C600" s="68" t="s">
        <v>2189</v>
      </c>
      <c r="D600" s="68" t="s">
        <v>2190</v>
      </c>
      <c r="E600" s="80">
        <v>1</v>
      </c>
      <c r="F600" s="68" t="s">
        <v>1841</v>
      </c>
      <c r="G600" s="68" t="s">
        <v>1842</v>
      </c>
      <c r="H600" s="77" t="s">
        <v>650</v>
      </c>
      <c r="I600" s="80">
        <v>17</v>
      </c>
      <c r="J600" s="68" t="s">
        <v>263</v>
      </c>
      <c r="K600" s="80">
        <v>23</v>
      </c>
      <c r="L600" s="80">
        <v>6</v>
      </c>
      <c r="M600" s="75" t="s">
        <v>1464</v>
      </c>
      <c r="N600" s="75"/>
      <c r="O600" s="80"/>
      <c r="P600" s="77"/>
      <c r="Q600" s="75"/>
      <c r="R600" s="77"/>
      <c r="S600" s="68"/>
      <c r="T600" s="77"/>
      <c r="U600" s="77"/>
      <c r="V600" s="80"/>
      <c r="W600" s="80"/>
      <c r="X600" s="68" t="s">
        <v>1454</v>
      </c>
      <c r="Y600" s="68" t="s">
        <v>1454</v>
      </c>
      <c r="Z600" s="68" t="s">
        <v>1454</v>
      </c>
      <c r="AA600" s="78" t="s">
        <v>1454</v>
      </c>
      <c r="AC600" s="24"/>
    </row>
    <row r="601" spans="2:29" ht="120" customHeight="1" x14ac:dyDescent="0.25">
      <c r="B601" s="68" t="s">
        <v>86</v>
      </c>
      <c r="C601" s="68" t="s">
        <v>2189</v>
      </c>
      <c r="D601" s="68" t="s">
        <v>2190</v>
      </c>
      <c r="E601" s="80">
        <v>1</v>
      </c>
      <c r="F601" s="68" t="s">
        <v>1843</v>
      </c>
      <c r="G601" s="68" t="s">
        <v>1844</v>
      </c>
      <c r="H601" s="77" t="s">
        <v>650</v>
      </c>
      <c r="I601" s="80">
        <v>18</v>
      </c>
      <c r="J601" s="68" t="s">
        <v>263</v>
      </c>
      <c r="K601" s="80">
        <v>23</v>
      </c>
      <c r="L601" s="80">
        <v>6</v>
      </c>
      <c r="M601" s="75" t="s">
        <v>1845</v>
      </c>
      <c r="N601" s="75" t="s">
        <v>1339</v>
      </c>
      <c r="O601" s="80"/>
      <c r="P601" s="68"/>
      <c r="Q601" s="69" t="s">
        <v>668</v>
      </c>
      <c r="R601" s="68" t="s">
        <v>1340</v>
      </c>
      <c r="S601" s="80"/>
      <c r="T601" s="80"/>
      <c r="U601" s="80"/>
      <c r="V601" s="80"/>
      <c r="W601" s="80"/>
      <c r="X601" s="68" t="s">
        <v>1454</v>
      </c>
      <c r="Y601" s="68" t="s">
        <v>1454</v>
      </c>
      <c r="Z601" s="68" t="s">
        <v>1454</v>
      </c>
      <c r="AA601" s="78" t="s">
        <v>1454</v>
      </c>
      <c r="AC601" s="24"/>
    </row>
    <row r="602" spans="2:29" ht="120" customHeight="1" x14ac:dyDescent="0.25">
      <c r="B602" s="68" t="s">
        <v>86</v>
      </c>
      <c r="C602" s="68" t="s">
        <v>2189</v>
      </c>
      <c r="D602" s="68" t="s">
        <v>2190</v>
      </c>
      <c r="E602" s="80">
        <v>1</v>
      </c>
      <c r="F602" s="68" t="s">
        <v>1846</v>
      </c>
      <c r="G602" s="68" t="s">
        <v>1847</v>
      </c>
      <c r="H602" s="77" t="s">
        <v>631</v>
      </c>
      <c r="I602" s="80">
        <v>19</v>
      </c>
      <c r="J602" s="68" t="s">
        <v>140</v>
      </c>
      <c r="K602" s="80">
        <v>3</v>
      </c>
      <c r="L602" s="80"/>
      <c r="M602" s="75" t="s">
        <v>1848</v>
      </c>
      <c r="N602" s="75"/>
      <c r="O602" s="80"/>
      <c r="P602" s="75" t="s">
        <v>891</v>
      </c>
      <c r="Q602" s="75"/>
      <c r="R602" s="77"/>
      <c r="S602" s="68"/>
      <c r="T602" s="77"/>
      <c r="U602" s="77"/>
      <c r="V602" s="80"/>
      <c r="W602" s="80"/>
      <c r="X602" s="68" t="s">
        <v>1454</v>
      </c>
      <c r="Y602" s="68" t="s">
        <v>1454</v>
      </c>
      <c r="Z602" s="68" t="s">
        <v>1454</v>
      </c>
      <c r="AA602" s="78" t="s">
        <v>1454</v>
      </c>
      <c r="AC602" s="24"/>
    </row>
    <row r="603" spans="2:29" ht="120" customHeight="1" x14ac:dyDescent="0.25">
      <c r="B603" s="68" t="s">
        <v>86</v>
      </c>
      <c r="C603" s="68" t="s">
        <v>2189</v>
      </c>
      <c r="D603" s="68" t="s">
        <v>2190</v>
      </c>
      <c r="E603" s="80">
        <v>1</v>
      </c>
      <c r="F603" s="68" t="s">
        <v>1849</v>
      </c>
      <c r="G603" s="68" t="s">
        <v>1850</v>
      </c>
      <c r="H603" s="77" t="s">
        <v>631</v>
      </c>
      <c r="I603" s="80">
        <v>20</v>
      </c>
      <c r="J603" s="68" t="s">
        <v>140</v>
      </c>
      <c r="K603" s="80">
        <v>20</v>
      </c>
      <c r="L603" s="80"/>
      <c r="M603" s="75" t="s">
        <v>1472</v>
      </c>
      <c r="N603" s="75"/>
      <c r="O603" s="80"/>
      <c r="P603" s="75" t="s">
        <v>1473</v>
      </c>
      <c r="Q603" s="75"/>
      <c r="R603" s="77"/>
      <c r="S603" s="68"/>
      <c r="T603" s="77"/>
      <c r="U603" s="77"/>
      <c r="V603" s="80"/>
      <c r="W603" s="80"/>
      <c r="X603" s="68" t="s">
        <v>1454</v>
      </c>
      <c r="Y603" s="68" t="s">
        <v>1454</v>
      </c>
      <c r="Z603" s="68" t="s">
        <v>1454</v>
      </c>
      <c r="AA603" s="78" t="s">
        <v>1454</v>
      </c>
      <c r="AC603" s="24"/>
    </row>
    <row r="604" spans="2:29" ht="120" customHeight="1" x14ac:dyDescent="0.25">
      <c r="B604" s="68" t="s">
        <v>86</v>
      </c>
      <c r="C604" s="68" t="s">
        <v>2189</v>
      </c>
      <c r="D604" s="68" t="s">
        <v>2190</v>
      </c>
      <c r="E604" s="80">
        <v>1</v>
      </c>
      <c r="F604" s="68" t="s">
        <v>1851</v>
      </c>
      <c r="G604" s="68" t="s">
        <v>1852</v>
      </c>
      <c r="H604" s="77" t="s">
        <v>650</v>
      </c>
      <c r="I604" s="80">
        <v>21</v>
      </c>
      <c r="J604" s="68" t="s">
        <v>263</v>
      </c>
      <c r="K604" s="80">
        <v>23</v>
      </c>
      <c r="L604" s="80">
        <v>6</v>
      </c>
      <c r="M604" s="75" t="s">
        <v>1853</v>
      </c>
      <c r="N604" s="75"/>
      <c r="O604" s="80"/>
      <c r="P604" s="77"/>
      <c r="Q604" s="75"/>
      <c r="R604" s="77"/>
      <c r="S604" s="68"/>
      <c r="T604" s="77"/>
      <c r="U604" s="77"/>
      <c r="V604" s="80"/>
      <c r="W604" s="80"/>
      <c r="X604" s="68" t="s">
        <v>1454</v>
      </c>
      <c r="Y604" s="68" t="s">
        <v>1454</v>
      </c>
      <c r="Z604" s="68" t="s">
        <v>1454</v>
      </c>
      <c r="AA604" s="78" t="s">
        <v>1454</v>
      </c>
      <c r="AC604" s="24"/>
    </row>
    <row r="605" spans="2:29" ht="120" customHeight="1" x14ac:dyDescent="0.25">
      <c r="B605" s="68" t="s">
        <v>86</v>
      </c>
      <c r="C605" s="68" t="s">
        <v>2189</v>
      </c>
      <c r="D605" s="68" t="s">
        <v>2190</v>
      </c>
      <c r="E605" s="80">
        <v>1</v>
      </c>
      <c r="F605" s="68" t="s">
        <v>1854</v>
      </c>
      <c r="G605" s="68" t="s">
        <v>1855</v>
      </c>
      <c r="H605" s="77" t="s">
        <v>650</v>
      </c>
      <c r="I605" s="80">
        <v>22</v>
      </c>
      <c r="J605" s="68" t="s">
        <v>263</v>
      </c>
      <c r="K605" s="80">
        <v>23</v>
      </c>
      <c r="L605" s="80">
        <v>6</v>
      </c>
      <c r="M605" s="75" t="s">
        <v>659</v>
      </c>
      <c r="N605" s="75"/>
      <c r="O605" s="80"/>
      <c r="P605" s="77"/>
      <c r="Q605" s="75"/>
      <c r="R605" s="77"/>
      <c r="S605" s="68"/>
      <c r="T605" s="77"/>
      <c r="U605" s="77"/>
      <c r="V605" s="80"/>
      <c r="W605" s="80"/>
      <c r="X605" s="68" t="s">
        <v>1454</v>
      </c>
      <c r="Y605" s="68" t="s">
        <v>1454</v>
      </c>
      <c r="Z605" s="68" t="s">
        <v>1454</v>
      </c>
      <c r="AA605" s="78" t="s">
        <v>1454</v>
      </c>
      <c r="AC605" s="24"/>
    </row>
    <row r="606" spans="2:29" ht="120" customHeight="1" x14ac:dyDescent="0.25">
      <c r="B606" s="68" t="s">
        <v>86</v>
      </c>
      <c r="C606" s="68" t="s">
        <v>2189</v>
      </c>
      <c r="D606" s="68" t="s">
        <v>2190</v>
      </c>
      <c r="E606" s="80">
        <v>1</v>
      </c>
      <c r="F606" s="68" t="s">
        <v>1856</v>
      </c>
      <c r="G606" s="68" t="s">
        <v>1857</v>
      </c>
      <c r="H606" s="77" t="s">
        <v>650</v>
      </c>
      <c r="I606" s="80">
        <v>23</v>
      </c>
      <c r="J606" s="68" t="s">
        <v>263</v>
      </c>
      <c r="K606" s="80">
        <v>23</v>
      </c>
      <c r="L606" s="80">
        <v>6</v>
      </c>
      <c r="M606" s="75" t="s">
        <v>1858</v>
      </c>
      <c r="N606" s="75" t="s">
        <v>667</v>
      </c>
      <c r="O606" s="80"/>
      <c r="P606" s="68"/>
      <c r="Q606" s="69" t="s">
        <v>1482</v>
      </c>
      <c r="R606" s="69" t="s">
        <v>1483</v>
      </c>
      <c r="S606" s="80"/>
      <c r="T606" s="80"/>
      <c r="U606" s="80"/>
      <c r="V606" s="80"/>
      <c r="W606" s="80"/>
      <c r="X606" s="68" t="s">
        <v>1454</v>
      </c>
      <c r="Y606" s="68" t="s">
        <v>1454</v>
      </c>
      <c r="Z606" s="68" t="s">
        <v>1454</v>
      </c>
      <c r="AA606" s="78" t="s">
        <v>1454</v>
      </c>
      <c r="AC606" s="24"/>
    </row>
    <row r="607" spans="2:29" ht="120" customHeight="1" x14ac:dyDescent="0.25">
      <c r="B607" s="52" t="s">
        <v>86</v>
      </c>
      <c r="C607" s="52" t="s">
        <v>2189</v>
      </c>
      <c r="D607" s="52" t="s">
        <v>2190</v>
      </c>
      <c r="E607" s="53">
        <v>1</v>
      </c>
      <c r="F607" s="52" t="s">
        <v>301</v>
      </c>
      <c r="G607" s="52" t="s">
        <v>302</v>
      </c>
      <c r="H607" s="55" t="s">
        <v>303</v>
      </c>
      <c r="I607" s="53">
        <v>24</v>
      </c>
      <c r="J607" s="52" t="s">
        <v>140</v>
      </c>
      <c r="K607" s="53">
        <v>3</v>
      </c>
      <c r="L607" s="53"/>
      <c r="M607" s="54" t="s">
        <v>304</v>
      </c>
      <c r="N607" s="54" t="s">
        <v>305</v>
      </c>
      <c r="O607" s="53"/>
      <c r="P607" s="54" t="s">
        <v>2214</v>
      </c>
      <c r="Q607" s="56" t="s">
        <v>2215</v>
      </c>
      <c r="R607" s="56" t="s">
        <v>1486</v>
      </c>
      <c r="S607" s="53"/>
      <c r="T607" s="53"/>
      <c r="U607" s="53"/>
      <c r="V607" s="53"/>
      <c r="W607" s="53"/>
      <c r="X607" s="52" t="s">
        <v>2193</v>
      </c>
      <c r="Y607" s="54" t="s">
        <v>2194</v>
      </c>
      <c r="Z607" s="54" t="s">
        <v>965</v>
      </c>
      <c r="AA607" s="62" t="s">
        <v>351</v>
      </c>
      <c r="AC607" s="24"/>
    </row>
    <row r="608" spans="2:29" ht="120" customHeight="1" x14ac:dyDescent="0.25">
      <c r="B608" s="52" t="s">
        <v>86</v>
      </c>
      <c r="C608" s="52" t="s">
        <v>2189</v>
      </c>
      <c r="D608" s="52" t="s">
        <v>2190</v>
      </c>
      <c r="E608" s="53">
        <v>1</v>
      </c>
      <c r="F608" s="52" t="s">
        <v>311</v>
      </c>
      <c r="G608" s="52" t="s">
        <v>312</v>
      </c>
      <c r="H608" s="55" t="s">
        <v>303</v>
      </c>
      <c r="I608" s="53">
        <v>25</v>
      </c>
      <c r="J608" s="52" t="s">
        <v>140</v>
      </c>
      <c r="K608" s="53">
        <v>3</v>
      </c>
      <c r="L608" s="53"/>
      <c r="M608" s="54" t="s">
        <v>313</v>
      </c>
      <c r="N608" s="54" t="s">
        <v>314</v>
      </c>
      <c r="O608" s="53"/>
      <c r="P608" s="56" t="s">
        <v>1860</v>
      </c>
      <c r="Q608" s="56" t="s">
        <v>219</v>
      </c>
      <c r="R608" s="52" t="s">
        <v>316</v>
      </c>
      <c r="S608" s="53"/>
      <c r="T608" s="53"/>
      <c r="U608" s="53"/>
      <c r="V608" s="53"/>
      <c r="W608" s="53"/>
      <c r="X608" s="52" t="s">
        <v>2216</v>
      </c>
      <c r="Y608" s="52" t="s">
        <v>2217</v>
      </c>
      <c r="Z608" s="52" t="s">
        <v>2218</v>
      </c>
      <c r="AA608" s="62" t="s">
        <v>1552</v>
      </c>
      <c r="AC608" s="24"/>
    </row>
    <row r="609" spans="2:29" ht="120" customHeight="1" x14ac:dyDescent="0.25">
      <c r="B609" s="52" t="s">
        <v>86</v>
      </c>
      <c r="C609" s="52" t="s">
        <v>2189</v>
      </c>
      <c r="D609" s="52" t="s">
        <v>2190</v>
      </c>
      <c r="E609" s="53">
        <v>1</v>
      </c>
      <c r="F609" s="52" t="s">
        <v>322</v>
      </c>
      <c r="G609" s="52" t="s">
        <v>323</v>
      </c>
      <c r="H609" s="52" t="s">
        <v>324</v>
      </c>
      <c r="I609" s="53">
        <v>26</v>
      </c>
      <c r="J609" s="52" t="s">
        <v>140</v>
      </c>
      <c r="K609" s="53">
        <v>2</v>
      </c>
      <c r="L609" s="53"/>
      <c r="M609" s="54" t="s">
        <v>325</v>
      </c>
      <c r="N609" s="54"/>
      <c r="O609" s="53"/>
      <c r="P609" s="54" t="s">
        <v>1553</v>
      </c>
      <c r="Q609" s="56"/>
      <c r="R609" s="52"/>
      <c r="S609" s="53"/>
      <c r="T609" s="53"/>
      <c r="U609" s="53"/>
      <c r="V609" s="53"/>
      <c r="W609" s="53"/>
      <c r="X609" s="52" t="s">
        <v>2193</v>
      </c>
      <c r="Y609" s="55" t="s">
        <v>351</v>
      </c>
      <c r="Z609" s="55" t="s">
        <v>351</v>
      </c>
      <c r="AA609" s="53" t="s">
        <v>2219</v>
      </c>
      <c r="AC609" s="24"/>
    </row>
    <row r="610" spans="2:29" ht="120" customHeight="1" x14ac:dyDescent="0.25">
      <c r="B610" s="52" t="s">
        <v>86</v>
      </c>
      <c r="C610" s="52" t="s">
        <v>2189</v>
      </c>
      <c r="D610" s="52" t="s">
        <v>2190</v>
      </c>
      <c r="E610" s="53">
        <v>1</v>
      </c>
      <c r="F610" s="52" t="s">
        <v>329</v>
      </c>
      <c r="G610" s="52" t="s">
        <v>330</v>
      </c>
      <c r="H610" s="52" t="s">
        <v>331</v>
      </c>
      <c r="I610" s="53">
        <v>27</v>
      </c>
      <c r="J610" s="52" t="s">
        <v>140</v>
      </c>
      <c r="K610" s="53">
        <v>27</v>
      </c>
      <c r="L610" s="53"/>
      <c r="M610" s="54" t="s">
        <v>332</v>
      </c>
      <c r="N610" s="54" t="s">
        <v>333</v>
      </c>
      <c r="O610" s="53" t="s">
        <v>142</v>
      </c>
      <c r="P610" s="52"/>
      <c r="Q610" s="56" t="s">
        <v>284</v>
      </c>
      <c r="R610" s="52" t="s">
        <v>685</v>
      </c>
      <c r="S610" s="53"/>
      <c r="T610" s="53"/>
      <c r="U610" s="53"/>
      <c r="V610" s="53"/>
      <c r="W610" s="53"/>
      <c r="X610" s="55" t="s">
        <v>351</v>
      </c>
      <c r="Y610" s="55" t="s">
        <v>351</v>
      </c>
      <c r="Z610" s="55" t="s">
        <v>351</v>
      </c>
      <c r="AA610" s="62" t="s">
        <v>351</v>
      </c>
      <c r="AC610" s="24"/>
    </row>
    <row r="611" spans="2:29" ht="120" customHeight="1" x14ac:dyDescent="0.25">
      <c r="B611" s="52" t="s">
        <v>86</v>
      </c>
      <c r="C611" s="52" t="s">
        <v>2189</v>
      </c>
      <c r="D611" s="52" t="s">
        <v>2190</v>
      </c>
      <c r="E611" s="53">
        <v>1</v>
      </c>
      <c r="F611" s="52" t="s">
        <v>336</v>
      </c>
      <c r="G611" s="52" t="s">
        <v>337</v>
      </c>
      <c r="H611" s="52" t="s">
        <v>338</v>
      </c>
      <c r="I611" s="53">
        <v>28</v>
      </c>
      <c r="J611" s="52" t="s">
        <v>339</v>
      </c>
      <c r="K611" s="53">
        <v>28</v>
      </c>
      <c r="L611" s="53"/>
      <c r="M611" s="54" t="s">
        <v>340</v>
      </c>
      <c r="N611" s="54" t="s">
        <v>341</v>
      </c>
      <c r="O611" s="53"/>
      <c r="P611" s="52"/>
      <c r="Q611" s="56"/>
      <c r="R611" s="52"/>
      <c r="S611" s="53"/>
      <c r="T611" s="53"/>
      <c r="U611" s="53"/>
      <c r="V611" s="53"/>
      <c r="W611" s="53"/>
      <c r="X611" s="55" t="s">
        <v>351</v>
      </c>
      <c r="Y611" s="55" t="s">
        <v>351</v>
      </c>
      <c r="Z611" s="55" t="s">
        <v>351</v>
      </c>
      <c r="AA611" s="62" t="s">
        <v>351</v>
      </c>
      <c r="AC611" s="24"/>
    </row>
    <row r="612" spans="2:29" ht="120" customHeight="1" x14ac:dyDescent="0.25">
      <c r="B612" s="52" t="s">
        <v>91</v>
      </c>
      <c r="C612" s="52" t="s">
        <v>2220</v>
      </c>
      <c r="D612" s="52" t="s">
        <v>2221</v>
      </c>
      <c r="E612" s="53">
        <v>1</v>
      </c>
      <c r="F612" s="52" t="s">
        <v>137</v>
      </c>
      <c r="G612" s="52" t="s">
        <v>138</v>
      </c>
      <c r="H612" s="52" t="s">
        <v>139</v>
      </c>
      <c r="I612" s="53">
        <v>1</v>
      </c>
      <c r="J612" s="52" t="s">
        <v>140</v>
      </c>
      <c r="K612" s="53">
        <v>4</v>
      </c>
      <c r="L612" s="53"/>
      <c r="M612" s="54" t="s">
        <v>141</v>
      </c>
      <c r="N612" s="54"/>
      <c r="O612" s="53" t="s">
        <v>142</v>
      </c>
      <c r="P612" s="55"/>
      <c r="Q612" s="56" t="s">
        <v>2222</v>
      </c>
      <c r="R612" s="56" t="s">
        <v>1799</v>
      </c>
      <c r="S612" s="53"/>
      <c r="T612" s="53"/>
      <c r="U612" s="53"/>
      <c r="V612" s="53"/>
      <c r="W612" s="53"/>
      <c r="X612" s="65" t="s">
        <v>2223</v>
      </c>
      <c r="Y612" s="54" t="s">
        <v>861</v>
      </c>
      <c r="Z612" s="54" t="s">
        <v>861</v>
      </c>
      <c r="AA612" s="62" t="s">
        <v>2224</v>
      </c>
      <c r="AC612" s="24"/>
    </row>
    <row r="613" spans="2:29" ht="120" customHeight="1" x14ac:dyDescent="0.25">
      <c r="B613" s="52" t="s">
        <v>91</v>
      </c>
      <c r="C613" s="52" t="s">
        <v>2220</v>
      </c>
      <c r="D613" s="52" t="s">
        <v>2221</v>
      </c>
      <c r="E613" s="53">
        <v>1</v>
      </c>
      <c r="F613" s="52" t="s">
        <v>152</v>
      </c>
      <c r="G613" s="52" t="s">
        <v>153</v>
      </c>
      <c r="H613" s="52" t="s">
        <v>139</v>
      </c>
      <c r="I613" s="53">
        <v>2</v>
      </c>
      <c r="J613" s="52" t="s">
        <v>140</v>
      </c>
      <c r="K613" s="53">
        <v>30</v>
      </c>
      <c r="L613" s="53"/>
      <c r="M613" s="54" t="s">
        <v>154</v>
      </c>
      <c r="N613" s="54" t="s">
        <v>155</v>
      </c>
      <c r="O613" s="53" t="s">
        <v>142</v>
      </c>
      <c r="P613" s="55"/>
      <c r="Q613" s="56" t="s">
        <v>2222</v>
      </c>
      <c r="R613" s="56" t="s">
        <v>1799</v>
      </c>
      <c r="S613" s="53"/>
      <c r="T613" s="53"/>
      <c r="U613" s="53"/>
      <c r="V613" s="53"/>
      <c r="W613" s="53"/>
      <c r="X613" s="65" t="s">
        <v>2223</v>
      </c>
      <c r="Y613" s="67" t="s">
        <v>2225</v>
      </c>
      <c r="Z613" s="67" t="s">
        <v>2226</v>
      </c>
      <c r="AA613" s="62" t="s">
        <v>861</v>
      </c>
      <c r="AC613" s="24"/>
    </row>
    <row r="614" spans="2:29" ht="120" customHeight="1" x14ac:dyDescent="0.25">
      <c r="B614" s="52" t="s">
        <v>91</v>
      </c>
      <c r="C614" s="52" t="s">
        <v>2220</v>
      </c>
      <c r="D614" s="52" t="s">
        <v>2221</v>
      </c>
      <c r="E614" s="53">
        <v>1</v>
      </c>
      <c r="F614" s="52" t="s">
        <v>164</v>
      </c>
      <c r="G614" s="52" t="s">
        <v>165</v>
      </c>
      <c r="H614" s="55" t="s">
        <v>166</v>
      </c>
      <c r="I614" s="53">
        <v>3</v>
      </c>
      <c r="J614" s="52" t="s">
        <v>140</v>
      </c>
      <c r="K614" s="53">
        <v>20</v>
      </c>
      <c r="L614" s="53"/>
      <c r="M614" s="54" t="s">
        <v>167</v>
      </c>
      <c r="N614" s="54" t="s">
        <v>168</v>
      </c>
      <c r="O614" s="53"/>
      <c r="P614" s="54" t="s">
        <v>2227</v>
      </c>
      <c r="Q614" s="56"/>
      <c r="R614" s="52"/>
      <c r="S614" s="53"/>
      <c r="T614" s="53"/>
      <c r="U614" s="53"/>
      <c r="V614" s="53"/>
      <c r="W614" s="53"/>
      <c r="X614" s="54" t="s">
        <v>861</v>
      </c>
      <c r="Y614" s="54" t="s">
        <v>861</v>
      </c>
      <c r="Z614" s="54" t="s">
        <v>861</v>
      </c>
      <c r="AA614" s="62" t="s">
        <v>861</v>
      </c>
      <c r="AC614" s="24"/>
    </row>
    <row r="615" spans="2:29" ht="120" customHeight="1" x14ac:dyDescent="0.25">
      <c r="B615" s="52" t="s">
        <v>91</v>
      </c>
      <c r="C615" s="52" t="s">
        <v>2220</v>
      </c>
      <c r="D615" s="52" t="s">
        <v>2221</v>
      </c>
      <c r="E615" s="53">
        <v>1</v>
      </c>
      <c r="F615" s="52" t="s">
        <v>172</v>
      </c>
      <c r="G615" s="52" t="s">
        <v>173</v>
      </c>
      <c r="H615" s="55" t="s">
        <v>166</v>
      </c>
      <c r="I615" s="53">
        <v>4</v>
      </c>
      <c r="J615" s="52" t="s">
        <v>140</v>
      </c>
      <c r="K615" s="53">
        <v>20</v>
      </c>
      <c r="L615" s="53"/>
      <c r="M615" s="54" t="s">
        <v>174</v>
      </c>
      <c r="N615" s="54" t="s">
        <v>175</v>
      </c>
      <c r="O615" s="53"/>
      <c r="P615" s="54" t="s">
        <v>2228</v>
      </c>
      <c r="Q615" s="56" t="s">
        <v>177</v>
      </c>
      <c r="R615" s="56" t="s">
        <v>178</v>
      </c>
      <c r="S615" s="53"/>
      <c r="T615" s="53"/>
      <c r="U615" s="53"/>
      <c r="V615" s="53"/>
      <c r="W615" s="53"/>
      <c r="X615" s="65" t="s">
        <v>2223</v>
      </c>
      <c r="Y615" s="67" t="s">
        <v>2229</v>
      </c>
      <c r="Z615" s="54" t="s">
        <v>2230</v>
      </c>
      <c r="AA615" s="62" t="s">
        <v>861</v>
      </c>
      <c r="AC615" s="24"/>
    </row>
    <row r="616" spans="2:29" ht="120" customHeight="1" x14ac:dyDescent="0.25">
      <c r="B616" s="52" t="s">
        <v>91</v>
      </c>
      <c r="C616" s="52" t="s">
        <v>2220</v>
      </c>
      <c r="D616" s="52" t="s">
        <v>2221</v>
      </c>
      <c r="E616" s="53">
        <v>1</v>
      </c>
      <c r="F616" s="52" t="s">
        <v>184</v>
      </c>
      <c r="G616" s="52" t="s">
        <v>185</v>
      </c>
      <c r="H616" s="55" t="s">
        <v>166</v>
      </c>
      <c r="I616" s="53">
        <v>5</v>
      </c>
      <c r="J616" s="52" t="s">
        <v>140</v>
      </c>
      <c r="K616" s="53">
        <v>20</v>
      </c>
      <c r="L616" s="53"/>
      <c r="M616" s="54" t="s">
        <v>186</v>
      </c>
      <c r="N616" s="54" t="s">
        <v>187</v>
      </c>
      <c r="O616" s="53"/>
      <c r="P616" s="54" t="s">
        <v>2231</v>
      </c>
      <c r="Q616" s="56" t="s">
        <v>177</v>
      </c>
      <c r="R616" s="56" t="s">
        <v>189</v>
      </c>
      <c r="S616" s="53"/>
      <c r="T616" s="53"/>
      <c r="U616" s="53"/>
      <c r="V616" s="53"/>
      <c r="W616" s="53"/>
      <c r="X616" s="65" t="s">
        <v>2223</v>
      </c>
      <c r="Y616" s="67" t="s">
        <v>2229</v>
      </c>
      <c r="Z616" s="67" t="s">
        <v>2232</v>
      </c>
      <c r="AA616" s="62" t="s">
        <v>861</v>
      </c>
      <c r="AC616" s="24"/>
    </row>
    <row r="617" spans="2:29" ht="120" customHeight="1" x14ac:dyDescent="0.25">
      <c r="B617" s="52" t="s">
        <v>91</v>
      </c>
      <c r="C617" s="52" t="s">
        <v>2220</v>
      </c>
      <c r="D617" s="52" t="s">
        <v>2221</v>
      </c>
      <c r="E617" s="53">
        <v>1</v>
      </c>
      <c r="F617" s="52" t="s">
        <v>193</v>
      </c>
      <c r="G617" s="52" t="s">
        <v>194</v>
      </c>
      <c r="H617" s="55" t="s">
        <v>166</v>
      </c>
      <c r="I617" s="53">
        <v>6</v>
      </c>
      <c r="J617" s="52" t="s">
        <v>140</v>
      </c>
      <c r="K617" s="53">
        <v>4</v>
      </c>
      <c r="L617" s="53"/>
      <c r="M617" s="79" t="s">
        <v>2233</v>
      </c>
      <c r="N617" s="54"/>
      <c r="O617" s="53"/>
      <c r="P617" s="55"/>
      <c r="Q617" s="56" t="s">
        <v>2234</v>
      </c>
      <c r="R617" s="56" t="s">
        <v>197</v>
      </c>
      <c r="S617" s="53"/>
      <c r="T617" s="53"/>
      <c r="U617" s="53"/>
      <c r="V617" s="53"/>
      <c r="W617" s="53"/>
      <c r="X617" s="65" t="s">
        <v>2223</v>
      </c>
      <c r="Y617" s="54" t="s">
        <v>861</v>
      </c>
      <c r="Z617" s="54" t="s">
        <v>861</v>
      </c>
      <c r="AA617" s="62" t="s">
        <v>2235</v>
      </c>
      <c r="AC617" s="24"/>
    </row>
    <row r="618" spans="2:29" ht="120" customHeight="1" x14ac:dyDescent="0.25">
      <c r="B618" s="52" t="s">
        <v>91</v>
      </c>
      <c r="C618" s="52" t="s">
        <v>2220</v>
      </c>
      <c r="D618" s="52" t="s">
        <v>2221</v>
      </c>
      <c r="E618" s="53">
        <v>1</v>
      </c>
      <c r="F618" s="52" t="s">
        <v>203</v>
      </c>
      <c r="G618" s="52" t="s">
        <v>204</v>
      </c>
      <c r="H618" s="55" t="s">
        <v>166</v>
      </c>
      <c r="I618" s="53">
        <v>7</v>
      </c>
      <c r="J618" s="52" t="s">
        <v>140</v>
      </c>
      <c r="K618" s="53">
        <v>30</v>
      </c>
      <c r="L618" s="53"/>
      <c r="M618" s="54" t="s">
        <v>2236</v>
      </c>
      <c r="N618" s="54" t="s">
        <v>206</v>
      </c>
      <c r="O618" s="53"/>
      <c r="P618" s="55"/>
      <c r="Q618" s="56" t="s">
        <v>2234</v>
      </c>
      <c r="R618" s="56" t="s">
        <v>197</v>
      </c>
      <c r="S618" s="53"/>
      <c r="T618" s="53"/>
      <c r="U618" s="53"/>
      <c r="V618" s="53"/>
      <c r="W618" s="53"/>
      <c r="X618" s="65" t="s">
        <v>2223</v>
      </c>
      <c r="Y618" s="67" t="s">
        <v>2237</v>
      </c>
      <c r="Z618" s="67" t="s">
        <v>2238</v>
      </c>
      <c r="AA618" s="62" t="s">
        <v>2239</v>
      </c>
      <c r="AC618" s="24"/>
    </row>
    <row r="619" spans="2:29" ht="120" customHeight="1" x14ac:dyDescent="0.25">
      <c r="B619" s="52" t="s">
        <v>91</v>
      </c>
      <c r="C619" s="52" t="s">
        <v>2220</v>
      </c>
      <c r="D619" s="52" t="s">
        <v>2221</v>
      </c>
      <c r="E619" s="53">
        <v>1</v>
      </c>
      <c r="F619" s="52" t="s">
        <v>214</v>
      </c>
      <c r="G619" s="52" t="s">
        <v>215</v>
      </c>
      <c r="H619" s="55" t="s">
        <v>216</v>
      </c>
      <c r="I619" s="53">
        <v>8</v>
      </c>
      <c r="J619" s="52" t="s">
        <v>952</v>
      </c>
      <c r="K619" s="53">
        <v>10</v>
      </c>
      <c r="L619" s="53"/>
      <c r="M619" s="54" t="s">
        <v>217</v>
      </c>
      <c r="N619" s="54" t="s">
        <v>218</v>
      </c>
      <c r="O619" s="53"/>
      <c r="P619" s="55"/>
      <c r="Q619" s="56" t="s">
        <v>219</v>
      </c>
      <c r="R619" s="52" t="s">
        <v>214</v>
      </c>
      <c r="S619" s="53"/>
      <c r="T619" s="53"/>
      <c r="U619" s="53"/>
      <c r="V619" s="53"/>
      <c r="W619" s="53"/>
      <c r="X619" s="65" t="s">
        <v>2223</v>
      </c>
      <c r="Y619" s="67" t="s">
        <v>2240</v>
      </c>
      <c r="Z619" s="67" t="s">
        <v>2241</v>
      </c>
      <c r="AA619" s="62" t="s">
        <v>2242</v>
      </c>
      <c r="AC619" s="24"/>
    </row>
    <row r="620" spans="2:29" ht="120" customHeight="1" x14ac:dyDescent="0.25">
      <c r="B620" s="52" t="s">
        <v>91</v>
      </c>
      <c r="C620" s="52" t="s">
        <v>2220</v>
      </c>
      <c r="D620" s="52" t="s">
        <v>2221</v>
      </c>
      <c r="E620" s="53">
        <v>1</v>
      </c>
      <c r="F620" s="52" t="s">
        <v>226</v>
      </c>
      <c r="G620" s="52" t="s">
        <v>227</v>
      </c>
      <c r="H620" s="55" t="s">
        <v>216</v>
      </c>
      <c r="I620" s="53">
        <v>9</v>
      </c>
      <c r="J620" s="52" t="s">
        <v>952</v>
      </c>
      <c r="K620" s="53">
        <v>10</v>
      </c>
      <c r="L620" s="53"/>
      <c r="M620" s="54" t="s">
        <v>228</v>
      </c>
      <c r="N620" s="54"/>
      <c r="O620" s="53"/>
      <c r="P620" s="55"/>
      <c r="Q620" s="56" t="s">
        <v>230</v>
      </c>
      <c r="R620" s="52" t="s">
        <v>226</v>
      </c>
      <c r="S620" s="53"/>
      <c r="T620" s="53"/>
      <c r="U620" s="53"/>
      <c r="V620" s="53"/>
      <c r="W620" s="53"/>
      <c r="X620" s="65" t="s">
        <v>2223</v>
      </c>
      <c r="Y620" s="67" t="s">
        <v>2243</v>
      </c>
      <c r="Z620" s="67" t="s">
        <v>2244</v>
      </c>
      <c r="AA620" s="62" t="s">
        <v>2245</v>
      </c>
      <c r="AC620" s="24"/>
    </row>
    <row r="621" spans="2:29" ht="120" customHeight="1" x14ac:dyDescent="0.25">
      <c r="B621" s="52" t="s">
        <v>91</v>
      </c>
      <c r="C621" s="52" t="s">
        <v>2220</v>
      </c>
      <c r="D621" s="52" t="s">
        <v>2221</v>
      </c>
      <c r="E621" s="53">
        <v>1</v>
      </c>
      <c r="F621" s="52" t="s">
        <v>238</v>
      </c>
      <c r="G621" s="52" t="s">
        <v>239</v>
      </c>
      <c r="H621" s="55" t="s">
        <v>240</v>
      </c>
      <c r="I621" s="53">
        <v>10</v>
      </c>
      <c r="J621" s="52" t="s">
        <v>140</v>
      </c>
      <c r="K621" s="53">
        <v>3</v>
      </c>
      <c r="L621" s="53"/>
      <c r="M621" s="54" t="s">
        <v>241</v>
      </c>
      <c r="N621" s="54" t="s">
        <v>242</v>
      </c>
      <c r="O621" s="53"/>
      <c r="P621" s="54" t="s">
        <v>2246</v>
      </c>
      <c r="Q621" s="56" t="s">
        <v>2247</v>
      </c>
      <c r="R621" s="56" t="s">
        <v>787</v>
      </c>
      <c r="S621" s="53"/>
      <c r="T621" s="53"/>
      <c r="U621" s="53"/>
      <c r="V621" s="53"/>
      <c r="W621" s="53"/>
      <c r="X621" s="65" t="s">
        <v>2248</v>
      </c>
      <c r="Y621" s="67" t="s">
        <v>2249</v>
      </c>
      <c r="Z621" s="67" t="s">
        <v>2250</v>
      </c>
      <c r="AA621" s="62" t="s">
        <v>2251</v>
      </c>
      <c r="AC621" s="24"/>
    </row>
    <row r="622" spans="2:29" ht="120" customHeight="1" x14ac:dyDescent="0.25">
      <c r="B622" s="52" t="s">
        <v>91</v>
      </c>
      <c r="C622" s="52" t="s">
        <v>2220</v>
      </c>
      <c r="D622" s="52" t="s">
        <v>2221</v>
      </c>
      <c r="E622" s="53">
        <v>1</v>
      </c>
      <c r="F622" s="52" t="s">
        <v>253</v>
      </c>
      <c r="G622" s="52" t="s">
        <v>254</v>
      </c>
      <c r="H622" s="55" t="s">
        <v>255</v>
      </c>
      <c r="I622" s="53">
        <v>11</v>
      </c>
      <c r="J622" s="52" t="s">
        <v>1637</v>
      </c>
      <c r="K622" s="53"/>
      <c r="L622" s="53"/>
      <c r="M622" s="54" t="s">
        <v>256</v>
      </c>
      <c r="N622" s="54"/>
      <c r="O622" s="53"/>
      <c r="P622" s="62"/>
      <c r="Q622" s="65"/>
      <c r="R622" s="63"/>
      <c r="S622" s="73"/>
      <c r="T622" s="73"/>
      <c r="U622" s="73"/>
      <c r="V622" s="73"/>
      <c r="W622" s="73"/>
      <c r="X622" s="65" t="s">
        <v>2223</v>
      </c>
      <c r="Y622" s="54" t="s">
        <v>861</v>
      </c>
      <c r="Z622" s="54" t="s">
        <v>861</v>
      </c>
      <c r="AA622" s="62" t="s">
        <v>2252</v>
      </c>
      <c r="AC622" s="24"/>
    </row>
    <row r="623" spans="2:29" ht="120" customHeight="1" x14ac:dyDescent="0.25">
      <c r="B623" s="52" t="s">
        <v>91</v>
      </c>
      <c r="C623" s="52" t="s">
        <v>2220</v>
      </c>
      <c r="D623" s="52" t="s">
        <v>2221</v>
      </c>
      <c r="E623" s="53">
        <v>1</v>
      </c>
      <c r="F623" s="52" t="s">
        <v>2253</v>
      </c>
      <c r="G623" s="52" t="s">
        <v>2254</v>
      </c>
      <c r="H623" s="55" t="s">
        <v>2255</v>
      </c>
      <c r="I623" s="53">
        <v>12</v>
      </c>
      <c r="J623" s="52" t="s">
        <v>1637</v>
      </c>
      <c r="K623" s="53"/>
      <c r="L623" s="53"/>
      <c r="M623" s="54" t="s">
        <v>2256</v>
      </c>
      <c r="N623" s="54"/>
      <c r="O623" s="53"/>
      <c r="P623" s="55"/>
      <c r="Q623" s="56" t="s">
        <v>2257</v>
      </c>
      <c r="R623" s="52" t="s">
        <v>2258</v>
      </c>
      <c r="S623" s="53"/>
      <c r="T623" s="53"/>
      <c r="U623" s="53"/>
      <c r="V623" s="53"/>
      <c r="W623" s="53"/>
      <c r="X623" s="65" t="s">
        <v>2223</v>
      </c>
      <c r="Y623" s="67" t="s">
        <v>2259</v>
      </c>
      <c r="Z623" s="67" t="s">
        <v>861</v>
      </c>
      <c r="AA623" s="62" t="s">
        <v>2260</v>
      </c>
      <c r="AC623" s="24"/>
    </row>
    <row r="624" spans="2:29" ht="120" customHeight="1" x14ac:dyDescent="0.25">
      <c r="B624" s="52" t="s">
        <v>91</v>
      </c>
      <c r="C624" s="52" t="s">
        <v>2220</v>
      </c>
      <c r="D624" s="52" t="s">
        <v>2221</v>
      </c>
      <c r="E624" s="53">
        <v>1</v>
      </c>
      <c r="F624" s="52" t="s">
        <v>2261</v>
      </c>
      <c r="G624" s="52" t="s">
        <v>2262</v>
      </c>
      <c r="H624" s="55" t="s">
        <v>2263</v>
      </c>
      <c r="I624" s="53">
        <v>13</v>
      </c>
      <c r="J624" s="52" t="s">
        <v>140</v>
      </c>
      <c r="K624" s="53">
        <v>4</v>
      </c>
      <c r="L624" s="53"/>
      <c r="M624" s="54" t="s">
        <v>2264</v>
      </c>
      <c r="N624" s="54"/>
      <c r="O624" s="53"/>
      <c r="P624" s="56" t="s">
        <v>2265</v>
      </c>
      <c r="Q624" s="56"/>
      <c r="R624" s="56"/>
      <c r="S624" s="53"/>
      <c r="T624" s="55"/>
      <c r="U624" s="55"/>
      <c r="V624" s="53"/>
      <c r="W624" s="53"/>
      <c r="X624" s="65" t="s">
        <v>2223</v>
      </c>
      <c r="Y624" s="67" t="s">
        <v>2237</v>
      </c>
      <c r="Z624" s="65" t="s">
        <v>2266</v>
      </c>
      <c r="AA624" s="62" t="s">
        <v>2267</v>
      </c>
      <c r="AC624" s="24"/>
    </row>
    <row r="625" spans="2:29" ht="120" customHeight="1" x14ac:dyDescent="0.25">
      <c r="B625" s="52" t="s">
        <v>91</v>
      </c>
      <c r="C625" s="52" t="s">
        <v>2220</v>
      </c>
      <c r="D625" s="52" t="s">
        <v>2221</v>
      </c>
      <c r="E625" s="53">
        <v>1</v>
      </c>
      <c r="F625" s="52" t="s">
        <v>2268</v>
      </c>
      <c r="G625" s="52" t="s">
        <v>2269</v>
      </c>
      <c r="H625" s="55" t="s">
        <v>2270</v>
      </c>
      <c r="I625" s="53">
        <v>14</v>
      </c>
      <c r="J625" s="52" t="s">
        <v>140</v>
      </c>
      <c r="K625" s="53">
        <v>10</v>
      </c>
      <c r="L625" s="53"/>
      <c r="M625" s="54" t="s">
        <v>2271</v>
      </c>
      <c r="N625" s="54"/>
      <c r="O625" s="53"/>
      <c r="P625" s="54" t="s">
        <v>2272</v>
      </c>
      <c r="Q625" s="54" t="s">
        <v>2257</v>
      </c>
      <c r="R625" s="54" t="s">
        <v>2273</v>
      </c>
      <c r="S625" s="53"/>
      <c r="T625" s="52"/>
      <c r="U625" s="52"/>
      <c r="V625" s="53"/>
      <c r="W625" s="53"/>
      <c r="X625" s="65" t="s">
        <v>2223</v>
      </c>
      <c r="Y625" s="67" t="s">
        <v>2274</v>
      </c>
      <c r="Z625" s="67" t="s">
        <v>2275</v>
      </c>
      <c r="AA625" s="74" t="s">
        <v>2276</v>
      </c>
      <c r="AC625" s="24"/>
    </row>
    <row r="626" spans="2:29" ht="120" customHeight="1" x14ac:dyDescent="0.25">
      <c r="B626" s="52" t="s">
        <v>91</v>
      </c>
      <c r="C626" s="52" t="s">
        <v>2220</v>
      </c>
      <c r="D626" s="52" t="s">
        <v>2221</v>
      </c>
      <c r="E626" s="53">
        <v>1</v>
      </c>
      <c r="F626" s="52" t="s">
        <v>2277</v>
      </c>
      <c r="G626" s="52" t="s">
        <v>2278</v>
      </c>
      <c r="H626" s="55" t="s">
        <v>2279</v>
      </c>
      <c r="I626" s="53">
        <v>15</v>
      </c>
      <c r="J626" s="52" t="s">
        <v>140</v>
      </c>
      <c r="K626" s="53">
        <v>10</v>
      </c>
      <c r="L626" s="53"/>
      <c r="M626" s="54" t="s">
        <v>2280</v>
      </c>
      <c r="N626" s="54"/>
      <c r="O626" s="53"/>
      <c r="P626" s="54" t="s">
        <v>2281</v>
      </c>
      <c r="Q626" s="56" t="s">
        <v>2257</v>
      </c>
      <c r="R626" s="52" t="s">
        <v>2277</v>
      </c>
      <c r="S626" s="53"/>
      <c r="T626" s="53"/>
      <c r="U626" s="53"/>
      <c r="V626" s="53"/>
      <c r="W626" s="53"/>
      <c r="X626" s="65" t="s">
        <v>2223</v>
      </c>
      <c r="Y626" s="67" t="s">
        <v>2274</v>
      </c>
      <c r="Z626" s="67" t="s">
        <v>2282</v>
      </c>
      <c r="AA626" s="74" t="s">
        <v>2276</v>
      </c>
      <c r="AC626" s="24"/>
    </row>
    <row r="627" spans="2:29" ht="120" customHeight="1" x14ac:dyDescent="0.25">
      <c r="B627" s="52" t="s">
        <v>91</v>
      </c>
      <c r="C627" s="52" t="s">
        <v>2220</v>
      </c>
      <c r="D627" s="52" t="s">
        <v>2221</v>
      </c>
      <c r="E627" s="53">
        <v>1</v>
      </c>
      <c r="F627" s="52" t="s">
        <v>2283</v>
      </c>
      <c r="G627" s="52" t="s">
        <v>2284</v>
      </c>
      <c r="H627" s="55" t="s">
        <v>2285</v>
      </c>
      <c r="I627" s="53">
        <v>16</v>
      </c>
      <c r="J627" s="52" t="s">
        <v>952</v>
      </c>
      <c r="K627" s="53">
        <v>10</v>
      </c>
      <c r="L627" s="53"/>
      <c r="M627" s="54" t="s">
        <v>2286</v>
      </c>
      <c r="N627" s="54"/>
      <c r="O627" s="53"/>
      <c r="P627" s="55"/>
      <c r="Q627" s="56" t="s">
        <v>2257</v>
      </c>
      <c r="R627" s="52" t="s">
        <v>2287</v>
      </c>
      <c r="S627" s="53"/>
      <c r="T627" s="53"/>
      <c r="U627" s="53"/>
      <c r="V627" s="53"/>
      <c r="W627" s="53"/>
      <c r="X627" s="65" t="s">
        <v>2223</v>
      </c>
      <c r="Y627" s="67" t="s">
        <v>2274</v>
      </c>
      <c r="Z627" s="67" t="s">
        <v>2288</v>
      </c>
      <c r="AA627" s="74" t="s">
        <v>2289</v>
      </c>
      <c r="AC627" s="24"/>
    </row>
    <row r="628" spans="2:29" ht="120" customHeight="1" x14ac:dyDescent="0.25">
      <c r="B628" s="52" t="s">
        <v>91</v>
      </c>
      <c r="C628" s="52" t="s">
        <v>2220</v>
      </c>
      <c r="D628" s="52" t="s">
        <v>2221</v>
      </c>
      <c r="E628" s="53">
        <v>1</v>
      </c>
      <c r="F628" s="52" t="s">
        <v>2290</v>
      </c>
      <c r="G628" s="52" t="s">
        <v>2291</v>
      </c>
      <c r="H628" s="55" t="s">
        <v>2285</v>
      </c>
      <c r="I628" s="53">
        <v>17</v>
      </c>
      <c r="J628" s="52" t="s">
        <v>952</v>
      </c>
      <c r="K628" s="53">
        <v>10</v>
      </c>
      <c r="L628" s="53"/>
      <c r="M628" s="54" t="s">
        <v>2292</v>
      </c>
      <c r="N628" s="54"/>
      <c r="O628" s="53"/>
      <c r="P628" s="55"/>
      <c r="Q628" s="56" t="s">
        <v>2257</v>
      </c>
      <c r="R628" s="52" t="s">
        <v>2293</v>
      </c>
      <c r="S628" s="53"/>
      <c r="T628" s="53"/>
      <c r="U628" s="53"/>
      <c r="V628" s="53"/>
      <c r="W628" s="53"/>
      <c r="X628" s="65" t="s">
        <v>2223</v>
      </c>
      <c r="Y628" s="67" t="s">
        <v>2274</v>
      </c>
      <c r="Z628" s="67" t="s">
        <v>2294</v>
      </c>
      <c r="AA628" s="62" t="s">
        <v>2295</v>
      </c>
      <c r="AC628" s="24"/>
    </row>
    <row r="629" spans="2:29" ht="120" customHeight="1" x14ac:dyDescent="0.25">
      <c r="B629" s="52" t="s">
        <v>91</v>
      </c>
      <c r="C629" s="52" t="s">
        <v>2220</v>
      </c>
      <c r="D629" s="52" t="s">
        <v>2221</v>
      </c>
      <c r="E629" s="53">
        <v>1</v>
      </c>
      <c r="F629" s="52" t="s">
        <v>2296</v>
      </c>
      <c r="G629" s="52" t="s">
        <v>2297</v>
      </c>
      <c r="H629" s="55" t="s">
        <v>2298</v>
      </c>
      <c r="I629" s="53">
        <v>18</v>
      </c>
      <c r="J629" s="52" t="s">
        <v>140</v>
      </c>
      <c r="K629" s="53">
        <v>20</v>
      </c>
      <c r="L629" s="53"/>
      <c r="M629" s="54" t="s">
        <v>2299</v>
      </c>
      <c r="N629" s="54"/>
      <c r="O629" s="53"/>
      <c r="P629" s="54" t="s">
        <v>2300</v>
      </c>
      <c r="Q629" s="56" t="s">
        <v>2257</v>
      </c>
      <c r="R629" s="52" t="s">
        <v>2301</v>
      </c>
      <c r="S629" s="53"/>
      <c r="T629" s="53"/>
      <c r="U629" s="53"/>
      <c r="V629" s="53"/>
      <c r="W629" s="53"/>
      <c r="X629" s="65" t="s">
        <v>2223</v>
      </c>
      <c r="Y629" s="67" t="s">
        <v>2274</v>
      </c>
      <c r="Z629" s="67" t="s">
        <v>2302</v>
      </c>
      <c r="AA629" s="74" t="s">
        <v>2276</v>
      </c>
      <c r="AC629" s="24"/>
    </row>
    <row r="630" spans="2:29" ht="120" customHeight="1" x14ac:dyDescent="0.25">
      <c r="B630" s="52" t="s">
        <v>91</v>
      </c>
      <c r="C630" s="52" t="s">
        <v>2220</v>
      </c>
      <c r="D630" s="52" t="s">
        <v>2221</v>
      </c>
      <c r="E630" s="53">
        <v>1</v>
      </c>
      <c r="F630" s="52" t="s">
        <v>260</v>
      </c>
      <c r="G630" s="52" t="s">
        <v>261</v>
      </c>
      <c r="H630" s="52" t="s">
        <v>262</v>
      </c>
      <c r="I630" s="53">
        <v>19</v>
      </c>
      <c r="J630" s="52" t="s">
        <v>263</v>
      </c>
      <c r="K630" s="53">
        <v>23</v>
      </c>
      <c r="L630" s="53">
        <v>6</v>
      </c>
      <c r="M630" s="54" t="s">
        <v>2303</v>
      </c>
      <c r="N630" s="54"/>
      <c r="O630" s="53"/>
      <c r="P630" s="55"/>
      <c r="Q630" s="56" t="s">
        <v>219</v>
      </c>
      <c r="R630" s="56" t="s">
        <v>265</v>
      </c>
      <c r="S630" s="53"/>
      <c r="T630" s="52"/>
      <c r="U630" s="52"/>
      <c r="V630" s="53"/>
      <c r="W630" s="53"/>
      <c r="X630" s="65" t="s">
        <v>2223</v>
      </c>
      <c r="Y630" s="67" t="s">
        <v>2259</v>
      </c>
      <c r="Z630" s="67" t="s">
        <v>2304</v>
      </c>
      <c r="AA630" s="62" t="s">
        <v>2305</v>
      </c>
      <c r="AC630" s="24"/>
    </row>
    <row r="631" spans="2:29" ht="120" customHeight="1" x14ac:dyDescent="0.25">
      <c r="B631" s="52" t="s">
        <v>91</v>
      </c>
      <c r="C631" s="52" t="s">
        <v>2220</v>
      </c>
      <c r="D631" s="52" t="s">
        <v>2221</v>
      </c>
      <c r="E631" s="53">
        <v>1</v>
      </c>
      <c r="F631" s="52" t="s">
        <v>272</v>
      </c>
      <c r="G631" s="52" t="s">
        <v>273</v>
      </c>
      <c r="H631" s="52" t="s">
        <v>262</v>
      </c>
      <c r="I631" s="53">
        <v>20</v>
      </c>
      <c r="J631" s="52" t="s">
        <v>263</v>
      </c>
      <c r="K631" s="53">
        <v>23</v>
      </c>
      <c r="L631" s="53">
        <v>6</v>
      </c>
      <c r="M631" s="54" t="s">
        <v>2306</v>
      </c>
      <c r="N631" s="54"/>
      <c r="O631" s="53"/>
      <c r="P631" s="55"/>
      <c r="Q631" s="56"/>
      <c r="R631" s="52"/>
      <c r="S631" s="53"/>
      <c r="T631" s="52"/>
      <c r="U631" s="52"/>
      <c r="V631" s="53"/>
      <c r="W631" s="53"/>
      <c r="X631" s="65" t="s">
        <v>2223</v>
      </c>
      <c r="Y631" s="67" t="s">
        <v>2259</v>
      </c>
      <c r="Z631" s="67" t="s">
        <v>2307</v>
      </c>
      <c r="AA631" s="62" t="s">
        <v>2308</v>
      </c>
      <c r="AC631" s="24"/>
    </row>
    <row r="632" spans="2:29" ht="120" customHeight="1" x14ac:dyDescent="0.25">
      <c r="B632" s="52" t="s">
        <v>91</v>
      </c>
      <c r="C632" s="52" t="s">
        <v>2220</v>
      </c>
      <c r="D632" s="52" t="s">
        <v>2221</v>
      </c>
      <c r="E632" s="53">
        <v>1</v>
      </c>
      <c r="F632" s="52" t="s">
        <v>1646</v>
      </c>
      <c r="G632" s="52" t="s">
        <v>1647</v>
      </c>
      <c r="H632" s="52" t="s">
        <v>262</v>
      </c>
      <c r="I632" s="53">
        <v>21</v>
      </c>
      <c r="J632" s="52" t="s">
        <v>263</v>
      </c>
      <c r="K632" s="53">
        <v>23</v>
      </c>
      <c r="L632" s="53">
        <v>6</v>
      </c>
      <c r="M632" s="54" t="s">
        <v>2309</v>
      </c>
      <c r="N632" s="54"/>
      <c r="O632" s="53"/>
      <c r="P632" s="55"/>
      <c r="Q632" s="54"/>
      <c r="R632" s="55"/>
      <c r="S632" s="53"/>
      <c r="T632" s="53"/>
      <c r="U632" s="53"/>
      <c r="V632" s="53"/>
      <c r="W632" s="53"/>
      <c r="X632" s="65" t="s">
        <v>2223</v>
      </c>
      <c r="Y632" s="54" t="s">
        <v>2259</v>
      </c>
      <c r="Z632" s="54" t="s">
        <v>2310</v>
      </c>
      <c r="AA632" s="62" t="s">
        <v>2311</v>
      </c>
      <c r="AC632" s="24"/>
    </row>
    <row r="633" spans="2:29" ht="120" customHeight="1" x14ac:dyDescent="0.25">
      <c r="B633" s="52" t="s">
        <v>91</v>
      </c>
      <c r="C633" s="52" t="s">
        <v>2220</v>
      </c>
      <c r="D633" s="52" t="s">
        <v>2221</v>
      </c>
      <c r="E633" s="53">
        <v>1</v>
      </c>
      <c r="F633" s="52" t="s">
        <v>2312</v>
      </c>
      <c r="G633" s="52" t="s">
        <v>2313</v>
      </c>
      <c r="H633" s="55" t="s">
        <v>262</v>
      </c>
      <c r="I633" s="53">
        <v>22</v>
      </c>
      <c r="J633" s="52" t="s">
        <v>263</v>
      </c>
      <c r="K633" s="53">
        <v>23</v>
      </c>
      <c r="L633" s="53">
        <v>6</v>
      </c>
      <c r="M633" s="54" t="s">
        <v>2314</v>
      </c>
      <c r="N633" s="54"/>
      <c r="O633" s="53"/>
      <c r="P633" s="52"/>
      <c r="Q633" s="65"/>
      <c r="R633" s="63"/>
      <c r="S633" s="53"/>
      <c r="T633" s="53"/>
      <c r="U633" s="53"/>
      <c r="V633" s="53"/>
      <c r="W633" s="53"/>
      <c r="X633" s="65" t="s">
        <v>2223</v>
      </c>
      <c r="Y633" s="54" t="s">
        <v>2315</v>
      </c>
      <c r="Z633" s="54" t="s">
        <v>2316</v>
      </c>
      <c r="AA633" s="62" t="s">
        <v>2308</v>
      </c>
      <c r="AC633" s="24"/>
    </row>
    <row r="634" spans="2:29" ht="120" customHeight="1" x14ac:dyDescent="0.25">
      <c r="B634" s="68" t="s">
        <v>91</v>
      </c>
      <c r="C634" s="68" t="s">
        <v>2220</v>
      </c>
      <c r="D634" s="68" t="s">
        <v>2221</v>
      </c>
      <c r="E634" s="80">
        <v>1</v>
      </c>
      <c r="F634" s="68" t="s">
        <v>2317</v>
      </c>
      <c r="G634" s="68" t="s">
        <v>2318</v>
      </c>
      <c r="H634" s="55" t="s">
        <v>262</v>
      </c>
      <c r="I634" s="53">
        <v>23</v>
      </c>
      <c r="J634" s="52" t="s">
        <v>263</v>
      </c>
      <c r="K634" s="53">
        <v>23</v>
      </c>
      <c r="L634" s="53">
        <v>6</v>
      </c>
      <c r="M634" s="54" t="s">
        <v>2319</v>
      </c>
      <c r="N634" s="54"/>
      <c r="O634" s="53"/>
      <c r="P634" s="52"/>
      <c r="Q634" s="56" t="s">
        <v>2257</v>
      </c>
      <c r="R634" s="54" t="s">
        <v>2320</v>
      </c>
      <c r="S634" s="54"/>
      <c r="T634" s="53"/>
      <c r="U634" s="53"/>
      <c r="V634" s="53"/>
      <c r="W634" s="53"/>
      <c r="X634" s="232" t="s">
        <v>2223</v>
      </c>
      <c r="Y634" s="75" t="s">
        <v>2315</v>
      </c>
      <c r="Z634" s="75" t="s">
        <v>2316</v>
      </c>
      <c r="AA634" s="78" t="s">
        <v>2308</v>
      </c>
      <c r="AC634" s="24"/>
    </row>
    <row r="635" spans="2:29" ht="120" customHeight="1" x14ac:dyDescent="0.25">
      <c r="B635" s="52" t="s">
        <v>91</v>
      </c>
      <c r="C635" s="52" t="s">
        <v>2220</v>
      </c>
      <c r="D635" s="52" t="s">
        <v>2221</v>
      </c>
      <c r="E635" s="53">
        <v>1</v>
      </c>
      <c r="F635" s="52" t="s">
        <v>581</v>
      </c>
      <c r="G635" s="52" t="s">
        <v>582</v>
      </c>
      <c r="H635" s="52" t="s">
        <v>262</v>
      </c>
      <c r="I635" s="53">
        <v>24</v>
      </c>
      <c r="J635" s="52" t="s">
        <v>263</v>
      </c>
      <c r="K635" s="53">
        <v>23</v>
      </c>
      <c r="L635" s="53">
        <v>6</v>
      </c>
      <c r="M635" s="54" t="s">
        <v>583</v>
      </c>
      <c r="N635" s="54"/>
      <c r="O635" s="53"/>
      <c r="P635" s="55"/>
      <c r="Q635" s="54" t="s">
        <v>584</v>
      </c>
      <c r="R635" s="54" t="s">
        <v>585</v>
      </c>
      <c r="S635" s="53"/>
      <c r="T635" s="52"/>
      <c r="U635" s="52"/>
      <c r="V635" s="53"/>
      <c r="W635" s="53"/>
      <c r="X635" s="65" t="s">
        <v>2223</v>
      </c>
      <c r="Y635" s="67" t="s">
        <v>2315</v>
      </c>
      <c r="Z635" s="67" t="s">
        <v>2321</v>
      </c>
      <c r="AA635" s="62" t="s">
        <v>2322</v>
      </c>
      <c r="AC635" s="24"/>
    </row>
    <row r="636" spans="2:29" ht="120" customHeight="1" x14ac:dyDescent="0.25">
      <c r="B636" s="52" t="s">
        <v>91</v>
      </c>
      <c r="C636" s="52" t="s">
        <v>2220</v>
      </c>
      <c r="D636" s="52" t="s">
        <v>2221</v>
      </c>
      <c r="E636" s="53">
        <v>1</v>
      </c>
      <c r="F636" s="52" t="s">
        <v>291</v>
      </c>
      <c r="G636" s="52" t="s">
        <v>292</v>
      </c>
      <c r="H636" s="52" t="s">
        <v>262</v>
      </c>
      <c r="I636" s="53">
        <v>25</v>
      </c>
      <c r="J636" s="52" t="s">
        <v>263</v>
      </c>
      <c r="K636" s="53">
        <v>23</v>
      </c>
      <c r="L636" s="53">
        <v>6</v>
      </c>
      <c r="M636" s="54" t="s">
        <v>293</v>
      </c>
      <c r="N636" s="54"/>
      <c r="O636" s="53"/>
      <c r="P636" s="55"/>
      <c r="Q636" s="65"/>
      <c r="R636" s="63"/>
      <c r="S636" s="73"/>
      <c r="T636" s="73"/>
      <c r="U636" s="73"/>
      <c r="V636" s="73"/>
      <c r="W636" s="73"/>
      <c r="X636" s="65" t="s">
        <v>2223</v>
      </c>
      <c r="Y636" s="54" t="s">
        <v>2323</v>
      </c>
      <c r="Z636" s="54" t="s">
        <v>2324</v>
      </c>
      <c r="AA636" s="62" t="s">
        <v>2325</v>
      </c>
      <c r="AC636" s="24"/>
    </row>
    <row r="637" spans="2:29" ht="120" customHeight="1" x14ac:dyDescent="0.25">
      <c r="B637" s="68" t="s">
        <v>91</v>
      </c>
      <c r="C637" s="68" t="s">
        <v>2220</v>
      </c>
      <c r="D637" s="68" t="s">
        <v>2221</v>
      </c>
      <c r="E637" s="80">
        <v>1</v>
      </c>
      <c r="F637" s="68" t="s">
        <v>1336</v>
      </c>
      <c r="G637" s="68" t="s">
        <v>1337</v>
      </c>
      <c r="H637" s="55" t="s">
        <v>650</v>
      </c>
      <c r="I637" s="53">
        <v>26</v>
      </c>
      <c r="J637" s="52" t="s">
        <v>263</v>
      </c>
      <c r="K637" s="53">
        <v>23</v>
      </c>
      <c r="L637" s="53">
        <v>6</v>
      </c>
      <c r="M637" s="54" t="s">
        <v>1845</v>
      </c>
      <c r="N637" s="54" t="s">
        <v>1339</v>
      </c>
      <c r="O637" s="53"/>
      <c r="P637" s="52"/>
      <c r="Q637" s="56" t="s">
        <v>668</v>
      </c>
      <c r="R637" s="52" t="s">
        <v>1340</v>
      </c>
      <c r="S637" s="53"/>
      <c r="T637" s="53"/>
      <c r="U637" s="53"/>
      <c r="V637" s="53"/>
      <c r="W637" s="53"/>
      <c r="X637" s="232" t="s">
        <v>2223</v>
      </c>
      <c r="Y637" s="75" t="s">
        <v>2326</v>
      </c>
      <c r="Z637" s="75" t="s">
        <v>2327</v>
      </c>
      <c r="AA637" s="78" t="s">
        <v>2328</v>
      </c>
      <c r="AC637" s="24"/>
    </row>
    <row r="638" spans="2:29" ht="120" customHeight="1" x14ac:dyDescent="0.25">
      <c r="B638" s="68" t="s">
        <v>91</v>
      </c>
      <c r="C638" s="68" t="s">
        <v>2220</v>
      </c>
      <c r="D638" s="68" t="s">
        <v>2221</v>
      </c>
      <c r="E638" s="80">
        <v>1</v>
      </c>
      <c r="F638" s="68" t="s">
        <v>664</v>
      </c>
      <c r="G638" s="68" t="s">
        <v>665</v>
      </c>
      <c r="H638" s="55" t="s">
        <v>650</v>
      </c>
      <c r="I638" s="53">
        <v>27</v>
      </c>
      <c r="J638" s="52" t="s">
        <v>263</v>
      </c>
      <c r="K638" s="53">
        <v>23</v>
      </c>
      <c r="L638" s="53">
        <v>6</v>
      </c>
      <c r="M638" s="54" t="s">
        <v>1858</v>
      </c>
      <c r="N638" s="54" t="s">
        <v>667</v>
      </c>
      <c r="O638" s="53"/>
      <c r="P638" s="52"/>
      <c r="Q638" s="56" t="s">
        <v>668</v>
      </c>
      <c r="R638" s="52" t="s">
        <v>669</v>
      </c>
      <c r="S638" s="53"/>
      <c r="T638" s="53"/>
      <c r="U638" s="53"/>
      <c r="V638" s="53"/>
      <c r="W638" s="53"/>
      <c r="X638" s="232" t="s">
        <v>2223</v>
      </c>
      <c r="Y638" s="75" t="s">
        <v>2329</v>
      </c>
      <c r="Z638" s="75" t="s">
        <v>2330</v>
      </c>
      <c r="AA638" s="78" t="s">
        <v>2328</v>
      </c>
      <c r="AC638" s="24"/>
    </row>
    <row r="639" spans="2:29" ht="120" customHeight="1" x14ac:dyDescent="0.25">
      <c r="B639" s="52" t="s">
        <v>91</v>
      </c>
      <c r="C639" s="52" t="s">
        <v>2220</v>
      </c>
      <c r="D639" s="52" t="s">
        <v>2221</v>
      </c>
      <c r="E639" s="53">
        <v>1</v>
      </c>
      <c r="F639" s="52" t="s">
        <v>2331</v>
      </c>
      <c r="G639" s="52" t="s">
        <v>2332</v>
      </c>
      <c r="H639" s="55" t="s">
        <v>2333</v>
      </c>
      <c r="I639" s="53">
        <v>28</v>
      </c>
      <c r="J639" s="52" t="s">
        <v>1637</v>
      </c>
      <c r="K639" s="53"/>
      <c r="L639" s="53"/>
      <c r="M639" s="54" t="s">
        <v>2334</v>
      </c>
      <c r="N639" s="54"/>
      <c r="O639" s="53"/>
      <c r="P639" s="55"/>
      <c r="Q639" s="56" t="s">
        <v>2257</v>
      </c>
      <c r="R639" s="52" t="s">
        <v>2331</v>
      </c>
      <c r="S639" s="53"/>
      <c r="T639" s="53"/>
      <c r="U639" s="53"/>
      <c r="V639" s="53"/>
      <c r="W639" s="53"/>
      <c r="X639" s="65" t="s">
        <v>2223</v>
      </c>
      <c r="Y639" s="67" t="s">
        <v>2335</v>
      </c>
      <c r="Z639" s="67" t="s">
        <v>2336</v>
      </c>
      <c r="AA639" s="62" t="s">
        <v>2337</v>
      </c>
      <c r="AC639" s="24"/>
    </row>
    <row r="640" spans="2:29" ht="120" customHeight="1" x14ac:dyDescent="0.25">
      <c r="B640" s="52" t="s">
        <v>91</v>
      </c>
      <c r="C640" s="52" t="s">
        <v>2220</v>
      </c>
      <c r="D640" s="52" t="s">
        <v>2221</v>
      </c>
      <c r="E640" s="53">
        <v>1</v>
      </c>
      <c r="F640" s="52" t="s">
        <v>2338</v>
      </c>
      <c r="G640" s="52" t="s">
        <v>2339</v>
      </c>
      <c r="H640" s="55" t="s">
        <v>2340</v>
      </c>
      <c r="I640" s="53">
        <v>29</v>
      </c>
      <c r="J640" s="52" t="s">
        <v>952</v>
      </c>
      <c r="K640" s="53">
        <v>10</v>
      </c>
      <c r="L640" s="53"/>
      <c r="M640" s="54" t="s">
        <v>2341</v>
      </c>
      <c r="N640" s="54"/>
      <c r="O640" s="53"/>
      <c r="P640" s="55"/>
      <c r="Q640" s="56" t="s">
        <v>2257</v>
      </c>
      <c r="R640" s="52" t="s">
        <v>2338</v>
      </c>
      <c r="S640" s="53"/>
      <c r="T640" s="53"/>
      <c r="U640" s="53"/>
      <c r="V640" s="53"/>
      <c r="W640" s="53"/>
      <c r="X640" s="65" t="s">
        <v>2223</v>
      </c>
      <c r="Y640" s="67" t="s">
        <v>2274</v>
      </c>
      <c r="Z640" s="67" t="s">
        <v>2342</v>
      </c>
      <c r="AA640" s="62" t="s">
        <v>2295</v>
      </c>
      <c r="AC640" s="24"/>
    </row>
    <row r="641" spans="2:29" ht="120" customHeight="1" x14ac:dyDescent="0.25">
      <c r="B641" s="52" t="s">
        <v>91</v>
      </c>
      <c r="C641" s="52" t="s">
        <v>2220</v>
      </c>
      <c r="D641" s="52" t="s">
        <v>2221</v>
      </c>
      <c r="E641" s="53">
        <v>1</v>
      </c>
      <c r="F641" s="52" t="s">
        <v>2343</v>
      </c>
      <c r="G641" s="52" t="s">
        <v>2344</v>
      </c>
      <c r="H641" s="55" t="s">
        <v>2345</v>
      </c>
      <c r="I641" s="53">
        <v>30</v>
      </c>
      <c r="J641" s="52" t="s">
        <v>140</v>
      </c>
      <c r="K641" s="53">
        <v>20</v>
      </c>
      <c r="L641" s="53"/>
      <c r="M641" s="54" t="s">
        <v>2346</v>
      </c>
      <c r="N641" s="54"/>
      <c r="O641" s="53"/>
      <c r="P641" s="54" t="s">
        <v>2347</v>
      </c>
      <c r="Q641" s="56" t="s">
        <v>2257</v>
      </c>
      <c r="R641" s="52" t="s">
        <v>2348</v>
      </c>
      <c r="S641" s="53"/>
      <c r="T641" s="53"/>
      <c r="U641" s="53"/>
      <c r="V641" s="53"/>
      <c r="W641" s="53"/>
      <c r="X641" s="65" t="s">
        <v>2223</v>
      </c>
      <c r="Y641" s="67" t="s">
        <v>2335</v>
      </c>
      <c r="Z641" s="67" t="s">
        <v>2336</v>
      </c>
      <c r="AA641" s="62" t="s">
        <v>2267</v>
      </c>
      <c r="AC641" s="24"/>
    </row>
    <row r="642" spans="2:29" ht="120" customHeight="1" x14ac:dyDescent="0.25">
      <c r="B642" s="52" t="s">
        <v>91</v>
      </c>
      <c r="C642" s="52" t="s">
        <v>2220</v>
      </c>
      <c r="D642" s="52" t="s">
        <v>2221</v>
      </c>
      <c r="E642" s="53">
        <v>1</v>
      </c>
      <c r="F642" s="52" t="s">
        <v>2349</v>
      </c>
      <c r="G642" s="52" t="s">
        <v>2350</v>
      </c>
      <c r="H642" s="55" t="s">
        <v>2351</v>
      </c>
      <c r="I642" s="53">
        <v>31</v>
      </c>
      <c r="J642" s="52" t="s">
        <v>140</v>
      </c>
      <c r="K642" s="53"/>
      <c r="L642" s="53"/>
      <c r="M642" s="54" t="s">
        <v>2352</v>
      </c>
      <c r="N642" s="54"/>
      <c r="O642" s="53"/>
      <c r="P642" s="55"/>
      <c r="Q642" s="56" t="s">
        <v>2257</v>
      </c>
      <c r="R642" s="52" t="s">
        <v>2349</v>
      </c>
      <c r="S642" s="53"/>
      <c r="T642" s="53"/>
      <c r="U642" s="53"/>
      <c r="V642" s="53"/>
      <c r="W642" s="53"/>
      <c r="X642" s="65" t="s">
        <v>2223</v>
      </c>
      <c r="Y642" s="54" t="s">
        <v>2353</v>
      </c>
      <c r="Z642" s="54" t="s">
        <v>2354</v>
      </c>
      <c r="AA642" s="74" t="s">
        <v>2311</v>
      </c>
      <c r="AC642" s="24"/>
    </row>
    <row r="643" spans="2:29" ht="120" customHeight="1" x14ac:dyDescent="0.25">
      <c r="B643" s="52" t="s">
        <v>91</v>
      </c>
      <c r="C643" s="52" t="s">
        <v>2220</v>
      </c>
      <c r="D643" s="52" t="s">
        <v>2221</v>
      </c>
      <c r="E643" s="53">
        <v>1</v>
      </c>
      <c r="F643" s="52" t="s">
        <v>301</v>
      </c>
      <c r="G643" s="52" t="s">
        <v>302</v>
      </c>
      <c r="H643" s="55" t="s">
        <v>303</v>
      </c>
      <c r="I643" s="53">
        <v>32</v>
      </c>
      <c r="J643" s="52" t="s">
        <v>140</v>
      </c>
      <c r="K643" s="53">
        <v>3</v>
      </c>
      <c r="L643" s="53"/>
      <c r="M643" s="54" t="s">
        <v>304</v>
      </c>
      <c r="N643" s="54" t="s">
        <v>305</v>
      </c>
      <c r="O643" s="53"/>
      <c r="P643" s="54" t="s">
        <v>2355</v>
      </c>
      <c r="Q643" s="56" t="s">
        <v>307</v>
      </c>
      <c r="R643" s="52" t="s">
        <v>308</v>
      </c>
      <c r="S643" s="53"/>
      <c r="T643" s="53"/>
      <c r="U643" s="53"/>
      <c r="V643" s="53"/>
      <c r="W643" s="53"/>
      <c r="X643" s="65" t="s">
        <v>2223</v>
      </c>
      <c r="Y643" s="67" t="s">
        <v>2229</v>
      </c>
      <c r="Z643" s="54" t="s">
        <v>2356</v>
      </c>
      <c r="AA643" s="62" t="s">
        <v>861</v>
      </c>
      <c r="AC643" s="24"/>
    </row>
    <row r="644" spans="2:29" ht="120" customHeight="1" x14ac:dyDescent="0.25">
      <c r="B644" s="68" t="s">
        <v>91</v>
      </c>
      <c r="C644" s="68" t="s">
        <v>2220</v>
      </c>
      <c r="D644" s="68" t="s">
        <v>2221</v>
      </c>
      <c r="E644" s="80">
        <v>1</v>
      </c>
      <c r="F644" s="68" t="s">
        <v>311</v>
      </c>
      <c r="G644" s="52" t="s">
        <v>312</v>
      </c>
      <c r="H644" s="55" t="s">
        <v>303</v>
      </c>
      <c r="I644" s="53">
        <v>33</v>
      </c>
      <c r="J644" s="52" t="s">
        <v>140</v>
      </c>
      <c r="K644" s="53">
        <v>3</v>
      </c>
      <c r="L644" s="53"/>
      <c r="M644" s="54" t="s">
        <v>313</v>
      </c>
      <c r="N644" s="54" t="s">
        <v>314</v>
      </c>
      <c r="O644" s="53"/>
      <c r="P644" s="54" t="s">
        <v>2357</v>
      </c>
      <c r="Q644" s="56" t="s">
        <v>219</v>
      </c>
      <c r="R644" s="52" t="s">
        <v>316</v>
      </c>
      <c r="S644" s="53"/>
      <c r="T644" s="53"/>
      <c r="U644" s="53"/>
      <c r="V644" s="53"/>
      <c r="W644" s="53"/>
      <c r="X644" s="232" t="s">
        <v>2223</v>
      </c>
      <c r="Y644" s="71" t="s">
        <v>2358</v>
      </c>
      <c r="Z644" s="232" t="s">
        <v>2359</v>
      </c>
      <c r="AA644" s="78" t="s">
        <v>2360</v>
      </c>
      <c r="AC644" s="24"/>
    </row>
    <row r="645" spans="2:29" ht="120" customHeight="1" x14ac:dyDescent="0.25">
      <c r="B645" s="52" t="s">
        <v>91</v>
      </c>
      <c r="C645" s="52" t="s">
        <v>2220</v>
      </c>
      <c r="D645" s="52" t="s">
        <v>2221</v>
      </c>
      <c r="E645" s="53">
        <v>1</v>
      </c>
      <c r="F645" s="52" t="s">
        <v>322</v>
      </c>
      <c r="G645" s="52" t="s">
        <v>323</v>
      </c>
      <c r="H645" s="52" t="s">
        <v>324</v>
      </c>
      <c r="I645" s="53">
        <v>34</v>
      </c>
      <c r="J645" s="52" t="s">
        <v>140</v>
      </c>
      <c r="K645" s="53">
        <v>2</v>
      </c>
      <c r="L645" s="53"/>
      <c r="M645" s="54" t="s">
        <v>325</v>
      </c>
      <c r="N645" s="54"/>
      <c r="O645" s="53"/>
      <c r="P645" s="54" t="s">
        <v>2361</v>
      </c>
      <c r="Q645" s="56"/>
      <c r="R645" s="52"/>
      <c r="S645" s="53"/>
      <c r="T645" s="53"/>
      <c r="U645" s="53"/>
      <c r="V645" s="53"/>
      <c r="W645" s="53"/>
      <c r="X645" s="65" t="s">
        <v>2223</v>
      </c>
      <c r="Y645" s="54" t="s">
        <v>861</v>
      </c>
      <c r="Z645" s="54" t="s">
        <v>861</v>
      </c>
      <c r="AA645" s="62" t="s">
        <v>2362</v>
      </c>
      <c r="AC645" s="24"/>
    </row>
    <row r="646" spans="2:29" ht="120" customHeight="1" x14ac:dyDescent="0.25">
      <c r="B646" s="52" t="s">
        <v>91</v>
      </c>
      <c r="C646" s="52" t="s">
        <v>2220</v>
      </c>
      <c r="D646" s="52" t="s">
        <v>2221</v>
      </c>
      <c r="E646" s="53">
        <v>1</v>
      </c>
      <c r="F646" s="52" t="s">
        <v>329</v>
      </c>
      <c r="G646" s="52" t="s">
        <v>330</v>
      </c>
      <c r="H646" s="52" t="s">
        <v>331</v>
      </c>
      <c r="I646" s="53">
        <v>35</v>
      </c>
      <c r="J646" s="52" t="s">
        <v>140</v>
      </c>
      <c r="K646" s="53">
        <v>10</v>
      </c>
      <c r="L646" s="53"/>
      <c r="M646" s="54" t="s">
        <v>332</v>
      </c>
      <c r="N646" s="54" t="s">
        <v>333</v>
      </c>
      <c r="O646" s="53" t="s">
        <v>142</v>
      </c>
      <c r="P646" s="55"/>
      <c r="Q646" s="56" t="s">
        <v>284</v>
      </c>
      <c r="R646" s="52" t="s">
        <v>685</v>
      </c>
      <c r="S646" s="53"/>
      <c r="T646" s="53"/>
      <c r="U646" s="53"/>
      <c r="V646" s="53"/>
      <c r="W646" s="53"/>
      <c r="X646" s="54" t="s">
        <v>861</v>
      </c>
      <c r="Y646" s="54" t="s">
        <v>861</v>
      </c>
      <c r="Z646" s="54" t="s">
        <v>861</v>
      </c>
      <c r="AA646" s="62" t="s">
        <v>861</v>
      </c>
      <c r="AC646" s="24"/>
    </row>
    <row r="647" spans="2:29" ht="120" customHeight="1" x14ac:dyDescent="0.25">
      <c r="B647" s="52" t="s">
        <v>91</v>
      </c>
      <c r="C647" s="52" t="s">
        <v>2220</v>
      </c>
      <c r="D647" s="52" t="s">
        <v>2221</v>
      </c>
      <c r="E647" s="53">
        <v>1</v>
      </c>
      <c r="F647" s="52" t="s">
        <v>336</v>
      </c>
      <c r="G647" s="52" t="s">
        <v>337</v>
      </c>
      <c r="H647" s="52" t="s">
        <v>338</v>
      </c>
      <c r="I647" s="53">
        <v>36</v>
      </c>
      <c r="J647" s="52" t="s">
        <v>339</v>
      </c>
      <c r="K647" s="53">
        <v>23</v>
      </c>
      <c r="L647" s="53"/>
      <c r="M647" s="54" t="s">
        <v>340</v>
      </c>
      <c r="N647" s="54" t="s">
        <v>341</v>
      </c>
      <c r="O647" s="53"/>
      <c r="P647" s="55"/>
      <c r="Q647" s="56"/>
      <c r="R647" s="52"/>
      <c r="S647" s="53"/>
      <c r="T647" s="53"/>
      <c r="U647" s="53"/>
      <c r="V647" s="53"/>
      <c r="W647" s="53"/>
      <c r="X647" s="54" t="s">
        <v>861</v>
      </c>
      <c r="Y647" s="54" t="s">
        <v>861</v>
      </c>
      <c r="Z647" s="54" t="s">
        <v>861</v>
      </c>
      <c r="AA647" s="62" t="s">
        <v>861</v>
      </c>
      <c r="AC647" s="24"/>
    </row>
    <row r="648" spans="2:29" ht="120" customHeight="1" x14ac:dyDescent="0.25">
      <c r="B648" s="52" t="s">
        <v>91</v>
      </c>
      <c r="C648" s="52" t="s">
        <v>2363</v>
      </c>
      <c r="D648" s="52" t="s">
        <v>2364</v>
      </c>
      <c r="E648" s="53">
        <v>2</v>
      </c>
      <c r="F648" s="52" t="s">
        <v>137</v>
      </c>
      <c r="G648" s="52" t="s">
        <v>138</v>
      </c>
      <c r="H648" s="52" t="s">
        <v>139</v>
      </c>
      <c r="I648" s="53">
        <v>1</v>
      </c>
      <c r="J648" s="52" t="s">
        <v>140</v>
      </c>
      <c r="K648" s="53">
        <v>4</v>
      </c>
      <c r="L648" s="53"/>
      <c r="M648" s="54" t="s">
        <v>2365</v>
      </c>
      <c r="N648" s="54"/>
      <c r="O648" s="53" t="s">
        <v>142</v>
      </c>
      <c r="P648" s="55"/>
      <c r="Q648" s="56"/>
      <c r="R648" s="52"/>
      <c r="S648" s="53"/>
      <c r="T648" s="53"/>
      <c r="U648" s="53"/>
      <c r="V648" s="53"/>
      <c r="W648" s="53"/>
      <c r="X648" s="65" t="s">
        <v>2366</v>
      </c>
      <c r="Y648" s="54" t="s">
        <v>257</v>
      </c>
      <c r="Z648" s="54" t="s">
        <v>257</v>
      </c>
      <c r="AA648" s="62" t="s">
        <v>738</v>
      </c>
      <c r="AC648" s="24"/>
    </row>
    <row r="649" spans="2:29" ht="120" customHeight="1" x14ac:dyDescent="0.25">
      <c r="B649" s="52" t="s">
        <v>91</v>
      </c>
      <c r="C649" s="52" t="s">
        <v>2363</v>
      </c>
      <c r="D649" s="52" t="s">
        <v>2364</v>
      </c>
      <c r="E649" s="53">
        <v>2</v>
      </c>
      <c r="F649" s="52" t="s">
        <v>152</v>
      </c>
      <c r="G649" s="52" t="s">
        <v>153</v>
      </c>
      <c r="H649" s="52" t="s">
        <v>139</v>
      </c>
      <c r="I649" s="53">
        <v>2</v>
      </c>
      <c r="J649" s="52" t="s">
        <v>140</v>
      </c>
      <c r="K649" s="53">
        <v>30</v>
      </c>
      <c r="L649" s="53"/>
      <c r="M649" s="54" t="s">
        <v>2367</v>
      </c>
      <c r="N649" s="54"/>
      <c r="O649" s="53" t="s">
        <v>142</v>
      </c>
      <c r="P649" s="55"/>
      <c r="Q649" s="56" t="s">
        <v>2368</v>
      </c>
      <c r="R649" s="52" t="s">
        <v>152</v>
      </c>
      <c r="S649" s="53"/>
      <c r="T649" s="53"/>
      <c r="U649" s="53"/>
      <c r="V649" s="53"/>
      <c r="W649" s="53"/>
      <c r="X649" s="65" t="s">
        <v>2366</v>
      </c>
      <c r="Y649" s="67" t="s">
        <v>2369</v>
      </c>
      <c r="Z649" s="67" t="s">
        <v>2370</v>
      </c>
      <c r="AA649" s="62" t="s">
        <v>257</v>
      </c>
      <c r="AC649" s="24"/>
    </row>
    <row r="650" spans="2:29" ht="120" customHeight="1" x14ac:dyDescent="0.25">
      <c r="B650" s="52" t="s">
        <v>91</v>
      </c>
      <c r="C650" s="52" t="s">
        <v>2363</v>
      </c>
      <c r="D650" s="52" t="s">
        <v>2364</v>
      </c>
      <c r="E650" s="53">
        <v>2</v>
      </c>
      <c r="F650" s="52" t="s">
        <v>2371</v>
      </c>
      <c r="G650" s="52" t="s">
        <v>2372</v>
      </c>
      <c r="H650" s="55" t="s">
        <v>2373</v>
      </c>
      <c r="I650" s="53">
        <v>4</v>
      </c>
      <c r="J650" s="52" t="s">
        <v>140</v>
      </c>
      <c r="K650" s="53">
        <v>10</v>
      </c>
      <c r="L650" s="53"/>
      <c r="M650" s="54" t="s">
        <v>2374</v>
      </c>
      <c r="N650" s="54"/>
      <c r="O650" s="53"/>
      <c r="P650" s="55"/>
      <c r="Q650" s="56" t="s">
        <v>2368</v>
      </c>
      <c r="R650" s="52" t="s">
        <v>2375</v>
      </c>
      <c r="S650" s="53"/>
      <c r="T650" s="53"/>
      <c r="U650" s="53"/>
      <c r="V650" s="53"/>
      <c r="W650" s="53"/>
      <c r="X650" s="65" t="s">
        <v>2366</v>
      </c>
      <c r="Y650" s="54" t="s">
        <v>2376</v>
      </c>
      <c r="Z650" s="54" t="s">
        <v>2377</v>
      </c>
      <c r="AA650" s="62" t="s">
        <v>257</v>
      </c>
      <c r="AC650" s="24"/>
    </row>
    <row r="651" spans="2:29" ht="120" customHeight="1" x14ac:dyDescent="0.25">
      <c r="B651" s="52" t="s">
        <v>91</v>
      </c>
      <c r="C651" s="52" t="s">
        <v>2363</v>
      </c>
      <c r="D651" s="52" t="s">
        <v>2364</v>
      </c>
      <c r="E651" s="53">
        <v>2</v>
      </c>
      <c r="F651" s="52" t="s">
        <v>2378</v>
      </c>
      <c r="G651" s="52" t="s">
        <v>2379</v>
      </c>
      <c r="H651" s="55" t="s">
        <v>2380</v>
      </c>
      <c r="I651" s="53">
        <v>5</v>
      </c>
      <c r="J651" s="52" t="s">
        <v>140</v>
      </c>
      <c r="K651" s="53">
        <v>20</v>
      </c>
      <c r="L651" s="53"/>
      <c r="M651" s="54" t="s">
        <v>2381</v>
      </c>
      <c r="N651" s="54"/>
      <c r="O651" s="53"/>
      <c r="P651" s="54"/>
      <c r="Q651" s="56" t="s">
        <v>2368</v>
      </c>
      <c r="R651" s="52" t="s">
        <v>2382</v>
      </c>
      <c r="S651" s="53"/>
      <c r="T651" s="53"/>
      <c r="U651" s="53"/>
      <c r="V651" s="53"/>
      <c r="W651" s="53"/>
      <c r="X651" s="65" t="s">
        <v>2366</v>
      </c>
      <c r="Y651" s="54" t="s">
        <v>2376</v>
      </c>
      <c r="Z651" s="54" t="s">
        <v>2377</v>
      </c>
      <c r="AA651" s="62" t="s">
        <v>257</v>
      </c>
      <c r="AC651" s="24"/>
    </row>
    <row r="652" spans="2:29" ht="120" customHeight="1" x14ac:dyDescent="0.25">
      <c r="B652" s="52" t="s">
        <v>91</v>
      </c>
      <c r="C652" s="52" t="s">
        <v>2363</v>
      </c>
      <c r="D652" s="52" t="s">
        <v>2364</v>
      </c>
      <c r="E652" s="53">
        <v>2</v>
      </c>
      <c r="F652" s="52" t="s">
        <v>2383</v>
      </c>
      <c r="G652" s="52" t="s">
        <v>2384</v>
      </c>
      <c r="H652" s="55" t="s">
        <v>2385</v>
      </c>
      <c r="I652" s="53">
        <v>6</v>
      </c>
      <c r="J652" s="52" t="s">
        <v>140</v>
      </c>
      <c r="K652" s="53"/>
      <c r="L652" s="53"/>
      <c r="M652" s="54" t="s">
        <v>2386</v>
      </c>
      <c r="N652" s="54"/>
      <c r="O652" s="53"/>
      <c r="P652" s="55"/>
      <c r="Q652" s="56" t="s">
        <v>2368</v>
      </c>
      <c r="R652" s="52" t="s">
        <v>2383</v>
      </c>
      <c r="S652" s="53"/>
      <c r="T652" s="53"/>
      <c r="U652" s="53"/>
      <c r="V652" s="53"/>
      <c r="W652" s="53"/>
      <c r="X652" s="65" t="s">
        <v>2366</v>
      </c>
      <c r="Y652" s="54" t="s">
        <v>2376</v>
      </c>
      <c r="Z652" s="54" t="s">
        <v>2377</v>
      </c>
      <c r="AA652" s="62" t="s">
        <v>257</v>
      </c>
      <c r="AC652" s="24"/>
    </row>
    <row r="653" spans="2:29" ht="120" customHeight="1" x14ac:dyDescent="0.25">
      <c r="B653" s="52" t="s">
        <v>91</v>
      </c>
      <c r="C653" s="52" t="s">
        <v>2363</v>
      </c>
      <c r="D653" s="52" t="s">
        <v>2364</v>
      </c>
      <c r="E653" s="53">
        <v>2</v>
      </c>
      <c r="F653" s="52" t="s">
        <v>2387</v>
      </c>
      <c r="G653" s="52" t="s">
        <v>2388</v>
      </c>
      <c r="H653" s="55" t="s">
        <v>2389</v>
      </c>
      <c r="I653" s="53">
        <v>7</v>
      </c>
      <c r="J653" s="52" t="s">
        <v>140</v>
      </c>
      <c r="K653" s="53">
        <v>20</v>
      </c>
      <c r="L653" s="53"/>
      <c r="M653" s="54" t="s">
        <v>2390</v>
      </c>
      <c r="N653" s="54"/>
      <c r="O653" s="53"/>
      <c r="P653" s="54"/>
      <c r="Q653" s="56" t="s">
        <v>2368</v>
      </c>
      <c r="R653" s="52" t="s">
        <v>2391</v>
      </c>
      <c r="S653" s="53"/>
      <c r="T653" s="53"/>
      <c r="U653" s="53"/>
      <c r="V653" s="53"/>
      <c r="W653" s="53"/>
      <c r="X653" s="65" t="s">
        <v>2366</v>
      </c>
      <c r="Y653" s="54" t="s">
        <v>2376</v>
      </c>
      <c r="Z653" s="54" t="s">
        <v>2377</v>
      </c>
      <c r="AA653" s="62" t="s">
        <v>257</v>
      </c>
      <c r="AC653" s="24"/>
    </row>
    <row r="654" spans="2:29" ht="120" customHeight="1" x14ac:dyDescent="0.25">
      <c r="B654" s="52" t="s">
        <v>91</v>
      </c>
      <c r="C654" s="52" t="s">
        <v>2363</v>
      </c>
      <c r="D654" s="52" t="s">
        <v>2364</v>
      </c>
      <c r="E654" s="53">
        <v>2</v>
      </c>
      <c r="F654" s="52" t="s">
        <v>2392</v>
      </c>
      <c r="G654" s="52" t="s">
        <v>2393</v>
      </c>
      <c r="H654" s="55" t="s">
        <v>2394</v>
      </c>
      <c r="I654" s="53">
        <v>8</v>
      </c>
      <c r="J654" s="52" t="s">
        <v>140</v>
      </c>
      <c r="K654" s="53"/>
      <c r="L654" s="53"/>
      <c r="M654" s="54" t="s">
        <v>2395</v>
      </c>
      <c r="N654" s="54"/>
      <c r="O654" s="53"/>
      <c r="P654" s="55"/>
      <c r="Q654" s="56" t="s">
        <v>2368</v>
      </c>
      <c r="R654" s="52" t="s">
        <v>2392</v>
      </c>
      <c r="S654" s="53"/>
      <c r="T654" s="53"/>
      <c r="U654" s="53"/>
      <c r="V654" s="53"/>
      <c r="W654" s="53"/>
      <c r="X654" s="65" t="s">
        <v>2366</v>
      </c>
      <c r="Y654" s="54" t="s">
        <v>2376</v>
      </c>
      <c r="Z654" s="54" t="s">
        <v>2377</v>
      </c>
      <c r="AA654" s="62" t="s">
        <v>257</v>
      </c>
      <c r="AC654" s="24"/>
    </row>
    <row r="655" spans="2:29" ht="120" customHeight="1" x14ac:dyDescent="0.25">
      <c r="B655" s="52" t="s">
        <v>91</v>
      </c>
      <c r="C655" s="52" t="s">
        <v>2363</v>
      </c>
      <c r="D655" s="52" t="s">
        <v>2364</v>
      </c>
      <c r="E655" s="53">
        <v>2</v>
      </c>
      <c r="F655" s="52" t="s">
        <v>329</v>
      </c>
      <c r="G655" s="52" t="s">
        <v>330</v>
      </c>
      <c r="H655" s="52" t="s">
        <v>331</v>
      </c>
      <c r="I655" s="53">
        <v>9</v>
      </c>
      <c r="J655" s="52" t="s">
        <v>140</v>
      </c>
      <c r="K655" s="53">
        <v>10</v>
      </c>
      <c r="L655" s="53"/>
      <c r="M655" s="54" t="s">
        <v>332</v>
      </c>
      <c r="N655" s="54" t="s">
        <v>333</v>
      </c>
      <c r="O655" s="53" t="s">
        <v>142</v>
      </c>
      <c r="P655" s="55"/>
      <c r="Q655" s="56"/>
      <c r="R655" s="52"/>
      <c r="S655" s="53"/>
      <c r="T655" s="53"/>
      <c r="U655" s="53"/>
      <c r="V655" s="53"/>
      <c r="W655" s="53"/>
      <c r="X655" s="54" t="s">
        <v>257</v>
      </c>
      <c r="Y655" s="54" t="s">
        <v>257</v>
      </c>
      <c r="Z655" s="54" t="s">
        <v>257</v>
      </c>
      <c r="AA655" s="62" t="s">
        <v>257</v>
      </c>
      <c r="AC655" s="24"/>
    </row>
    <row r="656" spans="2:29" ht="120" customHeight="1" x14ac:dyDescent="0.25">
      <c r="B656" s="52" t="s">
        <v>91</v>
      </c>
      <c r="C656" s="52" t="s">
        <v>2363</v>
      </c>
      <c r="D656" s="52" t="s">
        <v>2364</v>
      </c>
      <c r="E656" s="53">
        <v>2</v>
      </c>
      <c r="F656" s="52" t="s">
        <v>336</v>
      </c>
      <c r="G656" s="52" t="s">
        <v>337</v>
      </c>
      <c r="H656" s="52" t="s">
        <v>338</v>
      </c>
      <c r="I656" s="53">
        <v>10</v>
      </c>
      <c r="J656" s="52" t="s">
        <v>339</v>
      </c>
      <c r="K656" s="53">
        <v>23</v>
      </c>
      <c r="L656" s="53"/>
      <c r="M656" s="54" t="s">
        <v>340</v>
      </c>
      <c r="N656" s="54" t="s">
        <v>341</v>
      </c>
      <c r="O656" s="53"/>
      <c r="P656" s="55"/>
      <c r="Q656" s="56"/>
      <c r="R656" s="52"/>
      <c r="S656" s="53"/>
      <c r="T656" s="53"/>
      <c r="U656" s="53"/>
      <c r="V656" s="53"/>
      <c r="W656" s="53"/>
      <c r="X656" s="54" t="s">
        <v>257</v>
      </c>
      <c r="Y656" s="54" t="s">
        <v>257</v>
      </c>
      <c r="Z656" s="54" t="s">
        <v>257</v>
      </c>
      <c r="AA656" s="62" t="s">
        <v>257</v>
      </c>
      <c r="AC656" s="24"/>
    </row>
    <row r="657" spans="21:29" ht="90.75" customHeight="1" x14ac:dyDescent="0.25">
      <c r="U657" s="28" t="s">
        <v>2396</v>
      </c>
      <c r="V657" s="28" t="s">
        <v>2396</v>
      </c>
      <c r="AC657" s="24"/>
    </row>
    <row r="658" spans="21:29" ht="120" customHeight="1" x14ac:dyDescent="0.25">
      <c r="AC658" s="24"/>
    </row>
    <row r="659" spans="21:29" ht="39.75" customHeight="1" x14ac:dyDescent="0.25"/>
  </sheetData>
  <sortState xmlns:xlrd2="http://schemas.microsoft.com/office/spreadsheetml/2017/richdata2" ref="B8:Z134">
    <sortCondition ref="C8:C134"/>
    <sortCondition ref="I8:I134"/>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1:H572"/>
  <sheetViews>
    <sheetView showGridLines="0" topLeftCell="F19" workbookViewId="0">
      <selection activeCell="G23" sqref="G23"/>
    </sheetView>
  </sheetViews>
  <sheetFormatPr defaultRowHeight="15" x14ac:dyDescent="0.2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60" t="s">
        <v>110</v>
      </c>
      <c r="C2" s="60" t="s">
        <v>112</v>
      </c>
      <c r="D2" s="60" t="s">
        <v>2397</v>
      </c>
      <c r="E2" s="60" t="s">
        <v>2398</v>
      </c>
      <c r="F2" s="60" t="s">
        <v>2399</v>
      </c>
      <c r="G2" s="60" t="s">
        <v>2400</v>
      </c>
      <c r="H2" s="60" t="s">
        <v>2401</v>
      </c>
    </row>
    <row r="3" spans="2:8" ht="39.75" customHeight="1" x14ac:dyDescent="0.25">
      <c r="B3" s="52" t="s">
        <v>4</v>
      </c>
      <c r="C3" s="52" t="s">
        <v>5</v>
      </c>
      <c r="D3" s="52" t="s">
        <v>2402</v>
      </c>
      <c r="E3" s="52" t="s">
        <v>2403</v>
      </c>
      <c r="F3" s="52" t="s">
        <v>2404</v>
      </c>
      <c r="G3" s="52" t="s">
        <v>2405</v>
      </c>
      <c r="H3" s="95" t="s">
        <v>2406</v>
      </c>
    </row>
    <row r="4" spans="2:8" ht="39.75" customHeight="1" x14ac:dyDescent="0.25">
      <c r="B4" s="52" t="s">
        <v>4</v>
      </c>
      <c r="C4" s="52" t="s">
        <v>5</v>
      </c>
      <c r="D4" s="52" t="s">
        <v>2407</v>
      </c>
      <c r="E4" s="57" t="s">
        <v>2408</v>
      </c>
      <c r="F4" s="52" t="s">
        <v>2409</v>
      </c>
      <c r="G4" s="52" t="s">
        <v>2410</v>
      </c>
      <c r="H4" s="56" t="s">
        <v>2411</v>
      </c>
    </row>
    <row r="5" spans="2:8" ht="39.75" customHeight="1" x14ac:dyDescent="0.25">
      <c r="B5" s="52" t="s">
        <v>4</v>
      </c>
      <c r="C5" s="52" t="s">
        <v>5</v>
      </c>
      <c r="D5" s="52" t="s">
        <v>2412</v>
      </c>
      <c r="E5" s="52" t="s">
        <v>2413</v>
      </c>
      <c r="F5" s="56" t="s">
        <v>2414</v>
      </c>
      <c r="G5" s="56" t="s">
        <v>2415</v>
      </c>
      <c r="H5" s="56" t="s">
        <v>2416</v>
      </c>
    </row>
    <row r="6" spans="2:8" ht="39.75" customHeight="1" x14ac:dyDescent="0.25">
      <c r="B6" s="52" t="s">
        <v>12</v>
      </c>
      <c r="C6" s="52" t="s">
        <v>2417</v>
      </c>
      <c r="D6" s="56" t="s">
        <v>2418</v>
      </c>
      <c r="E6" s="56" t="s">
        <v>2419</v>
      </c>
      <c r="F6" s="56" t="s">
        <v>2420</v>
      </c>
      <c r="G6" s="56" t="s">
        <v>2421</v>
      </c>
      <c r="H6" s="56" t="s">
        <v>2422</v>
      </c>
    </row>
    <row r="7" spans="2:8" ht="39.75" customHeight="1" x14ac:dyDescent="0.25">
      <c r="B7" s="52" t="s">
        <v>12</v>
      </c>
      <c r="C7" s="52" t="s">
        <v>2417</v>
      </c>
      <c r="D7" s="52" t="s">
        <v>2407</v>
      </c>
      <c r="E7" s="52" t="s">
        <v>2408</v>
      </c>
      <c r="F7" s="52" t="s">
        <v>2423</v>
      </c>
      <c r="G7" s="52" t="s">
        <v>2410</v>
      </c>
      <c r="H7" s="56" t="s">
        <v>2411</v>
      </c>
    </row>
    <row r="8" spans="2:8" ht="39.75" customHeight="1" x14ac:dyDescent="0.25">
      <c r="B8" s="52" t="s">
        <v>12</v>
      </c>
      <c r="C8" s="52" t="s">
        <v>2417</v>
      </c>
      <c r="D8" s="56" t="s">
        <v>2418</v>
      </c>
      <c r="E8" s="57" t="s">
        <v>2424</v>
      </c>
      <c r="F8" s="52" t="s">
        <v>2425</v>
      </c>
      <c r="G8" s="52" t="s">
        <v>2426</v>
      </c>
      <c r="H8" s="56" t="s">
        <v>2427</v>
      </c>
    </row>
    <row r="9" spans="2:8" ht="39.75" customHeight="1" x14ac:dyDescent="0.25">
      <c r="B9" s="52" t="s">
        <v>7</v>
      </c>
      <c r="C9" s="52" t="s">
        <v>2428</v>
      </c>
      <c r="D9" s="52" t="s">
        <v>2429</v>
      </c>
      <c r="E9" s="52" t="s">
        <v>2430</v>
      </c>
      <c r="F9" s="52" t="s">
        <v>2431</v>
      </c>
      <c r="G9" s="56" t="s">
        <v>2432</v>
      </c>
      <c r="H9" s="56" t="s">
        <v>2433</v>
      </c>
    </row>
    <row r="10" spans="2:8" ht="39.75" customHeight="1" x14ac:dyDescent="0.25">
      <c r="B10" s="52" t="s">
        <v>17</v>
      </c>
      <c r="C10" s="52" t="s">
        <v>18</v>
      </c>
      <c r="D10" s="52" t="s">
        <v>2434</v>
      </c>
      <c r="E10" s="52" t="s">
        <v>2435</v>
      </c>
      <c r="F10" s="52" t="s">
        <v>2436</v>
      </c>
      <c r="G10" s="56" t="s">
        <v>2437</v>
      </c>
      <c r="H10" s="56" t="s">
        <v>2438</v>
      </c>
    </row>
    <row r="11" spans="2:8" ht="39.75" customHeight="1" x14ac:dyDescent="0.25">
      <c r="B11" s="52" t="s">
        <v>17</v>
      </c>
      <c r="C11" s="52" t="s">
        <v>18</v>
      </c>
      <c r="D11" s="52" t="s">
        <v>2434</v>
      </c>
      <c r="E11" s="52" t="s">
        <v>2439</v>
      </c>
      <c r="F11" s="52" t="s">
        <v>2440</v>
      </c>
      <c r="G11" s="52" t="s">
        <v>2426</v>
      </c>
      <c r="H11" s="56" t="s">
        <v>2441</v>
      </c>
    </row>
    <row r="12" spans="2:8" ht="39.75" customHeight="1" x14ac:dyDescent="0.25">
      <c r="B12" s="52" t="s">
        <v>17</v>
      </c>
      <c r="C12" s="52" t="s">
        <v>18</v>
      </c>
      <c r="D12" s="52" t="s">
        <v>2407</v>
      </c>
      <c r="E12" s="57" t="s">
        <v>2408</v>
      </c>
      <c r="F12" s="52" t="s">
        <v>2442</v>
      </c>
      <c r="G12" s="52" t="s">
        <v>2410</v>
      </c>
      <c r="H12" s="56" t="s">
        <v>2411</v>
      </c>
    </row>
    <row r="13" spans="2:8" ht="39.75" customHeight="1" x14ac:dyDescent="0.25">
      <c r="B13" s="52" t="s">
        <v>17</v>
      </c>
      <c r="C13" s="52" t="s">
        <v>18</v>
      </c>
      <c r="D13" s="52" t="s">
        <v>2407</v>
      </c>
      <c r="E13" s="57" t="s">
        <v>2443</v>
      </c>
      <c r="F13" s="52" t="s">
        <v>2444</v>
      </c>
      <c r="G13" s="57" t="s">
        <v>351</v>
      </c>
      <c r="H13" s="57" t="s">
        <v>351</v>
      </c>
    </row>
    <row r="14" spans="2:8" ht="39.75" customHeight="1" x14ac:dyDescent="0.25">
      <c r="B14" s="52" t="s">
        <v>17</v>
      </c>
      <c r="C14" s="52" t="s">
        <v>18</v>
      </c>
      <c r="D14" s="52" t="s">
        <v>2412</v>
      </c>
      <c r="E14" s="52" t="s">
        <v>2413</v>
      </c>
      <c r="F14" s="56" t="s">
        <v>2445</v>
      </c>
      <c r="G14" s="56" t="s">
        <v>2415</v>
      </c>
      <c r="H14" s="56" t="s">
        <v>2416</v>
      </c>
    </row>
    <row r="15" spans="2:8" ht="39.75" customHeight="1" x14ac:dyDescent="0.25">
      <c r="B15" s="52" t="s">
        <v>17</v>
      </c>
      <c r="C15" s="52" t="s">
        <v>20</v>
      </c>
      <c r="D15" s="52" t="s">
        <v>2434</v>
      </c>
      <c r="E15" s="52" t="s">
        <v>2439</v>
      </c>
      <c r="F15" s="52" t="s">
        <v>2440</v>
      </c>
      <c r="G15" s="52" t="s">
        <v>2426</v>
      </c>
      <c r="H15" s="56" t="s">
        <v>2441</v>
      </c>
    </row>
    <row r="16" spans="2:8" ht="39.75" customHeight="1" x14ac:dyDescent="0.25">
      <c r="B16" s="52" t="s">
        <v>22</v>
      </c>
      <c r="C16" s="52" t="s">
        <v>2446</v>
      </c>
      <c r="D16" s="52" t="s">
        <v>2447</v>
      </c>
      <c r="E16" s="52" t="s">
        <v>2448</v>
      </c>
      <c r="F16" s="52" t="s">
        <v>2449</v>
      </c>
      <c r="G16" s="52" t="s">
        <v>351</v>
      </c>
      <c r="H16" s="52" t="s">
        <v>351</v>
      </c>
    </row>
    <row r="17" spans="2:8" ht="39.75" customHeight="1" x14ac:dyDescent="0.25">
      <c r="B17" s="57" t="s">
        <v>38</v>
      </c>
      <c r="C17" s="57" t="s">
        <v>1365</v>
      </c>
      <c r="D17" s="52" t="s">
        <v>2412</v>
      </c>
      <c r="E17" s="52" t="s">
        <v>2413</v>
      </c>
      <c r="F17" s="52" t="s">
        <v>2450</v>
      </c>
      <c r="G17" s="56" t="s">
        <v>2451</v>
      </c>
      <c r="H17" s="86" t="s">
        <v>2452</v>
      </c>
    </row>
    <row r="18" spans="2:8" ht="39.75" customHeight="1" x14ac:dyDescent="0.25">
      <c r="B18" s="57" t="s">
        <v>38</v>
      </c>
      <c r="C18" s="57" t="s">
        <v>1365</v>
      </c>
      <c r="D18" s="52" t="s">
        <v>2407</v>
      </c>
      <c r="E18" s="52" t="s">
        <v>2408</v>
      </c>
      <c r="F18" s="52" t="s">
        <v>2423</v>
      </c>
      <c r="G18" s="52" t="s">
        <v>2410</v>
      </c>
      <c r="H18" s="56" t="s">
        <v>2411</v>
      </c>
    </row>
    <row r="19" spans="2:8" ht="75" x14ac:dyDescent="0.25">
      <c r="B19" s="57" t="s">
        <v>48</v>
      </c>
      <c r="C19" s="57" t="s">
        <v>1734</v>
      </c>
      <c r="D19" s="52" t="s">
        <v>2453</v>
      </c>
      <c r="E19" s="57" t="s">
        <v>2454</v>
      </c>
      <c r="F19" s="52" t="s">
        <v>2455</v>
      </c>
      <c r="G19" s="52" t="s">
        <v>2456</v>
      </c>
      <c r="H19" s="56" t="s">
        <v>2457</v>
      </c>
    </row>
    <row r="20" spans="2:8" ht="80.25" customHeight="1" x14ac:dyDescent="0.25">
      <c r="B20" s="57" t="s">
        <v>1796</v>
      </c>
      <c r="C20" s="57" t="s">
        <v>1798</v>
      </c>
      <c r="D20" s="57" t="s">
        <v>2412</v>
      </c>
      <c r="E20" s="57" t="s">
        <v>2413</v>
      </c>
      <c r="F20" s="57" t="s">
        <v>2458</v>
      </c>
      <c r="G20" s="58" t="s">
        <v>2459</v>
      </c>
      <c r="H20" s="58" t="s">
        <v>2460</v>
      </c>
    </row>
    <row r="21" spans="2:8" ht="90.75" customHeight="1" x14ac:dyDescent="0.25">
      <c r="B21" s="57" t="s">
        <v>27</v>
      </c>
      <c r="C21" s="57" t="s">
        <v>1040</v>
      </c>
      <c r="D21" s="57" t="s">
        <v>2461</v>
      </c>
      <c r="E21" s="57" t="s">
        <v>2462</v>
      </c>
      <c r="F21" s="58" t="s">
        <v>2463</v>
      </c>
      <c r="G21" s="58" t="s">
        <v>2464</v>
      </c>
      <c r="H21" s="58" t="s">
        <v>2465</v>
      </c>
    </row>
    <row r="22" spans="2:8" ht="89.25" customHeight="1" x14ac:dyDescent="0.25">
      <c r="B22" s="57" t="s">
        <v>43</v>
      </c>
      <c r="C22" s="57" t="s">
        <v>1500</v>
      </c>
      <c r="D22" s="57" t="s">
        <v>2461</v>
      </c>
      <c r="E22" s="57" t="s">
        <v>2462</v>
      </c>
      <c r="F22" s="58" t="s">
        <v>2466</v>
      </c>
      <c r="G22" s="58" t="s">
        <v>2464</v>
      </c>
      <c r="H22" s="58" t="s">
        <v>2465</v>
      </c>
    </row>
    <row r="23" spans="2:8" ht="81" customHeight="1" x14ac:dyDescent="0.25">
      <c r="B23" s="57" t="s">
        <v>43</v>
      </c>
      <c r="C23" s="57" t="s">
        <v>1522</v>
      </c>
      <c r="D23" s="57" t="s">
        <v>2461</v>
      </c>
      <c r="E23" s="57" t="s">
        <v>2467</v>
      </c>
      <c r="F23" s="58" t="s">
        <v>2468</v>
      </c>
      <c r="G23" s="58" t="s">
        <v>2469</v>
      </c>
      <c r="H23" s="57" t="s">
        <v>351</v>
      </c>
    </row>
    <row r="24" spans="2:8" ht="75.75" customHeight="1" x14ac:dyDescent="0.25">
      <c r="B24" s="57" t="s">
        <v>27</v>
      </c>
      <c r="C24" s="57" t="s">
        <v>1117</v>
      </c>
      <c r="D24" s="57" t="s">
        <v>2461</v>
      </c>
      <c r="E24" s="57" t="s">
        <v>2467</v>
      </c>
      <c r="F24" s="58" t="s">
        <v>2470</v>
      </c>
      <c r="G24" s="58" t="s">
        <v>2469</v>
      </c>
      <c r="H24" s="57" t="s">
        <v>351</v>
      </c>
    </row>
    <row r="25" spans="2:8" ht="180" x14ac:dyDescent="0.25">
      <c r="B25" s="57" t="s">
        <v>76</v>
      </c>
      <c r="C25" s="57" t="s">
        <v>2155</v>
      </c>
      <c r="D25" s="57" t="s">
        <v>2461</v>
      </c>
      <c r="E25" s="57" t="s">
        <v>2462</v>
      </c>
      <c r="F25" s="58" t="s">
        <v>2471</v>
      </c>
      <c r="G25" s="58" t="s">
        <v>2464</v>
      </c>
      <c r="H25" s="58" t="s">
        <v>2465</v>
      </c>
    </row>
    <row r="26" spans="2:8" ht="63.75" customHeight="1" x14ac:dyDescent="0.25">
      <c r="B26" s="57" t="s">
        <v>76</v>
      </c>
      <c r="C26" s="57" t="s">
        <v>2173</v>
      </c>
      <c r="D26" s="57" t="s">
        <v>2461</v>
      </c>
      <c r="E26" s="57" t="s">
        <v>2467</v>
      </c>
      <c r="F26" s="58" t="s">
        <v>2472</v>
      </c>
      <c r="G26" s="58" t="s">
        <v>2469</v>
      </c>
      <c r="H26" s="57" t="s">
        <v>351</v>
      </c>
    </row>
    <row r="27" spans="2:8" x14ac:dyDescent="0.25">
      <c r="B27"/>
      <c r="C27"/>
      <c r="E27" s="50"/>
    </row>
    <row r="28" spans="2:8" x14ac:dyDescent="0.25">
      <c r="B28"/>
      <c r="C28"/>
      <c r="F28" s="50"/>
    </row>
    <row r="29" spans="2:8" x14ac:dyDescent="0.25">
      <c r="B29"/>
      <c r="C29"/>
    </row>
    <row r="30" spans="2:8" x14ac:dyDescent="0.25">
      <c r="B30"/>
      <c r="C30"/>
    </row>
    <row r="31" spans="2:8" x14ac:dyDescent="0.25">
      <c r="B31"/>
      <c r="C31"/>
    </row>
    <row r="32" spans="2:8" x14ac:dyDescent="0.25">
      <c r="B32"/>
      <c r="C32"/>
    </row>
    <row r="33" spans="2:3" x14ac:dyDescent="0.25">
      <c r="B33"/>
      <c r="C33"/>
    </row>
    <row r="34" spans="2:3" ht="39.75" customHeight="1" x14ac:dyDescent="0.25">
      <c r="B34"/>
      <c r="C34"/>
    </row>
    <row r="35" spans="2:3" ht="39.75" customHeight="1" x14ac:dyDescent="0.25">
      <c r="B35"/>
      <c r="C35"/>
    </row>
    <row r="36" spans="2:3" ht="39.75" customHeight="1" x14ac:dyDescent="0.25">
      <c r="B36"/>
      <c r="C36"/>
    </row>
    <row r="37" spans="2:3" ht="39.75" customHeight="1"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1:I578"/>
  <sheetViews>
    <sheetView showGridLines="0" topLeftCell="D1" workbookViewId="0">
      <selection activeCell="E41" sqref="E41"/>
    </sheetView>
  </sheetViews>
  <sheetFormatPr defaultRowHeight="15" x14ac:dyDescent="0.2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x14ac:dyDescent="0.25"/>
    <row r="2" spans="2:9" x14ac:dyDescent="0.25">
      <c r="B2" s="60" t="s">
        <v>2473</v>
      </c>
      <c r="C2" s="60" t="s">
        <v>112</v>
      </c>
      <c r="D2" s="60" t="s">
        <v>2474</v>
      </c>
      <c r="E2" s="60" t="s">
        <v>2475</v>
      </c>
      <c r="F2" s="60" t="s">
        <v>2476</v>
      </c>
      <c r="G2" s="60" t="s">
        <v>2477</v>
      </c>
      <c r="H2" s="61" t="s">
        <v>2478</v>
      </c>
      <c r="I2" s="124" t="s">
        <v>2479</v>
      </c>
    </row>
    <row r="3" spans="2:9" ht="39.75" hidden="1" customHeight="1" x14ac:dyDescent="0.25">
      <c r="B3" s="52" t="s">
        <v>4</v>
      </c>
      <c r="C3" s="52" t="s">
        <v>5</v>
      </c>
      <c r="D3" s="52" t="s">
        <v>2402</v>
      </c>
      <c r="E3" s="52" t="s">
        <v>2403</v>
      </c>
      <c r="F3" s="52" t="s">
        <v>2402</v>
      </c>
      <c r="G3" s="52" t="s">
        <v>2480</v>
      </c>
      <c r="H3" s="56" t="s">
        <v>2481</v>
      </c>
      <c r="I3" s="56" t="s">
        <v>2482</v>
      </c>
    </row>
    <row r="4" spans="2:9" ht="39.75" hidden="1" customHeight="1" x14ac:dyDescent="0.25">
      <c r="B4" s="52" t="s">
        <v>4</v>
      </c>
      <c r="C4" s="52" t="s">
        <v>5</v>
      </c>
      <c r="D4" s="52" t="s">
        <v>2402</v>
      </c>
      <c r="E4" s="52" t="s">
        <v>2403</v>
      </c>
      <c r="F4" s="52" t="s">
        <v>2402</v>
      </c>
      <c r="G4" s="52" t="s">
        <v>2483</v>
      </c>
      <c r="H4" s="56" t="s">
        <v>2484</v>
      </c>
      <c r="I4" s="56" t="s">
        <v>2482</v>
      </c>
    </row>
    <row r="5" spans="2:9" ht="39.75" hidden="1" customHeight="1" x14ac:dyDescent="0.25">
      <c r="B5" s="52" t="s">
        <v>4</v>
      </c>
      <c r="C5" s="52" t="s">
        <v>5</v>
      </c>
      <c r="D5" s="52" t="s">
        <v>2402</v>
      </c>
      <c r="E5" s="52" t="s">
        <v>2403</v>
      </c>
      <c r="F5" s="52" t="s">
        <v>2402</v>
      </c>
      <c r="G5" s="52" t="s">
        <v>2485</v>
      </c>
      <c r="H5" s="56" t="s">
        <v>2486</v>
      </c>
      <c r="I5" s="56" t="s">
        <v>2482</v>
      </c>
    </row>
    <row r="6" spans="2:9" ht="39.75" hidden="1" customHeight="1" x14ac:dyDescent="0.25">
      <c r="B6" s="52" t="s">
        <v>4</v>
      </c>
      <c r="C6" s="52" t="s">
        <v>5</v>
      </c>
      <c r="D6" s="52" t="s">
        <v>2402</v>
      </c>
      <c r="E6" s="52" t="s">
        <v>2403</v>
      </c>
      <c r="F6" s="52" t="s">
        <v>2487</v>
      </c>
      <c r="G6" s="52" t="s">
        <v>2488</v>
      </c>
      <c r="H6" s="56" t="s">
        <v>2489</v>
      </c>
      <c r="I6" s="56" t="s">
        <v>2482</v>
      </c>
    </row>
    <row r="7" spans="2:9" ht="39.75" hidden="1" customHeight="1" x14ac:dyDescent="0.25">
      <c r="B7" s="52" t="s">
        <v>4</v>
      </c>
      <c r="C7" s="52" t="s">
        <v>5</v>
      </c>
      <c r="D7" s="52" t="s">
        <v>2402</v>
      </c>
      <c r="E7" s="52" t="s">
        <v>2403</v>
      </c>
      <c r="F7" s="52" t="s">
        <v>2487</v>
      </c>
      <c r="G7" s="52" t="s">
        <v>2490</v>
      </c>
      <c r="H7" s="56" t="s">
        <v>2491</v>
      </c>
      <c r="I7" s="56" t="s">
        <v>2482</v>
      </c>
    </row>
    <row r="8" spans="2:9" ht="39.75" hidden="1" customHeight="1" x14ac:dyDescent="0.25">
      <c r="B8" s="52" t="s">
        <v>4</v>
      </c>
      <c r="C8" s="52" t="s">
        <v>5</v>
      </c>
      <c r="D8" s="52" t="s">
        <v>2402</v>
      </c>
      <c r="E8" s="52" t="s">
        <v>2403</v>
      </c>
      <c r="F8" s="52" t="s">
        <v>2487</v>
      </c>
      <c r="G8" s="52" t="s">
        <v>2492</v>
      </c>
      <c r="H8" s="56" t="s">
        <v>2493</v>
      </c>
      <c r="I8" s="56" t="s">
        <v>2482</v>
      </c>
    </row>
    <row r="9" spans="2:9" ht="39.75" hidden="1" customHeight="1" x14ac:dyDescent="0.25">
      <c r="B9" s="52" t="s">
        <v>4</v>
      </c>
      <c r="C9" s="52" t="s">
        <v>5</v>
      </c>
      <c r="D9" s="52" t="s">
        <v>2402</v>
      </c>
      <c r="E9" s="52" t="s">
        <v>2403</v>
      </c>
      <c r="F9" s="52" t="s">
        <v>2487</v>
      </c>
      <c r="G9" s="52" t="s">
        <v>2494</v>
      </c>
      <c r="H9" s="56" t="s">
        <v>2495</v>
      </c>
      <c r="I9" s="56" t="s">
        <v>2482</v>
      </c>
    </row>
    <row r="10" spans="2:9" ht="39.75" hidden="1" customHeight="1" x14ac:dyDescent="0.25">
      <c r="B10" s="52" t="s">
        <v>4</v>
      </c>
      <c r="C10" s="52" t="s">
        <v>5</v>
      </c>
      <c r="D10" s="52" t="s">
        <v>2487</v>
      </c>
      <c r="E10" s="118" t="s">
        <v>2496</v>
      </c>
      <c r="F10" s="52" t="s">
        <v>2487</v>
      </c>
      <c r="G10" s="52" t="s">
        <v>2488</v>
      </c>
      <c r="H10" s="56" t="s">
        <v>2497</v>
      </c>
      <c r="I10" s="56" t="s">
        <v>2482</v>
      </c>
    </row>
    <row r="11" spans="2:9" ht="39.75" hidden="1" customHeight="1" x14ac:dyDescent="0.25">
      <c r="B11" s="52" t="s">
        <v>4</v>
      </c>
      <c r="C11" s="52" t="s">
        <v>5</v>
      </c>
      <c r="D11" s="52" t="s">
        <v>2407</v>
      </c>
      <c r="E11" s="52" t="s">
        <v>2408</v>
      </c>
      <c r="F11" s="52" t="s">
        <v>2407</v>
      </c>
      <c r="G11" s="52" t="s">
        <v>2443</v>
      </c>
      <c r="H11" s="56" t="s">
        <v>2498</v>
      </c>
      <c r="I11" s="56" t="s">
        <v>2482</v>
      </c>
    </row>
    <row r="12" spans="2:9" ht="39.75" hidden="1" customHeight="1" x14ac:dyDescent="0.25">
      <c r="B12" s="52" t="s">
        <v>7</v>
      </c>
      <c r="C12" s="52" t="s">
        <v>8</v>
      </c>
      <c r="D12" s="52" t="s">
        <v>2429</v>
      </c>
      <c r="E12" s="52" t="s">
        <v>2430</v>
      </c>
      <c r="F12" s="52" t="s">
        <v>2429</v>
      </c>
      <c r="G12" s="52" t="s">
        <v>2499</v>
      </c>
      <c r="H12" s="56" t="s">
        <v>2500</v>
      </c>
      <c r="I12" s="56" t="s">
        <v>2482</v>
      </c>
    </row>
    <row r="13" spans="2:9" ht="39.75" hidden="1" customHeight="1" x14ac:dyDescent="0.25">
      <c r="B13" s="52" t="s">
        <v>7</v>
      </c>
      <c r="C13" s="52" t="s">
        <v>8</v>
      </c>
      <c r="D13" s="52" t="s">
        <v>2429</v>
      </c>
      <c r="E13" s="51" t="s">
        <v>2430</v>
      </c>
      <c r="F13" s="52" t="s">
        <v>2429</v>
      </c>
      <c r="G13" s="52" t="s">
        <v>2501</v>
      </c>
      <c r="H13" s="56" t="s">
        <v>2502</v>
      </c>
      <c r="I13" s="56" t="s">
        <v>2482</v>
      </c>
    </row>
    <row r="14" spans="2:9" ht="39.75" hidden="1" customHeight="1" x14ac:dyDescent="0.25">
      <c r="B14" s="52" t="s">
        <v>7</v>
      </c>
      <c r="C14" s="52" t="s">
        <v>8</v>
      </c>
      <c r="D14" s="57" t="s">
        <v>2429</v>
      </c>
      <c r="E14" s="57" t="s">
        <v>2430</v>
      </c>
      <c r="F14" s="57" t="s">
        <v>2412</v>
      </c>
      <c r="G14" s="57" t="s">
        <v>2413</v>
      </c>
      <c r="H14" s="58" t="s">
        <v>2503</v>
      </c>
      <c r="I14" s="56" t="s">
        <v>2482</v>
      </c>
    </row>
    <row r="15" spans="2:9" ht="39.75" hidden="1" customHeight="1" x14ac:dyDescent="0.25">
      <c r="B15" s="52" t="s">
        <v>7</v>
      </c>
      <c r="C15" s="52" t="s">
        <v>10</v>
      </c>
      <c r="D15" s="57" t="s">
        <v>2429</v>
      </c>
      <c r="E15" s="57" t="s">
        <v>2504</v>
      </c>
      <c r="F15" s="57" t="s">
        <v>2429</v>
      </c>
      <c r="G15" s="57" t="s">
        <v>2430</v>
      </c>
      <c r="H15" s="58" t="s">
        <v>2505</v>
      </c>
      <c r="I15" s="58" t="s">
        <v>2506</v>
      </c>
    </row>
    <row r="16" spans="2:9" ht="39.75" hidden="1" customHeight="1" x14ac:dyDescent="0.25">
      <c r="B16" s="52" t="s">
        <v>7</v>
      </c>
      <c r="C16" s="52" t="s">
        <v>10</v>
      </c>
      <c r="D16" s="52" t="s">
        <v>2429</v>
      </c>
      <c r="E16" s="52" t="s">
        <v>2504</v>
      </c>
      <c r="F16" s="52" t="s">
        <v>2507</v>
      </c>
      <c r="G16" s="52" t="s">
        <v>2508</v>
      </c>
      <c r="H16" s="56" t="s">
        <v>2509</v>
      </c>
      <c r="I16" s="58" t="s">
        <v>2482</v>
      </c>
    </row>
    <row r="17" spans="2:9" ht="39.75" hidden="1" customHeight="1" x14ac:dyDescent="0.25">
      <c r="B17" s="52" t="s">
        <v>7</v>
      </c>
      <c r="C17" s="52" t="s">
        <v>10</v>
      </c>
      <c r="D17" s="52" t="s">
        <v>2429</v>
      </c>
      <c r="E17" s="52" t="s">
        <v>2504</v>
      </c>
      <c r="F17" s="52" t="s">
        <v>2507</v>
      </c>
      <c r="G17" s="52" t="s">
        <v>2508</v>
      </c>
      <c r="H17" s="56" t="s">
        <v>2510</v>
      </c>
      <c r="I17" s="58" t="s">
        <v>2482</v>
      </c>
    </row>
    <row r="18" spans="2:9" ht="39.75" hidden="1" customHeight="1" x14ac:dyDescent="0.25">
      <c r="B18" s="52" t="s">
        <v>12</v>
      </c>
      <c r="C18" s="52" t="s">
        <v>13</v>
      </c>
      <c r="D18" s="56" t="s">
        <v>2418</v>
      </c>
      <c r="E18" s="52" t="s">
        <v>2424</v>
      </c>
      <c r="F18" s="56" t="s">
        <v>2418</v>
      </c>
      <c r="G18" s="52" t="s">
        <v>2511</v>
      </c>
      <c r="H18" s="56" t="s">
        <v>2512</v>
      </c>
      <c r="I18" s="125" t="s">
        <v>2482</v>
      </c>
    </row>
    <row r="19" spans="2:9" ht="39.75" hidden="1" customHeight="1" x14ac:dyDescent="0.25">
      <c r="B19" s="52" t="s">
        <v>12</v>
      </c>
      <c r="C19" s="52" t="s">
        <v>13</v>
      </c>
      <c r="D19" s="56" t="s">
        <v>2418</v>
      </c>
      <c r="E19" s="56" t="s">
        <v>2419</v>
      </c>
      <c r="F19" s="52" t="s">
        <v>2407</v>
      </c>
      <c r="G19" s="52" t="s">
        <v>2513</v>
      </c>
      <c r="H19" s="86" t="s">
        <v>2514</v>
      </c>
      <c r="I19" s="125" t="s">
        <v>2482</v>
      </c>
    </row>
    <row r="20" spans="2:9" ht="39.75" hidden="1" customHeight="1" x14ac:dyDescent="0.25">
      <c r="B20" s="52" t="s">
        <v>12</v>
      </c>
      <c r="C20" s="52" t="s">
        <v>13</v>
      </c>
      <c r="D20" s="56" t="s">
        <v>2418</v>
      </c>
      <c r="E20" s="56" t="s">
        <v>2419</v>
      </c>
      <c r="F20" s="56" t="s">
        <v>2418</v>
      </c>
      <c r="G20" s="52" t="s">
        <v>2424</v>
      </c>
      <c r="H20" s="86" t="s">
        <v>2515</v>
      </c>
      <c r="I20" s="125" t="s">
        <v>2482</v>
      </c>
    </row>
    <row r="21" spans="2:9" ht="39.75" hidden="1" customHeight="1" x14ac:dyDescent="0.25">
      <c r="B21" s="52" t="s">
        <v>12</v>
      </c>
      <c r="C21" s="52" t="s">
        <v>13</v>
      </c>
      <c r="D21" s="56" t="s">
        <v>2418</v>
      </c>
      <c r="E21" s="56" t="s">
        <v>2419</v>
      </c>
      <c r="F21" s="56" t="s">
        <v>2418</v>
      </c>
      <c r="G21" s="52" t="s">
        <v>2516</v>
      </c>
      <c r="H21" s="56" t="s">
        <v>2517</v>
      </c>
      <c r="I21" s="125" t="s">
        <v>2482</v>
      </c>
    </row>
    <row r="22" spans="2:9" ht="39.75" hidden="1" customHeight="1" x14ac:dyDescent="0.25">
      <c r="B22" s="57" t="s">
        <v>12</v>
      </c>
      <c r="C22" s="52" t="s">
        <v>13</v>
      </c>
      <c r="D22" s="52" t="s">
        <v>2407</v>
      </c>
      <c r="E22" s="52" t="s">
        <v>2408</v>
      </c>
      <c r="F22" s="52" t="s">
        <v>2407</v>
      </c>
      <c r="G22" s="57" t="s">
        <v>2443</v>
      </c>
      <c r="H22" s="58" t="s">
        <v>2498</v>
      </c>
      <c r="I22" s="125" t="s">
        <v>2482</v>
      </c>
    </row>
    <row r="23" spans="2:9" ht="39.75" hidden="1" customHeight="1" x14ac:dyDescent="0.25">
      <c r="B23" s="52" t="s">
        <v>12</v>
      </c>
      <c r="C23" s="52" t="s">
        <v>15</v>
      </c>
      <c r="D23" s="52" t="s">
        <v>2418</v>
      </c>
      <c r="E23" s="52" t="s">
        <v>2424</v>
      </c>
      <c r="F23" s="52" t="s">
        <v>351</v>
      </c>
      <c r="G23" s="52" t="s">
        <v>351</v>
      </c>
      <c r="H23" s="57" t="s">
        <v>351</v>
      </c>
      <c r="I23" s="52" t="s">
        <v>351</v>
      </c>
    </row>
    <row r="24" spans="2:9" ht="39.75" hidden="1" customHeight="1" x14ac:dyDescent="0.25">
      <c r="B24" s="57" t="s">
        <v>17</v>
      </c>
      <c r="C24" s="57" t="s">
        <v>18</v>
      </c>
      <c r="D24" s="57" t="s">
        <v>2434</v>
      </c>
      <c r="E24" s="57" t="s">
        <v>2435</v>
      </c>
      <c r="F24" s="57" t="s">
        <v>2434</v>
      </c>
      <c r="G24" s="57" t="s">
        <v>2439</v>
      </c>
      <c r="H24" s="58" t="s">
        <v>2518</v>
      </c>
      <c r="I24" s="56" t="s">
        <v>2482</v>
      </c>
    </row>
    <row r="25" spans="2:9" ht="39.75" hidden="1" customHeight="1" x14ac:dyDescent="0.25">
      <c r="B25" s="57" t="s">
        <v>17</v>
      </c>
      <c r="C25" s="57" t="s">
        <v>18</v>
      </c>
      <c r="D25" s="57" t="s">
        <v>2434</v>
      </c>
      <c r="E25" s="57" t="s">
        <v>2435</v>
      </c>
      <c r="F25" s="57" t="s">
        <v>2434</v>
      </c>
      <c r="G25" s="52" t="s">
        <v>2519</v>
      </c>
      <c r="H25" s="56" t="s">
        <v>2520</v>
      </c>
      <c r="I25" s="56" t="s">
        <v>2482</v>
      </c>
    </row>
    <row r="26" spans="2:9" ht="39.75" hidden="1" customHeight="1" x14ac:dyDescent="0.25">
      <c r="B26" s="57" t="s">
        <v>17</v>
      </c>
      <c r="C26" s="57" t="s">
        <v>18</v>
      </c>
      <c r="D26" s="57" t="s">
        <v>2434</v>
      </c>
      <c r="E26" s="57" t="s">
        <v>2435</v>
      </c>
      <c r="F26" s="52" t="s">
        <v>2412</v>
      </c>
      <c r="G26" s="52" t="s">
        <v>2521</v>
      </c>
      <c r="H26" s="56" t="s">
        <v>2522</v>
      </c>
      <c r="I26" s="56" t="s">
        <v>2482</v>
      </c>
    </row>
    <row r="27" spans="2:9" ht="39.75" hidden="1" customHeight="1" x14ac:dyDescent="0.25">
      <c r="B27" s="57" t="s">
        <v>17</v>
      </c>
      <c r="C27" s="57" t="s">
        <v>18</v>
      </c>
      <c r="D27" s="52" t="s">
        <v>2434</v>
      </c>
      <c r="E27" s="52" t="s">
        <v>2439</v>
      </c>
      <c r="F27" s="52" t="s">
        <v>2412</v>
      </c>
      <c r="G27" s="52" t="s">
        <v>2521</v>
      </c>
      <c r="H27" s="56" t="s">
        <v>2523</v>
      </c>
      <c r="I27" s="56" t="s">
        <v>2482</v>
      </c>
    </row>
    <row r="28" spans="2:9" ht="39.75" hidden="1" customHeight="1" x14ac:dyDescent="0.25">
      <c r="B28" s="57" t="s">
        <v>17</v>
      </c>
      <c r="C28" s="57" t="s">
        <v>18</v>
      </c>
      <c r="D28" s="52" t="s">
        <v>2434</v>
      </c>
      <c r="E28" s="52" t="s">
        <v>2439</v>
      </c>
      <c r="F28" s="52" t="s">
        <v>2524</v>
      </c>
      <c r="G28" s="52" t="s">
        <v>2525</v>
      </c>
      <c r="H28" s="56" t="s">
        <v>2526</v>
      </c>
      <c r="I28" s="56" t="s">
        <v>2482</v>
      </c>
    </row>
    <row r="29" spans="2:9" ht="39.75" hidden="1" customHeight="1" x14ac:dyDescent="0.25">
      <c r="B29" s="57" t="s">
        <v>17</v>
      </c>
      <c r="C29" s="57" t="s">
        <v>18</v>
      </c>
      <c r="D29" s="52" t="s">
        <v>2407</v>
      </c>
      <c r="E29" s="52" t="s">
        <v>2408</v>
      </c>
      <c r="F29" s="52" t="s">
        <v>2407</v>
      </c>
      <c r="G29" s="52" t="s">
        <v>2443</v>
      </c>
      <c r="H29" s="58" t="s">
        <v>2498</v>
      </c>
      <c r="I29" s="56" t="s">
        <v>2482</v>
      </c>
    </row>
    <row r="30" spans="2:9" ht="39.75" hidden="1" customHeight="1" x14ac:dyDescent="0.25">
      <c r="B30" s="57" t="s">
        <v>17</v>
      </c>
      <c r="C30" s="57" t="s">
        <v>20</v>
      </c>
      <c r="D30" s="57" t="s">
        <v>2434</v>
      </c>
      <c r="E30" s="57" t="s">
        <v>2439</v>
      </c>
      <c r="F30" s="52" t="s">
        <v>2412</v>
      </c>
      <c r="G30" s="52" t="s">
        <v>2521</v>
      </c>
      <c r="H30" s="56" t="s">
        <v>2523</v>
      </c>
      <c r="I30" s="56" t="s">
        <v>2482</v>
      </c>
    </row>
    <row r="31" spans="2:9" ht="39.75" hidden="1" customHeight="1" x14ac:dyDescent="0.25">
      <c r="B31" s="57" t="s">
        <v>22</v>
      </c>
      <c r="C31" s="57" t="s">
        <v>2446</v>
      </c>
      <c r="D31" s="57" t="s">
        <v>2447</v>
      </c>
      <c r="E31" s="57" t="s">
        <v>2448</v>
      </c>
      <c r="F31" s="57" t="s">
        <v>351</v>
      </c>
      <c r="G31" s="57" t="s">
        <v>351</v>
      </c>
      <c r="H31" s="57" t="s">
        <v>351</v>
      </c>
      <c r="I31" s="57" t="s">
        <v>351</v>
      </c>
    </row>
    <row r="32" spans="2:9" ht="39.75" hidden="1" customHeight="1" x14ac:dyDescent="0.25">
      <c r="B32" s="57" t="s">
        <v>1796</v>
      </c>
      <c r="C32" s="57" t="s">
        <v>1798</v>
      </c>
      <c r="D32" s="57" t="s">
        <v>2412</v>
      </c>
      <c r="E32" s="57" t="s">
        <v>2413</v>
      </c>
      <c r="F32" s="57" t="s">
        <v>2487</v>
      </c>
      <c r="G32" s="57" t="s">
        <v>2496</v>
      </c>
      <c r="H32" s="58" t="s">
        <v>2527</v>
      </c>
      <c r="I32" s="56" t="s">
        <v>2482</v>
      </c>
    </row>
    <row r="33" spans="2:9" ht="39.75" hidden="1" customHeight="1" x14ac:dyDescent="0.25">
      <c r="B33" s="57" t="s">
        <v>1796</v>
      </c>
      <c r="C33" s="57" t="s">
        <v>1798</v>
      </c>
      <c r="D33" s="57" t="s">
        <v>2487</v>
      </c>
      <c r="E33" s="57" t="s">
        <v>2496</v>
      </c>
      <c r="F33" s="57" t="s">
        <v>2487</v>
      </c>
      <c r="G33" s="57" t="s">
        <v>2488</v>
      </c>
      <c r="H33" s="58" t="s">
        <v>2528</v>
      </c>
      <c r="I33" s="56" t="s">
        <v>2482</v>
      </c>
    </row>
    <row r="34" spans="2:9" ht="39.75" hidden="1" customHeight="1" x14ac:dyDescent="0.25">
      <c r="B34" s="57" t="s">
        <v>38</v>
      </c>
      <c r="C34" s="57" t="s">
        <v>1365</v>
      </c>
      <c r="D34" s="57" t="s">
        <v>2412</v>
      </c>
      <c r="E34" s="57" t="s">
        <v>2413</v>
      </c>
      <c r="F34" s="57" t="s">
        <v>2529</v>
      </c>
      <c r="G34" s="57" t="s">
        <v>2530</v>
      </c>
      <c r="H34" s="58" t="s">
        <v>2531</v>
      </c>
      <c r="I34" s="56" t="s">
        <v>2482</v>
      </c>
    </row>
    <row r="35" spans="2:9" ht="39.75" hidden="1" customHeight="1" x14ac:dyDescent="0.25">
      <c r="B35" s="57" t="s">
        <v>38</v>
      </c>
      <c r="C35" s="57" t="s">
        <v>1365</v>
      </c>
      <c r="D35" s="57" t="s">
        <v>2412</v>
      </c>
      <c r="E35" s="57" t="s">
        <v>2413</v>
      </c>
      <c r="F35" s="52" t="s">
        <v>2407</v>
      </c>
      <c r="G35" s="52" t="s">
        <v>2408</v>
      </c>
      <c r="H35" s="58" t="s">
        <v>2532</v>
      </c>
      <c r="I35" s="56" t="s">
        <v>2482</v>
      </c>
    </row>
    <row r="36" spans="2:9" ht="39.75" hidden="1" customHeight="1" x14ac:dyDescent="0.25">
      <c r="B36" s="57" t="s">
        <v>38</v>
      </c>
      <c r="C36" s="57" t="s">
        <v>1365</v>
      </c>
      <c r="D36" s="52" t="s">
        <v>2407</v>
      </c>
      <c r="E36" s="52" t="s">
        <v>2408</v>
      </c>
      <c r="F36" s="52" t="s">
        <v>2407</v>
      </c>
      <c r="G36" s="52" t="s">
        <v>2443</v>
      </c>
      <c r="H36" s="58" t="s">
        <v>2498</v>
      </c>
      <c r="I36" s="56" t="s">
        <v>2482</v>
      </c>
    </row>
    <row r="37" spans="2:9" ht="39.75" hidden="1" customHeight="1" x14ac:dyDescent="0.25">
      <c r="B37" s="57" t="s">
        <v>48</v>
      </c>
      <c r="C37" s="57" t="s">
        <v>1734</v>
      </c>
      <c r="D37" s="57" t="s">
        <v>2453</v>
      </c>
      <c r="E37" s="57" t="s">
        <v>2454</v>
      </c>
      <c r="F37" s="57" t="s">
        <v>2453</v>
      </c>
      <c r="G37" s="57" t="s">
        <v>2533</v>
      </c>
      <c r="H37" s="58" t="s">
        <v>2534</v>
      </c>
      <c r="I37" s="56" t="s">
        <v>2482</v>
      </c>
    </row>
    <row r="38" spans="2:9" ht="39.75" hidden="1" customHeight="1" x14ac:dyDescent="0.25">
      <c r="B38" s="57" t="s">
        <v>48</v>
      </c>
      <c r="C38" s="57" t="s">
        <v>1734</v>
      </c>
      <c r="D38" s="57" t="s">
        <v>2453</v>
      </c>
      <c r="E38" s="57" t="s">
        <v>2454</v>
      </c>
      <c r="F38" s="57" t="s">
        <v>2453</v>
      </c>
      <c r="G38" s="57" t="s">
        <v>2535</v>
      </c>
      <c r="H38" s="58" t="s">
        <v>2536</v>
      </c>
      <c r="I38" s="56" t="s">
        <v>2482</v>
      </c>
    </row>
    <row r="39" spans="2:9" ht="39.75" hidden="1" customHeight="1" x14ac:dyDescent="0.25">
      <c r="B39" s="57" t="s">
        <v>27</v>
      </c>
      <c r="C39" s="57" t="s">
        <v>1040</v>
      </c>
      <c r="D39" s="57" t="s">
        <v>2461</v>
      </c>
      <c r="E39" s="57" t="s">
        <v>2462</v>
      </c>
      <c r="F39" s="57" t="s">
        <v>2461</v>
      </c>
      <c r="G39" s="57" t="s">
        <v>2537</v>
      </c>
      <c r="H39" s="58" t="s">
        <v>2538</v>
      </c>
      <c r="I39" s="56" t="s">
        <v>2506</v>
      </c>
    </row>
    <row r="40" spans="2:9" ht="39.75" hidden="1" customHeight="1" x14ac:dyDescent="0.25">
      <c r="B40" s="57" t="s">
        <v>27</v>
      </c>
      <c r="C40" s="57" t="s">
        <v>1040</v>
      </c>
      <c r="D40" s="57" t="s">
        <v>2461</v>
      </c>
      <c r="E40" s="57" t="s">
        <v>2462</v>
      </c>
      <c r="F40" s="57" t="s">
        <v>2461</v>
      </c>
      <c r="G40" s="57" t="s">
        <v>2467</v>
      </c>
      <c r="H40" s="58" t="s">
        <v>2539</v>
      </c>
      <c r="I40" s="56" t="s">
        <v>2482</v>
      </c>
    </row>
    <row r="41" spans="2:9" ht="39.75" hidden="1" customHeight="1" x14ac:dyDescent="0.25">
      <c r="B41" s="57" t="s">
        <v>27</v>
      </c>
      <c r="C41" s="57" t="s">
        <v>1040</v>
      </c>
      <c r="D41" s="57" t="s">
        <v>2461</v>
      </c>
      <c r="E41" s="57" t="s">
        <v>2467</v>
      </c>
      <c r="F41" s="339" t="s">
        <v>2487</v>
      </c>
      <c r="G41" s="57" t="s">
        <v>2540</v>
      </c>
      <c r="H41" s="58" t="s">
        <v>2541</v>
      </c>
      <c r="I41" s="56" t="s">
        <v>2506</v>
      </c>
    </row>
    <row r="42" spans="2:9" ht="39.75" hidden="1" customHeight="1" x14ac:dyDescent="0.25">
      <c r="B42" s="52" t="s">
        <v>43</v>
      </c>
      <c r="C42" s="52" t="s">
        <v>1500</v>
      </c>
      <c r="D42" s="52" t="s">
        <v>2461</v>
      </c>
      <c r="E42" s="52" t="s">
        <v>2462</v>
      </c>
      <c r="F42" s="52" t="s">
        <v>2461</v>
      </c>
      <c r="G42" s="52" t="s">
        <v>2537</v>
      </c>
      <c r="H42" s="56" t="s">
        <v>2538</v>
      </c>
      <c r="I42" s="52" t="s">
        <v>2506</v>
      </c>
    </row>
    <row r="43" spans="2:9" ht="39.75" hidden="1" customHeight="1" x14ac:dyDescent="0.25">
      <c r="B43" s="52" t="s">
        <v>43</v>
      </c>
      <c r="C43" s="52" t="s">
        <v>1500</v>
      </c>
      <c r="D43" s="52" t="s">
        <v>2461</v>
      </c>
      <c r="E43" s="52" t="s">
        <v>2462</v>
      </c>
      <c r="F43" s="52" t="s">
        <v>2461</v>
      </c>
      <c r="G43" s="52" t="s">
        <v>2467</v>
      </c>
      <c r="H43" s="56" t="s">
        <v>2539</v>
      </c>
      <c r="I43" s="52" t="s">
        <v>2482</v>
      </c>
    </row>
    <row r="44" spans="2:9" ht="39.75" hidden="1" customHeight="1" x14ac:dyDescent="0.25">
      <c r="B44" s="52" t="s">
        <v>43</v>
      </c>
      <c r="C44" s="52" t="s">
        <v>1500</v>
      </c>
      <c r="D44" s="52" t="s">
        <v>2461</v>
      </c>
      <c r="E44" s="52" t="s">
        <v>2462</v>
      </c>
      <c r="F44" s="52" t="s">
        <v>2461</v>
      </c>
      <c r="G44" s="52" t="s">
        <v>2537</v>
      </c>
      <c r="H44" s="56" t="s">
        <v>2542</v>
      </c>
      <c r="I44" s="52" t="s">
        <v>2482</v>
      </c>
    </row>
    <row r="45" spans="2:9" ht="39.75" hidden="1" customHeight="1" x14ac:dyDescent="0.25">
      <c r="B45" s="52" t="s">
        <v>43</v>
      </c>
      <c r="C45" s="52" t="s">
        <v>1500</v>
      </c>
      <c r="D45" s="57" t="s">
        <v>2461</v>
      </c>
      <c r="E45" s="57" t="s">
        <v>2467</v>
      </c>
      <c r="F45" s="57" t="s">
        <v>2487</v>
      </c>
      <c r="G45" s="57" t="s">
        <v>2540</v>
      </c>
      <c r="H45" s="58" t="s">
        <v>2541</v>
      </c>
      <c r="I45" s="57" t="s">
        <v>2506</v>
      </c>
    </row>
    <row r="46" spans="2:9" ht="39.75" hidden="1" customHeight="1" x14ac:dyDescent="0.25">
      <c r="B46" s="52" t="s">
        <v>76</v>
      </c>
      <c r="C46" s="52" t="s">
        <v>2155</v>
      </c>
      <c r="D46" s="52" t="s">
        <v>2461</v>
      </c>
      <c r="E46" s="52" t="s">
        <v>2462</v>
      </c>
      <c r="F46" s="52" t="s">
        <v>2461</v>
      </c>
      <c r="G46" s="52" t="s">
        <v>2537</v>
      </c>
      <c r="H46" s="56" t="s">
        <v>2538</v>
      </c>
      <c r="I46" s="52" t="s">
        <v>2506</v>
      </c>
    </row>
    <row r="47" spans="2:9" ht="39.75" hidden="1" customHeight="1" x14ac:dyDescent="0.25">
      <c r="B47" s="52" t="s">
        <v>76</v>
      </c>
      <c r="C47" s="52" t="s">
        <v>2155</v>
      </c>
      <c r="D47" s="52" t="s">
        <v>2461</v>
      </c>
      <c r="E47" s="52" t="s">
        <v>2462</v>
      </c>
      <c r="F47" s="52" t="s">
        <v>2461</v>
      </c>
      <c r="G47" s="52" t="s">
        <v>2467</v>
      </c>
      <c r="H47" s="56" t="s">
        <v>2539</v>
      </c>
      <c r="I47" s="52" t="s">
        <v>2482</v>
      </c>
    </row>
    <row r="48" spans="2:9" ht="39.75" hidden="1" customHeight="1" x14ac:dyDescent="0.25">
      <c r="B48" s="52" t="s">
        <v>76</v>
      </c>
      <c r="C48" s="52" t="s">
        <v>2155</v>
      </c>
      <c r="D48" s="52" t="s">
        <v>2461</v>
      </c>
      <c r="E48" s="52" t="s">
        <v>2462</v>
      </c>
      <c r="F48" s="52" t="s">
        <v>2461</v>
      </c>
      <c r="G48" s="52" t="s">
        <v>2537</v>
      </c>
      <c r="H48" s="56" t="s">
        <v>2542</v>
      </c>
      <c r="I48" s="52" t="s">
        <v>2482</v>
      </c>
    </row>
    <row r="49" spans="2:9" ht="39.75" hidden="1" customHeight="1" x14ac:dyDescent="0.25">
      <c r="B49" s="52" t="s">
        <v>76</v>
      </c>
      <c r="C49" s="52" t="s">
        <v>2155</v>
      </c>
      <c r="D49" s="57" t="s">
        <v>2461</v>
      </c>
      <c r="E49" s="57" t="s">
        <v>2467</v>
      </c>
      <c r="F49" s="57" t="s">
        <v>2487</v>
      </c>
      <c r="G49" s="57" t="s">
        <v>2540</v>
      </c>
      <c r="H49" s="58" t="s">
        <v>2541</v>
      </c>
      <c r="I49" s="57" t="s">
        <v>2506</v>
      </c>
    </row>
    <row r="50" spans="2:9" ht="48" customHeight="1" x14ac:dyDescent="0.25">
      <c r="B50" s="57" t="s">
        <v>27</v>
      </c>
      <c r="C50" s="57" t="s">
        <v>1117</v>
      </c>
      <c r="D50" s="57" t="s">
        <v>2461</v>
      </c>
      <c r="E50" s="57" t="s">
        <v>2467</v>
      </c>
      <c r="F50" s="57" t="s">
        <v>2487</v>
      </c>
      <c r="G50" s="57" t="s">
        <v>2540</v>
      </c>
      <c r="H50" s="58" t="s">
        <v>2541</v>
      </c>
      <c r="I50" s="57" t="s">
        <v>2506</v>
      </c>
    </row>
    <row r="51" spans="2:9" ht="43.5" customHeight="1" x14ac:dyDescent="0.25">
      <c r="B51" s="57" t="s">
        <v>27</v>
      </c>
      <c r="C51" s="57" t="s">
        <v>1117</v>
      </c>
      <c r="D51" s="57" t="s">
        <v>2461</v>
      </c>
      <c r="E51" s="57" t="s">
        <v>2467</v>
      </c>
      <c r="F51" s="57" t="s">
        <v>2461</v>
      </c>
      <c r="G51" s="57" t="s">
        <v>2543</v>
      </c>
      <c r="H51" s="58" t="s">
        <v>2544</v>
      </c>
      <c r="I51" s="52" t="s">
        <v>2482</v>
      </c>
    </row>
    <row r="52" spans="2:9" ht="50.25" customHeight="1" x14ac:dyDescent="0.25">
      <c r="B52" s="57" t="s">
        <v>27</v>
      </c>
      <c r="C52" s="57" t="s">
        <v>1117</v>
      </c>
      <c r="D52" s="57" t="s">
        <v>2461</v>
      </c>
      <c r="E52" s="57" t="s">
        <v>2467</v>
      </c>
      <c r="F52" s="339" t="s">
        <v>2461</v>
      </c>
      <c r="G52" s="57" t="s">
        <v>2545</v>
      </c>
      <c r="H52" s="58" t="s">
        <v>2546</v>
      </c>
      <c r="I52" s="52" t="s">
        <v>2482</v>
      </c>
    </row>
    <row r="53" spans="2:9" ht="48.75" customHeight="1" x14ac:dyDescent="0.25">
      <c r="B53" s="57" t="s">
        <v>43</v>
      </c>
      <c r="C53" s="52" t="s">
        <v>1522</v>
      </c>
      <c r="D53" s="57" t="s">
        <v>2461</v>
      </c>
      <c r="E53" s="57" t="s">
        <v>2467</v>
      </c>
      <c r="F53" s="57" t="s">
        <v>2487</v>
      </c>
      <c r="G53" s="57" t="s">
        <v>2540</v>
      </c>
      <c r="H53" s="58" t="s">
        <v>2541</v>
      </c>
      <c r="I53" s="57" t="s">
        <v>2506</v>
      </c>
    </row>
    <row r="54" spans="2:9" ht="51" customHeight="1" x14ac:dyDescent="0.25">
      <c r="B54" s="57" t="s">
        <v>43</v>
      </c>
      <c r="C54" s="57" t="s">
        <v>1522</v>
      </c>
      <c r="D54" s="57" t="s">
        <v>2461</v>
      </c>
      <c r="E54" s="57" t="s">
        <v>2467</v>
      </c>
      <c r="F54" s="57" t="s">
        <v>2461</v>
      </c>
      <c r="G54" s="57" t="s">
        <v>2543</v>
      </c>
      <c r="H54" s="58" t="s">
        <v>2544</v>
      </c>
      <c r="I54" s="52" t="s">
        <v>2482</v>
      </c>
    </row>
    <row r="55" spans="2:9" ht="51.75" customHeight="1" x14ac:dyDescent="0.25">
      <c r="B55" s="57" t="s">
        <v>43</v>
      </c>
      <c r="C55" s="57" t="s">
        <v>1522</v>
      </c>
      <c r="D55" s="57" t="s">
        <v>2461</v>
      </c>
      <c r="E55" s="57" t="s">
        <v>2467</v>
      </c>
      <c r="F55" s="57" t="s">
        <v>2461</v>
      </c>
      <c r="G55" s="57" t="s">
        <v>2545</v>
      </c>
      <c r="H55" s="58" t="s">
        <v>2546</v>
      </c>
      <c r="I55" s="57" t="s">
        <v>2482</v>
      </c>
    </row>
    <row r="56" spans="2:9" ht="47.25" customHeight="1" x14ac:dyDescent="0.25">
      <c r="B56" s="57" t="s">
        <v>43</v>
      </c>
      <c r="C56" s="57" t="s">
        <v>1522</v>
      </c>
      <c r="D56" s="57" t="s">
        <v>2461</v>
      </c>
      <c r="E56" s="57" t="s">
        <v>2467</v>
      </c>
      <c r="F56" s="57" t="s">
        <v>2461</v>
      </c>
      <c r="G56" s="57" t="s">
        <v>2547</v>
      </c>
      <c r="H56" s="58" t="s">
        <v>2548</v>
      </c>
      <c r="I56" s="57" t="s">
        <v>2482</v>
      </c>
    </row>
    <row r="57" spans="2:9" ht="47.25" customHeight="1" x14ac:dyDescent="0.25">
      <c r="B57" s="57" t="s">
        <v>43</v>
      </c>
      <c r="C57" s="57" t="s">
        <v>1522</v>
      </c>
      <c r="D57" s="57" t="s">
        <v>2461</v>
      </c>
      <c r="E57" s="57" t="s">
        <v>2547</v>
      </c>
      <c r="F57" s="57" t="s">
        <v>2549</v>
      </c>
      <c r="G57" s="57" t="s">
        <v>2550</v>
      </c>
      <c r="H57" s="58" t="s">
        <v>2551</v>
      </c>
      <c r="I57" s="57" t="s">
        <v>2482</v>
      </c>
    </row>
    <row r="58" spans="2:9" ht="66.75" customHeight="1" x14ac:dyDescent="0.25">
      <c r="B58" s="52" t="s">
        <v>76</v>
      </c>
      <c r="C58" s="52" t="s">
        <v>2173</v>
      </c>
      <c r="D58" s="57" t="s">
        <v>2461</v>
      </c>
      <c r="E58" s="57" t="s">
        <v>2467</v>
      </c>
      <c r="F58" s="57" t="s">
        <v>2487</v>
      </c>
      <c r="G58" s="57" t="s">
        <v>2540</v>
      </c>
      <c r="H58" s="58" t="s">
        <v>2541</v>
      </c>
      <c r="I58" s="57" t="s">
        <v>2506</v>
      </c>
    </row>
    <row r="59" spans="2:9" ht="54" customHeight="1" x14ac:dyDescent="0.25">
      <c r="B59" s="52" t="s">
        <v>76</v>
      </c>
      <c r="C59" s="52" t="s">
        <v>2173</v>
      </c>
      <c r="D59" s="52" t="s">
        <v>2461</v>
      </c>
      <c r="E59" s="52" t="s">
        <v>2467</v>
      </c>
      <c r="F59" s="52" t="s">
        <v>2461</v>
      </c>
      <c r="G59" s="52" t="s">
        <v>2543</v>
      </c>
      <c r="H59" s="56" t="s">
        <v>2544</v>
      </c>
      <c r="I59" s="52" t="s">
        <v>2482</v>
      </c>
    </row>
    <row r="60" spans="2:9" ht="55.5" customHeight="1" x14ac:dyDescent="0.25">
      <c r="B60" s="52" t="s">
        <v>76</v>
      </c>
      <c r="C60" s="52" t="s">
        <v>2173</v>
      </c>
      <c r="D60" s="52" t="s">
        <v>2461</v>
      </c>
      <c r="E60" s="52" t="s">
        <v>2467</v>
      </c>
      <c r="F60" s="52" t="s">
        <v>2461</v>
      </c>
      <c r="G60" s="52" t="s">
        <v>2545</v>
      </c>
      <c r="H60" s="56" t="s">
        <v>2546</v>
      </c>
      <c r="I60" s="57" t="s">
        <v>2482</v>
      </c>
    </row>
    <row r="61" spans="2:9" ht="48" customHeight="1" x14ac:dyDescent="0.25">
      <c r="B61" s="52" t="s">
        <v>76</v>
      </c>
      <c r="C61" s="52" t="s">
        <v>2173</v>
      </c>
      <c r="D61" s="52" t="s">
        <v>2461</v>
      </c>
      <c r="E61" s="52" t="s">
        <v>2467</v>
      </c>
      <c r="F61" s="52" t="s">
        <v>2461</v>
      </c>
      <c r="G61" s="52" t="s">
        <v>2547</v>
      </c>
      <c r="H61" s="56" t="s">
        <v>2548</v>
      </c>
      <c r="I61" s="57" t="s">
        <v>2482</v>
      </c>
    </row>
    <row r="62" spans="2:9" ht="56.25" customHeight="1" x14ac:dyDescent="0.25">
      <c r="B62" s="52" t="s">
        <v>76</v>
      </c>
      <c r="C62" s="52" t="s">
        <v>2173</v>
      </c>
      <c r="D62" s="57" t="s">
        <v>2461</v>
      </c>
      <c r="E62" s="57" t="s">
        <v>2547</v>
      </c>
      <c r="F62" s="57" t="s">
        <v>2549</v>
      </c>
      <c r="G62" s="57" t="s">
        <v>2550</v>
      </c>
      <c r="H62" s="58" t="s">
        <v>2551</v>
      </c>
      <c r="I62" s="57" t="s">
        <v>2482</v>
      </c>
    </row>
    <row r="63" spans="2:9" x14ac:dyDescent="0.25">
      <c r="B63"/>
      <c r="C63"/>
      <c r="D63"/>
      <c r="E63"/>
      <c r="F63"/>
    </row>
    <row r="64" spans="2:9"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30B6-E330-4269-9650-2CAF790BB66B}">
  <sheetPr>
    <tabColor theme="9" tint="-0.499984740745262"/>
  </sheetPr>
  <dimension ref="B1:E23"/>
  <sheetViews>
    <sheetView showGridLines="0" topLeftCell="A10" workbookViewId="0">
      <selection activeCell="C3" sqref="C3:C21"/>
    </sheetView>
  </sheetViews>
  <sheetFormatPr defaultRowHeight="15" x14ac:dyDescent="0.25"/>
  <cols>
    <col min="2" max="2" width="14" style="98" customWidth="1"/>
    <col min="3" max="3" width="35.42578125" customWidth="1"/>
    <col min="4" max="4" width="40.140625" style="50" customWidth="1"/>
    <col min="5" max="5" width="42.7109375" customWidth="1"/>
  </cols>
  <sheetData>
    <row r="1" spans="2:5" ht="45.75" customHeight="1" x14ac:dyDescent="0.25"/>
    <row r="2" spans="2:5" ht="39.75" customHeight="1" x14ac:dyDescent="0.25">
      <c r="B2" s="104" t="s">
        <v>453</v>
      </c>
      <c r="C2" s="103" t="s">
        <v>2552</v>
      </c>
      <c r="D2" s="103" t="s">
        <v>2553</v>
      </c>
      <c r="E2" s="108" t="s">
        <v>503</v>
      </c>
    </row>
    <row r="3" spans="2:5" ht="39.75" customHeight="1" x14ac:dyDescent="0.25">
      <c r="B3" s="105">
        <v>1</v>
      </c>
      <c r="C3" s="99" t="s">
        <v>2554</v>
      </c>
      <c r="D3" s="101" t="s">
        <v>2555</v>
      </c>
      <c r="E3" s="109"/>
    </row>
    <row r="4" spans="2:5" ht="39.75" customHeight="1" x14ac:dyDescent="0.25">
      <c r="B4" s="105">
        <v>2</v>
      </c>
      <c r="C4" s="99" t="s">
        <v>2556</v>
      </c>
      <c r="D4" s="101" t="s">
        <v>2557</v>
      </c>
      <c r="E4" s="109"/>
    </row>
    <row r="5" spans="2:5" ht="39.75" customHeight="1" x14ac:dyDescent="0.25">
      <c r="B5" s="105">
        <v>3</v>
      </c>
      <c r="C5" s="99" t="s">
        <v>2558</v>
      </c>
      <c r="D5" s="101" t="s">
        <v>2559</v>
      </c>
      <c r="E5" s="109"/>
    </row>
    <row r="6" spans="2:5" ht="39.75" customHeight="1" x14ac:dyDescent="0.25">
      <c r="B6" s="105">
        <v>4</v>
      </c>
      <c r="C6" s="101" t="s">
        <v>2560</v>
      </c>
      <c r="D6" s="101" t="s">
        <v>2561</v>
      </c>
      <c r="E6" s="109"/>
    </row>
    <row r="7" spans="2:5" ht="39.75" customHeight="1" x14ac:dyDescent="0.25">
      <c r="B7" s="106">
        <v>5</v>
      </c>
      <c r="C7" s="101" t="s">
        <v>2562</v>
      </c>
      <c r="D7" s="101" t="s">
        <v>2561</v>
      </c>
      <c r="E7" s="109"/>
    </row>
    <row r="8" spans="2:5" ht="39.75" customHeight="1" x14ac:dyDescent="0.25">
      <c r="B8" s="106">
        <v>6</v>
      </c>
      <c r="C8" s="101" t="s">
        <v>2563</v>
      </c>
      <c r="D8" s="101" t="s">
        <v>2564</v>
      </c>
      <c r="E8" s="222" t="s">
        <v>2565</v>
      </c>
    </row>
    <row r="9" spans="2:5" ht="39.75" customHeight="1" x14ac:dyDescent="0.25">
      <c r="B9" s="106">
        <v>7</v>
      </c>
      <c r="C9" s="99" t="s">
        <v>2566</v>
      </c>
      <c r="D9" s="101" t="s">
        <v>2567</v>
      </c>
      <c r="E9" s="109" t="s">
        <v>2568</v>
      </c>
    </row>
    <row r="10" spans="2:5" ht="39.75" customHeight="1" x14ac:dyDescent="0.25">
      <c r="B10" s="105">
        <v>8</v>
      </c>
      <c r="C10" s="99" t="s">
        <v>2569</v>
      </c>
      <c r="D10" s="101" t="s">
        <v>2570</v>
      </c>
      <c r="E10" s="109"/>
    </row>
    <row r="11" spans="2:5" ht="39.75" customHeight="1" x14ac:dyDescent="0.25">
      <c r="B11" s="106">
        <v>9</v>
      </c>
      <c r="C11" s="99" t="s">
        <v>2571</v>
      </c>
      <c r="D11" s="101" t="s">
        <v>2572</v>
      </c>
      <c r="E11" s="109"/>
    </row>
    <row r="12" spans="2:5" ht="39.75" customHeight="1" x14ac:dyDescent="0.25">
      <c r="B12" s="105">
        <v>10</v>
      </c>
      <c r="C12" s="101" t="s">
        <v>2573</v>
      </c>
      <c r="D12" s="101" t="s">
        <v>2574</v>
      </c>
      <c r="E12" s="109"/>
    </row>
    <row r="13" spans="2:5" ht="39.75" customHeight="1" x14ac:dyDescent="0.25">
      <c r="B13" s="106">
        <v>11</v>
      </c>
      <c r="C13" s="99" t="s">
        <v>2575</v>
      </c>
      <c r="D13" s="101" t="s">
        <v>2576</v>
      </c>
      <c r="E13" s="109"/>
    </row>
    <row r="14" spans="2:5" ht="39.75" customHeight="1" x14ac:dyDescent="0.25">
      <c r="B14" s="106">
        <v>12</v>
      </c>
      <c r="C14" s="99" t="s">
        <v>2577</v>
      </c>
      <c r="D14" s="101" t="s">
        <v>2578</v>
      </c>
      <c r="E14" s="109"/>
    </row>
    <row r="15" spans="2:5" ht="39.75" customHeight="1" x14ac:dyDescent="0.25">
      <c r="B15" s="106">
        <v>13</v>
      </c>
      <c r="C15" s="99" t="s">
        <v>2579</v>
      </c>
      <c r="D15" s="101" t="s">
        <v>2580</v>
      </c>
      <c r="E15" s="109"/>
    </row>
    <row r="16" spans="2:5" ht="39.75" customHeight="1" x14ac:dyDescent="0.25">
      <c r="B16" s="107">
        <v>14</v>
      </c>
      <c r="C16" s="102" t="s">
        <v>2581</v>
      </c>
      <c r="D16" s="101" t="s">
        <v>2582</v>
      </c>
      <c r="E16" s="109"/>
    </row>
    <row r="17" spans="2:5" ht="39.75" customHeight="1" x14ac:dyDescent="0.25">
      <c r="B17" s="106">
        <v>15</v>
      </c>
      <c r="C17" s="99" t="s">
        <v>2583</v>
      </c>
      <c r="D17" s="101" t="s">
        <v>2584</v>
      </c>
      <c r="E17" s="109"/>
    </row>
    <row r="18" spans="2:5" ht="39.75" customHeight="1" x14ac:dyDescent="0.25">
      <c r="B18" s="106">
        <v>16</v>
      </c>
      <c r="C18" s="99" t="s">
        <v>2585</v>
      </c>
      <c r="D18" s="101" t="s">
        <v>2586</v>
      </c>
      <c r="E18" s="109"/>
    </row>
    <row r="19" spans="2:5" ht="39.75" customHeight="1" x14ac:dyDescent="0.25">
      <c r="B19" s="106">
        <v>17</v>
      </c>
      <c r="C19" s="99" t="s">
        <v>2587</v>
      </c>
      <c r="D19" s="101" t="s">
        <v>2588</v>
      </c>
      <c r="E19" s="109"/>
    </row>
    <row r="20" spans="2:5" ht="39.75" customHeight="1" x14ac:dyDescent="0.25">
      <c r="B20" s="107">
        <v>18</v>
      </c>
      <c r="C20" s="102" t="s">
        <v>2589</v>
      </c>
      <c r="D20" s="100" t="s">
        <v>2590</v>
      </c>
      <c r="E20" s="110"/>
    </row>
    <row r="21" spans="2:5" ht="39.75" customHeight="1" x14ac:dyDescent="0.25">
      <c r="B21" s="107">
        <v>19</v>
      </c>
      <c r="C21" s="102" t="s">
        <v>2591</v>
      </c>
      <c r="D21" s="100" t="s">
        <v>2592</v>
      </c>
      <c r="E21" s="110" t="s">
        <v>2593</v>
      </c>
    </row>
    <row r="22" spans="2:5" ht="39.75" customHeight="1" x14ac:dyDescent="0.25">
      <c r="B22" s="106">
        <v>20</v>
      </c>
      <c r="C22" s="99" t="s">
        <v>2594</v>
      </c>
      <c r="D22" s="101" t="s">
        <v>2595</v>
      </c>
      <c r="E22" s="109" t="s">
        <v>2596</v>
      </c>
    </row>
    <row r="23" spans="2:5" ht="39.75" customHeight="1" x14ac:dyDescent="0.25">
      <c r="B23" s="107">
        <v>21</v>
      </c>
      <c r="C23" s="102" t="s">
        <v>2597</v>
      </c>
      <c r="D23" s="100" t="s">
        <v>2598</v>
      </c>
      <c r="E23" s="110" t="s">
        <v>2599</v>
      </c>
    </row>
  </sheetData>
  <conditionalFormatting sqref="D3:D23">
    <cfRule type="cellIs" dxfId="0" priority="2" operator="equal">
      <formula>"Out Of Scope"</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F714-83FE-424A-A6CB-4FC039D74910}">
  <sheetPr>
    <tabColor rgb="FF00B050"/>
  </sheetPr>
  <dimension ref="B1:AO37"/>
  <sheetViews>
    <sheetView showGridLines="0" workbookViewId="0">
      <selection activeCell="G21" sqref="G21"/>
    </sheetView>
  </sheetViews>
  <sheetFormatPr defaultRowHeight="15" x14ac:dyDescent="0.2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x14ac:dyDescent="0.25"/>
    <row r="2" spans="2:40" x14ac:dyDescent="0.25">
      <c r="B2" s="98" t="s">
        <v>2600</v>
      </c>
      <c r="C2" s="98" t="s">
        <v>2601</v>
      </c>
      <c r="D2" s="98" t="s">
        <v>2602</v>
      </c>
      <c r="E2" s="98" t="s">
        <v>2603</v>
      </c>
      <c r="F2" s="98" t="s">
        <v>2604</v>
      </c>
      <c r="G2" s="98" t="s">
        <v>2605</v>
      </c>
      <c r="H2" s="98" t="s">
        <v>2606</v>
      </c>
      <c r="I2" s="98" t="s">
        <v>138</v>
      </c>
      <c r="J2" s="98" t="s">
        <v>153</v>
      </c>
      <c r="K2" s="98" t="s">
        <v>165</v>
      </c>
      <c r="L2" s="98" t="s">
        <v>173</v>
      </c>
      <c r="M2" s="98" t="s">
        <v>185</v>
      </c>
      <c r="N2" s="98" t="s">
        <v>194</v>
      </c>
      <c r="O2" s="98" t="s">
        <v>204</v>
      </c>
      <c r="P2" s="98" t="s">
        <v>551</v>
      </c>
      <c r="Q2" s="98" t="s">
        <v>554</v>
      </c>
      <c r="R2" s="98" t="s">
        <v>215</v>
      </c>
      <c r="S2" s="98" t="s">
        <v>227</v>
      </c>
      <c r="T2" s="98" t="s">
        <v>239</v>
      </c>
      <c r="U2" s="98" t="s">
        <v>254</v>
      </c>
      <c r="V2" s="98" t="s">
        <v>2607</v>
      </c>
      <c r="W2" s="98" t="s">
        <v>2608</v>
      </c>
      <c r="X2" s="98" t="s">
        <v>582</v>
      </c>
      <c r="Y2" s="98" t="s">
        <v>282</v>
      </c>
      <c r="Z2" s="98" t="s">
        <v>292</v>
      </c>
      <c r="AA2" s="98" t="s">
        <v>2609</v>
      </c>
      <c r="AB2" s="98" t="s">
        <v>2610</v>
      </c>
      <c r="AC2" s="98" t="s">
        <v>2611</v>
      </c>
      <c r="AD2" s="98" t="s">
        <v>2612</v>
      </c>
      <c r="AE2" s="98" t="s">
        <v>630</v>
      </c>
      <c r="AF2" s="98" t="s">
        <v>640</v>
      </c>
      <c r="AG2" s="98" t="s">
        <v>649</v>
      </c>
      <c r="AH2" s="98" t="s">
        <v>658</v>
      </c>
      <c r="AI2" s="98" t="s">
        <v>665</v>
      </c>
      <c r="AJ2" s="98" t="s">
        <v>302</v>
      </c>
      <c r="AK2" s="98" t="s">
        <v>312</v>
      </c>
      <c r="AL2" s="98" t="s">
        <v>323</v>
      </c>
      <c r="AM2" s="98" t="s">
        <v>330</v>
      </c>
      <c r="AN2" s="98" t="s">
        <v>337</v>
      </c>
    </row>
    <row r="3" spans="2:40" s="116" customFormat="1" x14ac:dyDescent="0.25">
      <c r="B3" s="51" t="s">
        <v>2554</v>
      </c>
      <c r="C3" s="51">
        <v>1</v>
      </c>
      <c r="D3" s="51" t="s">
        <v>2613</v>
      </c>
      <c r="E3" s="119">
        <v>45422</v>
      </c>
      <c r="F3" s="51">
        <v>1</v>
      </c>
      <c r="G3" s="122">
        <v>1</v>
      </c>
      <c r="H3" s="122">
        <v>3529</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c r="X3" s="51" t="s">
        <v>2614</v>
      </c>
      <c r="Y3" s="51" t="s">
        <v>2614</v>
      </c>
      <c r="Z3" s="51" t="s">
        <v>2614</v>
      </c>
      <c r="AA3" s="51" t="s">
        <v>2614</v>
      </c>
      <c r="AB3" s="51" t="s">
        <v>2614</v>
      </c>
      <c r="AC3" s="51" t="s">
        <v>2614</v>
      </c>
      <c r="AD3" s="51" t="s">
        <v>2614</v>
      </c>
      <c r="AE3" s="51" t="s">
        <v>2614</v>
      </c>
      <c r="AF3" s="51" t="s">
        <v>2614</v>
      </c>
      <c r="AG3" s="51" t="s">
        <v>2614</v>
      </c>
      <c r="AH3" s="51" t="s">
        <v>2614</v>
      </c>
      <c r="AI3" s="51" t="s">
        <v>2614</v>
      </c>
      <c r="AJ3" s="51" t="s">
        <v>2614</v>
      </c>
      <c r="AK3" s="51" t="s">
        <v>2614</v>
      </c>
      <c r="AL3" s="51" t="s">
        <v>2614</v>
      </c>
      <c r="AM3" s="51" t="s">
        <v>2614</v>
      </c>
      <c r="AN3" s="51" t="s">
        <v>2614</v>
      </c>
    </row>
    <row r="4" spans="2:40" s="116" customFormat="1" x14ac:dyDescent="0.25">
      <c r="B4" s="51" t="s">
        <v>2556</v>
      </c>
      <c r="C4" s="51">
        <v>2</v>
      </c>
      <c r="D4" s="51" t="s">
        <v>2615</v>
      </c>
      <c r="E4" s="119">
        <v>45422</v>
      </c>
      <c r="F4" s="51">
        <v>1</v>
      </c>
      <c r="G4" s="122">
        <v>1</v>
      </c>
      <c r="H4" s="51" t="s">
        <v>2616</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c r="X4" s="51" t="s">
        <v>2614</v>
      </c>
      <c r="Y4" s="51" t="s">
        <v>2614</v>
      </c>
      <c r="Z4" s="51" t="s">
        <v>2614</v>
      </c>
      <c r="AA4" s="51" t="s">
        <v>2614</v>
      </c>
      <c r="AB4" s="51" t="s">
        <v>2614</v>
      </c>
      <c r="AC4" s="51" t="s">
        <v>2614</v>
      </c>
      <c r="AD4" s="51" t="s">
        <v>2614</v>
      </c>
      <c r="AE4" s="51" t="s">
        <v>2614</v>
      </c>
      <c r="AF4" s="51" t="s">
        <v>2614</v>
      </c>
      <c r="AG4" s="51" t="s">
        <v>2614</v>
      </c>
      <c r="AH4" s="51" t="s">
        <v>2614</v>
      </c>
      <c r="AI4" s="51" t="s">
        <v>2614</v>
      </c>
      <c r="AJ4" s="51" t="s">
        <v>2614</v>
      </c>
      <c r="AK4" s="51" t="s">
        <v>2614</v>
      </c>
      <c r="AL4" s="51" t="s">
        <v>2614</v>
      </c>
      <c r="AM4" s="51" t="s">
        <v>2614</v>
      </c>
      <c r="AN4" s="51" t="s">
        <v>2614</v>
      </c>
    </row>
    <row r="5" spans="2:40" s="116" customFormat="1" x14ac:dyDescent="0.25">
      <c r="B5" s="51" t="s">
        <v>2558</v>
      </c>
      <c r="C5" s="51">
        <v>3</v>
      </c>
      <c r="D5" s="51" t="s">
        <v>2617</v>
      </c>
      <c r="E5" s="119">
        <v>45422</v>
      </c>
      <c r="F5" s="51">
        <v>1</v>
      </c>
      <c r="G5" s="122">
        <v>1</v>
      </c>
      <c r="H5" s="51" t="s">
        <v>2616</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t="s">
        <v>2614</v>
      </c>
      <c r="W5" s="51" t="s">
        <v>2614</v>
      </c>
      <c r="X5" s="51" t="s">
        <v>2614</v>
      </c>
      <c r="Y5" s="51" t="s">
        <v>2614</v>
      </c>
      <c r="Z5" s="51" t="s">
        <v>2614</v>
      </c>
      <c r="AA5" s="51" t="s">
        <v>2614</v>
      </c>
      <c r="AB5" s="51" t="s">
        <v>2614</v>
      </c>
      <c r="AC5" s="51" t="s">
        <v>2614</v>
      </c>
      <c r="AD5" s="51" t="s">
        <v>2614</v>
      </c>
      <c r="AE5" s="51" t="s">
        <v>2614</v>
      </c>
      <c r="AF5" s="51" t="s">
        <v>2614</v>
      </c>
      <c r="AG5" s="51" t="s">
        <v>2614</v>
      </c>
      <c r="AH5" s="51" t="s">
        <v>2614</v>
      </c>
      <c r="AI5" s="51" t="s">
        <v>2614</v>
      </c>
      <c r="AJ5" s="51" t="s">
        <v>2614</v>
      </c>
      <c r="AK5" s="51" t="s">
        <v>2614</v>
      </c>
      <c r="AL5" s="51" t="s">
        <v>2614</v>
      </c>
      <c r="AM5" s="51">
        <v>0</v>
      </c>
      <c r="AN5" s="51" t="s">
        <v>2614</v>
      </c>
    </row>
    <row r="6" spans="2:40" s="116" customFormat="1" x14ac:dyDescent="0.25">
      <c r="B6" s="121" t="s">
        <v>2560</v>
      </c>
      <c r="C6" s="51">
        <v>4</v>
      </c>
      <c r="D6" s="51" t="s">
        <v>2618</v>
      </c>
      <c r="E6" s="119" t="s">
        <v>2614</v>
      </c>
      <c r="F6" s="51">
        <v>1</v>
      </c>
      <c r="G6" s="119" t="s">
        <v>2614</v>
      </c>
      <c r="H6" s="51" t="s">
        <v>2616</v>
      </c>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c r="V6" s="51" t="s">
        <v>2614</v>
      </c>
      <c r="W6" s="51" t="s">
        <v>2614</v>
      </c>
      <c r="X6" s="51" t="s">
        <v>2614</v>
      </c>
      <c r="Y6" s="51" t="s">
        <v>2614</v>
      </c>
      <c r="Z6" s="51" t="s">
        <v>2614</v>
      </c>
      <c r="AA6" s="51" t="s">
        <v>2614</v>
      </c>
      <c r="AB6" s="51" t="s">
        <v>2614</v>
      </c>
      <c r="AC6" s="51" t="s">
        <v>2614</v>
      </c>
      <c r="AD6" s="51" t="s">
        <v>2614</v>
      </c>
      <c r="AE6" s="51" t="s">
        <v>2614</v>
      </c>
      <c r="AF6" s="51" t="s">
        <v>2614</v>
      </c>
      <c r="AG6" s="51" t="s">
        <v>2614</v>
      </c>
      <c r="AH6" s="51" t="s">
        <v>2614</v>
      </c>
      <c r="AI6" s="51" t="s">
        <v>2614</v>
      </c>
      <c r="AJ6" s="51" t="s">
        <v>2614</v>
      </c>
      <c r="AK6" s="51" t="s">
        <v>2614</v>
      </c>
      <c r="AL6" s="51" t="s">
        <v>2614</v>
      </c>
      <c r="AM6" s="51" t="s">
        <v>2614</v>
      </c>
      <c r="AN6" s="51" t="s">
        <v>2614</v>
      </c>
    </row>
    <row r="7" spans="2:40" s="116" customFormat="1" x14ac:dyDescent="0.25">
      <c r="B7" s="51" t="s">
        <v>2562</v>
      </c>
      <c r="C7" s="51">
        <v>5</v>
      </c>
      <c r="D7" s="51" t="s">
        <v>2618</v>
      </c>
      <c r="E7" s="119" t="s">
        <v>2614</v>
      </c>
      <c r="F7" s="51">
        <v>1</v>
      </c>
      <c r="G7" s="119" t="s">
        <v>2614</v>
      </c>
      <c r="H7" s="51" t="s">
        <v>2616</v>
      </c>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c r="X7" s="51" t="s">
        <v>2614</v>
      </c>
      <c r="Y7" s="51" t="s">
        <v>2614</v>
      </c>
      <c r="Z7" s="51" t="s">
        <v>2614</v>
      </c>
      <c r="AA7" s="51" t="s">
        <v>2614</v>
      </c>
      <c r="AB7" s="51" t="s">
        <v>2614</v>
      </c>
      <c r="AC7" s="51" t="s">
        <v>2614</v>
      </c>
      <c r="AD7" s="51" t="s">
        <v>2614</v>
      </c>
      <c r="AE7" s="51" t="s">
        <v>2614</v>
      </c>
      <c r="AF7" s="51" t="s">
        <v>2614</v>
      </c>
      <c r="AG7" s="51" t="s">
        <v>2614</v>
      </c>
      <c r="AH7" s="51" t="s">
        <v>2614</v>
      </c>
      <c r="AI7" s="51" t="s">
        <v>2614</v>
      </c>
      <c r="AJ7" s="51" t="s">
        <v>2614</v>
      </c>
      <c r="AK7" s="51" t="s">
        <v>2614</v>
      </c>
      <c r="AL7" s="51" t="s">
        <v>2614</v>
      </c>
      <c r="AM7" s="51" t="s">
        <v>2614</v>
      </c>
      <c r="AN7" s="51" t="s">
        <v>2614</v>
      </c>
    </row>
    <row r="8" spans="2:40" s="116" customFormat="1" x14ac:dyDescent="0.25">
      <c r="B8" s="51" t="s">
        <v>2563</v>
      </c>
      <c r="C8" s="51">
        <v>6</v>
      </c>
      <c r="D8" s="51" t="s">
        <v>2619</v>
      </c>
      <c r="E8" s="119">
        <v>45422</v>
      </c>
      <c r="F8" s="51">
        <v>1</v>
      </c>
      <c r="G8" s="51" cm="1">
        <f t="array" ref="G8">SUMPRODUCT(--(I8:AN8&gt;0))/COUNTA(I8:AN8)</f>
        <v>1</v>
      </c>
      <c r="H8" s="51" t="s">
        <v>2616</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x14ac:dyDescent="0.25">
      <c r="B9" s="51" t="s">
        <v>2566</v>
      </c>
      <c r="C9" s="51">
        <v>7</v>
      </c>
      <c r="D9" s="51" t="s">
        <v>2620</v>
      </c>
      <c r="E9" s="119">
        <v>45422</v>
      </c>
      <c r="F9" s="51">
        <v>1</v>
      </c>
      <c r="G9" s="51" cm="1">
        <f t="array" ref="G9">SUMPRODUCT(--(H9:AN9 &lt;= H28:AN28))/COUNTA(H28:AN28)</f>
        <v>1</v>
      </c>
      <c r="H9" s="51" t="s">
        <v>2616</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x14ac:dyDescent="0.25">
      <c r="B10" s="121" t="s">
        <v>2569</v>
      </c>
      <c r="C10" s="51">
        <v>8</v>
      </c>
      <c r="D10" s="51" t="s">
        <v>2621</v>
      </c>
      <c r="E10" s="119">
        <v>45422</v>
      </c>
      <c r="F10" s="51">
        <v>1</v>
      </c>
      <c r="G10" s="119" t="s">
        <v>2614</v>
      </c>
      <c r="H10" s="51" t="s">
        <v>2616</v>
      </c>
      <c r="I10" s="51">
        <v>31</v>
      </c>
      <c r="J10" s="51">
        <v>3.1000473009206903E+26</v>
      </c>
      <c r="K10" s="51" t="s">
        <v>2622</v>
      </c>
      <c r="L10" s="51">
        <v>90</v>
      </c>
      <c r="M10" s="51">
        <v>1</v>
      </c>
      <c r="N10" s="51">
        <v>31</v>
      </c>
      <c r="O10" s="51">
        <v>3.7234600100000003E+23</v>
      </c>
      <c r="P10" s="51">
        <v>31</v>
      </c>
      <c r="Q10" s="51">
        <v>310004730092</v>
      </c>
      <c r="R10" s="119" t="s">
        <v>2623</v>
      </c>
      <c r="S10" s="119">
        <v>33584</v>
      </c>
      <c r="T10" s="119">
        <v>978</v>
      </c>
      <c r="U10" s="119">
        <v>0</v>
      </c>
      <c r="V10" s="119">
        <v>22860000</v>
      </c>
      <c r="W10" s="119">
        <v>22860000</v>
      </c>
      <c r="X10" s="51" t="s">
        <v>2616</v>
      </c>
      <c r="Y10" s="119" t="s">
        <v>2616</v>
      </c>
      <c r="Z10" s="119" t="s">
        <v>2616</v>
      </c>
      <c r="AA10" s="119">
        <v>33588</v>
      </c>
      <c r="AB10" s="122" t="s">
        <v>2623</v>
      </c>
      <c r="AC10" s="122" t="s">
        <v>2616</v>
      </c>
      <c r="AD10" s="122" t="s">
        <v>2616</v>
      </c>
      <c r="AE10" s="51" t="s">
        <v>2624</v>
      </c>
      <c r="AF10" s="51" t="s">
        <v>2625</v>
      </c>
      <c r="AG10" s="122">
        <v>1900000</v>
      </c>
      <c r="AH10" s="122">
        <v>1900000</v>
      </c>
      <c r="AI10" s="122" t="s">
        <v>2616</v>
      </c>
      <c r="AJ10" s="122" t="s">
        <v>2622</v>
      </c>
      <c r="AK10" s="51" t="s">
        <v>2626</v>
      </c>
      <c r="AL10" s="51" t="s">
        <v>2627</v>
      </c>
      <c r="AM10" s="119">
        <v>45422</v>
      </c>
      <c r="AN10" s="119" t="s">
        <v>2628</v>
      </c>
    </row>
    <row r="11" spans="2:40" s="116" customFormat="1" x14ac:dyDescent="0.25">
      <c r="B11" s="51" t="s">
        <v>2571</v>
      </c>
      <c r="C11" s="51">
        <v>9</v>
      </c>
      <c r="D11" s="51" t="s">
        <v>2629</v>
      </c>
      <c r="E11" s="119">
        <v>45422</v>
      </c>
      <c r="F11" s="51">
        <v>1</v>
      </c>
      <c r="G11" s="119" t="s">
        <v>2614</v>
      </c>
      <c r="H11" s="51" t="s">
        <v>2616</v>
      </c>
      <c r="I11" s="51">
        <v>31</v>
      </c>
      <c r="J11" s="51">
        <v>3.1000473009206903E+26</v>
      </c>
      <c r="K11" s="51">
        <v>31</v>
      </c>
      <c r="L11" s="51">
        <v>90</v>
      </c>
      <c r="M11" s="51">
        <v>1</v>
      </c>
      <c r="N11" s="51">
        <v>31</v>
      </c>
      <c r="O11" s="51">
        <v>3.7234600100000003E+23</v>
      </c>
      <c r="P11" s="51">
        <v>31</v>
      </c>
      <c r="Q11" s="51">
        <v>310004730092</v>
      </c>
      <c r="R11" s="51" t="s">
        <v>2623</v>
      </c>
      <c r="S11" s="119">
        <v>33584</v>
      </c>
      <c r="T11" s="119">
        <v>978</v>
      </c>
      <c r="U11" s="119">
        <v>0</v>
      </c>
      <c r="V11" s="119" t="s">
        <v>2630</v>
      </c>
      <c r="W11" s="119" t="s">
        <v>2630</v>
      </c>
      <c r="X11" s="51" t="s">
        <v>2631</v>
      </c>
      <c r="Y11" s="119" t="s">
        <v>2631</v>
      </c>
      <c r="Z11" s="119" t="s">
        <v>2631</v>
      </c>
      <c r="AA11" s="119">
        <v>33588</v>
      </c>
      <c r="AB11" s="51" t="s">
        <v>2623</v>
      </c>
      <c r="AC11" s="51" t="s">
        <v>2631</v>
      </c>
      <c r="AD11" s="51" t="s">
        <v>2631</v>
      </c>
      <c r="AE11" s="51" t="s">
        <v>2624</v>
      </c>
      <c r="AF11" s="51" t="s">
        <v>2625</v>
      </c>
      <c r="AG11" s="122">
        <v>19000000000</v>
      </c>
      <c r="AH11" s="122">
        <v>190000</v>
      </c>
      <c r="AI11" s="122" t="s">
        <v>2632</v>
      </c>
      <c r="AJ11" s="122" t="s">
        <v>2633</v>
      </c>
      <c r="AK11" s="51" t="s">
        <v>2634</v>
      </c>
      <c r="AL11" s="51" t="s">
        <v>2627</v>
      </c>
      <c r="AM11" s="119">
        <v>45422</v>
      </c>
      <c r="AN11" s="119" t="s">
        <v>2635</v>
      </c>
    </row>
    <row r="12" spans="2:40" s="116" customFormat="1" x14ac:dyDescent="0.25">
      <c r="B12" s="51" t="s">
        <v>2573</v>
      </c>
      <c r="C12" s="51">
        <v>10</v>
      </c>
      <c r="D12" s="51" t="s">
        <v>2636</v>
      </c>
      <c r="E12" s="119">
        <v>45422</v>
      </c>
      <c r="F12" s="51">
        <v>1</v>
      </c>
      <c r="G12" s="119" t="s">
        <v>2614</v>
      </c>
      <c r="H12" s="51" t="s">
        <v>2616</v>
      </c>
      <c r="I12" s="51">
        <v>31</v>
      </c>
      <c r="J12" s="51">
        <v>5.4260000009409003E+29</v>
      </c>
      <c r="K12" s="123" t="s">
        <v>2622</v>
      </c>
      <c r="L12" s="51">
        <v>92</v>
      </c>
      <c r="M12" s="51" t="s">
        <v>2637</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2624</v>
      </c>
      <c r="AF12" s="122" t="s">
        <v>2625</v>
      </c>
      <c r="AG12" s="122">
        <v>1900000</v>
      </c>
      <c r="AH12" s="122">
        <v>1900000</v>
      </c>
      <c r="AI12" s="122">
        <v>32000000</v>
      </c>
      <c r="AJ12" s="122" t="s">
        <v>2622</v>
      </c>
      <c r="AK12" s="122" t="s">
        <v>2626</v>
      </c>
      <c r="AL12" s="51" t="s">
        <v>2638</v>
      </c>
      <c r="AM12" s="119">
        <v>45422</v>
      </c>
      <c r="AN12" s="119" t="s">
        <v>2628</v>
      </c>
    </row>
    <row r="13" spans="2:40" s="116" customFormat="1" x14ac:dyDescent="0.25">
      <c r="B13" s="51" t="s">
        <v>2575</v>
      </c>
      <c r="C13" s="51">
        <v>11</v>
      </c>
      <c r="D13" s="51" t="s">
        <v>2639</v>
      </c>
      <c r="E13" s="119">
        <v>45422</v>
      </c>
      <c r="F13" s="51">
        <v>1</v>
      </c>
      <c r="G13" s="119" t="s">
        <v>2614</v>
      </c>
      <c r="H13" s="51" t="s">
        <v>2616</v>
      </c>
      <c r="I13" s="51">
        <v>31</v>
      </c>
      <c r="J13" s="51">
        <v>5.4260000009409003E+29</v>
      </c>
      <c r="K13" s="51">
        <v>31</v>
      </c>
      <c r="L13" s="51">
        <v>92</v>
      </c>
      <c r="M13" s="51" t="s">
        <v>2637</v>
      </c>
      <c r="N13" s="51">
        <v>31</v>
      </c>
      <c r="O13" s="51">
        <v>2.3850155708002E+29</v>
      </c>
      <c r="P13" s="51">
        <v>31</v>
      </c>
      <c r="Q13" s="51">
        <v>542600000094090</v>
      </c>
      <c r="R13" s="119">
        <v>45422</v>
      </c>
      <c r="S13" s="119">
        <v>45802</v>
      </c>
      <c r="T13" s="119">
        <v>978</v>
      </c>
      <c r="U13" s="119">
        <v>1</v>
      </c>
      <c r="V13" s="119" t="s">
        <v>2640</v>
      </c>
      <c r="W13" s="119" t="s">
        <v>2641</v>
      </c>
      <c r="X13" s="51" t="s">
        <v>2641</v>
      </c>
      <c r="Y13" s="119" t="s">
        <v>2642</v>
      </c>
      <c r="Z13" s="119" t="s">
        <v>2643</v>
      </c>
      <c r="AA13" s="119">
        <v>45805</v>
      </c>
      <c r="AB13" s="119">
        <v>43962</v>
      </c>
      <c r="AC13" s="51" t="s">
        <v>2644</v>
      </c>
      <c r="AD13" s="122" t="s">
        <v>2645</v>
      </c>
      <c r="AE13" s="122" t="s">
        <v>2624</v>
      </c>
      <c r="AF13" s="122" t="s">
        <v>2625</v>
      </c>
      <c r="AG13" s="122">
        <v>19000000000</v>
      </c>
      <c r="AH13" s="122">
        <v>190000</v>
      </c>
      <c r="AI13" s="122">
        <v>3200000</v>
      </c>
      <c r="AJ13" s="122" t="s">
        <v>2646</v>
      </c>
      <c r="AK13" s="122" t="s">
        <v>2634</v>
      </c>
      <c r="AL13" s="51" t="s">
        <v>2638</v>
      </c>
      <c r="AM13" s="119">
        <v>45422</v>
      </c>
      <c r="AN13" s="119" t="s">
        <v>2647</v>
      </c>
    </row>
    <row r="14" spans="2:40" s="244" customFormat="1" x14ac:dyDescent="0.25">
      <c r="B14" s="242" t="s">
        <v>2577</v>
      </c>
      <c r="C14" s="242">
        <v>12</v>
      </c>
      <c r="D14" s="242" t="s">
        <v>2648</v>
      </c>
      <c r="E14" s="243">
        <v>45422</v>
      </c>
      <c r="F14" s="242">
        <v>1</v>
      </c>
      <c r="G14" s="242">
        <v>0.875</v>
      </c>
      <c r="H14" s="242" t="s">
        <v>2616</v>
      </c>
      <c r="I14" s="242">
        <v>0</v>
      </c>
      <c r="J14" s="242">
        <v>0</v>
      </c>
      <c r="K14" s="242">
        <v>0</v>
      </c>
      <c r="L14" s="242">
        <v>0</v>
      </c>
      <c r="M14" s="242">
        <v>0</v>
      </c>
      <c r="N14" s="242">
        <v>0</v>
      </c>
      <c r="O14" s="242">
        <v>0</v>
      </c>
      <c r="P14" s="242">
        <v>0</v>
      </c>
      <c r="Q14" s="242">
        <v>0</v>
      </c>
      <c r="R14" s="242">
        <v>0</v>
      </c>
      <c r="S14" s="242">
        <v>0</v>
      </c>
      <c r="T14" s="242">
        <v>0</v>
      </c>
      <c r="U14" s="242">
        <v>0</v>
      </c>
      <c r="V14" s="242">
        <v>644</v>
      </c>
      <c r="W14" s="242">
        <v>0</v>
      </c>
      <c r="X14" s="242">
        <v>0</v>
      </c>
      <c r="Y14" s="242">
        <v>0</v>
      </c>
      <c r="Z14" s="242">
        <v>0</v>
      </c>
      <c r="AA14" s="242">
        <v>0</v>
      </c>
      <c r="AB14" s="242">
        <v>0</v>
      </c>
      <c r="AC14" s="242">
        <v>0</v>
      </c>
      <c r="AD14" s="242">
        <v>0</v>
      </c>
      <c r="AE14" s="242">
        <v>0</v>
      </c>
      <c r="AF14" s="242">
        <v>3528</v>
      </c>
      <c r="AG14" s="242">
        <v>3528</v>
      </c>
      <c r="AH14" s="242">
        <v>3528</v>
      </c>
      <c r="AI14" s="242">
        <v>0</v>
      </c>
      <c r="AJ14" s="242">
        <v>0</v>
      </c>
      <c r="AK14" s="242">
        <v>0</v>
      </c>
      <c r="AL14" s="242">
        <v>0</v>
      </c>
      <c r="AM14" s="242">
        <v>0</v>
      </c>
      <c r="AN14" s="242">
        <v>0</v>
      </c>
    </row>
    <row r="15" spans="2:40" s="116" customFormat="1" x14ac:dyDescent="0.25">
      <c r="B15" s="51" t="s">
        <v>2579</v>
      </c>
      <c r="C15" s="51">
        <v>13</v>
      </c>
      <c r="D15" s="51" t="s">
        <v>2649</v>
      </c>
      <c r="E15" s="119">
        <v>45422</v>
      </c>
      <c r="F15" s="51">
        <v>1</v>
      </c>
      <c r="G15" s="122">
        <v>1</v>
      </c>
      <c r="H15" s="51" t="s">
        <v>2616</v>
      </c>
      <c r="I15" s="51" t="s">
        <v>2614</v>
      </c>
      <c r="J15" s="51" t="s">
        <v>2614</v>
      </c>
      <c r="K15" s="51" t="s">
        <v>2614</v>
      </c>
      <c r="L15" s="51" t="s">
        <v>2614</v>
      </c>
      <c r="M15" s="51" t="s">
        <v>2614</v>
      </c>
      <c r="N15" s="51" t="s">
        <v>2614</v>
      </c>
      <c r="O15" s="51" t="s">
        <v>2614</v>
      </c>
      <c r="P15" s="51" t="s">
        <v>2614</v>
      </c>
      <c r="Q15" s="51" t="s">
        <v>2614</v>
      </c>
      <c r="R15" s="121">
        <v>0</v>
      </c>
      <c r="S15" s="121">
        <v>0</v>
      </c>
      <c r="T15" s="121" t="s">
        <v>2614</v>
      </c>
      <c r="U15" s="121" t="s">
        <v>2614</v>
      </c>
      <c r="V15" s="121" t="s">
        <v>2614</v>
      </c>
      <c r="W15" s="121" t="s">
        <v>2614</v>
      </c>
      <c r="X15" s="51" t="s">
        <v>2614</v>
      </c>
      <c r="Y15" s="121" t="s">
        <v>2614</v>
      </c>
      <c r="Z15" s="121" t="s">
        <v>2614</v>
      </c>
      <c r="AA15" s="51">
        <v>0</v>
      </c>
      <c r="AB15" s="51">
        <v>0</v>
      </c>
      <c r="AC15" s="51" t="s">
        <v>2614</v>
      </c>
      <c r="AD15" s="51" t="s">
        <v>2614</v>
      </c>
      <c r="AE15" s="51" t="s">
        <v>2614</v>
      </c>
      <c r="AF15" s="51" t="s">
        <v>2614</v>
      </c>
      <c r="AG15" s="51" t="s">
        <v>2614</v>
      </c>
      <c r="AH15" s="51" t="s">
        <v>2614</v>
      </c>
      <c r="AI15" s="51" t="s">
        <v>2614</v>
      </c>
      <c r="AJ15" s="51" t="s">
        <v>2614</v>
      </c>
      <c r="AK15" s="51" t="s">
        <v>2614</v>
      </c>
      <c r="AL15" s="51" t="s">
        <v>2614</v>
      </c>
      <c r="AM15" s="51" t="s">
        <v>2614</v>
      </c>
      <c r="AN15" s="51" t="s">
        <v>2614</v>
      </c>
    </row>
    <row r="16" spans="2:40" s="116" customFormat="1" x14ac:dyDescent="0.25">
      <c r="B16" s="51" t="s">
        <v>2581</v>
      </c>
      <c r="C16" s="51">
        <v>14</v>
      </c>
      <c r="D16" s="51" t="s">
        <v>2650</v>
      </c>
      <c r="E16" s="119">
        <v>45422</v>
      </c>
      <c r="F16" s="51">
        <v>1</v>
      </c>
      <c r="G16" s="122">
        <v>1</v>
      </c>
      <c r="H16" s="51" t="s">
        <v>2616</v>
      </c>
      <c r="I16" s="51">
        <v>0</v>
      </c>
      <c r="J16" s="51">
        <v>0</v>
      </c>
      <c r="K16" s="51">
        <v>0</v>
      </c>
      <c r="L16" s="51">
        <v>0</v>
      </c>
      <c r="M16" s="51">
        <v>0</v>
      </c>
      <c r="N16" s="51">
        <v>0</v>
      </c>
      <c r="O16" s="51">
        <v>0</v>
      </c>
      <c r="P16" s="51">
        <v>0</v>
      </c>
      <c r="Q16" s="51">
        <v>0</v>
      </c>
      <c r="R16" s="51" t="s">
        <v>2614</v>
      </c>
      <c r="S16" s="51" t="s">
        <v>2614</v>
      </c>
      <c r="T16" s="51">
        <v>0</v>
      </c>
      <c r="U16" s="51" t="s">
        <v>2614</v>
      </c>
      <c r="V16" s="51" t="s">
        <v>2614</v>
      </c>
      <c r="W16" s="51" t="s">
        <v>2614</v>
      </c>
      <c r="X16" s="121" t="s">
        <v>2614</v>
      </c>
      <c r="Y16" s="121" t="s">
        <v>2614</v>
      </c>
      <c r="Z16" s="51" t="s">
        <v>2614</v>
      </c>
      <c r="AA16" s="51" t="s">
        <v>2614</v>
      </c>
      <c r="AB16" s="51" t="s">
        <v>2614</v>
      </c>
      <c r="AC16" s="51" t="s">
        <v>2614</v>
      </c>
      <c r="AD16" s="51" t="s">
        <v>2614</v>
      </c>
      <c r="AE16" s="51">
        <v>0</v>
      </c>
      <c r="AF16" s="51">
        <v>0</v>
      </c>
      <c r="AG16" s="51" t="s">
        <v>2614</v>
      </c>
      <c r="AH16" s="51" t="s">
        <v>2614</v>
      </c>
      <c r="AI16" s="51" t="s">
        <v>2614</v>
      </c>
      <c r="AJ16" s="51">
        <v>0</v>
      </c>
      <c r="AK16" s="51">
        <v>0</v>
      </c>
      <c r="AL16" s="51" t="s">
        <v>2614</v>
      </c>
      <c r="AM16" s="51" t="s">
        <v>2614</v>
      </c>
      <c r="AN16" s="51" t="s">
        <v>2614</v>
      </c>
    </row>
    <row r="17" spans="2:41" s="116" customFormat="1" x14ac:dyDescent="0.25">
      <c r="B17" s="51" t="s">
        <v>2583</v>
      </c>
      <c r="C17" s="51">
        <v>15</v>
      </c>
      <c r="D17" s="51" t="s">
        <v>2651</v>
      </c>
      <c r="E17" s="119">
        <v>45422</v>
      </c>
      <c r="F17" s="51">
        <v>1</v>
      </c>
      <c r="G17" s="122">
        <v>1</v>
      </c>
      <c r="H17" s="51" t="s">
        <v>2616</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c r="V17" s="51" t="s">
        <v>2614</v>
      </c>
      <c r="W17" s="51" t="s">
        <v>2614</v>
      </c>
      <c r="X17" s="121" t="s">
        <v>2614</v>
      </c>
      <c r="Y17" s="51" t="s">
        <v>2614</v>
      </c>
      <c r="Z17" s="51" t="s">
        <v>2614</v>
      </c>
      <c r="AA17" s="51" t="s">
        <v>2614</v>
      </c>
      <c r="AB17" s="51" t="s">
        <v>2614</v>
      </c>
      <c r="AC17" s="51" t="s">
        <v>2614</v>
      </c>
      <c r="AD17" s="51" t="s">
        <v>2614</v>
      </c>
      <c r="AE17" s="51" t="s">
        <v>2614</v>
      </c>
      <c r="AF17" s="51" t="s">
        <v>2614</v>
      </c>
      <c r="AG17" s="51" t="s">
        <v>2614</v>
      </c>
      <c r="AH17" s="51" t="s">
        <v>2614</v>
      </c>
      <c r="AI17" s="51" t="s">
        <v>2614</v>
      </c>
      <c r="AJ17" s="51" t="s">
        <v>2614</v>
      </c>
      <c r="AK17" s="51" t="s">
        <v>2614</v>
      </c>
      <c r="AL17" s="51" t="s">
        <v>2614</v>
      </c>
      <c r="AM17" s="51" t="s">
        <v>2614</v>
      </c>
      <c r="AN17" s="51" t="s">
        <v>2614</v>
      </c>
    </row>
    <row r="18" spans="2:41" s="116" customFormat="1" x14ac:dyDescent="0.25">
      <c r="B18" s="51" t="s">
        <v>2585</v>
      </c>
      <c r="C18" s="51">
        <v>16</v>
      </c>
      <c r="D18" s="51" t="s">
        <v>2651</v>
      </c>
      <c r="E18" s="119">
        <v>45422</v>
      </c>
      <c r="F18" s="51">
        <v>1</v>
      </c>
      <c r="G18" s="122">
        <v>1</v>
      </c>
      <c r="H18" s="51" t="s">
        <v>2616</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c r="X18" s="51" t="s">
        <v>2614</v>
      </c>
      <c r="Y18" s="51" t="s">
        <v>2614</v>
      </c>
      <c r="Z18" s="51" t="s">
        <v>2614</v>
      </c>
      <c r="AA18" s="51" t="s">
        <v>2614</v>
      </c>
      <c r="AB18" s="51" t="s">
        <v>2614</v>
      </c>
      <c r="AC18" s="51" t="s">
        <v>2614</v>
      </c>
      <c r="AD18" s="51" t="s">
        <v>2614</v>
      </c>
      <c r="AE18" s="51" t="s">
        <v>2614</v>
      </c>
      <c r="AF18" s="51" t="s">
        <v>2614</v>
      </c>
      <c r="AG18" s="51" t="s">
        <v>2614</v>
      </c>
      <c r="AH18" s="51" t="s">
        <v>2614</v>
      </c>
      <c r="AI18" s="51" t="s">
        <v>2614</v>
      </c>
      <c r="AJ18" s="51" t="s">
        <v>2614</v>
      </c>
      <c r="AK18" s="51" t="s">
        <v>2614</v>
      </c>
      <c r="AL18" s="51" t="s">
        <v>2614</v>
      </c>
      <c r="AM18" s="51" t="s">
        <v>2614</v>
      </c>
      <c r="AN18" s="51" t="s">
        <v>2614</v>
      </c>
    </row>
    <row r="19" spans="2:41" s="116" customFormat="1" x14ac:dyDescent="0.25">
      <c r="B19" s="51" t="s">
        <v>2587</v>
      </c>
      <c r="C19" s="51">
        <v>17</v>
      </c>
      <c r="D19" s="51" t="s">
        <v>2652</v>
      </c>
      <c r="E19" s="119">
        <v>45422</v>
      </c>
      <c r="F19" s="51">
        <v>1</v>
      </c>
      <c r="G19" s="240">
        <v>0.91980700000000004</v>
      </c>
      <c r="H19" s="122">
        <v>283</v>
      </c>
      <c r="I19" s="51" t="s">
        <v>2614</v>
      </c>
      <c r="J19" s="51" t="s">
        <v>2614</v>
      </c>
      <c r="K19" s="51" t="s">
        <v>2614</v>
      </c>
      <c r="L19" s="51" t="s">
        <v>2614</v>
      </c>
      <c r="M19" s="51" t="s">
        <v>2614</v>
      </c>
      <c r="N19" s="51" t="s">
        <v>2614</v>
      </c>
      <c r="O19" s="51" t="s">
        <v>2614</v>
      </c>
      <c r="P19" s="51" t="s">
        <v>2614</v>
      </c>
      <c r="Q19" s="51" t="s">
        <v>2614</v>
      </c>
      <c r="R19" s="51" t="s">
        <v>2614</v>
      </c>
      <c r="S19" s="51" t="s">
        <v>2614</v>
      </c>
      <c r="T19" s="51" t="s">
        <v>2614</v>
      </c>
      <c r="U19" s="51" t="s">
        <v>2614</v>
      </c>
      <c r="V19" s="51" t="s">
        <v>2614</v>
      </c>
      <c r="W19" s="51" t="s">
        <v>2614</v>
      </c>
      <c r="X19" s="51" t="s">
        <v>2614</v>
      </c>
      <c r="Y19" s="51" t="s">
        <v>2614</v>
      </c>
      <c r="Z19" s="51" t="s">
        <v>2614</v>
      </c>
      <c r="AA19" s="51" t="s">
        <v>2614</v>
      </c>
      <c r="AB19" s="51" t="s">
        <v>2614</v>
      </c>
      <c r="AC19" s="51" t="s">
        <v>2614</v>
      </c>
      <c r="AD19" s="51" t="s">
        <v>2614</v>
      </c>
      <c r="AE19" s="51" t="s">
        <v>2614</v>
      </c>
      <c r="AF19" s="51" t="s">
        <v>2614</v>
      </c>
      <c r="AG19" s="51" t="s">
        <v>2614</v>
      </c>
      <c r="AH19" s="51" t="s">
        <v>2614</v>
      </c>
      <c r="AI19" s="51" t="s">
        <v>2614</v>
      </c>
      <c r="AJ19" s="51" t="s">
        <v>2614</v>
      </c>
      <c r="AK19" s="51" t="s">
        <v>2614</v>
      </c>
      <c r="AL19" s="51" t="s">
        <v>2614</v>
      </c>
      <c r="AM19" s="51" t="s">
        <v>2614</v>
      </c>
      <c r="AN19" s="51" t="s">
        <v>2614</v>
      </c>
    </row>
    <row r="20" spans="2:41" s="116" customFormat="1" x14ac:dyDescent="0.25">
      <c r="B20" s="51" t="s">
        <v>2589</v>
      </c>
      <c r="C20" s="51">
        <v>18</v>
      </c>
      <c r="D20" s="51" t="s">
        <v>2652</v>
      </c>
      <c r="E20" s="119">
        <v>45422</v>
      </c>
      <c r="F20" s="51">
        <v>1</v>
      </c>
      <c r="G20" s="239">
        <v>0.99997199999999997</v>
      </c>
      <c r="H20" s="122">
        <v>2</v>
      </c>
      <c r="I20" s="51" t="s">
        <v>2614</v>
      </c>
      <c r="J20" s="51" t="s">
        <v>2614</v>
      </c>
      <c r="K20" s="51" t="s">
        <v>2614</v>
      </c>
      <c r="L20" s="51" t="s">
        <v>2614</v>
      </c>
      <c r="M20" s="51" t="s">
        <v>2614</v>
      </c>
      <c r="N20" s="51" t="s">
        <v>2614</v>
      </c>
      <c r="O20" s="51" t="s">
        <v>2614</v>
      </c>
      <c r="P20" s="51" t="s">
        <v>2614</v>
      </c>
      <c r="Q20" s="51" t="s">
        <v>2614</v>
      </c>
      <c r="R20" s="51" t="s">
        <v>2614</v>
      </c>
      <c r="S20" s="51" t="s">
        <v>2614</v>
      </c>
      <c r="T20" s="51" t="s">
        <v>2614</v>
      </c>
      <c r="U20" s="51" t="s">
        <v>2614</v>
      </c>
      <c r="V20" s="51" t="s">
        <v>2614</v>
      </c>
      <c r="W20" s="51" t="s">
        <v>2614</v>
      </c>
      <c r="X20" s="51" t="s">
        <v>2614</v>
      </c>
      <c r="Y20" s="51" t="s">
        <v>2614</v>
      </c>
      <c r="Z20" s="51" t="s">
        <v>2614</v>
      </c>
      <c r="AA20" s="51" t="s">
        <v>2614</v>
      </c>
      <c r="AB20" s="51" t="s">
        <v>2614</v>
      </c>
      <c r="AC20" s="51" t="s">
        <v>2614</v>
      </c>
      <c r="AD20" s="51" t="s">
        <v>2614</v>
      </c>
      <c r="AE20" s="51" t="s">
        <v>2614</v>
      </c>
      <c r="AF20" s="51" t="s">
        <v>2614</v>
      </c>
      <c r="AG20" s="51" t="s">
        <v>2614</v>
      </c>
      <c r="AH20" s="51" t="s">
        <v>2614</v>
      </c>
      <c r="AI20" s="51" t="s">
        <v>2614</v>
      </c>
      <c r="AJ20" s="51" t="s">
        <v>2614</v>
      </c>
      <c r="AK20" s="51" t="s">
        <v>2614</v>
      </c>
      <c r="AL20" s="51" t="s">
        <v>2614</v>
      </c>
      <c r="AM20" s="51" t="s">
        <v>2614</v>
      </c>
      <c r="AN20" s="51" t="s">
        <v>2614</v>
      </c>
    </row>
    <row r="21" spans="2:41" s="116" customFormat="1" x14ac:dyDescent="0.25">
      <c r="B21" s="51" t="s">
        <v>2591</v>
      </c>
      <c r="C21" s="51">
        <v>19</v>
      </c>
      <c r="D21" s="51" t="s">
        <v>2653</v>
      </c>
      <c r="E21" s="119">
        <v>45422</v>
      </c>
      <c r="F21" s="51">
        <v>1</v>
      </c>
      <c r="G21" s="221" cm="1">
        <f t="array" ref="G21">SUMPRODUCT(--(ISNUMBER((SEARCH(I27:AN27,I21:AN21)))))/COUNTA(I21:AN21)</f>
        <v>1</v>
      </c>
      <c r="H21" s="51" t="s">
        <v>2616</v>
      </c>
      <c r="I21" s="51" t="s">
        <v>2654</v>
      </c>
      <c r="J21" s="51" t="s">
        <v>2654</v>
      </c>
      <c r="K21" s="51" t="s">
        <v>2654</v>
      </c>
      <c r="L21" s="51" t="s">
        <v>2654</v>
      </c>
      <c r="M21" s="51" t="s">
        <v>2654</v>
      </c>
      <c r="N21" s="51" t="s">
        <v>2654</v>
      </c>
      <c r="O21" s="51" t="s">
        <v>2654</v>
      </c>
      <c r="P21" s="51" t="s">
        <v>2654</v>
      </c>
      <c r="Q21" s="51" t="s">
        <v>2654</v>
      </c>
      <c r="R21" s="51" t="s">
        <v>2654</v>
      </c>
      <c r="S21" s="51" t="s">
        <v>2654</v>
      </c>
      <c r="T21" s="51" t="s">
        <v>2654</v>
      </c>
      <c r="U21" s="51" t="s">
        <v>2654</v>
      </c>
      <c r="V21" s="51" t="s">
        <v>2655</v>
      </c>
      <c r="W21" s="51" t="s">
        <v>2655</v>
      </c>
      <c r="X21" s="51" t="s">
        <v>2655</v>
      </c>
      <c r="Y21" s="51" t="s">
        <v>2655</v>
      </c>
      <c r="Z21" s="51" t="s">
        <v>2655</v>
      </c>
      <c r="AA21" s="51" t="s">
        <v>2654</v>
      </c>
      <c r="AB21" s="51" t="s">
        <v>2654</v>
      </c>
      <c r="AC21" s="51" t="s">
        <v>2655</v>
      </c>
      <c r="AD21" s="51" t="s">
        <v>2655</v>
      </c>
      <c r="AE21" s="51" t="s">
        <v>2654</v>
      </c>
      <c r="AF21" s="51" t="s">
        <v>2654</v>
      </c>
      <c r="AG21" s="51" t="s">
        <v>2655</v>
      </c>
      <c r="AH21" s="51" t="s">
        <v>2655</v>
      </c>
      <c r="AI21" s="51" t="s">
        <v>2655</v>
      </c>
      <c r="AJ21" s="51" t="s">
        <v>2654</v>
      </c>
      <c r="AK21" s="51" t="s">
        <v>2654</v>
      </c>
      <c r="AL21" s="51" t="s">
        <v>2654</v>
      </c>
      <c r="AM21" s="51" t="s">
        <v>2654</v>
      </c>
      <c r="AN21" s="51" t="s">
        <v>2656</v>
      </c>
    </row>
    <row r="22" spans="2:41" s="116" customFormat="1" x14ac:dyDescent="0.25">
      <c r="B22" s="121" t="s">
        <v>2594</v>
      </c>
      <c r="C22" s="51">
        <v>20</v>
      </c>
      <c r="D22" s="51"/>
      <c r="E22" s="119"/>
      <c r="F22" s="119"/>
      <c r="G22" s="221"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x14ac:dyDescent="0.25">
      <c r="B23" s="51" t="s">
        <v>2597</v>
      </c>
      <c r="C23" s="51">
        <v>21</v>
      </c>
      <c r="D23" s="51"/>
      <c r="E23" s="119"/>
      <c r="F23" s="119"/>
      <c r="G23" s="51" cm="1">
        <f t="array" ref="G23">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x14ac:dyDescent="0.25">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x14ac:dyDescent="0.25">
      <c r="B25" s="164" t="s">
        <v>2657</v>
      </c>
      <c r="C25" s="166"/>
      <c r="D25" s="166"/>
      <c r="E25" s="166"/>
      <c r="F25" s="166"/>
      <c r="G25" s="166"/>
      <c r="H25" s="166"/>
    </row>
    <row r="26" spans="2:41" x14ac:dyDescent="0.25">
      <c r="B26" s="157" t="s">
        <v>2658</v>
      </c>
      <c r="C26" s="153" t="s">
        <v>2601</v>
      </c>
      <c r="D26" s="153" t="s">
        <v>2602</v>
      </c>
      <c r="E26" s="153" t="s">
        <v>2603</v>
      </c>
      <c r="F26" s="153" t="s">
        <v>2604</v>
      </c>
      <c r="G26" s="153" t="s">
        <v>2605</v>
      </c>
      <c r="H26" s="153" t="s">
        <v>2606</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x14ac:dyDescent="0.25">
      <c r="B27" s="141" t="s">
        <v>2659</v>
      </c>
      <c r="C27" s="137">
        <v>21</v>
      </c>
      <c r="D27" s="143" t="s">
        <v>2660</v>
      </c>
      <c r="E27" s="142" t="s">
        <v>2661</v>
      </c>
      <c r="F27" s="142" t="s">
        <v>351</v>
      </c>
      <c r="G27" s="142" t="s">
        <v>351</v>
      </c>
      <c r="H27" s="142" t="s">
        <v>351</v>
      </c>
      <c r="I27" s="142" t="str" cm="1">
        <f t="array" ref="I27:AN28">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v>STRING</v>
      </c>
      <c r="K27" s="142" t="str">
        <v>STRING</v>
      </c>
      <c r="L27" s="142" t="str">
        <v>STRING</v>
      </c>
      <c r="M27" s="142" t="str">
        <v>STRING</v>
      </c>
      <c r="N27" s="142" t="str">
        <v>STRING</v>
      </c>
      <c r="O27" s="142" t="str">
        <v>STRING</v>
      </c>
      <c r="P27" s="142" t="str">
        <v>STRING</v>
      </c>
      <c r="Q27" s="142" t="str">
        <v>STRING</v>
      </c>
      <c r="R27" s="142" t="str">
        <v>STRING</v>
      </c>
      <c r="S27" s="142" t="str">
        <v>STRING</v>
      </c>
      <c r="T27" s="142" t="str">
        <v>STRING</v>
      </c>
      <c r="U27" s="142" t="str">
        <v>STRING</v>
      </c>
      <c r="V27" s="142" t="str">
        <v>DECIMAL</v>
      </c>
      <c r="W27" s="142" t="str">
        <v>DECIMAL</v>
      </c>
      <c r="X27" s="142" t="str">
        <v>DECIMAL</v>
      </c>
      <c r="Y27" s="142" t="str">
        <v>DECIMAL</v>
      </c>
      <c r="Z27" s="142" t="str">
        <v>DECIMAL</v>
      </c>
      <c r="AA27" s="142" t="str">
        <v>STRING</v>
      </c>
      <c r="AB27" s="142" t="str">
        <v>STRING</v>
      </c>
      <c r="AC27" s="142" t="str">
        <v>DECIMAL</v>
      </c>
      <c r="AD27" s="142" t="str">
        <v>DECIMAL</v>
      </c>
      <c r="AE27" s="142" t="str">
        <v>STRING</v>
      </c>
      <c r="AF27" s="142" t="str">
        <v>STRING</v>
      </c>
      <c r="AG27" s="142" t="str">
        <v>DECIMAL</v>
      </c>
      <c r="AH27" s="142" t="str">
        <v>DECIMAL</v>
      </c>
      <c r="AI27" s="142" t="str">
        <v>DECIMAL</v>
      </c>
      <c r="AJ27" s="142" t="str">
        <v>STRING</v>
      </c>
      <c r="AK27" s="142" t="str">
        <v>STRING</v>
      </c>
      <c r="AL27" s="142" t="str">
        <v>STRING</v>
      </c>
      <c r="AM27" s="142" t="str">
        <v>STRING</v>
      </c>
      <c r="AN27" s="142" t="str">
        <v>TIMESTAMP</v>
      </c>
    </row>
    <row r="28" spans="2:41" x14ac:dyDescent="0.25">
      <c r="B28" s="145" t="s">
        <v>2662</v>
      </c>
      <c r="C28" s="137">
        <v>7</v>
      </c>
      <c r="D28" s="138" t="s">
        <v>2660</v>
      </c>
      <c r="E28" s="137" t="s">
        <v>2661</v>
      </c>
      <c r="F28" s="167" t="s">
        <v>351</v>
      </c>
      <c r="G28" s="167" t="s">
        <v>351</v>
      </c>
      <c r="H28" s="167" t="s">
        <v>351</v>
      </c>
      <c r="I28" s="167">
        <v>4</v>
      </c>
      <c r="J28" s="167">
        <v>30</v>
      </c>
      <c r="K28" s="167">
        <v>4</v>
      </c>
      <c r="L28" s="167">
        <v>3</v>
      </c>
      <c r="M28" s="167">
        <v>3</v>
      </c>
      <c r="N28" s="167">
        <v>4</v>
      </c>
      <c r="O28" s="167">
        <v>30</v>
      </c>
      <c r="P28" s="167">
        <v>4</v>
      </c>
      <c r="Q28" s="167">
        <v>15</v>
      </c>
      <c r="R28" s="167">
        <v>10</v>
      </c>
      <c r="S28" s="167">
        <v>10</v>
      </c>
      <c r="T28" s="167">
        <v>3</v>
      </c>
      <c r="U28" s="167">
        <v>4</v>
      </c>
      <c r="V28" s="167">
        <v>23</v>
      </c>
      <c r="W28" s="167">
        <v>23</v>
      </c>
      <c r="X28" s="167">
        <v>23</v>
      </c>
      <c r="Y28" s="167">
        <v>23</v>
      </c>
      <c r="Z28" s="167">
        <v>23</v>
      </c>
      <c r="AA28" s="167">
        <v>10</v>
      </c>
      <c r="AB28" s="167">
        <v>10</v>
      </c>
      <c r="AC28" s="167">
        <v>23</v>
      </c>
      <c r="AD28" s="167">
        <v>23</v>
      </c>
      <c r="AE28" s="167">
        <v>3</v>
      </c>
      <c r="AF28" s="167">
        <v>3</v>
      </c>
      <c r="AG28" s="167">
        <v>23</v>
      </c>
      <c r="AH28" s="167">
        <v>23</v>
      </c>
      <c r="AI28" s="167">
        <v>23</v>
      </c>
      <c r="AJ28" s="167">
        <v>3</v>
      </c>
      <c r="AK28" s="167">
        <v>3</v>
      </c>
      <c r="AL28" s="167">
        <v>2</v>
      </c>
      <c r="AM28" s="167">
        <v>10</v>
      </c>
      <c r="AN28" s="167">
        <v>23</v>
      </c>
      <c r="AO28" s="51"/>
    </row>
    <row r="29" spans="2:41" x14ac:dyDescent="0.25">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x14ac:dyDescent="0.25">
      <c r="B30" s="164" t="s">
        <v>2663</v>
      </c>
    </row>
    <row r="31" spans="2:41" x14ac:dyDescent="0.25">
      <c r="B31" s="158" t="s">
        <v>2664</v>
      </c>
      <c r="C31" s="158" t="s">
        <v>2665</v>
      </c>
      <c r="D31" s="159" t="s">
        <v>2666</v>
      </c>
      <c r="E31" s="158" t="s">
        <v>2667</v>
      </c>
      <c r="F31" s="158" t="s">
        <v>2668</v>
      </c>
    </row>
    <row r="32" spans="2:41" ht="30" x14ac:dyDescent="0.25">
      <c r="B32" s="135" t="s">
        <v>2669</v>
      </c>
      <c r="C32" s="139" t="s">
        <v>640</v>
      </c>
      <c r="D32" s="54" t="s">
        <v>2670</v>
      </c>
      <c r="E32" s="170" t="s">
        <v>2671</v>
      </c>
      <c r="F32" s="160" t="s">
        <v>2672</v>
      </c>
    </row>
    <row r="33" spans="2:6" ht="30" x14ac:dyDescent="0.25">
      <c r="B33" s="135" t="s">
        <v>2669</v>
      </c>
      <c r="C33" s="139" t="s">
        <v>649</v>
      </c>
      <c r="D33" s="54" t="s">
        <v>2673</v>
      </c>
      <c r="E33" s="170" t="s">
        <v>2671</v>
      </c>
      <c r="F33" s="160" t="s">
        <v>2672</v>
      </c>
    </row>
    <row r="34" spans="2:6" ht="30" x14ac:dyDescent="0.25">
      <c r="B34" s="135" t="s">
        <v>2669</v>
      </c>
      <c r="C34" s="139" t="s">
        <v>658</v>
      </c>
      <c r="D34" s="54" t="s">
        <v>2673</v>
      </c>
      <c r="E34" s="170" t="s">
        <v>2671</v>
      </c>
      <c r="F34" s="160" t="s">
        <v>2672</v>
      </c>
    </row>
    <row r="35" spans="2:6" ht="75" x14ac:dyDescent="0.25">
      <c r="B35" s="135" t="s">
        <v>2669</v>
      </c>
      <c r="C35" s="139" t="s">
        <v>2607</v>
      </c>
      <c r="D35" s="54" t="s">
        <v>2674</v>
      </c>
      <c r="E35" s="170" t="s">
        <v>2675</v>
      </c>
      <c r="F35" s="160" t="s">
        <v>2676</v>
      </c>
    </row>
    <row r="36" spans="2:6" ht="30" x14ac:dyDescent="0.25">
      <c r="B36" s="135" t="s">
        <v>2677</v>
      </c>
      <c r="C36" s="139" t="s">
        <v>2678</v>
      </c>
      <c r="D36" s="54" t="s">
        <v>2679</v>
      </c>
      <c r="E36" s="170" t="s">
        <v>2680</v>
      </c>
      <c r="F36" s="160" t="s">
        <v>2672</v>
      </c>
    </row>
    <row r="37" spans="2:6" ht="45" x14ac:dyDescent="0.25">
      <c r="B37" s="161" t="s">
        <v>2681</v>
      </c>
      <c r="C37" s="162" t="s">
        <v>2678</v>
      </c>
      <c r="D37" s="163" t="s">
        <v>2682</v>
      </c>
      <c r="E37" s="171" t="s">
        <v>2683</v>
      </c>
      <c r="F37" s="160" t="s">
        <v>2672</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5CF6-4E4E-4F80-BB28-863096E4CFF2}">
  <sheetPr>
    <tabColor rgb="FF00B050"/>
  </sheetPr>
  <dimension ref="B1:AO53"/>
  <sheetViews>
    <sheetView showGridLines="0" workbookViewId="0">
      <selection activeCell="B22" sqref="B22:B23"/>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8" t="s">
        <v>2684</v>
      </c>
      <c r="C2" s="98" t="s">
        <v>2601</v>
      </c>
      <c r="D2" s="98" t="s">
        <v>2602</v>
      </c>
      <c r="E2" s="98" t="s">
        <v>2603</v>
      </c>
      <c r="F2" s="98" t="s">
        <v>2604</v>
      </c>
      <c r="G2" s="98" t="s">
        <v>2605</v>
      </c>
      <c r="H2" s="98" t="s">
        <v>2606</v>
      </c>
      <c r="I2" s="98" t="s">
        <v>138</v>
      </c>
      <c r="J2" s="98" t="s">
        <v>153</v>
      </c>
      <c r="K2" s="98" t="s">
        <v>165</v>
      </c>
      <c r="L2" s="98" t="s">
        <v>173</v>
      </c>
      <c r="M2" s="98" t="s">
        <v>185</v>
      </c>
      <c r="N2" s="98" t="s">
        <v>215</v>
      </c>
      <c r="O2" s="98" t="s">
        <v>227</v>
      </c>
      <c r="P2" s="98" t="s">
        <v>239</v>
      </c>
      <c r="Q2" s="98" t="s">
        <v>254</v>
      </c>
      <c r="R2" s="98" t="s">
        <v>1395</v>
      </c>
      <c r="S2" s="98" t="s">
        <v>1400</v>
      </c>
      <c r="T2" s="98" t="s">
        <v>1406</v>
      </c>
      <c r="U2" s="98" t="s">
        <v>2685</v>
      </c>
      <c r="V2" s="98" t="s">
        <v>2686</v>
      </c>
      <c r="W2" s="98" t="s">
        <v>1429</v>
      </c>
      <c r="X2" s="98" t="s">
        <v>1438</v>
      </c>
      <c r="Y2" s="98" t="s">
        <v>1443</v>
      </c>
      <c r="Z2" s="98" t="s">
        <v>1452</v>
      </c>
      <c r="AA2" s="98" t="s">
        <v>1456</v>
      </c>
      <c r="AB2" s="98" t="s">
        <v>1460</v>
      </c>
      <c r="AC2" s="98" t="s">
        <v>1463</v>
      </c>
      <c r="AD2" s="98" t="s">
        <v>1466</v>
      </c>
      <c r="AE2" s="98" t="s">
        <v>1469</v>
      </c>
      <c r="AF2" s="98" t="s">
        <v>1471</v>
      </c>
      <c r="AG2" s="98" t="s">
        <v>1475</v>
      </c>
      <c r="AH2" s="98" t="s">
        <v>1478</v>
      </c>
      <c r="AI2" s="98" t="s">
        <v>1480</v>
      </c>
      <c r="AJ2" s="98" t="s">
        <v>302</v>
      </c>
      <c r="AK2" s="98" t="s">
        <v>312</v>
      </c>
      <c r="AL2" s="98" t="s">
        <v>323</v>
      </c>
      <c r="AM2" s="98" t="s">
        <v>330</v>
      </c>
      <c r="AN2" s="98" t="s">
        <v>337</v>
      </c>
    </row>
    <row r="3" spans="2:40" x14ac:dyDescent="0.25">
      <c r="B3" s="51" t="s">
        <v>2554</v>
      </c>
      <c r="C3" s="51">
        <v>1</v>
      </c>
      <c r="D3" s="119" t="s">
        <v>2687</v>
      </c>
      <c r="E3" s="119">
        <v>45448</v>
      </c>
      <c r="F3" s="51">
        <v>2</v>
      </c>
      <c r="G3" s="122">
        <v>1</v>
      </c>
      <c r="H3" s="210" t="s">
        <v>2688</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c r="X3" s="51" t="s">
        <v>2614</v>
      </c>
      <c r="Y3" s="51" t="s">
        <v>2614</v>
      </c>
      <c r="Z3" s="51" t="s">
        <v>2614</v>
      </c>
      <c r="AA3" s="51" t="s">
        <v>2614</v>
      </c>
      <c r="AB3" s="51" t="s">
        <v>2614</v>
      </c>
      <c r="AC3" s="51" t="s">
        <v>2614</v>
      </c>
      <c r="AD3" s="51" t="s">
        <v>2614</v>
      </c>
      <c r="AE3" s="51" t="s">
        <v>2614</v>
      </c>
      <c r="AF3" s="51" t="s">
        <v>2614</v>
      </c>
      <c r="AG3" s="51" t="s">
        <v>2614</v>
      </c>
      <c r="AH3" s="51" t="s">
        <v>2614</v>
      </c>
      <c r="AI3" s="51" t="s">
        <v>2614</v>
      </c>
      <c r="AJ3" s="51" t="s">
        <v>2614</v>
      </c>
      <c r="AK3" s="51" t="s">
        <v>2614</v>
      </c>
      <c r="AL3" s="51" t="s">
        <v>2614</v>
      </c>
      <c r="AM3" s="51" t="s">
        <v>2614</v>
      </c>
      <c r="AN3" s="51" t="s">
        <v>2614</v>
      </c>
    </row>
    <row r="4" spans="2:40" x14ac:dyDescent="0.25">
      <c r="B4" s="51" t="s">
        <v>2556</v>
      </c>
      <c r="C4" s="51">
        <v>2</v>
      </c>
      <c r="D4" s="119" t="s">
        <v>2689</v>
      </c>
      <c r="E4" s="119">
        <v>45448</v>
      </c>
      <c r="F4" s="51">
        <v>2</v>
      </c>
      <c r="G4" s="122">
        <v>1</v>
      </c>
      <c r="H4" s="51" t="s">
        <v>2631</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c r="X4" s="51" t="s">
        <v>2614</v>
      </c>
      <c r="Y4" s="51" t="s">
        <v>2614</v>
      </c>
      <c r="Z4" s="51" t="s">
        <v>2614</v>
      </c>
      <c r="AA4" s="51" t="s">
        <v>2614</v>
      </c>
      <c r="AB4" s="51" t="s">
        <v>2614</v>
      </c>
      <c r="AC4" s="51" t="s">
        <v>2614</v>
      </c>
      <c r="AD4" s="51" t="s">
        <v>2614</v>
      </c>
      <c r="AE4" s="51" t="s">
        <v>2614</v>
      </c>
      <c r="AF4" s="51" t="s">
        <v>2614</v>
      </c>
      <c r="AG4" s="51" t="s">
        <v>2614</v>
      </c>
      <c r="AH4" s="51" t="s">
        <v>2614</v>
      </c>
      <c r="AI4" s="51" t="s">
        <v>2614</v>
      </c>
      <c r="AJ4" s="51" t="s">
        <v>2614</v>
      </c>
      <c r="AK4" s="51" t="s">
        <v>2614</v>
      </c>
      <c r="AL4" s="51" t="s">
        <v>2614</v>
      </c>
      <c r="AM4" s="51" t="s">
        <v>2614</v>
      </c>
      <c r="AN4" s="51" t="s">
        <v>2614</v>
      </c>
    </row>
    <row r="5" spans="2:40" x14ac:dyDescent="0.25">
      <c r="B5" s="51" t="s">
        <v>2558</v>
      </c>
      <c r="C5" s="51">
        <v>3</v>
      </c>
      <c r="D5" s="119" t="s">
        <v>2690</v>
      </c>
      <c r="E5" s="119">
        <v>45448</v>
      </c>
      <c r="F5" s="51">
        <v>2</v>
      </c>
      <c r="G5" s="122">
        <v>1</v>
      </c>
      <c r="H5" s="51" t="s">
        <v>2631</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t="s">
        <v>2614</v>
      </c>
      <c r="W5" s="51" t="s">
        <v>2614</v>
      </c>
      <c r="X5" s="51" t="s">
        <v>2614</v>
      </c>
      <c r="Y5" s="51" t="s">
        <v>2614</v>
      </c>
      <c r="Z5" s="51" t="s">
        <v>2614</v>
      </c>
      <c r="AA5" s="51" t="s">
        <v>2614</v>
      </c>
      <c r="AB5" s="51" t="s">
        <v>2614</v>
      </c>
      <c r="AC5" s="51" t="s">
        <v>2614</v>
      </c>
      <c r="AD5" s="51" t="s">
        <v>2614</v>
      </c>
      <c r="AE5" s="51" t="s">
        <v>2614</v>
      </c>
      <c r="AF5" s="51" t="s">
        <v>2614</v>
      </c>
      <c r="AG5" s="51" t="s">
        <v>2614</v>
      </c>
      <c r="AH5" s="51" t="s">
        <v>2614</v>
      </c>
      <c r="AI5" s="51" t="s">
        <v>2614</v>
      </c>
      <c r="AJ5" s="51" t="s">
        <v>2614</v>
      </c>
      <c r="AK5" s="51" t="s">
        <v>2614</v>
      </c>
      <c r="AL5" s="51" t="s">
        <v>2614</v>
      </c>
      <c r="AM5" s="51">
        <v>0</v>
      </c>
      <c r="AN5" s="51" t="s">
        <v>2614</v>
      </c>
    </row>
    <row r="6" spans="2:40" x14ac:dyDescent="0.25">
      <c r="B6" s="121" t="s">
        <v>2560</v>
      </c>
      <c r="C6" s="51">
        <v>4</v>
      </c>
      <c r="D6" s="51" t="s">
        <v>2618</v>
      </c>
      <c r="E6" s="119" t="s">
        <v>2614</v>
      </c>
      <c r="F6" s="51">
        <v>2</v>
      </c>
      <c r="G6" s="119" t="s">
        <v>2614</v>
      </c>
      <c r="H6" s="51"/>
      <c r="I6" s="51" t="s">
        <v>2614</v>
      </c>
      <c r="J6" s="51" t="s">
        <v>2614</v>
      </c>
      <c r="K6" s="51" t="s">
        <v>2614</v>
      </c>
      <c r="L6" s="51" t="s">
        <v>2614</v>
      </c>
      <c r="M6" s="51" t="s">
        <v>2614</v>
      </c>
      <c r="N6" s="51" t="s">
        <v>2614</v>
      </c>
      <c r="O6" s="51" t="s">
        <v>2614</v>
      </c>
      <c r="P6" s="51" t="s">
        <v>2614</v>
      </c>
      <c r="Q6" s="51" t="s">
        <v>2614</v>
      </c>
      <c r="R6" s="51" t="s">
        <v>2614</v>
      </c>
      <c r="S6" s="122" t="s">
        <v>2614</v>
      </c>
      <c r="T6" s="122" t="s">
        <v>2614</v>
      </c>
      <c r="U6" s="51" t="s">
        <v>2614</v>
      </c>
      <c r="V6" s="51" t="s">
        <v>2614</v>
      </c>
      <c r="W6" s="51" t="s">
        <v>2614</v>
      </c>
      <c r="X6" s="51" t="s">
        <v>2614</v>
      </c>
      <c r="Y6" s="51" t="s">
        <v>2614</v>
      </c>
      <c r="Z6" s="51" t="s">
        <v>2614</v>
      </c>
      <c r="AA6" s="51" t="s">
        <v>2614</v>
      </c>
      <c r="AB6" s="51" t="s">
        <v>2614</v>
      </c>
      <c r="AC6" s="51" t="s">
        <v>2614</v>
      </c>
      <c r="AD6" s="51" t="s">
        <v>2614</v>
      </c>
      <c r="AE6" s="51" t="s">
        <v>2614</v>
      </c>
      <c r="AF6" s="51" t="s">
        <v>2614</v>
      </c>
      <c r="AG6" s="51" t="s">
        <v>2614</v>
      </c>
      <c r="AH6" s="51" t="s">
        <v>2614</v>
      </c>
      <c r="AI6" s="51" t="s">
        <v>2614</v>
      </c>
      <c r="AJ6" s="51" t="s">
        <v>2614</v>
      </c>
      <c r="AK6" s="51" t="s">
        <v>2614</v>
      </c>
      <c r="AL6" s="51" t="s">
        <v>2614</v>
      </c>
      <c r="AM6" s="51" t="s">
        <v>2614</v>
      </c>
      <c r="AN6" s="51" t="s">
        <v>2614</v>
      </c>
    </row>
    <row r="7" spans="2:40" x14ac:dyDescent="0.25">
      <c r="B7" s="121" t="s">
        <v>2562</v>
      </c>
      <c r="C7" s="51">
        <v>5</v>
      </c>
      <c r="D7" s="51" t="s">
        <v>2618</v>
      </c>
      <c r="E7" s="119" t="s">
        <v>2614</v>
      </c>
      <c r="F7" s="51">
        <v>2</v>
      </c>
      <c r="G7" s="119" t="s">
        <v>2614</v>
      </c>
      <c r="H7" s="51"/>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c r="X7" s="51" t="s">
        <v>2614</v>
      </c>
      <c r="Y7" s="51" t="s">
        <v>2614</v>
      </c>
      <c r="Z7" s="51" t="s">
        <v>2614</v>
      </c>
      <c r="AA7" s="51" t="s">
        <v>2614</v>
      </c>
      <c r="AB7" s="51" t="s">
        <v>2614</v>
      </c>
      <c r="AC7" s="51" t="s">
        <v>2614</v>
      </c>
      <c r="AD7" s="51" t="s">
        <v>2614</v>
      </c>
      <c r="AE7" s="51" t="s">
        <v>2614</v>
      </c>
      <c r="AF7" s="51" t="s">
        <v>2614</v>
      </c>
      <c r="AG7" s="51" t="s">
        <v>2614</v>
      </c>
      <c r="AH7" s="51" t="s">
        <v>2614</v>
      </c>
      <c r="AI7" s="51" t="s">
        <v>2614</v>
      </c>
      <c r="AJ7" s="51" t="s">
        <v>2614</v>
      </c>
      <c r="AK7" s="51" t="s">
        <v>2614</v>
      </c>
      <c r="AL7" s="51" t="s">
        <v>2614</v>
      </c>
      <c r="AM7" s="51" t="s">
        <v>2614</v>
      </c>
      <c r="AN7" s="51" t="s">
        <v>2614</v>
      </c>
    </row>
    <row r="8" spans="2:40" x14ac:dyDescent="0.25">
      <c r="B8" s="121" t="s">
        <v>2563</v>
      </c>
      <c r="C8" s="51">
        <v>6</v>
      </c>
      <c r="D8" s="119" t="s">
        <v>2691</v>
      </c>
      <c r="E8" s="119">
        <v>45448</v>
      </c>
      <c r="F8" s="51">
        <v>2</v>
      </c>
      <c r="G8" s="51" cm="1">
        <f t="array" ref="G8">SUMPRODUCT(--(I8:AN8&gt;0))/COUNTA(I8:AN8)</f>
        <v>1</v>
      </c>
      <c r="H8" s="51" t="s">
        <v>2631</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x14ac:dyDescent="0.25">
      <c r="B9" s="51" t="s">
        <v>2566</v>
      </c>
      <c r="C9" s="51">
        <v>7</v>
      </c>
      <c r="D9" s="119" t="s">
        <v>2692</v>
      </c>
      <c r="E9" s="119">
        <v>45448</v>
      </c>
      <c r="F9" s="51">
        <v>2</v>
      </c>
      <c r="G9" s="51" cm="1">
        <f t="array" ref="G9">SUMPRODUCT(--(I9:AN9 &lt;= I28:AN28))/COUNTA(I28:AN28)</f>
        <v>0.6875</v>
      </c>
      <c r="H9" s="51" t="s">
        <v>2631</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x14ac:dyDescent="0.25">
      <c r="B10" s="51" t="s">
        <v>2569</v>
      </c>
      <c r="C10" s="51">
        <v>8</v>
      </c>
      <c r="D10" s="119" t="s">
        <v>2693</v>
      </c>
      <c r="E10" s="119">
        <v>45448</v>
      </c>
      <c r="F10" s="51">
        <v>2</v>
      </c>
      <c r="G10" s="119" t="s">
        <v>2614</v>
      </c>
      <c r="H10" s="51" t="s">
        <v>2631</v>
      </c>
      <c r="I10" s="51">
        <v>31</v>
      </c>
      <c r="J10" s="51">
        <v>8.9040009999999996E+21</v>
      </c>
      <c r="K10" s="51" t="s">
        <v>2694</v>
      </c>
      <c r="L10" s="51">
        <v>20</v>
      </c>
      <c r="M10" s="119">
        <v>0</v>
      </c>
      <c r="N10" s="119">
        <v>25601</v>
      </c>
      <c r="O10" s="119">
        <v>2958465</v>
      </c>
      <c r="P10" s="51">
        <v>0</v>
      </c>
      <c r="Q10" s="122">
        <v>0</v>
      </c>
      <c r="R10" s="221">
        <v>-1208895086580000</v>
      </c>
      <c r="S10" s="221" t="s">
        <v>2695</v>
      </c>
      <c r="T10" s="122">
        <v>-1.0000000001641E+17</v>
      </c>
      <c r="U10" s="122" t="s">
        <v>2616</v>
      </c>
      <c r="V10" s="122" t="s">
        <v>2616</v>
      </c>
      <c r="W10" s="122" t="s">
        <v>2616</v>
      </c>
      <c r="X10" s="122" t="s">
        <v>2616</v>
      </c>
      <c r="Y10" s="122" t="s">
        <v>2616</v>
      </c>
      <c r="Z10" s="122" t="s">
        <v>1452</v>
      </c>
      <c r="AA10" s="51" t="s">
        <v>1456</v>
      </c>
      <c r="AB10" s="51" t="s">
        <v>1460</v>
      </c>
      <c r="AC10" s="119" t="s">
        <v>1463</v>
      </c>
      <c r="AD10" s="51" t="s">
        <v>1466</v>
      </c>
      <c r="AE10" s="51" t="s">
        <v>1469</v>
      </c>
      <c r="AF10" s="51" t="s">
        <v>1471</v>
      </c>
      <c r="AG10" s="51" t="s">
        <v>1475</v>
      </c>
      <c r="AH10" s="119" t="s">
        <v>1478</v>
      </c>
      <c r="AI10" s="51" t="s">
        <v>1480</v>
      </c>
      <c r="AJ10" s="51" t="s">
        <v>2696</v>
      </c>
      <c r="AK10" s="51" t="s">
        <v>2626</v>
      </c>
      <c r="AL10" s="119" t="s">
        <v>2697</v>
      </c>
      <c r="AM10" s="119">
        <v>45448</v>
      </c>
      <c r="AN10" s="119" t="s">
        <v>2698</v>
      </c>
    </row>
    <row r="11" spans="2:40" x14ac:dyDescent="0.25">
      <c r="B11" s="51" t="s">
        <v>2571</v>
      </c>
      <c r="C11" s="51">
        <v>9</v>
      </c>
      <c r="D11" s="119" t="s">
        <v>2699</v>
      </c>
      <c r="E11" s="119">
        <v>45448</v>
      </c>
      <c r="F11" s="51">
        <v>2</v>
      </c>
      <c r="G11" s="119" t="s">
        <v>2614</v>
      </c>
      <c r="H11" s="51" t="s">
        <v>2631</v>
      </c>
      <c r="I11" s="51">
        <v>31</v>
      </c>
      <c r="J11" s="51">
        <v>8.9040009999999996E+21</v>
      </c>
      <c r="K11" s="51" t="s">
        <v>2700</v>
      </c>
      <c r="L11" s="51">
        <v>20</v>
      </c>
      <c r="M11" s="119">
        <v>0</v>
      </c>
      <c r="N11" s="119">
        <v>25601</v>
      </c>
      <c r="O11" s="119">
        <v>2958465</v>
      </c>
      <c r="P11" s="51">
        <v>36</v>
      </c>
      <c r="Q11" s="51">
        <v>0</v>
      </c>
      <c r="R11" s="119" t="s">
        <v>2701</v>
      </c>
      <c r="S11" s="119" t="s">
        <v>2702</v>
      </c>
      <c r="T11" s="119" t="s">
        <v>2703</v>
      </c>
      <c r="U11" s="51" t="s">
        <v>2631</v>
      </c>
      <c r="V11" s="51" t="s">
        <v>2631</v>
      </c>
      <c r="W11" s="51" t="s">
        <v>2631</v>
      </c>
      <c r="X11" s="122" t="s">
        <v>2631</v>
      </c>
      <c r="Y11" s="122" t="s">
        <v>2631</v>
      </c>
      <c r="Z11" s="122" t="s">
        <v>1452</v>
      </c>
      <c r="AA11" s="51" t="s">
        <v>1456</v>
      </c>
      <c r="AB11" s="51" t="s">
        <v>1460</v>
      </c>
      <c r="AC11" s="119" t="s">
        <v>1463</v>
      </c>
      <c r="AD11" s="51" t="s">
        <v>1466</v>
      </c>
      <c r="AE11" s="51" t="s">
        <v>1469</v>
      </c>
      <c r="AF11" s="51" t="s">
        <v>1471</v>
      </c>
      <c r="AG11" s="51" t="s">
        <v>1475</v>
      </c>
      <c r="AH11" s="119" t="s">
        <v>1478</v>
      </c>
      <c r="AI11" s="51" t="s">
        <v>1480</v>
      </c>
      <c r="AJ11" s="51">
        <v>0</v>
      </c>
      <c r="AK11" s="51" t="s">
        <v>2704</v>
      </c>
      <c r="AL11" s="119" t="s">
        <v>2697</v>
      </c>
      <c r="AM11" s="119">
        <v>45448</v>
      </c>
      <c r="AN11" s="119" t="s">
        <v>2705</v>
      </c>
    </row>
    <row r="12" spans="2:40" x14ac:dyDescent="0.25">
      <c r="B12" s="121" t="s">
        <v>2573</v>
      </c>
      <c r="C12" s="51">
        <v>10</v>
      </c>
      <c r="D12" s="119" t="s">
        <v>2706</v>
      </c>
      <c r="E12" s="119">
        <v>45448</v>
      </c>
      <c r="F12" s="51">
        <v>2</v>
      </c>
      <c r="G12" s="119" t="s">
        <v>2614</v>
      </c>
      <c r="H12" s="51" t="s">
        <v>2631</v>
      </c>
      <c r="I12" s="51">
        <v>31</v>
      </c>
      <c r="J12" s="51">
        <v>7.0060000328101998E+29</v>
      </c>
      <c r="K12" s="51" t="s">
        <v>2707</v>
      </c>
      <c r="L12" s="51">
        <v>931</v>
      </c>
      <c r="M12" s="119" t="s">
        <v>2708</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1452</v>
      </c>
      <c r="AA12" s="51" t="s">
        <v>1456</v>
      </c>
      <c r="AB12" s="51" t="s">
        <v>1460</v>
      </c>
      <c r="AC12" s="51" t="s">
        <v>1463</v>
      </c>
      <c r="AD12" s="51" t="s">
        <v>1466</v>
      </c>
      <c r="AE12" s="51" t="s">
        <v>1469</v>
      </c>
      <c r="AF12" s="51" t="s">
        <v>1471</v>
      </c>
      <c r="AG12" s="51" t="s">
        <v>1475</v>
      </c>
      <c r="AH12" s="51" t="s">
        <v>1478</v>
      </c>
      <c r="AI12" s="51" t="s">
        <v>1480</v>
      </c>
      <c r="AJ12" s="51" t="s">
        <v>2709</v>
      </c>
      <c r="AK12" s="51" t="s">
        <v>2710</v>
      </c>
      <c r="AL12" s="119" t="s">
        <v>2638</v>
      </c>
      <c r="AM12" s="119">
        <v>45448</v>
      </c>
      <c r="AN12" s="51" t="s">
        <v>2698</v>
      </c>
    </row>
    <row r="13" spans="2:40" x14ac:dyDescent="0.25">
      <c r="B13" s="51" t="s">
        <v>2575</v>
      </c>
      <c r="C13" s="51">
        <v>11</v>
      </c>
      <c r="D13" s="119" t="s">
        <v>2711</v>
      </c>
      <c r="E13" s="119">
        <v>45448</v>
      </c>
      <c r="F13" s="51">
        <v>2</v>
      </c>
      <c r="G13" s="119" t="s">
        <v>2614</v>
      </c>
      <c r="H13" s="51" t="s">
        <v>2631</v>
      </c>
      <c r="I13" s="51">
        <v>31</v>
      </c>
      <c r="J13" s="51">
        <v>7.0060000328101998E+29</v>
      </c>
      <c r="K13" s="51" t="s">
        <v>2712</v>
      </c>
      <c r="L13" s="51">
        <v>931</v>
      </c>
      <c r="M13" s="119" t="s">
        <v>2708</v>
      </c>
      <c r="N13" s="119">
        <v>45448</v>
      </c>
      <c r="O13" s="119">
        <v>2958465</v>
      </c>
      <c r="P13" s="119">
        <v>985</v>
      </c>
      <c r="Q13" s="51">
        <v>1</v>
      </c>
      <c r="R13" s="51" t="s">
        <v>2713</v>
      </c>
      <c r="S13" s="119" t="s">
        <v>2714</v>
      </c>
      <c r="T13" s="119" t="s">
        <v>2715</v>
      </c>
      <c r="U13" s="51" t="s">
        <v>2716</v>
      </c>
      <c r="V13" s="51" t="s">
        <v>2716</v>
      </c>
      <c r="W13" s="51" t="s">
        <v>2717</v>
      </c>
      <c r="X13" s="51" t="s">
        <v>2718</v>
      </c>
      <c r="Y13" s="51" t="s">
        <v>2719</v>
      </c>
      <c r="Z13" s="51" t="s">
        <v>1452</v>
      </c>
      <c r="AA13" s="51" t="s">
        <v>1456</v>
      </c>
      <c r="AB13" s="51" t="s">
        <v>1460</v>
      </c>
      <c r="AC13" s="119" t="s">
        <v>1463</v>
      </c>
      <c r="AD13" s="51" t="s">
        <v>1466</v>
      </c>
      <c r="AE13" s="51" t="s">
        <v>1469</v>
      </c>
      <c r="AF13" s="51" t="s">
        <v>1471</v>
      </c>
      <c r="AG13" s="51" t="s">
        <v>1475</v>
      </c>
      <c r="AH13" s="119" t="s">
        <v>1478</v>
      </c>
      <c r="AI13" s="51" t="s">
        <v>1480</v>
      </c>
      <c r="AJ13" s="51">
        <v>8</v>
      </c>
      <c r="AK13" s="51" t="s">
        <v>2720</v>
      </c>
      <c r="AL13" s="119" t="s">
        <v>2697</v>
      </c>
      <c r="AM13" s="119">
        <v>45448</v>
      </c>
      <c r="AN13" s="119" t="s">
        <v>2721</v>
      </c>
    </row>
    <row r="14" spans="2:40" x14ac:dyDescent="0.25">
      <c r="B14" s="51" t="s">
        <v>2577</v>
      </c>
      <c r="C14" s="51">
        <v>12</v>
      </c>
      <c r="D14" s="119" t="s">
        <v>2722</v>
      </c>
      <c r="E14" s="119">
        <v>45448</v>
      </c>
      <c r="F14" s="51">
        <v>2</v>
      </c>
      <c r="G14" s="122" t="s">
        <v>2723</v>
      </c>
      <c r="H14" s="51" t="s">
        <v>2631</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x14ac:dyDescent="0.25">
      <c r="B15" s="51" t="s">
        <v>2579</v>
      </c>
      <c r="C15" s="51">
        <v>13</v>
      </c>
      <c r="D15" s="119" t="s">
        <v>2724</v>
      </c>
      <c r="E15" s="119">
        <v>45448</v>
      </c>
      <c r="F15" s="51">
        <v>2</v>
      </c>
      <c r="G15" s="122">
        <v>1</v>
      </c>
      <c r="H15" s="122" t="s">
        <v>2631</v>
      </c>
      <c r="I15" s="51" t="s">
        <v>2614</v>
      </c>
      <c r="J15" s="51" t="s">
        <v>2614</v>
      </c>
      <c r="K15" s="51" t="s">
        <v>2614</v>
      </c>
      <c r="L15" s="51" t="s">
        <v>2614</v>
      </c>
      <c r="M15" s="51" t="s">
        <v>2614</v>
      </c>
      <c r="N15" s="121">
        <v>0</v>
      </c>
      <c r="O15" s="121">
        <v>0</v>
      </c>
      <c r="P15" s="121" t="s">
        <v>2614</v>
      </c>
      <c r="Q15" s="121" t="s">
        <v>2614</v>
      </c>
      <c r="R15" s="121" t="s">
        <v>2614</v>
      </c>
      <c r="S15" s="51" t="s">
        <v>2614</v>
      </c>
      <c r="T15" s="121" t="s">
        <v>2614</v>
      </c>
      <c r="U15" s="51" t="s">
        <v>2614</v>
      </c>
      <c r="V15" s="51" t="s">
        <v>2614</v>
      </c>
      <c r="W15" s="51" t="s">
        <v>2614</v>
      </c>
      <c r="X15" s="51" t="s">
        <v>2614</v>
      </c>
      <c r="Y15" s="51" t="s">
        <v>2614</v>
      </c>
      <c r="Z15" s="51" t="s">
        <v>2614</v>
      </c>
      <c r="AA15" s="51" t="s">
        <v>2614</v>
      </c>
      <c r="AB15" s="51" t="s">
        <v>2614</v>
      </c>
      <c r="AC15" s="51" t="s">
        <v>2614</v>
      </c>
      <c r="AD15" s="51" t="s">
        <v>2614</v>
      </c>
      <c r="AE15" s="51" t="s">
        <v>2614</v>
      </c>
      <c r="AF15" s="51" t="s">
        <v>2614</v>
      </c>
      <c r="AG15" s="51" t="s">
        <v>2614</v>
      </c>
      <c r="AH15" s="51" t="s">
        <v>2614</v>
      </c>
      <c r="AI15" s="51" t="s">
        <v>2614</v>
      </c>
      <c r="AJ15" s="51" t="s">
        <v>2614</v>
      </c>
      <c r="AK15" s="51" t="s">
        <v>2614</v>
      </c>
      <c r="AL15" s="51" t="s">
        <v>2614</v>
      </c>
      <c r="AM15" s="51" t="s">
        <v>2614</v>
      </c>
      <c r="AN15" s="51" t="s">
        <v>2614</v>
      </c>
    </row>
    <row r="16" spans="2:40" x14ac:dyDescent="0.25">
      <c r="B16" s="51" t="s">
        <v>2581</v>
      </c>
      <c r="C16" s="51">
        <v>14</v>
      </c>
      <c r="D16" s="119" t="s">
        <v>2725</v>
      </c>
      <c r="E16" s="119">
        <v>45448</v>
      </c>
      <c r="F16" s="51">
        <v>2</v>
      </c>
      <c r="G16" s="122">
        <v>1</v>
      </c>
      <c r="H16" s="122" t="s">
        <v>2631</v>
      </c>
      <c r="I16" s="51">
        <v>0</v>
      </c>
      <c r="J16" s="51">
        <v>0</v>
      </c>
      <c r="K16" s="51">
        <v>0</v>
      </c>
      <c r="L16" s="51">
        <v>0</v>
      </c>
      <c r="M16" s="51">
        <v>0</v>
      </c>
      <c r="N16" s="121" t="s">
        <v>2614</v>
      </c>
      <c r="O16" s="121" t="s">
        <v>2614</v>
      </c>
      <c r="P16" s="51">
        <v>0</v>
      </c>
      <c r="Q16" s="51">
        <v>0</v>
      </c>
      <c r="R16" s="121" t="s">
        <v>2614</v>
      </c>
      <c r="S16" s="121" t="s">
        <v>2614</v>
      </c>
      <c r="T16" s="51" t="s">
        <v>2614</v>
      </c>
      <c r="U16" s="51" t="s">
        <v>2614</v>
      </c>
      <c r="V16" s="51" t="s">
        <v>2614</v>
      </c>
      <c r="W16" s="51" t="s">
        <v>2614</v>
      </c>
      <c r="X16" s="51" t="s">
        <v>2614</v>
      </c>
      <c r="Y16" s="51" t="s">
        <v>2614</v>
      </c>
      <c r="Z16" s="51" t="s">
        <v>2614</v>
      </c>
      <c r="AA16" s="51" t="s">
        <v>2614</v>
      </c>
      <c r="AB16" s="51" t="s">
        <v>2614</v>
      </c>
      <c r="AC16" s="51" t="s">
        <v>2614</v>
      </c>
      <c r="AD16" s="51" t="s">
        <v>2614</v>
      </c>
      <c r="AE16" s="51" t="s">
        <v>2614</v>
      </c>
      <c r="AF16" s="51" t="s">
        <v>2614</v>
      </c>
      <c r="AG16" s="51" t="s">
        <v>2614</v>
      </c>
      <c r="AH16" s="51" t="s">
        <v>2614</v>
      </c>
      <c r="AI16" s="51" t="s">
        <v>2614</v>
      </c>
      <c r="AJ16" s="51">
        <v>0</v>
      </c>
      <c r="AK16" s="51">
        <v>0</v>
      </c>
      <c r="AL16" s="51">
        <v>0</v>
      </c>
      <c r="AM16" s="51" t="s">
        <v>2614</v>
      </c>
      <c r="AN16" s="51" t="s">
        <v>2614</v>
      </c>
    </row>
    <row r="17" spans="2:41" x14ac:dyDescent="0.25">
      <c r="B17" s="51" t="s">
        <v>2583</v>
      </c>
      <c r="C17" s="51">
        <v>15</v>
      </c>
      <c r="D17" s="119" t="s">
        <v>2726</v>
      </c>
      <c r="E17" s="119">
        <v>45448</v>
      </c>
      <c r="F17" s="51">
        <v>2</v>
      </c>
      <c r="G17" s="122">
        <v>1</v>
      </c>
      <c r="H17" s="322" t="s">
        <v>2727</v>
      </c>
      <c r="I17" s="51" t="s">
        <v>2614</v>
      </c>
      <c r="J17" s="51" t="s">
        <v>2614</v>
      </c>
      <c r="K17" s="51" t="s">
        <v>2614</v>
      </c>
      <c r="L17" s="51" t="s">
        <v>2614</v>
      </c>
      <c r="M17" s="51" t="s">
        <v>2614</v>
      </c>
      <c r="N17" s="51" t="s">
        <v>2614</v>
      </c>
      <c r="O17" s="51" t="s">
        <v>2614</v>
      </c>
      <c r="P17" s="51" t="s">
        <v>2614</v>
      </c>
      <c r="Q17" s="121" t="s">
        <v>2614</v>
      </c>
      <c r="R17" s="51" t="s">
        <v>2614</v>
      </c>
      <c r="S17" s="51" t="s">
        <v>2614</v>
      </c>
      <c r="T17" s="51" t="s">
        <v>2614</v>
      </c>
      <c r="U17" s="51" t="s">
        <v>2614</v>
      </c>
      <c r="V17" s="51" t="s">
        <v>2614</v>
      </c>
      <c r="W17" s="51" t="s">
        <v>2614</v>
      </c>
      <c r="X17" s="51" t="s">
        <v>2614</v>
      </c>
      <c r="Y17" s="51" t="s">
        <v>2614</v>
      </c>
      <c r="Z17" s="51" t="s">
        <v>2614</v>
      </c>
      <c r="AA17" s="51" t="s">
        <v>2614</v>
      </c>
      <c r="AB17" s="51" t="s">
        <v>2614</v>
      </c>
      <c r="AC17" s="51" t="s">
        <v>2614</v>
      </c>
      <c r="AD17" s="51" t="s">
        <v>2614</v>
      </c>
      <c r="AE17" s="51" t="s">
        <v>2614</v>
      </c>
      <c r="AF17" s="51" t="s">
        <v>2614</v>
      </c>
      <c r="AG17" s="51" t="s">
        <v>2614</v>
      </c>
      <c r="AH17" s="51" t="s">
        <v>2614</v>
      </c>
      <c r="AI17" s="51" t="s">
        <v>2614</v>
      </c>
      <c r="AJ17" s="51" t="s">
        <v>2614</v>
      </c>
      <c r="AK17" s="51" t="s">
        <v>2614</v>
      </c>
      <c r="AL17" s="51" t="s">
        <v>2614</v>
      </c>
      <c r="AM17" s="51" t="s">
        <v>2614</v>
      </c>
      <c r="AN17" s="51" t="s">
        <v>2614</v>
      </c>
    </row>
    <row r="18" spans="2:41" x14ac:dyDescent="0.25">
      <c r="B18" s="51" t="s">
        <v>2585</v>
      </c>
      <c r="C18" s="51">
        <v>16</v>
      </c>
      <c r="D18" s="119" t="s">
        <v>2726</v>
      </c>
      <c r="E18" s="119">
        <v>45448</v>
      </c>
      <c r="F18" s="51">
        <v>2</v>
      </c>
      <c r="G18" s="122">
        <v>1</v>
      </c>
      <c r="H18" s="221" t="s">
        <v>2631</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c r="X18" s="51" t="s">
        <v>2614</v>
      </c>
      <c r="Y18" s="51" t="s">
        <v>2614</v>
      </c>
      <c r="Z18" s="51" t="s">
        <v>2614</v>
      </c>
      <c r="AA18" s="51" t="s">
        <v>2614</v>
      </c>
      <c r="AB18" s="51" t="s">
        <v>2614</v>
      </c>
      <c r="AC18" s="51" t="s">
        <v>2614</v>
      </c>
      <c r="AD18" s="51" t="s">
        <v>2614</v>
      </c>
      <c r="AE18" s="51" t="s">
        <v>2614</v>
      </c>
      <c r="AF18" s="51" t="s">
        <v>2614</v>
      </c>
      <c r="AG18" s="51" t="s">
        <v>2614</v>
      </c>
      <c r="AH18" s="51" t="s">
        <v>2614</v>
      </c>
      <c r="AI18" s="51" t="s">
        <v>2614</v>
      </c>
      <c r="AJ18" s="51" t="s">
        <v>2614</v>
      </c>
      <c r="AK18" s="51" t="s">
        <v>2614</v>
      </c>
      <c r="AL18" s="51" t="s">
        <v>2614</v>
      </c>
      <c r="AM18" s="51" t="s">
        <v>2614</v>
      </c>
      <c r="AN18" s="51" t="s">
        <v>2614</v>
      </c>
    </row>
    <row r="19" spans="2:41" x14ac:dyDescent="0.25">
      <c r="B19" s="51" t="s">
        <v>2587</v>
      </c>
      <c r="C19" s="51">
        <v>17</v>
      </c>
      <c r="D19" s="119" t="s">
        <v>2728</v>
      </c>
      <c r="E19" s="119">
        <v>45448</v>
      </c>
      <c r="F19" s="51">
        <v>2</v>
      </c>
      <c r="G19" s="51" t="s">
        <v>2729</v>
      </c>
      <c r="H19" s="219" t="s">
        <v>2730</v>
      </c>
      <c r="I19" s="51" t="s">
        <v>2614</v>
      </c>
      <c r="J19" s="51" t="s">
        <v>2614</v>
      </c>
      <c r="K19" s="51" t="s">
        <v>2614</v>
      </c>
      <c r="L19" s="51" t="s">
        <v>2614</v>
      </c>
      <c r="M19" s="51" t="s">
        <v>2614</v>
      </c>
      <c r="N19" s="51" t="s">
        <v>2614</v>
      </c>
      <c r="O19" s="51" t="s">
        <v>2614</v>
      </c>
      <c r="P19" s="121" t="s">
        <v>2614</v>
      </c>
      <c r="Q19" s="121" t="s">
        <v>2614</v>
      </c>
      <c r="R19" s="51" t="s">
        <v>2614</v>
      </c>
      <c r="S19" s="51" t="s">
        <v>2614</v>
      </c>
      <c r="T19" s="51" t="s">
        <v>2614</v>
      </c>
      <c r="U19" s="51" t="s">
        <v>2614</v>
      </c>
      <c r="V19" s="51" t="s">
        <v>2614</v>
      </c>
      <c r="W19" s="51" t="s">
        <v>2614</v>
      </c>
      <c r="X19" s="51" t="s">
        <v>2614</v>
      </c>
      <c r="Y19" s="51" t="s">
        <v>2614</v>
      </c>
      <c r="Z19" s="51" t="s">
        <v>2614</v>
      </c>
      <c r="AA19" s="51" t="s">
        <v>2614</v>
      </c>
      <c r="AB19" s="51" t="s">
        <v>2614</v>
      </c>
      <c r="AC19" s="51" t="s">
        <v>2614</v>
      </c>
      <c r="AD19" s="51" t="s">
        <v>2614</v>
      </c>
      <c r="AE19" s="51" t="s">
        <v>2614</v>
      </c>
      <c r="AF19" s="51" t="s">
        <v>2614</v>
      </c>
      <c r="AG19" s="51" t="s">
        <v>2614</v>
      </c>
      <c r="AH19" s="51" t="s">
        <v>2614</v>
      </c>
      <c r="AI19" s="51" t="s">
        <v>2614</v>
      </c>
      <c r="AJ19" s="51" t="s">
        <v>2614</v>
      </c>
      <c r="AK19" s="51" t="s">
        <v>2614</v>
      </c>
      <c r="AL19" s="51" t="s">
        <v>2614</v>
      </c>
      <c r="AM19" s="51" t="s">
        <v>2614</v>
      </c>
      <c r="AN19" s="51" t="s">
        <v>2614</v>
      </c>
    </row>
    <row r="20" spans="2:41" x14ac:dyDescent="0.25">
      <c r="B20" s="51" t="s">
        <v>2589</v>
      </c>
      <c r="C20" s="51">
        <v>18</v>
      </c>
      <c r="D20" s="119" t="s">
        <v>2728</v>
      </c>
      <c r="E20" s="119">
        <v>45448</v>
      </c>
      <c r="F20" s="51">
        <v>2</v>
      </c>
      <c r="G20" s="51" t="s">
        <v>2731</v>
      </c>
      <c r="H20" s="219" t="s">
        <v>2732</v>
      </c>
      <c r="I20" s="51" t="s">
        <v>2614</v>
      </c>
      <c r="J20" s="51" t="s">
        <v>2614</v>
      </c>
      <c r="K20" s="51" t="s">
        <v>2614</v>
      </c>
      <c r="L20" s="51" t="s">
        <v>2614</v>
      </c>
      <c r="M20" s="51" t="s">
        <v>2614</v>
      </c>
      <c r="N20" s="51" t="s">
        <v>2614</v>
      </c>
      <c r="O20" s="51" t="s">
        <v>2614</v>
      </c>
      <c r="P20" s="51" t="s">
        <v>2614</v>
      </c>
      <c r="Q20" s="51" t="s">
        <v>2614</v>
      </c>
      <c r="R20" s="51" t="s">
        <v>2614</v>
      </c>
      <c r="S20" s="51" t="s">
        <v>2614</v>
      </c>
      <c r="T20" s="51" t="s">
        <v>2614</v>
      </c>
      <c r="U20" s="51" t="s">
        <v>2614</v>
      </c>
      <c r="V20" s="51" t="s">
        <v>2614</v>
      </c>
      <c r="W20" s="51" t="s">
        <v>2614</v>
      </c>
      <c r="X20" s="51" t="s">
        <v>2614</v>
      </c>
      <c r="Y20" s="51" t="s">
        <v>2614</v>
      </c>
      <c r="Z20" s="51" t="s">
        <v>2614</v>
      </c>
      <c r="AA20" s="51" t="s">
        <v>2614</v>
      </c>
      <c r="AB20" s="51" t="s">
        <v>2614</v>
      </c>
      <c r="AC20" s="51" t="s">
        <v>2614</v>
      </c>
      <c r="AD20" s="51" t="s">
        <v>2614</v>
      </c>
      <c r="AE20" s="51" t="s">
        <v>2614</v>
      </c>
      <c r="AF20" s="51" t="s">
        <v>2614</v>
      </c>
      <c r="AG20" s="51" t="s">
        <v>2614</v>
      </c>
      <c r="AH20" s="51" t="s">
        <v>2614</v>
      </c>
      <c r="AI20" s="51" t="s">
        <v>2614</v>
      </c>
      <c r="AJ20" s="51" t="s">
        <v>2614</v>
      </c>
      <c r="AK20" s="51" t="s">
        <v>2614</v>
      </c>
      <c r="AL20" s="51" t="s">
        <v>2614</v>
      </c>
      <c r="AM20" s="51" t="s">
        <v>2614</v>
      </c>
      <c r="AN20" s="51" t="s">
        <v>2614</v>
      </c>
    </row>
    <row r="21" spans="2:41" x14ac:dyDescent="0.25">
      <c r="B21" s="51" t="s">
        <v>2591</v>
      </c>
      <c r="C21" s="51">
        <v>19</v>
      </c>
      <c r="D21" s="119" t="s">
        <v>2733</v>
      </c>
      <c r="E21" s="119">
        <v>45448</v>
      </c>
      <c r="F21" s="51">
        <v>2</v>
      </c>
      <c r="G21" s="224" cm="1">
        <f t="array" ref="G21">SUMPRODUCT(--(ISNUMBER((SEARCH(I27:AN27,I21:AN21)))))/COUNTA(I21:AN21)</f>
        <v>0.8125</v>
      </c>
      <c r="H21" s="51" t="s">
        <v>2631</v>
      </c>
      <c r="I21" s="51" t="s">
        <v>2654</v>
      </c>
      <c r="J21" s="51" t="s">
        <v>2654</v>
      </c>
      <c r="K21" s="51" t="s">
        <v>2654</v>
      </c>
      <c r="L21" s="51" t="s">
        <v>2654</v>
      </c>
      <c r="M21" s="51" t="s">
        <v>2654</v>
      </c>
      <c r="N21" s="51" t="s">
        <v>2654</v>
      </c>
      <c r="O21" s="51" t="s">
        <v>2654</v>
      </c>
      <c r="P21" s="51" t="s">
        <v>2654</v>
      </c>
      <c r="Q21" s="51" t="s">
        <v>2654</v>
      </c>
      <c r="R21" s="51" t="s">
        <v>2655</v>
      </c>
      <c r="S21" s="51" t="s">
        <v>2655</v>
      </c>
      <c r="T21" s="51" t="s">
        <v>2655</v>
      </c>
      <c r="U21" s="51" t="s">
        <v>2655</v>
      </c>
      <c r="V21" s="51" t="s">
        <v>2655</v>
      </c>
      <c r="W21" s="51" t="s">
        <v>2655</v>
      </c>
      <c r="X21" s="51" t="s">
        <v>2655</v>
      </c>
      <c r="Y21" s="51" t="s">
        <v>2655</v>
      </c>
      <c r="Z21" s="51" t="s">
        <v>2654</v>
      </c>
      <c r="AA21" s="51" t="s">
        <v>2654</v>
      </c>
      <c r="AB21" s="51" t="s">
        <v>2654</v>
      </c>
      <c r="AC21" s="51" t="s">
        <v>2654</v>
      </c>
      <c r="AD21" s="51" t="s">
        <v>2654</v>
      </c>
      <c r="AE21" s="51" t="s">
        <v>2654</v>
      </c>
      <c r="AF21" s="51" t="s">
        <v>2654</v>
      </c>
      <c r="AG21" s="51" t="s">
        <v>2654</v>
      </c>
      <c r="AH21" s="51" t="s">
        <v>2654</v>
      </c>
      <c r="AI21" s="51" t="s">
        <v>2654</v>
      </c>
      <c r="AJ21" s="51" t="s">
        <v>2654</v>
      </c>
      <c r="AK21" s="51" t="s">
        <v>2654</v>
      </c>
      <c r="AL21" s="51" t="s">
        <v>2654</v>
      </c>
      <c r="AM21" s="51" t="s">
        <v>2654</v>
      </c>
      <c r="AN21" s="51" t="s">
        <v>2656</v>
      </c>
    </row>
    <row r="22" spans="2:41" x14ac:dyDescent="0.25">
      <c r="B22" s="51" t="s">
        <v>2594</v>
      </c>
      <c r="C22" s="51">
        <v>20</v>
      </c>
      <c r="D22" s="119" t="s">
        <v>2733</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x14ac:dyDescent="0.25">
      <c r="B23" s="51" t="s">
        <v>2597</v>
      </c>
      <c r="C23" s="51">
        <v>21</v>
      </c>
      <c r="D23" s="119" t="s">
        <v>2733</v>
      </c>
      <c r="E23" s="119">
        <v>45448</v>
      </c>
      <c r="F23" s="51">
        <v>2</v>
      </c>
      <c r="G23" s="51" cm="1">
        <f t="array" ref="G23">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x14ac:dyDescent="0.25">
      <c r="AO24" s="235"/>
    </row>
    <row r="25" spans="2:41" x14ac:dyDescent="0.25">
      <c r="B25" s="151" t="s">
        <v>2657</v>
      </c>
      <c r="AO25" s="236"/>
    </row>
    <row r="26" spans="2:41" x14ac:dyDescent="0.25">
      <c r="B26" s="157" t="s">
        <v>2658</v>
      </c>
      <c r="C26" s="153" t="s">
        <v>2601</v>
      </c>
      <c r="D26" s="153" t="s">
        <v>2602</v>
      </c>
      <c r="E26" s="153" t="s">
        <v>2603</v>
      </c>
      <c r="F26" s="153" t="s">
        <v>2604</v>
      </c>
      <c r="G26" s="153" t="s">
        <v>2605</v>
      </c>
      <c r="H26" s="153" t="s">
        <v>2606</v>
      </c>
      <c r="I26" s="234" t="s">
        <v>138</v>
      </c>
      <c r="J26" s="234" t="s">
        <v>153</v>
      </c>
      <c r="K26" s="234" t="s">
        <v>165</v>
      </c>
      <c r="L26" s="234" t="s">
        <v>173</v>
      </c>
      <c r="M26" s="234" t="s">
        <v>185</v>
      </c>
      <c r="N26" s="234" t="s">
        <v>215</v>
      </c>
      <c r="O26" s="234" t="s">
        <v>227</v>
      </c>
      <c r="P26" s="234" t="s">
        <v>239</v>
      </c>
      <c r="Q26" s="234" t="s">
        <v>254</v>
      </c>
      <c r="R26" s="234" t="s">
        <v>1395</v>
      </c>
      <c r="S26" s="234" t="s">
        <v>1400</v>
      </c>
      <c r="T26" s="234" t="s">
        <v>1406</v>
      </c>
      <c r="U26" s="234" t="s">
        <v>2685</v>
      </c>
      <c r="V26" s="234" t="s">
        <v>2686</v>
      </c>
      <c r="W26" s="234" t="s">
        <v>1429</v>
      </c>
      <c r="X26" s="234" t="s">
        <v>1438</v>
      </c>
      <c r="Y26" s="234" t="s">
        <v>1443</v>
      </c>
      <c r="Z26" s="234" t="s">
        <v>1452</v>
      </c>
      <c r="AA26" s="234" t="s">
        <v>1456</v>
      </c>
      <c r="AB26" s="234" t="s">
        <v>1460</v>
      </c>
      <c r="AC26" s="234" t="s">
        <v>1463</v>
      </c>
      <c r="AD26" s="234" t="s">
        <v>1466</v>
      </c>
      <c r="AE26" s="234" t="s">
        <v>1469</v>
      </c>
      <c r="AF26" s="234" t="s">
        <v>1471</v>
      </c>
      <c r="AG26" s="234" t="s">
        <v>1475</v>
      </c>
      <c r="AH26" s="234" t="s">
        <v>1478</v>
      </c>
      <c r="AI26" s="234" t="s">
        <v>1480</v>
      </c>
      <c r="AJ26" s="234" t="s">
        <v>302</v>
      </c>
      <c r="AK26" s="234" t="s">
        <v>312</v>
      </c>
      <c r="AL26" s="234" t="s">
        <v>323</v>
      </c>
      <c r="AM26" s="234" t="s">
        <v>330</v>
      </c>
      <c r="AN26" s="234" t="s">
        <v>337</v>
      </c>
      <c r="AO26" s="237"/>
    </row>
    <row r="27" spans="2:41" x14ac:dyDescent="0.25">
      <c r="B27" s="131" t="s">
        <v>2659</v>
      </c>
      <c r="C27" s="134">
        <v>21</v>
      </c>
      <c r="D27" s="128" t="s">
        <v>2660</v>
      </c>
      <c r="E27" s="127" t="s">
        <v>2661</v>
      </c>
      <c r="F27" s="127" t="s">
        <v>351</v>
      </c>
      <c r="G27" s="127" t="s">
        <v>351</v>
      </c>
      <c r="H27" s="127" t="s">
        <v>351</v>
      </c>
      <c r="I27" s="127" t="str" cm="1">
        <f t="array" ref="I27:AN28">TRANSPOSE(_xlfn.SORTBY(_xlfn._xlws.FILTER(IF(Table3[FORMATO]:Table3[COMP_ CAMPO]&lt;&gt;"",Table3[FORMATO]:Table3[COMP_ CAMPO],9999999),Table3[NOME FÍSICO TABELA]="current_account"), _xlfn._xlws.FILTER(Table3[ORDEM], Table3[NOME FÍSICO TABELA]="current_account"), 1))</f>
        <v>STRING</v>
      </c>
      <c r="J27" s="127" t="str">
        <v>STRING</v>
      </c>
      <c r="K27" s="127" t="str">
        <v>STRING</v>
      </c>
      <c r="L27" s="127" t="str">
        <v>STRING</v>
      </c>
      <c r="M27" s="127" t="str">
        <v>STRING</v>
      </c>
      <c r="N27" s="127" t="str">
        <v>STRING</v>
      </c>
      <c r="O27" s="127" t="str">
        <v>STRING</v>
      </c>
      <c r="P27" s="127" t="str">
        <v>STRING</v>
      </c>
      <c r="Q27" s="127" t="str">
        <v>STRING</v>
      </c>
      <c r="R27" s="127" t="str">
        <v>DECIMAL</v>
      </c>
      <c r="S27" s="127" t="str">
        <v>DECIMAL</v>
      </c>
      <c r="T27" s="127" t="str">
        <v>DECIMAL</v>
      </c>
      <c r="U27" s="127" t="str">
        <v>DECIMAL</v>
      </c>
      <c r="V27" s="127" t="str">
        <v>DECIMAL</v>
      </c>
      <c r="W27" s="127" t="str">
        <v>DECIMAL</v>
      </c>
      <c r="X27" s="127" t="str">
        <v>DECIMAL</v>
      </c>
      <c r="Y27" s="127" t="str">
        <v>DECIMAL</v>
      </c>
      <c r="Z27" s="127" t="str">
        <v>STRING</v>
      </c>
      <c r="AA27" s="127" t="str">
        <v>STRING</v>
      </c>
      <c r="AB27" s="127" t="str">
        <v>DECIMAL</v>
      </c>
      <c r="AC27" s="127" t="str">
        <v>DECIMAL</v>
      </c>
      <c r="AD27" s="127" t="str">
        <v>DECIMAL</v>
      </c>
      <c r="AE27" s="127" t="str">
        <v>STRING</v>
      </c>
      <c r="AF27" s="127" t="str">
        <v>STRING</v>
      </c>
      <c r="AG27" s="127" t="str">
        <v>DECIMAL</v>
      </c>
      <c r="AH27" s="127" t="str">
        <v>DECIMAL</v>
      </c>
      <c r="AI27" s="127" t="str">
        <v>DECIMAL</v>
      </c>
      <c r="AJ27" s="127" t="str">
        <v>STRING</v>
      </c>
      <c r="AK27" s="127" t="str">
        <v>STRING</v>
      </c>
      <c r="AL27" s="127" t="str">
        <v>STRING</v>
      </c>
      <c r="AM27" s="127" t="str">
        <v>STRING</v>
      </c>
      <c r="AN27" s="127" t="str">
        <v>TIMESTAMP</v>
      </c>
    </row>
    <row r="28" spans="2:41" x14ac:dyDescent="0.25">
      <c r="B28" s="131" t="s">
        <v>2662</v>
      </c>
      <c r="C28" s="134">
        <v>7</v>
      </c>
      <c r="D28" s="128" t="s">
        <v>2660</v>
      </c>
      <c r="E28" s="127" t="s">
        <v>2661</v>
      </c>
      <c r="F28" s="129" t="s">
        <v>351</v>
      </c>
      <c r="G28" s="129" t="s">
        <v>351</v>
      </c>
      <c r="H28" s="129" t="s">
        <v>351</v>
      </c>
      <c r="I28" s="175">
        <v>4</v>
      </c>
      <c r="J28" s="175">
        <v>30</v>
      </c>
      <c r="K28" s="175">
        <v>20</v>
      </c>
      <c r="L28" s="175">
        <v>20</v>
      </c>
      <c r="M28" s="175">
        <v>20</v>
      </c>
      <c r="N28" s="175">
        <v>10</v>
      </c>
      <c r="O28" s="175">
        <v>10</v>
      </c>
      <c r="P28" s="175">
        <v>3</v>
      </c>
      <c r="Q28" s="175">
        <v>4</v>
      </c>
      <c r="R28" s="175">
        <v>23</v>
      </c>
      <c r="S28" s="175">
        <v>23</v>
      </c>
      <c r="T28" s="175">
        <v>23</v>
      </c>
      <c r="U28" s="175">
        <v>23</v>
      </c>
      <c r="V28" s="175">
        <v>23</v>
      </c>
      <c r="W28" s="175">
        <v>23</v>
      </c>
      <c r="X28" s="175">
        <v>23</v>
      </c>
      <c r="Y28" s="175">
        <v>23</v>
      </c>
      <c r="Z28" s="175">
        <v>3</v>
      </c>
      <c r="AA28" s="175">
        <v>20</v>
      </c>
      <c r="AB28" s="175">
        <v>23</v>
      </c>
      <c r="AC28" s="175">
        <v>23</v>
      </c>
      <c r="AD28" s="175">
        <v>23</v>
      </c>
      <c r="AE28" s="134">
        <v>3</v>
      </c>
      <c r="AF28" s="134">
        <v>20</v>
      </c>
      <c r="AG28" s="134">
        <v>23</v>
      </c>
      <c r="AH28" s="134">
        <v>23</v>
      </c>
      <c r="AI28" s="134">
        <v>23</v>
      </c>
      <c r="AJ28" s="134">
        <v>3</v>
      </c>
      <c r="AK28" s="134">
        <v>3</v>
      </c>
      <c r="AL28" s="134">
        <v>2</v>
      </c>
      <c r="AM28" s="134">
        <v>10</v>
      </c>
      <c r="AN28" s="134">
        <v>23</v>
      </c>
    </row>
    <row r="30" spans="2:41" x14ac:dyDescent="0.25">
      <c r="B30" s="164" t="s">
        <v>2663</v>
      </c>
    </row>
    <row r="31" spans="2:41" x14ac:dyDescent="0.25">
      <c r="B31" s="158" t="s">
        <v>2664</v>
      </c>
      <c r="C31" s="158" t="s">
        <v>2665</v>
      </c>
      <c r="D31" s="159" t="s">
        <v>2666</v>
      </c>
      <c r="E31" s="158" t="s">
        <v>2667</v>
      </c>
      <c r="F31" s="158" t="s">
        <v>2668</v>
      </c>
    </row>
    <row r="32" spans="2:41" ht="45" x14ac:dyDescent="0.25">
      <c r="B32" s="135" t="s">
        <v>2734</v>
      </c>
      <c r="C32" s="139" t="s">
        <v>292</v>
      </c>
      <c r="D32" s="54" t="s">
        <v>2735</v>
      </c>
      <c r="E32" s="177" t="s">
        <v>2736</v>
      </c>
      <c r="F32" s="160" t="s">
        <v>2672</v>
      </c>
    </row>
    <row r="33" spans="2:16" ht="30" x14ac:dyDescent="0.25">
      <c r="B33" s="135" t="s">
        <v>2737</v>
      </c>
      <c r="C33" s="139" t="s">
        <v>2738</v>
      </c>
      <c r="D33" s="54" t="s">
        <v>2739</v>
      </c>
      <c r="E33" s="177" t="s">
        <v>2740</v>
      </c>
      <c r="F33" s="160" t="s">
        <v>2741</v>
      </c>
    </row>
    <row r="34" spans="2:16" ht="90" x14ac:dyDescent="0.25">
      <c r="B34" s="135" t="s">
        <v>2677</v>
      </c>
      <c r="C34" s="139" t="s">
        <v>2678</v>
      </c>
      <c r="D34" s="54" t="s">
        <v>2742</v>
      </c>
      <c r="E34" s="177" t="s">
        <v>2743</v>
      </c>
      <c r="F34" s="160" t="s">
        <v>2744</v>
      </c>
    </row>
    <row r="35" spans="2:16" ht="60" x14ac:dyDescent="0.25">
      <c r="B35" s="135" t="s">
        <v>2681</v>
      </c>
      <c r="C35" s="139" t="s">
        <v>2678</v>
      </c>
      <c r="D35" s="54" t="s">
        <v>2745</v>
      </c>
      <c r="E35" s="177" t="s">
        <v>2746</v>
      </c>
      <c r="F35" s="160" t="s">
        <v>2747</v>
      </c>
    </row>
    <row r="36" spans="2:16" ht="30" x14ac:dyDescent="0.25">
      <c r="B36" s="135" t="s">
        <v>2748</v>
      </c>
      <c r="C36" s="139" t="s">
        <v>1460</v>
      </c>
      <c r="D36" s="54" t="s">
        <v>2749</v>
      </c>
      <c r="E36" s="177" t="s">
        <v>2750</v>
      </c>
      <c r="F36" s="160" t="s">
        <v>2672</v>
      </c>
    </row>
    <row r="37" spans="2:16" ht="30" x14ac:dyDescent="0.25">
      <c r="B37" s="135" t="s">
        <v>2748</v>
      </c>
      <c r="C37" s="139" t="s">
        <v>1463</v>
      </c>
      <c r="D37" s="54" t="s">
        <v>2749</v>
      </c>
      <c r="E37" s="177" t="s">
        <v>2750</v>
      </c>
      <c r="F37" s="160" t="s">
        <v>2672</v>
      </c>
    </row>
    <row r="38" spans="2:16" ht="30" x14ac:dyDescent="0.25">
      <c r="B38" s="135" t="s">
        <v>2748</v>
      </c>
      <c r="C38" s="139" t="s">
        <v>1466</v>
      </c>
      <c r="D38" s="54" t="s">
        <v>2749</v>
      </c>
      <c r="E38" s="177" t="s">
        <v>2750</v>
      </c>
      <c r="F38" s="160" t="s">
        <v>2672</v>
      </c>
      <c r="I38" s="182"/>
      <c r="J38" s="182"/>
      <c r="K38" s="182"/>
      <c r="L38" s="182"/>
      <c r="M38" s="182"/>
      <c r="N38" s="182"/>
      <c r="O38" s="182"/>
      <c r="P38" s="182"/>
    </row>
    <row r="39" spans="2:16" ht="30" x14ac:dyDescent="0.25">
      <c r="B39" s="135" t="s">
        <v>2748</v>
      </c>
      <c r="C39" s="139" t="s">
        <v>1475</v>
      </c>
      <c r="D39" s="54" t="s">
        <v>2749</v>
      </c>
      <c r="E39" s="177" t="s">
        <v>2750</v>
      </c>
      <c r="F39" s="160" t="s">
        <v>2672</v>
      </c>
      <c r="I39" s="182"/>
      <c r="J39" s="182"/>
      <c r="K39" s="182"/>
      <c r="L39" s="182"/>
      <c r="M39" s="182"/>
      <c r="N39" s="182"/>
      <c r="O39" s="182"/>
      <c r="P39" s="182"/>
    </row>
    <row r="40" spans="2:16" ht="30" x14ac:dyDescent="0.25">
      <c r="B40" s="135" t="s">
        <v>2748</v>
      </c>
      <c r="C40" s="139" t="s">
        <v>1478</v>
      </c>
      <c r="D40" s="54" t="s">
        <v>2749</v>
      </c>
      <c r="E40" s="177" t="s">
        <v>2750</v>
      </c>
      <c r="F40" s="160" t="s">
        <v>2672</v>
      </c>
    </row>
    <row r="41" spans="2:16" ht="30" x14ac:dyDescent="0.25">
      <c r="B41" s="135" t="s">
        <v>2748</v>
      </c>
      <c r="C41" s="139" t="s">
        <v>1480</v>
      </c>
      <c r="D41" s="54" t="s">
        <v>2749</v>
      </c>
      <c r="E41" s="177" t="s">
        <v>2750</v>
      </c>
      <c r="F41" s="160" t="s">
        <v>2672</v>
      </c>
    </row>
    <row r="52" spans="7:7" x14ac:dyDescent="0.25">
      <c r="G52" s="223"/>
    </row>
    <row r="53" spans="7:7" x14ac:dyDescent="0.25">
      <c r="G53" s="223"/>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2F31-B8C5-40C4-87E3-34B8B55FC319}">
  <sheetPr>
    <tabColor rgb="FF00B050"/>
  </sheetPr>
  <dimension ref="B1:AE37"/>
  <sheetViews>
    <sheetView showGridLines="0" topLeftCell="D10" workbookViewId="0">
      <selection activeCell="I25" sqref="I25"/>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26.85546875" bestFit="1" customWidth="1"/>
    <col min="30" max="30" width="30.7109375" bestFit="1" customWidth="1"/>
    <col min="31" max="31" width="35.7109375" customWidth="1"/>
  </cols>
  <sheetData>
    <row r="1" spans="2:29" ht="27.75" customHeight="1" x14ac:dyDescent="0.25"/>
    <row r="2" spans="2:29" x14ac:dyDescent="0.25">
      <c r="B2" s="98" t="s">
        <v>2658</v>
      </c>
      <c r="C2" s="98" t="s">
        <v>2601</v>
      </c>
      <c r="D2" s="98" t="s">
        <v>2602</v>
      </c>
      <c r="E2" s="98" t="s">
        <v>2603</v>
      </c>
      <c r="F2" s="98" t="s">
        <v>2604</v>
      </c>
      <c r="G2" s="98" t="s">
        <v>2605</v>
      </c>
      <c r="H2" s="98" t="s">
        <v>2606</v>
      </c>
      <c r="I2" s="98" t="s">
        <v>138</v>
      </c>
      <c r="J2" s="98" t="s">
        <v>153</v>
      </c>
      <c r="K2" s="98" t="s">
        <v>165</v>
      </c>
      <c r="L2" s="98" t="s">
        <v>173</v>
      </c>
      <c r="M2" s="98" t="s">
        <v>185</v>
      </c>
      <c r="N2" s="98" t="s">
        <v>194</v>
      </c>
      <c r="O2" s="98" t="s">
        <v>204</v>
      </c>
      <c r="P2" s="98" t="s">
        <v>215</v>
      </c>
      <c r="Q2" s="98" t="s">
        <v>227</v>
      </c>
      <c r="R2" s="98" t="s">
        <v>239</v>
      </c>
      <c r="S2" s="98" t="s">
        <v>254</v>
      </c>
      <c r="T2" s="98" t="s">
        <v>2751</v>
      </c>
      <c r="U2" s="98" t="s">
        <v>2752</v>
      </c>
      <c r="V2" s="98" t="s">
        <v>2753</v>
      </c>
      <c r="W2" s="98" t="s">
        <v>282</v>
      </c>
      <c r="X2" s="98" t="s">
        <v>292</v>
      </c>
      <c r="Y2" s="98" t="s">
        <v>302</v>
      </c>
      <c r="Z2" s="98" t="s">
        <v>312</v>
      </c>
      <c r="AA2" s="98" t="s">
        <v>323</v>
      </c>
      <c r="AB2" s="98" t="s">
        <v>330</v>
      </c>
      <c r="AC2" s="98" t="s">
        <v>337</v>
      </c>
    </row>
    <row r="3" spans="2:29" x14ac:dyDescent="0.25">
      <c r="B3" s="51" t="s">
        <v>2554</v>
      </c>
      <c r="C3" s="51">
        <v>1</v>
      </c>
      <c r="D3" s="51" t="s">
        <v>2754</v>
      </c>
      <c r="E3" s="119">
        <v>45439</v>
      </c>
      <c r="F3" s="51">
        <v>1</v>
      </c>
      <c r="G3" s="122">
        <v>1</v>
      </c>
      <c r="H3" s="51">
        <v>21676</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c r="X3" s="51" t="s">
        <v>2614</v>
      </c>
      <c r="Y3" s="51" t="s">
        <v>2614</v>
      </c>
      <c r="Z3" s="51" t="s">
        <v>2614</v>
      </c>
      <c r="AA3" s="51" t="s">
        <v>2614</v>
      </c>
      <c r="AB3" s="51" t="s">
        <v>2614</v>
      </c>
      <c r="AC3" s="51" t="s">
        <v>2614</v>
      </c>
    </row>
    <row r="4" spans="2:29" x14ac:dyDescent="0.25">
      <c r="B4" s="51" t="s">
        <v>2556</v>
      </c>
      <c r="C4" s="51">
        <v>2</v>
      </c>
      <c r="D4" s="51" t="s">
        <v>2755</v>
      </c>
      <c r="E4" s="119">
        <v>45439</v>
      </c>
      <c r="F4" s="51">
        <v>1</v>
      </c>
      <c r="G4" s="122">
        <v>1</v>
      </c>
      <c r="H4" s="51" t="s">
        <v>2631</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c r="X4" s="51" t="s">
        <v>2614</v>
      </c>
      <c r="Y4" s="51" t="s">
        <v>2614</v>
      </c>
      <c r="Z4" s="51" t="s">
        <v>2614</v>
      </c>
      <c r="AA4" s="51" t="s">
        <v>2614</v>
      </c>
      <c r="AB4" s="51" t="s">
        <v>2614</v>
      </c>
      <c r="AC4" s="51" t="s">
        <v>2614</v>
      </c>
    </row>
    <row r="5" spans="2:29" x14ac:dyDescent="0.25">
      <c r="B5" s="51" t="s">
        <v>2558</v>
      </c>
      <c r="C5" s="51">
        <v>3</v>
      </c>
      <c r="D5" s="51" t="s">
        <v>2756</v>
      </c>
      <c r="E5" s="119">
        <v>45439</v>
      </c>
      <c r="F5" s="51">
        <v>1</v>
      </c>
      <c r="G5" s="122">
        <v>1</v>
      </c>
      <c r="H5" s="51" t="s">
        <v>2631</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t="s">
        <v>2614</v>
      </c>
      <c r="W5" s="51" t="s">
        <v>2614</v>
      </c>
      <c r="X5" s="51" t="s">
        <v>2614</v>
      </c>
      <c r="Y5" s="51" t="s">
        <v>2614</v>
      </c>
      <c r="Z5" s="51" t="s">
        <v>2614</v>
      </c>
      <c r="AA5" s="51" t="s">
        <v>2614</v>
      </c>
      <c r="AB5" s="51">
        <v>0</v>
      </c>
      <c r="AC5" s="51" t="s">
        <v>2614</v>
      </c>
    </row>
    <row r="6" spans="2:29" x14ac:dyDescent="0.25">
      <c r="B6" s="121" t="s">
        <v>2560</v>
      </c>
      <c r="C6" s="51">
        <v>4</v>
      </c>
      <c r="D6" s="51" t="s">
        <v>2618</v>
      </c>
      <c r="E6" s="119" t="s">
        <v>2614</v>
      </c>
      <c r="F6" s="51">
        <v>1</v>
      </c>
      <c r="G6" s="119"/>
      <c r="H6" s="51" t="s">
        <v>2631</v>
      </c>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c r="V6" s="51" t="s">
        <v>2614</v>
      </c>
      <c r="W6" s="51" t="s">
        <v>2614</v>
      </c>
      <c r="X6" s="51" t="s">
        <v>2614</v>
      </c>
      <c r="Y6" s="51" t="s">
        <v>2614</v>
      </c>
      <c r="Z6" s="51" t="s">
        <v>2614</v>
      </c>
      <c r="AA6" s="51" t="s">
        <v>2614</v>
      </c>
      <c r="AB6" s="51" t="s">
        <v>2614</v>
      </c>
      <c r="AC6" s="51" t="s">
        <v>2614</v>
      </c>
    </row>
    <row r="7" spans="2:29" x14ac:dyDescent="0.25">
      <c r="B7" s="51" t="s">
        <v>2562</v>
      </c>
      <c r="C7" s="51">
        <v>5</v>
      </c>
      <c r="D7" s="51" t="s">
        <v>2618</v>
      </c>
      <c r="E7" s="119" t="s">
        <v>2614</v>
      </c>
      <c r="F7" s="51">
        <v>1</v>
      </c>
      <c r="G7" s="119"/>
      <c r="H7" s="51" t="s">
        <v>2631</v>
      </c>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c r="X7" s="51" t="s">
        <v>2614</v>
      </c>
      <c r="Y7" s="51" t="s">
        <v>2614</v>
      </c>
      <c r="Z7" s="51" t="s">
        <v>2614</v>
      </c>
      <c r="AA7" s="51" t="s">
        <v>2614</v>
      </c>
      <c r="AB7" s="51" t="s">
        <v>2614</v>
      </c>
      <c r="AC7" s="51" t="s">
        <v>2614</v>
      </c>
    </row>
    <row r="8" spans="2:29" x14ac:dyDescent="0.25">
      <c r="B8" s="51" t="s">
        <v>2563</v>
      </c>
      <c r="C8" s="51">
        <v>6</v>
      </c>
      <c r="D8" s="51" t="s">
        <v>2757</v>
      </c>
      <c r="E8" s="119">
        <v>45439</v>
      </c>
      <c r="F8" s="51">
        <v>1</v>
      </c>
      <c r="G8" s="51"/>
      <c r="H8" s="51" t="s">
        <v>2631</v>
      </c>
      <c r="I8" s="51">
        <v>2</v>
      </c>
      <c r="J8" s="51">
        <v>30</v>
      </c>
      <c r="K8" s="51">
        <v>3</v>
      </c>
      <c r="L8" s="51">
        <v>3</v>
      </c>
      <c r="M8" s="51">
        <v>3</v>
      </c>
      <c r="N8" s="51">
        <v>2</v>
      </c>
      <c r="O8" s="51">
        <v>4</v>
      </c>
      <c r="P8" s="51">
        <v>10</v>
      </c>
      <c r="Q8" s="51">
        <v>10</v>
      </c>
      <c r="R8" s="51">
        <v>3</v>
      </c>
      <c r="S8" s="51">
        <v>1</v>
      </c>
      <c r="T8" s="51">
        <v>8</v>
      </c>
      <c r="U8" s="51">
        <v>8</v>
      </c>
      <c r="V8" s="51">
        <v>8</v>
      </c>
      <c r="W8" s="51">
        <v>8</v>
      </c>
      <c r="X8" s="51">
        <v>8</v>
      </c>
      <c r="Y8" s="51">
        <v>3</v>
      </c>
      <c r="Z8" s="51">
        <v>3</v>
      </c>
      <c r="AA8" s="51">
        <v>2</v>
      </c>
      <c r="AB8" s="51">
        <v>10</v>
      </c>
      <c r="AC8" s="51">
        <v>23</v>
      </c>
    </row>
    <row r="9" spans="2:29" x14ac:dyDescent="0.25">
      <c r="B9" s="51" t="s">
        <v>2566</v>
      </c>
      <c r="C9" s="51">
        <v>7</v>
      </c>
      <c r="D9" s="51" t="s">
        <v>2758</v>
      </c>
      <c r="E9" s="119">
        <v>45439</v>
      </c>
      <c r="F9" s="51">
        <v>1</v>
      </c>
      <c r="G9" s="51"/>
      <c r="H9" s="51" t="s">
        <v>2631</v>
      </c>
      <c r="I9" s="51">
        <v>2</v>
      </c>
      <c r="J9" s="51">
        <v>30</v>
      </c>
      <c r="K9" s="51">
        <v>3</v>
      </c>
      <c r="L9" s="51">
        <v>3</v>
      </c>
      <c r="M9" s="51">
        <v>3</v>
      </c>
      <c r="N9" s="51">
        <v>4</v>
      </c>
      <c r="O9" s="51">
        <v>30</v>
      </c>
      <c r="P9" s="51">
        <v>10</v>
      </c>
      <c r="Q9" s="51">
        <v>10</v>
      </c>
      <c r="R9" s="51">
        <v>3</v>
      </c>
      <c r="S9" s="51">
        <v>1</v>
      </c>
      <c r="T9" s="51">
        <v>15</v>
      </c>
      <c r="U9" s="51">
        <v>15</v>
      </c>
      <c r="V9" s="51">
        <v>15</v>
      </c>
      <c r="W9" s="51">
        <v>13</v>
      </c>
      <c r="X9" s="51">
        <v>13</v>
      </c>
      <c r="Y9" s="51">
        <v>3</v>
      </c>
      <c r="Z9" s="51">
        <v>3</v>
      </c>
      <c r="AA9" s="51">
        <v>2</v>
      </c>
      <c r="AB9" s="51">
        <v>10</v>
      </c>
      <c r="AC9" s="51">
        <v>23</v>
      </c>
    </row>
    <row r="10" spans="2:29" x14ac:dyDescent="0.25">
      <c r="B10" s="121" t="s">
        <v>2569</v>
      </c>
      <c r="C10" s="51">
        <v>8</v>
      </c>
      <c r="D10" s="51" t="s">
        <v>2759</v>
      </c>
      <c r="E10" s="119">
        <v>45439</v>
      </c>
      <c r="F10" s="51">
        <v>1</v>
      </c>
      <c r="G10" s="119"/>
      <c r="H10" s="51" t="s">
        <v>2631</v>
      </c>
      <c r="I10" s="51">
        <v>31</v>
      </c>
      <c r="J10" s="51">
        <v>162304820002470</v>
      </c>
      <c r="K10" s="51" t="s">
        <v>2622</v>
      </c>
      <c r="L10" s="51">
        <v>29</v>
      </c>
      <c r="M10" s="51">
        <v>2</v>
      </c>
      <c r="N10" s="51" t="e">
        <v>#N/A</v>
      </c>
      <c r="O10" s="119" t="e">
        <v>#N/A</v>
      </c>
      <c r="P10" s="119">
        <v>21939</v>
      </c>
      <c r="Q10" s="122" t="s">
        <v>2623</v>
      </c>
      <c r="R10" s="51">
        <v>978</v>
      </c>
      <c r="S10" s="119">
        <v>0</v>
      </c>
      <c r="T10" s="119" t="s">
        <v>2616</v>
      </c>
      <c r="U10" s="51" t="s">
        <v>2616</v>
      </c>
      <c r="V10" s="51" t="s">
        <v>2616</v>
      </c>
      <c r="W10" s="122">
        <v>-754910000</v>
      </c>
      <c r="X10" s="51" t="s">
        <v>2616</v>
      </c>
      <c r="Y10" s="51" t="s">
        <v>2622</v>
      </c>
      <c r="Z10" s="122" t="s">
        <v>2626</v>
      </c>
      <c r="AA10" s="51" t="s">
        <v>2760</v>
      </c>
      <c r="AB10" s="119">
        <v>45438</v>
      </c>
      <c r="AC10" s="119" t="s">
        <v>2761</v>
      </c>
    </row>
    <row r="11" spans="2:29" x14ac:dyDescent="0.25">
      <c r="B11" s="51" t="s">
        <v>2571</v>
      </c>
      <c r="C11" s="51">
        <v>9</v>
      </c>
      <c r="D11" s="51" t="s">
        <v>2762</v>
      </c>
      <c r="E11" s="119">
        <v>45439</v>
      </c>
      <c r="F11" s="51">
        <v>1</v>
      </c>
      <c r="G11" s="119"/>
      <c r="H11" s="51" t="s">
        <v>2631</v>
      </c>
      <c r="I11" s="51">
        <v>31</v>
      </c>
      <c r="J11" s="51">
        <v>162304820002470</v>
      </c>
      <c r="K11" s="51"/>
      <c r="L11" s="51">
        <v>29</v>
      </c>
      <c r="M11" s="51">
        <v>2</v>
      </c>
      <c r="N11" s="51"/>
      <c r="O11" s="119" t="e">
        <v>#N/A</v>
      </c>
      <c r="P11" s="119">
        <v>21939</v>
      </c>
      <c r="Q11" s="51" t="s">
        <v>2623</v>
      </c>
      <c r="R11" s="51">
        <v>978</v>
      </c>
      <c r="S11" s="119">
        <v>0</v>
      </c>
      <c r="T11" s="119" t="s">
        <v>2616</v>
      </c>
      <c r="U11" s="51" t="s">
        <v>2616</v>
      </c>
      <c r="V11" s="51" t="s">
        <v>2616</v>
      </c>
      <c r="W11" s="122">
        <v>-754910000</v>
      </c>
      <c r="X11" s="51" t="s">
        <v>2616</v>
      </c>
      <c r="Y11" s="51">
        <v>0</v>
      </c>
      <c r="Z11" s="122" t="s">
        <v>2634</v>
      </c>
      <c r="AA11" s="51" t="s">
        <v>2760</v>
      </c>
      <c r="AB11" s="119">
        <v>45438</v>
      </c>
      <c r="AC11" s="119" t="s">
        <v>2763</v>
      </c>
    </row>
    <row r="12" spans="2:29" x14ac:dyDescent="0.25">
      <c r="B12" s="51" t="s">
        <v>2573</v>
      </c>
      <c r="C12" s="51">
        <v>10</v>
      </c>
      <c r="D12" s="51" t="s">
        <v>2764</v>
      </c>
      <c r="E12" s="119">
        <v>45439</v>
      </c>
      <c r="F12" s="51">
        <v>1</v>
      </c>
      <c r="G12" s="119"/>
      <c r="H12" s="51" t="s">
        <v>2631</v>
      </c>
      <c r="I12" s="51">
        <v>31</v>
      </c>
      <c r="J12" s="51">
        <v>3.1173762502900003E+26</v>
      </c>
      <c r="K12" s="51" t="s">
        <v>2622</v>
      </c>
      <c r="L12" s="51">
        <v>48</v>
      </c>
      <c r="M12" s="51">
        <v>213</v>
      </c>
      <c r="N12" s="51">
        <v>31</v>
      </c>
      <c r="O12" s="221">
        <v>2.3960180788801999E+29</v>
      </c>
      <c r="P12" s="119">
        <v>45447</v>
      </c>
      <c r="Q12" s="119">
        <v>2958465</v>
      </c>
      <c r="R12" s="51" t="s">
        <v>2765</v>
      </c>
      <c r="S12" s="119">
        <v>1</v>
      </c>
      <c r="T12" s="221">
        <v>58769262340000</v>
      </c>
      <c r="U12" s="122">
        <v>58769262340000</v>
      </c>
      <c r="V12" s="122">
        <v>58769262340000</v>
      </c>
      <c r="W12" s="122">
        <v>774352080000</v>
      </c>
      <c r="X12" s="122">
        <v>325186000000</v>
      </c>
      <c r="Y12" s="122" t="s">
        <v>2622</v>
      </c>
      <c r="Z12" s="122" t="s">
        <v>2626</v>
      </c>
      <c r="AA12" s="51" t="s">
        <v>2638</v>
      </c>
      <c r="AB12" s="119">
        <v>45450</v>
      </c>
      <c r="AC12" s="119" t="s">
        <v>2761</v>
      </c>
    </row>
    <row r="13" spans="2:29" x14ac:dyDescent="0.25">
      <c r="B13" s="51" t="s">
        <v>2575</v>
      </c>
      <c r="C13" s="51">
        <v>11</v>
      </c>
      <c r="D13" s="51" t="s">
        <v>2766</v>
      </c>
      <c r="E13" s="119">
        <v>45439</v>
      </c>
      <c r="F13" s="51">
        <v>1</v>
      </c>
      <c r="G13" s="119"/>
      <c r="H13" s="51" t="s">
        <v>2631</v>
      </c>
      <c r="I13" s="51">
        <v>31</v>
      </c>
      <c r="J13" s="51">
        <v>3.1173762502900003E+26</v>
      </c>
      <c r="K13" s="51"/>
      <c r="L13" s="51">
        <v>48</v>
      </c>
      <c r="M13" s="51">
        <v>213</v>
      </c>
      <c r="N13" s="51" t="e">
        <v>#N/A</v>
      </c>
      <c r="O13" s="221">
        <v>2.3960180788801999E+29</v>
      </c>
      <c r="P13" s="119">
        <v>45447</v>
      </c>
      <c r="Q13" s="119">
        <v>2958465</v>
      </c>
      <c r="R13" s="51" t="s">
        <v>2765</v>
      </c>
      <c r="S13" s="119">
        <v>1</v>
      </c>
      <c r="T13" s="221">
        <v>58769262340000</v>
      </c>
      <c r="U13" s="122">
        <v>58769262340000</v>
      </c>
      <c r="V13" s="122">
        <v>58769262340000</v>
      </c>
      <c r="W13" s="122">
        <v>774352080000</v>
      </c>
      <c r="X13" s="122">
        <v>325186000000</v>
      </c>
      <c r="Y13" s="122" t="s">
        <v>2767</v>
      </c>
      <c r="Z13" s="122" t="s">
        <v>2768</v>
      </c>
      <c r="AA13" s="51" t="s">
        <v>2638</v>
      </c>
      <c r="AB13" s="119">
        <v>45450</v>
      </c>
      <c r="AC13" s="119" t="s">
        <v>2769</v>
      </c>
    </row>
    <row r="14" spans="2:29" x14ac:dyDescent="0.25">
      <c r="B14" s="51" t="s">
        <v>2577</v>
      </c>
      <c r="C14" s="51">
        <v>12</v>
      </c>
      <c r="D14" s="51" t="s">
        <v>2770</v>
      </c>
      <c r="E14" s="119">
        <v>45439</v>
      </c>
      <c r="F14" s="51">
        <v>1</v>
      </c>
      <c r="G14" s="51" t="s">
        <v>2771</v>
      </c>
      <c r="H14" s="51" t="s">
        <v>2631</v>
      </c>
      <c r="I14" s="51">
        <v>0</v>
      </c>
      <c r="J14" s="51">
        <v>0</v>
      </c>
      <c r="K14" s="51">
        <v>0</v>
      </c>
      <c r="L14" s="51">
        <v>0</v>
      </c>
      <c r="M14" s="51">
        <v>0</v>
      </c>
      <c r="N14" s="51">
        <v>0</v>
      </c>
      <c r="O14" s="51">
        <v>219</v>
      </c>
      <c r="P14" s="51">
        <v>0</v>
      </c>
      <c r="Q14" s="51">
        <v>0</v>
      </c>
      <c r="R14" s="51">
        <v>0</v>
      </c>
      <c r="S14" s="51">
        <v>0</v>
      </c>
      <c r="T14" s="51">
        <v>0</v>
      </c>
      <c r="U14" s="51">
        <v>0</v>
      </c>
      <c r="V14" s="51">
        <v>0</v>
      </c>
      <c r="W14" s="51">
        <v>0</v>
      </c>
      <c r="X14" s="51">
        <v>0</v>
      </c>
      <c r="Y14" s="51">
        <v>0</v>
      </c>
      <c r="Z14" s="51">
        <v>0</v>
      </c>
      <c r="AA14" s="51">
        <v>0</v>
      </c>
      <c r="AB14" s="51">
        <v>0</v>
      </c>
      <c r="AC14" s="51">
        <v>0</v>
      </c>
    </row>
    <row r="15" spans="2:29" x14ac:dyDescent="0.25">
      <c r="B15" s="51" t="s">
        <v>2579</v>
      </c>
      <c r="C15" s="51">
        <v>13</v>
      </c>
      <c r="D15" s="51" t="s">
        <v>2772</v>
      </c>
      <c r="E15" s="119">
        <v>45439</v>
      </c>
      <c r="F15" s="51">
        <v>1</v>
      </c>
      <c r="G15" s="122">
        <v>1</v>
      </c>
      <c r="H15" s="51" t="s">
        <v>2631</v>
      </c>
      <c r="I15" s="51" t="s">
        <v>2614</v>
      </c>
      <c r="J15" s="51" t="s">
        <v>2614</v>
      </c>
      <c r="K15" s="51" t="s">
        <v>2614</v>
      </c>
      <c r="L15" s="51" t="s">
        <v>2614</v>
      </c>
      <c r="M15" s="51" t="s">
        <v>2614</v>
      </c>
      <c r="N15" s="51" t="s">
        <v>2614</v>
      </c>
      <c r="O15" s="121" t="s">
        <v>2614</v>
      </c>
      <c r="P15" s="121">
        <v>0</v>
      </c>
      <c r="Q15" s="121">
        <v>0</v>
      </c>
      <c r="R15" s="51" t="s">
        <v>2614</v>
      </c>
      <c r="S15" s="51" t="s">
        <v>2614</v>
      </c>
      <c r="T15" s="121" t="s">
        <v>2614</v>
      </c>
      <c r="U15" s="51" t="s">
        <v>2614</v>
      </c>
      <c r="V15" s="51" t="s">
        <v>2614</v>
      </c>
      <c r="W15" s="51" t="s">
        <v>2614</v>
      </c>
      <c r="X15" s="51" t="s">
        <v>2614</v>
      </c>
      <c r="Y15" s="51" t="s">
        <v>2614</v>
      </c>
      <c r="Z15" s="51" t="s">
        <v>2614</v>
      </c>
      <c r="AA15" s="51" t="s">
        <v>2614</v>
      </c>
      <c r="AB15" s="51" t="s">
        <v>2614</v>
      </c>
      <c r="AC15" s="51" t="s">
        <v>2614</v>
      </c>
    </row>
    <row r="16" spans="2:29" x14ac:dyDescent="0.25">
      <c r="B16" s="51" t="s">
        <v>2581</v>
      </c>
      <c r="C16" s="51">
        <v>14</v>
      </c>
      <c r="D16" s="51" t="s">
        <v>2773</v>
      </c>
      <c r="E16" s="119">
        <v>45439</v>
      </c>
      <c r="F16" s="51">
        <v>1</v>
      </c>
      <c r="G16" s="122">
        <v>1</v>
      </c>
      <c r="H16" s="51" t="s">
        <v>2631</v>
      </c>
      <c r="I16" s="51">
        <v>0</v>
      </c>
      <c r="J16" s="51">
        <v>0</v>
      </c>
      <c r="K16" s="51">
        <v>0</v>
      </c>
      <c r="L16" s="51">
        <v>0</v>
      </c>
      <c r="M16" s="51">
        <v>0</v>
      </c>
      <c r="N16" s="51" t="s">
        <v>2614</v>
      </c>
      <c r="O16" s="51" t="s">
        <v>2614</v>
      </c>
      <c r="P16" s="51" t="s">
        <v>2614</v>
      </c>
      <c r="Q16" s="51" t="s">
        <v>2614</v>
      </c>
      <c r="R16" s="51">
        <v>0</v>
      </c>
      <c r="S16" s="121" t="s">
        <v>2614</v>
      </c>
      <c r="T16" s="51" t="s">
        <v>2614</v>
      </c>
      <c r="U16" s="51" t="s">
        <v>2614</v>
      </c>
      <c r="V16" s="51" t="s">
        <v>2614</v>
      </c>
      <c r="W16" s="51" t="s">
        <v>2614</v>
      </c>
      <c r="X16" s="51" t="s">
        <v>2614</v>
      </c>
      <c r="Y16" s="51">
        <v>0</v>
      </c>
      <c r="Z16" s="51">
        <v>0</v>
      </c>
      <c r="AA16" s="51">
        <v>0</v>
      </c>
      <c r="AB16" s="51" t="s">
        <v>2614</v>
      </c>
      <c r="AC16" s="51" t="s">
        <v>2614</v>
      </c>
    </row>
    <row r="17" spans="2:31" x14ac:dyDescent="0.25">
      <c r="B17" s="51" t="s">
        <v>2583</v>
      </c>
      <c r="C17" s="51">
        <v>15</v>
      </c>
      <c r="D17" s="51" t="s">
        <v>2774</v>
      </c>
      <c r="E17" s="119">
        <v>45439</v>
      </c>
      <c r="F17" s="51">
        <v>1</v>
      </c>
      <c r="G17" s="122">
        <v>1</v>
      </c>
      <c r="H17" s="51" t="s">
        <v>2631</v>
      </c>
      <c r="I17" s="51" t="s">
        <v>2614</v>
      </c>
      <c r="J17" s="51" t="s">
        <v>2614</v>
      </c>
      <c r="K17" s="51" t="s">
        <v>2614</v>
      </c>
      <c r="L17" s="51" t="s">
        <v>2614</v>
      </c>
      <c r="M17" s="51" t="s">
        <v>2614</v>
      </c>
      <c r="N17" s="51" t="s">
        <v>2614</v>
      </c>
      <c r="O17" s="51" t="s">
        <v>2614</v>
      </c>
      <c r="P17" s="51" t="s">
        <v>2614</v>
      </c>
      <c r="Q17" s="51" t="s">
        <v>2614</v>
      </c>
      <c r="R17" s="51" t="s">
        <v>2614</v>
      </c>
      <c r="S17" s="121" t="s">
        <v>2614</v>
      </c>
      <c r="T17" s="51" t="s">
        <v>2614</v>
      </c>
      <c r="U17" s="51" t="s">
        <v>2614</v>
      </c>
      <c r="V17" s="51" t="s">
        <v>2614</v>
      </c>
      <c r="W17" s="51" t="s">
        <v>2614</v>
      </c>
      <c r="X17" s="51" t="s">
        <v>2614</v>
      </c>
      <c r="Y17" s="51" t="s">
        <v>2614</v>
      </c>
      <c r="Z17" s="51" t="s">
        <v>2614</v>
      </c>
      <c r="AA17" s="51" t="s">
        <v>2614</v>
      </c>
      <c r="AB17" s="51" t="s">
        <v>2614</v>
      </c>
      <c r="AC17" s="51" t="s">
        <v>2614</v>
      </c>
    </row>
    <row r="18" spans="2:31" x14ac:dyDescent="0.25">
      <c r="B18" s="51" t="s">
        <v>2585</v>
      </c>
      <c r="C18" s="51">
        <v>16</v>
      </c>
      <c r="D18" s="51" t="s">
        <v>2774</v>
      </c>
      <c r="E18" s="119">
        <v>45439</v>
      </c>
      <c r="F18" s="51">
        <v>1</v>
      </c>
      <c r="G18" s="122">
        <v>1</v>
      </c>
      <c r="H18" s="51" t="s">
        <v>2631</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c r="X18" s="51" t="s">
        <v>2614</v>
      </c>
      <c r="Y18" s="51" t="s">
        <v>2614</v>
      </c>
      <c r="Z18" s="51" t="s">
        <v>2614</v>
      </c>
      <c r="AA18" s="51" t="s">
        <v>2614</v>
      </c>
      <c r="AB18" s="51" t="s">
        <v>2614</v>
      </c>
      <c r="AC18" s="51" t="s">
        <v>2614</v>
      </c>
    </row>
    <row r="19" spans="2:31" x14ac:dyDescent="0.25">
      <c r="B19" s="51" t="s">
        <v>2587</v>
      </c>
      <c r="C19" s="51">
        <v>17</v>
      </c>
      <c r="D19" s="51" t="s">
        <v>2775</v>
      </c>
      <c r="E19" s="119">
        <v>45439</v>
      </c>
      <c r="F19" s="51">
        <v>1</v>
      </c>
      <c r="G19" s="51" t="s">
        <v>2776</v>
      </c>
      <c r="H19" s="51">
        <v>9</v>
      </c>
      <c r="I19" s="51" t="s">
        <v>2614</v>
      </c>
      <c r="J19" s="51" t="s">
        <v>2614</v>
      </c>
      <c r="K19" s="51" t="s">
        <v>2614</v>
      </c>
      <c r="L19" s="51" t="s">
        <v>2614</v>
      </c>
      <c r="M19" s="51" t="s">
        <v>2614</v>
      </c>
      <c r="N19" s="51" t="s">
        <v>2614</v>
      </c>
      <c r="O19" s="51" t="s">
        <v>2614</v>
      </c>
      <c r="P19" s="51" t="s">
        <v>2614</v>
      </c>
      <c r="Q19" s="51" t="s">
        <v>2614</v>
      </c>
      <c r="R19" s="51" t="s">
        <v>2614</v>
      </c>
      <c r="S19" s="51" t="s">
        <v>2614</v>
      </c>
      <c r="T19" s="51" t="s">
        <v>2614</v>
      </c>
      <c r="U19" s="51" t="s">
        <v>2614</v>
      </c>
      <c r="V19" s="51" t="s">
        <v>2614</v>
      </c>
      <c r="W19" s="51" t="s">
        <v>2614</v>
      </c>
      <c r="X19" s="51" t="s">
        <v>2614</v>
      </c>
      <c r="Y19" s="51" t="s">
        <v>2614</v>
      </c>
      <c r="Z19" s="51" t="s">
        <v>2614</v>
      </c>
      <c r="AA19" s="51" t="s">
        <v>2614</v>
      </c>
      <c r="AB19" s="51" t="s">
        <v>2614</v>
      </c>
      <c r="AC19" s="51" t="s">
        <v>2614</v>
      </c>
    </row>
    <row r="20" spans="2:31" x14ac:dyDescent="0.25">
      <c r="B20" s="51" t="s">
        <v>2589</v>
      </c>
      <c r="C20" s="51">
        <v>18</v>
      </c>
      <c r="D20" s="51" t="s">
        <v>2775</v>
      </c>
      <c r="E20" s="119">
        <v>45439</v>
      </c>
      <c r="F20" s="51">
        <v>1</v>
      </c>
      <c r="G20" s="51" t="s">
        <v>2777</v>
      </c>
      <c r="H20" s="51">
        <v>36687</v>
      </c>
      <c r="I20" s="51" t="s">
        <v>2614</v>
      </c>
      <c r="J20" s="51" t="s">
        <v>2614</v>
      </c>
      <c r="K20" s="51" t="s">
        <v>2614</v>
      </c>
      <c r="L20" s="51" t="s">
        <v>2614</v>
      </c>
      <c r="M20" s="51" t="s">
        <v>2614</v>
      </c>
      <c r="N20" s="51" t="s">
        <v>2614</v>
      </c>
      <c r="O20" s="51" t="s">
        <v>2614</v>
      </c>
      <c r="P20" s="51" t="s">
        <v>2614</v>
      </c>
      <c r="Q20" s="51" t="s">
        <v>2614</v>
      </c>
      <c r="R20" s="51" t="s">
        <v>2614</v>
      </c>
      <c r="S20" s="51" t="s">
        <v>2614</v>
      </c>
      <c r="T20" s="51" t="s">
        <v>2614</v>
      </c>
      <c r="U20" s="51" t="s">
        <v>2614</v>
      </c>
      <c r="V20" s="51" t="s">
        <v>2614</v>
      </c>
      <c r="W20" s="51" t="s">
        <v>2614</v>
      </c>
      <c r="X20" s="51" t="s">
        <v>2614</v>
      </c>
      <c r="Y20" s="51" t="s">
        <v>2614</v>
      </c>
      <c r="Z20" s="51" t="s">
        <v>2614</v>
      </c>
      <c r="AA20" s="51" t="s">
        <v>2614</v>
      </c>
      <c r="AB20" s="51" t="s">
        <v>2614</v>
      </c>
      <c r="AC20" s="51" t="s">
        <v>2614</v>
      </c>
    </row>
    <row r="21" spans="2:31" x14ac:dyDescent="0.25">
      <c r="B21" s="51" t="s">
        <v>2591</v>
      </c>
      <c r="C21" s="51">
        <v>19</v>
      </c>
      <c r="D21" s="51" t="s">
        <v>2778</v>
      </c>
      <c r="E21" s="119">
        <v>45439</v>
      </c>
      <c r="F21" s="51">
        <v>1</v>
      </c>
      <c r="G21" s="51" t="s">
        <v>2631</v>
      </c>
      <c r="H21" s="51" t="s">
        <v>2631</v>
      </c>
      <c r="I21" s="51" t="s">
        <v>2654</v>
      </c>
      <c r="J21" s="51" t="s">
        <v>2654</v>
      </c>
      <c r="K21" s="51" t="s">
        <v>2654</v>
      </c>
      <c r="L21" s="51" t="s">
        <v>2654</v>
      </c>
      <c r="M21" s="51" t="s">
        <v>2654</v>
      </c>
      <c r="N21" s="51" t="s">
        <v>2654</v>
      </c>
      <c r="O21" s="51" t="s">
        <v>2654</v>
      </c>
      <c r="P21" s="51" t="s">
        <v>2654</v>
      </c>
      <c r="Q21" s="51" t="s">
        <v>2654</v>
      </c>
      <c r="R21" s="51" t="s">
        <v>2654</v>
      </c>
      <c r="S21" s="51" t="s">
        <v>2654</v>
      </c>
      <c r="T21" s="51" t="s">
        <v>2655</v>
      </c>
      <c r="U21" s="51" t="s">
        <v>2655</v>
      </c>
      <c r="V21" s="51" t="s">
        <v>2655</v>
      </c>
      <c r="W21" s="51" t="s">
        <v>2655</v>
      </c>
      <c r="X21" s="51" t="s">
        <v>2655</v>
      </c>
      <c r="Y21" s="51" t="s">
        <v>2654</v>
      </c>
      <c r="Z21" s="51" t="s">
        <v>2654</v>
      </c>
      <c r="AA21" s="51" t="s">
        <v>2654</v>
      </c>
      <c r="AB21" s="51" t="s">
        <v>2654</v>
      </c>
      <c r="AC21" s="51" t="s">
        <v>2656</v>
      </c>
    </row>
    <row r="22" spans="2:31" x14ac:dyDescent="0.25">
      <c r="B22" s="121" t="s">
        <v>2594</v>
      </c>
      <c r="C22" s="51">
        <v>20</v>
      </c>
      <c r="D22" s="51"/>
      <c r="E22" s="119"/>
      <c r="F22" s="51">
        <v>1</v>
      </c>
      <c r="G22" s="51" cm="1">
        <f t="array" ref="G22">SUM(IF(I2:AC2 = I25:AC25, 1, 0))/ COUNTA(I2:AC2)</f>
        <v>0.52380952380952384</v>
      </c>
      <c r="H22" s="51"/>
      <c r="I22" s="51"/>
      <c r="J22" s="51"/>
      <c r="K22" s="51"/>
      <c r="L22" s="51"/>
      <c r="M22" s="51"/>
      <c r="N22" s="51"/>
      <c r="O22" s="51"/>
      <c r="P22" s="51"/>
      <c r="Q22" s="51"/>
      <c r="R22" s="51"/>
      <c r="S22" s="51"/>
      <c r="T22" s="51"/>
      <c r="U22" s="51"/>
      <c r="V22" s="51"/>
      <c r="W22" s="51"/>
      <c r="X22" s="51"/>
      <c r="Y22" s="51"/>
      <c r="Z22" s="51"/>
      <c r="AA22" s="51"/>
      <c r="AB22" s="51"/>
      <c r="AC22" s="51"/>
    </row>
    <row r="23" spans="2:31" x14ac:dyDescent="0.25">
      <c r="B23" s="51" t="s">
        <v>2597</v>
      </c>
      <c r="C23" s="51">
        <v>21</v>
      </c>
      <c r="D23" s="51"/>
      <c r="E23" s="119"/>
      <c r="F23" s="51">
        <v>1</v>
      </c>
      <c r="G23" s="51" cm="1">
        <f t="array" ref="G23">SUM(IF(IF(G3:G22="null",1,G3:G22)=1,1,0))/COUNT(IF(G3:G22="null",1,1))</f>
        <v>0.35</v>
      </c>
      <c r="H23" s="51"/>
      <c r="I23" s="51"/>
      <c r="J23" s="51"/>
      <c r="K23" s="51"/>
      <c r="L23" s="51"/>
      <c r="M23" s="51"/>
      <c r="N23" s="51"/>
      <c r="O23" s="51"/>
      <c r="P23" s="51"/>
      <c r="Q23" s="51"/>
      <c r="R23" s="51"/>
      <c r="S23" s="51"/>
      <c r="T23" s="51"/>
      <c r="U23" s="51"/>
      <c r="V23" s="51"/>
      <c r="W23" s="51"/>
      <c r="X23" s="51"/>
      <c r="Y23" s="51"/>
      <c r="Z23" s="51"/>
      <c r="AA23" s="51"/>
      <c r="AB23" s="51"/>
      <c r="AC23" s="51"/>
    </row>
    <row r="24" spans="2:31" x14ac:dyDescent="0.25">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row>
    <row r="25" spans="2:31" x14ac:dyDescent="0.25">
      <c r="B25" s="157" t="s">
        <v>2658</v>
      </c>
      <c r="C25" s="153" t="s">
        <v>2601</v>
      </c>
      <c r="D25" s="153" t="s">
        <v>2602</v>
      </c>
      <c r="E25" s="153" t="s">
        <v>2603</v>
      </c>
      <c r="F25" s="153" t="s">
        <v>2604</v>
      </c>
      <c r="G25" s="153" t="s">
        <v>2605</v>
      </c>
      <c r="H25" s="153" t="s">
        <v>2606</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153"/>
      <c r="AD25" s="235"/>
      <c r="AE25" s="246"/>
    </row>
    <row r="26" spans="2:31" x14ac:dyDescent="0.25">
      <c r="B26" s="131" t="s">
        <v>2659</v>
      </c>
      <c r="C26" s="134">
        <v>21</v>
      </c>
      <c r="D26" s="128" t="s">
        <v>2660</v>
      </c>
      <c r="E26" s="127" t="s">
        <v>2661</v>
      </c>
      <c r="F26" s="127" t="s">
        <v>351</v>
      </c>
      <c r="G26" s="127" t="s">
        <v>351</v>
      </c>
      <c r="H26" s="127" t="s">
        <v>351</v>
      </c>
      <c r="I26" s="127" t="str" cm="1">
        <f t="array" ref="I26:AB27">TRANSPOSE(_xlfn.SORTBY(_xlfn._xlws.FILTER(IF(Table3[FORMATO]:Table3[COMP_ CAMPO]&lt;&gt;"",Table3[FORMATO]:Table3[COMP_ CAMPO],9999999),Table3[NOME FÍSICO TABELA]="bank_guarantee"), _xlfn._xlws.FILTER(Table3[ORDEM], Table3[NOME FÍSICO TABELA]="bank_guarantee"), 1))</f>
        <v>STRING</v>
      </c>
      <c r="J26" s="127" t="str">
        <v>STRING</v>
      </c>
      <c r="K26" s="127" t="str">
        <v>STRING</v>
      </c>
      <c r="L26" s="127" t="str">
        <v>STRING</v>
      </c>
      <c r="M26" s="127" t="str">
        <v>STRING</v>
      </c>
      <c r="N26" s="127" t="str">
        <v>STRING</v>
      </c>
      <c r="O26" s="127" t="str">
        <v>STRING</v>
      </c>
      <c r="P26" s="127" t="str">
        <v>STRING</v>
      </c>
      <c r="Q26" s="127" t="str">
        <v>STRING</v>
      </c>
      <c r="R26" s="127" t="str">
        <v>STRING</v>
      </c>
      <c r="S26" s="127" t="str">
        <v>STRING</v>
      </c>
      <c r="T26" s="127" t="str">
        <v>DECIMAL</v>
      </c>
      <c r="U26" s="127" t="str">
        <v>DECIMAL</v>
      </c>
      <c r="V26" s="127" t="str">
        <v>DECIMAL</v>
      </c>
      <c r="W26" s="127" t="str">
        <v>DECIMAL</v>
      </c>
      <c r="X26" s="127" t="str">
        <v>STRING</v>
      </c>
      <c r="Y26" s="127" t="str">
        <v>STRING</v>
      </c>
      <c r="Z26" s="127" t="str">
        <v>STRING</v>
      </c>
      <c r="AA26" s="127" t="str">
        <v>STRING</v>
      </c>
      <c r="AB26" s="127" t="str">
        <v>TIMESTAMP</v>
      </c>
      <c r="AC26" s="127"/>
      <c r="AD26" s="236"/>
    </row>
    <row r="27" spans="2:31" x14ac:dyDescent="0.25">
      <c r="B27" s="131" t="s">
        <v>2662</v>
      </c>
      <c r="C27" s="134">
        <v>7</v>
      </c>
      <c r="D27" s="128" t="s">
        <v>2660</v>
      </c>
      <c r="E27" s="127" t="s">
        <v>2661</v>
      </c>
      <c r="F27" s="129" t="s">
        <v>351</v>
      </c>
      <c r="G27" s="129" t="s">
        <v>351</v>
      </c>
      <c r="H27" s="129" t="s">
        <v>351</v>
      </c>
      <c r="I27" s="175">
        <v>4</v>
      </c>
      <c r="J27" s="175">
        <v>30</v>
      </c>
      <c r="K27" s="175">
        <v>20</v>
      </c>
      <c r="L27" s="175">
        <v>20</v>
      </c>
      <c r="M27" s="175">
        <v>3</v>
      </c>
      <c r="N27" s="175">
        <v>4</v>
      </c>
      <c r="O27" s="175">
        <v>30</v>
      </c>
      <c r="P27" s="175">
        <v>10</v>
      </c>
      <c r="Q27" s="175">
        <v>10</v>
      </c>
      <c r="R27" s="175">
        <v>3</v>
      </c>
      <c r="S27" s="175">
        <v>4</v>
      </c>
      <c r="T27" s="175">
        <v>23</v>
      </c>
      <c r="U27" s="175">
        <v>23</v>
      </c>
      <c r="V27" s="175">
        <v>23</v>
      </c>
      <c r="W27" s="175">
        <v>23</v>
      </c>
      <c r="X27" s="175">
        <v>3</v>
      </c>
      <c r="Y27" s="175">
        <v>3</v>
      </c>
      <c r="Z27" s="175">
        <v>2</v>
      </c>
      <c r="AA27" s="175">
        <v>10</v>
      </c>
      <c r="AB27" s="175">
        <v>23</v>
      </c>
      <c r="AC27" s="175"/>
      <c r="AD27" s="237"/>
      <c r="AE27" s="116"/>
    </row>
    <row r="29" spans="2:31" x14ac:dyDescent="0.25">
      <c r="B29" s="164" t="s">
        <v>2663</v>
      </c>
    </row>
    <row r="30" spans="2:31" x14ac:dyDescent="0.25">
      <c r="B30" s="158" t="s">
        <v>2664</v>
      </c>
      <c r="C30" s="158" t="s">
        <v>2665</v>
      </c>
      <c r="D30" s="159" t="s">
        <v>2666</v>
      </c>
      <c r="E30" s="158" t="s">
        <v>2667</v>
      </c>
      <c r="F30" s="158" t="s">
        <v>2668</v>
      </c>
    </row>
    <row r="31" spans="2:31" ht="105" x14ac:dyDescent="0.25">
      <c r="B31" s="142" t="s">
        <v>2669</v>
      </c>
      <c r="C31" s="141" t="s">
        <v>173</v>
      </c>
      <c r="D31" s="147" t="s">
        <v>2779</v>
      </c>
      <c r="E31" s="177" t="s">
        <v>2780</v>
      </c>
      <c r="F31" s="160" t="s">
        <v>2676</v>
      </c>
    </row>
    <row r="32" spans="2:31" ht="105" x14ac:dyDescent="0.25">
      <c r="B32" s="161" t="s">
        <v>2734</v>
      </c>
      <c r="C32" s="162" t="s">
        <v>185</v>
      </c>
      <c r="D32" s="163" t="s">
        <v>2779</v>
      </c>
      <c r="E32" s="121" t="s">
        <v>2780</v>
      </c>
      <c r="F32" s="217" t="s">
        <v>2676</v>
      </c>
    </row>
    <row r="33" spans="2:6" ht="60" x14ac:dyDescent="0.25">
      <c r="B33" s="161" t="s">
        <v>2734</v>
      </c>
      <c r="C33" s="162" t="s">
        <v>204</v>
      </c>
      <c r="D33" s="163" t="s">
        <v>2781</v>
      </c>
      <c r="E33" s="121" t="s">
        <v>2782</v>
      </c>
      <c r="F33" s="217" t="s">
        <v>2672</v>
      </c>
    </row>
    <row r="34" spans="2:6" ht="60" x14ac:dyDescent="0.25">
      <c r="B34" s="161" t="s">
        <v>2734</v>
      </c>
      <c r="C34" s="162" t="s">
        <v>239</v>
      </c>
      <c r="D34" s="163" t="s">
        <v>2783</v>
      </c>
      <c r="E34" s="121" t="s">
        <v>2784</v>
      </c>
      <c r="F34" s="226" t="s">
        <v>2741</v>
      </c>
    </row>
    <row r="35" spans="2:6" ht="30" x14ac:dyDescent="0.25">
      <c r="B35" s="161" t="s">
        <v>2677</v>
      </c>
      <c r="C35" s="162" t="s">
        <v>2678</v>
      </c>
      <c r="D35" s="163" t="s">
        <v>2785</v>
      </c>
      <c r="E35" s="121" t="s">
        <v>2784</v>
      </c>
      <c r="F35" s="226" t="s">
        <v>2741</v>
      </c>
    </row>
    <row r="36" spans="2:6" ht="30" x14ac:dyDescent="0.25">
      <c r="B36" s="161" t="s">
        <v>2677</v>
      </c>
      <c r="C36" s="162" t="s">
        <v>2678</v>
      </c>
      <c r="D36" s="163" t="s">
        <v>2785</v>
      </c>
      <c r="E36" s="177" t="s">
        <v>2786</v>
      </c>
      <c r="F36" s="226" t="s">
        <v>2741</v>
      </c>
    </row>
    <row r="37" spans="2:6" ht="30" x14ac:dyDescent="0.25">
      <c r="B37" s="205" t="s">
        <v>2787</v>
      </c>
      <c r="C37" s="206" t="s">
        <v>2678</v>
      </c>
      <c r="D37" s="58" t="s">
        <v>2788</v>
      </c>
      <c r="E37" s="121" t="s">
        <v>2683</v>
      </c>
      <c r="F37" s="226" t="s">
        <v>2741</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934C-74CE-44C6-88D8-43C29AEA4623}">
  <sheetPr>
    <tabColor rgb="FF00B050"/>
  </sheetPr>
  <dimension ref="B1:AT39"/>
  <sheetViews>
    <sheetView showGridLines="0" topLeftCell="B1" workbookViewId="0">
      <selection activeCell="G8" sqref="G8"/>
    </sheetView>
  </sheetViews>
  <sheetFormatPr defaultRowHeight="15" x14ac:dyDescent="0.2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 min="46" max="46" width="30.7109375" bestFit="1" customWidth="1"/>
  </cols>
  <sheetData>
    <row r="1" spans="2:46" ht="31.5" customHeight="1" x14ac:dyDescent="0.25"/>
    <row r="2" spans="2:46" x14ac:dyDescent="0.25">
      <c r="B2" s="98" t="s">
        <v>2658</v>
      </c>
      <c r="C2" s="98" t="s">
        <v>2601</v>
      </c>
      <c r="D2" s="98" t="s">
        <v>2602</v>
      </c>
      <c r="E2" s="98" t="s">
        <v>2603</v>
      </c>
      <c r="F2" s="98" t="s">
        <v>2604</v>
      </c>
      <c r="G2" s="98" t="s">
        <v>2605</v>
      </c>
      <c r="H2" s="98" t="s">
        <v>2606</v>
      </c>
      <c r="I2" s="51" t="s">
        <v>138</v>
      </c>
      <c r="J2" s="98" t="s">
        <v>153</v>
      </c>
      <c r="K2" s="98" t="s">
        <v>165</v>
      </c>
      <c r="L2" s="98" t="s">
        <v>173</v>
      </c>
      <c r="M2" s="98" t="s">
        <v>185</v>
      </c>
      <c r="N2" s="98" t="s">
        <v>194</v>
      </c>
      <c r="O2" s="98" t="s">
        <v>204</v>
      </c>
      <c r="P2" s="98" t="s">
        <v>551</v>
      </c>
      <c r="Q2" s="98" t="s">
        <v>554</v>
      </c>
      <c r="R2" s="98" t="s">
        <v>215</v>
      </c>
      <c r="S2" s="98" t="s">
        <v>227</v>
      </c>
      <c r="T2" s="98" t="s">
        <v>239</v>
      </c>
      <c r="U2" s="98" t="s">
        <v>254</v>
      </c>
      <c r="V2" s="98" t="s">
        <v>2752</v>
      </c>
      <c r="W2" s="98" t="s">
        <v>2753</v>
      </c>
      <c r="X2" s="98" t="s">
        <v>582</v>
      </c>
      <c r="Y2" s="98" t="s">
        <v>282</v>
      </c>
      <c r="Z2" s="98" t="s">
        <v>292</v>
      </c>
      <c r="AA2" s="98" t="s">
        <v>2609</v>
      </c>
      <c r="AB2" s="98" t="s">
        <v>2610</v>
      </c>
      <c r="AC2" s="98" t="s">
        <v>2611</v>
      </c>
      <c r="AD2" s="98" t="s">
        <v>2612</v>
      </c>
      <c r="AE2" s="98" t="s">
        <v>856</v>
      </c>
      <c r="AF2" s="98" t="s">
        <v>866</v>
      </c>
      <c r="AG2" s="98" t="s">
        <v>872</v>
      </c>
      <c r="AH2" s="98" t="s">
        <v>878</v>
      </c>
      <c r="AI2" s="98" t="s">
        <v>2789</v>
      </c>
      <c r="AJ2" s="98" t="s">
        <v>630</v>
      </c>
      <c r="AK2" s="98" t="s">
        <v>640</v>
      </c>
      <c r="AL2" s="98" t="s">
        <v>649</v>
      </c>
      <c r="AM2" s="98" t="s">
        <v>658</v>
      </c>
      <c r="AN2" s="98" t="s">
        <v>665</v>
      </c>
      <c r="AO2" s="98" t="s">
        <v>2790</v>
      </c>
      <c r="AP2" s="98" t="s">
        <v>302</v>
      </c>
      <c r="AQ2" s="98" t="s">
        <v>312</v>
      </c>
      <c r="AR2" s="98" t="s">
        <v>323</v>
      </c>
      <c r="AS2" s="98" t="s">
        <v>330</v>
      </c>
      <c r="AT2" s="98" t="s">
        <v>337</v>
      </c>
    </row>
    <row r="3" spans="2:46" x14ac:dyDescent="0.25">
      <c r="B3" s="51" t="s">
        <v>2554</v>
      </c>
      <c r="C3" s="51">
        <v>1</v>
      </c>
      <c r="D3" s="51" t="s">
        <v>2791</v>
      </c>
      <c r="E3" s="119">
        <v>45433</v>
      </c>
      <c r="F3" s="51">
        <v>1</v>
      </c>
      <c r="G3" s="51">
        <v>1</v>
      </c>
      <c r="H3" s="219" t="s">
        <v>2792</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c r="X3" s="51" t="s">
        <v>2614</v>
      </c>
      <c r="Y3" s="51" t="s">
        <v>2614</v>
      </c>
      <c r="Z3" s="51" t="s">
        <v>2614</v>
      </c>
      <c r="AA3" s="51" t="s">
        <v>2614</v>
      </c>
      <c r="AB3" s="51" t="s">
        <v>2614</v>
      </c>
      <c r="AC3" s="51" t="s">
        <v>2614</v>
      </c>
      <c r="AD3" s="215" t="s">
        <v>2614</v>
      </c>
      <c r="AE3" s="215" t="s">
        <v>2614</v>
      </c>
      <c r="AF3" s="51" t="s">
        <v>2614</v>
      </c>
      <c r="AG3" s="51" t="s">
        <v>2614</v>
      </c>
      <c r="AH3" s="51" t="s">
        <v>2614</v>
      </c>
      <c r="AI3" s="51" t="s">
        <v>2614</v>
      </c>
      <c r="AJ3" s="51" t="s">
        <v>2614</v>
      </c>
      <c r="AK3" s="51" t="s">
        <v>2614</v>
      </c>
      <c r="AL3" s="51" t="s">
        <v>2614</v>
      </c>
      <c r="AM3" s="51" t="s">
        <v>2614</v>
      </c>
      <c r="AN3" s="51" t="s">
        <v>2614</v>
      </c>
      <c r="AO3" s="51" t="s">
        <v>2614</v>
      </c>
      <c r="AP3" s="51" t="s">
        <v>2614</v>
      </c>
      <c r="AQ3" s="51" t="s">
        <v>2614</v>
      </c>
      <c r="AR3" s="51" t="s">
        <v>2614</v>
      </c>
      <c r="AS3" s="51" t="s">
        <v>2614</v>
      </c>
      <c r="AT3" s="51" t="s">
        <v>2614</v>
      </c>
    </row>
    <row r="4" spans="2:46" x14ac:dyDescent="0.25">
      <c r="B4" s="51" t="s">
        <v>2556</v>
      </c>
      <c r="C4" s="51">
        <v>2</v>
      </c>
      <c r="D4" s="51" t="s">
        <v>2793</v>
      </c>
      <c r="E4" s="119">
        <v>45433</v>
      </c>
      <c r="F4" s="51">
        <v>1</v>
      </c>
      <c r="G4" s="51">
        <v>1</v>
      </c>
      <c r="H4" s="51" t="s">
        <v>2794</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c r="X4" s="51" t="s">
        <v>2614</v>
      </c>
      <c r="Y4" s="51" t="s">
        <v>2614</v>
      </c>
      <c r="Z4" s="51" t="s">
        <v>2614</v>
      </c>
      <c r="AA4" s="51" t="s">
        <v>2614</v>
      </c>
      <c r="AB4" s="51" t="s">
        <v>2614</v>
      </c>
      <c r="AC4" s="51" t="s">
        <v>2614</v>
      </c>
      <c r="AD4" s="215" t="s">
        <v>2614</v>
      </c>
      <c r="AE4" s="215" t="s">
        <v>2614</v>
      </c>
      <c r="AF4" s="51" t="s">
        <v>2614</v>
      </c>
      <c r="AG4" s="51" t="s">
        <v>2614</v>
      </c>
      <c r="AH4" s="51" t="s">
        <v>2614</v>
      </c>
      <c r="AI4" s="51" t="s">
        <v>2614</v>
      </c>
      <c r="AJ4" s="51" t="s">
        <v>2614</v>
      </c>
      <c r="AK4" s="51" t="s">
        <v>2614</v>
      </c>
      <c r="AL4" s="51" t="s">
        <v>2614</v>
      </c>
      <c r="AM4" s="51" t="s">
        <v>2614</v>
      </c>
      <c r="AN4" s="51" t="s">
        <v>2614</v>
      </c>
      <c r="AO4" s="51" t="s">
        <v>2614</v>
      </c>
      <c r="AP4" s="51" t="s">
        <v>2614</v>
      </c>
      <c r="AQ4" s="51" t="s">
        <v>2614</v>
      </c>
      <c r="AR4" s="51" t="s">
        <v>2614</v>
      </c>
      <c r="AS4" s="51" t="s">
        <v>2614</v>
      </c>
      <c r="AT4" s="51" t="s">
        <v>2614</v>
      </c>
    </row>
    <row r="5" spans="2:46" x14ac:dyDescent="0.25">
      <c r="B5" s="51" t="s">
        <v>2558</v>
      </c>
      <c r="C5" s="51">
        <v>3</v>
      </c>
      <c r="D5" s="51" t="s">
        <v>2795</v>
      </c>
      <c r="E5" s="119">
        <v>45433</v>
      </c>
      <c r="F5" s="51">
        <v>1</v>
      </c>
      <c r="G5" s="51">
        <v>1</v>
      </c>
      <c r="H5" s="51" t="s">
        <v>2631</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t="s">
        <v>2614</v>
      </c>
      <c r="W5" s="51" t="s">
        <v>2614</v>
      </c>
      <c r="X5" s="51" t="s">
        <v>2614</v>
      </c>
      <c r="Y5" s="51" t="s">
        <v>2614</v>
      </c>
      <c r="Z5" s="51" t="s">
        <v>2614</v>
      </c>
      <c r="AA5" s="51" t="s">
        <v>2614</v>
      </c>
      <c r="AB5" s="51" t="s">
        <v>2614</v>
      </c>
      <c r="AC5" s="51" t="s">
        <v>2614</v>
      </c>
      <c r="AD5" s="215" t="s">
        <v>2614</v>
      </c>
      <c r="AE5" s="215" t="s">
        <v>2614</v>
      </c>
      <c r="AF5" s="51" t="s">
        <v>2614</v>
      </c>
      <c r="AG5" s="51" t="s">
        <v>2614</v>
      </c>
      <c r="AH5" s="51" t="s">
        <v>2614</v>
      </c>
      <c r="AI5" s="51" t="s">
        <v>2614</v>
      </c>
      <c r="AJ5" s="51" t="s">
        <v>2614</v>
      </c>
      <c r="AK5" s="51" t="s">
        <v>2614</v>
      </c>
      <c r="AL5" s="51" t="s">
        <v>2614</v>
      </c>
      <c r="AM5" s="51" t="s">
        <v>2614</v>
      </c>
      <c r="AN5" s="51" t="s">
        <v>2614</v>
      </c>
      <c r="AO5" s="51" t="s">
        <v>2614</v>
      </c>
      <c r="AP5" s="51" t="s">
        <v>2614</v>
      </c>
      <c r="AQ5" s="51" t="s">
        <v>2614</v>
      </c>
      <c r="AR5" s="51" t="s">
        <v>2614</v>
      </c>
      <c r="AS5" s="51">
        <v>0</v>
      </c>
      <c r="AT5" s="51" t="s">
        <v>2614</v>
      </c>
    </row>
    <row r="6" spans="2:46" x14ac:dyDescent="0.25">
      <c r="B6" s="121" t="s">
        <v>2560</v>
      </c>
      <c r="C6" s="51">
        <v>4</v>
      </c>
      <c r="D6" s="51" t="s">
        <v>2795</v>
      </c>
      <c r="E6" s="119" t="s">
        <v>2614</v>
      </c>
      <c r="F6" s="51">
        <v>1</v>
      </c>
      <c r="G6" s="119" t="s">
        <v>2614</v>
      </c>
      <c r="H6" s="51"/>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c r="V6" s="51" t="s">
        <v>2614</v>
      </c>
      <c r="W6" s="51" t="s">
        <v>2614</v>
      </c>
      <c r="X6" s="51" t="s">
        <v>2614</v>
      </c>
      <c r="Y6" s="51" t="s">
        <v>2614</v>
      </c>
      <c r="Z6" s="51" t="s">
        <v>2614</v>
      </c>
      <c r="AA6" s="51" t="s">
        <v>2614</v>
      </c>
      <c r="AB6" s="51" t="s">
        <v>2614</v>
      </c>
      <c r="AC6" s="51" t="s">
        <v>2614</v>
      </c>
      <c r="AD6" s="215" t="s">
        <v>2614</v>
      </c>
      <c r="AE6" s="215" t="s">
        <v>2614</v>
      </c>
      <c r="AF6" s="51" t="s">
        <v>2614</v>
      </c>
      <c r="AG6" s="51" t="s">
        <v>2614</v>
      </c>
      <c r="AH6" s="51" t="s">
        <v>2614</v>
      </c>
      <c r="AI6" s="51" t="s">
        <v>2614</v>
      </c>
      <c r="AJ6" s="51" t="s">
        <v>2614</v>
      </c>
      <c r="AK6" s="51" t="s">
        <v>2614</v>
      </c>
      <c r="AL6" s="51" t="s">
        <v>2614</v>
      </c>
      <c r="AM6" s="51" t="s">
        <v>2614</v>
      </c>
      <c r="AN6" s="51" t="s">
        <v>2614</v>
      </c>
      <c r="AO6" s="51" t="s">
        <v>2614</v>
      </c>
      <c r="AP6" s="51" t="s">
        <v>2614</v>
      </c>
      <c r="AQ6" s="51" t="s">
        <v>2614</v>
      </c>
      <c r="AR6" s="51" t="s">
        <v>2614</v>
      </c>
      <c r="AS6" s="51" t="s">
        <v>2614</v>
      </c>
      <c r="AT6" s="51" t="s">
        <v>2614</v>
      </c>
    </row>
    <row r="7" spans="2:46" x14ac:dyDescent="0.25">
      <c r="B7" s="51" t="s">
        <v>2562</v>
      </c>
      <c r="C7" s="51">
        <v>5</v>
      </c>
      <c r="D7" s="51" t="s">
        <v>2795</v>
      </c>
      <c r="E7" s="119" t="s">
        <v>2614</v>
      </c>
      <c r="F7" s="51">
        <v>1</v>
      </c>
      <c r="G7" s="119" t="s">
        <v>2614</v>
      </c>
      <c r="H7" s="51"/>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c r="X7" s="51" t="s">
        <v>2614</v>
      </c>
      <c r="Y7" s="51" t="s">
        <v>2614</v>
      </c>
      <c r="Z7" s="51" t="s">
        <v>2614</v>
      </c>
      <c r="AA7" s="51" t="s">
        <v>2614</v>
      </c>
      <c r="AB7" s="51" t="s">
        <v>2614</v>
      </c>
      <c r="AC7" s="51" t="s">
        <v>2614</v>
      </c>
      <c r="AD7" s="215" t="s">
        <v>2614</v>
      </c>
      <c r="AE7" s="215" t="s">
        <v>2614</v>
      </c>
      <c r="AF7" s="51" t="s">
        <v>2614</v>
      </c>
      <c r="AG7" s="51" t="s">
        <v>2614</v>
      </c>
      <c r="AH7" s="51" t="s">
        <v>2614</v>
      </c>
      <c r="AI7" s="51" t="s">
        <v>2614</v>
      </c>
      <c r="AJ7" s="51" t="s">
        <v>2614</v>
      </c>
      <c r="AK7" s="51" t="s">
        <v>2614</v>
      </c>
      <c r="AL7" s="51" t="s">
        <v>2614</v>
      </c>
      <c r="AM7" s="51" t="s">
        <v>2614</v>
      </c>
      <c r="AN7" s="51" t="s">
        <v>2614</v>
      </c>
      <c r="AO7" s="51" t="s">
        <v>2614</v>
      </c>
      <c r="AP7" s="51" t="s">
        <v>2614</v>
      </c>
      <c r="AQ7" s="51" t="s">
        <v>2614</v>
      </c>
      <c r="AR7" s="51" t="s">
        <v>2614</v>
      </c>
      <c r="AS7" s="51" t="s">
        <v>2614</v>
      </c>
      <c r="AT7" s="51" t="s">
        <v>2614</v>
      </c>
    </row>
    <row r="8" spans="2:46" x14ac:dyDescent="0.25">
      <c r="B8" s="51" t="s">
        <v>2563</v>
      </c>
      <c r="C8" s="51">
        <v>6</v>
      </c>
      <c r="D8" s="51" t="s">
        <v>2796</v>
      </c>
      <c r="E8" s="119">
        <v>45433</v>
      </c>
      <c r="F8" s="51">
        <v>1</v>
      </c>
      <c r="G8" s="51" cm="1">
        <f t="array" ref="G8">SUMPRODUCT(--(I8:AT8&gt;0))/COUNTA(I8:AT8)</f>
        <v>0.97368421052631582</v>
      </c>
      <c r="H8" s="51" t="s">
        <v>2631</v>
      </c>
      <c r="I8" s="51">
        <v>2</v>
      </c>
      <c r="J8" s="51">
        <v>30</v>
      </c>
      <c r="K8" s="51">
        <v>3</v>
      </c>
      <c r="L8" s="51">
        <v>3</v>
      </c>
      <c r="M8" s="51">
        <v>3</v>
      </c>
      <c r="N8" s="51">
        <v>2</v>
      </c>
      <c r="O8" s="51">
        <v>4</v>
      </c>
      <c r="P8" s="51">
        <v>2</v>
      </c>
      <c r="Q8" s="51">
        <v>4</v>
      </c>
      <c r="R8" s="51">
        <v>10</v>
      </c>
      <c r="S8" s="51">
        <v>10</v>
      </c>
      <c r="T8" s="51">
        <v>3</v>
      </c>
      <c r="U8" s="51">
        <v>1</v>
      </c>
      <c r="V8" s="51">
        <v>8</v>
      </c>
      <c r="W8" s="51">
        <v>8</v>
      </c>
      <c r="X8" s="51">
        <v>8</v>
      </c>
      <c r="Y8" s="51">
        <v>8</v>
      </c>
      <c r="Z8" s="51">
        <v>8</v>
      </c>
      <c r="AA8" s="51">
        <v>4</v>
      </c>
      <c r="AB8" s="51">
        <v>4</v>
      </c>
      <c r="AC8" s="51">
        <v>8</v>
      </c>
      <c r="AD8" s="215">
        <v>8</v>
      </c>
      <c r="AE8" s="215">
        <v>1</v>
      </c>
      <c r="AF8" s="51">
        <v>4</v>
      </c>
      <c r="AG8" s="51">
        <v>4</v>
      </c>
      <c r="AH8" s="122">
        <v>0</v>
      </c>
      <c r="AI8" s="51">
        <v>8</v>
      </c>
      <c r="AJ8" s="122">
        <v>3</v>
      </c>
      <c r="AK8" s="51">
        <v>3</v>
      </c>
      <c r="AL8" s="51">
        <v>8</v>
      </c>
      <c r="AM8" s="122">
        <v>8</v>
      </c>
      <c r="AN8" s="51">
        <v>8</v>
      </c>
      <c r="AO8" s="51">
        <v>1</v>
      </c>
      <c r="AP8" s="51">
        <v>3</v>
      </c>
      <c r="AQ8" s="51">
        <v>3</v>
      </c>
      <c r="AR8" s="51">
        <v>2</v>
      </c>
      <c r="AS8" s="51">
        <v>10</v>
      </c>
      <c r="AT8" s="51">
        <v>23</v>
      </c>
    </row>
    <row r="9" spans="2:46" x14ac:dyDescent="0.25">
      <c r="B9" s="51" t="s">
        <v>2566</v>
      </c>
      <c r="C9" s="51">
        <v>7</v>
      </c>
      <c r="D9" s="51" t="s">
        <v>2797</v>
      </c>
      <c r="E9" s="119">
        <v>45433</v>
      </c>
      <c r="F9" s="51">
        <v>1</v>
      </c>
      <c r="G9" s="51" cm="1">
        <f t="array" ref="G9">SUMPRODUCT(--(H9:AT9 &lt;= H27:AT27))/COUNTA(H27:AT27)</f>
        <v>1</v>
      </c>
      <c r="H9" s="51" t="s">
        <v>2631</v>
      </c>
      <c r="I9" s="51">
        <v>2</v>
      </c>
      <c r="J9" s="51">
        <v>30</v>
      </c>
      <c r="K9" s="51">
        <v>3</v>
      </c>
      <c r="L9" s="51">
        <v>3</v>
      </c>
      <c r="M9" s="51">
        <v>3</v>
      </c>
      <c r="N9" s="51">
        <v>4</v>
      </c>
      <c r="O9" s="51">
        <v>30</v>
      </c>
      <c r="P9" s="51">
        <v>4</v>
      </c>
      <c r="Q9" s="51">
        <v>15</v>
      </c>
      <c r="R9" s="51">
        <v>10</v>
      </c>
      <c r="S9" s="51">
        <v>10</v>
      </c>
      <c r="T9" s="51">
        <v>3</v>
      </c>
      <c r="U9" s="51">
        <v>1</v>
      </c>
      <c r="V9" s="51">
        <v>15</v>
      </c>
      <c r="W9" s="51">
        <v>14</v>
      </c>
      <c r="X9" s="51">
        <v>8</v>
      </c>
      <c r="Y9" s="51">
        <v>13</v>
      </c>
      <c r="Z9" s="51">
        <v>12</v>
      </c>
      <c r="AA9" s="51">
        <v>10</v>
      </c>
      <c r="AB9" s="51">
        <v>10</v>
      </c>
      <c r="AC9" s="51">
        <v>13</v>
      </c>
      <c r="AD9" s="215">
        <v>13</v>
      </c>
      <c r="AE9" s="215">
        <v>4</v>
      </c>
      <c r="AF9" s="51">
        <v>10</v>
      </c>
      <c r="AG9" s="51">
        <v>10</v>
      </c>
      <c r="AH9" s="51">
        <v>18</v>
      </c>
      <c r="AI9" s="51">
        <v>15</v>
      </c>
      <c r="AJ9" s="51">
        <v>4</v>
      </c>
      <c r="AK9" s="51">
        <v>4</v>
      </c>
      <c r="AL9" s="51">
        <v>9</v>
      </c>
      <c r="AM9" s="122">
        <v>8</v>
      </c>
      <c r="AN9" s="51">
        <v>9</v>
      </c>
      <c r="AO9" s="51">
        <v>1</v>
      </c>
      <c r="AP9" s="51">
        <v>3</v>
      </c>
      <c r="AQ9" s="51">
        <v>3</v>
      </c>
      <c r="AR9" s="51">
        <v>2</v>
      </c>
      <c r="AS9" s="51">
        <v>10</v>
      </c>
      <c r="AT9" s="51">
        <v>23</v>
      </c>
    </row>
    <row r="10" spans="2:46" x14ac:dyDescent="0.25">
      <c r="B10" s="121" t="s">
        <v>2569</v>
      </c>
      <c r="C10" s="51">
        <v>8</v>
      </c>
      <c r="D10" s="51" t="s">
        <v>2798</v>
      </c>
      <c r="E10" s="119">
        <v>45433</v>
      </c>
      <c r="F10" s="51">
        <v>1</v>
      </c>
      <c r="G10" s="119" t="s">
        <v>2614</v>
      </c>
      <c r="H10" s="51" t="s">
        <v>2631</v>
      </c>
      <c r="I10" s="51">
        <v>31</v>
      </c>
      <c r="J10" s="51">
        <v>5.0000028006999999E+25</v>
      </c>
      <c r="K10" s="51" t="s">
        <v>2622</v>
      </c>
      <c r="L10" s="51">
        <v>7</v>
      </c>
      <c r="M10" s="51">
        <v>101</v>
      </c>
      <c r="N10" s="51" t="e">
        <v>#N/A</v>
      </c>
      <c r="O10" s="51" t="e">
        <v>#N/A</v>
      </c>
      <c r="P10" s="51" t="e">
        <v>#N/A</v>
      </c>
      <c r="Q10" s="51" t="e">
        <v>#N/A</v>
      </c>
      <c r="R10" s="119">
        <v>35300</v>
      </c>
      <c r="S10" s="119">
        <v>42025</v>
      </c>
      <c r="T10" s="51">
        <v>124</v>
      </c>
      <c r="U10" s="119">
        <v>0</v>
      </c>
      <c r="V10" s="119" t="s">
        <v>2616</v>
      </c>
      <c r="W10" s="122" t="s">
        <v>2616</v>
      </c>
      <c r="X10" s="51" t="s">
        <v>2616</v>
      </c>
      <c r="Y10" s="119" t="s">
        <v>2616</v>
      </c>
      <c r="Z10" s="119" t="s">
        <v>2616</v>
      </c>
      <c r="AA10" s="51" t="e">
        <v>#N/A</v>
      </c>
      <c r="AB10" s="122" t="e">
        <v>#N/A</v>
      </c>
      <c r="AC10" s="51" t="s">
        <v>2616</v>
      </c>
      <c r="AD10" s="229" t="s">
        <v>2616</v>
      </c>
      <c r="AE10" s="215" t="e">
        <v>#N/A</v>
      </c>
      <c r="AF10" s="122" t="e">
        <v>#N/A</v>
      </c>
      <c r="AG10" s="122" t="e">
        <v>#N/A</v>
      </c>
      <c r="AH10" s="122"/>
      <c r="AI10" s="51" t="s">
        <v>2616</v>
      </c>
      <c r="AJ10" s="122" t="e">
        <v>#N/A</v>
      </c>
      <c r="AK10" s="51" t="e">
        <v>#N/A</v>
      </c>
      <c r="AL10" s="122">
        <v>-2250000</v>
      </c>
      <c r="AM10" s="122" t="s">
        <v>2616</v>
      </c>
      <c r="AN10" s="122" t="s">
        <v>2616</v>
      </c>
      <c r="AO10" s="122">
        <v>0</v>
      </c>
      <c r="AP10" s="51" t="s">
        <v>2622</v>
      </c>
      <c r="AQ10" s="51" t="s">
        <v>2799</v>
      </c>
      <c r="AR10" s="51" t="s">
        <v>2697</v>
      </c>
      <c r="AS10" s="119">
        <v>45433</v>
      </c>
      <c r="AT10" s="119" t="s">
        <v>2800</v>
      </c>
    </row>
    <row r="11" spans="2:46" x14ac:dyDescent="0.25">
      <c r="B11" s="51" t="s">
        <v>2571</v>
      </c>
      <c r="C11" s="51">
        <v>9</v>
      </c>
      <c r="D11" s="51" t="s">
        <v>2801</v>
      </c>
      <c r="E11" s="119">
        <v>45433</v>
      </c>
      <c r="F11" s="51">
        <v>1</v>
      </c>
      <c r="G11" s="119" t="s">
        <v>2614</v>
      </c>
      <c r="H11" s="51" t="s">
        <v>2631</v>
      </c>
      <c r="I11" s="51">
        <v>31</v>
      </c>
      <c r="J11" s="51">
        <v>5.0000028006999999E+25</v>
      </c>
      <c r="K11" s="51"/>
      <c r="L11" s="51">
        <v>7</v>
      </c>
      <c r="M11" s="51">
        <v>101</v>
      </c>
      <c r="N11" s="51"/>
      <c r="O11" s="51" t="e">
        <v>#N/A</v>
      </c>
      <c r="P11" s="51"/>
      <c r="Q11" s="51" t="e">
        <v>#N/A</v>
      </c>
      <c r="R11" s="119">
        <v>35300</v>
      </c>
      <c r="S11" s="119">
        <v>42025</v>
      </c>
      <c r="T11" s="51">
        <v>124</v>
      </c>
      <c r="U11" s="119">
        <v>0</v>
      </c>
      <c r="V11" s="119" t="s">
        <v>2631</v>
      </c>
      <c r="W11" s="51" t="s">
        <v>2631</v>
      </c>
      <c r="X11" s="51" t="s">
        <v>2631</v>
      </c>
      <c r="Y11" s="119" t="s">
        <v>2631</v>
      </c>
      <c r="Z11" s="119" t="s">
        <v>2631</v>
      </c>
      <c r="AA11" s="51" t="e">
        <v>#N/A</v>
      </c>
      <c r="AB11" s="51" t="e">
        <v>#N/A</v>
      </c>
      <c r="AC11" s="51" t="s">
        <v>2631</v>
      </c>
      <c r="AD11" s="215" t="s">
        <v>2631</v>
      </c>
      <c r="AE11" s="215" t="e">
        <v>#N/A</v>
      </c>
      <c r="AF11" s="51" t="e">
        <v>#N/A</v>
      </c>
      <c r="AG11" s="51" t="e">
        <v>#N/A</v>
      </c>
      <c r="AH11" s="51"/>
      <c r="AI11" s="51" t="s">
        <v>2631</v>
      </c>
      <c r="AJ11" s="51" t="e">
        <v>#N/A</v>
      </c>
      <c r="AK11" s="51" t="e">
        <v>#N/A</v>
      </c>
      <c r="AL11" s="122">
        <v>-22500000</v>
      </c>
      <c r="AM11" s="122">
        <v>0</v>
      </c>
      <c r="AN11" s="122">
        <v>0</v>
      </c>
      <c r="AO11" s="123">
        <v>0</v>
      </c>
      <c r="AP11" s="51">
        <v>0</v>
      </c>
      <c r="AQ11" s="51" t="s">
        <v>2802</v>
      </c>
      <c r="AR11" s="51" t="s">
        <v>2697</v>
      </c>
      <c r="AS11" s="119">
        <v>45433</v>
      </c>
      <c r="AT11" s="119" t="s">
        <v>2803</v>
      </c>
    </row>
    <row r="12" spans="2:46" x14ac:dyDescent="0.25">
      <c r="B12" s="51" t="s">
        <v>2573</v>
      </c>
      <c r="C12" s="51">
        <v>10</v>
      </c>
      <c r="D12" s="51" t="s">
        <v>2804</v>
      </c>
      <c r="E12" s="119">
        <v>45433</v>
      </c>
      <c r="F12" s="51">
        <v>1</v>
      </c>
      <c r="G12" s="119" t="s">
        <v>2614</v>
      </c>
      <c r="H12" s="51" t="s">
        <v>2631</v>
      </c>
      <c r="I12" s="51">
        <v>31</v>
      </c>
      <c r="J12" s="51">
        <v>6.0750007000001898E+29</v>
      </c>
      <c r="K12" s="51" t="s">
        <v>2622</v>
      </c>
      <c r="L12" s="51">
        <v>29</v>
      </c>
      <c r="M12" s="51" t="s">
        <v>2805</v>
      </c>
      <c r="N12" s="51">
        <v>31</v>
      </c>
      <c r="O12" s="51">
        <v>2.3930258433501999E+29</v>
      </c>
      <c r="P12" s="51">
        <v>31</v>
      </c>
      <c r="Q12" s="51">
        <v>607500070000019</v>
      </c>
      <c r="R12" s="119">
        <v>45441</v>
      </c>
      <c r="S12" s="119">
        <v>2958465</v>
      </c>
      <c r="T12" s="51" t="s">
        <v>2765</v>
      </c>
      <c r="U12" s="119">
        <v>1</v>
      </c>
      <c r="V12" s="119">
        <v>70000000000000</v>
      </c>
      <c r="W12" s="122">
        <v>9500000000000</v>
      </c>
      <c r="X12" s="51" t="s">
        <v>2616</v>
      </c>
      <c r="Y12" s="119">
        <v>328950890000</v>
      </c>
      <c r="Z12" s="119">
        <v>94818240000</v>
      </c>
      <c r="AA12" s="119">
        <v>45787</v>
      </c>
      <c r="AB12" s="122">
        <v>2958465</v>
      </c>
      <c r="AC12" s="122">
        <v>403478750000</v>
      </c>
      <c r="AD12" s="230">
        <v>691581370000</v>
      </c>
      <c r="AE12" s="215">
        <v>0</v>
      </c>
      <c r="AF12" s="122">
        <v>2958465</v>
      </c>
      <c r="AG12" s="221">
        <v>2958465</v>
      </c>
      <c r="AH12" s="122" t="s">
        <v>2806</v>
      </c>
      <c r="AI12" s="122">
        <v>19152000000000</v>
      </c>
      <c r="AJ12" s="122" t="s">
        <v>2624</v>
      </c>
      <c r="AK12" s="51" t="s">
        <v>2807</v>
      </c>
      <c r="AL12" s="122">
        <v>5294660</v>
      </c>
      <c r="AM12" s="122">
        <v>9500000</v>
      </c>
      <c r="AN12" s="122">
        <v>10522000</v>
      </c>
      <c r="AO12" s="122">
        <v>1</v>
      </c>
      <c r="AP12" s="51" t="s">
        <v>2622</v>
      </c>
      <c r="AQ12" s="51" t="s">
        <v>2622</v>
      </c>
      <c r="AR12" s="51" t="s">
        <v>2638</v>
      </c>
      <c r="AS12" s="119">
        <v>45448</v>
      </c>
      <c r="AT12" s="119" t="s">
        <v>2800</v>
      </c>
    </row>
    <row r="13" spans="2:46" x14ac:dyDescent="0.25">
      <c r="B13" s="51" t="s">
        <v>2575</v>
      </c>
      <c r="C13" s="51">
        <v>11</v>
      </c>
      <c r="D13" s="51" t="s">
        <v>2808</v>
      </c>
      <c r="E13" s="119">
        <v>45433</v>
      </c>
      <c r="F13" s="51">
        <v>1</v>
      </c>
      <c r="G13" s="119" t="s">
        <v>2614</v>
      </c>
      <c r="H13" s="51" t="s">
        <v>2631</v>
      </c>
      <c r="I13" s="51">
        <v>31</v>
      </c>
      <c r="J13" s="51">
        <v>6.0750007000001898E+29</v>
      </c>
      <c r="K13" s="51"/>
      <c r="L13" s="51">
        <v>29</v>
      </c>
      <c r="M13" s="51" t="s">
        <v>2805</v>
      </c>
      <c r="N13" s="51" t="e">
        <v>#N/A</v>
      </c>
      <c r="O13" s="51">
        <v>2.3930258433501999E+29</v>
      </c>
      <c r="P13" s="51" t="e">
        <v>#N/A</v>
      </c>
      <c r="Q13" s="51">
        <v>607500070000019</v>
      </c>
      <c r="R13" s="119">
        <v>45441</v>
      </c>
      <c r="S13" s="119">
        <v>2958465</v>
      </c>
      <c r="T13" s="51" t="s">
        <v>2765</v>
      </c>
      <c r="U13" s="119">
        <v>1</v>
      </c>
      <c r="V13" s="119" t="s">
        <v>2809</v>
      </c>
      <c r="W13" s="51" t="s">
        <v>2810</v>
      </c>
      <c r="X13" s="51" t="s">
        <v>582</v>
      </c>
      <c r="Y13" s="119" t="s">
        <v>2811</v>
      </c>
      <c r="Z13" s="119" t="s">
        <v>2812</v>
      </c>
      <c r="AA13" s="119">
        <v>45787</v>
      </c>
      <c r="AB13" s="119">
        <v>2958465</v>
      </c>
      <c r="AC13" s="51" t="s">
        <v>2813</v>
      </c>
      <c r="AD13" s="215" t="s">
        <v>2814</v>
      </c>
      <c r="AE13" s="215">
        <v>0</v>
      </c>
      <c r="AF13" s="119">
        <v>2958465</v>
      </c>
      <c r="AG13" s="119">
        <v>2958465</v>
      </c>
      <c r="AH13" s="51" t="s">
        <v>2806</v>
      </c>
      <c r="AI13" s="51" t="s">
        <v>2815</v>
      </c>
      <c r="AJ13" s="51" t="s">
        <v>2624</v>
      </c>
      <c r="AK13" s="51" t="s">
        <v>2807</v>
      </c>
      <c r="AL13" s="122">
        <v>52946600</v>
      </c>
      <c r="AM13" s="122">
        <v>95000000</v>
      </c>
      <c r="AN13" s="122">
        <v>105220000</v>
      </c>
      <c r="AO13" s="122">
        <v>1</v>
      </c>
      <c r="AP13" s="51" t="s">
        <v>2816</v>
      </c>
      <c r="AQ13" s="51" t="s">
        <v>2720</v>
      </c>
      <c r="AR13" s="51" t="s">
        <v>2638</v>
      </c>
      <c r="AS13" s="119">
        <v>45448</v>
      </c>
      <c r="AT13" s="119" t="s">
        <v>2817</v>
      </c>
    </row>
    <row r="14" spans="2:46" x14ac:dyDescent="0.25">
      <c r="B14" s="51" t="s">
        <v>2577</v>
      </c>
      <c r="C14" s="51">
        <v>12</v>
      </c>
      <c r="D14" s="51" t="s">
        <v>2818</v>
      </c>
      <c r="E14" s="119">
        <v>45433</v>
      </c>
      <c r="F14" s="51">
        <v>1</v>
      </c>
      <c r="G14" s="51" t="s">
        <v>2819</v>
      </c>
      <c r="H14" s="51" t="s">
        <v>2631</v>
      </c>
      <c r="I14" s="51">
        <v>0</v>
      </c>
      <c r="J14" s="51">
        <v>0</v>
      </c>
      <c r="K14" s="51">
        <v>0</v>
      </c>
      <c r="L14" s="51">
        <v>0</v>
      </c>
      <c r="M14" s="51">
        <v>0</v>
      </c>
      <c r="N14" s="51">
        <v>0</v>
      </c>
      <c r="O14" s="51">
        <v>0</v>
      </c>
      <c r="P14" s="51">
        <v>0</v>
      </c>
      <c r="Q14" s="51">
        <v>0</v>
      </c>
      <c r="R14" s="51">
        <v>0</v>
      </c>
      <c r="S14" s="51">
        <v>0</v>
      </c>
      <c r="T14" s="51">
        <v>0</v>
      </c>
      <c r="U14" s="51">
        <v>0</v>
      </c>
      <c r="V14" s="51">
        <v>0</v>
      </c>
      <c r="W14" s="51">
        <v>0</v>
      </c>
      <c r="X14" s="51">
        <v>160536</v>
      </c>
      <c r="Y14" s="51">
        <v>0</v>
      </c>
      <c r="Z14" s="51">
        <v>0</v>
      </c>
      <c r="AA14" s="51">
        <v>0</v>
      </c>
      <c r="AB14" s="51">
        <v>0</v>
      </c>
      <c r="AC14" s="51">
        <v>0</v>
      </c>
      <c r="AD14" s="215">
        <v>0</v>
      </c>
      <c r="AE14" s="215">
        <v>0</v>
      </c>
      <c r="AF14" s="51">
        <v>0</v>
      </c>
      <c r="AG14" s="51">
        <v>0</v>
      </c>
      <c r="AH14" s="51">
        <v>0</v>
      </c>
      <c r="AI14" s="51">
        <v>0</v>
      </c>
      <c r="AJ14" s="51">
        <v>160</v>
      </c>
      <c r="AK14" s="51">
        <v>160</v>
      </c>
      <c r="AL14" s="51">
        <v>82815</v>
      </c>
      <c r="AM14" s="51">
        <v>160</v>
      </c>
      <c r="AN14" s="51">
        <v>82815</v>
      </c>
      <c r="AO14" s="51">
        <v>0</v>
      </c>
      <c r="AP14" s="51">
        <v>0</v>
      </c>
      <c r="AQ14" s="51">
        <v>0</v>
      </c>
      <c r="AR14" s="51">
        <v>0</v>
      </c>
      <c r="AS14" s="51">
        <v>0</v>
      </c>
      <c r="AT14" s="51">
        <v>0</v>
      </c>
    </row>
    <row r="15" spans="2:46" x14ac:dyDescent="0.25">
      <c r="B15" s="51" t="s">
        <v>2579</v>
      </c>
      <c r="C15" s="51">
        <v>13</v>
      </c>
      <c r="D15" s="51" t="s">
        <v>2820</v>
      </c>
      <c r="E15" s="119">
        <v>45433</v>
      </c>
      <c r="F15" s="51">
        <v>1</v>
      </c>
      <c r="G15" s="51">
        <v>1</v>
      </c>
      <c r="H15" s="51" t="s">
        <v>2631</v>
      </c>
      <c r="I15" s="51" t="s">
        <v>2614</v>
      </c>
      <c r="J15" s="51" t="s">
        <v>2614</v>
      </c>
      <c r="K15" s="51" t="s">
        <v>2614</v>
      </c>
      <c r="L15" s="51" t="s">
        <v>2614</v>
      </c>
      <c r="M15" s="51" t="s">
        <v>2614</v>
      </c>
      <c r="N15" s="51" t="s">
        <v>2614</v>
      </c>
      <c r="O15" s="51" t="s">
        <v>2614</v>
      </c>
      <c r="P15" s="51" t="s">
        <v>2614</v>
      </c>
      <c r="Q15" s="51" t="s">
        <v>2614</v>
      </c>
      <c r="R15" s="121">
        <v>0</v>
      </c>
      <c r="S15" s="121">
        <v>0</v>
      </c>
      <c r="T15" s="51" t="s">
        <v>2614</v>
      </c>
      <c r="U15" s="121" t="s">
        <v>2614</v>
      </c>
      <c r="V15" s="121" t="s">
        <v>2614</v>
      </c>
      <c r="W15" s="51" t="s">
        <v>2614</v>
      </c>
      <c r="X15" s="51" t="s">
        <v>2614</v>
      </c>
      <c r="Y15" s="121" t="s">
        <v>2614</v>
      </c>
      <c r="Z15" s="121" t="s">
        <v>2614</v>
      </c>
      <c r="AA15" s="51">
        <v>0</v>
      </c>
      <c r="AB15" s="51">
        <v>0</v>
      </c>
      <c r="AC15" s="51" t="s">
        <v>2614</v>
      </c>
      <c r="AD15" s="231" t="s">
        <v>2614</v>
      </c>
      <c r="AE15" s="215" t="s">
        <v>2614</v>
      </c>
      <c r="AF15" s="51">
        <v>0</v>
      </c>
      <c r="AG15" s="51">
        <v>0</v>
      </c>
      <c r="AH15" s="51" t="s">
        <v>2614</v>
      </c>
      <c r="AI15" s="51" t="s">
        <v>2614</v>
      </c>
      <c r="AJ15" s="51" t="s">
        <v>2614</v>
      </c>
      <c r="AK15" s="51" t="s">
        <v>2614</v>
      </c>
      <c r="AL15" s="51" t="s">
        <v>2614</v>
      </c>
      <c r="AM15" s="51" t="s">
        <v>2614</v>
      </c>
      <c r="AN15" s="51" t="s">
        <v>2614</v>
      </c>
      <c r="AO15" s="51" t="s">
        <v>2614</v>
      </c>
      <c r="AP15" s="51" t="s">
        <v>2614</v>
      </c>
      <c r="AQ15" s="51" t="s">
        <v>2614</v>
      </c>
      <c r="AR15" s="51" t="s">
        <v>2614</v>
      </c>
      <c r="AS15" s="51" t="s">
        <v>2614</v>
      </c>
      <c r="AT15" s="51" t="s">
        <v>2614</v>
      </c>
    </row>
    <row r="16" spans="2:46" x14ac:dyDescent="0.25">
      <c r="B16" s="51" t="s">
        <v>2581</v>
      </c>
      <c r="C16" s="51">
        <v>14</v>
      </c>
      <c r="D16" s="51" t="s">
        <v>2821</v>
      </c>
      <c r="E16" s="119">
        <v>45433</v>
      </c>
      <c r="F16" s="51">
        <v>1</v>
      </c>
      <c r="G16" s="51">
        <v>1</v>
      </c>
      <c r="H16" s="51" t="s">
        <v>2631</v>
      </c>
      <c r="I16" s="51">
        <v>0</v>
      </c>
      <c r="J16" s="51">
        <v>0</v>
      </c>
      <c r="K16" s="51">
        <v>0</v>
      </c>
      <c r="L16" s="51">
        <v>0</v>
      </c>
      <c r="M16" s="51">
        <v>0</v>
      </c>
      <c r="N16" s="51">
        <v>0</v>
      </c>
      <c r="O16" s="51">
        <v>0</v>
      </c>
      <c r="P16" s="51">
        <v>0</v>
      </c>
      <c r="Q16" s="51">
        <v>0</v>
      </c>
      <c r="R16" s="51" t="s">
        <v>2614</v>
      </c>
      <c r="S16" s="51" t="s">
        <v>2614</v>
      </c>
      <c r="T16" s="51">
        <v>0</v>
      </c>
      <c r="U16" s="51" t="s">
        <v>2614</v>
      </c>
      <c r="V16" s="51" t="s">
        <v>2614</v>
      </c>
      <c r="W16" s="51" t="s">
        <v>2614</v>
      </c>
      <c r="X16" s="121" t="s">
        <v>2614</v>
      </c>
      <c r="Y16" s="51" t="s">
        <v>2614</v>
      </c>
      <c r="Z16" s="51" t="s">
        <v>2614</v>
      </c>
      <c r="AA16" s="51" t="s">
        <v>2614</v>
      </c>
      <c r="AB16" s="51" t="s">
        <v>2614</v>
      </c>
      <c r="AC16" s="121" t="s">
        <v>2614</v>
      </c>
      <c r="AD16" s="215" t="s">
        <v>2614</v>
      </c>
      <c r="AE16" s="215" t="s">
        <v>2614</v>
      </c>
      <c r="AF16" s="51" t="s">
        <v>2614</v>
      </c>
      <c r="AG16" s="51" t="s">
        <v>2614</v>
      </c>
      <c r="AH16" s="51" t="s">
        <v>2614</v>
      </c>
      <c r="AI16" s="51" t="s">
        <v>2614</v>
      </c>
      <c r="AJ16" s="51">
        <v>0</v>
      </c>
      <c r="AK16" s="51" t="s">
        <v>2614</v>
      </c>
      <c r="AL16" s="51" t="s">
        <v>2614</v>
      </c>
      <c r="AM16" s="51" t="s">
        <v>2614</v>
      </c>
      <c r="AN16" s="51" t="s">
        <v>2614</v>
      </c>
      <c r="AO16" s="51" t="s">
        <v>2614</v>
      </c>
      <c r="AP16" s="121">
        <v>0</v>
      </c>
      <c r="AQ16" s="51">
        <v>0</v>
      </c>
      <c r="AR16" s="51">
        <v>0</v>
      </c>
      <c r="AS16" s="51" t="s">
        <v>2614</v>
      </c>
      <c r="AT16" s="51" t="s">
        <v>2614</v>
      </c>
    </row>
    <row r="17" spans="2:46" x14ac:dyDescent="0.25">
      <c r="B17" s="51" t="s">
        <v>2583</v>
      </c>
      <c r="C17" s="51">
        <v>15</v>
      </c>
      <c r="D17" s="51" t="s">
        <v>2822</v>
      </c>
      <c r="E17" s="119">
        <v>45433</v>
      </c>
      <c r="F17" s="51">
        <v>1</v>
      </c>
      <c r="G17" s="51">
        <v>1</v>
      </c>
      <c r="H17" s="219" t="s">
        <v>2631</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c r="V17" s="51" t="s">
        <v>2614</v>
      </c>
      <c r="W17" s="51" t="s">
        <v>2614</v>
      </c>
      <c r="X17" s="121" t="s">
        <v>2614</v>
      </c>
      <c r="Y17" s="51" t="s">
        <v>2614</v>
      </c>
      <c r="Z17" s="51" t="s">
        <v>2614</v>
      </c>
      <c r="AA17" s="51" t="s">
        <v>2614</v>
      </c>
      <c r="AB17" s="51" t="s">
        <v>2614</v>
      </c>
      <c r="AC17" s="121" t="s">
        <v>2614</v>
      </c>
      <c r="AD17" s="215" t="s">
        <v>2614</v>
      </c>
      <c r="AE17" s="215" t="s">
        <v>2614</v>
      </c>
      <c r="AF17" s="51" t="s">
        <v>2614</v>
      </c>
      <c r="AG17" s="51" t="s">
        <v>2614</v>
      </c>
      <c r="AH17" s="51" t="s">
        <v>2614</v>
      </c>
      <c r="AI17" s="51" t="s">
        <v>2614</v>
      </c>
      <c r="AJ17" s="51" t="s">
        <v>2614</v>
      </c>
      <c r="AK17" s="51" t="s">
        <v>2614</v>
      </c>
      <c r="AL17" s="51" t="s">
        <v>2614</v>
      </c>
      <c r="AM17" s="51" t="s">
        <v>2614</v>
      </c>
      <c r="AN17" s="51" t="s">
        <v>2614</v>
      </c>
      <c r="AO17" s="51" t="s">
        <v>2614</v>
      </c>
      <c r="AP17" s="121" t="s">
        <v>2614</v>
      </c>
      <c r="AQ17" s="51" t="s">
        <v>2614</v>
      </c>
      <c r="AR17" s="51" t="s">
        <v>2614</v>
      </c>
      <c r="AS17" s="51" t="s">
        <v>2614</v>
      </c>
      <c r="AT17" s="51" t="s">
        <v>2614</v>
      </c>
    </row>
    <row r="18" spans="2:46" x14ac:dyDescent="0.25">
      <c r="B18" s="51" t="s">
        <v>2585</v>
      </c>
      <c r="C18" s="51">
        <v>16</v>
      </c>
      <c r="D18" s="51" t="s">
        <v>2822</v>
      </c>
      <c r="E18" s="119">
        <v>45433</v>
      </c>
      <c r="F18" s="51">
        <v>1</v>
      </c>
      <c r="G18" s="51">
        <v>1</v>
      </c>
      <c r="H18" s="51" t="s">
        <v>2631</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c r="X18" s="51" t="s">
        <v>2614</v>
      </c>
      <c r="Y18" s="51" t="s">
        <v>2614</v>
      </c>
      <c r="Z18" s="51" t="s">
        <v>2614</v>
      </c>
      <c r="AA18" s="51" t="s">
        <v>2614</v>
      </c>
      <c r="AB18" s="51" t="s">
        <v>2614</v>
      </c>
      <c r="AC18" s="51" t="s">
        <v>2614</v>
      </c>
      <c r="AD18" s="215" t="s">
        <v>2614</v>
      </c>
      <c r="AE18" s="215" t="s">
        <v>2614</v>
      </c>
      <c r="AF18" s="51" t="s">
        <v>2614</v>
      </c>
      <c r="AG18" s="51" t="s">
        <v>2614</v>
      </c>
      <c r="AH18" s="51" t="s">
        <v>2614</v>
      </c>
      <c r="AI18" s="51" t="s">
        <v>2614</v>
      </c>
      <c r="AJ18" s="51" t="s">
        <v>2614</v>
      </c>
      <c r="AK18" s="51" t="s">
        <v>2614</v>
      </c>
      <c r="AL18" s="51" t="s">
        <v>2614</v>
      </c>
      <c r="AM18" s="51" t="s">
        <v>2614</v>
      </c>
      <c r="AN18" s="51" t="s">
        <v>2614</v>
      </c>
      <c r="AO18" s="51" t="s">
        <v>2614</v>
      </c>
      <c r="AP18" s="51" t="s">
        <v>2614</v>
      </c>
      <c r="AQ18" s="51" t="s">
        <v>2614</v>
      </c>
      <c r="AR18" s="51" t="s">
        <v>2614</v>
      </c>
      <c r="AS18" s="51" t="s">
        <v>2614</v>
      </c>
      <c r="AT18" s="51" t="s">
        <v>2614</v>
      </c>
    </row>
    <row r="19" spans="2:46" x14ac:dyDescent="0.25">
      <c r="B19" s="51" t="s">
        <v>2587</v>
      </c>
      <c r="C19" s="51">
        <v>17</v>
      </c>
      <c r="D19" s="51" t="s">
        <v>2823</v>
      </c>
      <c r="E19" s="119">
        <v>45433</v>
      </c>
      <c r="F19" s="51">
        <v>1</v>
      </c>
      <c r="G19" s="51" t="s">
        <v>2824</v>
      </c>
      <c r="H19" s="219" t="s">
        <v>2825</v>
      </c>
      <c r="I19" s="51" t="s">
        <v>2614</v>
      </c>
      <c r="J19" s="51" t="s">
        <v>2614</v>
      </c>
      <c r="K19" s="51" t="s">
        <v>2614</v>
      </c>
      <c r="L19" s="51" t="s">
        <v>2614</v>
      </c>
      <c r="M19" s="51" t="s">
        <v>2614</v>
      </c>
      <c r="N19" s="51" t="s">
        <v>2614</v>
      </c>
      <c r="O19" s="51" t="s">
        <v>2614</v>
      </c>
      <c r="P19" s="51" t="s">
        <v>2614</v>
      </c>
      <c r="Q19" s="51" t="s">
        <v>2614</v>
      </c>
      <c r="R19" s="51" t="s">
        <v>2614</v>
      </c>
      <c r="S19" s="51" t="s">
        <v>2614</v>
      </c>
      <c r="T19" s="51" t="s">
        <v>2614</v>
      </c>
      <c r="U19" s="51" t="s">
        <v>2614</v>
      </c>
      <c r="V19" s="51" t="s">
        <v>2614</v>
      </c>
      <c r="W19" s="51" t="s">
        <v>2614</v>
      </c>
      <c r="X19" s="51" t="s">
        <v>2614</v>
      </c>
      <c r="Y19" s="51" t="s">
        <v>2614</v>
      </c>
      <c r="Z19" s="51" t="s">
        <v>2614</v>
      </c>
      <c r="AA19" s="51" t="s">
        <v>2614</v>
      </c>
      <c r="AB19" s="51" t="s">
        <v>2614</v>
      </c>
      <c r="AC19" s="51" t="s">
        <v>2614</v>
      </c>
      <c r="AD19" s="215" t="s">
        <v>2614</v>
      </c>
      <c r="AE19" s="215" t="s">
        <v>2614</v>
      </c>
      <c r="AF19" s="51" t="s">
        <v>2614</v>
      </c>
      <c r="AG19" s="51" t="s">
        <v>2614</v>
      </c>
      <c r="AH19" s="51" t="s">
        <v>2614</v>
      </c>
      <c r="AI19" s="51" t="s">
        <v>2614</v>
      </c>
      <c r="AJ19" s="51" t="s">
        <v>2614</v>
      </c>
      <c r="AK19" s="51" t="s">
        <v>2614</v>
      </c>
      <c r="AL19" s="51" t="s">
        <v>2614</v>
      </c>
      <c r="AM19" s="51" t="s">
        <v>2614</v>
      </c>
      <c r="AN19" s="51" t="s">
        <v>2614</v>
      </c>
      <c r="AO19" s="51" t="s">
        <v>2614</v>
      </c>
      <c r="AP19" s="51" t="s">
        <v>2614</v>
      </c>
      <c r="AQ19" s="51" t="s">
        <v>2614</v>
      </c>
      <c r="AR19" s="51" t="s">
        <v>2614</v>
      </c>
      <c r="AS19" s="51" t="s">
        <v>2614</v>
      </c>
      <c r="AT19" s="51" t="s">
        <v>2614</v>
      </c>
    </row>
    <row r="20" spans="2:46" x14ac:dyDescent="0.25">
      <c r="B20" s="51" t="s">
        <v>2589</v>
      </c>
      <c r="C20" s="51">
        <v>18</v>
      </c>
      <c r="D20" s="51" t="s">
        <v>2823</v>
      </c>
      <c r="E20" s="119">
        <v>45433</v>
      </c>
      <c r="F20" s="51">
        <v>1</v>
      </c>
      <c r="G20" s="51">
        <v>1</v>
      </c>
      <c r="H20" s="51" t="s">
        <v>2631</v>
      </c>
      <c r="I20" s="51" t="s">
        <v>2614</v>
      </c>
      <c r="J20" s="51" t="s">
        <v>2614</v>
      </c>
      <c r="K20" s="51" t="s">
        <v>2614</v>
      </c>
      <c r="L20" s="51" t="s">
        <v>2614</v>
      </c>
      <c r="M20" s="51" t="s">
        <v>2614</v>
      </c>
      <c r="N20" s="51" t="s">
        <v>2614</v>
      </c>
      <c r="O20" s="51" t="s">
        <v>2614</v>
      </c>
      <c r="P20" s="51" t="s">
        <v>2614</v>
      </c>
      <c r="Q20" s="51" t="s">
        <v>2614</v>
      </c>
      <c r="R20" s="51" t="s">
        <v>2614</v>
      </c>
      <c r="S20" s="51" t="s">
        <v>2614</v>
      </c>
      <c r="T20" s="51" t="s">
        <v>2614</v>
      </c>
      <c r="U20" s="51" t="s">
        <v>2614</v>
      </c>
      <c r="V20" s="51" t="s">
        <v>2614</v>
      </c>
      <c r="W20" s="51" t="s">
        <v>2614</v>
      </c>
      <c r="X20" s="51" t="s">
        <v>2614</v>
      </c>
      <c r="Y20" s="51" t="s">
        <v>2614</v>
      </c>
      <c r="Z20" s="51" t="s">
        <v>2614</v>
      </c>
      <c r="AA20" s="51" t="s">
        <v>2614</v>
      </c>
      <c r="AB20" s="51" t="s">
        <v>2614</v>
      </c>
      <c r="AC20" s="51" t="s">
        <v>2614</v>
      </c>
      <c r="AD20" s="215" t="s">
        <v>2614</v>
      </c>
      <c r="AE20" s="215" t="s">
        <v>2614</v>
      </c>
      <c r="AF20" s="51" t="s">
        <v>2614</v>
      </c>
      <c r="AG20" s="51" t="s">
        <v>2614</v>
      </c>
      <c r="AH20" s="51" t="s">
        <v>2614</v>
      </c>
      <c r="AI20" s="51" t="s">
        <v>2614</v>
      </c>
      <c r="AJ20" s="51" t="s">
        <v>2614</v>
      </c>
      <c r="AK20" s="51" t="s">
        <v>2614</v>
      </c>
      <c r="AL20" s="51" t="s">
        <v>2614</v>
      </c>
      <c r="AM20" s="51" t="s">
        <v>2614</v>
      </c>
      <c r="AN20" s="51" t="s">
        <v>2614</v>
      </c>
      <c r="AO20" s="51" t="s">
        <v>2614</v>
      </c>
      <c r="AP20" s="51" t="s">
        <v>2614</v>
      </c>
      <c r="AQ20" s="51" t="s">
        <v>2614</v>
      </c>
      <c r="AR20" s="51" t="s">
        <v>2614</v>
      </c>
      <c r="AS20" s="51" t="s">
        <v>2614</v>
      </c>
      <c r="AT20" s="51" t="s">
        <v>2614</v>
      </c>
    </row>
    <row r="21" spans="2:46" x14ac:dyDescent="0.25">
      <c r="B21" s="51" t="s">
        <v>2591</v>
      </c>
      <c r="C21" s="51">
        <v>19</v>
      </c>
      <c r="D21" s="51" t="s">
        <v>2826</v>
      </c>
      <c r="E21" s="119">
        <v>45433</v>
      </c>
      <c r="F21" s="51">
        <v>1</v>
      </c>
      <c r="G21" s="51" cm="1">
        <f t="array" ref="G21">SUMPRODUCT(--(ISNUMBER((SEARCH(I27:AT27,I21:AT21)))))/COUNTA(I21:AT21)</f>
        <v>0.97368421052631582</v>
      </c>
      <c r="H21" s="51" t="s">
        <v>2631</v>
      </c>
      <c r="I21" s="51" t="s">
        <v>2654</v>
      </c>
      <c r="J21" s="51" t="s">
        <v>2654</v>
      </c>
      <c r="K21" s="51" t="s">
        <v>2654</v>
      </c>
      <c r="L21" s="51" t="s">
        <v>2654</v>
      </c>
      <c r="M21" s="51" t="s">
        <v>2654</v>
      </c>
      <c r="N21" s="51" t="s">
        <v>2654</v>
      </c>
      <c r="O21" s="51" t="s">
        <v>2654</v>
      </c>
      <c r="P21" s="51" t="s">
        <v>2654</v>
      </c>
      <c r="Q21" s="51" t="s">
        <v>2654</v>
      </c>
      <c r="R21" s="51" t="s">
        <v>2654</v>
      </c>
      <c r="S21" s="51" t="s">
        <v>2654</v>
      </c>
      <c r="T21" s="51" t="s">
        <v>2654</v>
      </c>
      <c r="U21" s="51" t="s">
        <v>2654</v>
      </c>
      <c r="V21" s="51" t="s">
        <v>2655</v>
      </c>
      <c r="W21" s="51" t="s">
        <v>2655</v>
      </c>
      <c r="X21" s="51" t="s">
        <v>2655</v>
      </c>
      <c r="Y21" s="51" t="s">
        <v>2655</v>
      </c>
      <c r="Z21" s="51" t="s">
        <v>2655</v>
      </c>
      <c r="AA21" s="51" t="s">
        <v>2654</v>
      </c>
      <c r="AB21" s="51" t="s">
        <v>2654</v>
      </c>
      <c r="AC21" s="51" t="s">
        <v>2655</v>
      </c>
      <c r="AD21" s="215" t="s">
        <v>2655</v>
      </c>
      <c r="AE21" s="215" t="s">
        <v>2654</v>
      </c>
      <c r="AF21" s="51" t="s">
        <v>2654</v>
      </c>
      <c r="AG21" s="51" t="s">
        <v>2654</v>
      </c>
      <c r="AH21" s="51" t="s">
        <v>2654</v>
      </c>
      <c r="AI21" s="51" t="s">
        <v>2655</v>
      </c>
      <c r="AJ21" s="51" t="s">
        <v>2654</v>
      </c>
      <c r="AK21" s="51" t="s">
        <v>2654</v>
      </c>
      <c r="AL21" s="51" t="s">
        <v>2655</v>
      </c>
      <c r="AM21" s="51" t="s">
        <v>2655</v>
      </c>
      <c r="AN21" s="51" t="s">
        <v>2655</v>
      </c>
      <c r="AO21" s="51" t="s">
        <v>2654</v>
      </c>
      <c r="AP21" s="51" t="s">
        <v>2654</v>
      </c>
      <c r="AQ21" s="51" t="s">
        <v>2654</v>
      </c>
      <c r="AR21" s="51" t="s">
        <v>2654</v>
      </c>
      <c r="AS21" s="51" t="s">
        <v>2654</v>
      </c>
      <c r="AT21" s="51" t="s">
        <v>2656</v>
      </c>
    </row>
    <row r="22" spans="2:46" x14ac:dyDescent="0.25">
      <c r="B22" s="121" t="s">
        <v>2594</v>
      </c>
      <c r="C22" s="51">
        <v>20</v>
      </c>
      <c r="D22" s="51" t="s">
        <v>2827</v>
      </c>
      <c r="E22" s="119">
        <v>45433</v>
      </c>
      <c r="F22" s="51">
        <v>1</v>
      </c>
      <c r="G22" s="51" cm="1">
        <f t="array" ref="G22">SUM(IF(I2:AT2 = I26:AT26, 1, 0))/ COUNTA(I2:AT2)</f>
        <v>0.65789473684210531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row>
    <row r="23" spans="2:46" x14ac:dyDescent="0.25">
      <c r="B23" s="51" t="s">
        <v>2597</v>
      </c>
      <c r="C23" s="51">
        <v>21</v>
      </c>
      <c r="D23" s="51" t="s">
        <v>2827</v>
      </c>
      <c r="E23" s="119">
        <v>45433</v>
      </c>
      <c r="F23" s="51">
        <v>1</v>
      </c>
      <c r="G23" s="51" cm="1">
        <f t="array" ref="G23">SUM(IF(IF(G3:G22="null",1,G3:G22)=1,1,0))/COUNT(IF(G3:G22="null",1,1))</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row>
    <row r="25" spans="2:46" x14ac:dyDescent="0.25">
      <c r="B25" s="164" t="s">
        <v>2657</v>
      </c>
    </row>
    <row r="26" spans="2:46" x14ac:dyDescent="0.25">
      <c r="B26" s="157" t="s">
        <v>2658</v>
      </c>
      <c r="C26" s="153" t="s">
        <v>2601</v>
      </c>
      <c r="D26" s="153" t="s">
        <v>2602</v>
      </c>
      <c r="E26" s="153" t="s">
        <v>2603</v>
      </c>
      <c r="F26" s="153" t="s">
        <v>2604</v>
      </c>
      <c r="G26" s="153" t="s">
        <v>2605</v>
      </c>
      <c r="H26" s="153" t="s">
        <v>2606</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c r="AT26" s="148"/>
    </row>
    <row r="27" spans="2:46" x14ac:dyDescent="0.25">
      <c r="B27" s="126" t="s">
        <v>2659</v>
      </c>
      <c r="C27" s="175">
        <v>21</v>
      </c>
      <c r="D27" s="130" t="s">
        <v>2660</v>
      </c>
      <c r="E27" s="129" t="s">
        <v>2661</v>
      </c>
      <c r="F27" s="129" t="s">
        <v>351</v>
      </c>
      <c r="G27" s="129" t="s">
        <v>351</v>
      </c>
      <c r="H27" s="129" t="s">
        <v>351</v>
      </c>
      <c r="I27" s="127"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9" t="str">
        <v>STRING</v>
      </c>
      <c r="K27" s="129" t="str">
        <v>STRING</v>
      </c>
      <c r="L27" s="129" t="str">
        <v>STRING</v>
      </c>
      <c r="M27" s="129" t="str">
        <v>STRING</v>
      </c>
      <c r="N27" s="129" t="str">
        <v>STRING</v>
      </c>
      <c r="O27" s="129" t="str">
        <v>STRING</v>
      </c>
      <c r="P27" s="129" t="str">
        <v>STRING</v>
      </c>
      <c r="Q27" s="129" t="str">
        <v>STRING</v>
      </c>
      <c r="R27" s="129" t="str">
        <v>STRING</v>
      </c>
      <c r="S27" s="129" t="str">
        <v>STRING</v>
      </c>
      <c r="T27" s="129" t="str">
        <v>STRING</v>
      </c>
      <c r="U27" s="129" t="str">
        <v>STRING</v>
      </c>
      <c r="V27" s="129" t="str">
        <v>DECIMAL</v>
      </c>
      <c r="W27" s="129" t="str">
        <v>DECIMAL</v>
      </c>
      <c r="X27" s="129" t="str">
        <v>DECIMAL</v>
      </c>
      <c r="Y27" s="129" t="str">
        <v>DECIMAL</v>
      </c>
      <c r="Z27" s="129" t="str">
        <v>DECIMAL</v>
      </c>
      <c r="AA27" s="129" t="str">
        <v>STRING</v>
      </c>
      <c r="AB27" s="129" t="str">
        <v>STRING</v>
      </c>
      <c r="AC27" s="129" t="str">
        <v>DECIMAL</v>
      </c>
      <c r="AD27" s="129" t="str">
        <v>DECIMAL</v>
      </c>
      <c r="AE27" s="129" t="str">
        <v>STRING</v>
      </c>
      <c r="AF27" s="129" t="str">
        <v>STRING</v>
      </c>
      <c r="AG27" s="129" t="str">
        <v>STRING</v>
      </c>
      <c r="AH27" s="129" t="str">
        <v>STRING</v>
      </c>
      <c r="AI27" s="129" t="str">
        <v>DECIMAL</v>
      </c>
      <c r="AJ27" s="129" t="str">
        <v>STRING</v>
      </c>
      <c r="AK27" s="129" t="str">
        <v>STRING</v>
      </c>
      <c r="AL27" s="129" t="str">
        <v>DECIMAL</v>
      </c>
      <c r="AM27" s="129" t="str">
        <v>DECIMAL</v>
      </c>
      <c r="AN27" s="129" t="str">
        <v>DECIMAL</v>
      </c>
      <c r="AO27" s="129" t="str">
        <v>STRING</v>
      </c>
      <c r="AP27" s="129" t="str">
        <v>STRING</v>
      </c>
      <c r="AQ27" s="129" t="str">
        <v>STRING</v>
      </c>
      <c r="AR27" s="129" t="str">
        <v>STRING</v>
      </c>
      <c r="AS27" s="129" t="str">
        <v>TIMESTAMP</v>
      </c>
      <c r="AT27" s="129"/>
    </row>
    <row r="28" spans="2:46" x14ac:dyDescent="0.25">
      <c r="B28" s="126" t="s">
        <v>2662</v>
      </c>
      <c r="C28" s="175">
        <v>7</v>
      </c>
      <c r="D28" s="130" t="s">
        <v>2660</v>
      </c>
      <c r="E28" s="129" t="s">
        <v>2661</v>
      </c>
      <c r="F28" s="129" t="s">
        <v>351</v>
      </c>
      <c r="G28" s="129" t="s">
        <v>351</v>
      </c>
      <c r="H28" s="129" t="s">
        <v>351</v>
      </c>
      <c r="I28" s="175">
        <v>4</v>
      </c>
      <c r="J28" s="175">
        <v>30</v>
      </c>
      <c r="K28" s="175">
        <v>20</v>
      </c>
      <c r="L28" s="175">
        <v>3</v>
      </c>
      <c r="M28" s="175">
        <v>3</v>
      </c>
      <c r="N28" s="175">
        <v>4</v>
      </c>
      <c r="O28" s="175">
        <v>30</v>
      </c>
      <c r="P28" s="175">
        <v>4</v>
      </c>
      <c r="Q28" s="175">
        <v>15</v>
      </c>
      <c r="R28" s="175">
        <v>10</v>
      </c>
      <c r="S28" s="175">
        <v>10</v>
      </c>
      <c r="T28" s="175">
        <v>3</v>
      </c>
      <c r="U28" s="175">
        <v>4</v>
      </c>
      <c r="V28" s="175">
        <v>23</v>
      </c>
      <c r="W28" s="175">
        <v>23</v>
      </c>
      <c r="X28" s="175">
        <v>23</v>
      </c>
      <c r="Y28" s="175">
        <v>23</v>
      </c>
      <c r="Z28" s="175">
        <v>23</v>
      </c>
      <c r="AA28" s="175">
        <v>10</v>
      </c>
      <c r="AB28" s="175">
        <v>10</v>
      </c>
      <c r="AC28" s="175">
        <v>23</v>
      </c>
      <c r="AD28" s="175">
        <v>23</v>
      </c>
      <c r="AE28" s="175">
        <v>4</v>
      </c>
      <c r="AF28" s="175">
        <v>10</v>
      </c>
      <c r="AG28" s="175">
        <v>10</v>
      </c>
      <c r="AH28" s="175">
        <v>18</v>
      </c>
      <c r="AI28" s="175">
        <v>23</v>
      </c>
      <c r="AJ28" s="175">
        <v>3</v>
      </c>
      <c r="AK28" s="175">
        <v>3</v>
      </c>
      <c r="AL28" s="175">
        <v>23</v>
      </c>
      <c r="AM28" s="175">
        <v>23</v>
      </c>
      <c r="AN28" s="175">
        <v>23</v>
      </c>
      <c r="AO28" s="175">
        <v>3</v>
      </c>
      <c r="AP28" s="175">
        <v>3</v>
      </c>
      <c r="AQ28" s="175">
        <v>2</v>
      </c>
      <c r="AR28" s="175">
        <v>10</v>
      </c>
      <c r="AS28" s="175">
        <v>23</v>
      </c>
      <c r="AT28" s="175"/>
    </row>
    <row r="30" spans="2:46" x14ac:dyDescent="0.25">
      <c r="B30" s="164" t="s">
        <v>2663</v>
      </c>
    </row>
    <row r="31" spans="2:46" x14ac:dyDescent="0.25">
      <c r="B31" s="158" t="s">
        <v>2664</v>
      </c>
      <c r="C31" s="158" t="s">
        <v>2665</v>
      </c>
      <c r="D31" s="159" t="s">
        <v>2666</v>
      </c>
      <c r="E31" s="158" t="s">
        <v>2667</v>
      </c>
      <c r="F31" s="158" t="s">
        <v>2668</v>
      </c>
    </row>
    <row r="32" spans="2:46" ht="45" x14ac:dyDescent="0.25">
      <c r="B32" s="167" t="s">
        <v>2669</v>
      </c>
      <c r="C32" s="146" t="s">
        <v>582</v>
      </c>
      <c r="D32" s="56" t="s">
        <v>2828</v>
      </c>
      <c r="E32" s="225" t="s">
        <v>2829</v>
      </c>
      <c r="F32" s="178" t="s">
        <v>2672</v>
      </c>
    </row>
    <row r="33" spans="2:6" ht="105" x14ac:dyDescent="0.25">
      <c r="B33" s="205" t="s">
        <v>2734</v>
      </c>
      <c r="C33" s="228" t="s">
        <v>630</v>
      </c>
      <c r="D33" s="58" t="s">
        <v>2830</v>
      </c>
      <c r="E33" s="227" t="s">
        <v>2831</v>
      </c>
      <c r="F33" s="226" t="s">
        <v>2676</v>
      </c>
    </row>
    <row r="34" spans="2:6" ht="105" x14ac:dyDescent="0.25">
      <c r="B34" s="205" t="s">
        <v>2734</v>
      </c>
      <c r="C34" s="228" t="s">
        <v>640</v>
      </c>
      <c r="D34" s="58" t="s">
        <v>2830</v>
      </c>
      <c r="E34" s="227" t="s">
        <v>2831</v>
      </c>
      <c r="F34" s="226" t="s">
        <v>2676</v>
      </c>
    </row>
    <row r="35" spans="2:6" ht="60" x14ac:dyDescent="0.25">
      <c r="B35" s="205" t="s">
        <v>2734</v>
      </c>
      <c r="C35" s="228" t="s">
        <v>649</v>
      </c>
      <c r="D35" s="58" t="s">
        <v>2832</v>
      </c>
      <c r="E35" s="227" t="s">
        <v>2833</v>
      </c>
      <c r="F35" s="226" t="s">
        <v>2672</v>
      </c>
    </row>
    <row r="36" spans="2:6" ht="105" x14ac:dyDescent="0.25">
      <c r="B36" s="205" t="s">
        <v>2734</v>
      </c>
      <c r="C36" s="146" t="s">
        <v>658</v>
      </c>
      <c r="D36" s="58" t="s">
        <v>2830</v>
      </c>
      <c r="E36" s="227" t="s">
        <v>2831</v>
      </c>
      <c r="F36" s="226" t="s">
        <v>2676</v>
      </c>
    </row>
    <row r="37" spans="2:6" ht="60" x14ac:dyDescent="0.25">
      <c r="B37" s="205" t="s">
        <v>2734</v>
      </c>
      <c r="C37" s="228" t="s">
        <v>665</v>
      </c>
      <c r="D37" s="58" t="s">
        <v>2832</v>
      </c>
      <c r="E37" s="227" t="s">
        <v>2833</v>
      </c>
      <c r="F37" s="226" t="s">
        <v>2672</v>
      </c>
    </row>
    <row r="38" spans="2:6" ht="60" x14ac:dyDescent="0.25">
      <c r="B38" s="205" t="s">
        <v>2677</v>
      </c>
      <c r="C38" s="206" t="s">
        <v>2834</v>
      </c>
      <c r="D38" s="58" t="s">
        <v>2835</v>
      </c>
      <c r="E38" s="225" t="s">
        <v>2836</v>
      </c>
      <c r="F38" s="226" t="s">
        <v>2741</v>
      </c>
    </row>
    <row r="39" spans="2:6" ht="60" x14ac:dyDescent="0.25">
      <c r="B39" s="205" t="s">
        <v>2837</v>
      </c>
      <c r="C39" s="206" t="s">
        <v>878</v>
      </c>
      <c r="D39" s="58" t="s">
        <v>2838</v>
      </c>
      <c r="E39" s="225" t="s">
        <v>2839</v>
      </c>
      <c r="F39" s="226" t="s">
        <v>2672</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B530-FA61-4B46-A255-D3F9D7228D47}">
  <sheetPr>
    <tabColor rgb="FF00B050"/>
  </sheetPr>
  <dimension ref="B1:AJ51"/>
  <sheetViews>
    <sheetView showGridLines="0" topLeftCell="D1" workbookViewId="0">
      <selection activeCell="G21" sqref="G21"/>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x14ac:dyDescent="0.25"/>
    <row r="2" spans="2:36" x14ac:dyDescent="0.25">
      <c r="B2" s="98" t="s">
        <v>2684</v>
      </c>
      <c r="C2" s="98" t="s">
        <v>2601</v>
      </c>
      <c r="D2" s="98" t="s">
        <v>2602</v>
      </c>
      <c r="E2" s="98" t="s">
        <v>2603</v>
      </c>
      <c r="F2" s="98" t="s">
        <v>2604</v>
      </c>
      <c r="G2" s="98" t="s">
        <v>2605</v>
      </c>
      <c r="H2" s="98" t="s">
        <v>2606</v>
      </c>
      <c r="I2" s="98" t="s">
        <v>138</v>
      </c>
      <c r="J2" s="98" t="s">
        <v>153</v>
      </c>
      <c r="K2" s="98" t="s">
        <v>165</v>
      </c>
      <c r="L2" s="98" t="s">
        <v>173</v>
      </c>
      <c r="M2" s="98" t="s">
        <v>185</v>
      </c>
      <c r="N2" s="98" t="s">
        <v>194</v>
      </c>
      <c r="O2" s="98" t="s">
        <v>204</v>
      </c>
      <c r="P2" s="98" t="s">
        <v>215</v>
      </c>
      <c r="Q2" s="98" t="s">
        <v>227</v>
      </c>
      <c r="R2" s="98" t="s">
        <v>239</v>
      </c>
      <c r="S2" s="98" t="s">
        <v>1395</v>
      </c>
      <c r="T2" s="98" t="s">
        <v>1400</v>
      </c>
      <c r="U2" s="98" t="s">
        <v>1406</v>
      </c>
      <c r="V2" s="98" t="s">
        <v>1834</v>
      </c>
      <c r="W2" s="98" t="s">
        <v>1837</v>
      </c>
      <c r="X2" s="98" t="s">
        <v>1839</v>
      </c>
      <c r="Y2" s="98" t="s">
        <v>1842</v>
      </c>
      <c r="Z2" s="98" t="s">
        <v>1844</v>
      </c>
      <c r="AA2" s="98" t="s">
        <v>1847</v>
      </c>
      <c r="AB2" s="98" t="s">
        <v>1850</v>
      </c>
      <c r="AC2" s="98" t="s">
        <v>1852</v>
      </c>
      <c r="AD2" s="98" t="s">
        <v>1855</v>
      </c>
      <c r="AE2" s="98" t="s">
        <v>1857</v>
      </c>
      <c r="AF2" s="98" t="s">
        <v>302</v>
      </c>
      <c r="AG2" s="98" t="s">
        <v>312</v>
      </c>
      <c r="AH2" s="98" t="s">
        <v>323</v>
      </c>
      <c r="AI2" s="98" t="s">
        <v>330</v>
      </c>
      <c r="AJ2" s="98" t="s">
        <v>337</v>
      </c>
    </row>
    <row r="3" spans="2:36" x14ac:dyDescent="0.25">
      <c r="B3" s="51" t="s">
        <v>2554</v>
      </c>
      <c r="C3" s="51">
        <v>1</v>
      </c>
      <c r="D3" s="51" t="s">
        <v>2840</v>
      </c>
      <c r="E3" s="119">
        <v>45457</v>
      </c>
      <c r="F3" s="51">
        <v>1</v>
      </c>
      <c r="G3" s="51">
        <v>1</v>
      </c>
      <c r="H3" s="219">
        <v>1057882</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c r="X3" s="51" t="s">
        <v>2614</v>
      </c>
      <c r="Y3" s="51" t="s">
        <v>2614</v>
      </c>
      <c r="Z3" s="51" t="s">
        <v>2614</v>
      </c>
      <c r="AA3" s="51" t="s">
        <v>2614</v>
      </c>
      <c r="AB3" s="51" t="s">
        <v>2614</v>
      </c>
      <c r="AC3" s="51" t="s">
        <v>2614</v>
      </c>
      <c r="AD3" s="51" t="s">
        <v>2614</v>
      </c>
      <c r="AE3" s="51" t="s">
        <v>2614</v>
      </c>
      <c r="AF3" s="51" t="s">
        <v>2614</v>
      </c>
      <c r="AG3" s="51" t="s">
        <v>2614</v>
      </c>
      <c r="AH3" s="51" t="s">
        <v>2614</v>
      </c>
      <c r="AI3" s="51" t="s">
        <v>2614</v>
      </c>
      <c r="AJ3" s="51" t="s">
        <v>2614</v>
      </c>
    </row>
    <row r="4" spans="2:36" x14ac:dyDescent="0.25">
      <c r="B4" s="51" t="s">
        <v>2556</v>
      </c>
      <c r="C4" s="51">
        <v>2</v>
      </c>
      <c r="D4" s="51" t="s">
        <v>2841</v>
      </c>
      <c r="E4" s="119">
        <v>45457</v>
      </c>
      <c r="F4" s="51">
        <v>1</v>
      </c>
      <c r="G4" s="51">
        <v>1</v>
      </c>
      <c r="H4" s="51" t="s">
        <v>2631</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c r="X4" s="51" t="s">
        <v>2614</v>
      </c>
      <c r="Y4" s="51" t="s">
        <v>2614</v>
      </c>
      <c r="Z4" s="51" t="s">
        <v>2614</v>
      </c>
      <c r="AA4" s="51" t="s">
        <v>2614</v>
      </c>
      <c r="AB4" s="51" t="s">
        <v>2614</v>
      </c>
      <c r="AC4" s="51" t="s">
        <v>2614</v>
      </c>
      <c r="AD4" s="51" t="s">
        <v>2614</v>
      </c>
      <c r="AE4" s="51" t="s">
        <v>2614</v>
      </c>
      <c r="AF4" s="51" t="s">
        <v>2614</v>
      </c>
      <c r="AG4" s="51" t="s">
        <v>2614</v>
      </c>
      <c r="AH4" s="51" t="s">
        <v>2614</v>
      </c>
      <c r="AI4" s="51" t="s">
        <v>2614</v>
      </c>
      <c r="AJ4" s="51" t="s">
        <v>2614</v>
      </c>
    </row>
    <row r="5" spans="2:36" x14ac:dyDescent="0.25">
      <c r="B5" s="51" t="s">
        <v>2558</v>
      </c>
      <c r="C5" s="51">
        <v>3</v>
      </c>
      <c r="D5" s="51" t="s">
        <v>2842</v>
      </c>
      <c r="E5" s="119">
        <v>45457</v>
      </c>
      <c r="F5" s="51">
        <v>1</v>
      </c>
      <c r="G5" s="51">
        <v>1</v>
      </c>
      <c r="H5" s="51" t="s">
        <v>2631</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t="s">
        <v>2614</v>
      </c>
      <c r="W5" s="51" t="s">
        <v>2614</v>
      </c>
      <c r="X5" s="51" t="s">
        <v>2614</v>
      </c>
      <c r="Y5" s="51" t="s">
        <v>2614</v>
      </c>
      <c r="Z5" s="51" t="s">
        <v>2614</v>
      </c>
      <c r="AA5" s="51" t="s">
        <v>2614</v>
      </c>
      <c r="AB5" s="51" t="s">
        <v>2614</v>
      </c>
      <c r="AC5" s="51" t="s">
        <v>2614</v>
      </c>
      <c r="AD5" s="51" t="s">
        <v>2614</v>
      </c>
      <c r="AE5" s="51" t="s">
        <v>2614</v>
      </c>
      <c r="AF5" s="51" t="s">
        <v>2614</v>
      </c>
      <c r="AG5" s="51" t="s">
        <v>2614</v>
      </c>
      <c r="AH5" s="51" t="s">
        <v>2614</v>
      </c>
      <c r="AI5" s="51">
        <v>0</v>
      </c>
      <c r="AJ5" s="51" t="s">
        <v>2614</v>
      </c>
    </row>
    <row r="6" spans="2:36" x14ac:dyDescent="0.25">
      <c r="B6" s="121" t="s">
        <v>2560</v>
      </c>
      <c r="C6" s="51">
        <v>4</v>
      </c>
      <c r="D6" s="51" t="s">
        <v>2618</v>
      </c>
      <c r="E6" s="119" t="s">
        <v>2614</v>
      </c>
      <c r="F6" s="51">
        <v>1</v>
      </c>
      <c r="G6" s="119" t="s">
        <v>2614</v>
      </c>
      <c r="H6" s="51" t="s">
        <v>2631</v>
      </c>
      <c r="I6" s="51" t="s">
        <v>2614</v>
      </c>
      <c r="J6" s="51" t="s">
        <v>2614</v>
      </c>
      <c r="K6" s="51" t="s">
        <v>2614</v>
      </c>
      <c r="L6" s="51" t="s">
        <v>2614</v>
      </c>
      <c r="M6" s="51" t="s">
        <v>2614</v>
      </c>
      <c r="N6" s="51" t="s">
        <v>2614</v>
      </c>
      <c r="O6" s="51" t="s">
        <v>2614</v>
      </c>
      <c r="P6" s="216" t="s">
        <v>2614</v>
      </c>
      <c r="Q6" s="216" t="s">
        <v>2614</v>
      </c>
      <c r="R6" s="51" t="s">
        <v>2614</v>
      </c>
      <c r="S6" s="122" t="s">
        <v>2614</v>
      </c>
      <c r="T6" s="122" t="s">
        <v>2614</v>
      </c>
      <c r="U6" s="51" t="s">
        <v>2614</v>
      </c>
      <c r="V6" s="51" t="s">
        <v>2614</v>
      </c>
      <c r="W6" s="51" t="s">
        <v>2614</v>
      </c>
      <c r="X6" s="51" t="s">
        <v>2614</v>
      </c>
      <c r="Y6" s="51" t="s">
        <v>2614</v>
      </c>
      <c r="Z6" s="51" t="s">
        <v>2614</v>
      </c>
      <c r="AA6" s="51" t="s">
        <v>2614</v>
      </c>
      <c r="AB6" s="51" t="s">
        <v>2614</v>
      </c>
      <c r="AC6" s="51" t="s">
        <v>2614</v>
      </c>
      <c r="AD6" s="51" t="s">
        <v>2614</v>
      </c>
      <c r="AE6" s="51" t="s">
        <v>2614</v>
      </c>
      <c r="AF6" s="51" t="s">
        <v>2614</v>
      </c>
      <c r="AG6" s="51" t="s">
        <v>2614</v>
      </c>
      <c r="AH6" s="220" t="s">
        <v>2614</v>
      </c>
      <c r="AI6" s="51" t="s">
        <v>2614</v>
      </c>
      <c r="AJ6" s="51" t="s">
        <v>2614</v>
      </c>
    </row>
    <row r="7" spans="2:36" x14ac:dyDescent="0.25">
      <c r="B7" s="51" t="s">
        <v>2562</v>
      </c>
      <c r="C7" s="51">
        <v>5</v>
      </c>
      <c r="D7" s="51" t="s">
        <v>2618</v>
      </c>
      <c r="E7" s="119" t="s">
        <v>2614</v>
      </c>
      <c r="F7" s="51">
        <v>1</v>
      </c>
      <c r="G7" s="119" t="s">
        <v>2614</v>
      </c>
      <c r="H7" s="51" t="s">
        <v>2631</v>
      </c>
      <c r="I7" s="51" t="s">
        <v>2614</v>
      </c>
      <c r="J7" s="51" t="s">
        <v>2614</v>
      </c>
      <c r="K7" s="51" t="s">
        <v>2614</v>
      </c>
      <c r="L7" s="51" t="s">
        <v>2614</v>
      </c>
      <c r="M7" s="51" t="s">
        <v>2614</v>
      </c>
      <c r="N7" s="51" t="s">
        <v>2614</v>
      </c>
      <c r="O7" s="51" t="s">
        <v>2614</v>
      </c>
      <c r="P7" s="216" t="s">
        <v>2614</v>
      </c>
      <c r="Q7" s="216" t="s">
        <v>2614</v>
      </c>
      <c r="R7" s="51" t="s">
        <v>2614</v>
      </c>
      <c r="S7" s="51" t="s">
        <v>2614</v>
      </c>
      <c r="T7" s="51" t="s">
        <v>2614</v>
      </c>
      <c r="U7" s="51" t="s">
        <v>2614</v>
      </c>
      <c r="V7" s="51" t="s">
        <v>2614</v>
      </c>
      <c r="W7" s="51" t="s">
        <v>2614</v>
      </c>
      <c r="X7" s="51" t="s">
        <v>2614</v>
      </c>
      <c r="Y7" s="51" t="s">
        <v>2614</v>
      </c>
      <c r="Z7" s="51" t="s">
        <v>2614</v>
      </c>
      <c r="AA7" s="51" t="s">
        <v>2614</v>
      </c>
      <c r="AB7" s="51" t="s">
        <v>2614</v>
      </c>
      <c r="AC7" s="51" t="s">
        <v>2614</v>
      </c>
      <c r="AD7" s="51" t="s">
        <v>2614</v>
      </c>
      <c r="AE7" s="51" t="s">
        <v>2614</v>
      </c>
      <c r="AF7" s="51" t="s">
        <v>2614</v>
      </c>
      <c r="AG7" s="51" t="s">
        <v>2614</v>
      </c>
      <c r="AH7" s="220" t="s">
        <v>2614</v>
      </c>
      <c r="AI7" s="51" t="s">
        <v>2614</v>
      </c>
      <c r="AJ7" s="51" t="s">
        <v>2614</v>
      </c>
    </row>
    <row r="8" spans="2:36" x14ac:dyDescent="0.25">
      <c r="B8" s="51" t="s">
        <v>2563</v>
      </c>
      <c r="C8" s="51">
        <v>6</v>
      </c>
      <c r="D8" s="51" t="s">
        <v>2843</v>
      </c>
      <c r="E8" s="119">
        <v>45457</v>
      </c>
      <c r="F8" s="51">
        <v>1</v>
      </c>
      <c r="G8" s="51" cm="1">
        <f t="array" ref="G8">SUMPRODUCT(--(I8:AJ8&gt;0))/COUNTA(I8:AJ8)</f>
        <v>1</v>
      </c>
      <c r="H8" s="51" t="s">
        <v>2631</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2844</v>
      </c>
      <c r="AH8" s="51">
        <v>2</v>
      </c>
      <c r="AI8" s="51">
        <v>10</v>
      </c>
      <c r="AJ8" s="51">
        <v>23</v>
      </c>
    </row>
    <row r="9" spans="2:36" x14ac:dyDescent="0.25">
      <c r="B9" s="51" t="s">
        <v>2566</v>
      </c>
      <c r="C9" s="51">
        <v>7</v>
      </c>
      <c r="D9" s="51" t="s">
        <v>2845</v>
      </c>
      <c r="E9" s="119">
        <v>45457</v>
      </c>
      <c r="F9" s="51">
        <v>1</v>
      </c>
      <c r="G9" s="51" cm="1">
        <f t="array" ref="G9">SUMPRODUCT(--(I9:AJ9&lt;=I29:AJ29))/COUNTA(I29:AJ29)</f>
        <v>0.6785714285714286</v>
      </c>
      <c r="H9" s="51" t="s">
        <v>2631</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2844</v>
      </c>
      <c r="AH9" s="51">
        <v>2</v>
      </c>
      <c r="AI9" s="51">
        <v>10</v>
      </c>
      <c r="AJ9" s="51">
        <v>23</v>
      </c>
    </row>
    <row r="10" spans="2:36" x14ac:dyDescent="0.25">
      <c r="B10" s="121" t="s">
        <v>2569</v>
      </c>
      <c r="C10" s="51">
        <v>8</v>
      </c>
      <c r="D10" s="51" t="s">
        <v>2846</v>
      </c>
      <c r="E10" s="119">
        <v>45457</v>
      </c>
      <c r="F10" s="51">
        <v>1</v>
      </c>
      <c r="G10" s="119" t="s">
        <v>2614</v>
      </c>
      <c r="H10" s="51" t="s">
        <v>2631</v>
      </c>
      <c r="I10" s="51">
        <v>31</v>
      </c>
      <c r="J10" s="51">
        <v>2.0734299999999999E+22</v>
      </c>
      <c r="K10" s="51" t="s">
        <v>2622</v>
      </c>
      <c r="L10" s="51">
        <v>20</v>
      </c>
      <c r="M10" s="51">
        <v>100</v>
      </c>
      <c r="N10" s="51">
        <v>31</v>
      </c>
      <c r="O10" s="119">
        <v>2.0734299999999999E+22</v>
      </c>
      <c r="P10" s="119">
        <v>30288</v>
      </c>
      <c r="Q10" s="122">
        <v>2958465</v>
      </c>
      <c r="R10" s="51">
        <v>124</v>
      </c>
      <c r="S10" s="119" t="s">
        <v>2847</v>
      </c>
      <c r="T10" s="119" t="s">
        <v>2616</v>
      </c>
      <c r="U10" s="122">
        <v>-998680190000</v>
      </c>
      <c r="V10" s="51" t="s">
        <v>1834</v>
      </c>
      <c r="W10" s="122" t="s">
        <v>1837</v>
      </c>
      <c r="X10" s="51" t="s">
        <v>1839</v>
      </c>
      <c r="Y10" s="51" t="s">
        <v>1842</v>
      </c>
      <c r="Z10" s="51" t="s">
        <v>1844</v>
      </c>
      <c r="AA10" s="51" t="s">
        <v>1847</v>
      </c>
      <c r="AB10" s="51" t="s">
        <v>1850</v>
      </c>
      <c r="AC10" s="119" t="s">
        <v>1852</v>
      </c>
      <c r="AD10" s="51" t="s">
        <v>1855</v>
      </c>
      <c r="AE10" s="51" t="s">
        <v>1857</v>
      </c>
      <c r="AF10" s="51" t="s">
        <v>2622</v>
      </c>
      <c r="AG10" s="51" t="s">
        <v>2844</v>
      </c>
      <c r="AH10" s="119" t="s">
        <v>2697</v>
      </c>
      <c r="AI10" s="119">
        <v>45457</v>
      </c>
      <c r="AJ10" s="51" t="s">
        <v>2848</v>
      </c>
    </row>
    <row r="11" spans="2:36" x14ac:dyDescent="0.25">
      <c r="B11" s="51" t="s">
        <v>2571</v>
      </c>
      <c r="C11" s="51">
        <v>9</v>
      </c>
      <c r="D11" s="51" t="s">
        <v>2849</v>
      </c>
      <c r="E11" s="119">
        <v>45457</v>
      </c>
      <c r="F11" s="51">
        <v>1</v>
      </c>
      <c r="G11" s="119" t="s">
        <v>2614</v>
      </c>
      <c r="H11" s="51" t="s">
        <v>2631</v>
      </c>
      <c r="I11" s="51">
        <v>31</v>
      </c>
      <c r="J11" s="51">
        <v>2.0734299999999999E+22</v>
      </c>
      <c r="K11" s="51" t="s">
        <v>2850</v>
      </c>
      <c r="L11" s="51">
        <v>20</v>
      </c>
      <c r="M11" s="51">
        <v>100</v>
      </c>
      <c r="N11" s="51"/>
      <c r="O11" s="119">
        <v>2.0734299999999999E+22</v>
      </c>
      <c r="P11" s="119">
        <v>30288</v>
      </c>
      <c r="Q11" s="119">
        <v>2958465</v>
      </c>
      <c r="R11" s="51">
        <v>124</v>
      </c>
      <c r="S11" s="119" t="s">
        <v>2851</v>
      </c>
      <c r="T11" s="119" t="s">
        <v>2631</v>
      </c>
      <c r="U11" s="51" t="s">
        <v>2852</v>
      </c>
      <c r="V11" s="51" t="s">
        <v>1834</v>
      </c>
      <c r="W11" s="51" t="s">
        <v>1837</v>
      </c>
      <c r="X11" s="51" t="s">
        <v>1839</v>
      </c>
      <c r="Y11" s="51" t="s">
        <v>1842</v>
      </c>
      <c r="Z11" s="51" t="s">
        <v>1844</v>
      </c>
      <c r="AA11" s="51" t="s">
        <v>1847</v>
      </c>
      <c r="AB11" s="51" t="s">
        <v>1850</v>
      </c>
      <c r="AC11" s="119" t="s">
        <v>1852</v>
      </c>
      <c r="AD11" s="51" t="s">
        <v>1855</v>
      </c>
      <c r="AE11" s="51" t="s">
        <v>1857</v>
      </c>
      <c r="AF11" s="51">
        <v>0</v>
      </c>
      <c r="AG11" s="51" t="s">
        <v>312</v>
      </c>
      <c r="AH11" s="119" t="s">
        <v>2697</v>
      </c>
      <c r="AI11" s="119">
        <v>45457</v>
      </c>
      <c r="AJ11" s="51" t="s">
        <v>2853</v>
      </c>
    </row>
    <row r="12" spans="2:36" x14ac:dyDescent="0.25">
      <c r="B12" s="51" t="s">
        <v>2573</v>
      </c>
      <c r="C12" s="51">
        <v>10</v>
      </c>
      <c r="D12" s="51" t="s">
        <v>2854</v>
      </c>
      <c r="E12" s="119">
        <v>45457</v>
      </c>
      <c r="F12" s="51">
        <v>1</v>
      </c>
      <c r="G12" s="119" t="s">
        <v>2614</v>
      </c>
      <c r="H12" s="51" t="s">
        <v>2631</v>
      </c>
      <c r="I12" s="51">
        <v>31</v>
      </c>
      <c r="J12" s="51">
        <v>2.3370179682002001E+29</v>
      </c>
      <c r="K12" s="51" t="s">
        <v>2622</v>
      </c>
      <c r="L12" s="51">
        <v>224</v>
      </c>
      <c r="M12" s="51" t="s">
        <v>2855</v>
      </c>
      <c r="N12" s="51">
        <v>31</v>
      </c>
      <c r="O12" s="216">
        <v>2.3370179682002001E+29</v>
      </c>
      <c r="P12" s="216">
        <v>45457</v>
      </c>
      <c r="Q12" s="216">
        <v>2958465</v>
      </c>
      <c r="R12" s="51">
        <v>978</v>
      </c>
      <c r="S12" s="216">
        <v>100424890300000</v>
      </c>
      <c r="T12" s="216">
        <v>3415494900000</v>
      </c>
      <c r="U12" s="122">
        <v>100424890300000</v>
      </c>
      <c r="V12" s="122" t="s">
        <v>1834</v>
      </c>
      <c r="W12" s="122" t="s">
        <v>1837</v>
      </c>
      <c r="X12" s="122" t="s">
        <v>1839</v>
      </c>
      <c r="Y12" s="122" t="s">
        <v>1842</v>
      </c>
      <c r="Z12" s="51" t="s">
        <v>1844</v>
      </c>
      <c r="AA12" s="51" t="s">
        <v>1847</v>
      </c>
      <c r="AB12" s="51" t="s">
        <v>1850</v>
      </c>
      <c r="AC12" s="216" t="s">
        <v>1852</v>
      </c>
      <c r="AD12" s="51" t="s">
        <v>1855</v>
      </c>
      <c r="AE12" s="51" t="s">
        <v>1857</v>
      </c>
      <c r="AF12" s="51" t="s">
        <v>2622</v>
      </c>
      <c r="AG12" s="51" t="s">
        <v>2844</v>
      </c>
      <c r="AH12" s="216" t="s">
        <v>2697</v>
      </c>
      <c r="AI12" s="119">
        <v>45457</v>
      </c>
      <c r="AJ12" s="51" t="s">
        <v>2848</v>
      </c>
    </row>
    <row r="13" spans="2:36" x14ac:dyDescent="0.25">
      <c r="B13" s="51" t="s">
        <v>2575</v>
      </c>
      <c r="C13" s="51">
        <v>11</v>
      </c>
      <c r="D13" s="51" t="s">
        <v>2856</v>
      </c>
      <c r="E13" s="119">
        <v>45457</v>
      </c>
      <c r="F13" s="51">
        <v>1</v>
      </c>
      <c r="G13" s="119" t="s">
        <v>2614</v>
      </c>
      <c r="H13" s="51" t="s">
        <v>2631</v>
      </c>
      <c r="I13" s="51">
        <v>31</v>
      </c>
      <c r="J13" s="51">
        <v>2.3370179682002001E+29</v>
      </c>
      <c r="K13" s="51" t="s">
        <v>2850</v>
      </c>
      <c r="L13" s="51">
        <v>224</v>
      </c>
      <c r="M13" s="51" t="s">
        <v>2855</v>
      </c>
      <c r="N13" s="51"/>
      <c r="O13" s="119">
        <v>2.3370179682002001E+29</v>
      </c>
      <c r="P13" s="216">
        <v>45457</v>
      </c>
      <c r="Q13" s="216">
        <v>2958465</v>
      </c>
      <c r="R13" s="51">
        <v>978</v>
      </c>
      <c r="S13" s="119" t="s">
        <v>2857</v>
      </c>
      <c r="T13" s="119" t="s">
        <v>2858</v>
      </c>
      <c r="U13" s="51" t="s">
        <v>2857</v>
      </c>
      <c r="V13" s="51" t="s">
        <v>1834</v>
      </c>
      <c r="W13" s="51" t="s">
        <v>1837</v>
      </c>
      <c r="X13" s="51" t="s">
        <v>1839</v>
      </c>
      <c r="Y13" s="51" t="s">
        <v>1842</v>
      </c>
      <c r="Z13" s="51" t="s">
        <v>1844</v>
      </c>
      <c r="AA13" s="51" t="s">
        <v>1847</v>
      </c>
      <c r="AB13" s="51" t="s">
        <v>1850</v>
      </c>
      <c r="AC13" s="119" t="s">
        <v>1852</v>
      </c>
      <c r="AD13" s="51" t="s">
        <v>1855</v>
      </c>
      <c r="AE13" s="51" t="s">
        <v>1857</v>
      </c>
      <c r="AF13" s="51">
        <v>3</v>
      </c>
      <c r="AG13" s="51" t="s">
        <v>312</v>
      </c>
      <c r="AH13" s="119" t="s">
        <v>2697</v>
      </c>
      <c r="AI13" s="119">
        <v>45457</v>
      </c>
      <c r="AJ13" s="51" t="s">
        <v>2859</v>
      </c>
    </row>
    <row r="14" spans="2:36" x14ac:dyDescent="0.25">
      <c r="B14" s="51" t="s">
        <v>2577</v>
      </c>
      <c r="C14" s="51">
        <v>12</v>
      </c>
      <c r="D14" s="51" t="s">
        <v>2860</v>
      </c>
      <c r="E14" s="119">
        <v>45457</v>
      </c>
      <c r="F14" s="51">
        <v>1</v>
      </c>
      <c r="G14" s="51" t="s">
        <v>2861</v>
      </c>
      <c r="H14" s="51" t="s">
        <v>2631</v>
      </c>
      <c r="I14" s="51">
        <v>0</v>
      </c>
      <c r="J14" s="51">
        <v>0</v>
      </c>
      <c r="K14" s="51">
        <v>0</v>
      </c>
      <c r="L14" s="51">
        <v>0</v>
      </c>
      <c r="M14" s="51">
        <v>0</v>
      </c>
      <c r="N14" s="51">
        <v>0</v>
      </c>
      <c r="O14" s="51">
        <v>783</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1057882</v>
      </c>
      <c r="AH14" s="51">
        <v>0</v>
      </c>
      <c r="AI14" s="51">
        <v>0</v>
      </c>
      <c r="AJ14" s="51">
        <v>0</v>
      </c>
    </row>
    <row r="15" spans="2:36" x14ac:dyDescent="0.25">
      <c r="B15" s="51" t="s">
        <v>2579</v>
      </c>
      <c r="C15" s="51">
        <v>13</v>
      </c>
      <c r="D15" s="51" t="s">
        <v>2862</v>
      </c>
      <c r="E15" s="119">
        <v>45457</v>
      </c>
      <c r="F15" s="51">
        <v>1</v>
      </c>
      <c r="G15" s="51">
        <v>1</v>
      </c>
      <c r="H15" s="51" t="s">
        <v>2631</v>
      </c>
      <c r="I15" s="51" t="s">
        <v>2614</v>
      </c>
      <c r="J15" s="51" t="s">
        <v>2614</v>
      </c>
      <c r="K15" s="51" t="s">
        <v>2614</v>
      </c>
      <c r="L15" s="51" t="s">
        <v>2614</v>
      </c>
      <c r="M15" s="51" t="s">
        <v>2614</v>
      </c>
      <c r="N15" s="51" t="s">
        <v>2614</v>
      </c>
      <c r="O15" s="121" t="s">
        <v>2614</v>
      </c>
      <c r="P15" s="121">
        <v>0</v>
      </c>
      <c r="Q15" s="121">
        <v>0</v>
      </c>
      <c r="R15" s="51" t="s">
        <v>2614</v>
      </c>
      <c r="S15" s="51" t="s">
        <v>2614</v>
      </c>
      <c r="T15" s="121" t="s">
        <v>2614</v>
      </c>
      <c r="U15" s="51" t="s">
        <v>2614</v>
      </c>
      <c r="V15" s="51" t="s">
        <v>2614</v>
      </c>
      <c r="W15" s="51" t="s">
        <v>2614</v>
      </c>
      <c r="X15" s="51" t="s">
        <v>2614</v>
      </c>
      <c r="Y15" s="51" t="s">
        <v>2614</v>
      </c>
      <c r="Z15" s="51" t="s">
        <v>2614</v>
      </c>
      <c r="AA15" s="51" t="s">
        <v>2614</v>
      </c>
      <c r="AB15" s="51" t="s">
        <v>2614</v>
      </c>
      <c r="AC15" s="51" t="s">
        <v>2614</v>
      </c>
      <c r="AD15" s="51" t="s">
        <v>2614</v>
      </c>
      <c r="AE15" s="51" t="s">
        <v>2614</v>
      </c>
      <c r="AF15" s="51" t="s">
        <v>2614</v>
      </c>
      <c r="AG15" s="51" t="s">
        <v>2614</v>
      </c>
      <c r="AH15" s="51" t="s">
        <v>2614</v>
      </c>
      <c r="AI15" s="51" t="s">
        <v>2614</v>
      </c>
      <c r="AJ15" s="51" t="s">
        <v>2614</v>
      </c>
    </row>
    <row r="16" spans="2:36" x14ac:dyDescent="0.25">
      <c r="B16" s="51" t="s">
        <v>2581</v>
      </c>
      <c r="C16" s="51">
        <v>14</v>
      </c>
      <c r="D16" s="51" t="s">
        <v>2863</v>
      </c>
      <c r="E16" s="119">
        <v>45457</v>
      </c>
      <c r="F16" s="51">
        <v>1</v>
      </c>
      <c r="G16" s="51">
        <v>1</v>
      </c>
      <c r="H16" s="51" t="s">
        <v>2631</v>
      </c>
      <c r="I16" s="51" t="s">
        <v>2614</v>
      </c>
      <c r="J16" s="51" t="s">
        <v>2614</v>
      </c>
      <c r="K16" s="51" t="s">
        <v>2614</v>
      </c>
      <c r="L16" s="51" t="s">
        <v>2614</v>
      </c>
      <c r="M16" s="51" t="s">
        <v>2614</v>
      </c>
      <c r="N16" s="51" t="s">
        <v>2614</v>
      </c>
      <c r="O16" s="51" t="s">
        <v>2614</v>
      </c>
      <c r="P16" s="51" t="s">
        <v>2614</v>
      </c>
      <c r="Q16" s="51" t="s">
        <v>2614</v>
      </c>
      <c r="R16" s="51">
        <v>0</v>
      </c>
      <c r="S16" s="121" t="s">
        <v>2614</v>
      </c>
      <c r="T16" s="51" t="s">
        <v>2614</v>
      </c>
      <c r="U16" s="51" t="s">
        <v>2614</v>
      </c>
      <c r="V16" s="51">
        <v>0</v>
      </c>
      <c r="W16" s="51" t="s">
        <v>2614</v>
      </c>
      <c r="X16" s="51" t="s">
        <v>2614</v>
      </c>
      <c r="Y16" s="51" t="s">
        <v>2614</v>
      </c>
      <c r="Z16" s="51" t="s">
        <v>2614</v>
      </c>
      <c r="AA16" s="51">
        <v>0</v>
      </c>
      <c r="AB16" s="51" t="s">
        <v>2614</v>
      </c>
      <c r="AC16" s="51" t="s">
        <v>2614</v>
      </c>
      <c r="AD16" s="51" t="s">
        <v>2614</v>
      </c>
      <c r="AE16" s="51" t="s">
        <v>2614</v>
      </c>
      <c r="AF16" s="51">
        <v>0</v>
      </c>
      <c r="AG16" s="51">
        <v>0</v>
      </c>
      <c r="AH16" s="51">
        <v>0</v>
      </c>
      <c r="AI16" s="51" t="s">
        <v>2614</v>
      </c>
      <c r="AJ16" s="51" t="s">
        <v>2614</v>
      </c>
    </row>
    <row r="17" spans="2:36" x14ac:dyDescent="0.25">
      <c r="B17" s="51" t="s">
        <v>2583</v>
      </c>
      <c r="C17" s="51">
        <v>15</v>
      </c>
      <c r="D17" s="51" t="s">
        <v>2864</v>
      </c>
      <c r="E17" s="119">
        <v>45457</v>
      </c>
      <c r="F17" s="51">
        <v>1</v>
      </c>
      <c r="G17" s="51">
        <v>1</v>
      </c>
      <c r="H17" s="210" t="s">
        <v>2631</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c r="V17" s="51" t="s">
        <v>2614</v>
      </c>
      <c r="W17" s="51" t="s">
        <v>2614</v>
      </c>
      <c r="X17" s="51" t="s">
        <v>2614</v>
      </c>
      <c r="Y17" s="51" t="s">
        <v>2614</v>
      </c>
      <c r="Z17" s="51" t="s">
        <v>2614</v>
      </c>
      <c r="AA17" s="51" t="s">
        <v>2614</v>
      </c>
      <c r="AB17" s="51" t="s">
        <v>2614</v>
      </c>
      <c r="AC17" s="51" t="s">
        <v>2614</v>
      </c>
      <c r="AD17" s="51" t="s">
        <v>2614</v>
      </c>
      <c r="AE17" s="51" t="s">
        <v>2614</v>
      </c>
      <c r="AF17" s="51" t="s">
        <v>2614</v>
      </c>
      <c r="AG17" s="51" t="s">
        <v>2614</v>
      </c>
      <c r="AH17" s="51" t="s">
        <v>2614</v>
      </c>
      <c r="AI17" s="51" t="s">
        <v>2614</v>
      </c>
      <c r="AJ17" s="51" t="s">
        <v>2614</v>
      </c>
    </row>
    <row r="18" spans="2:36" x14ac:dyDescent="0.25">
      <c r="B18" s="51" t="s">
        <v>2585</v>
      </c>
      <c r="C18" s="51">
        <v>16</v>
      </c>
      <c r="D18" s="51" t="s">
        <v>2864</v>
      </c>
      <c r="E18" s="119">
        <v>45457</v>
      </c>
      <c r="F18" s="51">
        <v>1</v>
      </c>
      <c r="G18" s="51">
        <v>1</v>
      </c>
      <c r="H18" s="210" t="s">
        <v>2631</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c r="X18" s="51" t="s">
        <v>2614</v>
      </c>
      <c r="Y18" s="51" t="s">
        <v>2614</v>
      </c>
      <c r="Z18" s="51" t="s">
        <v>2614</v>
      </c>
      <c r="AA18" s="51" t="s">
        <v>2614</v>
      </c>
      <c r="AB18" s="51" t="s">
        <v>2614</v>
      </c>
      <c r="AC18" s="51" t="s">
        <v>2614</v>
      </c>
      <c r="AD18" s="51" t="s">
        <v>2614</v>
      </c>
      <c r="AE18" s="51" t="s">
        <v>2614</v>
      </c>
      <c r="AF18" s="51" t="s">
        <v>2614</v>
      </c>
      <c r="AG18" s="51" t="s">
        <v>2614</v>
      </c>
      <c r="AH18" s="51" t="s">
        <v>2614</v>
      </c>
      <c r="AI18" s="51" t="s">
        <v>2614</v>
      </c>
      <c r="AJ18" s="51" t="s">
        <v>2614</v>
      </c>
    </row>
    <row r="19" spans="2:36" x14ac:dyDescent="0.25">
      <c r="B19" s="51" t="s">
        <v>2587</v>
      </c>
      <c r="C19" s="51">
        <v>17</v>
      </c>
      <c r="D19" s="51" t="s">
        <v>2865</v>
      </c>
      <c r="E19" s="119">
        <v>45457</v>
      </c>
      <c r="F19" s="51">
        <v>1</v>
      </c>
      <c r="G19" s="51" t="s">
        <v>2866</v>
      </c>
      <c r="H19" s="51" t="s">
        <v>2867</v>
      </c>
      <c r="I19" s="51" t="s">
        <v>2614</v>
      </c>
      <c r="J19" s="51" t="s">
        <v>2614</v>
      </c>
      <c r="K19" s="51" t="s">
        <v>2614</v>
      </c>
      <c r="L19" s="51" t="s">
        <v>2614</v>
      </c>
      <c r="M19" s="51" t="s">
        <v>2614</v>
      </c>
      <c r="N19" s="51" t="s">
        <v>2614</v>
      </c>
      <c r="O19" s="51" t="s">
        <v>2614</v>
      </c>
      <c r="P19" s="121" t="s">
        <v>2614</v>
      </c>
      <c r="Q19" s="121" t="s">
        <v>2614</v>
      </c>
      <c r="R19" s="51" t="s">
        <v>2614</v>
      </c>
      <c r="S19" s="51" t="s">
        <v>2614</v>
      </c>
      <c r="T19" s="51" t="s">
        <v>2614</v>
      </c>
      <c r="U19" s="51" t="s">
        <v>2614</v>
      </c>
      <c r="V19" s="51" t="s">
        <v>2614</v>
      </c>
      <c r="W19" s="51" t="s">
        <v>2614</v>
      </c>
      <c r="X19" s="51" t="s">
        <v>2614</v>
      </c>
      <c r="Y19" s="51" t="s">
        <v>2614</v>
      </c>
      <c r="Z19" s="51" t="s">
        <v>2614</v>
      </c>
      <c r="AA19" s="51" t="s">
        <v>2614</v>
      </c>
      <c r="AB19" s="51" t="s">
        <v>2614</v>
      </c>
      <c r="AC19" s="51" t="s">
        <v>2614</v>
      </c>
      <c r="AD19" s="51" t="s">
        <v>2614</v>
      </c>
      <c r="AE19" s="51" t="s">
        <v>2614</v>
      </c>
      <c r="AF19" s="51" t="s">
        <v>2614</v>
      </c>
      <c r="AG19" s="51" t="s">
        <v>2614</v>
      </c>
      <c r="AH19" s="51" t="s">
        <v>2614</v>
      </c>
      <c r="AI19" s="51" t="s">
        <v>2614</v>
      </c>
      <c r="AJ19" s="51" t="s">
        <v>2614</v>
      </c>
    </row>
    <row r="20" spans="2:36" x14ac:dyDescent="0.25">
      <c r="B20" s="51" t="s">
        <v>2589</v>
      </c>
      <c r="C20" s="51">
        <v>18</v>
      </c>
      <c r="D20" s="51" t="s">
        <v>2865</v>
      </c>
      <c r="E20" s="119">
        <v>45457</v>
      </c>
      <c r="F20" s="51">
        <v>1</v>
      </c>
      <c r="G20" s="51" t="s">
        <v>2868</v>
      </c>
      <c r="H20" s="51" t="s">
        <v>2869</v>
      </c>
      <c r="I20" s="51" t="s">
        <v>2614</v>
      </c>
      <c r="J20" s="51" t="s">
        <v>2614</v>
      </c>
      <c r="K20" s="51" t="s">
        <v>2614</v>
      </c>
      <c r="L20" s="51" t="s">
        <v>2614</v>
      </c>
      <c r="M20" s="51" t="s">
        <v>2614</v>
      </c>
      <c r="N20" s="51" t="s">
        <v>2614</v>
      </c>
      <c r="O20" s="51" t="s">
        <v>2614</v>
      </c>
      <c r="P20" s="51" t="s">
        <v>2614</v>
      </c>
      <c r="Q20" s="51" t="s">
        <v>2614</v>
      </c>
      <c r="R20" s="51" t="s">
        <v>2614</v>
      </c>
      <c r="S20" s="51" t="s">
        <v>2614</v>
      </c>
      <c r="T20" s="51" t="s">
        <v>2614</v>
      </c>
      <c r="U20" s="51" t="s">
        <v>2614</v>
      </c>
      <c r="V20" s="51" t="s">
        <v>2614</v>
      </c>
      <c r="W20" s="51" t="s">
        <v>2614</v>
      </c>
      <c r="X20" s="51" t="s">
        <v>2614</v>
      </c>
      <c r="Y20" s="51" t="s">
        <v>2614</v>
      </c>
      <c r="Z20" s="51" t="s">
        <v>2614</v>
      </c>
      <c r="AA20" s="51" t="s">
        <v>2614</v>
      </c>
      <c r="AB20" s="51" t="s">
        <v>2614</v>
      </c>
      <c r="AC20" s="51" t="s">
        <v>2614</v>
      </c>
      <c r="AD20" s="51" t="s">
        <v>2614</v>
      </c>
      <c r="AE20" s="51" t="s">
        <v>2614</v>
      </c>
      <c r="AF20" s="51" t="s">
        <v>2614</v>
      </c>
      <c r="AG20" s="51" t="s">
        <v>2614</v>
      </c>
      <c r="AH20" s="51" t="s">
        <v>2614</v>
      </c>
      <c r="AI20" s="51" t="s">
        <v>2614</v>
      </c>
      <c r="AJ20" s="51" t="s">
        <v>2614</v>
      </c>
    </row>
    <row r="21" spans="2:36" x14ac:dyDescent="0.25">
      <c r="B21" s="51" t="s">
        <v>2591</v>
      </c>
      <c r="C21" s="51">
        <v>19</v>
      </c>
      <c r="D21" s="51" t="s">
        <v>2870</v>
      </c>
      <c r="E21" s="119">
        <v>45457</v>
      </c>
      <c r="F21" s="51">
        <v>1</v>
      </c>
      <c r="G21" s="51" cm="1">
        <f t="array" ref="G21">SUMPRODUCT(--(ISNUMBER((SEARCH(I28:AJ28,I21:AJ21)))))/COUNTA(I21:AJ21)</f>
        <v>0.7857142857142857</v>
      </c>
      <c r="H21" s="51" t="s">
        <v>2631</v>
      </c>
      <c r="I21" s="51" t="s">
        <v>2654</v>
      </c>
      <c r="J21" s="51" t="s">
        <v>2654</v>
      </c>
      <c r="K21" s="51" t="s">
        <v>2654</v>
      </c>
      <c r="L21" s="51" t="s">
        <v>2654</v>
      </c>
      <c r="M21" s="51" t="s">
        <v>2654</v>
      </c>
      <c r="N21" s="51" t="s">
        <v>2654</v>
      </c>
      <c r="O21" s="51" t="s">
        <v>2654</v>
      </c>
      <c r="P21" s="51" t="s">
        <v>2654</v>
      </c>
      <c r="Q21" s="51" t="s">
        <v>2654</v>
      </c>
      <c r="R21" s="51" t="s">
        <v>2654</v>
      </c>
      <c r="S21" s="51" t="s">
        <v>2655</v>
      </c>
      <c r="T21" s="51" t="s">
        <v>2655</v>
      </c>
      <c r="U21" s="51" t="s">
        <v>2655</v>
      </c>
      <c r="V21" s="51" t="s">
        <v>2654</v>
      </c>
      <c r="W21" s="51" t="s">
        <v>2654</v>
      </c>
      <c r="X21" s="51" t="s">
        <v>2654</v>
      </c>
      <c r="Y21" s="51" t="s">
        <v>2654</v>
      </c>
      <c r="Z21" s="51" t="s">
        <v>2654</v>
      </c>
      <c r="AA21" s="51" t="s">
        <v>2654</v>
      </c>
      <c r="AB21" s="51" t="s">
        <v>2654</v>
      </c>
      <c r="AC21" s="51" t="s">
        <v>2654</v>
      </c>
      <c r="AD21" s="51" t="s">
        <v>2654</v>
      </c>
      <c r="AE21" s="51" t="s">
        <v>2654</v>
      </c>
      <c r="AF21" s="51" t="s">
        <v>2654</v>
      </c>
      <c r="AG21" s="51" t="s">
        <v>2654</v>
      </c>
      <c r="AH21" s="51" t="s">
        <v>2654</v>
      </c>
      <c r="AI21" s="51" t="s">
        <v>2654</v>
      </c>
      <c r="AJ21" s="51" t="s">
        <v>2656</v>
      </c>
    </row>
    <row r="22" spans="2:36" x14ac:dyDescent="0.25">
      <c r="B22" s="121" t="s">
        <v>2594</v>
      </c>
      <c r="C22" s="51">
        <v>20</v>
      </c>
      <c r="D22" s="51"/>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x14ac:dyDescent="0.25">
      <c r="B23" s="51" t="s">
        <v>2597</v>
      </c>
      <c r="C23" s="51">
        <v>21</v>
      </c>
      <c r="D23" s="51"/>
      <c r="E23" s="119">
        <v>45457</v>
      </c>
      <c r="F23" s="51">
        <v>1</v>
      </c>
      <c r="G23" s="51" cm="1">
        <f t="array" ref="G23">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x14ac:dyDescent="0.25">
      <c r="B26" s="151" t="s">
        <v>2657</v>
      </c>
    </row>
    <row r="27" spans="2:36" x14ac:dyDescent="0.25">
      <c r="B27" s="157" t="s">
        <v>2658</v>
      </c>
      <c r="C27" s="153" t="s">
        <v>2601</v>
      </c>
      <c r="D27" s="153" t="s">
        <v>2602</v>
      </c>
      <c r="E27" s="153" t="s">
        <v>2603</v>
      </c>
      <c r="F27" s="153" t="s">
        <v>2604</v>
      </c>
      <c r="G27" s="153" t="s">
        <v>2605</v>
      </c>
      <c r="H27" s="153" t="s">
        <v>2606</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5" t="str">
        <v>data_timestamp_part</v>
      </c>
    </row>
    <row r="28" spans="2:36" x14ac:dyDescent="0.25">
      <c r="B28" s="131" t="s">
        <v>2659</v>
      </c>
      <c r="C28" s="134">
        <v>21</v>
      </c>
      <c r="D28" s="128" t="s">
        <v>2660</v>
      </c>
      <c r="E28" s="127" t="s">
        <v>2661</v>
      </c>
      <c r="F28" s="127" t="s">
        <v>351</v>
      </c>
      <c r="G28" s="127" t="s">
        <v>351</v>
      </c>
      <c r="H28" s="127" t="s">
        <v>351</v>
      </c>
      <c r="I28" s="127"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7" t="str">
        <v>STRING</v>
      </c>
      <c r="K28" s="127" t="str">
        <v>STRING</v>
      </c>
      <c r="L28" s="127" t="str">
        <v>STRING</v>
      </c>
      <c r="M28" s="127" t="str">
        <v>STRING</v>
      </c>
      <c r="N28" s="127" t="str">
        <v>STRING</v>
      </c>
      <c r="O28" s="127" t="str">
        <v>STRING</v>
      </c>
      <c r="P28" s="127" t="str">
        <v>STRING</v>
      </c>
      <c r="Q28" s="127" t="str">
        <v>STRING</v>
      </c>
      <c r="R28" s="127" t="str">
        <v>STRING</v>
      </c>
      <c r="S28" s="127" t="str">
        <v>DECIMAL</v>
      </c>
      <c r="T28" s="127" t="str">
        <v>DECIMAL</v>
      </c>
      <c r="U28" s="127" t="str">
        <v>DECIMAL</v>
      </c>
      <c r="V28" s="127" t="str">
        <v>STRING</v>
      </c>
      <c r="W28" s="127" t="str">
        <v>STRING</v>
      </c>
      <c r="X28" s="127" t="str">
        <v>DECIMAL</v>
      </c>
      <c r="Y28" s="127" t="str">
        <v>DECIMAL</v>
      </c>
      <c r="Z28" s="127" t="str">
        <v>DECIMAL</v>
      </c>
      <c r="AA28" s="127" t="str">
        <v>STRING</v>
      </c>
      <c r="AB28" s="127" t="str">
        <v>STRING</v>
      </c>
      <c r="AC28" s="127" t="str">
        <v>DECIMAL</v>
      </c>
      <c r="AD28" s="133" t="str">
        <v>DECIMAL</v>
      </c>
      <c r="AE28" s="133" t="str">
        <v>DECIMAL</v>
      </c>
      <c r="AF28" s="133" t="str">
        <v>STRING</v>
      </c>
      <c r="AG28" s="133" t="str">
        <v>STRING</v>
      </c>
      <c r="AH28" s="133" t="str">
        <v>STRING</v>
      </c>
      <c r="AI28" s="127" t="str">
        <v>STRING</v>
      </c>
      <c r="AJ28" s="132" t="str">
        <v>TIMESTAMP</v>
      </c>
    </row>
    <row r="29" spans="2:36" x14ac:dyDescent="0.25">
      <c r="B29" s="131" t="s">
        <v>2662</v>
      </c>
      <c r="C29" s="134">
        <v>7</v>
      </c>
      <c r="D29" s="128" t="s">
        <v>2660</v>
      </c>
      <c r="E29" s="127" t="s">
        <v>2661</v>
      </c>
      <c r="F29" s="129" t="s">
        <v>351</v>
      </c>
      <c r="G29" s="129" t="s">
        <v>351</v>
      </c>
      <c r="H29" s="129" t="s">
        <v>351</v>
      </c>
      <c r="I29" s="175">
        <v>4</v>
      </c>
      <c r="J29" s="175">
        <v>30</v>
      </c>
      <c r="K29" s="175">
        <v>20</v>
      </c>
      <c r="L29" s="175">
        <v>3</v>
      </c>
      <c r="M29" s="175">
        <v>3</v>
      </c>
      <c r="N29" s="175">
        <v>4</v>
      </c>
      <c r="O29" s="175">
        <v>30</v>
      </c>
      <c r="P29" s="175">
        <v>10</v>
      </c>
      <c r="Q29" s="175">
        <v>10</v>
      </c>
      <c r="R29" s="175">
        <v>3</v>
      </c>
      <c r="S29" s="175">
        <v>23</v>
      </c>
      <c r="T29" s="175">
        <v>23</v>
      </c>
      <c r="U29" s="175">
        <v>23</v>
      </c>
      <c r="V29" s="175">
        <v>3</v>
      </c>
      <c r="W29" s="175">
        <v>3</v>
      </c>
      <c r="X29" s="175">
        <v>23</v>
      </c>
      <c r="Y29" s="175">
        <v>23</v>
      </c>
      <c r="Z29" s="175">
        <v>23</v>
      </c>
      <c r="AA29" s="175">
        <v>3</v>
      </c>
      <c r="AB29" s="175">
        <v>3</v>
      </c>
      <c r="AC29" s="175">
        <v>23</v>
      </c>
      <c r="AD29" s="176">
        <v>23</v>
      </c>
      <c r="AE29" s="176">
        <v>23</v>
      </c>
      <c r="AF29" s="176">
        <v>3</v>
      </c>
      <c r="AG29" s="176">
        <v>3</v>
      </c>
      <c r="AH29" s="176">
        <v>2</v>
      </c>
      <c r="AI29" s="175">
        <v>10</v>
      </c>
      <c r="AJ29" s="132">
        <v>23</v>
      </c>
    </row>
    <row r="31" spans="2:36" x14ac:dyDescent="0.25">
      <c r="B31" s="164" t="s">
        <v>2663</v>
      </c>
    </row>
    <row r="32" spans="2:36" x14ac:dyDescent="0.25">
      <c r="B32" s="158" t="s">
        <v>2664</v>
      </c>
      <c r="C32" s="158" t="s">
        <v>2665</v>
      </c>
      <c r="D32" s="159" t="s">
        <v>2666</v>
      </c>
      <c r="E32" s="158" t="s">
        <v>2667</v>
      </c>
      <c r="F32" s="158" t="s">
        <v>2668</v>
      </c>
    </row>
    <row r="33" spans="2:16" ht="30" x14ac:dyDescent="0.25">
      <c r="B33" s="142" t="s">
        <v>2748</v>
      </c>
      <c r="C33" s="145" t="s">
        <v>1834</v>
      </c>
      <c r="D33" s="54" t="s">
        <v>2871</v>
      </c>
      <c r="E33" s="177" t="s">
        <v>2872</v>
      </c>
      <c r="F33" s="160" t="s">
        <v>2672</v>
      </c>
    </row>
    <row r="34" spans="2:16" ht="30" x14ac:dyDescent="0.25">
      <c r="B34" s="142" t="s">
        <v>2748</v>
      </c>
      <c r="C34" s="145" t="s">
        <v>1837</v>
      </c>
      <c r="D34" s="54" t="s">
        <v>2871</v>
      </c>
      <c r="E34" s="177" t="s">
        <v>2872</v>
      </c>
      <c r="F34" s="160" t="s">
        <v>2672</v>
      </c>
    </row>
    <row r="35" spans="2:16" ht="30" x14ac:dyDescent="0.25">
      <c r="B35" s="142" t="s">
        <v>2748</v>
      </c>
      <c r="C35" s="145" t="s">
        <v>1839</v>
      </c>
      <c r="D35" s="54" t="s">
        <v>2871</v>
      </c>
      <c r="E35" s="177" t="s">
        <v>2872</v>
      </c>
      <c r="F35" s="160" t="s">
        <v>2672</v>
      </c>
    </row>
    <row r="36" spans="2:16" ht="30" x14ac:dyDescent="0.25">
      <c r="B36" s="142" t="s">
        <v>2748</v>
      </c>
      <c r="C36" s="145" t="s">
        <v>1844</v>
      </c>
      <c r="D36" s="54" t="s">
        <v>2871</v>
      </c>
      <c r="E36" s="177" t="s">
        <v>2872</v>
      </c>
      <c r="F36" s="160" t="s">
        <v>2672</v>
      </c>
    </row>
    <row r="37" spans="2:16" ht="30" x14ac:dyDescent="0.25">
      <c r="B37" s="142" t="s">
        <v>2748</v>
      </c>
      <c r="C37" s="145" t="s">
        <v>1847</v>
      </c>
      <c r="D37" s="54" t="s">
        <v>2871</v>
      </c>
      <c r="E37" s="177" t="s">
        <v>2872</v>
      </c>
      <c r="F37" s="160" t="s">
        <v>2672</v>
      </c>
    </row>
    <row r="38" spans="2:16" ht="30" x14ac:dyDescent="0.25">
      <c r="B38" s="142" t="s">
        <v>2748</v>
      </c>
      <c r="C38" s="145" t="s">
        <v>1850</v>
      </c>
      <c r="D38" s="54" t="s">
        <v>2871</v>
      </c>
      <c r="E38" s="177" t="s">
        <v>2872</v>
      </c>
      <c r="F38" s="160" t="s">
        <v>2672</v>
      </c>
    </row>
    <row r="39" spans="2:16" ht="30" x14ac:dyDescent="0.25">
      <c r="B39" s="142" t="s">
        <v>2748</v>
      </c>
      <c r="C39" s="145" t="s">
        <v>1852</v>
      </c>
      <c r="D39" s="54" t="s">
        <v>2871</v>
      </c>
      <c r="E39" s="177" t="s">
        <v>2872</v>
      </c>
      <c r="F39" s="160" t="s">
        <v>2672</v>
      </c>
    </row>
    <row r="40" spans="2:16" ht="30" x14ac:dyDescent="0.25">
      <c r="B40" s="142" t="s">
        <v>2748</v>
      </c>
      <c r="C40" s="145" t="s">
        <v>1857</v>
      </c>
      <c r="D40" s="54" t="s">
        <v>2871</v>
      </c>
      <c r="E40" s="177" t="s">
        <v>2872</v>
      </c>
      <c r="F40" s="160" t="s">
        <v>2672</v>
      </c>
    </row>
    <row r="41" spans="2:16" ht="30" x14ac:dyDescent="0.25">
      <c r="B41" s="142" t="s">
        <v>2748</v>
      </c>
      <c r="C41" s="139" t="s">
        <v>312</v>
      </c>
      <c r="D41" s="54" t="s">
        <v>2873</v>
      </c>
      <c r="E41" s="177" t="s">
        <v>2872</v>
      </c>
      <c r="F41" s="160" t="s">
        <v>2672</v>
      </c>
      <c r="I41" s="182"/>
      <c r="J41" s="182"/>
      <c r="K41" s="182"/>
      <c r="L41" s="182"/>
      <c r="M41" s="182"/>
      <c r="N41" s="182"/>
      <c r="O41" s="182"/>
      <c r="P41" s="182"/>
    </row>
    <row r="42" spans="2:16" ht="30" x14ac:dyDescent="0.25">
      <c r="B42" s="200" t="s">
        <v>2669</v>
      </c>
      <c r="C42" s="201" t="s">
        <v>204</v>
      </c>
      <c r="D42" s="202" t="s">
        <v>2874</v>
      </c>
      <c r="E42" s="203" t="s">
        <v>2875</v>
      </c>
      <c r="F42" s="204" t="s">
        <v>2741</v>
      </c>
      <c r="L42" s="182"/>
    </row>
    <row r="43" spans="2:16" ht="30" x14ac:dyDescent="0.25">
      <c r="B43" s="135" t="s">
        <v>2677</v>
      </c>
      <c r="C43" s="139" t="s">
        <v>2678</v>
      </c>
      <c r="D43" s="54" t="s">
        <v>2876</v>
      </c>
      <c r="E43" s="179" t="s">
        <v>2877</v>
      </c>
      <c r="F43" s="160" t="s">
        <v>2672</v>
      </c>
      <c r="L43" s="182"/>
    </row>
    <row r="44" spans="2:16" ht="30" x14ac:dyDescent="0.25">
      <c r="B44" s="135" t="s">
        <v>2681</v>
      </c>
      <c r="C44" s="145" t="s">
        <v>2678</v>
      </c>
      <c r="D44" s="54" t="s">
        <v>2878</v>
      </c>
      <c r="E44" s="179" t="s">
        <v>2879</v>
      </c>
      <c r="F44" s="160" t="s">
        <v>2741</v>
      </c>
      <c r="I44" s="182"/>
      <c r="J44" s="182"/>
      <c r="K44" s="182"/>
      <c r="L44" s="182"/>
    </row>
    <row r="45" spans="2:16" ht="30" x14ac:dyDescent="0.25">
      <c r="B45" s="135" t="s">
        <v>2880</v>
      </c>
      <c r="C45" s="141" t="s">
        <v>1839</v>
      </c>
      <c r="D45" s="54" t="s">
        <v>2881</v>
      </c>
      <c r="E45" s="177" t="s">
        <v>2872</v>
      </c>
      <c r="F45" s="160" t="s">
        <v>2672</v>
      </c>
      <c r="I45" s="182"/>
      <c r="J45" s="182"/>
      <c r="K45" s="182"/>
      <c r="L45" s="182"/>
    </row>
    <row r="46" spans="2:16" ht="30" x14ac:dyDescent="0.25">
      <c r="B46" s="135" t="s">
        <v>2880</v>
      </c>
      <c r="C46" s="145" t="s">
        <v>1842</v>
      </c>
      <c r="D46" s="54" t="s">
        <v>2881</v>
      </c>
      <c r="E46" s="177" t="s">
        <v>2872</v>
      </c>
      <c r="F46" s="160" t="s">
        <v>2672</v>
      </c>
      <c r="I46" s="182"/>
      <c r="J46" s="182"/>
      <c r="K46" s="182"/>
      <c r="L46" s="182"/>
    </row>
    <row r="47" spans="2:16" ht="30" x14ac:dyDescent="0.25">
      <c r="B47" s="135" t="s">
        <v>2880</v>
      </c>
      <c r="C47" s="141" t="s">
        <v>1844</v>
      </c>
      <c r="D47" s="54" t="s">
        <v>2881</v>
      </c>
      <c r="E47" s="177" t="s">
        <v>2872</v>
      </c>
      <c r="F47" s="160" t="s">
        <v>2672</v>
      </c>
      <c r="I47" s="182"/>
      <c r="J47" s="182"/>
      <c r="K47" s="182"/>
      <c r="L47" s="182"/>
    </row>
    <row r="48" spans="2:16" ht="30" x14ac:dyDescent="0.25">
      <c r="B48" s="135" t="s">
        <v>2880</v>
      </c>
      <c r="C48" s="141" t="s">
        <v>1852</v>
      </c>
      <c r="D48" s="54" t="s">
        <v>2881</v>
      </c>
      <c r="E48" s="177" t="s">
        <v>2872</v>
      </c>
      <c r="F48" s="160" t="s">
        <v>2672</v>
      </c>
      <c r="I48" s="182"/>
      <c r="J48" s="182"/>
      <c r="K48" s="182"/>
      <c r="L48" s="182"/>
    </row>
    <row r="49" spans="2:6" ht="30" x14ac:dyDescent="0.25">
      <c r="B49" s="135" t="s">
        <v>2880</v>
      </c>
      <c r="C49" s="145" t="s">
        <v>1855</v>
      </c>
      <c r="D49" s="54" t="s">
        <v>2881</v>
      </c>
      <c r="E49" s="177" t="s">
        <v>2872</v>
      </c>
      <c r="F49" s="160" t="s">
        <v>2672</v>
      </c>
    </row>
    <row r="50" spans="2:6" ht="30" x14ac:dyDescent="0.25">
      <c r="B50" s="135" t="s">
        <v>2880</v>
      </c>
      <c r="C50" s="199" t="s">
        <v>1857</v>
      </c>
      <c r="D50" s="54" t="s">
        <v>2881</v>
      </c>
      <c r="E50" s="177" t="s">
        <v>2872</v>
      </c>
      <c r="F50" s="160" t="s">
        <v>2672</v>
      </c>
    </row>
    <row r="51" spans="2:6" x14ac:dyDescent="0.25">
      <c r="C51" s="51"/>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BA96-3C3A-4DF4-ACB1-20C05B89D0A5}">
  <sheetPr>
    <tabColor rgb="FF00B050"/>
  </sheetPr>
  <dimension ref="B1:AE34"/>
  <sheetViews>
    <sheetView showGridLines="0" topLeftCell="C3" workbookViewId="0">
      <selection activeCell="G19" sqref="G19"/>
    </sheetView>
  </sheetViews>
  <sheetFormatPr defaultRowHeight="15" x14ac:dyDescent="0.2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x14ac:dyDescent="0.25"/>
    <row r="2" spans="2:29" x14ac:dyDescent="0.25">
      <c r="B2" s="98" t="s">
        <v>2658</v>
      </c>
      <c r="C2" s="98" t="s">
        <v>2601</v>
      </c>
      <c r="D2" s="98" t="s">
        <v>2602</v>
      </c>
      <c r="E2" s="98" t="s">
        <v>2603</v>
      </c>
      <c r="F2" s="98" t="s">
        <v>2604</v>
      </c>
      <c r="G2" s="98" t="s">
        <v>2605</v>
      </c>
      <c r="H2" s="98" t="s">
        <v>2606</v>
      </c>
      <c r="I2" s="98" t="s">
        <v>138</v>
      </c>
      <c r="J2" s="98" t="s">
        <v>153</v>
      </c>
      <c r="K2" s="98" t="s">
        <v>361</v>
      </c>
      <c r="L2" s="98" t="s">
        <v>165</v>
      </c>
      <c r="M2" s="98" t="s">
        <v>173</v>
      </c>
      <c r="N2" s="98" t="s">
        <v>185</v>
      </c>
      <c r="O2" s="98" t="s">
        <v>376</v>
      </c>
      <c r="P2" s="98" t="s">
        <v>194</v>
      </c>
      <c r="Q2" s="98" t="s">
        <v>204</v>
      </c>
      <c r="R2" s="98" t="s">
        <v>215</v>
      </c>
      <c r="S2" s="98" t="s">
        <v>227</v>
      </c>
      <c r="T2" s="98" t="s">
        <v>239</v>
      </c>
      <c r="U2" s="98" t="s">
        <v>2882</v>
      </c>
      <c r="V2" s="98" t="s">
        <v>2883</v>
      </c>
      <c r="W2" s="98" t="s">
        <v>423</v>
      </c>
      <c r="X2" s="98" t="s">
        <v>428</v>
      </c>
      <c r="Y2" s="98" t="s">
        <v>302</v>
      </c>
      <c r="Z2" s="98" t="s">
        <v>312</v>
      </c>
      <c r="AA2" s="98" t="s">
        <v>323</v>
      </c>
      <c r="AB2" s="98" t="s">
        <v>330</v>
      </c>
      <c r="AC2" s="98" t="s">
        <v>337</v>
      </c>
    </row>
    <row r="3" spans="2:29" x14ac:dyDescent="0.25">
      <c r="B3" s="51" t="s">
        <v>2554</v>
      </c>
      <c r="C3" s="51">
        <v>1</v>
      </c>
      <c r="D3" s="51" t="s">
        <v>2884</v>
      </c>
      <c r="E3" s="119">
        <v>45441</v>
      </c>
      <c r="F3" s="51">
        <v>1</v>
      </c>
      <c r="G3" s="122">
        <v>1</v>
      </c>
      <c r="H3" s="122">
        <v>5903000000</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c r="X3" s="51" t="s">
        <v>2614</v>
      </c>
      <c r="Y3" s="51" t="s">
        <v>2614</v>
      </c>
      <c r="Z3" s="51" t="s">
        <v>2614</v>
      </c>
      <c r="AA3" s="51" t="s">
        <v>2614</v>
      </c>
      <c r="AB3" s="51" t="s">
        <v>2614</v>
      </c>
      <c r="AC3" s="51" t="s">
        <v>2614</v>
      </c>
    </row>
    <row r="4" spans="2:29" x14ac:dyDescent="0.25">
      <c r="B4" s="51" t="s">
        <v>2556</v>
      </c>
      <c r="C4" s="51">
        <v>2</v>
      </c>
      <c r="D4" s="51" t="s">
        <v>2885</v>
      </c>
      <c r="E4" s="119">
        <v>45441</v>
      </c>
      <c r="F4" s="51">
        <v>1</v>
      </c>
      <c r="G4" s="122">
        <v>1</v>
      </c>
      <c r="H4" s="51" t="s">
        <v>2616</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c r="X4" s="51" t="s">
        <v>2614</v>
      </c>
      <c r="Y4" s="51" t="s">
        <v>2614</v>
      </c>
      <c r="Z4" s="51" t="s">
        <v>2614</v>
      </c>
      <c r="AA4" s="51" t="s">
        <v>2614</v>
      </c>
      <c r="AB4" s="51" t="s">
        <v>2614</v>
      </c>
      <c r="AC4" s="51" t="s">
        <v>2614</v>
      </c>
    </row>
    <row r="5" spans="2:29" x14ac:dyDescent="0.25">
      <c r="B5" s="51" t="s">
        <v>2558</v>
      </c>
      <c r="C5" s="51">
        <v>3</v>
      </c>
      <c r="D5" s="51" t="s">
        <v>2886</v>
      </c>
      <c r="E5" s="119">
        <v>45441</v>
      </c>
      <c r="F5" s="51">
        <v>1</v>
      </c>
      <c r="G5" s="122">
        <v>1</v>
      </c>
      <c r="H5" s="51" t="s">
        <v>2616</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t="s">
        <v>2614</v>
      </c>
      <c r="W5" s="51" t="s">
        <v>2614</v>
      </c>
      <c r="X5" s="51" t="s">
        <v>2614</v>
      </c>
      <c r="Y5" s="51" t="s">
        <v>2614</v>
      </c>
      <c r="Z5" s="51" t="s">
        <v>2614</v>
      </c>
      <c r="AA5" s="51" t="s">
        <v>2614</v>
      </c>
      <c r="AB5" s="51">
        <v>0</v>
      </c>
      <c r="AC5" s="51" t="s">
        <v>2614</v>
      </c>
    </row>
    <row r="6" spans="2:29" x14ac:dyDescent="0.25">
      <c r="B6" s="121" t="s">
        <v>2563</v>
      </c>
      <c r="C6" s="51">
        <v>6</v>
      </c>
      <c r="D6" s="51" t="s">
        <v>2887</v>
      </c>
      <c r="E6" s="119">
        <v>45441</v>
      </c>
      <c r="F6" s="51">
        <v>1</v>
      </c>
      <c r="G6" s="51" cm="1">
        <f t="array" ref="G6">SUMPRODUCT(--(I6:AC6&gt;0))/COUNTA(I6:AC6)</f>
        <v>1</v>
      </c>
      <c r="H6" s="51" t="s">
        <v>2616</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x14ac:dyDescent="0.25">
      <c r="B7" s="51" t="s">
        <v>2566</v>
      </c>
      <c r="C7" s="51">
        <v>7</v>
      </c>
      <c r="D7" s="51" t="s">
        <v>2888</v>
      </c>
      <c r="E7" s="119">
        <v>45441</v>
      </c>
      <c r="F7" s="51">
        <v>1</v>
      </c>
      <c r="G7" s="51" cm="1">
        <f t="array" ref="G7">SUMPRODUCT(--(I7:AC7&lt;=I25:AC25))/COUNTA(I25:AC25)</f>
        <v>1</v>
      </c>
      <c r="H7" s="51" t="s">
        <v>2616</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x14ac:dyDescent="0.25">
      <c r="B8" s="51" t="s">
        <v>2569</v>
      </c>
      <c r="C8" s="51">
        <v>8</v>
      </c>
      <c r="D8" s="51" t="s">
        <v>2889</v>
      </c>
      <c r="E8" s="119">
        <v>45441</v>
      </c>
      <c r="F8" s="51">
        <v>1</v>
      </c>
      <c r="G8" s="51" t="s">
        <v>2614</v>
      </c>
      <c r="H8" s="51" t="s">
        <v>2616</v>
      </c>
      <c r="I8" s="51">
        <v>31</v>
      </c>
      <c r="J8" s="51">
        <v>7.0000079999999997E+21</v>
      </c>
      <c r="K8" s="51">
        <v>1</v>
      </c>
      <c r="L8" s="51" t="s">
        <v>2622</v>
      </c>
      <c r="M8" s="51">
        <v>0</v>
      </c>
      <c r="N8" s="51">
        <v>20</v>
      </c>
      <c r="O8" s="51">
        <v>1329</v>
      </c>
      <c r="P8" s="51">
        <v>31</v>
      </c>
      <c r="Q8" s="51">
        <v>3.2487001E+22</v>
      </c>
      <c r="R8" s="119">
        <v>21205</v>
      </c>
      <c r="S8" s="119">
        <v>1</v>
      </c>
      <c r="T8" s="51">
        <v>0</v>
      </c>
      <c r="U8" s="119">
        <v>1</v>
      </c>
      <c r="V8" s="122">
        <v>25</v>
      </c>
      <c r="W8" s="51">
        <v>40967</v>
      </c>
      <c r="X8" s="51">
        <v>0</v>
      </c>
      <c r="Y8" s="51" t="s">
        <v>2622</v>
      </c>
      <c r="Z8" s="51" t="s">
        <v>2626</v>
      </c>
      <c r="AA8" s="51" t="s">
        <v>2890</v>
      </c>
      <c r="AB8" s="119">
        <v>45441</v>
      </c>
      <c r="AC8" s="51" t="s">
        <v>2891</v>
      </c>
    </row>
    <row r="9" spans="2:29" x14ac:dyDescent="0.25">
      <c r="B9" s="51" t="s">
        <v>2571</v>
      </c>
      <c r="C9" s="51">
        <v>9</v>
      </c>
      <c r="D9" s="51" t="s">
        <v>2892</v>
      </c>
      <c r="E9" s="119">
        <v>45441</v>
      </c>
      <c r="F9" s="51">
        <v>1</v>
      </c>
      <c r="G9" s="51" t="s">
        <v>2614</v>
      </c>
      <c r="H9" s="51" t="s">
        <v>2616</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2616</v>
      </c>
      <c r="Y9" s="51">
        <v>5</v>
      </c>
      <c r="Z9" s="51" t="s">
        <v>2634</v>
      </c>
      <c r="AA9" s="51" t="s">
        <v>2890</v>
      </c>
      <c r="AB9" s="119">
        <v>45441</v>
      </c>
      <c r="AC9" s="51" t="s">
        <v>2893</v>
      </c>
    </row>
    <row r="10" spans="2:29" x14ac:dyDescent="0.25">
      <c r="B10" s="121" t="s">
        <v>2573</v>
      </c>
      <c r="C10" s="51">
        <v>10</v>
      </c>
      <c r="D10" s="51" t="s">
        <v>2894</v>
      </c>
      <c r="E10" s="119">
        <v>45441</v>
      </c>
      <c r="F10" s="51">
        <v>1</v>
      </c>
      <c r="G10" s="51" t="s">
        <v>2614</v>
      </c>
      <c r="H10" s="51" t="s">
        <v>2616</v>
      </c>
      <c r="I10" s="51">
        <v>31</v>
      </c>
      <c r="J10" s="51">
        <v>8.0013669999999995E+24</v>
      </c>
      <c r="K10" s="51" t="s">
        <v>2895</v>
      </c>
      <c r="L10" s="51" t="s">
        <v>2622</v>
      </c>
      <c r="M10" s="51">
        <v>0</v>
      </c>
      <c r="N10" s="51">
        <v>20</v>
      </c>
      <c r="O10" s="51">
        <v>814</v>
      </c>
      <c r="P10" s="51">
        <v>31</v>
      </c>
      <c r="Q10" s="51">
        <v>2.3950315126102001E+29</v>
      </c>
      <c r="R10" s="119">
        <v>45441</v>
      </c>
      <c r="S10" s="119">
        <v>1</v>
      </c>
      <c r="T10" s="119">
        <v>978</v>
      </c>
      <c r="U10" s="119">
        <v>45441</v>
      </c>
      <c r="V10" s="122">
        <v>260</v>
      </c>
      <c r="W10" s="119">
        <v>45441</v>
      </c>
      <c r="X10" s="122">
        <v>250</v>
      </c>
      <c r="Y10" s="51" t="s">
        <v>2622</v>
      </c>
      <c r="Z10" s="51" t="s">
        <v>2626</v>
      </c>
      <c r="AA10" s="51" t="s">
        <v>2890</v>
      </c>
      <c r="AB10" s="119">
        <v>45441</v>
      </c>
      <c r="AC10" s="119" t="s">
        <v>2891</v>
      </c>
    </row>
    <row r="11" spans="2:29" x14ac:dyDescent="0.25">
      <c r="B11" s="51" t="s">
        <v>2575</v>
      </c>
      <c r="C11" s="51">
        <v>11</v>
      </c>
      <c r="D11" s="51" t="s">
        <v>2896</v>
      </c>
      <c r="E11" s="119">
        <v>45441</v>
      </c>
      <c r="F11" s="51">
        <v>1</v>
      </c>
      <c r="G11" s="51" t="s">
        <v>2614</v>
      </c>
      <c r="H11" s="51" t="s">
        <v>2616</v>
      </c>
      <c r="I11" s="51">
        <v>31</v>
      </c>
      <c r="J11" s="51">
        <v>8.0013669999999995E+24</v>
      </c>
      <c r="K11" s="51" t="s">
        <v>2895</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2634</v>
      </c>
      <c r="AA11" s="51" t="s">
        <v>2890</v>
      </c>
      <c r="AB11" s="119">
        <v>45441</v>
      </c>
      <c r="AC11" s="119" t="s">
        <v>2897</v>
      </c>
    </row>
    <row r="12" spans="2:29" x14ac:dyDescent="0.25">
      <c r="B12" s="51" t="s">
        <v>2577</v>
      </c>
      <c r="C12" s="51">
        <v>12</v>
      </c>
      <c r="D12" s="51" t="s">
        <v>2898</v>
      </c>
      <c r="E12" s="119">
        <v>45441</v>
      </c>
      <c r="F12" s="51">
        <v>1</v>
      </c>
      <c r="G12" s="51">
        <v>0.71428599999999998</v>
      </c>
      <c r="H12" s="51" t="s">
        <v>2616</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x14ac:dyDescent="0.25">
      <c r="B13" s="51" t="s">
        <v>2579</v>
      </c>
      <c r="C13" s="51">
        <v>13</v>
      </c>
      <c r="D13" s="51" t="s">
        <v>2899</v>
      </c>
      <c r="E13" s="119">
        <v>45441</v>
      </c>
      <c r="F13" s="51">
        <v>1</v>
      </c>
      <c r="G13" s="122">
        <v>1</v>
      </c>
      <c r="H13" s="51" t="s">
        <v>2616</v>
      </c>
      <c r="I13" s="51" t="s">
        <v>2614</v>
      </c>
      <c r="J13" s="51" t="s">
        <v>2614</v>
      </c>
      <c r="K13" s="51" t="s">
        <v>2614</v>
      </c>
      <c r="L13" s="51" t="s">
        <v>2614</v>
      </c>
      <c r="M13" s="51" t="s">
        <v>2614</v>
      </c>
      <c r="N13" s="51" t="s">
        <v>2614</v>
      </c>
      <c r="O13" s="51" t="s">
        <v>2614</v>
      </c>
      <c r="P13" s="51" t="s">
        <v>2614</v>
      </c>
      <c r="Q13" s="51" t="s">
        <v>2614</v>
      </c>
      <c r="R13" s="120">
        <v>0</v>
      </c>
      <c r="S13" s="120">
        <v>0</v>
      </c>
      <c r="T13" s="120" t="s">
        <v>2614</v>
      </c>
      <c r="U13" s="120">
        <v>0</v>
      </c>
      <c r="V13" s="120" t="s">
        <v>2614</v>
      </c>
      <c r="W13" s="122">
        <v>0</v>
      </c>
      <c r="X13" s="120" t="s">
        <v>2614</v>
      </c>
      <c r="Y13" s="122" t="s">
        <v>2614</v>
      </c>
      <c r="Z13" s="51" t="s">
        <v>2614</v>
      </c>
      <c r="AA13" s="51" t="s">
        <v>2614</v>
      </c>
      <c r="AB13" s="119" t="s">
        <v>2614</v>
      </c>
      <c r="AC13" s="119" t="s">
        <v>2614</v>
      </c>
    </row>
    <row r="14" spans="2:29" x14ac:dyDescent="0.25">
      <c r="B14" s="51" t="s">
        <v>2581</v>
      </c>
      <c r="C14" s="51">
        <v>14</v>
      </c>
      <c r="D14" s="51" t="s">
        <v>2900</v>
      </c>
      <c r="E14" s="119">
        <v>45441</v>
      </c>
      <c r="F14" s="51">
        <v>1</v>
      </c>
      <c r="G14" s="122">
        <v>1</v>
      </c>
      <c r="H14" s="51" t="s">
        <v>2616</v>
      </c>
      <c r="I14" s="51">
        <v>0</v>
      </c>
      <c r="J14" s="51">
        <v>0</v>
      </c>
      <c r="K14" s="51">
        <v>0</v>
      </c>
      <c r="L14" s="51">
        <v>0</v>
      </c>
      <c r="M14" s="51">
        <v>0</v>
      </c>
      <c r="N14" s="51">
        <v>0</v>
      </c>
      <c r="O14" s="51">
        <v>0</v>
      </c>
      <c r="P14" s="51">
        <v>0</v>
      </c>
      <c r="Q14" s="51">
        <v>0</v>
      </c>
      <c r="R14" s="51" t="s">
        <v>2614</v>
      </c>
      <c r="S14" s="51" t="s">
        <v>2614</v>
      </c>
      <c r="T14" s="51">
        <v>0</v>
      </c>
      <c r="U14" s="51" t="s">
        <v>2614</v>
      </c>
      <c r="V14" s="51" t="s">
        <v>2614</v>
      </c>
      <c r="W14" s="51" t="s">
        <v>2614</v>
      </c>
      <c r="X14" s="51" t="s">
        <v>2614</v>
      </c>
      <c r="Y14" s="51">
        <v>0</v>
      </c>
      <c r="Z14" s="51">
        <v>0</v>
      </c>
      <c r="AA14" s="51">
        <v>0</v>
      </c>
      <c r="AB14" s="51" t="s">
        <v>2614</v>
      </c>
      <c r="AC14" s="51" t="s">
        <v>2614</v>
      </c>
    </row>
    <row r="15" spans="2:29" x14ac:dyDescent="0.25">
      <c r="B15" s="51" t="s">
        <v>2583</v>
      </c>
      <c r="C15" s="51">
        <v>15</v>
      </c>
      <c r="D15" s="51" t="s">
        <v>2901</v>
      </c>
      <c r="E15" s="119">
        <v>45441</v>
      </c>
      <c r="F15" s="51">
        <v>1</v>
      </c>
      <c r="G15" s="122">
        <v>1</v>
      </c>
      <c r="H15" s="218" t="s">
        <v>2616</v>
      </c>
      <c r="I15" s="51" t="s">
        <v>2614</v>
      </c>
      <c r="J15" s="51" t="s">
        <v>2614</v>
      </c>
      <c r="K15" s="51" t="s">
        <v>2614</v>
      </c>
      <c r="L15" s="51" t="s">
        <v>2614</v>
      </c>
      <c r="M15" s="51" t="s">
        <v>2614</v>
      </c>
      <c r="N15" s="51" t="s">
        <v>2614</v>
      </c>
      <c r="O15" s="51" t="s">
        <v>2614</v>
      </c>
      <c r="P15" s="51" t="s">
        <v>2614</v>
      </c>
      <c r="Q15" s="51" t="s">
        <v>2614</v>
      </c>
      <c r="R15" s="121" t="s">
        <v>2614</v>
      </c>
      <c r="S15" s="121" t="s">
        <v>2614</v>
      </c>
      <c r="T15" s="121" t="s">
        <v>2614</v>
      </c>
      <c r="U15" s="121" t="s">
        <v>2614</v>
      </c>
      <c r="V15" s="121" t="s">
        <v>2614</v>
      </c>
      <c r="W15" s="121" t="s">
        <v>2614</v>
      </c>
      <c r="X15" s="121" t="s">
        <v>2614</v>
      </c>
      <c r="Y15" s="51" t="s">
        <v>2614</v>
      </c>
      <c r="Z15" s="51" t="s">
        <v>2614</v>
      </c>
      <c r="AA15" s="51" t="s">
        <v>2614</v>
      </c>
      <c r="AB15" s="51" t="s">
        <v>2614</v>
      </c>
      <c r="AC15" s="51" t="s">
        <v>2614</v>
      </c>
    </row>
    <row r="16" spans="2:29" x14ac:dyDescent="0.25">
      <c r="B16" s="51" t="s">
        <v>2585</v>
      </c>
      <c r="C16" s="51">
        <v>16</v>
      </c>
      <c r="D16" s="51" t="s">
        <v>2901</v>
      </c>
      <c r="E16" s="119">
        <v>45441</v>
      </c>
      <c r="F16" s="51">
        <v>1</v>
      </c>
      <c r="G16" s="122">
        <v>1</v>
      </c>
      <c r="H16" s="218" t="s">
        <v>2616</v>
      </c>
      <c r="I16" s="51" t="s">
        <v>2614</v>
      </c>
      <c r="J16" s="51" t="s">
        <v>2614</v>
      </c>
      <c r="K16" s="51" t="s">
        <v>2614</v>
      </c>
      <c r="L16" s="51" t="s">
        <v>2614</v>
      </c>
      <c r="M16" s="51" t="s">
        <v>2614</v>
      </c>
      <c r="N16" s="51" t="s">
        <v>2614</v>
      </c>
      <c r="O16" s="51" t="s">
        <v>2614</v>
      </c>
      <c r="P16" s="51" t="s">
        <v>2614</v>
      </c>
      <c r="Q16" s="51" t="s">
        <v>2614</v>
      </c>
      <c r="R16" s="51" t="s">
        <v>2614</v>
      </c>
      <c r="S16" s="51" t="s">
        <v>2614</v>
      </c>
      <c r="T16" s="51" t="s">
        <v>2614</v>
      </c>
      <c r="U16" s="51" t="s">
        <v>2614</v>
      </c>
      <c r="V16" s="51" t="s">
        <v>2614</v>
      </c>
      <c r="W16" s="51" t="s">
        <v>2614</v>
      </c>
      <c r="X16" s="51" t="s">
        <v>2614</v>
      </c>
      <c r="Y16" s="51" t="s">
        <v>2614</v>
      </c>
      <c r="Z16" s="51" t="s">
        <v>2614</v>
      </c>
      <c r="AA16" s="51" t="s">
        <v>2614</v>
      </c>
      <c r="AB16" s="51" t="s">
        <v>2614</v>
      </c>
      <c r="AC16" s="51" t="s">
        <v>2614</v>
      </c>
    </row>
    <row r="17" spans="2:31" x14ac:dyDescent="0.25">
      <c r="B17" s="51" t="s">
        <v>2591</v>
      </c>
      <c r="C17" s="51">
        <v>19</v>
      </c>
      <c r="D17" s="51" t="s">
        <v>2902</v>
      </c>
      <c r="E17" s="119">
        <v>45441</v>
      </c>
      <c r="F17" s="51">
        <v>1</v>
      </c>
      <c r="G17" s="51" cm="1">
        <f t="array" ref="G17">SUMPRODUCT(--(ISNUMBER((SEARCH(I23:AC23,I17:AC17)))))/COUNTA(I17:AC17)</f>
        <v>0</v>
      </c>
      <c r="H17" s="122" t="s">
        <v>2616</v>
      </c>
      <c r="I17" s="51" t="s">
        <v>2654</v>
      </c>
      <c r="J17" s="51" t="s">
        <v>2654</v>
      </c>
      <c r="K17" s="51" t="s">
        <v>2654</v>
      </c>
      <c r="L17" s="51" t="s">
        <v>2654</v>
      </c>
      <c r="M17" s="51" t="s">
        <v>2654</v>
      </c>
      <c r="N17" s="51" t="s">
        <v>2654</v>
      </c>
      <c r="O17" s="51" t="s">
        <v>2654</v>
      </c>
      <c r="P17" s="51" t="s">
        <v>2654</v>
      </c>
      <c r="Q17" s="51" t="s">
        <v>2654</v>
      </c>
      <c r="R17" s="51" t="s">
        <v>2654</v>
      </c>
      <c r="S17" s="51" t="s">
        <v>2654</v>
      </c>
      <c r="T17" s="51" t="s">
        <v>2654</v>
      </c>
      <c r="U17" s="51" t="s">
        <v>2654</v>
      </c>
      <c r="V17" s="51" t="s">
        <v>2903</v>
      </c>
      <c r="W17" s="51" t="s">
        <v>2654</v>
      </c>
      <c r="X17" s="51" t="s">
        <v>2903</v>
      </c>
      <c r="Y17" s="51" t="s">
        <v>2654</v>
      </c>
      <c r="Z17" s="51" t="s">
        <v>2654</v>
      </c>
      <c r="AA17" s="51" t="s">
        <v>2654</v>
      </c>
      <c r="AB17" s="51" t="s">
        <v>2654</v>
      </c>
      <c r="AC17" s="51" t="s">
        <v>2656</v>
      </c>
    </row>
    <row r="18" spans="2:31" x14ac:dyDescent="0.25">
      <c r="B18" s="51" t="s">
        <v>2594</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x14ac:dyDescent="0.25">
      <c r="B19" s="51" t="s">
        <v>2597</v>
      </c>
      <c r="C19" s="51">
        <v>21</v>
      </c>
      <c r="D19" s="51"/>
      <c r="E19" s="119"/>
      <c r="F19" s="51"/>
      <c r="G19" s="51" cm="1">
        <f t="array" ref="G19">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x14ac:dyDescent="0.25">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x14ac:dyDescent="0.25">
      <c r="B22" s="164" t="s">
        <v>2657</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x14ac:dyDescent="0.25">
      <c r="B23" s="173" t="s">
        <v>2658</v>
      </c>
      <c r="C23" s="155" t="s">
        <v>2601</v>
      </c>
      <c r="D23" s="155" t="s">
        <v>2602</v>
      </c>
      <c r="E23" s="155" t="s">
        <v>2603</v>
      </c>
      <c r="F23" s="155" t="s">
        <v>2604</v>
      </c>
      <c r="G23" s="155" t="s">
        <v>2605</v>
      </c>
      <c r="H23" s="155" t="s">
        <v>2606</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5"/>
      <c r="AE23" s="246"/>
    </row>
    <row r="24" spans="2:31" x14ac:dyDescent="0.25">
      <c r="B24" s="139" t="s">
        <v>2659</v>
      </c>
      <c r="C24" s="167">
        <v>21</v>
      </c>
      <c r="D24" s="136" t="s">
        <v>2660</v>
      </c>
      <c r="E24" s="135" t="s">
        <v>2661</v>
      </c>
      <c r="F24" s="135" t="s">
        <v>351</v>
      </c>
      <c r="G24" s="135" t="s">
        <v>351</v>
      </c>
      <c r="H24" s="135" t="s">
        <v>351</v>
      </c>
      <c r="I24" s="135" t="str" cm="1">
        <f t="array" ref="I24:AC25">TRANSPOSE(_xlfn.SORTBY(_xlfn._xlws.FILTER(IF(Table3[FORMATO]:Table3[COMP_ CAMPO]&lt;&gt;"",Table3[FORMATO]:Table3[COMP_ CAMPO],9999999),Table3[NOME FÍSICO TABELA]="bank_vault"), _xlfn._xlws.FILTER(Table3[ORDEM], Table3[NOME FÍSICO TABELA]="bank_vault"), 1))</f>
        <v>STRING</v>
      </c>
      <c r="J24" s="135" t="str">
        <v>STRING</v>
      </c>
      <c r="K24" s="135" t="str">
        <v>STRING</v>
      </c>
      <c r="L24" s="135" t="str">
        <v>STRING</v>
      </c>
      <c r="M24" s="135" t="str">
        <v>STRING</v>
      </c>
      <c r="N24" s="135" t="str">
        <v>STRING</v>
      </c>
      <c r="O24" s="135" t="str">
        <v>STRING</v>
      </c>
      <c r="P24" s="135" t="str">
        <v>STRING</v>
      </c>
      <c r="Q24" s="135" t="str">
        <v>STRING</v>
      </c>
      <c r="R24" s="135" t="str">
        <v>STRING</v>
      </c>
      <c r="S24" s="135" t="str">
        <v>STRING</v>
      </c>
      <c r="T24" s="135" t="str">
        <v>STRING</v>
      </c>
      <c r="U24" s="135" t="str">
        <v>STRING</v>
      </c>
      <c r="V24" s="135" t="str">
        <v>DECIMAL</v>
      </c>
      <c r="W24" s="135" t="str">
        <v>STRING</v>
      </c>
      <c r="X24" s="135" t="str">
        <v>DECIMAL</v>
      </c>
      <c r="Y24" s="135" t="str">
        <v>STRING</v>
      </c>
      <c r="Z24" s="135" t="str">
        <v>STRING</v>
      </c>
      <c r="AA24" s="135" t="str">
        <v>STRING</v>
      </c>
      <c r="AB24" s="135" t="str">
        <v>STRING</v>
      </c>
      <c r="AC24" s="135" t="str">
        <v>TIMESTAMP</v>
      </c>
      <c r="AD24" s="199"/>
      <c r="AE24" s="247"/>
    </row>
    <row r="25" spans="2:31" x14ac:dyDescent="0.25">
      <c r="B25" s="141" t="s">
        <v>2662</v>
      </c>
      <c r="C25" s="137">
        <v>7</v>
      </c>
      <c r="D25" s="143" t="s">
        <v>2660</v>
      </c>
      <c r="E25" s="142" t="s">
        <v>2661</v>
      </c>
      <c r="F25" s="142" t="s">
        <v>351</v>
      </c>
      <c r="G25" s="142" t="s">
        <v>351</v>
      </c>
      <c r="H25" s="142" t="s">
        <v>351</v>
      </c>
      <c r="I25" s="137">
        <v>4</v>
      </c>
      <c r="J25" s="137">
        <v>30</v>
      </c>
      <c r="K25" s="137">
        <v>15</v>
      </c>
      <c r="L25" s="137">
        <v>20</v>
      </c>
      <c r="M25" s="137">
        <v>3</v>
      </c>
      <c r="N25" s="137">
        <v>3</v>
      </c>
      <c r="O25" s="137">
        <v>4</v>
      </c>
      <c r="P25" s="137">
        <v>4</v>
      </c>
      <c r="Q25" s="137">
        <v>30</v>
      </c>
      <c r="R25" s="137">
        <v>10</v>
      </c>
      <c r="S25" s="137">
        <v>10</v>
      </c>
      <c r="T25" s="137">
        <v>3</v>
      </c>
      <c r="U25" s="137">
        <v>10</v>
      </c>
      <c r="V25" s="137">
        <v>23</v>
      </c>
      <c r="W25" s="137">
        <v>10</v>
      </c>
      <c r="X25" s="137">
        <v>23</v>
      </c>
      <c r="Y25" s="137">
        <v>3</v>
      </c>
      <c r="Z25" s="137">
        <v>3</v>
      </c>
      <c r="AA25" s="137">
        <v>2</v>
      </c>
      <c r="AB25" s="137">
        <v>10</v>
      </c>
      <c r="AC25" s="137">
        <v>23</v>
      </c>
      <c r="AD25" s="248"/>
      <c r="AE25" s="51"/>
    </row>
    <row r="27" spans="2:31" x14ac:dyDescent="0.25">
      <c r="B27" s="164" t="s">
        <v>2663</v>
      </c>
    </row>
    <row r="28" spans="2:31" x14ac:dyDescent="0.25">
      <c r="B28" s="158" t="s">
        <v>2664</v>
      </c>
      <c r="C28" s="158" t="s">
        <v>2665</v>
      </c>
      <c r="D28" s="159" t="s">
        <v>2666</v>
      </c>
      <c r="E28" s="158" t="s">
        <v>2667</v>
      </c>
      <c r="F28" s="158" t="s">
        <v>2668</v>
      </c>
    </row>
    <row r="29" spans="2:31" ht="45" x14ac:dyDescent="0.25">
      <c r="B29" s="135" t="s">
        <v>2669</v>
      </c>
      <c r="C29" s="139" t="s">
        <v>428</v>
      </c>
      <c r="D29" s="54" t="s">
        <v>2904</v>
      </c>
      <c r="E29" s="160" t="s">
        <v>2905</v>
      </c>
      <c r="F29" s="160" t="s">
        <v>2672</v>
      </c>
    </row>
    <row r="30" spans="2:31" ht="45" x14ac:dyDescent="0.25">
      <c r="B30" s="135" t="s">
        <v>2669</v>
      </c>
      <c r="C30" s="139" t="s">
        <v>423</v>
      </c>
      <c r="D30" s="54" t="s">
        <v>2904</v>
      </c>
      <c r="E30" s="160" t="s">
        <v>2905</v>
      </c>
      <c r="F30" s="160"/>
    </row>
    <row r="31" spans="2:31" ht="45" x14ac:dyDescent="0.25">
      <c r="B31" s="135" t="s">
        <v>2669</v>
      </c>
      <c r="C31" s="139" t="s">
        <v>2882</v>
      </c>
      <c r="D31" s="54" t="s">
        <v>2906</v>
      </c>
      <c r="E31" s="160" t="s">
        <v>2907</v>
      </c>
      <c r="F31" s="160"/>
    </row>
    <row r="32" spans="2:31" ht="45" x14ac:dyDescent="0.25">
      <c r="B32" s="135" t="s">
        <v>2669</v>
      </c>
      <c r="C32" s="139" t="s">
        <v>2908</v>
      </c>
      <c r="D32" s="54" t="s">
        <v>2906</v>
      </c>
      <c r="E32" s="160" t="s">
        <v>2907</v>
      </c>
      <c r="F32" s="160" t="s">
        <v>2672</v>
      </c>
    </row>
    <row r="33" spans="2:6" ht="30" x14ac:dyDescent="0.25">
      <c r="B33" s="161" t="s">
        <v>2669</v>
      </c>
      <c r="C33" s="162" t="s">
        <v>173</v>
      </c>
      <c r="D33" s="163" t="s">
        <v>2909</v>
      </c>
      <c r="E33" s="217" t="s">
        <v>2910</v>
      </c>
      <c r="F33" s="160" t="s">
        <v>2672</v>
      </c>
    </row>
    <row r="34" spans="2:6" ht="30" x14ac:dyDescent="0.25">
      <c r="B34" s="161" t="s">
        <v>2669</v>
      </c>
      <c r="C34" s="162" t="s">
        <v>185</v>
      </c>
      <c r="D34" s="163" t="s">
        <v>2909</v>
      </c>
      <c r="E34" s="217" t="s">
        <v>2910</v>
      </c>
      <c r="F34" s="160" t="s">
        <v>2672</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C567-0132-4AE3-A536-BC7413F3E448}">
  <sheetPr>
    <tabColor rgb="FF00B050"/>
  </sheetPr>
  <dimension ref="B1:W30"/>
  <sheetViews>
    <sheetView showGridLines="0" workbookViewId="0">
      <selection activeCell="H6" sqref="H6:H7"/>
    </sheetView>
  </sheetViews>
  <sheetFormatPr defaultRowHeight="15" x14ac:dyDescent="0.2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x14ac:dyDescent="0.25"/>
    <row r="2" spans="2:23" x14ac:dyDescent="0.25">
      <c r="B2" s="98" t="s">
        <v>2658</v>
      </c>
      <c r="C2" s="98" t="s">
        <v>2601</v>
      </c>
      <c r="D2" s="98" t="s">
        <v>2602</v>
      </c>
      <c r="E2" s="98" t="s">
        <v>2603</v>
      </c>
      <c r="F2" s="98" t="s">
        <v>2604</v>
      </c>
      <c r="G2" s="98" t="s">
        <v>2605</v>
      </c>
      <c r="H2" s="98" t="s">
        <v>2606</v>
      </c>
      <c r="I2" s="98" t="s">
        <v>138</v>
      </c>
      <c r="J2" s="98" t="s">
        <v>554</v>
      </c>
      <c r="K2" s="98" t="s">
        <v>165</v>
      </c>
      <c r="L2" s="98" t="s">
        <v>173</v>
      </c>
      <c r="M2" s="98" t="s">
        <v>185</v>
      </c>
      <c r="N2" s="98" t="s">
        <v>194</v>
      </c>
      <c r="O2" s="98" t="s">
        <v>204</v>
      </c>
      <c r="P2" s="98" t="s">
        <v>215</v>
      </c>
      <c r="Q2" s="98" t="s">
        <v>227</v>
      </c>
      <c r="R2" s="98" t="s">
        <v>239</v>
      </c>
      <c r="S2" s="98" t="s">
        <v>582</v>
      </c>
      <c r="T2" s="98" t="s">
        <v>718</v>
      </c>
      <c r="U2" s="98" t="s">
        <v>724</v>
      </c>
      <c r="V2" s="98" t="s">
        <v>330</v>
      </c>
      <c r="W2" s="98" t="s">
        <v>337</v>
      </c>
    </row>
    <row r="3" spans="2:23" x14ac:dyDescent="0.25">
      <c r="B3" s="51" t="s">
        <v>2554</v>
      </c>
      <c r="C3" s="51">
        <v>1</v>
      </c>
      <c r="D3" s="51" t="s">
        <v>2911</v>
      </c>
      <c r="E3" s="119">
        <v>45439</v>
      </c>
      <c r="F3" s="51">
        <v>1</v>
      </c>
      <c r="G3" s="122">
        <v>1</v>
      </c>
      <c r="H3" s="219" t="s">
        <v>2912</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row>
    <row r="4" spans="2:23" x14ac:dyDescent="0.25">
      <c r="B4" s="51" t="s">
        <v>2556</v>
      </c>
      <c r="C4" s="51">
        <v>2</v>
      </c>
      <c r="D4" s="51" t="s">
        <v>2913</v>
      </c>
      <c r="E4" s="119">
        <v>45439</v>
      </c>
      <c r="F4" s="51">
        <v>1</v>
      </c>
      <c r="G4" s="122">
        <v>1</v>
      </c>
      <c r="H4" s="51" t="s">
        <v>2631</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row>
    <row r="5" spans="2:23" x14ac:dyDescent="0.25">
      <c r="B5" s="51" t="s">
        <v>2558</v>
      </c>
      <c r="C5" s="51">
        <v>3</v>
      </c>
      <c r="D5" s="51" t="s">
        <v>2914</v>
      </c>
      <c r="E5" s="119">
        <v>45439</v>
      </c>
      <c r="F5" s="51">
        <v>1</v>
      </c>
      <c r="G5" s="122">
        <v>1</v>
      </c>
      <c r="H5" s="51" t="s">
        <v>2631</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v>0</v>
      </c>
      <c r="W5" s="51" t="s">
        <v>2614</v>
      </c>
    </row>
    <row r="6" spans="2:23" x14ac:dyDescent="0.25">
      <c r="B6" s="121" t="s">
        <v>2560</v>
      </c>
      <c r="C6" s="51">
        <v>4</v>
      </c>
      <c r="D6" s="51" t="s">
        <v>2914</v>
      </c>
      <c r="E6" s="119" t="s">
        <v>2614</v>
      </c>
      <c r="F6" s="51">
        <v>1</v>
      </c>
      <c r="G6" s="119" t="s">
        <v>2614</v>
      </c>
      <c r="H6" s="51" t="s">
        <v>2631</v>
      </c>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c r="V6" s="51" t="s">
        <v>2614</v>
      </c>
      <c r="W6" s="51" t="s">
        <v>2614</v>
      </c>
    </row>
    <row r="7" spans="2:23" x14ac:dyDescent="0.25">
      <c r="B7" s="51" t="s">
        <v>2562</v>
      </c>
      <c r="C7" s="51">
        <v>5</v>
      </c>
      <c r="D7" s="51" t="s">
        <v>2914</v>
      </c>
      <c r="E7" s="119" t="s">
        <v>2614</v>
      </c>
      <c r="F7" s="51">
        <v>1</v>
      </c>
      <c r="G7" s="119" t="s">
        <v>2614</v>
      </c>
      <c r="H7" s="51" t="s">
        <v>2631</v>
      </c>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row>
    <row r="8" spans="2:23" x14ac:dyDescent="0.25">
      <c r="B8" s="121" t="s">
        <v>2563</v>
      </c>
      <c r="C8" s="51">
        <v>6</v>
      </c>
      <c r="D8" s="51" t="s">
        <v>2915</v>
      </c>
      <c r="E8" s="119">
        <v>45439</v>
      </c>
      <c r="F8" s="51">
        <v>1</v>
      </c>
      <c r="G8" s="51" cm="1">
        <f t="array" ref="G8">SUMPRODUCT(--(I8:W8&gt;0))/COUNTA(I8:W8)</f>
        <v>1</v>
      </c>
      <c r="H8" s="51" t="s">
        <v>2631</v>
      </c>
      <c r="I8" s="51">
        <v>2</v>
      </c>
      <c r="J8" s="51">
        <v>15</v>
      </c>
      <c r="K8" s="51">
        <v>3</v>
      </c>
      <c r="L8" s="51">
        <v>3</v>
      </c>
      <c r="M8" s="51">
        <v>3</v>
      </c>
      <c r="N8" s="51">
        <v>2</v>
      </c>
      <c r="O8" s="51">
        <v>30</v>
      </c>
      <c r="P8" s="51">
        <v>10</v>
      </c>
      <c r="Q8" s="51">
        <v>10</v>
      </c>
      <c r="R8" s="51">
        <v>3</v>
      </c>
      <c r="S8" s="51">
        <v>8</v>
      </c>
      <c r="T8" s="51">
        <v>3</v>
      </c>
      <c r="U8" s="51">
        <v>3</v>
      </c>
      <c r="V8" s="51">
        <v>10</v>
      </c>
      <c r="W8" s="51">
        <v>23</v>
      </c>
    </row>
    <row r="9" spans="2:23" x14ac:dyDescent="0.25">
      <c r="B9" s="51" t="s">
        <v>2566</v>
      </c>
      <c r="C9" s="51">
        <v>7</v>
      </c>
      <c r="D9" s="51" t="s">
        <v>2916</v>
      </c>
      <c r="E9" s="119">
        <v>45439</v>
      </c>
      <c r="F9" s="51">
        <v>1</v>
      </c>
      <c r="G9" s="51" cm="1">
        <f t="array" ref="G9">SUMPRODUCT(--(I9:W9&lt;=I26:W29))/COUNTA(I26:W29)</f>
        <v>1</v>
      </c>
      <c r="H9" s="51" t="s">
        <v>2631</v>
      </c>
      <c r="I9" s="51">
        <v>2</v>
      </c>
      <c r="J9" s="51">
        <v>15</v>
      </c>
      <c r="K9" s="51">
        <v>3</v>
      </c>
      <c r="L9" s="51">
        <v>3</v>
      </c>
      <c r="M9" s="51">
        <v>3</v>
      </c>
      <c r="N9" s="51">
        <v>2</v>
      </c>
      <c r="O9" s="51">
        <v>30</v>
      </c>
      <c r="P9" s="51">
        <v>10</v>
      </c>
      <c r="Q9" s="51">
        <v>10</v>
      </c>
      <c r="R9" s="51">
        <v>3</v>
      </c>
      <c r="S9" s="51">
        <v>14</v>
      </c>
      <c r="T9" s="51">
        <v>3</v>
      </c>
      <c r="U9" s="51">
        <v>3</v>
      </c>
      <c r="V9" s="51">
        <v>10</v>
      </c>
      <c r="W9" s="51">
        <v>23</v>
      </c>
    </row>
    <row r="10" spans="2:23" x14ac:dyDescent="0.25">
      <c r="B10" s="51" t="s">
        <v>2569</v>
      </c>
      <c r="C10" s="51">
        <v>8</v>
      </c>
      <c r="D10" s="51" t="s">
        <v>2917</v>
      </c>
      <c r="E10" s="119">
        <v>45439</v>
      </c>
      <c r="F10" s="51">
        <v>1</v>
      </c>
      <c r="G10" s="119" t="s">
        <v>2614</v>
      </c>
      <c r="H10" s="51" t="s">
        <v>2631</v>
      </c>
      <c r="I10" s="51">
        <v>31</v>
      </c>
      <c r="J10" s="213">
        <v>300001496092</v>
      </c>
      <c r="K10" s="51" t="s">
        <v>2622</v>
      </c>
      <c r="L10" s="51">
        <v>90</v>
      </c>
      <c r="M10" s="51">
        <v>1</v>
      </c>
      <c r="N10" s="51">
        <v>31</v>
      </c>
      <c r="O10" s="51">
        <v>2.0461000999999998E+22</v>
      </c>
      <c r="P10" s="119" t="s">
        <v>2623</v>
      </c>
      <c r="Q10" s="119">
        <v>2958465</v>
      </c>
      <c r="R10" s="51">
        <v>978</v>
      </c>
      <c r="S10" s="122">
        <v>-25991130000</v>
      </c>
      <c r="T10" s="51" t="s">
        <v>2622</v>
      </c>
      <c r="U10" s="51" t="s">
        <v>2626</v>
      </c>
      <c r="V10" s="119">
        <v>45439</v>
      </c>
      <c r="W10" s="51" t="s">
        <v>2918</v>
      </c>
    </row>
    <row r="11" spans="2:23" x14ac:dyDescent="0.25">
      <c r="B11" s="51" t="s">
        <v>2571</v>
      </c>
      <c r="C11" s="51">
        <v>9</v>
      </c>
      <c r="D11" s="51" t="s">
        <v>2919</v>
      </c>
      <c r="E11" s="119">
        <v>45439</v>
      </c>
      <c r="F11" s="51">
        <v>1</v>
      </c>
      <c r="G11" s="119" t="s">
        <v>2614</v>
      </c>
      <c r="H11" s="51" t="s">
        <v>2631</v>
      </c>
      <c r="I11" s="51">
        <v>31</v>
      </c>
      <c r="J11" s="213">
        <v>300001496092</v>
      </c>
      <c r="K11" s="51"/>
      <c r="L11" s="51">
        <v>90</v>
      </c>
      <c r="M11" s="51">
        <v>1</v>
      </c>
      <c r="N11" s="51"/>
      <c r="O11" s="51">
        <v>2.0461000999999998E+22</v>
      </c>
      <c r="P11" s="51" t="s">
        <v>2623</v>
      </c>
      <c r="Q11" s="119">
        <v>2958465</v>
      </c>
      <c r="R11" s="51">
        <v>978</v>
      </c>
      <c r="S11" s="122" t="s">
        <v>2920</v>
      </c>
      <c r="T11" s="51">
        <v>0</v>
      </c>
      <c r="U11" s="51" t="s">
        <v>2634</v>
      </c>
      <c r="V11" s="119">
        <v>45439</v>
      </c>
      <c r="W11" s="51" t="s">
        <v>2921</v>
      </c>
    </row>
    <row r="12" spans="2:23" x14ac:dyDescent="0.25">
      <c r="B12" s="121" t="s">
        <v>2573</v>
      </c>
      <c r="C12" s="51">
        <v>10</v>
      </c>
      <c r="D12" s="51" t="s">
        <v>2922</v>
      </c>
      <c r="E12" s="119">
        <v>45439</v>
      </c>
      <c r="F12" s="51">
        <v>1</v>
      </c>
      <c r="G12" s="119" t="s">
        <v>2614</v>
      </c>
      <c r="H12" s="51" t="s">
        <v>2631</v>
      </c>
      <c r="I12" s="51">
        <v>31</v>
      </c>
      <c r="J12" s="213">
        <v>689000000023092</v>
      </c>
      <c r="K12" s="51" t="s">
        <v>2622</v>
      </c>
      <c r="L12" s="51">
        <v>92</v>
      </c>
      <c r="M12" s="51" t="s">
        <v>2637</v>
      </c>
      <c r="N12" s="51">
        <v>31</v>
      </c>
      <c r="O12" s="51">
        <v>2.3970029463101999E+29</v>
      </c>
      <c r="P12" s="119">
        <v>45439</v>
      </c>
      <c r="Q12" s="119">
        <v>2958465</v>
      </c>
      <c r="R12" s="51">
        <v>978</v>
      </c>
      <c r="S12" s="122">
        <v>5423613370000</v>
      </c>
      <c r="T12" s="51" t="s">
        <v>2622</v>
      </c>
      <c r="U12" s="51" t="s">
        <v>2626</v>
      </c>
      <c r="V12" s="119">
        <v>45439</v>
      </c>
      <c r="W12" s="51" t="s">
        <v>2918</v>
      </c>
    </row>
    <row r="13" spans="2:23" x14ac:dyDescent="0.25">
      <c r="B13" s="51" t="s">
        <v>2575</v>
      </c>
      <c r="C13" s="51">
        <v>11</v>
      </c>
      <c r="D13" s="51" t="s">
        <v>2923</v>
      </c>
      <c r="E13" s="119">
        <v>45439</v>
      </c>
      <c r="F13" s="51">
        <v>1</v>
      </c>
      <c r="G13" s="119" t="s">
        <v>2614</v>
      </c>
      <c r="H13" s="51" t="s">
        <v>2631</v>
      </c>
      <c r="I13" s="51">
        <v>31</v>
      </c>
      <c r="J13" s="213">
        <v>689000000023092</v>
      </c>
      <c r="K13" s="51"/>
      <c r="L13" s="51">
        <v>92</v>
      </c>
      <c r="M13" s="51" t="s">
        <v>2637</v>
      </c>
      <c r="N13" s="51"/>
      <c r="O13" s="51">
        <v>2.3970029463101999E+29</v>
      </c>
      <c r="P13" s="119">
        <v>45439</v>
      </c>
      <c r="Q13" s="119">
        <v>2958465</v>
      </c>
      <c r="R13" s="51">
        <v>978</v>
      </c>
      <c r="S13" s="122" t="s">
        <v>2924</v>
      </c>
      <c r="T13" s="51">
        <v>0</v>
      </c>
      <c r="U13" s="51" t="s">
        <v>2634</v>
      </c>
      <c r="V13" s="119">
        <v>45439</v>
      </c>
      <c r="W13" s="51" t="s">
        <v>2925</v>
      </c>
    </row>
    <row r="14" spans="2:23" x14ac:dyDescent="0.25">
      <c r="B14" s="51" t="s">
        <v>2577</v>
      </c>
      <c r="C14" s="51">
        <v>12</v>
      </c>
      <c r="D14" s="51" t="s">
        <v>2926</v>
      </c>
      <c r="E14" s="119">
        <v>45439</v>
      </c>
      <c r="F14" s="51">
        <v>1</v>
      </c>
      <c r="G14" s="122">
        <v>1</v>
      </c>
      <c r="H14" s="51" t="s">
        <v>2631</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x14ac:dyDescent="0.25">
      <c r="B15" s="51" t="s">
        <v>2579</v>
      </c>
      <c r="C15" s="51">
        <v>13</v>
      </c>
      <c r="D15" s="51" t="s">
        <v>2927</v>
      </c>
      <c r="E15" s="119">
        <v>45439</v>
      </c>
      <c r="F15" s="51">
        <v>1</v>
      </c>
      <c r="G15" s="122">
        <v>1</v>
      </c>
      <c r="H15" s="51" t="s">
        <v>2631</v>
      </c>
      <c r="I15" s="51" t="s">
        <v>2614</v>
      </c>
      <c r="J15" s="51" t="s">
        <v>2614</v>
      </c>
      <c r="K15" s="51" t="s">
        <v>2614</v>
      </c>
      <c r="L15" s="51" t="s">
        <v>2614</v>
      </c>
      <c r="M15" s="51" t="s">
        <v>2614</v>
      </c>
      <c r="N15" s="51" t="s">
        <v>2614</v>
      </c>
      <c r="O15" s="51" t="s">
        <v>2614</v>
      </c>
      <c r="P15" s="51">
        <v>0</v>
      </c>
      <c r="Q15" s="51">
        <v>0</v>
      </c>
      <c r="R15" s="51" t="s">
        <v>2614</v>
      </c>
      <c r="S15" s="51" t="s">
        <v>2614</v>
      </c>
      <c r="T15" s="51" t="s">
        <v>2614</v>
      </c>
      <c r="U15" s="51" t="s">
        <v>2614</v>
      </c>
      <c r="V15" s="51" t="s">
        <v>2614</v>
      </c>
      <c r="W15" s="51" t="s">
        <v>2614</v>
      </c>
    </row>
    <row r="16" spans="2:23" x14ac:dyDescent="0.25">
      <c r="B16" s="51" t="s">
        <v>2581</v>
      </c>
      <c r="C16" s="51">
        <v>14</v>
      </c>
      <c r="D16" s="51" t="s">
        <v>2928</v>
      </c>
      <c r="E16" s="119">
        <v>45439</v>
      </c>
      <c r="F16" s="51">
        <v>1</v>
      </c>
      <c r="G16" s="122">
        <v>1</v>
      </c>
      <c r="H16" s="51" t="s">
        <v>2631</v>
      </c>
      <c r="I16" s="51">
        <v>0</v>
      </c>
      <c r="J16" s="51">
        <v>0</v>
      </c>
      <c r="K16" s="51">
        <v>0</v>
      </c>
      <c r="L16" s="51">
        <v>0</v>
      </c>
      <c r="M16" s="51">
        <v>0</v>
      </c>
      <c r="N16" s="51">
        <v>0</v>
      </c>
      <c r="O16" s="51">
        <v>0</v>
      </c>
      <c r="P16" s="51" t="s">
        <v>2614</v>
      </c>
      <c r="Q16" s="51" t="s">
        <v>2614</v>
      </c>
      <c r="R16" s="51">
        <v>0</v>
      </c>
      <c r="S16" s="51" t="s">
        <v>2614</v>
      </c>
      <c r="T16" s="51">
        <v>0</v>
      </c>
      <c r="U16" s="51">
        <v>0</v>
      </c>
      <c r="V16" s="51" t="s">
        <v>2614</v>
      </c>
      <c r="W16" s="51" t="s">
        <v>2614</v>
      </c>
    </row>
    <row r="17" spans="2:23" x14ac:dyDescent="0.25">
      <c r="B17" s="51" t="s">
        <v>2583</v>
      </c>
      <c r="C17" s="51">
        <v>15</v>
      </c>
      <c r="D17" s="51" t="s">
        <v>2929</v>
      </c>
      <c r="E17" s="119">
        <v>45439</v>
      </c>
      <c r="F17" s="51">
        <v>1</v>
      </c>
      <c r="G17" s="122">
        <v>1</v>
      </c>
      <c r="H17" s="51" t="s">
        <v>2631</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c r="V17" s="51" t="s">
        <v>2614</v>
      </c>
      <c r="W17" s="51" t="s">
        <v>2614</v>
      </c>
    </row>
    <row r="18" spans="2:23" x14ac:dyDescent="0.25">
      <c r="B18" s="51" t="s">
        <v>2585</v>
      </c>
      <c r="C18" s="51">
        <v>16</v>
      </c>
      <c r="D18" s="51" t="s">
        <v>2929</v>
      </c>
      <c r="E18" s="119">
        <v>45439</v>
      </c>
      <c r="F18" s="51">
        <v>1</v>
      </c>
      <c r="G18" s="122">
        <v>1</v>
      </c>
      <c r="H18" s="51" t="s">
        <v>2631</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row>
    <row r="19" spans="2:23" x14ac:dyDescent="0.25">
      <c r="B19" s="51" t="s">
        <v>2591</v>
      </c>
      <c r="C19" s="51">
        <v>19</v>
      </c>
      <c r="D19" s="51" t="s">
        <v>2930</v>
      </c>
      <c r="E19" s="119">
        <v>45439</v>
      </c>
      <c r="F19" s="51">
        <v>1</v>
      </c>
      <c r="G19" s="122" cm="1">
        <f t="array" ref="G19">SUMPRODUCT(--(ISNUMBER((SEARCH(I25:W25,I19:W19)))))/COUNTA(I19:W19)</f>
        <v>1</v>
      </c>
      <c r="H19" s="51" t="s">
        <v>2631</v>
      </c>
      <c r="I19" s="51" t="s">
        <v>2654</v>
      </c>
      <c r="J19" s="51" t="s">
        <v>2654</v>
      </c>
      <c r="K19" s="51" t="s">
        <v>2654</v>
      </c>
      <c r="L19" s="51" t="s">
        <v>2654</v>
      </c>
      <c r="M19" s="51" t="s">
        <v>2654</v>
      </c>
      <c r="N19" s="51" t="s">
        <v>2654</v>
      </c>
      <c r="O19" s="51" t="s">
        <v>2654</v>
      </c>
      <c r="P19" s="51" t="s">
        <v>2654</v>
      </c>
      <c r="Q19" s="51" t="s">
        <v>2654</v>
      </c>
      <c r="R19" s="51" t="s">
        <v>2654</v>
      </c>
      <c r="S19" s="51" t="s">
        <v>2655</v>
      </c>
      <c r="T19" s="51" t="s">
        <v>2654</v>
      </c>
      <c r="U19" s="51" t="s">
        <v>2654</v>
      </c>
      <c r="V19" s="51" t="s">
        <v>2654</v>
      </c>
      <c r="W19" s="51" t="s">
        <v>2656</v>
      </c>
    </row>
    <row r="20" spans="2:23" x14ac:dyDescent="0.25">
      <c r="B20" s="51" t="s">
        <v>2594</v>
      </c>
      <c r="C20" s="51">
        <v>20</v>
      </c>
      <c r="D20" s="51" t="s">
        <v>2931</v>
      </c>
      <c r="E20" s="119">
        <v>45439</v>
      </c>
      <c r="F20" s="51">
        <v>1</v>
      </c>
      <c r="G20" s="51" cm="1">
        <f t="array" ref="G20">SUM(IF(I2:S2 = I24:S24, 1, 0))/ COUNTA(I2:S2)</f>
        <v>1</v>
      </c>
      <c r="H20" s="51" t="s">
        <v>2631</v>
      </c>
      <c r="I20" s="51"/>
      <c r="J20" s="51"/>
      <c r="K20" s="51"/>
      <c r="L20" s="51"/>
      <c r="M20" s="51"/>
      <c r="N20" s="51"/>
      <c r="O20" s="51"/>
      <c r="P20" s="51"/>
      <c r="Q20" s="51"/>
      <c r="R20" s="51"/>
      <c r="S20" s="51"/>
      <c r="T20" s="51"/>
      <c r="U20" s="51"/>
      <c r="V20" s="51"/>
      <c r="W20" s="51"/>
    </row>
    <row r="21" spans="2:23" x14ac:dyDescent="0.25">
      <c r="B21" s="51" t="s">
        <v>2597</v>
      </c>
      <c r="C21" s="51">
        <v>21</v>
      </c>
      <c r="D21" s="51" t="s">
        <v>2931</v>
      </c>
      <c r="E21" s="119">
        <v>45439</v>
      </c>
      <c r="F21" s="51">
        <v>1</v>
      </c>
      <c r="G21" s="51" cm="1">
        <f t="array" ref="G21">SUM(IF(IF(G3:G20="null",1,G3:G20)=1,1,0))/COUNT(IF(G3:G20="null",1,1))</f>
        <v>1</v>
      </c>
      <c r="H21" s="51"/>
      <c r="I21" s="51"/>
      <c r="J21" s="51"/>
      <c r="K21" s="51"/>
      <c r="L21" s="51"/>
      <c r="M21" s="51"/>
      <c r="N21" s="51"/>
      <c r="O21" s="51"/>
      <c r="P21" s="51"/>
      <c r="Q21" s="51"/>
      <c r="R21" s="51"/>
      <c r="S21" s="51"/>
      <c r="T21" s="51"/>
      <c r="U21" s="51"/>
      <c r="V21" s="51"/>
      <c r="W21" s="51"/>
    </row>
    <row r="22" spans="2:23" x14ac:dyDescent="0.25">
      <c r="B22" s="51"/>
      <c r="C22" s="51"/>
      <c r="D22" s="51"/>
      <c r="E22" s="119"/>
      <c r="F22" s="51"/>
      <c r="G22" s="51"/>
      <c r="H22" s="51"/>
      <c r="I22" s="51"/>
      <c r="J22" s="51"/>
      <c r="K22" s="51"/>
      <c r="L22" s="51"/>
      <c r="M22" s="51"/>
      <c r="N22" s="51"/>
      <c r="O22" s="51"/>
      <c r="P22" s="51"/>
      <c r="Q22" s="51"/>
      <c r="R22" s="51"/>
      <c r="S22" s="51"/>
      <c r="T22" s="51"/>
      <c r="U22" s="51"/>
      <c r="V22" s="51"/>
      <c r="W22" s="51"/>
    </row>
    <row r="23" spans="2:23" x14ac:dyDescent="0.25">
      <c r="B23" s="165" t="s">
        <v>2657</v>
      </c>
      <c r="C23" s="166"/>
      <c r="D23" s="166"/>
      <c r="E23" s="166"/>
      <c r="F23" s="166"/>
      <c r="G23" s="166"/>
      <c r="H23" s="166"/>
    </row>
    <row r="24" spans="2:23" x14ac:dyDescent="0.25">
      <c r="B24" s="152" t="s">
        <v>2658</v>
      </c>
      <c r="C24" s="153" t="s">
        <v>2601</v>
      </c>
      <c r="D24" s="153" t="s">
        <v>2602</v>
      </c>
      <c r="E24" s="153" t="s">
        <v>2603</v>
      </c>
      <c r="F24" s="153" t="s">
        <v>2604</v>
      </c>
      <c r="G24" s="153" t="s">
        <v>2605</v>
      </c>
      <c r="H24" s="153" t="s">
        <v>2606</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x14ac:dyDescent="0.25">
      <c r="B25" s="131" t="s">
        <v>2659</v>
      </c>
      <c r="C25" s="134">
        <v>21</v>
      </c>
      <c r="D25" s="128" t="s">
        <v>2660</v>
      </c>
      <c r="E25" s="127" t="s">
        <v>2661</v>
      </c>
      <c r="F25" s="127" t="s">
        <v>351</v>
      </c>
      <c r="G25" s="127" t="s">
        <v>351</v>
      </c>
      <c r="H25" s="127" t="s">
        <v>351</v>
      </c>
      <c r="I25" s="127"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DECIMAL</v>
      </c>
      <c r="T25" s="127" t="str">
        <v>STRING</v>
      </c>
      <c r="U25" s="127" t="str">
        <v>STRING</v>
      </c>
      <c r="V25" s="127" t="str">
        <v>STRING</v>
      </c>
      <c r="W25" s="133" t="str">
        <v>TIMESTAMP</v>
      </c>
    </row>
    <row r="26" spans="2:23" x14ac:dyDescent="0.25">
      <c r="B26" s="131" t="s">
        <v>2662</v>
      </c>
      <c r="C26" s="134">
        <v>7</v>
      </c>
      <c r="D26" s="128" t="s">
        <v>2660</v>
      </c>
      <c r="E26" s="127" t="s">
        <v>2661</v>
      </c>
      <c r="F26" s="129" t="s">
        <v>351</v>
      </c>
      <c r="G26" s="129" t="s">
        <v>351</v>
      </c>
      <c r="H26" s="129" t="s">
        <v>351</v>
      </c>
      <c r="I26" s="175">
        <v>4</v>
      </c>
      <c r="J26" s="175">
        <v>15</v>
      </c>
      <c r="K26" s="175">
        <v>20</v>
      </c>
      <c r="L26" s="175">
        <v>3</v>
      </c>
      <c r="M26" s="175">
        <v>3</v>
      </c>
      <c r="N26" s="175">
        <v>4</v>
      </c>
      <c r="O26" s="175">
        <v>30</v>
      </c>
      <c r="P26" s="175">
        <v>10</v>
      </c>
      <c r="Q26" s="175">
        <v>10</v>
      </c>
      <c r="R26" s="175">
        <v>3</v>
      </c>
      <c r="S26" s="175">
        <v>23</v>
      </c>
      <c r="T26" s="175">
        <v>3</v>
      </c>
      <c r="U26" s="175">
        <v>3</v>
      </c>
      <c r="V26" s="175">
        <v>10</v>
      </c>
      <c r="W26" s="176">
        <v>23</v>
      </c>
    </row>
    <row r="28" spans="2:23" x14ac:dyDescent="0.25">
      <c r="B28" s="164" t="s">
        <v>2663</v>
      </c>
    </row>
    <row r="29" spans="2:23" x14ac:dyDescent="0.25">
      <c r="B29" s="158" t="s">
        <v>2664</v>
      </c>
      <c r="C29" s="158" t="s">
        <v>2665</v>
      </c>
      <c r="D29" s="159" t="s">
        <v>2666</v>
      </c>
      <c r="E29" s="158" t="s">
        <v>2667</v>
      </c>
      <c r="F29" s="158" t="s">
        <v>2668</v>
      </c>
    </row>
    <row r="30" spans="2:23" x14ac:dyDescent="0.25">
      <c r="B30" s="142"/>
      <c r="C30" s="141"/>
      <c r="D30" s="147"/>
      <c r="E30" s="170"/>
      <c r="F30" s="160"/>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E71-AB1E-49D5-866E-12865EFEA470}">
  <sheetPr>
    <tabColor rgb="FF00B050"/>
  </sheetPr>
  <dimension ref="B1:W30"/>
  <sheetViews>
    <sheetView showGridLines="0"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x14ac:dyDescent="0.25"/>
    <row r="2" spans="2:23" x14ac:dyDescent="0.25">
      <c r="B2" s="98" t="s">
        <v>2658</v>
      </c>
      <c r="C2" s="98" t="s">
        <v>2601</v>
      </c>
      <c r="D2" s="98" t="s">
        <v>2602</v>
      </c>
      <c r="E2" s="98" t="s">
        <v>2603</v>
      </c>
      <c r="F2" s="98" t="s">
        <v>2604</v>
      </c>
      <c r="G2" s="98" t="s">
        <v>2605</v>
      </c>
      <c r="H2" s="98" t="s">
        <v>2606</v>
      </c>
      <c r="I2" s="98" t="s">
        <v>138</v>
      </c>
      <c r="J2" s="98" t="s">
        <v>554</v>
      </c>
      <c r="K2" s="98" t="s">
        <v>165</v>
      </c>
      <c r="L2" s="98" t="s">
        <v>173</v>
      </c>
      <c r="M2" s="98" t="s">
        <v>185</v>
      </c>
      <c r="N2" s="98" t="s">
        <v>194</v>
      </c>
      <c r="O2" s="98" t="s">
        <v>204</v>
      </c>
      <c r="P2" s="98" t="s">
        <v>215</v>
      </c>
      <c r="Q2" s="98" t="s">
        <v>227</v>
      </c>
      <c r="R2" s="98" t="s">
        <v>239</v>
      </c>
      <c r="S2" s="98" t="s">
        <v>2752</v>
      </c>
      <c r="T2" s="98" t="s">
        <v>718</v>
      </c>
      <c r="U2" s="98" t="s">
        <v>724</v>
      </c>
      <c r="V2" s="98" t="s">
        <v>330</v>
      </c>
      <c r="W2" s="98" t="s">
        <v>337</v>
      </c>
    </row>
    <row r="3" spans="2:23" x14ac:dyDescent="0.25">
      <c r="B3" s="51" t="s">
        <v>2554</v>
      </c>
      <c r="C3" s="51">
        <v>1</v>
      </c>
      <c r="D3" s="51" t="s">
        <v>2932</v>
      </c>
      <c r="E3" s="119">
        <v>45433</v>
      </c>
      <c r="F3" s="51">
        <v>1</v>
      </c>
      <c r="G3" s="221" t="s">
        <v>2933</v>
      </c>
      <c r="H3" s="51">
        <v>15247</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row>
    <row r="4" spans="2:23" x14ac:dyDescent="0.25">
      <c r="B4" s="51" t="s">
        <v>2556</v>
      </c>
      <c r="C4" s="51">
        <v>2</v>
      </c>
      <c r="D4" s="51" t="s">
        <v>2934</v>
      </c>
      <c r="E4" s="119">
        <v>45433</v>
      </c>
      <c r="F4" s="51">
        <v>1</v>
      </c>
      <c r="G4" s="221" t="s">
        <v>2933</v>
      </c>
      <c r="H4" s="51">
        <v>171</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row>
    <row r="5" spans="2:23" x14ac:dyDescent="0.25">
      <c r="B5" s="51" t="s">
        <v>2558</v>
      </c>
      <c r="C5" s="51">
        <v>3</v>
      </c>
      <c r="D5" s="51" t="s">
        <v>2935</v>
      </c>
      <c r="E5" s="119">
        <v>45433</v>
      </c>
      <c r="F5" s="51">
        <v>1</v>
      </c>
      <c r="G5" s="221" t="s">
        <v>2933</v>
      </c>
      <c r="H5" s="51" t="s">
        <v>2631</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v>0</v>
      </c>
      <c r="W5" s="51" t="s">
        <v>2614</v>
      </c>
    </row>
    <row r="6" spans="2:23" x14ac:dyDescent="0.25">
      <c r="B6" s="121" t="s">
        <v>2560</v>
      </c>
      <c r="C6" s="51">
        <v>4</v>
      </c>
      <c r="D6" s="51" t="s">
        <v>2618</v>
      </c>
      <c r="E6" s="119" t="s">
        <v>2614</v>
      </c>
      <c r="F6" s="51">
        <v>1</v>
      </c>
      <c r="G6" s="119" t="s">
        <v>2614</v>
      </c>
      <c r="H6" s="51" t="s">
        <v>2631</v>
      </c>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c r="V6" s="51" t="s">
        <v>2614</v>
      </c>
      <c r="W6" s="51" t="s">
        <v>2614</v>
      </c>
    </row>
    <row r="7" spans="2:23" x14ac:dyDescent="0.25">
      <c r="B7" s="51" t="s">
        <v>2562</v>
      </c>
      <c r="C7" s="51">
        <v>5</v>
      </c>
      <c r="D7" s="51" t="s">
        <v>2618</v>
      </c>
      <c r="E7" s="119" t="s">
        <v>2614</v>
      </c>
      <c r="F7" s="51">
        <v>1</v>
      </c>
      <c r="G7" s="119" t="s">
        <v>2614</v>
      </c>
      <c r="H7" s="51" t="s">
        <v>2631</v>
      </c>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row>
    <row r="8" spans="2:23" x14ac:dyDescent="0.25">
      <c r="B8" s="121" t="s">
        <v>2563</v>
      </c>
      <c r="C8" s="51">
        <v>6</v>
      </c>
      <c r="D8" s="51" t="s">
        <v>2936</v>
      </c>
      <c r="E8" s="119">
        <v>45433</v>
      </c>
      <c r="F8" s="51">
        <v>1</v>
      </c>
      <c r="G8" s="51" cm="1">
        <f t="array" ref="G8">SUMPRODUCT(--(I8:W8&gt;0))/COUNTA(I8:W8)</f>
        <v>1</v>
      </c>
      <c r="H8" s="51" t="s">
        <v>2631</v>
      </c>
      <c r="I8" s="51">
        <v>2</v>
      </c>
      <c r="J8" s="51">
        <v>15</v>
      </c>
      <c r="K8" s="51">
        <v>3</v>
      </c>
      <c r="L8" s="51">
        <v>3</v>
      </c>
      <c r="M8" s="51">
        <v>3</v>
      </c>
      <c r="N8" s="51">
        <v>2</v>
      </c>
      <c r="O8" s="51">
        <v>30</v>
      </c>
      <c r="P8" s="51">
        <v>10</v>
      </c>
      <c r="Q8" s="51">
        <v>10</v>
      </c>
      <c r="R8" s="51">
        <v>3</v>
      </c>
      <c r="S8" s="51">
        <v>8</v>
      </c>
      <c r="T8" s="51">
        <v>3</v>
      </c>
      <c r="U8" s="51">
        <v>3</v>
      </c>
      <c r="V8" s="51">
        <v>10</v>
      </c>
      <c r="W8" s="51">
        <v>23</v>
      </c>
    </row>
    <row r="9" spans="2:23" x14ac:dyDescent="0.25">
      <c r="B9" s="51" t="s">
        <v>2566</v>
      </c>
      <c r="C9" s="51">
        <v>7</v>
      </c>
      <c r="D9" s="51" t="s">
        <v>2937</v>
      </c>
      <c r="E9" s="119">
        <v>45433</v>
      </c>
      <c r="F9" s="51">
        <v>1</v>
      </c>
      <c r="G9" s="51" cm="1">
        <f t="array" ref="G9">SUMPRODUCT(--(I9:W9&lt;=I26:W26))/COUNTA(I26:W26)</f>
        <v>1</v>
      </c>
      <c r="H9" s="51" t="s">
        <v>2631</v>
      </c>
      <c r="I9" s="51">
        <v>2</v>
      </c>
      <c r="J9" s="51">
        <v>15</v>
      </c>
      <c r="K9" s="51">
        <v>3</v>
      </c>
      <c r="L9" s="51">
        <v>3</v>
      </c>
      <c r="M9" s="51">
        <v>3</v>
      </c>
      <c r="N9" s="51">
        <v>2</v>
      </c>
      <c r="O9" s="51">
        <v>30</v>
      </c>
      <c r="P9" s="51">
        <v>10</v>
      </c>
      <c r="Q9" s="51">
        <v>10</v>
      </c>
      <c r="R9" s="51">
        <v>3</v>
      </c>
      <c r="S9" s="51">
        <v>15</v>
      </c>
      <c r="T9" s="51">
        <v>3</v>
      </c>
      <c r="U9" s="51">
        <v>3</v>
      </c>
      <c r="V9" s="51">
        <v>10</v>
      </c>
      <c r="W9" s="51">
        <v>23</v>
      </c>
    </row>
    <row r="10" spans="2:23" x14ac:dyDescent="0.25">
      <c r="B10" s="51" t="s">
        <v>2569</v>
      </c>
      <c r="C10" s="51">
        <v>8</v>
      </c>
      <c r="D10" s="51" t="s">
        <v>2938</v>
      </c>
      <c r="E10" s="119">
        <v>45433</v>
      </c>
      <c r="F10" s="51">
        <v>1</v>
      </c>
      <c r="G10" s="119" t="s">
        <v>2614</v>
      </c>
      <c r="H10" s="51" t="s">
        <v>2631</v>
      </c>
      <c r="I10" s="51">
        <v>31</v>
      </c>
      <c r="J10" s="51">
        <v>50000028007</v>
      </c>
      <c r="K10" s="51" t="s">
        <v>2622</v>
      </c>
      <c r="L10" s="51">
        <v>7</v>
      </c>
      <c r="M10" s="51">
        <v>101</v>
      </c>
      <c r="N10" s="51">
        <v>31</v>
      </c>
      <c r="O10" s="51">
        <v>2.2822000999999998E+22</v>
      </c>
      <c r="P10" s="119">
        <v>35300</v>
      </c>
      <c r="Q10" s="119">
        <v>2958465</v>
      </c>
      <c r="R10" s="51">
        <v>124</v>
      </c>
      <c r="S10" s="122" t="s">
        <v>2616</v>
      </c>
      <c r="T10" s="51" t="s">
        <v>2622</v>
      </c>
      <c r="U10" s="51" t="s">
        <v>2799</v>
      </c>
      <c r="V10" s="119">
        <v>45433</v>
      </c>
      <c r="W10" s="51" t="s">
        <v>2939</v>
      </c>
    </row>
    <row r="11" spans="2:23" x14ac:dyDescent="0.25">
      <c r="B11" s="51" t="s">
        <v>2571</v>
      </c>
      <c r="C11" s="51">
        <v>9</v>
      </c>
      <c r="D11" s="51" t="s">
        <v>2940</v>
      </c>
      <c r="E11" s="119">
        <v>45433</v>
      </c>
      <c r="F11" s="51">
        <v>1</v>
      </c>
      <c r="G11" s="119" t="s">
        <v>2614</v>
      </c>
      <c r="H11" s="51" t="s">
        <v>2631</v>
      </c>
      <c r="I11" s="51">
        <v>31</v>
      </c>
      <c r="J11" s="51">
        <v>50000028007</v>
      </c>
      <c r="K11" s="51"/>
      <c r="L11" s="51">
        <v>7</v>
      </c>
      <c r="M11" s="51">
        <v>101</v>
      </c>
      <c r="N11" s="51"/>
      <c r="O11" s="51">
        <v>2.2822000999999998E+22</v>
      </c>
      <c r="P11" s="119">
        <v>35300</v>
      </c>
      <c r="Q11" s="119">
        <v>2958465</v>
      </c>
      <c r="R11" s="51">
        <v>124</v>
      </c>
      <c r="S11" s="51" t="s">
        <v>2631</v>
      </c>
      <c r="T11" s="51">
        <v>0</v>
      </c>
      <c r="U11" s="51" t="s">
        <v>2802</v>
      </c>
      <c r="V11" s="119">
        <v>45433</v>
      </c>
      <c r="W11" s="51" t="s">
        <v>2941</v>
      </c>
    </row>
    <row r="12" spans="2:23" x14ac:dyDescent="0.25">
      <c r="B12" s="121" t="s">
        <v>2573</v>
      </c>
      <c r="C12" s="51">
        <v>10</v>
      </c>
      <c r="D12" s="51" t="s">
        <v>2942</v>
      </c>
      <c r="E12" s="119">
        <v>45433</v>
      </c>
      <c r="F12" s="51">
        <v>1</v>
      </c>
      <c r="G12" s="119" t="s">
        <v>2614</v>
      </c>
      <c r="H12" s="51" t="s">
        <v>2631</v>
      </c>
      <c r="I12" s="51">
        <v>31</v>
      </c>
      <c r="J12" s="213">
        <v>607500070000019</v>
      </c>
      <c r="K12" s="51" t="s">
        <v>2622</v>
      </c>
      <c r="L12" s="51">
        <v>7</v>
      </c>
      <c r="M12" s="51" t="s">
        <v>2805</v>
      </c>
      <c r="N12" s="51">
        <v>31</v>
      </c>
      <c r="O12" s="51">
        <v>2.3930258433501999E+29</v>
      </c>
      <c r="P12" s="119">
        <v>45429</v>
      </c>
      <c r="Q12" s="119">
        <v>2958465</v>
      </c>
      <c r="R12" s="51">
        <v>978</v>
      </c>
      <c r="S12" s="181" t="s">
        <v>2943</v>
      </c>
      <c r="T12" s="51" t="s">
        <v>2622</v>
      </c>
      <c r="U12" s="51" t="s">
        <v>2622</v>
      </c>
      <c r="V12" s="119">
        <v>45433</v>
      </c>
      <c r="W12" s="51" t="s">
        <v>2939</v>
      </c>
    </row>
    <row r="13" spans="2:23" x14ac:dyDescent="0.25">
      <c r="B13" s="51" t="s">
        <v>2575</v>
      </c>
      <c r="C13" s="51">
        <v>11</v>
      </c>
      <c r="D13" s="51" t="s">
        <v>2944</v>
      </c>
      <c r="E13" s="119">
        <v>45433</v>
      </c>
      <c r="F13" s="51">
        <v>1</v>
      </c>
      <c r="G13" s="119" t="s">
        <v>2614</v>
      </c>
      <c r="H13" s="51" t="s">
        <v>2631</v>
      </c>
      <c r="I13" s="51">
        <v>31</v>
      </c>
      <c r="J13" s="213">
        <v>607500070000019</v>
      </c>
      <c r="K13" s="51"/>
      <c r="L13" s="51">
        <v>7</v>
      </c>
      <c r="M13" s="51" t="s">
        <v>2805</v>
      </c>
      <c r="N13" s="51"/>
      <c r="O13" s="51">
        <v>2.3930258433501999E+29</v>
      </c>
      <c r="P13" s="119">
        <v>45429</v>
      </c>
      <c r="Q13" s="119">
        <v>2958465</v>
      </c>
      <c r="R13" s="51">
        <v>978</v>
      </c>
      <c r="S13" s="51" t="s">
        <v>2809</v>
      </c>
      <c r="T13" s="51">
        <v>0</v>
      </c>
      <c r="U13" s="51" t="s">
        <v>2634</v>
      </c>
      <c r="V13" s="119">
        <v>45433</v>
      </c>
      <c r="W13" s="51" t="s">
        <v>2945</v>
      </c>
    </row>
    <row r="14" spans="2:23" x14ac:dyDescent="0.25">
      <c r="B14" s="51" t="s">
        <v>2577</v>
      </c>
      <c r="C14" s="51">
        <v>12</v>
      </c>
      <c r="D14" s="51" t="s">
        <v>2946</v>
      </c>
      <c r="E14" s="119">
        <v>45433</v>
      </c>
      <c r="F14" s="51">
        <v>1</v>
      </c>
      <c r="G14" s="221">
        <v>1</v>
      </c>
      <c r="H14" s="51" t="s">
        <v>2631</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x14ac:dyDescent="0.25">
      <c r="B15" s="51" t="s">
        <v>2579</v>
      </c>
      <c r="C15" s="51">
        <v>13</v>
      </c>
      <c r="D15" s="51" t="s">
        <v>2947</v>
      </c>
      <c r="E15" s="119">
        <v>45433</v>
      </c>
      <c r="F15" s="51">
        <v>1</v>
      </c>
      <c r="G15" s="221">
        <v>1</v>
      </c>
      <c r="H15" s="51" t="s">
        <v>2631</v>
      </c>
      <c r="I15" s="51" t="s">
        <v>2614</v>
      </c>
      <c r="J15" s="51" t="s">
        <v>2614</v>
      </c>
      <c r="K15" s="51" t="s">
        <v>2614</v>
      </c>
      <c r="L15" s="51" t="s">
        <v>2614</v>
      </c>
      <c r="M15" s="51" t="s">
        <v>2614</v>
      </c>
      <c r="N15" s="51" t="s">
        <v>2614</v>
      </c>
      <c r="O15" s="51" t="s">
        <v>2614</v>
      </c>
      <c r="P15" s="51">
        <v>0</v>
      </c>
      <c r="Q15" s="51">
        <v>0</v>
      </c>
      <c r="R15" s="51" t="s">
        <v>2614</v>
      </c>
      <c r="S15" s="51" t="s">
        <v>2614</v>
      </c>
      <c r="T15" s="51" t="s">
        <v>2614</v>
      </c>
      <c r="U15" s="51" t="s">
        <v>2614</v>
      </c>
      <c r="V15" s="51" t="s">
        <v>2614</v>
      </c>
      <c r="W15" s="51" t="s">
        <v>2614</v>
      </c>
    </row>
    <row r="16" spans="2:23" x14ac:dyDescent="0.25">
      <c r="B16" s="51" t="s">
        <v>2581</v>
      </c>
      <c r="C16" s="51">
        <v>14</v>
      </c>
      <c r="D16" s="51" t="s">
        <v>2948</v>
      </c>
      <c r="E16" s="119">
        <v>45433</v>
      </c>
      <c r="F16" s="51">
        <v>1</v>
      </c>
      <c r="G16" s="221">
        <v>1</v>
      </c>
      <c r="H16" s="51" t="s">
        <v>2631</v>
      </c>
      <c r="I16" s="51">
        <v>0</v>
      </c>
      <c r="J16" s="51">
        <v>0</v>
      </c>
      <c r="K16" s="51">
        <v>0</v>
      </c>
      <c r="L16" s="51">
        <v>0</v>
      </c>
      <c r="M16" s="51">
        <v>0</v>
      </c>
      <c r="N16" s="51">
        <v>0</v>
      </c>
      <c r="O16" s="51">
        <v>0</v>
      </c>
      <c r="P16" s="51" t="s">
        <v>2614</v>
      </c>
      <c r="Q16" s="51" t="s">
        <v>2614</v>
      </c>
      <c r="R16" s="51">
        <v>0</v>
      </c>
      <c r="S16" s="51" t="s">
        <v>2614</v>
      </c>
      <c r="T16" s="51">
        <v>0</v>
      </c>
      <c r="U16" s="51">
        <v>0</v>
      </c>
      <c r="V16" s="51" t="s">
        <v>2614</v>
      </c>
      <c r="W16" s="51" t="s">
        <v>2614</v>
      </c>
    </row>
    <row r="17" spans="2:23" x14ac:dyDescent="0.25">
      <c r="B17" s="51" t="s">
        <v>2583</v>
      </c>
      <c r="C17" s="51">
        <v>15</v>
      </c>
      <c r="D17" s="51" t="s">
        <v>2949</v>
      </c>
      <c r="E17" s="119">
        <v>45433</v>
      </c>
      <c r="F17" s="51">
        <v>1</v>
      </c>
      <c r="G17" s="221">
        <v>1</v>
      </c>
      <c r="H17" s="51" t="s">
        <v>2631</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c r="V17" s="51" t="s">
        <v>2614</v>
      </c>
      <c r="W17" s="51" t="s">
        <v>2614</v>
      </c>
    </row>
    <row r="18" spans="2:23" x14ac:dyDescent="0.25">
      <c r="B18" s="51" t="s">
        <v>2585</v>
      </c>
      <c r="C18" s="51">
        <v>16</v>
      </c>
      <c r="D18" s="51" t="s">
        <v>2949</v>
      </c>
      <c r="E18" s="119">
        <v>45433</v>
      </c>
      <c r="F18" s="51">
        <v>1</v>
      </c>
      <c r="G18" s="221">
        <v>1</v>
      </c>
      <c r="H18" s="51" t="s">
        <v>2631</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row>
    <row r="19" spans="2:23" x14ac:dyDescent="0.25">
      <c r="B19" s="51" t="s">
        <v>2591</v>
      </c>
      <c r="C19" s="51">
        <v>19</v>
      </c>
      <c r="D19" s="51" t="s">
        <v>2950</v>
      </c>
      <c r="E19" s="119">
        <v>45433</v>
      </c>
      <c r="F19" s="51">
        <v>1</v>
      </c>
      <c r="G19" s="238" cm="1">
        <f t="array" ref="G19">SUMPRODUCT(--(ISNUMBER((SEARCH(I25:W25,I19:W19)))))/COUNTA(I19:W19)</f>
        <v>1</v>
      </c>
      <c r="H19" s="51" t="s">
        <v>2631</v>
      </c>
      <c r="I19" s="51" t="s">
        <v>2654</v>
      </c>
      <c r="J19" s="51" t="s">
        <v>2654</v>
      </c>
      <c r="K19" s="51" t="s">
        <v>2654</v>
      </c>
      <c r="L19" s="51" t="s">
        <v>2654</v>
      </c>
      <c r="M19" s="51" t="s">
        <v>2654</v>
      </c>
      <c r="N19" s="51" t="s">
        <v>2654</v>
      </c>
      <c r="O19" s="51" t="s">
        <v>2654</v>
      </c>
      <c r="P19" s="51" t="s">
        <v>2951</v>
      </c>
      <c r="Q19" s="51" t="s">
        <v>2951</v>
      </c>
      <c r="R19" s="51" t="s">
        <v>2654</v>
      </c>
      <c r="S19" s="51" t="s">
        <v>2655</v>
      </c>
      <c r="T19" s="51" t="s">
        <v>2654</v>
      </c>
      <c r="U19" s="51" t="s">
        <v>2654</v>
      </c>
      <c r="V19" s="51" t="s">
        <v>2654</v>
      </c>
      <c r="W19" s="51" t="s">
        <v>2656</v>
      </c>
    </row>
    <row r="20" spans="2:23" x14ac:dyDescent="0.25">
      <c r="B20" s="51" t="s">
        <v>2594</v>
      </c>
      <c r="C20" s="51">
        <v>20</v>
      </c>
      <c r="D20" s="51" t="s">
        <v>2952</v>
      </c>
      <c r="E20" s="119">
        <v>45433</v>
      </c>
      <c r="F20" s="51">
        <v>1</v>
      </c>
      <c r="G20" s="221" cm="1">
        <f t="array" ref="G20">SUM(IF(I2:W2 = I24:W24, 1, 0))/ COUNTA(I2:W2)</f>
        <v>0.93333333333333335</v>
      </c>
      <c r="H20" s="51" t="s">
        <v>2631</v>
      </c>
      <c r="I20" s="51"/>
      <c r="J20" s="51"/>
      <c r="K20" s="51"/>
      <c r="L20" s="51"/>
      <c r="M20" s="51"/>
      <c r="N20" s="51"/>
      <c r="O20" s="51"/>
      <c r="P20" s="51"/>
      <c r="Q20" s="51"/>
      <c r="R20" s="51"/>
      <c r="S20" s="51"/>
      <c r="T20" s="51"/>
      <c r="U20" s="51"/>
      <c r="V20" s="51"/>
      <c r="W20" s="51"/>
    </row>
    <row r="21" spans="2:23" x14ac:dyDescent="0.25">
      <c r="B21" s="51" t="s">
        <v>2597</v>
      </c>
      <c r="C21" s="51">
        <v>21</v>
      </c>
      <c r="D21" s="51" t="s">
        <v>2952</v>
      </c>
      <c r="E21" s="119">
        <v>45433</v>
      </c>
      <c r="F21" s="51">
        <v>1</v>
      </c>
      <c r="G21" s="221" cm="1">
        <f t="array" ref="G21">SUM(IF(IF(G3:G20="null",1,G3:G20)=1,1,0))/COUNT(IF(G3:G20="null",1,1))</f>
        <v>0.77777777777777779</v>
      </c>
      <c r="H21" s="51"/>
      <c r="I21" s="51"/>
      <c r="J21" s="51"/>
      <c r="K21" s="51"/>
      <c r="L21" s="51"/>
      <c r="M21" s="51"/>
      <c r="N21" s="51"/>
      <c r="O21" s="51"/>
      <c r="P21" s="51"/>
      <c r="Q21" s="51"/>
      <c r="R21" s="51"/>
      <c r="S21" s="51"/>
      <c r="T21" s="51"/>
      <c r="U21" s="51"/>
      <c r="V21" s="51"/>
      <c r="W21" s="51"/>
    </row>
    <row r="22" spans="2:23" x14ac:dyDescent="0.25">
      <c r="B22" s="51"/>
      <c r="C22" s="51"/>
      <c r="D22" s="51"/>
      <c r="E22" s="119"/>
      <c r="F22" s="51"/>
      <c r="G22" s="51"/>
      <c r="H22" s="51"/>
      <c r="I22" s="51"/>
      <c r="J22" s="51"/>
      <c r="K22" s="51"/>
      <c r="L22" s="51"/>
      <c r="M22" s="51"/>
      <c r="N22" s="51"/>
      <c r="O22" s="51"/>
      <c r="P22" s="51"/>
      <c r="Q22" s="51"/>
      <c r="R22" s="51"/>
      <c r="S22" s="51"/>
      <c r="T22" s="51"/>
      <c r="U22" s="51"/>
      <c r="V22" s="51"/>
      <c r="W22" s="51"/>
    </row>
    <row r="23" spans="2:23" x14ac:dyDescent="0.25">
      <c r="B23" s="154" t="s">
        <v>2657</v>
      </c>
    </row>
    <row r="24" spans="2:23" x14ac:dyDescent="0.25">
      <c r="B24" s="152" t="s">
        <v>2658</v>
      </c>
      <c r="C24" s="153" t="s">
        <v>2601</v>
      </c>
      <c r="D24" s="153" t="s">
        <v>2602</v>
      </c>
      <c r="E24" s="153" t="s">
        <v>2603</v>
      </c>
      <c r="F24" s="153" t="s">
        <v>2604</v>
      </c>
      <c r="G24" s="153" t="s">
        <v>2605</v>
      </c>
      <c r="H24" s="153" t="s">
        <v>2606</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x14ac:dyDescent="0.25">
      <c r="B25" s="131" t="s">
        <v>2659</v>
      </c>
      <c r="C25" s="134">
        <v>21</v>
      </c>
      <c r="D25" s="128" t="s">
        <v>2660</v>
      </c>
      <c r="E25" s="127" t="s">
        <v>2661</v>
      </c>
      <c r="F25" s="127" t="s">
        <v>351</v>
      </c>
      <c r="G25" s="127" t="s">
        <v>351</v>
      </c>
      <c r="H25" s="127" t="s">
        <v>351</v>
      </c>
      <c r="I25" s="127" t="str" cm="1">
        <f t="array" ref="I25:W26">TRANSPOSE(_xlfn.SORTBY(_xlfn._xlws.FILTER(IF(Table3[FORMATO]:Table3[COMP_ CAMPO]&lt;&gt;"",Table3[FORMATO]:Table3[COMP_ CAMPO],9999999),Table3[NOME FÍSICO TABELA]="confirming_process"), _xlfn._xlws.FILTER(Table3[ORDEM], Table3[NOME FÍSICO TABELA]="confirming_process"), 1))</f>
        <v>STRING</v>
      </c>
      <c r="J25" s="127" t="str">
        <v>STRING</v>
      </c>
      <c r="K25" s="127" t="str">
        <v>STRING</v>
      </c>
      <c r="L25" s="127" t="str">
        <v>STRING</v>
      </c>
      <c r="M25" s="127" t="str">
        <v>STRING</v>
      </c>
      <c r="N25" s="127" t="str">
        <v>STRING</v>
      </c>
      <c r="O25" s="127" t="str">
        <v>STRING</v>
      </c>
      <c r="P25" s="127" t="str">
        <v>DATE</v>
      </c>
      <c r="Q25" s="127" t="str">
        <v>DATE</v>
      </c>
      <c r="R25" s="127" t="str">
        <v>STRING</v>
      </c>
      <c r="S25" s="127" t="str">
        <v>DECIMAL</v>
      </c>
      <c r="T25" s="127" t="str">
        <v>STRING</v>
      </c>
      <c r="U25" s="127" t="str">
        <v>STRING</v>
      </c>
      <c r="V25" s="127" t="str">
        <v>STRING</v>
      </c>
      <c r="W25" s="133" t="str">
        <v>TIMESTAMP</v>
      </c>
    </row>
    <row r="26" spans="2:23" x14ac:dyDescent="0.25">
      <c r="B26" s="131" t="s">
        <v>2662</v>
      </c>
      <c r="C26" s="134">
        <v>7</v>
      </c>
      <c r="D26" s="128" t="s">
        <v>2660</v>
      </c>
      <c r="E26" s="127" t="s">
        <v>2661</v>
      </c>
      <c r="F26" s="129" t="s">
        <v>351</v>
      </c>
      <c r="G26" s="129" t="s">
        <v>351</v>
      </c>
      <c r="H26" s="129" t="s">
        <v>351</v>
      </c>
      <c r="I26" s="175">
        <v>4</v>
      </c>
      <c r="J26" s="175">
        <v>15</v>
      </c>
      <c r="K26" s="175">
        <v>20</v>
      </c>
      <c r="L26" s="175">
        <v>3</v>
      </c>
      <c r="M26" s="175">
        <v>3</v>
      </c>
      <c r="N26" s="175">
        <v>4</v>
      </c>
      <c r="O26" s="175">
        <v>30</v>
      </c>
      <c r="P26" s="175">
        <v>10</v>
      </c>
      <c r="Q26" s="175">
        <v>10</v>
      </c>
      <c r="R26" s="175">
        <v>3</v>
      </c>
      <c r="S26" s="175">
        <v>23</v>
      </c>
      <c r="T26" s="175">
        <v>3</v>
      </c>
      <c r="U26" s="175">
        <v>3</v>
      </c>
      <c r="V26" s="175">
        <v>10</v>
      </c>
      <c r="W26" s="176">
        <v>23</v>
      </c>
    </row>
    <row r="28" spans="2:23" x14ac:dyDescent="0.25">
      <c r="B28" s="164" t="s">
        <v>2663</v>
      </c>
    </row>
    <row r="29" spans="2:23" x14ac:dyDescent="0.25">
      <c r="B29" s="158" t="s">
        <v>2664</v>
      </c>
      <c r="C29" s="158" t="s">
        <v>2665</v>
      </c>
      <c r="D29" s="159" t="s">
        <v>2666</v>
      </c>
      <c r="E29" s="158" t="s">
        <v>2667</v>
      </c>
      <c r="F29" s="158" t="s">
        <v>2668</v>
      </c>
    </row>
    <row r="30" spans="2:23" x14ac:dyDescent="0.25">
      <c r="B30" s="142"/>
      <c r="C30" s="141"/>
      <c r="D30" s="147"/>
      <c r="E30" s="170"/>
      <c r="F30" s="160"/>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9F32-9572-4400-AC09-6EFC9609A994}">
  <sheetPr>
    <tabColor rgb="FF00B050"/>
  </sheetPr>
  <dimension ref="B1:Y39"/>
  <sheetViews>
    <sheetView showGridLines="0" topLeftCell="B1" workbookViewId="0">
      <selection activeCell="I22" sqref="I22"/>
    </sheetView>
  </sheetViews>
  <sheetFormatPr defaultRowHeight="15" x14ac:dyDescent="0.2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x14ac:dyDescent="0.25"/>
    <row r="2" spans="2:25" x14ac:dyDescent="0.25">
      <c r="B2" s="98" t="s">
        <v>2684</v>
      </c>
      <c r="C2" s="98" t="s">
        <v>2601</v>
      </c>
      <c r="D2" s="98" t="s">
        <v>2602</v>
      </c>
      <c r="E2" s="98" t="s">
        <v>2603</v>
      </c>
      <c r="F2" s="98" t="s">
        <v>2604</v>
      </c>
      <c r="G2" s="98" t="s">
        <v>2605</v>
      </c>
      <c r="H2" s="98" t="s">
        <v>2606</v>
      </c>
      <c r="I2" s="98" t="s">
        <v>138</v>
      </c>
      <c r="J2" s="98" t="s">
        <v>554</v>
      </c>
      <c r="K2" s="153" t="s">
        <v>194</v>
      </c>
      <c r="L2" s="153" t="s">
        <v>204</v>
      </c>
      <c r="M2" s="153" t="s">
        <v>1594</v>
      </c>
      <c r="N2" s="98" t="s">
        <v>1601</v>
      </c>
      <c r="O2" s="98" t="s">
        <v>1607</v>
      </c>
      <c r="P2" s="98" t="s">
        <v>1614</v>
      </c>
      <c r="Q2" s="98" t="s">
        <v>215</v>
      </c>
      <c r="R2" s="98" t="s">
        <v>227</v>
      </c>
      <c r="S2" s="98" t="s">
        <v>239</v>
      </c>
      <c r="T2" s="98" t="s">
        <v>2751</v>
      </c>
      <c r="U2" s="98" t="s">
        <v>2752</v>
      </c>
      <c r="V2" s="98" t="s">
        <v>718</v>
      </c>
      <c r="W2" s="98" t="s">
        <v>724</v>
      </c>
      <c r="X2" s="98" t="s">
        <v>330</v>
      </c>
      <c r="Y2" s="98" t="s">
        <v>337</v>
      </c>
    </row>
    <row r="3" spans="2:25" x14ac:dyDescent="0.25">
      <c r="B3" s="51" t="s">
        <v>2554</v>
      </c>
      <c r="C3" s="51">
        <v>1</v>
      </c>
      <c r="D3" s="51" t="s">
        <v>2953</v>
      </c>
      <c r="E3" s="119">
        <v>45390</v>
      </c>
      <c r="F3" s="51">
        <v>1</v>
      </c>
      <c r="G3" s="122">
        <v>1</v>
      </c>
      <c r="H3" s="122" t="s">
        <v>2954</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c r="X3" s="51" t="s">
        <v>2614</v>
      </c>
      <c r="Y3" s="51" t="s">
        <v>2614</v>
      </c>
    </row>
    <row r="4" spans="2:25" x14ac:dyDescent="0.25">
      <c r="B4" s="51" t="s">
        <v>2556</v>
      </c>
      <c r="C4" s="51">
        <v>2</v>
      </c>
      <c r="D4" s="51" t="s">
        <v>2955</v>
      </c>
      <c r="E4" s="119">
        <v>45390</v>
      </c>
      <c r="F4" s="51">
        <v>1</v>
      </c>
      <c r="G4" s="122">
        <v>1</v>
      </c>
      <c r="H4" s="51" t="s">
        <v>2631</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c r="X4" s="51" t="s">
        <v>2614</v>
      </c>
      <c r="Y4" s="51" t="s">
        <v>2614</v>
      </c>
    </row>
    <row r="5" spans="2:25" x14ac:dyDescent="0.25">
      <c r="B5" s="51" t="s">
        <v>2558</v>
      </c>
      <c r="C5" s="51">
        <v>3</v>
      </c>
      <c r="D5" s="51" t="s">
        <v>2956</v>
      </c>
      <c r="E5" s="119">
        <v>45390</v>
      </c>
      <c r="F5" s="51">
        <v>1</v>
      </c>
      <c r="G5" s="122">
        <v>1</v>
      </c>
      <c r="H5" s="51" t="s">
        <v>2631</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t="s">
        <v>2614</v>
      </c>
      <c r="W5" s="51" t="s">
        <v>2614</v>
      </c>
      <c r="X5" s="51">
        <v>0</v>
      </c>
      <c r="Y5" s="51" t="s">
        <v>2614</v>
      </c>
    </row>
    <row r="6" spans="2:25" x14ac:dyDescent="0.25">
      <c r="B6" s="51" t="s">
        <v>2560</v>
      </c>
      <c r="C6" s="51">
        <v>4</v>
      </c>
      <c r="D6" s="51" t="s">
        <v>2618</v>
      </c>
      <c r="E6" s="119" t="s">
        <v>2614</v>
      </c>
      <c r="F6" s="51">
        <v>1</v>
      </c>
      <c r="G6" s="119" t="s">
        <v>2614</v>
      </c>
      <c r="H6" s="51" t="s">
        <v>2631</v>
      </c>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c r="V6" s="51" t="s">
        <v>2614</v>
      </c>
      <c r="W6" s="51" t="s">
        <v>2614</v>
      </c>
      <c r="X6" s="51" t="s">
        <v>2614</v>
      </c>
      <c r="Y6" s="51" t="s">
        <v>2614</v>
      </c>
    </row>
    <row r="7" spans="2:25" x14ac:dyDescent="0.25">
      <c r="B7" s="51" t="s">
        <v>2562</v>
      </c>
      <c r="C7" s="51">
        <v>5</v>
      </c>
      <c r="D7" s="51" t="s">
        <v>2618</v>
      </c>
      <c r="E7" s="119" t="s">
        <v>2614</v>
      </c>
      <c r="F7" s="51">
        <v>1</v>
      </c>
      <c r="G7" s="119" t="s">
        <v>2614</v>
      </c>
      <c r="H7" s="51" t="s">
        <v>2631</v>
      </c>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c r="X7" s="51" t="s">
        <v>2614</v>
      </c>
      <c r="Y7" s="51" t="s">
        <v>2614</v>
      </c>
    </row>
    <row r="8" spans="2:25" x14ac:dyDescent="0.25">
      <c r="B8" s="51" t="s">
        <v>2563</v>
      </c>
      <c r="C8" s="51">
        <v>6</v>
      </c>
      <c r="D8" s="51" t="s">
        <v>2957</v>
      </c>
      <c r="E8" s="119">
        <v>45390</v>
      </c>
      <c r="F8" s="51">
        <v>1</v>
      </c>
      <c r="G8" s="51" cm="1">
        <f t="array" ref="G8">SUMPRODUCT(--(I8:Y8&gt;0))/COUNTA(I8:Y8)</f>
        <v>1</v>
      </c>
      <c r="H8" s="51" t="s">
        <v>2631</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x14ac:dyDescent="0.25">
      <c r="B9" s="51" t="s">
        <v>2566</v>
      </c>
      <c r="C9" s="51">
        <v>7</v>
      </c>
      <c r="D9" s="51" t="s">
        <v>2958</v>
      </c>
      <c r="E9" s="119">
        <v>45390</v>
      </c>
      <c r="F9" s="51">
        <v>1</v>
      </c>
      <c r="G9" s="51" cm="1">
        <f t="array" ref="G9">SUMPRODUCT(--(I9:Y9&lt;=I26:Y26))/COUNTA(I26:Y26)</f>
        <v>1</v>
      </c>
      <c r="H9" s="51" t="s">
        <v>2631</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x14ac:dyDescent="0.25">
      <c r="B10" s="51" t="s">
        <v>2569</v>
      </c>
      <c r="C10" s="51">
        <v>8</v>
      </c>
      <c r="D10" s="51" t="s">
        <v>2959</v>
      </c>
      <c r="E10" s="119">
        <v>45390</v>
      </c>
      <c r="F10" s="51">
        <v>1</v>
      </c>
      <c r="G10" s="119" t="s">
        <v>2614</v>
      </c>
      <c r="H10" s="51" t="s">
        <v>2631</v>
      </c>
      <c r="I10" s="51">
        <v>89</v>
      </c>
      <c r="J10" s="51">
        <v>19950000013</v>
      </c>
      <c r="K10" s="51" t="e">
        <v>#N/A</v>
      </c>
      <c r="L10" s="51" t="e">
        <v>#N/A</v>
      </c>
      <c r="M10" s="51">
        <v>7.7800000002008096E+21</v>
      </c>
      <c r="N10" s="51" t="e">
        <v>#N/A</v>
      </c>
      <c r="O10" s="51" t="e">
        <v>#N/A</v>
      </c>
      <c r="P10" s="51">
        <v>7.7800000002008096E+21</v>
      </c>
      <c r="Q10" s="119">
        <v>32265</v>
      </c>
      <c r="R10" s="119">
        <v>36556</v>
      </c>
      <c r="S10" s="51" t="s">
        <v>2960</v>
      </c>
      <c r="T10" s="119" t="s">
        <v>2616</v>
      </c>
      <c r="U10" s="119" t="s">
        <v>2616</v>
      </c>
      <c r="V10" s="51" t="s">
        <v>2622</v>
      </c>
      <c r="W10" s="119" t="s">
        <v>2626</v>
      </c>
      <c r="X10" s="119">
        <v>45390</v>
      </c>
      <c r="Y10" s="51" t="s">
        <v>2961</v>
      </c>
    </row>
    <row r="11" spans="2:25" x14ac:dyDescent="0.25">
      <c r="B11" s="51" t="s">
        <v>2571</v>
      </c>
      <c r="C11" s="51">
        <v>9</v>
      </c>
      <c r="D11" s="51" t="s">
        <v>2962</v>
      </c>
      <c r="E11" s="119">
        <v>45390</v>
      </c>
      <c r="F11" s="51">
        <v>1</v>
      </c>
      <c r="G11" s="119" t="s">
        <v>2614</v>
      </c>
      <c r="H11" s="51" t="s">
        <v>2631</v>
      </c>
      <c r="I11" s="51">
        <v>31</v>
      </c>
      <c r="J11" s="51">
        <v>19950000013</v>
      </c>
      <c r="K11" s="51"/>
      <c r="L11" s="51" t="e">
        <v>#N/A</v>
      </c>
      <c r="M11" s="51">
        <v>7.7800000002008096E+21</v>
      </c>
      <c r="N11" s="51"/>
      <c r="O11" s="51" t="e">
        <v>#N/A</v>
      </c>
      <c r="P11" s="51">
        <v>7.7800000002008096E+21</v>
      </c>
      <c r="Q11" s="119">
        <v>32265</v>
      </c>
      <c r="R11" s="119">
        <v>36556</v>
      </c>
      <c r="S11" s="51" t="s">
        <v>2960</v>
      </c>
      <c r="T11" s="119" t="s">
        <v>2616</v>
      </c>
      <c r="U11" s="119" t="s">
        <v>2631</v>
      </c>
      <c r="V11" s="51">
        <v>5</v>
      </c>
      <c r="W11" s="119" t="s">
        <v>2634</v>
      </c>
      <c r="X11" s="119">
        <v>45390</v>
      </c>
      <c r="Y11" s="51" t="s">
        <v>2963</v>
      </c>
    </row>
    <row r="12" spans="2:25" s="208" customFormat="1" x14ac:dyDescent="0.25">
      <c r="B12" s="207" t="s">
        <v>2573</v>
      </c>
      <c r="C12" s="207" t="s">
        <v>2964</v>
      </c>
      <c r="D12" s="207" t="s">
        <v>2965</v>
      </c>
      <c r="E12" s="119">
        <v>45390</v>
      </c>
      <c r="F12" s="51">
        <v>1</v>
      </c>
      <c r="G12" s="119" t="s">
        <v>2614</v>
      </c>
      <c r="H12" s="207" t="s">
        <v>2631</v>
      </c>
      <c r="I12" s="207" t="s">
        <v>2966</v>
      </c>
      <c r="J12" s="207" t="s">
        <v>2967</v>
      </c>
      <c r="K12" s="207" t="s">
        <v>2968</v>
      </c>
      <c r="L12" s="207" t="s">
        <v>2969</v>
      </c>
      <c r="M12" s="207" t="s">
        <v>2970</v>
      </c>
      <c r="N12" s="207" t="s">
        <v>2968</v>
      </c>
      <c r="O12" s="207" t="s">
        <v>2969</v>
      </c>
      <c r="P12" s="207" t="s">
        <v>2970</v>
      </c>
      <c r="Q12" s="207" t="s">
        <v>2971</v>
      </c>
      <c r="R12" s="207" t="s">
        <v>2972</v>
      </c>
      <c r="S12" s="207" t="s">
        <v>2973</v>
      </c>
      <c r="T12" s="207" t="s">
        <v>2974</v>
      </c>
      <c r="U12" s="207" t="s">
        <v>2975</v>
      </c>
      <c r="V12" s="207" t="s">
        <v>2622</v>
      </c>
      <c r="W12" s="207" t="s">
        <v>2626</v>
      </c>
      <c r="X12" s="207" t="s">
        <v>2976</v>
      </c>
      <c r="Y12" s="207" t="s">
        <v>2961</v>
      </c>
    </row>
    <row r="13" spans="2:25" s="208" customFormat="1" x14ac:dyDescent="0.25">
      <c r="B13" s="207" t="s">
        <v>2575</v>
      </c>
      <c r="C13" s="207" t="s">
        <v>2977</v>
      </c>
      <c r="D13" s="207" t="s">
        <v>2978</v>
      </c>
      <c r="E13" s="119">
        <v>45390</v>
      </c>
      <c r="F13" s="51">
        <v>1</v>
      </c>
      <c r="G13" s="119" t="s">
        <v>2614</v>
      </c>
      <c r="H13" s="207" t="s">
        <v>2631</v>
      </c>
      <c r="I13" s="207" t="s">
        <v>2968</v>
      </c>
      <c r="J13" s="207" t="s">
        <v>2967</v>
      </c>
      <c r="K13" s="207" t="s">
        <v>2979</v>
      </c>
      <c r="L13" s="207" t="s">
        <v>2969</v>
      </c>
      <c r="M13" s="207" t="s">
        <v>2970</v>
      </c>
      <c r="N13" s="207" t="s">
        <v>2979</v>
      </c>
      <c r="O13" s="207" t="s">
        <v>2969</v>
      </c>
      <c r="P13" s="207" t="s">
        <v>2970</v>
      </c>
      <c r="Q13" s="207" t="s">
        <v>2971</v>
      </c>
      <c r="R13" s="207" t="s">
        <v>2972</v>
      </c>
      <c r="S13" s="207" t="s">
        <v>2973</v>
      </c>
      <c r="T13" s="207" t="s">
        <v>2974</v>
      </c>
      <c r="U13" s="207" t="s">
        <v>2980</v>
      </c>
      <c r="V13" s="207" t="s">
        <v>2981</v>
      </c>
      <c r="W13" s="207" t="s">
        <v>2634</v>
      </c>
      <c r="X13" s="207" t="s">
        <v>2976</v>
      </c>
      <c r="Y13" s="207" t="s">
        <v>2982</v>
      </c>
    </row>
    <row r="14" spans="2:25" x14ac:dyDescent="0.25">
      <c r="B14" s="51" t="s">
        <v>2577</v>
      </c>
      <c r="C14" s="51">
        <v>12</v>
      </c>
      <c r="D14" s="51" t="s">
        <v>2983</v>
      </c>
      <c r="E14" s="119">
        <v>45390</v>
      </c>
      <c r="F14" s="51">
        <v>1</v>
      </c>
      <c r="G14" s="51" t="s">
        <v>2984</v>
      </c>
      <c r="H14" s="51" t="s">
        <v>2631</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x14ac:dyDescent="0.25">
      <c r="B15" s="51" t="s">
        <v>2579</v>
      </c>
      <c r="C15" s="51">
        <v>13</v>
      </c>
      <c r="D15" s="51" t="s">
        <v>2985</v>
      </c>
      <c r="E15" s="119">
        <v>45390</v>
      </c>
      <c r="F15" s="51">
        <v>1</v>
      </c>
      <c r="G15" s="122" t="s">
        <v>2933</v>
      </c>
      <c r="H15" s="51" t="s">
        <v>2631</v>
      </c>
      <c r="I15" s="51" t="s">
        <v>2614</v>
      </c>
      <c r="J15" s="51" t="s">
        <v>2614</v>
      </c>
      <c r="K15" s="51" t="s">
        <v>2614</v>
      </c>
      <c r="L15" s="51" t="s">
        <v>2614</v>
      </c>
      <c r="M15" s="51" t="s">
        <v>2614</v>
      </c>
      <c r="N15" s="51" t="s">
        <v>2614</v>
      </c>
      <c r="O15" s="51" t="s">
        <v>2614</v>
      </c>
      <c r="P15" s="51" t="s">
        <v>2614</v>
      </c>
      <c r="Q15" s="51">
        <v>0</v>
      </c>
      <c r="R15" s="51">
        <v>0</v>
      </c>
      <c r="S15" s="51" t="s">
        <v>2614</v>
      </c>
      <c r="T15" s="51" t="s">
        <v>2614</v>
      </c>
      <c r="U15" s="51" t="s">
        <v>2614</v>
      </c>
      <c r="V15" s="51" t="s">
        <v>2614</v>
      </c>
      <c r="W15" s="51" t="s">
        <v>2614</v>
      </c>
      <c r="X15" s="51" t="s">
        <v>2614</v>
      </c>
      <c r="Y15" s="51" t="s">
        <v>2614</v>
      </c>
    </row>
    <row r="16" spans="2:25" x14ac:dyDescent="0.25">
      <c r="B16" s="51" t="s">
        <v>2581</v>
      </c>
      <c r="C16" s="51">
        <v>14</v>
      </c>
      <c r="D16" s="51" t="s">
        <v>2986</v>
      </c>
      <c r="E16" s="119">
        <v>45390</v>
      </c>
      <c r="F16" s="51">
        <v>1</v>
      </c>
      <c r="G16" s="122" t="s">
        <v>2933</v>
      </c>
      <c r="H16" s="51" t="s">
        <v>2631</v>
      </c>
      <c r="I16" s="51" t="s">
        <v>2614</v>
      </c>
      <c r="J16" s="51" t="s">
        <v>2614</v>
      </c>
      <c r="K16" s="51" t="s">
        <v>2614</v>
      </c>
      <c r="L16" s="51" t="s">
        <v>2614</v>
      </c>
      <c r="M16" s="51" t="s">
        <v>2614</v>
      </c>
      <c r="N16" s="51" t="s">
        <v>2614</v>
      </c>
      <c r="O16" s="51" t="s">
        <v>2614</v>
      </c>
      <c r="P16" s="51" t="s">
        <v>2614</v>
      </c>
      <c r="Q16" s="51" t="s">
        <v>2614</v>
      </c>
      <c r="R16" s="51" t="s">
        <v>2614</v>
      </c>
      <c r="S16" s="51" t="s">
        <v>2614</v>
      </c>
      <c r="T16" s="51" t="s">
        <v>2614</v>
      </c>
      <c r="U16" s="51" t="s">
        <v>2614</v>
      </c>
      <c r="V16" s="51" t="s">
        <v>2614</v>
      </c>
      <c r="W16" s="51" t="s">
        <v>2614</v>
      </c>
      <c r="X16" s="51" t="s">
        <v>2614</v>
      </c>
      <c r="Y16" s="51" t="s">
        <v>2614</v>
      </c>
    </row>
    <row r="17" spans="2:25" x14ac:dyDescent="0.25">
      <c r="B17" s="51" t="s">
        <v>2987</v>
      </c>
      <c r="C17" s="51">
        <v>15</v>
      </c>
      <c r="D17" s="51" t="s">
        <v>2988</v>
      </c>
      <c r="E17" s="119">
        <v>45390</v>
      </c>
      <c r="F17" s="51">
        <v>1</v>
      </c>
      <c r="G17" s="122">
        <v>1</v>
      </c>
      <c r="H17" s="122">
        <v>0</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c r="V17" s="51" t="s">
        <v>2614</v>
      </c>
      <c r="W17" s="51" t="s">
        <v>2614</v>
      </c>
      <c r="X17" s="51" t="s">
        <v>2614</v>
      </c>
      <c r="Y17" s="51" t="s">
        <v>2614</v>
      </c>
    </row>
    <row r="18" spans="2:25" x14ac:dyDescent="0.25">
      <c r="B18" s="51" t="s">
        <v>2989</v>
      </c>
      <c r="C18" s="51">
        <v>16</v>
      </c>
      <c r="D18" s="51" t="s">
        <v>2988</v>
      </c>
      <c r="E18" s="119">
        <v>45390</v>
      </c>
      <c r="F18" s="51">
        <v>1</v>
      </c>
      <c r="G18" s="122">
        <v>1</v>
      </c>
      <c r="H18" s="122">
        <v>0</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c r="X18" s="51" t="s">
        <v>2614</v>
      </c>
      <c r="Y18" s="51" t="s">
        <v>2614</v>
      </c>
    </row>
    <row r="19" spans="2:25" x14ac:dyDescent="0.25">
      <c r="B19" s="51" t="s">
        <v>2591</v>
      </c>
      <c r="C19" s="51">
        <v>19</v>
      </c>
      <c r="D19" s="51" t="s">
        <v>2990</v>
      </c>
      <c r="E19" s="119">
        <v>45390</v>
      </c>
      <c r="F19" s="51">
        <v>1</v>
      </c>
      <c r="G19" s="122" cm="1">
        <f t="array" ref="G19">SUMPRODUCT(--(ISNUMBER((SEARCH(I25:W25,I19:W19)))))/COUNTA(I19:W19)</f>
        <v>0.8666666666666667</v>
      </c>
      <c r="H19" s="51" t="s">
        <v>2631</v>
      </c>
      <c r="I19" s="51" t="s">
        <v>2654</v>
      </c>
      <c r="J19" s="51" t="s">
        <v>2654</v>
      </c>
      <c r="K19" s="51" t="s">
        <v>2654</v>
      </c>
      <c r="L19" s="51" t="s">
        <v>2654</v>
      </c>
      <c r="M19" s="51" t="s">
        <v>2654</v>
      </c>
      <c r="N19" s="51" t="s">
        <v>2654</v>
      </c>
      <c r="O19" s="51" t="s">
        <v>2654</v>
      </c>
      <c r="P19" s="51" t="s">
        <v>2654</v>
      </c>
      <c r="Q19" s="51" t="s">
        <v>2951</v>
      </c>
      <c r="R19" s="51" t="s">
        <v>2951</v>
      </c>
      <c r="S19" s="51" t="s">
        <v>2654</v>
      </c>
      <c r="T19" s="51" t="s">
        <v>2655</v>
      </c>
      <c r="U19" s="51" t="s">
        <v>2655</v>
      </c>
      <c r="V19" s="51" t="s">
        <v>2654</v>
      </c>
      <c r="W19" s="51" t="s">
        <v>2654</v>
      </c>
      <c r="X19" s="51" t="s">
        <v>2654</v>
      </c>
      <c r="Y19" s="51" t="s">
        <v>2656</v>
      </c>
    </row>
    <row r="20" spans="2:25" x14ac:dyDescent="0.25">
      <c r="B20" s="51" t="s">
        <v>2594</v>
      </c>
      <c r="C20" s="51">
        <v>20</v>
      </c>
      <c r="D20" s="51" t="s">
        <v>2991</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x14ac:dyDescent="0.25">
      <c r="B21" s="51" t="s">
        <v>2597</v>
      </c>
      <c r="C21" s="51">
        <v>21</v>
      </c>
      <c r="D21" s="51" t="s">
        <v>2991</v>
      </c>
      <c r="E21" s="119">
        <v>45390</v>
      </c>
      <c r="F21" s="51">
        <v>1</v>
      </c>
      <c r="G21" s="51" cm="1">
        <f t="array" ref="G21">SUM(IF(IF(G3:G20="null",1,G3:G20)=1,1,0))/COUNT(IF(G3:G20="null",1,1))</f>
        <v>0.72222222222222221</v>
      </c>
      <c r="H21" s="51"/>
      <c r="I21" s="51"/>
      <c r="J21" s="51"/>
      <c r="K21" s="51"/>
      <c r="L21" s="51"/>
      <c r="M21" s="51"/>
      <c r="N21" s="51"/>
      <c r="O21" s="51"/>
      <c r="P21" s="51"/>
      <c r="Q21" s="51"/>
      <c r="R21" s="51"/>
      <c r="S21" s="51"/>
      <c r="T21" s="51"/>
      <c r="U21" s="51"/>
      <c r="V21" s="51"/>
      <c r="W21" s="51"/>
      <c r="X21" s="51"/>
      <c r="Y21" s="51"/>
    </row>
    <row r="22" spans="2:25" x14ac:dyDescent="0.25">
      <c r="B22" s="51"/>
      <c r="C22" s="51"/>
      <c r="D22" s="51"/>
      <c r="E22" s="119"/>
      <c r="F22" s="51"/>
      <c r="G22" s="51"/>
      <c r="H22" s="51"/>
      <c r="I22" s="51" t="s">
        <v>2992</v>
      </c>
      <c r="J22" s="51"/>
      <c r="K22" s="51"/>
      <c r="L22" s="51"/>
      <c r="M22" s="51"/>
      <c r="N22" s="51"/>
      <c r="O22" s="51"/>
      <c r="P22" s="51"/>
      <c r="Q22" s="51"/>
      <c r="R22" s="51"/>
      <c r="S22" s="51"/>
      <c r="T22" s="51"/>
      <c r="U22" s="51"/>
      <c r="V22" s="51"/>
      <c r="W22" s="51"/>
      <c r="X22" s="51"/>
      <c r="Y22" s="51"/>
    </row>
    <row r="23" spans="2:25" x14ac:dyDescent="0.25">
      <c r="B23" s="151" t="s">
        <v>2657</v>
      </c>
    </row>
    <row r="24" spans="2:25" x14ac:dyDescent="0.25">
      <c r="B24" s="157" t="s">
        <v>2658</v>
      </c>
      <c r="C24" s="153" t="s">
        <v>2601</v>
      </c>
      <c r="D24" s="153" t="s">
        <v>2602</v>
      </c>
      <c r="E24" s="153" t="s">
        <v>2603</v>
      </c>
      <c r="F24" s="153" t="s">
        <v>2604</v>
      </c>
      <c r="G24" s="153" t="s">
        <v>2605</v>
      </c>
      <c r="H24" s="153" t="s">
        <v>2606</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x14ac:dyDescent="0.25">
      <c r="B25" s="131" t="s">
        <v>2659</v>
      </c>
      <c r="C25" s="134">
        <v>16</v>
      </c>
      <c r="D25" s="128" t="s">
        <v>2660</v>
      </c>
      <c r="E25" s="127" t="s">
        <v>2661</v>
      </c>
      <c r="F25" s="127" t="s">
        <v>351</v>
      </c>
      <c r="G25" s="127" t="s">
        <v>351</v>
      </c>
      <c r="H25" s="127" t="s">
        <v>351</v>
      </c>
      <c r="I25" s="127" t="str" cm="1">
        <f t="array" ref="I25:Y26">TRANSPOSE(_xlfn.SORTBY(_xlfn._xlws.FILTER(IF(Table3[FORMATO]:Table3[COMP_ CAMPO]&lt;&gt;"",Table3[FORMATO]:Table3[COMP_ CAMPO],9999999),Table3[NOME FÍSICO TABELA]="factoring_process"), _xlfn._xlws.FILTER(Table3[ORDEM], Table3[NOME FÍSICO TABELA]="factoring_process"),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DECIMAL</v>
      </c>
      <c r="U25" s="127" t="str">
        <v>DECIMAL</v>
      </c>
      <c r="V25" s="127" t="str">
        <v>STRING</v>
      </c>
      <c r="W25" s="127" t="str">
        <v>STRING</v>
      </c>
      <c r="X25" s="127" t="str">
        <v>STRING</v>
      </c>
      <c r="Y25" s="127" t="str">
        <v>TIMESTAMP</v>
      </c>
    </row>
    <row r="26" spans="2:25" x14ac:dyDescent="0.25">
      <c r="B26" s="131" t="s">
        <v>2662</v>
      </c>
      <c r="C26" s="134">
        <v>7</v>
      </c>
      <c r="D26" s="128" t="s">
        <v>2660</v>
      </c>
      <c r="E26" s="127" t="s">
        <v>2661</v>
      </c>
      <c r="F26" s="129" t="s">
        <v>351</v>
      </c>
      <c r="G26" s="129" t="s">
        <v>351</v>
      </c>
      <c r="H26" s="129" t="s">
        <v>351</v>
      </c>
      <c r="I26" s="175">
        <v>4</v>
      </c>
      <c r="J26" s="175">
        <v>15</v>
      </c>
      <c r="K26" s="175">
        <v>4</v>
      </c>
      <c r="L26" s="175">
        <v>30</v>
      </c>
      <c r="M26" s="175">
        <v>34</v>
      </c>
      <c r="N26" s="175">
        <v>4</v>
      </c>
      <c r="O26" s="175">
        <v>30</v>
      </c>
      <c r="P26" s="175">
        <v>34</v>
      </c>
      <c r="Q26" s="175">
        <v>10</v>
      </c>
      <c r="R26" s="175">
        <v>10</v>
      </c>
      <c r="S26" s="175">
        <v>3</v>
      </c>
      <c r="T26" s="175">
        <v>23</v>
      </c>
      <c r="U26" s="175">
        <v>23</v>
      </c>
      <c r="V26" s="175">
        <v>3</v>
      </c>
      <c r="W26" s="175">
        <v>3</v>
      </c>
      <c r="X26" s="175">
        <v>10</v>
      </c>
      <c r="Y26" s="175">
        <v>23</v>
      </c>
    </row>
    <row r="28" spans="2:25" x14ac:dyDescent="0.25">
      <c r="B28" s="164" t="s">
        <v>2663</v>
      </c>
    </row>
    <row r="29" spans="2:25" x14ac:dyDescent="0.25">
      <c r="B29" s="158" t="s">
        <v>2664</v>
      </c>
      <c r="C29" s="158" t="s">
        <v>2665</v>
      </c>
      <c r="D29" s="159" t="s">
        <v>2666</v>
      </c>
      <c r="E29" s="158" t="s">
        <v>2667</v>
      </c>
      <c r="F29" s="158" t="s">
        <v>2668</v>
      </c>
    </row>
    <row r="30" spans="2:25" ht="45" x14ac:dyDescent="0.25">
      <c r="B30" s="205" t="s">
        <v>2734</v>
      </c>
      <c r="C30" s="206" t="s">
        <v>194</v>
      </c>
      <c r="D30" s="58" t="s">
        <v>2993</v>
      </c>
      <c r="E30" s="121" t="s">
        <v>2994</v>
      </c>
      <c r="F30" s="160" t="s">
        <v>2672</v>
      </c>
    </row>
    <row r="31" spans="2:25" ht="45" x14ac:dyDescent="0.25">
      <c r="B31" s="205" t="s">
        <v>2734</v>
      </c>
      <c r="C31" s="206" t="s">
        <v>204</v>
      </c>
      <c r="D31" s="58" t="s">
        <v>2993</v>
      </c>
      <c r="E31" s="121" t="s">
        <v>2994</v>
      </c>
      <c r="F31" s="160" t="s">
        <v>2672</v>
      </c>
    </row>
    <row r="32" spans="2:25" ht="45" x14ac:dyDescent="0.25">
      <c r="B32" s="205" t="s">
        <v>2734</v>
      </c>
      <c r="C32" s="146" t="s">
        <v>1594</v>
      </c>
      <c r="D32" s="58" t="s">
        <v>2993</v>
      </c>
      <c r="E32" s="121" t="s">
        <v>2994</v>
      </c>
      <c r="F32" s="160" t="s">
        <v>2672</v>
      </c>
    </row>
    <row r="33" spans="2:16" ht="45" x14ac:dyDescent="0.25">
      <c r="B33" s="205" t="s">
        <v>2734</v>
      </c>
      <c r="C33" s="146" t="s">
        <v>1601</v>
      </c>
      <c r="D33" s="58" t="s">
        <v>2993</v>
      </c>
      <c r="E33" s="121" t="s">
        <v>2994</v>
      </c>
      <c r="F33" s="160" t="s">
        <v>2672</v>
      </c>
    </row>
    <row r="34" spans="2:16" ht="45" x14ac:dyDescent="0.25">
      <c r="B34" s="205" t="s">
        <v>2734</v>
      </c>
      <c r="C34" s="146" t="s">
        <v>1607</v>
      </c>
      <c r="D34" s="58" t="s">
        <v>2993</v>
      </c>
      <c r="E34" s="121" t="s">
        <v>2994</v>
      </c>
      <c r="F34" s="160" t="s">
        <v>2672</v>
      </c>
    </row>
    <row r="35" spans="2:16" ht="45" x14ac:dyDescent="0.25">
      <c r="B35" s="205" t="s">
        <v>2734</v>
      </c>
      <c r="C35" s="146" t="s">
        <v>1614</v>
      </c>
      <c r="D35" s="58" t="s">
        <v>2993</v>
      </c>
      <c r="E35" s="121" t="s">
        <v>2994</v>
      </c>
      <c r="F35" s="160" t="s">
        <v>2672</v>
      </c>
    </row>
    <row r="38" spans="2:16" x14ac:dyDescent="0.25">
      <c r="I38" s="182"/>
      <c r="J38" s="182"/>
      <c r="K38" s="182"/>
      <c r="L38" s="182"/>
      <c r="M38" s="182"/>
      <c r="N38" s="182"/>
      <c r="O38" s="182"/>
      <c r="P38" s="182"/>
    </row>
    <row r="39" spans="2:16" x14ac:dyDescent="0.25">
      <c r="I39" s="182"/>
      <c r="J39" s="182"/>
      <c r="K39" s="182"/>
      <c r="L39" s="182"/>
      <c r="M39" s="182"/>
      <c r="N39" s="182"/>
      <c r="O39" s="182"/>
      <c r="P39" s="18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8413-3E0F-43C1-875A-8A7AFC29182B}">
  <sheetPr>
    <tabColor rgb="FF00B050"/>
  </sheetPr>
  <dimension ref="B1:AD54"/>
  <sheetViews>
    <sheetView showGridLines="0" topLeftCell="D1" workbookViewId="0">
      <selection activeCell="G8" sqref="G8:G9"/>
    </sheetView>
  </sheetViews>
  <sheetFormatPr defaultRowHeight="15" x14ac:dyDescent="0.2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x14ac:dyDescent="0.25"/>
    <row r="2" spans="2:30" x14ac:dyDescent="0.25">
      <c r="B2" s="98" t="s">
        <v>2658</v>
      </c>
      <c r="C2" s="98" t="s">
        <v>2601</v>
      </c>
      <c r="D2" s="98" t="s">
        <v>2602</v>
      </c>
      <c r="E2" s="98" t="s">
        <v>2603</v>
      </c>
      <c r="F2" s="98" t="s">
        <v>2604</v>
      </c>
      <c r="G2" s="98" t="s">
        <v>2605</v>
      </c>
      <c r="H2" s="98" t="s">
        <v>2606</v>
      </c>
      <c r="I2" s="98" t="s">
        <v>445</v>
      </c>
      <c r="J2" s="98" t="s">
        <v>138</v>
      </c>
      <c r="K2" s="98" t="s">
        <v>153</v>
      </c>
      <c r="L2" s="98" t="s">
        <v>465</v>
      </c>
      <c r="M2" s="98" t="s">
        <v>477</v>
      </c>
      <c r="N2" s="98" t="s">
        <v>482</v>
      </c>
      <c r="O2" s="98" t="s">
        <v>489</v>
      </c>
      <c r="P2" s="98" t="s">
        <v>495</v>
      </c>
      <c r="Q2" s="98" t="s">
        <v>504</v>
      </c>
      <c r="R2" s="98" t="s">
        <v>330</v>
      </c>
      <c r="S2" s="98" t="s">
        <v>337</v>
      </c>
    </row>
    <row r="3" spans="2:30" x14ac:dyDescent="0.25">
      <c r="B3" s="51" t="s">
        <v>2554</v>
      </c>
      <c r="C3" s="51">
        <v>1</v>
      </c>
      <c r="D3" s="51" t="s">
        <v>2995</v>
      </c>
      <c r="E3" s="119">
        <v>45471</v>
      </c>
      <c r="F3" s="51">
        <v>1</v>
      </c>
      <c r="G3" s="122">
        <v>1</v>
      </c>
      <c r="H3" s="210" t="s">
        <v>2996</v>
      </c>
      <c r="I3" s="51" t="s">
        <v>2614</v>
      </c>
      <c r="J3" s="51" t="s">
        <v>2614</v>
      </c>
      <c r="K3" s="51" t="s">
        <v>2614</v>
      </c>
      <c r="L3" s="51" t="s">
        <v>2614</v>
      </c>
      <c r="M3" s="51" t="s">
        <v>2614</v>
      </c>
      <c r="N3" s="51" t="s">
        <v>2614</v>
      </c>
      <c r="O3" s="51" t="s">
        <v>2614</v>
      </c>
      <c r="P3" s="51" t="s">
        <v>2614</v>
      </c>
      <c r="Q3" s="51" t="s">
        <v>2614</v>
      </c>
      <c r="R3" s="51" t="s">
        <v>2614</v>
      </c>
      <c r="S3" s="51" t="s">
        <v>2614</v>
      </c>
    </row>
    <row r="4" spans="2:30" x14ac:dyDescent="0.25">
      <c r="B4" s="51" t="s">
        <v>2556</v>
      </c>
      <c r="C4" s="51">
        <v>2</v>
      </c>
      <c r="D4" s="51" t="s">
        <v>2997</v>
      </c>
      <c r="E4" s="119">
        <v>45471</v>
      </c>
      <c r="F4" s="51">
        <v>1</v>
      </c>
      <c r="G4" s="122">
        <v>1</v>
      </c>
      <c r="H4" s="51" t="s">
        <v>2631</v>
      </c>
      <c r="I4" s="51" t="s">
        <v>2614</v>
      </c>
      <c r="J4" s="51" t="s">
        <v>2614</v>
      </c>
      <c r="K4" s="51" t="s">
        <v>2614</v>
      </c>
      <c r="L4" s="51" t="s">
        <v>2614</v>
      </c>
      <c r="M4" s="51" t="s">
        <v>2614</v>
      </c>
      <c r="N4" s="51" t="s">
        <v>2614</v>
      </c>
      <c r="O4" s="51" t="s">
        <v>2614</v>
      </c>
      <c r="P4" s="51" t="s">
        <v>2614</v>
      </c>
      <c r="Q4" s="51" t="s">
        <v>2614</v>
      </c>
      <c r="R4" s="51" t="s">
        <v>2614</v>
      </c>
      <c r="S4" s="51" t="s">
        <v>2614</v>
      </c>
    </row>
    <row r="5" spans="2:30" x14ac:dyDescent="0.25">
      <c r="B5" s="51" t="s">
        <v>2558</v>
      </c>
      <c r="C5" s="51">
        <v>3</v>
      </c>
      <c r="D5" s="51" t="s">
        <v>2998</v>
      </c>
      <c r="E5" s="119">
        <v>45471</v>
      </c>
      <c r="F5" s="51">
        <v>1</v>
      </c>
      <c r="G5" s="122">
        <v>1</v>
      </c>
      <c r="H5" s="51" t="s">
        <v>2631</v>
      </c>
      <c r="I5" s="51">
        <v>0</v>
      </c>
      <c r="J5" s="51" t="s">
        <v>2614</v>
      </c>
      <c r="K5" s="51" t="s">
        <v>2614</v>
      </c>
      <c r="L5" s="51" t="s">
        <v>2614</v>
      </c>
      <c r="M5" s="51" t="s">
        <v>2614</v>
      </c>
      <c r="N5" s="51" t="s">
        <v>2614</v>
      </c>
      <c r="O5" s="51" t="s">
        <v>2614</v>
      </c>
      <c r="P5" s="51" t="s">
        <v>2614</v>
      </c>
      <c r="Q5" s="51" t="s">
        <v>2614</v>
      </c>
      <c r="R5" s="51">
        <v>0</v>
      </c>
      <c r="S5" s="51" t="s">
        <v>2614</v>
      </c>
    </row>
    <row r="6" spans="2:30" x14ac:dyDescent="0.25">
      <c r="B6" s="51" t="s">
        <v>2560</v>
      </c>
      <c r="C6" s="51">
        <v>4</v>
      </c>
      <c r="D6" s="51" t="s">
        <v>2998</v>
      </c>
      <c r="E6" s="119" t="s">
        <v>2614</v>
      </c>
      <c r="F6" s="51">
        <v>1</v>
      </c>
      <c r="G6" s="119" t="s">
        <v>2614</v>
      </c>
      <c r="H6" s="51"/>
      <c r="I6" s="51" t="s">
        <v>2614</v>
      </c>
      <c r="J6" s="51" t="s">
        <v>2614</v>
      </c>
      <c r="K6" s="51" t="s">
        <v>2614</v>
      </c>
      <c r="L6" s="51" t="s">
        <v>2614</v>
      </c>
      <c r="M6" s="51" t="s">
        <v>2614</v>
      </c>
      <c r="N6" s="51" t="s">
        <v>2614</v>
      </c>
      <c r="O6" s="51" t="s">
        <v>2614</v>
      </c>
      <c r="P6" s="51" t="s">
        <v>2614</v>
      </c>
      <c r="Q6" s="51" t="s">
        <v>2614</v>
      </c>
      <c r="R6" s="51" t="s">
        <v>2614</v>
      </c>
      <c r="S6" s="51" t="s">
        <v>2614</v>
      </c>
    </row>
    <row r="7" spans="2:30" x14ac:dyDescent="0.25">
      <c r="B7" s="51" t="s">
        <v>2562</v>
      </c>
      <c r="C7" s="51">
        <v>5</v>
      </c>
      <c r="D7" s="51" t="s">
        <v>2998</v>
      </c>
      <c r="E7" s="119" t="s">
        <v>2614</v>
      </c>
      <c r="F7" s="51">
        <v>1</v>
      </c>
      <c r="G7" s="119" t="s">
        <v>2614</v>
      </c>
      <c r="H7" s="51"/>
      <c r="I7" s="51" t="s">
        <v>2614</v>
      </c>
      <c r="J7" s="51" t="s">
        <v>2614</v>
      </c>
      <c r="K7" s="51" t="s">
        <v>2614</v>
      </c>
      <c r="L7" s="51" t="s">
        <v>2614</v>
      </c>
      <c r="M7" s="51" t="s">
        <v>2614</v>
      </c>
      <c r="N7" s="51" t="s">
        <v>2614</v>
      </c>
      <c r="O7" s="51" t="s">
        <v>2614</v>
      </c>
      <c r="P7" s="51" t="s">
        <v>2614</v>
      </c>
      <c r="Q7" s="51" t="s">
        <v>2614</v>
      </c>
      <c r="R7" s="51" t="s">
        <v>2614</v>
      </c>
      <c r="S7" s="51" t="s">
        <v>2614</v>
      </c>
    </row>
    <row r="8" spans="2:30" x14ac:dyDescent="0.25">
      <c r="B8" s="121" t="s">
        <v>2563</v>
      </c>
      <c r="C8" s="51">
        <v>6</v>
      </c>
      <c r="D8" s="51" t="s">
        <v>2999</v>
      </c>
      <c r="E8" s="119">
        <v>45471</v>
      </c>
      <c r="F8" s="51">
        <v>1</v>
      </c>
      <c r="G8" s="51" cm="1">
        <f t="array" ref="G8">SUMPRODUCT(--(I8:S8&gt;0))/COUNTA(I8:S8)</f>
        <v>1</v>
      </c>
      <c r="H8" s="51" t="s">
        <v>2631</v>
      </c>
      <c r="I8" s="51">
        <v>3</v>
      </c>
      <c r="J8" s="51">
        <v>2</v>
      </c>
      <c r="K8" s="51">
        <v>30</v>
      </c>
      <c r="L8" s="51">
        <v>7</v>
      </c>
      <c r="M8" s="51">
        <v>7</v>
      </c>
      <c r="N8" s="51">
        <v>10</v>
      </c>
      <c r="O8" s="51">
        <v>10</v>
      </c>
      <c r="P8" s="51">
        <v>3</v>
      </c>
      <c r="Q8" s="51">
        <v>1</v>
      </c>
      <c r="R8" s="51">
        <v>10</v>
      </c>
      <c r="S8" s="51">
        <v>23</v>
      </c>
    </row>
    <row r="9" spans="2:30" x14ac:dyDescent="0.25">
      <c r="B9" s="51" t="s">
        <v>2566</v>
      </c>
      <c r="C9" s="51">
        <v>7</v>
      </c>
      <c r="D9" s="51" t="s">
        <v>3000</v>
      </c>
      <c r="E9" s="119">
        <v>45471</v>
      </c>
      <c r="F9" s="51">
        <v>1</v>
      </c>
      <c r="G9" s="51" cm="1">
        <f t="array" ref="G9">SUMPRODUCT(--(I9:S9&lt;=I28:S28))/COUNTA(I28:S28)</f>
        <v>1</v>
      </c>
      <c r="H9" s="51" t="s">
        <v>2631</v>
      </c>
      <c r="I9" s="51">
        <v>5</v>
      </c>
      <c r="J9" s="51">
        <v>2</v>
      </c>
      <c r="K9" s="51">
        <v>30</v>
      </c>
      <c r="L9" s="51">
        <v>7</v>
      </c>
      <c r="M9" s="51">
        <v>7</v>
      </c>
      <c r="N9" s="51">
        <v>10</v>
      </c>
      <c r="O9" s="51">
        <v>10</v>
      </c>
      <c r="P9" s="51">
        <v>3</v>
      </c>
      <c r="Q9" s="51">
        <v>238</v>
      </c>
      <c r="R9" s="51">
        <v>10</v>
      </c>
      <c r="S9" s="51">
        <v>23</v>
      </c>
    </row>
    <row r="10" spans="2:30" ht="30" x14ac:dyDescent="0.25">
      <c r="B10" s="51" t="s">
        <v>2569</v>
      </c>
      <c r="C10" s="51">
        <v>8</v>
      </c>
      <c r="D10" s="51" t="s">
        <v>3001</v>
      </c>
      <c r="E10" s="119">
        <v>45471</v>
      </c>
      <c r="F10" s="51">
        <v>1</v>
      </c>
      <c r="G10" s="119" t="s">
        <v>2614</v>
      </c>
      <c r="H10" s="51" t="s">
        <v>2631</v>
      </c>
      <c r="I10" s="51">
        <v>201</v>
      </c>
      <c r="J10" s="51">
        <v>31</v>
      </c>
      <c r="K10" s="51">
        <v>7.0000079999999997E+21</v>
      </c>
      <c r="L10" s="51" t="s">
        <v>3002</v>
      </c>
      <c r="M10" s="51" t="s">
        <v>3002</v>
      </c>
      <c r="N10" s="120">
        <v>43047</v>
      </c>
      <c r="O10" s="120">
        <v>1</v>
      </c>
      <c r="P10" s="51">
        <v>201</v>
      </c>
      <c r="Q10" s="121" t="s">
        <v>3003</v>
      </c>
      <c r="R10" s="119">
        <v>45471</v>
      </c>
      <c r="S10" s="51" t="s">
        <v>3004</v>
      </c>
    </row>
    <row r="11" spans="2:30" ht="30" x14ac:dyDescent="0.25">
      <c r="B11" s="51" t="s">
        <v>2571</v>
      </c>
      <c r="C11" s="51">
        <v>9</v>
      </c>
      <c r="D11" s="51" t="s">
        <v>3005</v>
      </c>
      <c r="E11" s="119">
        <v>45471</v>
      </c>
      <c r="F11" s="51">
        <v>1</v>
      </c>
      <c r="G11" s="119" t="s">
        <v>2614</v>
      </c>
      <c r="H11" s="51" t="s">
        <v>2631</v>
      </c>
      <c r="I11" s="51">
        <v>201</v>
      </c>
      <c r="J11" s="51"/>
      <c r="K11" s="51">
        <v>7.0000079999999997E+21</v>
      </c>
      <c r="L11" s="51" t="s">
        <v>3002</v>
      </c>
      <c r="M11" s="51" t="s">
        <v>3002</v>
      </c>
      <c r="N11" s="120">
        <v>43047</v>
      </c>
      <c r="O11" s="120">
        <v>1</v>
      </c>
      <c r="P11" s="51">
        <v>201</v>
      </c>
      <c r="Q11" s="121" t="s">
        <v>3003</v>
      </c>
      <c r="R11" s="119">
        <v>45471</v>
      </c>
      <c r="S11" s="51" t="s">
        <v>3006</v>
      </c>
    </row>
    <row r="12" spans="2:30" x14ac:dyDescent="0.25">
      <c r="B12" s="121" t="s">
        <v>2573</v>
      </c>
      <c r="C12" s="51">
        <v>10</v>
      </c>
      <c r="D12" s="51" t="s">
        <v>3007</v>
      </c>
      <c r="E12" s="119">
        <v>45471</v>
      </c>
      <c r="F12" s="51">
        <v>1</v>
      </c>
      <c r="G12" s="119" t="s">
        <v>2614</v>
      </c>
      <c r="H12" s="51" t="s">
        <v>2631</v>
      </c>
      <c r="I12" s="51">
        <v>35585</v>
      </c>
      <c r="J12" s="51">
        <v>31</v>
      </c>
      <c r="K12" s="51">
        <v>8.0014189999999995E+24</v>
      </c>
      <c r="L12" s="51" t="s">
        <v>3008</v>
      </c>
      <c r="M12" s="51" t="s">
        <v>3008</v>
      </c>
      <c r="N12" s="120">
        <v>45471</v>
      </c>
      <c r="O12" s="120">
        <v>45471</v>
      </c>
      <c r="P12" s="51">
        <v>204</v>
      </c>
      <c r="Q12" s="121" t="s">
        <v>3009</v>
      </c>
      <c r="R12" s="119">
        <v>45471</v>
      </c>
      <c r="S12" s="119" t="s">
        <v>3004</v>
      </c>
      <c r="U12" s="111"/>
      <c r="V12" s="112"/>
      <c r="X12" s="111"/>
      <c r="AD12" s="111"/>
    </row>
    <row r="13" spans="2:30" x14ac:dyDescent="0.25">
      <c r="B13" s="51" t="s">
        <v>2575</v>
      </c>
      <c r="C13" s="51">
        <v>11</v>
      </c>
      <c r="D13" s="51" t="s">
        <v>3010</v>
      </c>
      <c r="E13" s="119">
        <v>45471</v>
      </c>
      <c r="F13" s="51">
        <v>1</v>
      </c>
      <c r="G13" s="119" t="s">
        <v>2614</v>
      </c>
      <c r="H13" s="51" t="s">
        <v>2631</v>
      </c>
      <c r="I13" s="51">
        <v>35585</v>
      </c>
      <c r="J13" s="51"/>
      <c r="K13" s="51">
        <v>8.0014189999999995E+24</v>
      </c>
      <c r="L13" s="51" t="s">
        <v>3008</v>
      </c>
      <c r="M13" s="51" t="s">
        <v>3008</v>
      </c>
      <c r="N13" s="120">
        <v>45471</v>
      </c>
      <c r="O13" s="120">
        <v>45471</v>
      </c>
      <c r="P13" s="51">
        <v>204</v>
      </c>
      <c r="Q13" s="121" t="s">
        <v>3009</v>
      </c>
      <c r="R13" s="120">
        <v>45471</v>
      </c>
      <c r="S13" s="120" t="s">
        <v>3011</v>
      </c>
      <c r="U13" s="115"/>
      <c r="V13" s="112"/>
      <c r="W13" s="113"/>
      <c r="X13" s="115"/>
      <c r="Y13" s="113"/>
      <c r="Z13" s="113"/>
      <c r="AD13" s="111"/>
    </row>
    <row r="14" spans="2:30" x14ac:dyDescent="0.25">
      <c r="B14" s="51" t="s">
        <v>2577</v>
      </c>
      <c r="C14" s="51">
        <v>12</v>
      </c>
      <c r="D14" s="51" t="s">
        <v>3012</v>
      </c>
      <c r="E14" s="119">
        <v>45471</v>
      </c>
      <c r="F14" s="51">
        <v>1</v>
      </c>
      <c r="G14" s="51" t="s">
        <v>3013</v>
      </c>
      <c r="H14" s="51" t="s">
        <v>2631</v>
      </c>
      <c r="I14" s="51">
        <v>0</v>
      </c>
      <c r="J14" s="51">
        <v>0</v>
      </c>
      <c r="K14" s="51">
        <v>0</v>
      </c>
      <c r="L14" s="51">
        <v>12369</v>
      </c>
      <c r="M14" s="51">
        <v>13484</v>
      </c>
      <c r="N14" s="219">
        <v>0</v>
      </c>
      <c r="O14" s="219">
        <v>0</v>
      </c>
      <c r="P14" s="51">
        <v>0</v>
      </c>
      <c r="Q14" s="51">
        <v>0</v>
      </c>
      <c r="R14" s="51">
        <v>0</v>
      </c>
      <c r="S14" s="51">
        <v>0</v>
      </c>
      <c r="U14" s="111"/>
      <c r="V14" s="112"/>
      <c r="W14" s="112"/>
      <c r="X14" s="111"/>
      <c r="Y14" s="112"/>
      <c r="Z14" s="112"/>
      <c r="AD14" s="111"/>
    </row>
    <row r="15" spans="2:30" x14ac:dyDescent="0.25">
      <c r="B15" s="51" t="s">
        <v>2579</v>
      </c>
      <c r="C15" s="51">
        <v>13</v>
      </c>
      <c r="D15" s="51" t="s">
        <v>3014</v>
      </c>
      <c r="E15" s="119">
        <v>45471</v>
      </c>
      <c r="F15" s="51">
        <v>1</v>
      </c>
      <c r="G15" s="122">
        <v>1</v>
      </c>
      <c r="H15" s="51" t="s">
        <v>2631</v>
      </c>
      <c r="I15" s="51" t="s">
        <v>2614</v>
      </c>
      <c r="J15" s="51" t="s">
        <v>2614</v>
      </c>
      <c r="K15" s="51" t="s">
        <v>2614</v>
      </c>
      <c r="L15" s="51" t="s">
        <v>2614</v>
      </c>
      <c r="M15" s="51" t="s">
        <v>2614</v>
      </c>
      <c r="N15" s="214">
        <v>0</v>
      </c>
      <c r="O15" s="214">
        <v>0</v>
      </c>
      <c r="P15" s="51" t="s">
        <v>2614</v>
      </c>
      <c r="Q15" s="51" t="s">
        <v>2614</v>
      </c>
      <c r="R15" s="120" t="s">
        <v>2614</v>
      </c>
      <c r="S15" s="120" t="s">
        <v>2614</v>
      </c>
      <c r="U15" s="115"/>
      <c r="V15" s="112"/>
      <c r="W15" s="112"/>
      <c r="X15" s="115"/>
      <c r="Y15" s="112"/>
      <c r="Z15" s="112"/>
      <c r="AD15" s="111"/>
    </row>
    <row r="16" spans="2:30" x14ac:dyDescent="0.25">
      <c r="B16" s="51" t="s">
        <v>2581</v>
      </c>
      <c r="C16" s="51">
        <v>14</v>
      </c>
      <c r="D16" s="51" t="s">
        <v>3015</v>
      </c>
      <c r="E16" s="119">
        <v>45471</v>
      </c>
      <c r="F16" s="51">
        <v>1</v>
      </c>
      <c r="G16" s="122">
        <v>1</v>
      </c>
      <c r="H16" s="51" t="s">
        <v>2631</v>
      </c>
      <c r="I16" s="51">
        <v>0</v>
      </c>
      <c r="J16" s="51">
        <v>0</v>
      </c>
      <c r="K16" s="51">
        <v>0</v>
      </c>
      <c r="L16" s="51">
        <v>0</v>
      </c>
      <c r="M16" s="51">
        <v>0</v>
      </c>
      <c r="N16" s="51" t="s">
        <v>2614</v>
      </c>
      <c r="O16" s="51" t="s">
        <v>2614</v>
      </c>
      <c r="P16" s="51">
        <v>0</v>
      </c>
      <c r="Q16" s="51" t="s">
        <v>2614</v>
      </c>
      <c r="R16" s="51" t="s">
        <v>2614</v>
      </c>
      <c r="S16" s="51" t="s">
        <v>2614</v>
      </c>
    </row>
    <row r="17" spans="2:24" x14ac:dyDescent="0.25">
      <c r="B17" s="51" t="s">
        <v>2583</v>
      </c>
      <c r="C17" s="51">
        <v>15</v>
      </c>
      <c r="D17" s="51" t="s">
        <v>3016</v>
      </c>
      <c r="E17" s="119">
        <v>45471</v>
      </c>
      <c r="F17" s="51">
        <v>1</v>
      </c>
      <c r="G17" s="122">
        <v>1</v>
      </c>
      <c r="H17" s="51" t="s">
        <v>2631</v>
      </c>
      <c r="I17" s="51" t="s">
        <v>2614</v>
      </c>
      <c r="J17" s="51" t="s">
        <v>2614</v>
      </c>
      <c r="K17" s="51" t="s">
        <v>2614</v>
      </c>
      <c r="L17" s="51" t="s">
        <v>2614</v>
      </c>
      <c r="M17" s="51" t="s">
        <v>2614</v>
      </c>
      <c r="N17" s="121" t="s">
        <v>2614</v>
      </c>
      <c r="O17" s="121" t="s">
        <v>2614</v>
      </c>
      <c r="P17" s="51" t="s">
        <v>2614</v>
      </c>
      <c r="Q17" s="51" t="s">
        <v>2614</v>
      </c>
      <c r="R17" s="121" t="s">
        <v>2614</v>
      </c>
      <c r="S17" s="121" t="s">
        <v>2614</v>
      </c>
      <c r="U17" s="50"/>
      <c r="X17" s="50"/>
    </row>
    <row r="18" spans="2:24" x14ac:dyDescent="0.25">
      <c r="B18" s="51" t="s">
        <v>2585</v>
      </c>
      <c r="C18" s="51">
        <v>16</v>
      </c>
      <c r="D18" s="51" t="s">
        <v>3016</v>
      </c>
      <c r="E18" s="119">
        <v>45471</v>
      </c>
      <c r="F18" s="51">
        <v>1</v>
      </c>
      <c r="G18" s="122">
        <v>1</v>
      </c>
      <c r="H18" s="51" t="s">
        <v>2631</v>
      </c>
      <c r="I18" s="51" t="s">
        <v>2614</v>
      </c>
      <c r="J18" s="51" t="s">
        <v>2614</v>
      </c>
      <c r="K18" s="51" t="s">
        <v>2614</v>
      </c>
      <c r="L18" s="51" t="s">
        <v>2614</v>
      </c>
      <c r="M18" s="51" t="s">
        <v>2614</v>
      </c>
      <c r="N18" s="51" t="s">
        <v>2614</v>
      </c>
      <c r="O18" s="51" t="s">
        <v>2614</v>
      </c>
      <c r="P18" s="51" t="s">
        <v>2614</v>
      </c>
      <c r="Q18" s="51" t="s">
        <v>2614</v>
      </c>
      <c r="R18" s="51" t="s">
        <v>2614</v>
      </c>
      <c r="S18" s="51" t="s">
        <v>2614</v>
      </c>
    </row>
    <row r="19" spans="2:24" x14ac:dyDescent="0.25">
      <c r="B19" s="51" t="s">
        <v>2591</v>
      </c>
      <c r="C19" s="51">
        <v>19</v>
      </c>
      <c r="D19" s="51" t="s">
        <v>3017</v>
      </c>
      <c r="E19" s="119">
        <v>45471</v>
      </c>
      <c r="F19" s="51">
        <v>1</v>
      </c>
      <c r="G19" s="122" cm="1">
        <f t="array" ref="G19">SUMPRODUCT(--(ISNUMBER((SEARCH(I27:S27,I19:S19)))))/COUNTA(I19:S19)</f>
        <v>1</v>
      </c>
      <c r="H19" s="51" t="s">
        <v>2631</v>
      </c>
      <c r="I19" s="51" t="s">
        <v>3018</v>
      </c>
      <c r="J19" s="51" t="s">
        <v>2654</v>
      </c>
      <c r="K19" s="51" t="s">
        <v>2654</v>
      </c>
      <c r="L19" s="51" t="s">
        <v>2654</v>
      </c>
      <c r="M19" s="51" t="s">
        <v>2654</v>
      </c>
      <c r="N19" s="51" t="s">
        <v>2654</v>
      </c>
      <c r="O19" s="51" t="s">
        <v>2654</v>
      </c>
      <c r="P19" s="51" t="s">
        <v>2654</v>
      </c>
      <c r="Q19" s="51" t="s">
        <v>2654</v>
      </c>
      <c r="R19" s="51" t="s">
        <v>2654</v>
      </c>
      <c r="S19" s="51" t="s">
        <v>2656</v>
      </c>
    </row>
    <row r="20" spans="2:24" x14ac:dyDescent="0.25">
      <c r="B20" s="51" t="s">
        <v>2594</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x14ac:dyDescent="0.25">
      <c r="B21" s="51" t="s">
        <v>2597</v>
      </c>
      <c r="C21" s="51">
        <v>21</v>
      </c>
      <c r="D21" s="51"/>
      <c r="E21" s="119">
        <v>45471</v>
      </c>
      <c r="F21" s="51">
        <v>1</v>
      </c>
      <c r="G21" s="51" cm="1">
        <f t="array" ref="G21">SUM(IF(IF(G3:G20="null",1,G3:G20)=1,1,0))/COUNT(IF(G3:G20="null",1,1))</f>
        <v>0.94444444444444442</v>
      </c>
      <c r="H21" s="51"/>
      <c r="I21" s="51"/>
      <c r="J21" s="51"/>
      <c r="K21" s="51"/>
      <c r="L21" s="51"/>
      <c r="M21" s="51"/>
      <c r="N21" s="51"/>
      <c r="O21" s="51"/>
      <c r="P21" s="51"/>
      <c r="Q21" s="51"/>
      <c r="R21" s="51"/>
      <c r="S21" s="51"/>
    </row>
    <row r="25" spans="2:24" x14ac:dyDescent="0.25">
      <c r="B25" s="164" t="s">
        <v>2657</v>
      </c>
      <c r="C25" s="166"/>
      <c r="D25" s="166"/>
      <c r="E25" s="166"/>
      <c r="F25" s="166"/>
      <c r="G25" s="166"/>
      <c r="H25" s="166"/>
    </row>
    <row r="26" spans="2:24" x14ac:dyDescent="0.25">
      <c r="B26" s="157" t="s">
        <v>2658</v>
      </c>
      <c r="C26" s="153" t="s">
        <v>2601</v>
      </c>
      <c r="D26" s="153" t="s">
        <v>2602</v>
      </c>
      <c r="E26" s="153" t="s">
        <v>2603</v>
      </c>
      <c r="F26" s="153" t="s">
        <v>2604</v>
      </c>
      <c r="G26" s="153" t="s">
        <v>2605</v>
      </c>
      <c r="H26" s="153" t="s">
        <v>2606</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x14ac:dyDescent="0.25">
      <c r="B27" s="139" t="s">
        <v>2659</v>
      </c>
      <c r="C27" s="167">
        <v>21</v>
      </c>
      <c r="D27" s="136" t="s">
        <v>2660</v>
      </c>
      <c r="E27" s="135" t="s">
        <v>2661</v>
      </c>
      <c r="F27" s="135" t="s">
        <v>351</v>
      </c>
      <c r="G27" s="135" t="s">
        <v>351</v>
      </c>
      <c r="H27" s="135" t="s">
        <v>351</v>
      </c>
      <c r="I27" s="135" t="str" cm="1">
        <f t="array" ref="I27:S28">TRANSPOSE(_xlfn.SORTBY(_xlfn._xlws.FILTER(IF(Table3[FORMATO]:Table3[COMP_ CAMPO]&lt;&gt;"",Table3[FORMATO]:Table3[COMP_ CAMPO],9999999),Table3[NOME FÍSICO TABELA]="bank_vault_visit"), _xlfn._xlws.FILTER(Table3[ORDEM], Table3[NOME FÍSICO TABELA]="bank_vault_visit"), 1))</f>
        <v>INT</v>
      </c>
      <c r="J27" s="135" t="str">
        <v>STRING</v>
      </c>
      <c r="K27" s="135" t="str">
        <v>STRING</v>
      </c>
      <c r="L27" s="135" t="str">
        <v>STRING</v>
      </c>
      <c r="M27" s="135" t="str">
        <v>STRING</v>
      </c>
      <c r="N27" s="135" t="str">
        <v>STRING</v>
      </c>
      <c r="O27" s="135" t="str">
        <v>STRING</v>
      </c>
      <c r="P27" s="135" t="str">
        <v>STRING</v>
      </c>
      <c r="Q27" s="135" t="str">
        <v>STRING</v>
      </c>
      <c r="R27" s="135" t="str">
        <v>STRING</v>
      </c>
      <c r="S27" s="140" t="str">
        <v>TIMESTAMP</v>
      </c>
    </row>
    <row r="28" spans="2:24" x14ac:dyDescent="0.25">
      <c r="B28" s="146" t="s">
        <v>2662</v>
      </c>
      <c r="C28" s="167">
        <v>7</v>
      </c>
      <c r="D28" s="169" t="s">
        <v>2660</v>
      </c>
      <c r="E28" s="167" t="s">
        <v>2661</v>
      </c>
      <c r="F28" s="167" t="s">
        <v>351</v>
      </c>
      <c r="G28" s="167" t="s">
        <v>351</v>
      </c>
      <c r="H28" s="167" t="s">
        <v>351</v>
      </c>
      <c r="I28" s="167">
        <v>5</v>
      </c>
      <c r="J28" s="167">
        <v>4</v>
      </c>
      <c r="K28" s="167">
        <v>30</v>
      </c>
      <c r="L28" s="167">
        <v>7</v>
      </c>
      <c r="M28" s="167">
        <v>7</v>
      </c>
      <c r="N28" s="167">
        <v>23</v>
      </c>
      <c r="O28" s="167">
        <v>23</v>
      </c>
      <c r="P28" s="167">
        <v>3</v>
      </c>
      <c r="Q28" s="167">
        <v>9999999</v>
      </c>
      <c r="R28" s="167">
        <v>10</v>
      </c>
      <c r="S28" s="168">
        <v>23</v>
      </c>
    </row>
    <row r="30" spans="2:24" x14ac:dyDescent="0.25">
      <c r="B30" s="164" t="s">
        <v>2663</v>
      </c>
    </row>
    <row r="31" spans="2:24" x14ac:dyDescent="0.25">
      <c r="B31" s="173" t="s">
        <v>2664</v>
      </c>
      <c r="C31" s="155" t="s">
        <v>2665</v>
      </c>
      <c r="D31" s="174" t="s">
        <v>2666</v>
      </c>
      <c r="E31" s="155" t="s">
        <v>2667</v>
      </c>
      <c r="F31" s="174" t="s">
        <v>2668</v>
      </c>
    </row>
    <row r="32" spans="2:24" ht="30" x14ac:dyDescent="0.25">
      <c r="B32" s="212" t="s">
        <v>2734</v>
      </c>
      <c r="C32" s="212" t="s">
        <v>465</v>
      </c>
      <c r="D32" s="163" t="s">
        <v>3019</v>
      </c>
      <c r="E32" s="163" t="s">
        <v>3020</v>
      </c>
      <c r="F32" s="212" t="s">
        <v>2672</v>
      </c>
    </row>
    <row r="33" spans="2:24" ht="120" x14ac:dyDescent="0.25">
      <c r="B33" s="212" t="s">
        <v>2734</v>
      </c>
      <c r="C33" s="212" t="s">
        <v>477</v>
      </c>
      <c r="D33" s="163" t="s">
        <v>3021</v>
      </c>
      <c r="E33" s="163" t="s">
        <v>3022</v>
      </c>
      <c r="F33" s="163" t="s">
        <v>3023</v>
      </c>
    </row>
    <row r="36" spans="2:24" x14ac:dyDescent="0.25">
      <c r="K36" s="111"/>
      <c r="M36" s="112"/>
      <c r="N36" s="112"/>
    </row>
    <row r="37" spans="2:24" x14ac:dyDescent="0.25">
      <c r="K37" s="111"/>
      <c r="M37" s="112"/>
    </row>
    <row r="38" spans="2:24" x14ac:dyDescent="0.25">
      <c r="K38" s="111"/>
      <c r="M38" s="211"/>
    </row>
    <row r="39" spans="2:24" x14ac:dyDescent="0.25">
      <c r="K39" s="111"/>
      <c r="M39" s="51"/>
    </row>
    <row r="40" spans="2:24" x14ac:dyDescent="0.25">
      <c r="K40" s="111"/>
      <c r="M40" s="51"/>
    </row>
    <row r="41" spans="2:24" x14ac:dyDescent="0.25">
      <c r="K41" s="111"/>
      <c r="M41" s="211"/>
    </row>
    <row r="42" spans="2:24" x14ac:dyDescent="0.25">
      <c r="K42" s="111"/>
      <c r="M42" s="211"/>
    </row>
    <row r="43" spans="2:24" x14ac:dyDescent="0.25">
      <c r="K43" s="111"/>
      <c r="M43" s="211"/>
    </row>
    <row r="44" spans="2:24" x14ac:dyDescent="0.25">
      <c r="K44" s="111"/>
      <c r="M44" s="211"/>
    </row>
    <row r="45" spans="2:24" x14ac:dyDescent="0.25">
      <c r="K45" s="111"/>
    </row>
    <row r="46" spans="2:24" x14ac:dyDescent="0.25">
      <c r="K46" s="111"/>
    </row>
    <row r="47" spans="2:24" x14ac:dyDescent="0.25">
      <c r="K47" s="111"/>
    </row>
    <row r="48" spans="2:24" x14ac:dyDescent="0.25">
      <c r="K48" s="111"/>
      <c r="M48" s="112"/>
      <c r="T48" s="115"/>
      <c r="U48" s="115"/>
      <c r="W48" s="50"/>
      <c r="X48" s="111"/>
    </row>
    <row r="49" spans="11:24" x14ac:dyDescent="0.25">
      <c r="K49" s="111"/>
      <c r="M49" s="112"/>
      <c r="T49" s="115"/>
      <c r="U49" s="115"/>
      <c r="W49" s="50"/>
      <c r="X49" s="111"/>
    </row>
    <row r="50" spans="11:24" x14ac:dyDescent="0.25">
      <c r="K50" s="111"/>
      <c r="M50" s="112"/>
      <c r="T50" s="115"/>
      <c r="U50" s="115"/>
      <c r="X50" s="111"/>
    </row>
    <row r="51" spans="11:24" x14ac:dyDescent="0.25">
      <c r="K51" s="111"/>
      <c r="T51" s="115"/>
      <c r="U51" s="115"/>
      <c r="X51" s="111"/>
    </row>
    <row r="52" spans="11:24" x14ac:dyDescent="0.25">
      <c r="K52" s="111"/>
      <c r="M52" s="112"/>
    </row>
    <row r="53" spans="11:24" x14ac:dyDescent="0.25">
      <c r="K53" s="111"/>
      <c r="M53" s="112"/>
      <c r="T53" s="50"/>
      <c r="U53" s="50"/>
    </row>
    <row r="54" spans="11:24" x14ac:dyDescent="0.25">
      <c r="K54" s="111"/>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820-C180-491E-84AC-93383D3D0C14}">
  <sheetPr>
    <tabColor rgb="FF00B050"/>
  </sheetPr>
  <dimension ref="B1:P29"/>
  <sheetViews>
    <sheetView showGridLines="0" workbookViewId="0">
      <selection activeCell="G17" sqref="G17"/>
    </sheetView>
  </sheetViews>
  <sheetFormatPr defaultRowHeight="15" x14ac:dyDescent="0.2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x14ac:dyDescent="0.25"/>
    <row r="2" spans="2:16" x14ac:dyDescent="0.25">
      <c r="B2" s="98" t="s">
        <v>2658</v>
      </c>
      <c r="C2" s="98" t="s">
        <v>2601</v>
      </c>
      <c r="D2" s="98" t="s">
        <v>2602</v>
      </c>
      <c r="E2" s="98" t="s">
        <v>2603</v>
      </c>
      <c r="F2" s="98" t="s">
        <v>2604</v>
      </c>
      <c r="G2" s="98" t="s">
        <v>2605</v>
      </c>
      <c r="H2" s="98" t="s">
        <v>2606</v>
      </c>
      <c r="I2" s="98" t="s">
        <v>138</v>
      </c>
      <c r="J2" s="98" t="s">
        <v>153</v>
      </c>
      <c r="K2" s="98" t="s">
        <v>1002</v>
      </c>
      <c r="L2" s="98" t="s">
        <v>1010</v>
      </c>
      <c r="M2" s="98" t="s">
        <v>1020</v>
      </c>
      <c r="N2" s="98" t="s">
        <v>1029</v>
      </c>
      <c r="O2" s="98" t="s">
        <v>330</v>
      </c>
      <c r="P2" s="98" t="s">
        <v>337</v>
      </c>
    </row>
    <row r="3" spans="2:16" x14ac:dyDescent="0.25">
      <c r="B3" s="51" t="s">
        <v>2554</v>
      </c>
      <c r="C3" s="51">
        <v>1</v>
      </c>
      <c r="D3" s="51" t="s">
        <v>3024</v>
      </c>
      <c r="E3" s="119">
        <v>45471</v>
      </c>
      <c r="F3" s="51">
        <v>1</v>
      </c>
      <c r="G3" s="122">
        <v>1</v>
      </c>
      <c r="H3" s="210">
        <v>19709007000000</v>
      </c>
      <c r="I3" s="51" t="s">
        <v>2614</v>
      </c>
      <c r="J3" s="51" t="s">
        <v>2614</v>
      </c>
      <c r="K3" s="51" t="s">
        <v>2614</v>
      </c>
      <c r="L3" s="51" t="s">
        <v>2614</v>
      </c>
      <c r="M3" s="51" t="s">
        <v>2614</v>
      </c>
      <c r="N3" s="51" t="s">
        <v>2614</v>
      </c>
      <c r="O3" s="51" t="s">
        <v>2614</v>
      </c>
      <c r="P3" s="51" t="s">
        <v>2614</v>
      </c>
    </row>
    <row r="4" spans="2:16" x14ac:dyDescent="0.25">
      <c r="B4" s="51" t="s">
        <v>2556</v>
      </c>
      <c r="C4" s="51">
        <v>2</v>
      </c>
      <c r="D4" s="51" t="s">
        <v>3025</v>
      </c>
      <c r="E4" s="119">
        <v>45471</v>
      </c>
      <c r="F4" s="51">
        <v>1</v>
      </c>
      <c r="G4" s="122">
        <v>1</v>
      </c>
      <c r="H4" s="51" t="s">
        <v>2616</v>
      </c>
      <c r="I4" s="51" t="s">
        <v>2614</v>
      </c>
      <c r="J4" s="51" t="s">
        <v>2614</v>
      </c>
      <c r="K4" s="51" t="s">
        <v>2614</v>
      </c>
      <c r="L4" s="51" t="s">
        <v>2614</v>
      </c>
      <c r="M4" s="51" t="s">
        <v>2614</v>
      </c>
      <c r="N4" s="51" t="s">
        <v>2614</v>
      </c>
      <c r="O4" s="51" t="s">
        <v>2614</v>
      </c>
      <c r="P4" s="51" t="s">
        <v>2614</v>
      </c>
    </row>
    <row r="5" spans="2:16" x14ac:dyDescent="0.25">
      <c r="B5" s="51" t="s">
        <v>2558</v>
      </c>
      <c r="C5" s="51">
        <v>3</v>
      </c>
      <c r="D5" s="51" t="s">
        <v>3026</v>
      </c>
      <c r="E5" s="119">
        <v>45471</v>
      </c>
      <c r="F5" s="51">
        <v>1</v>
      </c>
      <c r="G5" s="122">
        <v>1</v>
      </c>
      <c r="H5" s="51" t="s">
        <v>2616</v>
      </c>
      <c r="I5" s="51">
        <v>0</v>
      </c>
      <c r="J5" s="51">
        <v>0</v>
      </c>
      <c r="K5" s="51">
        <v>0</v>
      </c>
      <c r="L5" s="51">
        <v>0</v>
      </c>
      <c r="M5" s="51">
        <v>0</v>
      </c>
      <c r="N5" s="51" t="s">
        <v>2614</v>
      </c>
      <c r="O5" s="51">
        <v>0</v>
      </c>
      <c r="P5" s="51" t="s">
        <v>2614</v>
      </c>
    </row>
    <row r="6" spans="2:16" x14ac:dyDescent="0.25">
      <c r="B6" s="121" t="s">
        <v>2563</v>
      </c>
      <c r="C6" s="51">
        <v>6</v>
      </c>
      <c r="D6" s="51" t="s">
        <v>3027</v>
      </c>
      <c r="E6" s="119">
        <v>45471</v>
      </c>
      <c r="F6" s="51">
        <v>1</v>
      </c>
      <c r="G6" s="51" cm="1">
        <f t="array" ref="G6">SUMPRODUCT(--(I6:P6&gt;0))/COUNTA(I6:P6)</f>
        <v>1</v>
      </c>
      <c r="H6" s="51" t="s">
        <v>2616</v>
      </c>
      <c r="I6" s="51">
        <v>2</v>
      </c>
      <c r="J6" s="51">
        <v>30</v>
      </c>
      <c r="K6" s="51">
        <v>10</v>
      </c>
      <c r="L6" s="51">
        <v>1</v>
      </c>
      <c r="M6" s="51">
        <v>1</v>
      </c>
      <c r="N6" s="51">
        <v>10</v>
      </c>
      <c r="O6" s="51">
        <v>10</v>
      </c>
      <c r="P6" s="51">
        <v>21</v>
      </c>
    </row>
    <row r="7" spans="2:16" x14ac:dyDescent="0.25">
      <c r="B7" s="51" t="s">
        <v>2566</v>
      </c>
      <c r="C7" s="51">
        <v>7</v>
      </c>
      <c r="D7" s="51" t="s">
        <v>3028</v>
      </c>
      <c r="E7" s="119">
        <v>45471</v>
      </c>
      <c r="F7" s="51">
        <v>1</v>
      </c>
      <c r="G7" s="51" cm="1">
        <f t="array" ref="G7">SUMPRODUCT(--(I7:P7&lt;=I24:P24))/COUNTA(I24:P24)</f>
        <v>1</v>
      </c>
      <c r="H7" s="51" t="s">
        <v>2616</v>
      </c>
      <c r="I7" s="51">
        <v>2</v>
      </c>
      <c r="J7" s="51">
        <v>30</v>
      </c>
      <c r="K7" s="51">
        <v>10</v>
      </c>
      <c r="L7" s="51">
        <v>1</v>
      </c>
      <c r="M7" s="51">
        <v>4</v>
      </c>
      <c r="N7" s="51">
        <v>10</v>
      </c>
      <c r="O7" s="51">
        <v>10</v>
      </c>
      <c r="P7" s="51">
        <v>21</v>
      </c>
    </row>
    <row r="8" spans="2:16" x14ac:dyDescent="0.25">
      <c r="B8" s="51" t="s">
        <v>2569</v>
      </c>
      <c r="C8" s="51">
        <v>8</v>
      </c>
      <c r="D8" s="51" t="s">
        <v>3029</v>
      </c>
      <c r="E8" s="119">
        <v>45471</v>
      </c>
      <c r="F8" s="51">
        <v>1</v>
      </c>
      <c r="G8" s="51" t="s">
        <v>2614</v>
      </c>
      <c r="H8" s="51" t="s">
        <v>2616</v>
      </c>
      <c r="I8" s="51">
        <v>31</v>
      </c>
      <c r="J8" s="51">
        <v>162304820002470</v>
      </c>
      <c r="K8" s="51">
        <v>0</v>
      </c>
      <c r="L8" s="51">
        <v>0</v>
      </c>
      <c r="M8" s="51">
        <v>0</v>
      </c>
      <c r="N8" s="51" t="s">
        <v>2623</v>
      </c>
      <c r="O8" s="119">
        <v>45471</v>
      </c>
      <c r="P8" s="51" t="s">
        <v>3030</v>
      </c>
    </row>
    <row r="9" spans="2:16" x14ac:dyDescent="0.25">
      <c r="B9" s="51" t="s">
        <v>2571</v>
      </c>
      <c r="C9" s="51">
        <v>9</v>
      </c>
      <c r="D9" s="51" t="s">
        <v>3031</v>
      </c>
      <c r="E9" s="119">
        <v>45471</v>
      </c>
      <c r="F9" s="51">
        <v>1</v>
      </c>
      <c r="G9" s="51" t="s">
        <v>2614</v>
      </c>
      <c r="H9" s="51" t="s">
        <v>2616</v>
      </c>
      <c r="I9" s="51">
        <v>31</v>
      </c>
      <c r="J9" s="51">
        <v>162304820002470</v>
      </c>
      <c r="K9" s="51">
        <v>0</v>
      </c>
      <c r="L9" s="51">
        <v>0</v>
      </c>
      <c r="M9" s="51">
        <v>0</v>
      </c>
      <c r="N9" s="51" t="s">
        <v>2623</v>
      </c>
      <c r="O9" s="119">
        <v>45471</v>
      </c>
      <c r="P9" s="51" t="s">
        <v>3032</v>
      </c>
    </row>
    <row r="10" spans="2:16" x14ac:dyDescent="0.25">
      <c r="B10" s="121" t="s">
        <v>2573</v>
      </c>
      <c r="C10" s="51">
        <v>10</v>
      </c>
      <c r="D10" s="51" t="s">
        <v>3033</v>
      </c>
      <c r="E10" s="119">
        <v>45471</v>
      </c>
      <c r="F10" s="51">
        <v>1</v>
      </c>
      <c r="G10" s="51" t="s">
        <v>2614</v>
      </c>
      <c r="H10" s="51" t="s">
        <v>2616</v>
      </c>
      <c r="I10" s="51">
        <v>89</v>
      </c>
      <c r="J10" s="51">
        <v>8.8780038000002303E+29</v>
      </c>
      <c r="K10" s="51">
        <v>9961000426</v>
      </c>
      <c r="L10" s="51" t="s">
        <v>3034</v>
      </c>
      <c r="M10" s="51">
        <v>1057</v>
      </c>
      <c r="N10" s="119">
        <v>2958465</v>
      </c>
      <c r="O10" s="119">
        <v>45471</v>
      </c>
      <c r="P10" s="51" t="s">
        <v>3030</v>
      </c>
    </row>
    <row r="11" spans="2:16" x14ac:dyDescent="0.25">
      <c r="B11" s="51" t="s">
        <v>2575</v>
      </c>
      <c r="C11" s="51">
        <v>11</v>
      </c>
      <c r="D11" s="51" t="s">
        <v>3035</v>
      </c>
      <c r="E11" s="119">
        <v>45471</v>
      </c>
      <c r="F11" s="51">
        <v>1</v>
      </c>
      <c r="G11" s="51" t="s">
        <v>2614</v>
      </c>
      <c r="H11" s="51" t="s">
        <v>2616</v>
      </c>
      <c r="I11" s="51">
        <v>89</v>
      </c>
      <c r="J11" s="51">
        <v>8.8780038000002303E+29</v>
      </c>
      <c r="K11" s="51">
        <v>9961000426</v>
      </c>
      <c r="L11" s="51" t="s">
        <v>3034</v>
      </c>
      <c r="M11" s="51">
        <v>1057</v>
      </c>
      <c r="N11" s="119">
        <v>2958465</v>
      </c>
      <c r="O11" s="119">
        <v>45471</v>
      </c>
      <c r="P11" s="51" t="s">
        <v>3036</v>
      </c>
    </row>
    <row r="12" spans="2:16" x14ac:dyDescent="0.25">
      <c r="B12" s="51" t="s">
        <v>2577</v>
      </c>
      <c r="C12" s="51">
        <v>12</v>
      </c>
      <c r="D12" s="51" t="s">
        <v>3037</v>
      </c>
      <c r="E12" s="119">
        <v>45471</v>
      </c>
      <c r="F12" s="51">
        <v>1</v>
      </c>
      <c r="G12" s="51">
        <v>1</v>
      </c>
      <c r="H12" s="51" t="s">
        <v>2616</v>
      </c>
      <c r="I12" s="51">
        <v>0</v>
      </c>
      <c r="J12" s="51">
        <v>0</v>
      </c>
      <c r="K12" s="51">
        <v>0</v>
      </c>
      <c r="L12" s="51">
        <v>0</v>
      </c>
      <c r="M12" s="51">
        <v>0</v>
      </c>
      <c r="N12" s="119">
        <v>0</v>
      </c>
      <c r="O12" s="119">
        <v>0</v>
      </c>
      <c r="P12" s="51">
        <v>0</v>
      </c>
    </row>
    <row r="13" spans="2:16" x14ac:dyDescent="0.25">
      <c r="B13" s="51" t="s">
        <v>2579</v>
      </c>
      <c r="C13" s="51">
        <v>13</v>
      </c>
      <c r="D13" s="51" t="s">
        <v>3038</v>
      </c>
      <c r="E13" s="119">
        <v>45471</v>
      </c>
      <c r="F13" s="51">
        <v>1</v>
      </c>
      <c r="G13" s="51">
        <v>1</v>
      </c>
      <c r="H13" s="51" t="s">
        <v>2616</v>
      </c>
      <c r="I13" s="51" t="s">
        <v>2614</v>
      </c>
      <c r="J13" s="51" t="s">
        <v>2614</v>
      </c>
      <c r="K13" s="51" t="s">
        <v>2614</v>
      </c>
      <c r="L13" s="51" t="s">
        <v>2614</v>
      </c>
      <c r="M13" s="51" t="s">
        <v>2614</v>
      </c>
      <c r="N13" s="119">
        <v>0</v>
      </c>
      <c r="O13" s="119" t="s">
        <v>2614</v>
      </c>
      <c r="P13" s="51" t="s">
        <v>2614</v>
      </c>
    </row>
    <row r="14" spans="2:16" x14ac:dyDescent="0.25">
      <c r="B14" s="51" t="s">
        <v>2581</v>
      </c>
      <c r="C14" s="51">
        <v>14</v>
      </c>
      <c r="D14" s="51" t="s">
        <v>3039</v>
      </c>
      <c r="E14" s="119">
        <v>45471</v>
      </c>
      <c r="F14" s="51">
        <v>1</v>
      </c>
      <c r="G14" s="51">
        <v>1</v>
      </c>
      <c r="H14" s="51" t="s">
        <v>2616</v>
      </c>
      <c r="I14" s="51" t="s">
        <v>2614</v>
      </c>
      <c r="J14" s="51" t="s">
        <v>2614</v>
      </c>
      <c r="K14" s="51" t="s">
        <v>2614</v>
      </c>
      <c r="L14" s="51">
        <v>0</v>
      </c>
      <c r="M14" s="51" t="s">
        <v>2614</v>
      </c>
      <c r="N14" s="51" t="s">
        <v>2614</v>
      </c>
      <c r="O14" s="51" t="s">
        <v>2614</v>
      </c>
      <c r="P14" s="51" t="s">
        <v>2614</v>
      </c>
    </row>
    <row r="15" spans="2:16" x14ac:dyDescent="0.25">
      <c r="B15" s="51" t="s">
        <v>2583</v>
      </c>
      <c r="C15" s="51">
        <v>15</v>
      </c>
      <c r="D15" s="51" t="s">
        <v>3040</v>
      </c>
      <c r="E15" s="119">
        <v>45471</v>
      </c>
      <c r="F15" s="51">
        <v>1</v>
      </c>
      <c r="G15" s="51">
        <v>1</v>
      </c>
      <c r="H15" s="51" t="s">
        <v>2616</v>
      </c>
      <c r="I15" s="51" t="s">
        <v>2614</v>
      </c>
      <c r="J15" s="51" t="s">
        <v>2614</v>
      </c>
      <c r="K15" s="51" t="s">
        <v>2614</v>
      </c>
      <c r="L15" s="51" t="s">
        <v>2614</v>
      </c>
      <c r="M15" s="51" t="s">
        <v>2614</v>
      </c>
      <c r="N15" s="121" t="s">
        <v>2614</v>
      </c>
      <c r="O15" s="51" t="s">
        <v>2614</v>
      </c>
      <c r="P15" s="51" t="s">
        <v>2614</v>
      </c>
    </row>
    <row r="16" spans="2:16" x14ac:dyDescent="0.25">
      <c r="B16" s="51" t="s">
        <v>2585</v>
      </c>
      <c r="C16" s="51">
        <v>16</v>
      </c>
      <c r="D16" s="51" t="s">
        <v>3040</v>
      </c>
      <c r="E16" s="119">
        <v>45471</v>
      </c>
      <c r="F16" s="51">
        <v>1</v>
      </c>
      <c r="G16" s="51">
        <v>1</v>
      </c>
      <c r="H16" s="51" t="s">
        <v>2616</v>
      </c>
      <c r="I16" s="51" t="s">
        <v>2614</v>
      </c>
      <c r="J16" s="51" t="s">
        <v>2614</v>
      </c>
      <c r="K16" s="51" t="s">
        <v>2614</v>
      </c>
      <c r="L16" s="51" t="s">
        <v>2614</v>
      </c>
      <c r="M16" s="51" t="s">
        <v>2614</v>
      </c>
      <c r="N16" s="51" t="s">
        <v>2614</v>
      </c>
      <c r="O16" s="51" t="s">
        <v>2614</v>
      </c>
      <c r="P16" s="51" t="s">
        <v>2614</v>
      </c>
    </row>
    <row r="17" spans="2:16" x14ac:dyDescent="0.25">
      <c r="B17" s="51" t="s">
        <v>2591</v>
      </c>
      <c r="C17" s="51">
        <v>19</v>
      </c>
      <c r="D17" s="51" t="s">
        <v>3041</v>
      </c>
      <c r="E17" s="119">
        <v>45471</v>
      </c>
      <c r="F17" s="51">
        <v>1</v>
      </c>
      <c r="G17" s="51" cm="1">
        <f t="array" ref="G17">SUMPRODUCT(--(ISNUMBER((SEARCH(I24:P24,I17:P17)))))/COUNTA(I17:P17)</f>
        <v>0.875</v>
      </c>
      <c r="H17" s="51" t="s">
        <v>2616</v>
      </c>
      <c r="I17" s="51" t="s">
        <v>2654</v>
      </c>
      <c r="J17" s="51" t="s">
        <v>2654</v>
      </c>
      <c r="K17" s="51" t="s">
        <v>2654</v>
      </c>
      <c r="L17" s="51" t="s">
        <v>2654</v>
      </c>
      <c r="M17" s="51" t="s">
        <v>3018</v>
      </c>
      <c r="N17" s="51" t="s">
        <v>2951</v>
      </c>
      <c r="O17" s="51" t="s">
        <v>2654</v>
      </c>
      <c r="P17" s="51" t="s">
        <v>2656</v>
      </c>
    </row>
    <row r="18" spans="2:16" x14ac:dyDescent="0.25">
      <c r="B18" s="51" t="s">
        <v>2594</v>
      </c>
      <c r="C18" s="51">
        <v>20</v>
      </c>
      <c r="D18" s="51"/>
      <c r="E18" s="119">
        <v>45471</v>
      </c>
      <c r="F18" s="51">
        <v>1</v>
      </c>
      <c r="G18" s="51" cm="1">
        <f t="array" ref="G18">SUM(IF(I2:P2 = I23:P23, 1, 0))/ COUNTA(I2:P2)</f>
        <v>1</v>
      </c>
      <c r="H18" s="51" t="s">
        <v>2616</v>
      </c>
      <c r="I18" s="51" t="s">
        <v>2614</v>
      </c>
      <c r="J18" s="51" t="s">
        <v>2614</v>
      </c>
      <c r="K18" s="51" t="s">
        <v>2614</v>
      </c>
      <c r="L18" s="51" t="s">
        <v>2614</v>
      </c>
      <c r="M18" s="51" t="s">
        <v>2614</v>
      </c>
      <c r="N18" s="51" t="s">
        <v>2614</v>
      </c>
      <c r="O18" s="51" t="s">
        <v>2614</v>
      </c>
      <c r="P18" s="51" t="s">
        <v>2614</v>
      </c>
    </row>
    <row r="19" spans="2:16" x14ac:dyDescent="0.25">
      <c r="B19" s="51" t="s">
        <v>2597</v>
      </c>
      <c r="C19" s="51">
        <v>21</v>
      </c>
      <c r="D19" s="51"/>
      <c r="E19" s="119">
        <v>45471</v>
      </c>
      <c r="F19" s="51">
        <v>1</v>
      </c>
      <c r="G19" s="51" cm="1">
        <f t="array" ref="G19">SUM(IF(IF(G3:G18="null",1,G3:G18)=1,1,0))/COUNT(IF(G3:G18="null",1,1))</f>
        <v>0.9375</v>
      </c>
      <c r="H19" s="51" t="s">
        <v>2616</v>
      </c>
      <c r="I19" s="51" t="s">
        <v>2614</v>
      </c>
      <c r="J19" s="51" t="s">
        <v>2614</v>
      </c>
      <c r="K19" s="51" t="s">
        <v>2614</v>
      </c>
      <c r="L19" s="51" t="s">
        <v>2614</v>
      </c>
      <c r="M19" s="51" t="s">
        <v>2614</v>
      </c>
      <c r="N19" s="51">
        <v>0</v>
      </c>
      <c r="O19" s="51" t="s">
        <v>2614</v>
      </c>
      <c r="P19" s="51" t="s">
        <v>2614</v>
      </c>
    </row>
    <row r="22" spans="2:16" x14ac:dyDescent="0.25">
      <c r="B22" s="154" t="s">
        <v>3042</v>
      </c>
    </row>
    <row r="23" spans="2:16" x14ac:dyDescent="0.25">
      <c r="B23" s="152" t="s">
        <v>2658</v>
      </c>
      <c r="C23" s="153" t="s">
        <v>2601</v>
      </c>
      <c r="D23" s="153" t="s">
        <v>2602</v>
      </c>
      <c r="E23" s="153" t="s">
        <v>2603</v>
      </c>
      <c r="F23" s="153" t="s">
        <v>2604</v>
      </c>
      <c r="G23" s="153" t="s">
        <v>2605</v>
      </c>
      <c r="H23" s="153" t="s">
        <v>2606</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contract_beneficiary_order_num</v>
      </c>
      <c r="N23" s="153" t="str">
        <v>relationship_start_date</v>
      </c>
      <c r="O23" s="153" t="str">
        <v>data_date_part</v>
      </c>
      <c r="P23" s="150" t="str">
        <v>data_timestamp_part</v>
      </c>
    </row>
    <row r="24" spans="2:16" x14ac:dyDescent="0.25">
      <c r="B24" s="145" t="s">
        <v>351</v>
      </c>
      <c r="C24" s="137">
        <v>21</v>
      </c>
      <c r="D24" s="138" t="s">
        <v>2660</v>
      </c>
      <c r="E24" s="137" t="s">
        <v>2661</v>
      </c>
      <c r="F24" s="137" t="s">
        <v>351</v>
      </c>
      <c r="G24" s="137" t="s">
        <v>351</v>
      </c>
      <c r="H24" s="137" t="s">
        <v>351</v>
      </c>
      <c r="I24" s="137"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7" t="str">
        <v>STRING</v>
      </c>
      <c r="K24" s="137" t="str">
        <v>STRING</v>
      </c>
      <c r="L24" s="137" t="str">
        <v>STRING</v>
      </c>
      <c r="M24" s="137" t="str">
        <v>INT</v>
      </c>
      <c r="N24" s="137" t="str">
        <v>STRING</v>
      </c>
      <c r="O24" s="137" t="str">
        <v>STRING</v>
      </c>
      <c r="P24" s="144" t="str">
        <v>TIMESTAMP</v>
      </c>
    </row>
    <row r="25" spans="2:16" x14ac:dyDescent="0.25">
      <c r="B25" s="145" t="s">
        <v>351</v>
      </c>
      <c r="C25" s="137">
        <v>7</v>
      </c>
      <c r="D25" s="138" t="s">
        <v>2660</v>
      </c>
      <c r="E25" s="137" t="s">
        <v>2661</v>
      </c>
      <c r="F25" s="137" t="s">
        <v>351</v>
      </c>
      <c r="G25" s="137" t="s">
        <v>351</v>
      </c>
      <c r="H25" s="137" t="s">
        <v>351</v>
      </c>
      <c r="I25" s="137">
        <v>4</v>
      </c>
      <c r="J25" s="137">
        <v>30</v>
      </c>
      <c r="K25" s="137">
        <v>10</v>
      </c>
      <c r="L25" s="137">
        <v>3</v>
      </c>
      <c r="M25" s="137">
        <v>5</v>
      </c>
      <c r="N25" s="137">
        <v>10</v>
      </c>
      <c r="O25" s="137">
        <v>10</v>
      </c>
      <c r="P25" s="144">
        <v>23</v>
      </c>
    </row>
    <row r="26" spans="2:16" x14ac:dyDescent="0.25">
      <c r="B26" s="51"/>
      <c r="C26" s="51"/>
      <c r="D26" s="120"/>
      <c r="E26" s="51"/>
      <c r="F26" s="51"/>
      <c r="G26" s="51"/>
      <c r="H26" s="51"/>
      <c r="I26" s="51"/>
      <c r="J26" s="51"/>
      <c r="K26" s="51"/>
      <c r="L26" s="51"/>
      <c r="M26" s="51"/>
      <c r="N26" s="51"/>
      <c r="O26" s="51"/>
      <c r="P26" s="51"/>
    </row>
    <row r="27" spans="2:16" x14ac:dyDescent="0.25">
      <c r="B27" s="164" t="s">
        <v>2663</v>
      </c>
    </row>
    <row r="28" spans="2:16" x14ac:dyDescent="0.25">
      <c r="B28" s="173" t="s">
        <v>2664</v>
      </c>
      <c r="C28" s="155" t="s">
        <v>2665</v>
      </c>
      <c r="D28" s="174" t="s">
        <v>2666</v>
      </c>
      <c r="E28" s="155" t="s">
        <v>2667</v>
      </c>
      <c r="F28" s="174" t="s">
        <v>2668</v>
      </c>
    </row>
    <row r="29" spans="2:16" ht="30" x14ac:dyDescent="0.25">
      <c r="B29" s="55" t="s">
        <v>3043</v>
      </c>
      <c r="C29" s="55" t="s">
        <v>1029</v>
      </c>
      <c r="D29" s="54" t="s">
        <v>3044</v>
      </c>
      <c r="E29" s="180" t="s">
        <v>3045</v>
      </c>
      <c r="F29" s="55" t="s">
        <v>2672</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0257-0623-4DD5-80B5-4E3BD2D3973F}">
  <sheetPr>
    <tabColor theme="7" tint="0.59999389629810485"/>
  </sheetPr>
  <dimension ref="B1:BD62"/>
  <sheetViews>
    <sheetView showGridLines="0" workbookViewId="0">
      <selection activeCell="G13" sqref="G13"/>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9.28515625" bestFit="1" customWidth="1"/>
    <col min="8" max="8" width="16.42578125" bestFit="1" customWidth="1"/>
    <col min="9" max="9" width="11.85546875" bestFit="1" customWidth="1"/>
    <col min="10" max="10" width="30.7109375" style="186" bestFit="1" customWidth="1"/>
    <col min="11" max="11" width="23.85546875" style="186" bestFit="1" customWidth="1"/>
    <col min="12" max="12" width="22.7109375" style="186" bestFit="1" customWidth="1"/>
    <col min="13" max="13" width="30" style="186" bestFit="1" customWidth="1"/>
    <col min="14" max="21" width="30" style="186" customWidth="1"/>
    <col min="22" max="24" width="30.7109375" style="186" bestFit="1" customWidth="1"/>
    <col min="25" max="31" width="30.7109375" style="186" customWidth="1"/>
    <col min="32" max="32" width="30.7109375" style="186" bestFit="1" customWidth="1"/>
    <col min="33" max="33" width="31.28515625" style="186" customWidth="1"/>
    <col min="34" max="34" width="26.85546875" style="186" bestFit="1" customWidth="1"/>
    <col min="35" max="35" width="30.7109375" style="186" bestFit="1" customWidth="1"/>
    <col min="36" max="40" width="30.7109375" style="186" customWidth="1"/>
    <col min="41" max="41" width="43.28515625" style="186" customWidth="1"/>
    <col min="42" max="45" width="30.7109375" style="186" bestFit="1" customWidth="1"/>
    <col min="46" max="46" width="24.5703125" style="186" bestFit="1" customWidth="1"/>
    <col min="47" max="47" width="30.7109375" style="186" bestFit="1" customWidth="1"/>
    <col min="48" max="48" width="16.42578125" style="186" bestFit="1" customWidth="1"/>
    <col min="49" max="49" width="26.85546875" style="186" bestFit="1" customWidth="1"/>
    <col min="50" max="50" width="30.7109375" style="186" bestFit="1" customWidth="1"/>
    <col min="51" max="51" width="25.140625" style="186" bestFit="1" customWidth="1"/>
    <col min="52" max="52" width="45.7109375" style="186" bestFit="1" customWidth="1"/>
    <col min="53" max="53" width="44.28515625" style="186" customWidth="1"/>
    <col min="54" max="54" width="38.28515625" style="186" bestFit="1" customWidth="1"/>
    <col min="55" max="55" width="36.85546875" style="186" customWidth="1"/>
    <col min="56" max="56" width="36.5703125" style="186" customWidth="1"/>
    <col min="57" max="57" width="32.28515625" customWidth="1"/>
    <col min="58" max="58" width="32.5703125" customWidth="1"/>
    <col min="59" max="59" width="21.5703125" customWidth="1"/>
    <col min="60" max="60" width="27.7109375" customWidth="1"/>
    <col min="61" max="61" width="46.42578125" customWidth="1"/>
  </cols>
  <sheetData>
    <row r="1" spans="2:56" ht="27.75" customHeight="1" x14ac:dyDescent="0.25"/>
    <row r="2" spans="2:56" x14ac:dyDescent="0.25">
      <c r="B2" s="98" t="s">
        <v>2684</v>
      </c>
      <c r="C2" s="98" t="s">
        <v>2601</v>
      </c>
      <c r="D2" s="98" t="s">
        <v>2602</v>
      </c>
      <c r="E2" s="98" t="s">
        <v>2603</v>
      </c>
      <c r="F2" s="98" t="s">
        <v>2604</v>
      </c>
      <c r="G2" s="98" t="s">
        <v>2605</v>
      </c>
      <c r="H2" s="98" t="s">
        <v>2606</v>
      </c>
      <c r="I2" s="98" t="s">
        <v>138</v>
      </c>
      <c r="J2" s="187" t="s">
        <v>153</v>
      </c>
      <c r="K2" s="187" t="s">
        <v>165</v>
      </c>
      <c r="L2" s="187" t="s">
        <v>173</v>
      </c>
      <c r="M2" s="187" t="s">
        <v>185</v>
      </c>
      <c r="N2" s="187" t="s">
        <v>194</v>
      </c>
      <c r="O2" s="187" t="s">
        <v>204</v>
      </c>
      <c r="P2" s="187" t="s">
        <v>1594</v>
      </c>
      <c r="Q2" s="187" t="s">
        <v>1601</v>
      </c>
      <c r="R2" s="187" t="s">
        <v>1607</v>
      </c>
      <c r="S2" s="187" t="s">
        <v>1614</v>
      </c>
      <c r="T2" s="187" t="s">
        <v>551</v>
      </c>
      <c r="U2" s="187" t="s">
        <v>554</v>
      </c>
      <c r="V2" s="187" t="s">
        <v>215</v>
      </c>
      <c r="W2" s="187" t="s">
        <v>227</v>
      </c>
      <c r="X2" s="187" t="s">
        <v>239</v>
      </c>
      <c r="Y2" s="187" t="s">
        <v>2610</v>
      </c>
      <c r="Z2" s="187" t="s">
        <v>3046</v>
      </c>
      <c r="AA2" s="187" t="s">
        <v>2611</v>
      </c>
      <c r="AB2" s="187" t="s">
        <v>1721</v>
      </c>
      <c r="AC2" s="187" t="s">
        <v>866</v>
      </c>
      <c r="AD2" s="187" t="s">
        <v>1674</v>
      </c>
      <c r="AE2" s="187" t="s">
        <v>2789</v>
      </c>
      <c r="AF2" s="187" t="s">
        <v>254</v>
      </c>
      <c r="AG2" s="187" t="s">
        <v>3047</v>
      </c>
      <c r="AH2" s="187" t="s">
        <v>3048</v>
      </c>
      <c r="AI2" s="187" t="s">
        <v>292</v>
      </c>
      <c r="AJ2" s="187" t="s">
        <v>2752</v>
      </c>
      <c r="AK2" s="187" t="s">
        <v>2753</v>
      </c>
      <c r="AL2" s="187" t="s">
        <v>1647</v>
      </c>
      <c r="AM2" s="187" t="s">
        <v>3049</v>
      </c>
      <c r="AN2" s="186" t="s">
        <v>282</v>
      </c>
      <c r="AO2" s="186" t="s">
        <v>1682</v>
      </c>
      <c r="AP2" s="186" t="s">
        <v>1688</v>
      </c>
      <c r="AQ2" s="186" t="s">
        <v>1695</v>
      </c>
      <c r="AR2" s="186" t="s">
        <v>1701</v>
      </c>
      <c r="AS2" s="186" t="s">
        <v>1337</v>
      </c>
      <c r="AT2" s="186" t="s">
        <v>1345</v>
      </c>
      <c r="AU2" s="186" t="s">
        <v>640</v>
      </c>
      <c r="AV2" s="186" t="s">
        <v>649</v>
      </c>
      <c r="AW2" s="186" t="s">
        <v>658</v>
      </c>
      <c r="AX2" s="186" t="s">
        <v>665</v>
      </c>
      <c r="AY2" s="186" t="s">
        <v>2790</v>
      </c>
      <c r="AZ2" s="186" t="s">
        <v>302</v>
      </c>
      <c r="BA2" s="186" t="s">
        <v>312</v>
      </c>
      <c r="BB2" s="186" t="s">
        <v>323</v>
      </c>
      <c r="BC2" s="186" t="s">
        <v>330</v>
      </c>
      <c r="BD2" s="186" t="s">
        <v>337</v>
      </c>
    </row>
    <row r="3" spans="2:56" x14ac:dyDescent="0.25">
      <c r="B3" s="51" t="s">
        <v>2554</v>
      </c>
      <c r="C3" s="51">
        <v>1</v>
      </c>
      <c r="D3" t="s">
        <v>3050</v>
      </c>
      <c r="E3" s="111">
        <v>45390</v>
      </c>
      <c r="F3">
        <v>1</v>
      </c>
      <c r="G3" s="185">
        <v>1</v>
      </c>
      <c r="H3" s="112">
        <v>132573</v>
      </c>
    </row>
    <row r="4" spans="2:56" x14ac:dyDescent="0.25">
      <c r="B4" s="51" t="s">
        <v>2556</v>
      </c>
      <c r="C4" s="51">
        <v>2</v>
      </c>
      <c r="D4" t="s">
        <v>3051</v>
      </c>
      <c r="E4" s="111">
        <v>45390</v>
      </c>
      <c r="F4">
        <v>1</v>
      </c>
      <c r="G4" s="185" t="s">
        <v>3052</v>
      </c>
      <c r="H4" s="112">
        <v>18</v>
      </c>
    </row>
    <row r="5" spans="2:56" x14ac:dyDescent="0.25">
      <c r="B5" s="51" t="s">
        <v>2558</v>
      </c>
      <c r="C5" s="51">
        <v>3</v>
      </c>
      <c r="D5" t="s">
        <v>3053</v>
      </c>
      <c r="E5" s="111">
        <v>45390</v>
      </c>
      <c r="F5">
        <v>1</v>
      </c>
      <c r="G5" s="185">
        <v>1</v>
      </c>
      <c r="H5" t="s">
        <v>2616</v>
      </c>
      <c r="I5">
        <v>0</v>
      </c>
      <c r="J5" s="186">
        <v>0</v>
      </c>
      <c r="BC5" s="186">
        <v>0</v>
      </c>
    </row>
    <row r="6" spans="2:56" x14ac:dyDescent="0.25">
      <c r="B6" s="51" t="s">
        <v>2560</v>
      </c>
      <c r="C6" s="51">
        <v>4</v>
      </c>
      <c r="D6" t="s">
        <v>3054</v>
      </c>
      <c r="E6" s="111">
        <v>45390</v>
      </c>
      <c r="F6">
        <v>1</v>
      </c>
      <c r="G6" s="186" t="s">
        <v>2614</v>
      </c>
      <c r="H6" t="s">
        <v>2616</v>
      </c>
      <c r="I6" t="s">
        <v>3055</v>
      </c>
      <c r="J6" s="186" t="s">
        <v>3056</v>
      </c>
      <c r="K6" s="186" t="s">
        <v>3057</v>
      </c>
      <c r="L6" s="186" t="s">
        <v>3058</v>
      </c>
      <c r="M6" s="186" t="s">
        <v>3059</v>
      </c>
      <c r="N6" s="186" t="s">
        <v>3060</v>
      </c>
      <c r="O6" s="186" t="s">
        <v>3061</v>
      </c>
      <c r="P6" s="186" t="s">
        <v>3062</v>
      </c>
      <c r="Q6" s="186" t="s">
        <v>3063</v>
      </c>
      <c r="R6" s="186" t="s">
        <v>3064</v>
      </c>
      <c r="S6" s="186" t="s">
        <v>3065</v>
      </c>
      <c r="T6" s="186" t="s">
        <v>3066</v>
      </c>
      <c r="U6" s="186" t="s">
        <v>3067</v>
      </c>
      <c r="V6" s="186" t="s">
        <v>3068</v>
      </c>
      <c r="W6" s="186" t="s">
        <v>3069</v>
      </c>
      <c r="X6" s="186" t="s">
        <v>3070</v>
      </c>
      <c r="Y6" s="186" t="s">
        <v>3071</v>
      </c>
      <c r="Z6" s="186" t="s">
        <v>3072</v>
      </c>
      <c r="AA6" s="186" t="s">
        <v>3073</v>
      </c>
      <c r="AB6" s="186" t="s">
        <v>3074</v>
      </c>
      <c r="AC6" s="186" t="s">
        <v>3075</v>
      </c>
      <c r="AD6" s="186" t="s">
        <v>3076</v>
      </c>
      <c r="AE6" s="186" t="s">
        <v>3077</v>
      </c>
      <c r="AF6" s="186" t="s">
        <v>3078</v>
      </c>
      <c r="AG6" s="186" t="s">
        <v>3079</v>
      </c>
      <c r="AH6" s="186" t="s">
        <v>3080</v>
      </c>
      <c r="AI6" s="186" t="s">
        <v>3081</v>
      </c>
      <c r="AJ6" s="186" t="s">
        <v>3082</v>
      </c>
      <c r="AK6" s="186" t="s">
        <v>3083</v>
      </c>
      <c r="AL6" s="186" t="s">
        <v>3084</v>
      </c>
      <c r="AM6" s="186" t="s">
        <v>3085</v>
      </c>
      <c r="AN6" s="186" t="s">
        <v>3086</v>
      </c>
      <c r="AO6" s="186" t="s">
        <v>3087</v>
      </c>
      <c r="AP6" s="186" t="s">
        <v>3088</v>
      </c>
      <c r="AQ6" s="186" t="s">
        <v>3089</v>
      </c>
      <c r="AR6" s="186" t="s">
        <v>3090</v>
      </c>
      <c r="AS6" s="186" t="s">
        <v>3091</v>
      </c>
      <c r="AT6" s="186" t="s">
        <v>3092</v>
      </c>
      <c r="AU6" s="186" t="s">
        <v>3093</v>
      </c>
      <c r="AV6" s="186" t="s">
        <v>3094</v>
      </c>
      <c r="AW6" s="186" t="s">
        <v>3095</v>
      </c>
      <c r="AX6" s="186" t="s">
        <v>3096</v>
      </c>
      <c r="AY6" s="186" t="s">
        <v>3097</v>
      </c>
      <c r="AZ6" s="186" t="s">
        <v>3098</v>
      </c>
      <c r="BA6" s="186" t="s">
        <v>3099</v>
      </c>
      <c r="BB6" s="186" t="s">
        <v>3100</v>
      </c>
      <c r="BC6" s="186" t="s">
        <v>3101</v>
      </c>
      <c r="BD6" s="186" t="s">
        <v>3102</v>
      </c>
    </row>
    <row r="7" spans="2:56" x14ac:dyDescent="0.25">
      <c r="B7" s="51" t="s">
        <v>2562</v>
      </c>
      <c r="C7" s="51">
        <v>5</v>
      </c>
      <c r="D7" t="s">
        <v>3103</v>
      </c>
      <c r="E7" s="111">
        <v>45390</v>
      </c>
      <c r="F7">
        <v>1</v>
      </c>
      <c r="G7" s="186" t="s">
        <v>2614</v>
      </c>
      <c r="H7" t="s">
        <v>2616</v>
      </c>
      <c r="I7" t="s">
        <v>3055</v>
      </c>
      <c r="J7" s="186" t="s">
        <v>3056</v>
      </c>
      <c r="K7" s="186" t="s">
        <v>3057</v>
      </c>
      <c r="L7" s="186" t="s">
        <v>3058</v>
      </c>
      <c r="M7" s="186" t="s">
        <v>3059</v>
      </c>
      <c r="N7" s="186" t="s">
        <v>3060</v>
      </c>
      <c r="O7" s="186" t="s">
        <v>3061</v>
      </c>
      <c r="P7" s="186" t="s">
        <v>3062</v>
      </c>
      <c r="Q7" s="186" t="s">
        <v>3063</v>
      </c>
      <c r="R7" s="186" t="s">
        <v>3064</v>
      </c>
      <c r="S7" s="186" t="s">
        <v>3065</v>
      </c>
      <c r="T7" s="186" t="s">
        <v>3066</v>
      </c>
      <c r="U7" s="186" t="s">
        <v>3067</v>
      </c>
      <c r="V7" s="186" t="s">
        <v>3068</v>
      </c>
      <c r="W7" s="186" t="s">
        <v>3069</v>
      </c>
      <c r="X7" s="186" t="s">
        <v>3070</v>
      </c>
      <c r="Y7" s="186" t="s">
        <v>3071</v>
      </c>
      <c r="Z7" s="186" t="s">
        <v>3072</v>
      </c>
      <c r="AA7" s="186" t="s">
        <v>3073</v>
      </c>
      <c r="AB7" s="186" t="s">
        <v>3074</v>
      </c>
      <c r="AC7" s="186" t="s">
        <v>3075</v>
      </c>
      <c r="AD7" s="186" t="s">
        <v>3076</v>
      </c>
      <c r="AE7" s="186" t="s">
        <v>3077</v>
      </c>
      <c r="AF7" s="186" t="s">
        <v>3078</v>
      </c>
      <c r="AG7" s="186" t="s">
        <v>3079</v>
      </c>
      <c r="AH7" s="186" t="s">
        <v>3080</v>
      </c>
      <c r="AI7" s="186" t="s">
        <v>3081</v>
      </c>
      <c r="AJ7" s="186" t="s">
        <v>3082</v>
      </c>
      <c r="AK7" s="186" t="s">
        <v>3083</v>
      </c>
      <c r="AL7" s="186" t="s">
        <v>3084</v>
      </c>
      <c r="AM7" s="186" t="s">
        <v>3085</v>
      </c>
      <c r="AN7" s="186" t="s">
        <v>3086</v>
      </c>
      <c r="AO7" s="186" t="s">
        <v>3087</v>
      </c>
      <c r="AP7" s="186" t="s">
        <v>3088</v>
      </c>
      <c r="AQ7" s="186" t="s">
        <v>3089</v>
      </c>
      <c r="AR7" s="186" t="s">
        <v>3090</v>
      </c>
      <c r="AS7" s="186" t="s">
        <v>3091</v>
      </c>
      <c r="AT7" s="186" t="s">
        <v>3092</v>
      </c>
      <c r="AU7" s="186" t="s">
        <v>3093</v>
      </c>
      <c r="AV7" s="186" t="s">
        <v>3094</v>
      </c>
      <c r="AW7" s="186" t="s">
        <v>3095</v>
      </c>
      <c r="AX7" s="186" t="s">
        <v>3096</v>
      </c>
      <c r="AY7" s="186" t="s">
        <v>3097</v>
      </c>
      <c r="AZ7" s="186" t="s">
        <v>3098</v>
      </c>
      <c r="BA7" s="186" t="s">
        <v>3099</v>
      </c>
      <c r="BB7" s="186" t="s">
        <v>3100</v>
      </c>
      <c r="BC7" s="186" t="s">
        <v>3101</v>
      </c>
      <c r="BD7" s="186" t="s">
        <v>3104</v>
      </c>
    </row>
    <row r="8" spans="2:56" x14ac:dyDescent="0.25">
      <c r="B8" s="51" t="s">
        <v>2563</v>
      </c>
      <c r="C8" s="51">
        <v>6</v>
      </c>
      <c r="D8" t="s">
        <v>3105</v>
      </c>
      <c r="E8" s="111">
        <v>45390</v>
      </c>
      <c r="F8">
        <v>1</v>
      </c>
      <c r="G8" s="186" t="s">
        <v>2614</v>
      </c>
      <c r="H8" t="s">
        <v>2616</v>
      </c>
      <c r="I8">
        <v>2</v>
      </c>
      <c r="J8" s="186">
        <v>30</v>
      </c>
      <c r="K8" s="186">
        <v>13</v>
      </c>
      <c r="L8" s="186">
        <v>3</v>
      </c>
      <c r="M8" s="186">
        <v>3</v>
      </c>
      <c r="N8" s="186">
        <v>1</v>
      </c>
      <c r="O8" s="186">
        <v>1</v>
      </c>
      <c r="P8" s="186">
        <v>1</v>
      </c>
      <c r="Q8" s="186">
        <v>0</v>
      </c>
      <c r="R8" s="186">
        <v>0</v>
      </c>
      <c r="S8" s="186">
        <v>1</v>
      </c>
      <c r="T8" s="186">
        <v>2</v>
      </c>
      <c r="U8" s="186">
        <v>3</v>
      </c>
      <c r="V8" s="186">
        <v>10</v>
      </c>
      <c r="W8" s="186">
        <v>10</v>
      </c>
      <c r="X8" s="186">
        <v>3</v>
      </c>
      <c r="Y8" s="186">
        <v>10</v>
      </c>
      <c r="Z8" s="186">
        <v>10</v>
      </c>
      <c r="AA8" s="186">
        <v>8</v>
      </c>
      <c r="AB8" s="186">
        <v>1</v>
      </c>
      <c r="AC8" s="186">
        <v>10</v>
      </c>
      <c r="AD8" s="186">
        <v>8</v>
      </c>
      <c r="AE8" s="186">
        <v>8</v>
      </c>
      <c r="AF8" s="186">
        <v>1</v>
      </c>
      <c r="AG8" s="186">
        <v>10</v>
      </c>
      <c r="AH8" s="186" t="s">
        <v>2844</v>
      </c>
      <c r="AI8" s="186">
        <v>8</v>
      </c>
      <c r="AJ8" s="186">
        <v>8</v>
      </c>
      <c r="AK8" s="186">
        <v>8</v>
      </c>
      <c r="AL8" s="186">
        <v>8</v>
      </c>
      <c r="AM8" s="186">
        <v>8</v>
      </c>
      <c r="AN8" s="186">
        <v>8</v>
      </c>
      <c r="AO8" s="186">
        <v>1</v>
      </c>
      <c r="AP8" s="186">
        <v>1</v>
      </c>
      <c r="AQ8" s="186">
        <v>8</v>
      </c>
      <c r="AR8" s="186">
        <v>8</v>
      </c>
      <c r="AS8" s="186">
        <v>8</v>
      </c>
      <c r="AT8" s="186">
        <v>3</v>
      </c>
      <c r="AU8" s="186">
        <v>1</v>
      </c>
      <c r="AV8" s="186">
        <v>8</v>
      </c>
      <c r="AW8" s="186">
        <v>8</v>
      </c>
      <c r="AX8" s="186">
        <v>8</v>
      </c>
      <c r="AY8" s="186">
        <v>1</v>
      </c>
      <c r="AZ8" s="186">
        <v>1</v>
      </c>
      <c r="BA8" s="186">
        <v>6</v>
      </c>
      <c r="BB8" s="186">
        <v>2</v>
      </c>
      <c r="BC8" s="186">
        <v>10</v>
      </c>
      <c r="BD8" s="186">
        <v>23</v>
      </c>
    </row>
    <row r="9" spans="2:56" x14ac:dyDescent="0.25">
      <c r="B9" s="51" t="s">
        <v>2566</v>
      </c>
      <c r="C9" s="51">
        <v>7</v>
      </c>
      <c r="D9" t="s">
        <v>3106</v>
      </c>
      <c r="E9" s="111">
        <v>45390</v>
      </c>
      <c r="F9">
        <v>1</v>
      </c>
      <c r="G9" s="186" t="s">
        <v>2614</v>
      </c>
      <c r="H9" t="s">
        <v>2616</v>
      </c>
      <c r="I9">
        <v>2</v>
      </c>
      <c r="J9" s="186">
        <v>32</v>
      </c>
      <c r="K9" s="186">
        <v>17</v>
      </c>
      <c r="L9" s="186">
        <v>3</v>
      </c>
      <c r="M9" s="186">
        <v>3</v>
      </c>
      <c r="N9" s="186">
        <v>3</v>
      </c>
      <c r="O9" s="186">
        <v>35</v>
      </c>
      <c r="P9" s="186">
        <v>34</v>
      </c>
      <c r="Q9" s="186">
        <v>3</v>
      </c>
      <c r="R9" s="186">
        <v>35</v>
      </c>
      <c r="S9" s="186">
        <v>34</v>
      </c>
      <c r="T9" s="186">
        <v>3</v>
      </c>
      <c r="U9" s="186">
        <v>17</v>
      </c>
      <c r="V9" s="186">
        <v>10</v>
      </c>
      <c r="W9" s="186">
        <v>10</v>
      </c>
      <c r="X9" s="186">
        <v>3</v>
      </c>
      <c r="Y9" s="186">
        <v>10</v>
      </c>
      <c r="Z9" s="186">
        <v>10</v>
      </c>
      <c r="AA9" s="186">
        <v>16</v>
      </c>
      <c r="AB9" s="186">
        <v>2</v>
      </c>
      <c r="AC9" s="186">
        <v>10</v>
      </c>
      <c r="AD9" s="186">
        <v>16</v>
      </c>
      <c r="AE9" s="186">
        <v>15</v>
      </c>
      <c r="AF9" s="186">
        <v>1</v>
      </c>
      <c r="AG9" s="186">
        <v>10</v>
      </c>
      <c r="AH9" s="186" t="s">
        <v>2844</v>
      </c>
      <c r="AI9" s="186">
        <v>11</v>
      </c>
      <c r="AJ9" s="186">
        <v>16</v>
      </c>
      <c r="AK9" s="186">
        <v>16</v>
      </c>
      <c r="AL9" s="186">
        <v>10</v>
      </c>
      <c r="AM9" s="186">
        <v>15</v>
      </c>
      <c r="AN9" s="186">
        <v>15</v>
      </c>
      <c r="AO9" s="186">
        <v>2</v>
      </c>
      <c r="AP9" s="186">
        <v>3</v>
      </c>
      <c r="AQ9" s="186">
        <v>9</v>
      </c>
      <c r="AR9" s="186">
        <v>8</v>
      </c>
      <c r="AS9" s="186">
        <v>8</v>
      </c>
      <c r="AT9" s="186">
        <v>4</v>
      </c>
      <c r="AU9" s="186">
        <v>3</v>
      </c>
      <c r="AV9" s="186">
        <v>9</v>
      </c>
      <c r="AW9" s="186">
        <v>8</v>
      </c>
      <c r="AX9" s="186">
        <v>8</v>
      </c>
      <c r="AY9" s="186">
        <v>1</v>
      </c>
      <c r="AZ9" s="186">
        <v>2</v>
      </c>
      <c r="BA9" s="186">
        <v>6</v>
      </c>
      <c r="BB9" s="186">
        <v>3</v>
      </c>
      <c r="BC9" s="186">
        <v>10</v>
      </c>
      <c r="BD9" s="186">
        <v>23</v>
      </c>
    </row>
    <row r="10" spans="2:56" x14ac:dyDescent="0.25">
      <c r="B10" s="51" t="s">
        <v>2569</v>
      </c>
      <c r="C10" s="51">
        <v>8</v>
      </c>
      <c r="D10" t="s">
        <v>3107</v>
      </c>
      <c r="E10" s="111">
        <v>45390</v>
      </c>
      <c r="F10">
        <v>1</v>
      </c>
      <c r="G10" s="186" t="s">
        <v>2614</v>
      </c>
      <c r="H10" t="s">
        <v>2616</v>
      </c>
      <c r="I10">
        <v>31</v>
      </c>
      <c r="J10" s="186">
        <v>1.119950000013E+25</v>
      </c>
      <c r="K10" s="186" t="s">
        <v>165</v>
      </c>
      <c r="L10" s="186">
        <v>0</v>
      </c>
      <c r="M10" s="186">
        <v>9</v>
      </c>
      <c r="N10" s="186" t="s">
        <v>683</v>
      </c>
      <c r="O10" s="186" t="s">
        <v>683</v>
      </c>
      <c r="P10" s="186" t="s">
        <v>683</v>
      </c>
      <c r="S10" s="186" t="s">
        <v>683</v>
      </c>
      <c r="T10" s="186" t="s">
        <v>3108</v>
      </c>
      <c r="U10" s="186" t="s">
        <v>3108</v>
      </c>
      <c r="V10" s="188">
        <v>32265</v>
      </c>
      <c r="W10" s="188">
        <v>36313</v>
      </c>
      <c r="X10" s="186">
        <v>0</v>
      </c>
      <c r="Y10" s="188">
        <v>43312</v>
      </c>
      <c r="Z10" s="188">
        <v>40936</v>
      </c>
      <c r="AA10" s="186" t="s">
        <v>2616</v>
      </c>
      <c r="AB10" s="186">
        <v>-1</v>
      </c>
      <c r="AC10" s="188">
        <v>2958465</v>
      </c>
      <c r="AD10" s="186" t="s">
        <v>3109</v>
      </c>
      <c r="AE10" s="186" t="s">
        <v>2616</v>
      </c>
      <c r="AF10" s="186">
        <v>0</v>
      </c>
      <c r="AG10" s="188">
        <v>2958465</v>
      </c>
      <c r="AH10" s="186" t="s">
        <v>2844</v>
      </c>
      <c r="AI10" s="186" t="s">
        <v>2616</v>
      </c>
      <c r="AJ10" s="186" t="s">
        <v>3109</v>
      </c>
      <c r="AK10" s="185">
        <v>-50082278400000</v>
      </c>
      <c r="AL10" s="186" t="s">
        <v>2616</v>
      </c>
      <c r="AM10" s="185">
        <v>-11976360000</v>
      </c>
      <c r="AN10" s="185">
        <v>-1240000000000</v>
      </c>
      <c r="AO10" s="186">
        <v>-1</v>
      </c>
      <c r="AP10" s="186" t="s">
        <v>683</v>
      </c>
      <c r="AQ10" s="186" t="s">
        <v>3110</v>
      </c>
      <c r="AR10" s="186" t="s">
        <v>2616</v>
      </c>
      <c r="AS10" s="186" t="s">
        <v>2616</v>
      </c>
      <c r="AT10" s="186" t="s">
        <v>3108</v>
      </c>
      <c r="AU10" s="186" t="s">
        <v>683</v>
      </c>
      <c r="AV10" s="186" t="s">
        <v>3111</v>
      </c>
      <c r="AW10" s="186" t="s">
        <v>2616</v>
      </c>
      <c r="AX10" s="186" t="s">
        <v>2616</v>
      </c>
      <c r="AY10" s="186">
        <v>0</v>
      </c>
      <c r="AZ10" s="186">
        <v>0</v>
      </c>
      <c r="BA10" s="186" t="s">
        <v>3112</v>
      </c>
      <c r="BB10" s="186" t="s">
        <v>3113</v>
      </c>
      <c r="BC10" s="188">
        <v>45390</v>
      </c>
      <c r="BD10" s="186" t="s">
        <v>3114</v>
      </c>
    </row>
    <row r="11" spans="2:56" x14ac:dyDescent="0.25">
      <c r="B11" s="51" t="s">
        <v>2571</v>
      </c>
      <c r="C11" s="51">
        <v>9</v>
      </c>
      <c r="D11" t="s">
        <v>3115</v>
      </c>
      <c r="E11" s="111">
        <v>45390</v>
      </c>
      <c r="F11">
        <v>1</v>
      </c>
      <c r="G11" s="186" t="s">
        <v>2614</v>
      </c>
      <c r="H11" t="s">
        <v>2616</v>
      </c>
      <c r="I11">
        <v>31</v>
      </c>
      <c r="J11" s="186">
        <v>1.119950000013E+25</v>
      </c>
      <c r="K11" s="186" t="s">
        <v>165</v>
      </c>
      <c r="L11" s="186">
        <v>0</v>
      </c>
      <c r="M11" s="186">
        <v>9</v>
      </c>
      <c r="N11" s="186" t="s">
        <v>683</v>
      </c>
      <c r="O11" s="186" t="s">
        <v>683</v>
      </c>
      <c r="P11" s="186" t="s">
        <v>683</v>
      </c>
      <c r="S11" s="186" t="s">
        <v>683</v>
      </c>
      <c r="T11" s="186" t="s">
        <v>3108</v>
      </c>
      <c r="U11" s="186" t="s">
        <v>3108</v>
      </c>
      <c r="V11" s="188">
        <v>32265</v>
      </c>
      <c r="W11" s="188">
        <v>36313</v>
      </c>
      <c r="X11" s="186">
        <v>0</v>
      </c>
      <c r="Y11" s="188">
        <v>43312</v>
      </c>
      <c r="Z11" s="188">
        <v>40936</v>
      </c>
      <c r="AA11" s="186" t="s">
        <v>2616</v>
      </c>
      <c r="AB11" s="186">
        <v>-1</v>
      </c>
      <c r="AC11" s="188">
        <v>2958465</v>
      </c>
      <c r="AD11" s="186" t="s">
        <v>3109</v>
      </c>
      <c r="AE11" s="186" t="s">
        <v>2616</v>
      </c>
      <c r="AF11" s="186">
        <v>0</v>
      </c>
      <c r="AG11" s="188">
        <v>2958465</v>
      </c>
      <c r="AH11" s="186" t="s">
        <v>2844</v>
      </c>
      <c r="AI11" s="186" t="s">
        <v>2616</v>
      </c>
      <c r="AJ11" s="186" t="s">
        <v>3109</v>
      </c>
      <c r="AK11" s="185">
        <v>-50082278400000</v>
      </c>
      <c r="AL11" s="186" t="s">
        <v>2616</v>
      </c>
      <c r="AM11" s="185">
        <v>-11976360000</v>
      </c>
      <c r="AN11" s="185">
        <v>-1240000000000</v>
      </c>
      <c r="AO11" s="186">
        <v>-1</v>
      </c>
      <c r="AP11" s="186" t="s">
        <v>683</v>
      </c>
      <c r="AQ11" s="186" t="s">
        <v>3110</v>
      </c>
      <c r="AR11" s="186" t="s">
        <v>2616</v>
      </c>
      <c r="AS11" s="186" t="s">
        <v>2616</v>
      </c>
      <c r="AT11" s="186" t="s">
        <v>3108</v>
      </c>
      <c r="AU11" s="186" t="s">
        <v>683</v>
      </c>
      <c r="AV11" s="186" t="s">
        <v>3111</v>
      </c>
      <c r="AW11" s="186" t="s">
        <v>2616</v>
      </c>
      <c r="AX11" s="186" t="s">
        <v>2616</v>
      </c>
      <c r="AY11" s="186">
        <v>0</v>
      </c>
      <c r="AZ11" s="186">
        <v>0</v>
      </c>
      <c r="BA11" s="186" t="s">
        <v>3112</v>
      </c>
      <c r="BB11" s="186" t="s">
        <v>3113</v>
      </c>
      <c r="BC11" s="188">
        <v>45390</v>
      </c>
      <c r="BD11" s="186" t="s">
        <v>3116</v>
      </c>
    </row>
    <row r="12" spans="2:56" x14ac:dyDescent="0.25">
      <c r="B12" s="51" t="s">
        <v>2573</v>
      </c>
      <c r="C12" s="51">
        <v>10</v>
      </c>
      <c r="D12" t="s">
        <v>3117</v>
      </c>
      <c r="E12" s="111">
        <v>45390</v>
      </c>
      <c r="F12">
        <v>1</v>
      </c>
      <c r="G12" s="186" t="s">
        <v>2614</v>
      </c>
      <c r="H12" t="s">
        <v>2616</v>
      </c>
      <c r="I12">
        <v>89</v>
      </c>
      <c r="J12" s="186">
        <v>3.9400200044367002E+28</v>
      </c>
      <c r="K12" s="186" t="s">
        <v>3118</v>
      </c>
      <c r="L12" s="186">
        <v>29</v>
      </c>
      <c r="M12" s="186" t="s">
        <v>3119</v>
      </c>
      <c r="N12" s="186">
        <v>31</v>
      </c>
      <c r="O12" s="186">
        <v>1.8239302783937002E+32</v>
      </c>
      <c r="P12" s="186" t="s">
        <v>2970</v>
      </c>
      <c r="Q12" s="186">
        <v>31</v>
      </c>
      <c r="R12" s="186">
        <v>1.8239302783937002E+32</v>
      </c>
      <c r="S12" s="186" t="s">
        <v>2970</v>
      </c>
      <c r="T12" s="186">
        <v>89</v>
      </c>
      <c r="U12" s="186">
        <v>1120240000133</v>
      </c>
      <c r="V12" s="188">
        <v>45390</v>
      </c>
      <c r="W12" s="188">
        <v>2958465</v>
      </c>
      <c r="X12" s="186" t="s">
        <v>2973</v>
      </c>
      <c r="Y12" s="188">
        <v>2958465</v>
      </c>
      <c r="Z12" s="188">
        <v>2958465</v>
      </c>
      <c r="AA12" s="185">
        <v>171783440160000</v>
      </c>
      <c r="AB12" s="186">
        <v>1</v>
      </c>
      <c r="AC12" s="188">
        <v>2958465</v>
      </c>
      <c r="AD12" s="185">
        <v>199999961040000</v>
      </c>
      <c r="AE12" s="185">
        <v>37950000000000</v>
      </c>
      <c r="AF12" s="186">
        <v>1</v>
      </c>
      <c r="AG12" s="188">
        <v>2958465</v>
      </c>
      <c r="AH12" s="186" t="s">
        <v>2844</v>
      </c>
      <c r="AI12" s="185">
        <v>8835980000</v>
      </c>
      <c r="AJ12" s="185">
        <v>199999961040000</v>
      </c>
      <c r="AK12" s="185">
        <v>171783440160000</v>
      </c>
      <c r="AL12" s="185">
        <v>100000000</v>
      </c>
      <c r="AM12" s="185">
        <v>37950000000000</v>
      </c>
      <c r="AN12" s="185">
        <v>5165000000000</v>
      </c>
      <c r="AO12" s="186">
        <v>1</v>
      </c>
      <c r="AP12" s="186" t="s">
        <v>3120</v>
      </c>
      <c r="AQ12" s="186" t="s">
        <v>3121</v>
      </c>
      <c r="AR12" s="185">
        <v>5750000</v>
      </c>
      <c r="AS12" s="185">
        <v>5750000</v>
      </c>
      <c r="AT12" s="186">
        <v>9999</v>
      </c>
      <c r="AU12" s="186" t="s">
        <v>3122</v>
      </c>
      <c r="AV12" s="185">
        <v>4160000</v>
      </c>
      <c r="AW12" s="185">
        <v>5000000</v>
      </c>
      <c r="AX12" s="185">
        <v>8923000</v>
      </c>
      <c r="AY12" s="186">
        <v>1</v>
      </c>
      <c r="AZ12" s="186" t="s">
        <v>3123</v>
      </c>
      <c r="BA12" s="186" t="s">
        <v>3112</v>
      </c>
      <c r="BB12" s="186" t="s">
        <v>2638</v>
      </c>
      <c r="BC12" s="188">
        <v>45390</v>
      </c>
      <c r="BD12" s="186" t="s">
        <v>3124</v>
      </c>
    </row>
    <row r="13" spans="2:56" x14ac:dyDescent="0.25">
      <c r="B13" s="51" t="s">
        <v>2575</v>
      </c>
      <c r="C13" s="51">
        <v>11</v>
      </c>
      <c r="D13" t="s">
        <v>3125</v>
      </c>
      <c r="E13" s="111">
        <v>45390</v>
      </c>
      <c r="F13">
        <v>1</v>
      </c>
      <c r="G13" s="186" t="s">
        <v>2614</v>
      </c>
      <c r="H13" t="s">
        <v>2616</v>
      </c>
      <c r="I13">
        <v>89</v>
      </c>
      <c r="J13" s="186">
        <v>3.9400200044367002E+28</v>
      </c>
      <c r="K13" s="186" t="s">
        <v>3118</v>
      </c>
      <c r="L13" s="186">
        <v>29</v>
      </c>
      <c r="M13" s="186" t="s">
        <v>3119</v>
      </c>
      <c r="N13" s="186">
        <v>31</v>
      </c>
      <c r="O13" s="186">
        <v>1.8239302783937002E+32</v>
      </c>
      <c r="P13" s="186" t="s">
        <v>2970</v>
      </c>
      <c r="Q13" s="186">
        <v>31</v>
      </c>
      <c r="R13" s="186">
        <v>1.8239302783937002E+32</v>
      </c>
      <c r="S13" s="186" t="s">
        <v>2970</v>
      </c>
      <c r="T13" s="186">
        <v>89</v>
      </c>
      <c r="U13" s="186">
        <v>1120240000133</v>
      </c>
      <c r="V13" s="188">
        <v>45390</v>
      </c>
      <c r="W13" s="188">
        <v>2958465</v>
      </c>
      <c r="X13" s="186" t="s">
        <v>2973</v>
      </c>
      <c r="Y13" s="188">
        <v>2958465</v>
      </c>
      <c r="Z13" s="188">
        <v>2958465</v>
      </c>
      <c r="AA13" s="185">
        <v>171783440160000</v>
      </c>
      <c r="AB13" s="186">
        <v>1</v>
      </c>
      <c r="AC13" s="188">
        <v>2958465</v>
      </c>
      <c r="AD13" s="185">
        <v>199999961040000</v>
      </c>
      <c r="AE13" s="185">
        <v>37950000000000</v>
      </c>
      <c r="AF13" s="186">
        <v>1</v>
      </c>
      <c r="AG13" s="188">
        <v>2958465</v>
      </c>
      <c r="AH13" s="186" t="s">
        <v>2844</v>
      </c>
      <c r="AI13" s="185">
        <v>8835980000</v>
      </c>
      <c r="AJ13" s="185">
        <v>199999961040000</v>
      </c>
      <c r="AK13" s="185">
        <v>171783440160000</v>
      </c>
      <c r="AL13" s="185">
        <v>100000000</v>
      </c>
      <c r="AM13" s="185">
        <v>37950000000000</v>
      </c>
      <c r="AN13" s="185">
        <v>5165000000000</v>
      </c>
      <c r="AO13" s="186">
        <v>1</v>
      </c>
      <c r="AP13" s="186" t="s">
        <v>3120</v>
      </c>
      <c r="AQ13" s="186" t="s">
        <v>3121</v>
      </c>
      <c r="AR13" s="185">
        <v>5750000</v>
      </c>
      <c r="AS13" s="185">
        <v>5750000</v>
      </c>
      <c r="AT13" s="186">
        <v>9999</v>
      </c>
      <c r="AU13" s="186" t="s">
        <v>3122</v>
      </c>
      <c r="AV13" s="185">
        <v>4160000</v>
      </c>
      <c r="AW13" s="185">
        <v>5000000</v>
      </c>
      <c r="AX13" s="185">
        <v>8923000</v>
      </c>
      <c r="AY13" s="186">
        <v>1</v>
      </c>
      <c r="AZ13" s="186" t="s">
        <v>3123</v>
      </c>
      <c r="BA13" s="186" t="s">
        <v>3112</v>
      </c>
      <c r="BB13" s="186" t="s">
        <v>2638</v>
      </c>
      <c r="BC13" s="188">
        <v>45390</v>
      </c>
      <c r="BD13" s="186" t="s">
        <v>3126</v>
      </c>
    </row>
    <row r="14" spans="2:56" x14ac:dyDescent="0.25">
      <c r="B14" s="51" t="s">
        <v>2577</v>
      </c>
      <c r="C14" s="51">
        <v>12</v>
      </c>
      <c r="D14" t="s">
        <v>3127</v>
      </c>
      <c r="E14" s="111">
        <v>45390</v>
      </c>
      <c r="F14">
        <v>1</v>
      </c>
      <c r="G14" s="186" t="s">
        <v>3128</v>
      </c>
      <c r="H14" t="s">
        <v>2616</v>
      </c>
      <c r="I14">
        <v>0</v>
      </c>
      <c r="J14" s="186">
        <v>0</v>
      </c>
      <c r="K14" s="186">
        <v>0</v>
      </c>
      <c r="L14" s="186">
        <v>0</v>
      </c>
      <c r="M14" s="186">
        <v>14</v>
      </c>
      <c r="N14" s="186">
        <v>0</v>
      </c>
      <c r="O14" s="186">
        <v>0</v>
      </c>
      <c r="P14" s="186">
        <v>0</v>
      </c>
      <c r="Q14" s="186">
        <v>0</v>
      </c>
      <c r="R14" s="186">
        <v>0</v>
      </c>
      <c r="S14" s="186">
        <v>0</v>
      </c>
      <c r="T14" s="186">
        <v>0</v>
      </c>
      <c r="U14" s="186">
        <v>0</v>
      </c>
      <c r="V14" s="186">
        <v>0</v>
      </c>
      <c r="W14" s="186">
        <v>0</v>
      </c>
      <c r="X14" s="186">
        <v>0</v>
      </c>
      <c r="Y14" s="186">
        <v>0</v>
      </c>
      <c r="Z14" s="186">
        <v>0</v>
      </c>
      <c r="AA14" s="186">
        <v>16288</v>
      </c>
      <c r="AB14" s="186">
        <v>0</v>
      </c>
      <c r="AC14" s="186">
        <v>0</v>
      </c>
      <c r="AD14" s="186">
        <v>94484</v>
      </c>
      <c r="AE14" s="186">
        <v>15911</v>
      </c>
      <c r="AF14" s="186">
        <v>0</v>
      </c>
      <c r="AG14" s="186">
        <v>0</v>
      </c>
      <c r="AH14" s="186">
        <v>132573</v>
      </c>
      <c r="AI14" s="186">
        <v>132143</v>
      </c>
      <c r="AJ14" s="186">
        <v>12699</v>
      </c>
      <c r="AK14" s="186">
        <v>12699</v>
      </c>
      <c r="AL14" s="186">
        <v>16292</v>
      </c>
      <c r="AM14" s="186">
        <v>15372</v>
      </c>
      <c r="AN14" s="186">
        <v>14981</v>
      </c>
      <c r="AO14" s="186">
        <v>0</v>
      </c>
      <c r="AP14" s="186">
        <v>0</v>
      </c>
      <c r="AQ14" s="186">
        <v>16292</v>
      </c>
      <c r="AR14" s="186">
        <v>16292</v>
      </c>
      <c r="AS14" s="186">
        <v>16292</v>
      </c>
      <c r="AT14" s="186">
        <v>0</v>
      </c>
      <c r="AU14" s="186">
        <v>0</v>
      </c>
      <c r="AV14" s="186">
        <v>16292</v>
      </c>
      <c r="AW14" s="186">
        <v>16292</v>
      </c>
      <c r="AX14" s="186">
        <v>16292</v>
      </c>
      <c r="AY14" s="186">
        <v>0</v>
      </c>
      <c r="AZ14" s="186">
        <v>0</v>
      </c>
      <c r="BA14" s="186">
        <v>0</v>
      </c>
      <c r="BB14" s="186">
        <v>0</v>
      </c>
      <c r="BC14" s="186">
        <v>0</v>
      </c>
      <c r="BD14" s="186">
        <v>0</v>
      </c>
    </row>
    <row r="15" spans="2:56" x14ac:dyDescent="0.25">
      <c r="B15" s="51" t="s">
        <v>3129</v>
      </c>
      <c r="C15" s="51">
        <v>13</v>
      </c>
      <c r="D15" t="s">
        <v>3130</v>
      </c>
      <c r="E15" s="111">
        <v>45390</v>
      </c>
      <c r="F15">
        <v>1</v>
      </c>
      <c r="G15" s="185">
        <v>1</v>
      </c>
      <c r="H15" t="s">
        <v>2616</v>
      </c>
      <c r="V15" s="186">
        <v>0</v>
      </c>
      <c r="W15" s="186">
        <v>426</v>
      </c>
      <c r="Y15" s="186">
        <v>131511</v>
      </c>
      <c r="Z15" s="186">
        <v>16292</v>
      </c>
      <c r="AC15" s="186">
        <v>132573</v>
      </c>
      <c r="AG15" s="186">
        <v>132573</v>
      </c>
    </row>
    <row r="16" spans="2:56" ht="30" x14ac:dyDescent="0.25">
      <c r="B16" s="51" t="s">
        <v>3131</v>
      </c>
      <c r="C16" s="51">
        <v>22</v>
      </c>
      <c r="D16" t="s">
        <v>3130</v>
      </c>
      <c r="E16" s="111">
        <v>45390</v>
      </c>
      <c r="F16">
        <v>1</v>
      </c>
      <c r="G16" s="112">
        <v>1</v>
      </c>
      <c r="H16" t="s">
        <v>2616</v>
      </c>
      <c r="V16" s="189" t="s">
        <v>3132</v>
      </c>
      <c r="W16" s="189" t="s">
        <v>3133</v>
      </c>
      <c r="Y16" s="189" t="s">
        <v>3133</v>
      </c>
      <c r="Z16" s="189" t="s">
        <v>3133</v>
      </c>
      <c r="AC16" s="189" t="s">
        <v>3133</v>
      </c>
      <c r="AG16" s="189" t="s">
        <v>3133</v>
      </c>
    </row>
    <row r="17" spans="2:56" x14ac:dyDescent="0.25">
      <c r="B17" s="51" t="s">
        <v>3134</v>
      </c>
      <c r="C17" s="51">
        <v>15</v>
      </c>
      <c r="D17" t="s">
        <v>3135</v>
      </c>
      <c r="E17" s="111">
        <v>45390</v>
      </c>
      <c r="F17">
        <v>1</v>
      </c>
      <c r="G17" s="112">
        <v>1</v>
      </c>
      <c r="H17" t="s">
        <v>2616</v>
      </c>
      <c r="AB17" s="186">
        <v>430</v>
      </c>
      <c r="AF17" s="186">
        <v>0</v>
      </c>
    </row>
    <row r="18" spans="2:56" ht="30" x14ac:dyDescent="0.25">
      <c r="B18" s="51" t="s">
        <v>3136</v>
      </c>
      <c r="C18" s="51">
        <v>23</v>
      </c>
      <c r="D18" t="s">
        <v>3135</v>
      </c>
      <c r="E18" s="111">
        <v>45390</v>
      </c>
      <c r="F18">
        <v>1</v>
      </c>
      <c r="G18" s="112">
        <v>1</v>
      </c>
      <c r="H18" t="s">
        <v>2616</v>
      </c>
      <c r="AB18" s="189" t="s">
        <v>3137</v>
      </c>
      <c r="AF18" s="189" t="s">
        <v>3132</v>
      </c>
    </row>
    <row r="19" spans="2:56" x14ac:dyDescent="0.25">
      <c r="B19" s="51" t="s">
        <v>3138</v>
      </c>
      <c r="C19" s="51">
        <v>16</v>
      </c>
      <c r="D19" t="s">
        <v>3139</v>
      </c>
      <c r="E19" s="111">
        <v>45390</v>
      </c>
      <c r="F19">
        <v>1</v>
      </c>
      <c r="G19" s="112">
        <v>1</v>
      </c>
      <c r="H19" t="s">
        <v>2616</v>
      </c>
      <c r="V19" s="186">
        <v>0</v>
      </c>
      <c r="W19" s="186">
        <v>0</v>
      </c>
      <c r="Y19" s="186">
        <v>0</v>
      </c>
      <c r="Z19" s="186">
        <v>0</v>
      </c>
      <c r="AC19" s="186">
        <v>0</v>
      </c>
      <c r="AG19" s="186">
        <v>0</v>
      </c>
    </row>
    <row r="20" spans="2:56" x14ac:dyDescent="0.25">
      <c r="B20" s="51" t="s">
        <v>2585</v>
      </c>
      <c r="C20" s="51">
        <v>17</v>
      </c>
      <c r="D20" t="s">
        <v>3140</v>
      </c>
      <c r="E20" s="111">
        <v>45390</v>
      </c>
      <c r="F20">
        <v>1</v>
      </c>
      <c r="G20" s="112">
        <v>1</v>
      </c>
      <c r="H20" t="s">
        <v>2616</v>
      </c>
    </row>
    <row r="21" spans="2:56" x14ac:dyDescent="0.25">
      <c r="B21" s="51" t="s">
        <v>2583</v>
      </c>
      <c r="C21" s="51">
        <v>18</v>
      </c>
      <c r="D21" t="s">
        <v>3140</v>
      </c>
      <c r="E21" s="111">
        <v>45390</v>
      </c>
      <c r="F21">
        <v>1</v>
      </c>
      <c r="G21" s="112">
        <v>1</v>
      </c>
      <c r="H21" t="s">
        <v>2616</v>
      </c>
    </row>
    <row r="22" spans="2:56" x14ac:dyDescent="0.25">
      <c r="B22" s="51" t="s">
        <v>2587</v>
      </c>
      <c r="C22" s="51">
        <v>19</v>
      </c>
      <c r="D22" t="s">
        <v>3141</v>
      </c>
      <c r="E22" s="111">
        <v>45390</v>
      </c>
      <c r="F22">
        <v>1</v>
      </c>
      <c r="G22" t="s">
        <v>3142</v>
      </c>
      <c r="H22" s="112">
        <v>132573</v>
      </c>
    </row>
    <row r="23" spans="2:56" x14ac:dyDescent="0.25">
      <c r="B23" s="51" t="s">
        <v>2589</v>
      </c>
      <c r="C23" s="51">
        <v>20</v>
      </c>
      <c r="D23" t="s">
        <v>3141</v>
      </c>
      <c r="E23" s="111">
        <v>45390</v>
      </c>
      <c r="F23">
        <v>1</v>
      </c>
      <c r="H23" s="112">
        <v>58956</v>
      </c>
    </row>
    <row r="24" spans="2:56" x14ac:dyDescent="0.25">
      <c r="B24" s="51" t="s">
        <v>2591</v>
      </c>
      <c r="C24" s="51">
        <v>21</v>
      </c>
      <c r="D24" t="s">
        <v>3143</v>
      </c>
      <c r="E24" s="111">
        <v>45390</v>
      </c>
      <c r="F24">
        <v>1</v>
      </c>
      <c r="H24" t="s">
        <v>2616</v>
      </c>
      <c r="I24" t="s">
        <v>2654</v>
      </c>
      <c r="J24" s="186" t="s">
        <v>2654</v>
      </c>
      <c r="K24" s="186" t="s">
        <v>2654</v>
      </c>
      <c r="L24" s="186" t="s">
        <v>2654</v>
      </c>
      <c r="M24" s="186" t="s">
        <v>2654</v>
      </c>
      <c r="N24" s="186" t="s">
        <v>2654</v>
      </c>
      <c r="O24" s="186" t="s">
        <v>2654</v>
      </c>
      <c r="P24" s="186" t="s">
        <v>2654</v>
      </c>
      <c r="Q24" s="186" t="s">
        <v>2654</v>
      </c>
      <c r="R24" s="186" t="s">
        <v>2654</v>
      </c>
      <c r="S24" s="186" t="s">
        <v>2654</v>
      </c>
      <c r="T24" s="186" t="s">
        <v>2654</v>
      </c>
      <c r="U24" s="186" t="s">
        <v>2654</v>
      </c>
      <c r="V24" s="186" t="s">
        <v>2951</v>
      </c>
      <c r="W24" s="186" t="s">
        <v>2951</v>
      </c>
      <c r="X24" s="186" t="s">
        <v>2654</v>
      </c>
      <c r="Y24" s="186" t="s">
        <v>2951</v>
      </c>
      <c r="Z24" s="186" t="s">
        <v>2951</v>
      </c>
      <c r="AA24" s="186" t="s">
        <v>2655</v>
      </c>
      <c r="AB24" s="186" t="s">
        <v>3018</v>
      </c>
      <c r="AC24" s="186" t="s">
        <v>2951</v>
      </c>
      <c r="AD24" s="186" t="s">
        <v>2655</v>
      </c>
      <c r="AE24" s="186" t="s">
        <v>2655</v>
      </c>
      <c r="AF24" s="186" t="s">
        <v>3018</v>
      </c>
      <c r="AG24" s="186" t="s">
        <v>2951</v>
      </c>
      <c r="AH24" s="186" t="s">
        <v>2655</v>
      </c>
      <c r="AI24" s="186" t="s">
        <v>2655</v>
      </c>
      <c r="AJ24" s="186" t="s">
        <v>2655</v>
      </c>
      <c r="AK24" s="186" t="s">
        <v>2655</v>
      </c>
      <c r="AL24" s="186" t="s">
        <v>2655</v>
      </c>
      <c r="AM24" s="186" t="s">
        <v>2655</v>
      </c>
      <c r="AN24" s="186" t="s">
        <v>2655</v>
      </c>
      <c r="AO24" s="186" t="s">
        <v>3018</v>
      </c>
      <c r="AP24" s="186" t="s">
        <v>2654</v>
      </c>
      <c r="AQ24" s="186" t="s">
        <v>2655</v>
      </c>
      <c r="AR24" s="186" t="s">
        <v>2655</v>
      </c>
      <c r="AS24" s="186" t="s">
        <v>2655</v>
      </c>
      <c r="AT24" s="186" t="s">
        <v>2654</v>
      </c>
      <c r="AU24" s="186" t="s">
        <v>2654</v>
      </c>
      <c r="AV24" s="186" t="s">
        <v>2655</v>
      </c>
      <c r="AW24" s="186" t="s">
        <v>2655</v>
      </c>
      <c r="AX24" s="186" t="s">
        <v>2655</v>
      </c>
      <c r="AY24" s="186" t="s">
        <v>3018</v>
      </c>
      <c r="AZ24" s="186" t="s">
        <v>2654</v>
      </c>
      <c r="BA24" s="186" t="s">
        <v>2654</v>
      </c>
      <c r="BB24" s="186" t="s">
        <v>2654</v>
      </c>
      <c r="BC24" s="186" t="s">
        <v>2654</v>
      </c>
      <c r="BD24" s="186" t="s">
        <v>2656</v>
      </c>
    </row>
    <row r="25" spans="2:56" x14ac:dyDescent="0.25">
      <c r="B25" s="51" t="s">
        <v>2597</v>
      </c>
      <c r="C25" s="51">
        <v>24</v>
      </c>
      <c r="D25" s="51"/>
      <c r="E25" s="119"/>
      <c r="F25" s="51"/>
      <c r="G25" s="51" cm="1">
        <f t="array" ref="G25">SUM(IF(IF(G3:G24="null",1,G3:G24)=1,1,0))/COUNT(IF(G3:G24="null",1,1))</f>
        <v>0.77272727272727271</v>
      </c>
      <c r="H25" s="51"/>
      <c r="I25" s="51"/>
      <c r="J25" s="187"/>
      <c r="K25" s="187"/>
      <c r="L25" s="187"/>
      <c r="M25" s="187"/>
      <c r="N25" s="187"/>
      <c r="O25" s="187"/>
      <c r="P25" s="187"/>
      <c r="Q25" s="187"/>
      <c r="R25" s="187"/>
      <c r="S25" s="187"/>
      <c r="T25" s="187"/>
      <c r="U25" s="187"/>
      <c r="V25" s="187"/>
      <c r="W25" s="187"/>
      <c r="X25" s="187"/>
      <c r="Y25" s="187"/>
      <c r="Z25" s="187"/>
      <c r="AA25" s="187"/>
      <c r="AB25" s="187"/>
      <c r="AC25" s="187"/>
      <c r="AD25" s="187"/>
      <c r="AE25" s="187"/>
      <c r="AF25" s="187"/>
      <c r="AG25" s="187"/>
      <c r="AH25" s="187"/>
      <c r="AI25" s="187"/>
      <c r="AJ25" s="187"/>
      <c r="AK25" s="187"/>
      <c r="AL25" s="187"/>
      <c r="AM25" s="187"/>
      <c r="AN25" s="187"/>
      <c r="AO25" s="187"/>
      <c r="AP25" s="187"/>
      <c r="AQ25" s="187"/>
      <c r="AR25" s="187"/>
      <c r="AS25" s="187"/>
      <c r="AT25" s="187"/>
      <c r="AU25" s="187"/>
      <c r="AV25" s="187"/>
      <c r="AW25" s="187"/>
      <c r="AX25" s="187"/>
      <c r="AY25" s="187"/>
      <c r="AZ25" s="187"/>
      <c r="BA25" s="187"/>
      <c r="BB25" s="187"/>
      <c r="BC25" s="187"/>
      <c r="BD25" s="187"/>
    </row>
    <row r="27" spans="2:56" x14ac:dyDescent="0.25">
      <c r="B27" s="154" t="s">
        <v>2657</v>
      </c>
    </row>
    <row r="28" spans="2:56" x14ac:dyDescent="0.25">
      <c r="B28" s="195" t="s">
        <v>2658</v>
      </c>
      <c r="C28" s="194" t="s">
        <v>2601</v>
      </c>
      <c r="D28" s="194" t="s">
        <v>2602</v>
      </c>
      <c r="E28" s="194" t="s">
        <v>2603</v>
      </c>
      <c r="F28" s="194" t="s">
        <v>2604</v>
      </c>
      <c r="G28" s="194" t="s">
        <v>2605</v>
      </c>
      <c r="H28" s="194" t="s">
        <v>2606</v>
      </c>
      <c r="I28" s="194" t="str" cm="1">
        <f t="array" ref="I28:BA28">TRANSPOSE(_xlfn.SORTBY(_xlfn._xlws.FILTER(Table3[NOME FÍSICO CAMPO],Table3[NOME FÍSICO TABELA]="factoring_contract"), _xlfn._xlws.FILTER(Table3[ORDEM], Table3[NOME FÍSICO TABELA]="factoring_contract"), 1))</f>
        <v>bank_id</v>
      </c>
      <c r="J28" s="196" t="str">
        <v>contract_id</v>
      </c>
      <c r="K28" s="196" t="str">
        <v>product_family_id</v>
      </c>
      <c r="L28" s="196" t="str">
        <v>product_id</v>
      </c>
      <c r="M28" s="196" t="str">
        <v>subproduct_id</v>
      </c>
      <c r="N28" s="196" t="str">
        <v>main_current_account_bank_id</v>
      </c>
      <c r="O28" s="196" t="str">
        <v>main_current_account_contract_id</v>
      </c>
      <c r="P28" s="196" t="str">
        <v>main_current_account_iban</v>
      </c>
      <c r="Q28" s="196" t="str">
        <v>main_loan_account_bank_id</v>
      </c>
      <c r="R28" s="196" t="str">
        <v>main_loan_account_contract_id</v>
      </c>
      <c r="S28" s="196" t="str">
        <v>main_loan_account_iban</v>
      </c>
      <c r="T28" s="196" t="str">
        <v>process_bank_id</v>
      </c>
      <c r="U28" s="196" t="str">
        <v>process_id</v>
      </c>
      <c r="V28" s="196" t="str">
        <v>opening_date</v>
      </c>
      <c r="W28" s="196" t="str">
        <v>current_maturity_date</v>
      </c>
      <c r="X28" s="196" t="str">
        <v>currency_code</v>
      </c>
      <c r="Y28" s="196" t="str">
        <v>litigation_indicator</v>
      </c>
      <c r="Z28" s="196" t="str">
        <v>current_authorized_amount</v>
      </c>
      <c r="AA28" s="196" t="str">
        <v>current_available_amount</v>
      </c>
      <c r="AB28" s="196" t="str">
        <v>current_retention_rate</v>
      </c>
      <c r="AC28" s="196" t="str">
        <v>cur_outsng_principal_balance</v>
      </c>
      <c r="AD28" s="196" t="str">
        <v>current_overdue_principal_bal</v>
      </c>
      <c r="AE28" s="196" t="str">
        <v>cur_debt_litigation_princip_bal</v>
      </c>
      <c r="AF28" s="196" t="str">
        <v>next_regular_amort_due_date</v>
      </c>
      <c r="AG28" s="196" t="str">
        <v>last_regular_amort_pay_date</v>
      </c>
      <c r="AH28" s="196" t="str">
        <v>current_bill_princip_amount</v>
      </c>
      <c r="AI28" s="196" t="str">
        <v>last_advance_date</v>
      </c>
      <c r="AJ28" s="196" t="str">
        <v>last_advance_principal_amount</v>
      </c>
      <c r="AK28" s="196" t="str">
        <v>cur_advance_principal_amt</v>
      </c>
      <c r="AL28" s="196" t="str">
        <v>initial_active_variable_rate_ind</v>
      </c>
      <c r="AM28" s="196" t="str">
        <v>initial_active_indexing</v>
      </c>
      <c r="AN28" s="196" t="str">
        <v>initial_active_index_rate</v>
      </c>
      <c r="AO28" s="196" t="str">
        <v>initial_active_spread</v>
      </c>
      <c r="AP28" s="196" t="str">
        <v>initial_active_interest_rate</v>
      </c>
      <c r="AQ28" s="196" t="str">
        <v>cur_active_rate_type_code</v>
      </c>
      <c r="AR28" s="196" t="str">
        <v>current_active_indexing</v>
      </c>
      <c r="AS28" s="196" t="str">
        <v>current_active_index_rate</v>
      </c>
      <c r="AT28" s="196" t="str">
        <v>current_active_spread</v>
      </c>
      <c r="AU28" s="196" t="str">
        <v>current_active_interest_rate</v>
      </c>
      <c r="AV28" s="196" t="str">
        <v>recourse_indicator</v>
      </c>
      <c r="AW28" s="196" t="str">
        <v>contract_status_code</v>
      </c>
      <c r="AX28" s="190" t="str">
        <v>contract_opening_channel_code</v>
      </c>
      <c r="AY28" s="190" t="str">
        <v>source_code</v>
      </c>
      <c r="AZ28" s="190" t="str">
        <v>data_date_part</v>
      </c>
      <c r="BA28" s="190" t="str">
        <v>data_timestamp_part</v>
      </c>
      <c r="BB28" s="190"/>
      <c r="BC28" s="190"/>
      <c r="BD28" s="197"/>
    </row>
    <row r="29" spans="2:56" x14ac:dyDescent="0.25">
      <c r="B29" s="131" t="s">
        <v>2659</v>
      </c>
      <c r="C29" s="134">
        <v>21</v>
      </c>
      <c r="D29" s="128" t="s">
        <v>2660</v>
      </c>
      <c r="E29" s="127" t="s">
        <v>2661</v>
      </c>
      <c r="F29" s="127" t="s">
        <v>351</v>
      </c>
      <c r="G29" s="127" t="s">
        <v>351</v>
      </c>
      <c r="H29" s="127" t="s">
        <v>351</v>
      </c>
      <c r="I29" s="127"/>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8"/>
    </row>
    <row r="30" spans="2:56" x14ac:dyDescent="0.25">
      <c r="B30" s="131" t="s">
        <v>2662</v>
      </c>
      <c r="C30" s="134">
        <v>7</v>
      </c>
      <c r="D30" s="128" t="s">
        <v>2660</v>
      </c>
      <c r="E30" s="127" t="s">
        <v>2661</v>
      </c>
      <c r="F30" s="129" t="s">
        <v>351</v>
      </c>
      <c r="G30" s="129" t="s">
        <v>351</v>
      </c>
      <c r="H30" s="129" t="s">
        <v>351</v>
      </c>
      <c r="I30" s="175"/>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1"/>
      <c r="AZ30" s="191"/>
      <c r="BA30" s="191"/>
      <c r="BB30" s="191"/>
      <c r="BC30" s="191"/>
      <c r="BD30" s="198"/>
    </row>
    <row r="32" spans="2:56" x14ac:dyDescent="0.25">
      <c r="B32" s="164" t="s">
        <v>2663</v>
      </c>
    </row>
    <row r="33" spans="2:31" x14ac:dyDescent="0.25">
      <c r="B33" s="158" t="s">
        <v>2664</v>
      </c>
      <c r="C33" s="158" t="s">
        <v>2665</v>
      </c>
      <c r="D33" s="159" t="s">
        <v>2666</v>
      </c>
      <c r="E33" s="158" t="s">
        <v>2667</v>
      </c>
      <c r="F33" s="158" t="s">
        <v>2668</v>
      </c>
    </row>
    <row r="34" spans="2:31" x14ac:dyDescent="0.25">
      <c r="B34" s="142"/>
      <c r="C34" s="145"/>
      <c r="D34" s="54"/>
      <c r="E34" s="177"/>
      <c r="F34" s="160"/>
    </row>
    <row r="35" spans="2:31" x14ac:dyDescent="0.25">
      <c r="B35" s="142"/>
      <c r="C35" s="145"/>
      <c r="D35" s="54"/>
      <c r="E35" s="177"/>
      <c r="F35" s="160"/>
    </row>
    <row r="36" spans="2:31" x14ac:dyDescent="0.25">
      <c r="B36" s="142"/>
      <c r="C36" s="145"/>
      <c r="D36" s="54"/>
      <c r="E36" s="177"/>
      <c r="F36" s="160"/>
    </row>
    <row r="37" spans="2:31" x14ac:dyDescent="0.25">
      <c r="B37" s="142"/>
      <c r="C37" s="145"/>
      <c r="D37" s="54"/>
      <c r="E37" s="177"/>
      <c r="F37" s="160"/>
    </row>
    <row r="38" spans="2:31" x14ac:dyDescent="0.25">
      <c r="B38" s="142"/>
      <c r="C38" s="145"/>
      <c r="D38" s="54"/>
      <c r="E38" s="177"/>
      <c r="F38" s="160"/>
    </row>
    <row r="39" spans="2:31" x14ac:dyDescent="0.25">
      <c r="B39" s="142"/>
      <c r="C39" s="145"/>
      <c r="D39" s="54"/>
      <c r="E39" s="177"/>
      <c r="F39" s="160"/>
    </row>
    <row r="40" spans="2:31" x14ac:dyDescent="0.25">
      <c r="B40" s="142"/>
      <c r="C40" s="145"/>
      <c r="D40" s="54"/>
      <c r="E40" s="177"/>
      <c r="F40" s="160"/>
    </row>
    <row r="41" spans="2:31" x14ac:dyDescent="0.25">
      <c r="B41" s="142"/>
      <c r="C41" s="145"/>
      <c r="D41" s="54"/>
      <c r="E41" s="177"/>
      <c r="F41" s="160"/>
    </row>
    <row r="42" spans="2:31" x14ac:dyDescent="0.25">
      <c r="B42" s="142"/>
      <c r="C42" s="141"/>
      <c r="D42" s="147"/>
      <c r="E42" s="177"/>
      <c r="F42" s="160"/>
    </row>
    <row r="43" spans="2:31" x14ac:dyDescent="0.25">
      <c r="B43" s="135"/>
      <c r="C43" s="139"/>
      <c r="D43" s="54"/>
      <c r="E43" s="177"/>
      <c r="F43" s="160"/>
      <c r="I43" s="182"/>
      <c r="J43" s="193"/>
      <c r="K43" s="193"/>
      <c r="L43" s="193"/>
      <c r="M43" s="193"/>
      <c r="N43" s="193"/>
      <c r="O43" s="193"/>
      <c r="P43" s="193"/>
      <c r="Q43" s="193"/>
      <c r="R43" s="193"/>
      <c r="S43" s="193"/>
      <c r="T43" s="193"/>
      <c r="U43" s="193"/>
      <c r="V43" s="193"/>
      <c r="W43" s="193"/>
      <c r="X43" s="193"/>
      <c r="Y43" s="193"/>
      <c r="Z43" s="193"/>
      <c r="AA43" s="193"/>
      <c r="AB43" s="193"/>
      <c r="AC43" s="193"/>
      <c r="AD43" s="193"/>
      <c r="AE43" s="193"/>
    </row>
    <row r="44" spans="2:31" x14ac:dyDescent="0.25">
      <c r="B44" s="135"/>
      <c r="C44" s="139"/>
      <c r="D44" s="54"/>
      <c r="E44" s="177"/>
      <c r="F44" s="160"/>
      <c r="I44" s="182"/>
      <c r="J44" s="193"/>
      <c r="K44" s="193"/>
      <c r="L44" s="193"/>
      <c r="M44" s="193"/>
      <c r="N44" s="193"/>
      <c r="O44" s="193"/>
      <c r="P44" s="193"/>
      <c r="Q44" s="193"/>
      <c r="R44" s="193"/>
      <c r="S44" s="193"/>
      <c r="T44" s="193"/>
      <c r="U44" s="193"/>
      <c r="V44" s="193"/>
      <c r="W44" s="193"/>
      <c r="X44" s="193"/>
      <c r="Y44" s="193"/>
      <c r="Z44" s="193"/>
      <c r="AA44" s="193"/>
      <c r="AB44" s="193"/>
      <c r="AC44" s="193"/>
      <c r="AD44" s="193"/>
      <c r="AE44" s="193"/>
    </row>
    <row r="45" spans="2:31" x14ac:dyDescent="0.25">
      <c r="B45" s="135"/>
      <c r="C45" s="141"/>
      <c r="D45" s="54"/>
      <c r="E45" s="177"/>
      <c r="F45" s="160"/>
    </row>
    <row r="46" spans="2:31" x14ac:dyDescent="0.25">
      <c r="B46" s="161"/>
      <c r="C46" s="162"/>
      <c r="D46" s="163"/>
      <c r="E46" s="177"/>
      <c r="F46" s="160"/>
    </row>
    <row r="47" spans="2:31" x14ac:dyDescent="0.25">
      <c r="B47" s="161"/>
      <c r="C47" s="162"/>
      <c r="D47" s="163"/>
      <c r="E47" s="177"/>
      <c r="F47" s="160"/>
    </row>
    <row r="48" spans="2:31" x14ac:dyDescent="0.25">
      <c r="B48" s="161"/>
      <c r="C48" s="162"/>
      <c r="D48" s="163"/>
      <c r="E48" s="177"/>
      <c r="F48" s="160"/>
    </row>
    <row r="49" spans="2:6" x14ac:dyDescent="0.25">
      <c r="B49" s="161"/>
      <c r="C49" s="162"/>
      <c r="D49" s="163"/>
      <c r="E49" s="177"/>
      <c r="F49" s="160"/>
    </row>
    <row r="50" spans="2:6" x14ac:dyDescent="0.25">
      <c r="B50" s="135"/>
      <c r="C50" s="139"/>
      <c r="D50" s="163"/>
      <c r="E50" s="177"/>
      <c r="F50" s="160"/>
    </row>
    <row r="51" spans="2:6" x14ac:dyDescent="0.25">
      <c r="B51" s="135"/>
      <c r="C51" s="139"/>
      <c r="D51" s="54"/>
      <c r="E51" s="137"/>
      <c r="F51" s="160"/>
    </row>
    <row r="52" spans="2:6" x14ac:dyDescent="0.25">
      <c r="B52" s="135"/>
      <c r="C52" s="139"/>
      <c r="D52" s="54"/>
      <c r="E52" s="137"/>
      <c r="F52" s="160"/>
    </row>
    <row r="53" spans="2:6" x14ac:dyDescent="0.25">
      <c r="B53" s="135"/>
      <c r="C53" s="139"/>
      <c r="D53" s="54"/>
      <c r="E53" s="177"/>
      <c r="F53" s="160"/>
    </row>
    <row r="54" spans="2:6" x14ac:dyDescent="0.25">
      <c r="B54" s="135"/>
      <c r="C54" s="139"/>
      <c r="D54" s="54"/>
      <c r="E54" s="177"/>
      <c r="F54" s="160"/>
    </row>
    <row r="55" spans="2:6" x14ac:dyDescent="0.25">
      <c r="B55" s="135"/>
      <c r="C55" s="139"/>
      <c r="D55" s="54"/>
      <c r="E55" s="177"/>
      <c r="F55" s="160"/>
    </row>
    <row r="56" spans="2:6" x14ac:dyDescent="0.25">
      <c r="B56" s="135"/>
      <c r="C56" s="139"/>
      <c r="D56" s="54"/>
      <c r="E56" s="177"/>
      <c r="F56" s="160"/>
    </row>
    <row r="57" spans="2:6" x14ac:dyDescent="0.25">
      <c r="B57" s="135"/>
      <c r="C57" s="139"/>
      <c r="D57" s="54"/>
      <c r="E57" s="177"/>
      <c r="F57" s="160"/>
    </row>
    <row r="58" spans="2:6" x14ac:dyDescent="0.25">
      <c r="B58" s="135"/>
      <c r="C58" s="139"/>
      <c r="D58" s="54"/>
      <c r="E58" s="177"/>
      <c r="F58" s="160"/>
    </row>
    <row r="59" spans="2:6" x14ac:dyDescent="0.25">
      <c r="B59" s="135"/>
      <c r="C59" s="139"/>
      <c r="D59" s="54"/>
      <c r="E59" s="177"/>
      <c r="F59" s="160"/>
    </row>
    <row r="60" spans="2:6" x14ac:dyDescent="0.25">
      <c r="B60" s="135"/>
      <c r="C60" s="139"/>
      <c r="D60" s="54"/>
      <c r="E60" s="177"/>
      <c r="F60" s="160"/>
    </row>
    <row r="61" spans="2:6" x14ac:dyDescent="0.25">
      <c r="B61" s="135"/>
      <c r="C61" s="139"/>
      <c r="D61" s="54"/>
      <c r="E61" s="177"/>
      <c r="F61" s="160"/>
    </row>
    <row r="62" spans="2:6" x14ac:dyDescent="0.25">
      <c r="B62" s="135"/>
      <c r="C62" s="162"/>
      <c r="D62" s="163"/>
      <c r="E62" s="177"/>
      <c r="F62" s="160"/>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54C3-7B16-40BB-B81E-01EBBA4586D6}">
  <sheetPr>
    <tabColor rgb="FF00B050"/>
  </sheetPr>
  <dimension ref="B1:S30"/>
  <sheetViews>
    <sheetView showGridLines="0" workbookViewId="0">
      <selection activeCell="B19" sqref="B1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8" t="s">
        <v>2658</v>
      </c>
      <c r="C2" s="98" t="s">
        <v>2601</v>
      </c>
      <c r="D2" s="98" t="s">
        <v>2602</v>
      </c>
      <c r="E2" s="98" t="s">
        <v>2603</v>
      </c>
      <c r="F2" s="98" t="s">
        <v>2604</v>
      </c>
      <c r="G2" s="98" t="s">
        <v>2605</v>
      </c>
      <c r="H2" s="98" t="s">
        <v>2606</v>
      </c>
      <c r="I2" s="98" t="s">
        <v>1042</v>
      </c>
      <c r="J2" s="98" t="s">
        <v>1503</v>
      </c>
      <c r="K2" s="98" t="s">
        <v>1507</v>
      </c>
      <c r="L2" s="98" t="s">
        <v>1069</v>
      </c>
      <c r="M2" s="98" t="s">
        <v>1076</v>
      </c>
      <c r="N2" s="98" t="s">
        <v>1083</v>
      </c>
      <c r="O2" s="98" t="s">
        <v>1090</v>
      </c>
      <c r="P2" s="98" t="s">
        <v>1100</v>
      </c>
      <c r="Q2" s="98" t="s">
        <v>1107</v>
      </c>
      <c r="R2" s="98" t="s">
        <v>330</v>
      </c>
      <c r="S2" s="98" t="s">
        <v>337</v>
      </c>
    </row>
    <row r="3" spans="2:19" x14ac:dyDescent="0.25">
      <c r="B3" s="51" t="s">
        <v>2554</v>
      </c>
      <c r="C3" s="51">
        <v>1</v>
      </c>
      <c r="D3" s="51" t="s">
        <v>3144</v>
      </c>
      <c r="E3" s="119">
        <v>45483</v>
      </c>
      <c r="F3" s="51">
        <v>1</v>
      </c>
      <c r="G3" s="221">
        <v>1</v>
      </c>
      <c r="H3" s="213">
        <v>468593</v>
      </c>
      <c r="I3" s="51" t="s">
        <v>2614</v>
      </c>
      <c r="J3" s="51" t="s">
        <v>2614</v>
      </c>
      <c r="K3" s="51" t="s">
        <v>2614</v>
      </c>
      <c r="L3" s="51" t="s">
        <v>2614</v>
      </c>
      <c r="M3" s="51" t="s">
        <v>2614</v>
      </c>
      <c r="N3" s="51" t="s">
        <v>2614</v>
      </c>
      <c r="O3" s="51" t="s">
        <v>2614</v>
      </c>
      <c r="P3" s="51" t="s">
        <v>2614</v>
      </c>
      <c r="Q3" s="51" t="s">
        <v>2614</v>
      </c>
      <c r="R3" s="51" t="s">
        <v>2614</v>
      </c>
      <c r="S3" s="51" t="s">
        <v>2614</v>
      </c>
    </row>
    <row r="4" spans="2:19" x14ac:dyDescent="0.25">
      <c r="B4" s="51" t="s">
        <v>2556</v>
      </c>
      <c r="C4" s="51">
        <v>2</v>
      </c>
      <c r="D4" s="51" t="s">
        <v>3145</v>
      </c>
      <c r="E4" s="119">
        <v>45483</v>
      </c>
      <c r="F4" s="51">
        <v>1</v>
      </c>
      <c r="G4" s="221">
        <v>1</v>
      </c>
      <c r="H4" s="213">
        <v>0</v>
      </c>
      <c r="I4" s="51" t="s">
        <v>2614</v>
      </c>
      <c r="J4" s="51" t="s">
        <v>2614</v>
      </c>
      <c r="K4" s="51" t="s">
        <v>2614</v>
      </c>
      <c r="L4" s="51" t="s">
        <v>2614</v>
      </c>
      <c r="M4" s="51" t="s">
        <v>2614</v>
      </c>
      <c r="N4" s="51" t="s">
        <v>2614</v>
      </c>
      <c r="O4" s="51" t="s">
        <v>2614</v>
      </c>
      <c r="P4" s="51" t="s">
        <v>2614</v>
      </c>
      <c r="Q4" s="51" t="s">
        <v>2614</v>
      </c>
      <c r="R4" s="51" t="s">
        <v>2614</v>
      </c>
      <c r="S4" s="51" t="s">
        <v>2614</v>
      </c>
    </row>
    <row r="5" spans="2:19" x14ac:dyDescent="0.25">
      <c r="B5" s="51" t="s">
        <v>2558</v>
      </c>
      <c r="C5" s="51">
        <v>3</v>
      </c>
      <c r="D5" s="51" t="s">
        <v>3146</v>
      </c>
      <c r="E5" s="119">
        <v>45483</v>
      </c>
      <c r="F5" s="51">
        <v>1</v>
      </c>
      <c r="G5" s="221">
        <v>1</v>
      </c>
      <c r="H5" s="213">
        <v>0</v>
      </c>
      <c r="I5" s="51">
        <v>0</v>
      </c>
      <c r="J5" s="51" t="s">
        <v>2614</v>
      </c>
      <c r="K5" s="51" t="s">
        <v>2614</v>
      </c>
      <c r="L5" s="51" t="s">
        <v>2614</v>
      </c>
      <c r="M5" s="51" t="s">
        <v>2614</v>
      </c>
      <c r="N5" s="51" t="s">
        <v>2614</v>
      </c>
      <c r="O5" s="51" t="s">
        <v>2614</v>
      </c>
      <c r="P5" s="51" t="s">
        <v>2614</v>
      </c>
      <c r="Q5" s="51" t="s">
        <v>2614</v>
      </c>
      <c r="R5" s="51">
        <v>0</v>
      </c>
      <c r="S5" s="51" t="s">
        <v>2614</v>
      </c>
    </row>
    <row r="6" spans="2:19" x14ac:dyDescent="0.25">
      <c r="B6" s="121" t="s">
        <v>2560</v>
      </c>
      <c r="C6" s="51">
        <v>4</v>
      </c>
      <c r="D6" s="51" t="s">
        <v>2618</v>
      </c>
      <c r="E6" s="119" t="s">
        <v>2614</v>
      </c>
      <c r="F6" s="51">
        <v>1</v>
      </c>
      <c r="G6" s="51" t="s">
        <v>2614</v>
      </c>
      <c r="H6" s="51" t="s">
        <v>2614</v>
      </c>
      <c r="I6" s="51" t="s">
        <v>2614</v>
      </c>
      <c r="J6" s="51" t="s">
        <v>2614</v>
      </c>
      <c r="K6" s="51" t="s">
        <v>2614</v>
      </c>
      <c r="L6" s="51" t="s">
        <v>2614</v>
      </c>
      <c r="M6" s="51" t="s">
        <v>2614</v>
      </c>
      <c r="N6" s="51" t="s">
        <v>2614</v>
      </c>
      <c r="O6" s="51" t="s">
        <v>2614</v>
      </c>
      <c r="P6" s="51" t="s">
        <v>2614</v>
      </c>
      <c r="Q6" s="51" t="s">
        <v>2614</v>
      </c>
      <c r="R6" s="51" t="s">
        <v>2614</v>
      </c>
      <c r="S6" s="51" t="s">
        <v>2614</v>
      </c>
    </row>
    <row r="7" spans="2:19" x14ac:dyDescent="0.25">
      <c r="B7" s="51" t="s">
        <v>2562</v>
      </c>
      <c r="C7" s="51">
        <v>5</v>
      </c>
      <c r="D7" s="51" t="s">
        <v>2618</v>
      </c>
      <c r="E7" s="119" t="s">
        <v>2614</v>
      </c>
      <c r="F7" s="51">
        <v>1</v>
      </c>
      <c r="G7" s="51" t="s">
        <v>2614</v>
      </c>
      <c r="H7" s="51" t="s">
        <v>2614</v>
      </c>
      <c r="I7" s="51" t="s">
        <v>2614</v>
      </c>
      <c r="J7" s="51" t="s">
        <v>2614</v>
      </c>
      <c r="K7" s="51" t="s">
        <v>2614</v>
      </c>
      <c r="L7" s="51" t="s">
        <v>2614</v>
      </c>
      <c r="M7" s="51" t="s">
        <v>2614</v>
      </c>
      <c r="N7" s="51" t="s">
        <v>2614</v>
      </c>
      <c r="O7" s="51" t="s">
        <v>2614</v>
      </c>
      <c r="P7" s="51" t="s">
        <v>2614</v>
      </c>
      <c r="Q7" s="51" t="s">
        <v>2614</v>
      </c>
      <c r="R7" s="51" t="s">
        <v>2614</v>
      </c>
      <c r="S7" s="51" t="s">
        <v>2614</v>
      </c>
    </row>
    <row r="8" spans="2:19" x14ac:dyDescent="0.25">
      <c r="B8" s="121" t="s">
        <v>2563</v>
      </c>
      <c r="C8" s="51">
        <v>6</v>
      </c>
      <c r="D8" s="51" t="s">
        <v>3147</v>
      </c>
      <c r="E8" s="119">
        <v>45483</v>
      </c>
      <c r="F8" s="51">
        <v>1</v>
      </c>
      <c r="G8" s="252" cm="1">
        <f t="array" ref="G8">SUMPRODUCT(--(I8:S8&gt;0))/COUNTA(I8:S8)</f>
        <v>1</v>
      </c>
      <c r="H8" s="213">
        <v>0</v>
      </c>
      <c r="I8" s="51">
        <v>16</v>
      </c>
      <c r="J8" s="51">
        <v>2</v>
      </c>
      <c r="K8" s="51">
        <v>15</v>
      </c>
      <c r="L8" s="51">
        <v>1</v>
      </c>
      <c r="M8" s="51">
        <v>1</v>
      </c>
      <c r="N8" s="51">
        <v>7</v>
      </c>
      <c r="O8" s="51">
        <v>8</v>
      </c>
      <c r="P8" s="51">
        <v>10</v>
      </c>
      <c r="Q8" s="51">
        <v>3</v>
      </c>
      <c r="R8" s="51">
        <v>10</v>
      </c>
      <c r="S8" s="51">
        <v>23</v>
      </c>
    </row>
    <row r="9" spans="2:19" x14ac:dyDescent="0.25">
      <c r="B9" s="51" t="s">
        <v>2566</v>
      </c>
      <c r="C9" s="51">
        <v>7</v>
      </c>
      <c r="D9" s="51" t="s">
        <v>3148</v>
      </c>
      <c r="E9" s="119">
        <v>45483</v>
      </c>
      <c r="F9" s="51">
        <v>1</v>
      </c>
      <c r="G9" s="252" cm="1">
        <f t="array" ref="G9">SUMPRODUCT(--(I9:S9&lt;=I26:S26))/COUNTA(I26:S26)</f>
        <v>1</v>
      </c>
      <c r="H9" s="213">
        <v>0</v>
      </c>
      <c r="I9" s="51">
        <v>16</v>
      </c>
      <c r="J9" s="51">
        <v>2</v>
      </c>
      <c r="K9" s="51">
        <v>15</v>
      </c>
      <c r="L9" s="51">
        <v>1</v>
      </c>
      <c r="M9" s="51">
        <v>10</v>
      </c>
      <c r="N9" s="51">
        <v>7</v>
      </c>
      <c r="O9" s="51">
        <v>16</v>
      </c>
      <c r="P9" s="51">
        <v>16</v>
      </c>
      <c r="Q9" s="51">
        <v>3</v>
      </c>
      <c r="R9" s="51">
        <v>10</v>
      </c>
      <c r="S9" s="51">
        <v>23</v>
      </c>
    </row>
    <row r="10" spans="2:19" x14ac:dyDescent="0.25">
      <c r="B10" s="51" t="s">
        <v>2569</v>
      </c>
      <c r="C10" s="51">
        <v>8</v>
      </c>
      <c r="D10" s="51" t="s">
        <v>3149</v>
      </c>
      <c r="E10" s="119">
        <v>45483</v>
      </c>
      <c r="F10" s="51">
        <v>1</v>
      </c>
      <c r="G10" s="51" t="s">
        <v>2614</v>
      </c>
      <c r="H10" s="213">
        <v>0</v>
      </c>
      <c r="I10" s="51">
        <v>4293430451808770</v>
      </c>
      <c r="J10" s="51">
        <v>31</v>
      </c>
      <c r="K10" s="51">
        <v>3163579860010</v>
      </c>
      <c r="L10" s="51">
        <v>0</v>
      </c>
      <c r="M10" s="51">
        <v>0</v>
      </c>
      <c r="N10" s="51" t="s">
        <v>3150</v>
      </c>
      <c r="O10" s="51" t="s">
        <v>2616</v>
      </c>
      <c r="P10" s="119">
        <v>750000000</v>
      </c>
      <c r="Q10" s="119" t="s">
        <v>2622</v>
      </c>
      <c r="R10" s="119">
        <v>45483</v>
      </c>
      <c r="S10" s="122" t="s">
        <v>3151</v>
      </c>
    </row>
    <row r="11" spans="2:19" x14ac:dyDescent="0.25">
      <c r="B11" s="51" t="s">
        <v>2571</v>
      </c>
      <c r="C11" s="51">
        <v>9</v>
      </c>
      <c r="D11" s="51" t="s">
        <v>3152</v>
      </c>
      <c r="E11" s="119">
        <v>45483</v>
      </c>
      <c r="F11" s="51">
        <v>1</v>
      </c>
      <c r="G11" s="51" t="s">
        <v>2614</v>
      </c>
      <c r="H11" s="213">
        <v>0</v>
      </c>
      <c r="I11" s="51">
        <v>4293430451808770</v>
      </c>
      <c r="J11" s="51">
        <v>31</v>
      </c>
      <c r="K11" s="51">
        <v>3163579860010</v>
      </c>
      <c r="L11" s="51">
        <v>0</v>
      </c>
      <c r="M11" s="51">
        <v>0</v>
      </c>
      <c r="N11" s="51">
        <v>202407</v>
      </c>
      <c r="O11" s="51" t="s">
        <v>2616</v>
      </c>
      <c r="P11" s="119">
        <v>750000000</v>
      </c>
      <c r="Q11" s="119">
        <v>15</v>
      </c>
      <c r="R11" s="119">
        <v>45483</v>
      </c>
      <c r="S11" s="51" t="s">
        <v>3153</v>
      </c>
    </row>
    <row r="12" spans="2:19" x14ac:dyDescent="0.25">
      <c r="B12" s="121" t="s">
        <v>2573</v>
      </c>
      <c r="C12" s="51">
        <v>10</v>
      </c>
      <c r="D12" s="51" t="s">
        <v>3154</v>
      </c>
      <c r="E12" s="119">
        <v>45483</v>
      </c>
      <c r="F12" s="51">
        <v>1</v>
      </c>
      <c r="G12" s="51" t="s">
        <v>2614</v>
      </c>
      <c r="H12" s="213">
        <v>0</v>
      </c>
      <c r="I12" s="51">
        <v>5166320263218330</v>
      </c>
      <c r="J12" s="213">
        <v>31</v>
      </c>
      <c r="K12" s="51">
        <v>5131570000010</v>
      </c>
      <c r="L12" s="51">
        <v>8</v>
      </c>
      <c r="M12" s="119">
        <v>45483</v>
      </c>
      <c r="N12" s="51" t="s">
        <v>3155</v>
      </c>
      <c r="O12" s="122">
        <v>999999999000000</v>
      </c>
      <c r="P12" s="119">
        <v>999999999000000</v>
      </c>
      <c r="Q12" s="119" t="s">
        <v>2622</v>
      </c>
      <c r="R12" s="119">
        <v>45483</v>
      </c>
      <c r="S12" s="181" t="s">
        <v>3151</v>
      </c>
    </row>
    <row r="13" spans="2:19" x14ac:dyDescent="0.25">
      <c r="B13" s="51" t="s">
        <v>2575</v>
      </c>
      <c r="C13" s="51">
        <v>11</v>
      </c>
      <c r="D13" s="51" t="s">
        <v>3156</v>
      </c>
      <c r="E13" s="119">
        <v>45483</v>
      </c>
      <c r="F13" s="51">
        <v>1</v>
      </c>
      <c r="G13" s="51" t="s">
        <v>2614</v>
      </c>
      <c r="H13" s="213">
        <v>0</v>
      </c>
      <c r="I13" s="51">
        <v>5166320263218330</v>
      </c>
      <c r="J13" s="213">
        <v>31</v>
      </c>
      <c r="K13" s="51">
        <v>5131570000010</v>
      </c>
      <c r="L13" s="51">
        <v>8</v>
      </c>
      <c r="M13" s="119">
        <v>45483</v>
      </c>
      <c r="N13" s="51">
        <v>202912</v>
      </c>
      <c r="O13" s="122">
        <v>999999999000000</v>
      </c>
      <c r="P13" s="119">
        <v>999999999000000</v>
      </c>
      <c r="Q13" s="119">
        <v>5</v>
      </c>
      <c r="R13" s="119">
        <v>45483</v>
      </c>
      <c r="S13" s="51" t="s">
        <v>3157</v>
      </c>
    </row>
    <row r="14" spans="2:19" x14ac:dyDescent="0.25">
      <c r="B14" s="51" t="s">
        <v>2577</v>
      </c>
      <c r="C14" s="51">
        <v>12</v>
      </c>
      <c r="D14" s="51" t="s">
        <v>3158</v>
      </c>
      <c r="E14" s="119">
        <v>45483</v>
      </c>
      <c r="F14" s="51">
        <v>1</v>
      </c>
      <c r="G14" s="221">
        <v>1</v>
      </c>
      <c r="H14" s="213">
        <v>0</v>
      </c>
      <c r="I14" s="51">
        <v>0</v>
      </c>
      <c r="J14" s="51">
        <v>0</v>
      </c>
      <c r="K14" s="51">
        <v>0</v>
      </c>
      <c r="L14" s="51">
        <v>0</v>
      </c>
      <c r="M14" s="51">
        <v>0</v>
      </c>
      <c r="N14" s="51">
        <v>0</v>
      </c>
      <c r="O14" s="51">
        <v>0</v>
      </c>
      <c r="P14" s="51">
        <v>0</v>
      </c>
      <c r="Q14" s="51">
        <v>0</v>
      </c>
      <c r="R14" s="51">
        <v>0</v>
      </c>
      <c r="S14" s="51">
        <v>0</v>
      </c>
    </row>
    <row r="15" spans="2:19" x14ac:dyDescent="0.25">
      <c r="B15" s="51" t="s">
        <v>2579</v>
      </c>
      <c r="C15" s="51">
        <v>13</v>
      </c>
      <c r="D15" s="51" t="s">
        <v>3159</v>
      </c>
      <c r="E15" s="119">
        <v>45483</v>
      </c>
      <c r="F15" s="51">
        <v>1</v>
      </c>
      <c r="G15" s="221">
        <v>1</v>
      </c>
      <c r="H15" s="213">
        <v>0</v>
      </c>
      <c r="I15" s="51" t="s">
        <v>2614</v>
      </c>
      <c r="J15" s="51" t="s">
        <v>2614</v>
      </c>
      <c r="K15" s="51" t="s">
        <v>2614</v>
      </c>
      <c r="L15" s="51" t="s">
        <v>2614</v>
      </c>
      <c r="M15" s="51">
        <v>0</v>
      </c>
      <c r="N15" s="51">
        <v>0</v>
      </c>
      <c r="O15" s="51" t="s">
        <v>2614</v>
      </c>
      <c r="P15" s="51" t="s">
        <v>2614</v>
      </c>
      <c r="Q15" s="51" t="s">
        <v>2614</v>
      </c>
      <c r="R15" s="51" t="s">
        <v>2614</v>
      </c>
      <c r="S15" s="51" t="s">
        <v>2614</v>
      </c>
    </row>
    <row r="16" spans="2:19" x14ac:dyDescent="0.25">
      <c r="B16" s="51" t="s">
        <v>2581</v>
      </c>
      <c r="C16" s="51">
        <v>14</v>
      </c>
      <c r="D16" s="51" t="s">
        <v>3160</v>
      </c>
      <c r="E16" s="119">
        <v>45483</v>
      </c>
      <c r="F16" s="51">
        <v>1</v>
      </c>
      <c r="G16" s="221">
        <v>1</v>
      </c>
      <c r="H16" s="213">
        <v>0</v>
      </c>
      <c r="I16" s="51" t="s">
        <v>2614</v>
      </c>
      <c r="J16" s="51">
        <v>0</v>
      </c>
      <c r="K16" s="51">
        <v>0</v>
      </c>
      <c r="L16" s="51" t="s">
        <v>2614</v>
      </c>
      <c r="M16" s="51" t="s">
        <v>2614</v>
      </c>
      <c r="N16" s="51" t="s">
        <v>2614</v>
      </c>
      <c r="O16" s="51" t="s">
        <v>2614</v>
      </c>
      <c r="P16" s="51" t="s">
        <v>2614</v>
      </c>
      <c r="Q16" s="51">
        <v>0</v>
      </c>
      <c r="R16" s="51" t="s">
        <v>2614</v>
      </c>
      <c r="S16" s="51" t="s">
        <v>2614</v>
      </c>
    </row>
    <row r="17" spans="2:19" x14ac:dyDescent="0.25">
      <c r="B17" s="51" t="s">
        <v>2583</v>
      </c>
      <c r="C17" s="51">
        <v>15</v>
      </c>
      <c r="D17" s="51" t="s">
        <v>3161</v>
      </c>
      <c r="E17" s="119">
        <v>45483</v>
      </c>
      <c r="F17" s="51">
        <v>1</v>
      </c>
      <c r="G17" s="221">
        <v>1</v>
      </c>
      <c r="H17" s="213">
        <v>0</v>
      </c>
      <c r="I17" s="51" t="s">
        <v>2614</v>
      </c>
      <c r="J17" s="51" t="s">
        <v>2614</v>
      </c>
      <c r="K17" s="51" t="s">
        <v>2614</v>
      </c>
      <c r="L17" s="51" t="s">
        <v>2614</v>
      </c>
      <c r="M17" s="51" t="s">
        <v>2614</v>
      </c>
      <c r="N17" s="51" t="s">
        <v>2614</v>
      </c>
      <c r="O17" s="51" t="s">
        <v>2614</v>
      </c>
      <c r="P17" s="51" t="s">
        <v>2614</v>
      </c>
      <c r="Q17" s="51" t="s">
        <v>2614</v>
      </c>
      <c r="R17" s="51" t="s">
        <v>2614</v>
      </c>
      <c r="S17" s="51" t="s">
        <v>2614</v>
      </c>
    </row>
    <row r="18" spans="2:19" x14ac:dyDescent="0.25">
      <c r="B18" s="51" t="s">
        <v>2585</v>
      </c>
      <c r="C18" s="51">
        <v>16</v>
      </c>
      <c r="D18" s="51" t="s">
        <v>3161</v>
      </c>
      <c r="E18" s="119">
        <v>45483</v>
      </c>
      <c r="F18" s="51">
        <v>1</v>
      </c>
      <c r="G18" s="221">
        <v>1</v>
      </c>
      <c r="H18" s="213">
        <v>0</v>
      </c>
      <c r="I18" s="51" t="s">
        <v>2614</v>
      </c>
      <c r="J18" s="51" t="s">
        <v>2614</v>
      </c>
      <c r="K18" s="51" t="s">
        <v>2614</v>
      </c>
      <c r="L18" s="51" t="s">
        <v>2614</v>
      </c>
      <c r="M18" s="51" t="s">
        <v>2614</v>
      </c>
      <c r="N18" s="51" t="s">
        <v>2614</v>
      </c>
      <c r="O18" s="51" t="s">
        <v>2614</v>
      </c>
      <c r="P18" s="51" t="s">
        <v>2614</v>
      </c>
      <c r="Q18" s="51" t="s">
        <v>2614</v>
      </c>
      <c r="R18" s="51" t="s">
        <v>2614</v>
      </c>
      <c r="S18" s="51" t="s">
        <v>2614</v>
      </c>
    </row>
    <row r="19" spans="2:19" x14ac:dyDescent="0.25">
      <c r="B19" s="51" t="s">
        <v>2591</v>
      </c>
      <c r="C19" s="51">
        <v>19</v>
      </c>
      <c r="D19" s="51" t="s">
        <v>3162</v>
      </c>
      <c r="E19" s="119">
        <v>45483</v>
      </c>
      <c r="F19" s="51">
        <v>1</v>
      </c>
      <c r="G19" s="221" cm="1">
        <f t="array" ref="G19">SUMPRODUCT(--(ISNUMBER((SEARCH(I25:S25,I19:S19)))))/COUNTA(I19:S19)</f>
        <v>1</v>
      </c>
      <c r="H19" s="119" t="s">
        <v>2614</v>
      </c>
      <c r="I19" s="51" t="s">
        <v>2654</v>
      </c>
      <c r="J19" s="51" t="s">
        <v>2654</v>
      </c>
      <c r="K19" s="51" t="s">
        <v>2654</v>
      </c>
      <c r="L19" s="51" t="s">
        <v>2654</v>
      </c>
      <c r="M19" s="51" t="s">
        <v>2654</v>
      </c>
      <c r="N19" s="51" t="s">
        <v>2654</v>
      </c>
      <c r="O19" s="51" t="s">
        <v>2655</v>
      </c>
      <c r="P19" s="51" t="s">
        <v>2655</v>
      </c>
      <c r="Q19" s="51" t="s">
        <v>2654</v>
      </c>
      <c r="R19" s="51" t="s">
        <v>2654</v>
      </c>
      <c r="S19" s="51" t="s">
        <v>2656</v>
      </c>
    </row>
    <row r="20" spans="2:19" x14ac:dyDescent="0.25">
      <c r="B20" s="51" t="s">
        <v>2594</v>
      </c>
      <c r="C20" s="51">
        <v>20</v>
      </c>
      <c r="D20" s="51" t="s">
        <v>3163</v>
      </c>
      <c r="E20" s="119">
        <v>45483</v>
      </c>
      <c r="F20" s="51">
        <v>1</v>
      </c>
      <c r="G20" s="221" cm="1">
        <f t="array" ref="G20">SUM(IF(I2:S2 = I24:S24, 1, 0))/ COUNTA(I2:S2)</f>
        <v>1</v>
      </c>
      <c r="H20" s="221" t="s">
        <v>2614</v>
      </c>
      <c r="I20" s="221" t="s">
        <v>2614</v>
      </c>
      <c r="J20" s="221" t="s">
        <v>2614</v>
      </c>
      <c r="K20" s="221" t="s">
        <v>2614</v>
      </c>
      <c r="L20" s="221" t="s">
        <v>2614</v>
      </c>
      <c r="M20" s="221" t="s">
        <v>2614</v>
      </c>
      <c r="N20" s="221" t="s">
        <v>2614</v>
      </c>
      <c r="O20" s="221" t="s">
        <v>2614</v>
      </c>
      <c r="P20" s="221" t="s">
        <v>2614</v>
      </c>
      <c r="Q20" s="221" t="s">
        <v>2614</v>
      </c>
      <c r="R20" s="221" t="s">
        <v>2614</v>
      </c>
      <c r="S20" s="221" t="s">
        <v>2614</v>
      </c>
    </row>
    <row r="21" spans="2:19" x14ac:dyDescent="0.25">
      <c r="B21" s="51" t="s">
        <v>2597</v>
      </c>
      <c r="C21" s="51">
        <v>21</v>
      </c>
      <c r="D21" s="51" t="s">
        <v>3163</v>
      </c>
      <c r="E21" s="119">
        <v>45483</v>
      </c>
      <c r="F21" s="51">
        <v>1</v>
      </c>
      <c r="G21" s="221" cm="1">
        <f t="array" ref="G21">SUM(IF(IF(G3:G20="null",1,G3:G20)=1,1,0))/COUNT(IF(G3:G20="null",1,1))</f>
        <v>1</v>
      </c>
      <c r="H21" s="221" t="s">
        <v>2614</v>
      </c>
      <c r="I21" s="221" t="s">
        <v>2614</v>
      </c>
      <c r="J21" s="221" t="s">
        <v>2614</v>
      </c>
      <c r="K21" s="221" t="s">
        <v>2614</v>
      </c>
      <c r="L21" s="221" t="s">
        <v>2614</v>
      </c>
      <c r="M21" s="221" t="s">
        <v>2614</v>
      </c>
      <c r="N21" s="221" t="s">
        <v>2614</v>
      </c>
      <c r="O21" s="221" t="s">
        <v>2614</v>
      </c>
      <c r="P21" s="221" t="s">
        <v>2614</v>
      </c>
      <c r="Q21" s="221" t="s">
        <v>2614</v>
      </c>
      <c r="R21" s="221" t="s">
        <v>2614</v>
      </c>
      <c r="S21" s="221" t="s">
        <v>2614</v>
      </c>
    </row>
    <row r="22" spans="2:19" x14ac:dyDescent="0.25">
      <c r="B22" s="51"/>
      <c r="C22" s="51"/>
      <c r="D22" s="51"/>
      <c r="E22" s="119"/>
      <c r="F22" s="51"/>
      <c r="G22" s="51"/>
      <c r="H22" s="51"/>
      <c r="I22" s="51"/>
      <c r="J22" s="51"/>
      <c r="K22" s="51"/>
      <c r="L22" s="51"/>
      <c r="M22" s="51"/>
      <c r="N22" s="51"/>
      <c r="O22" s="51"/>
      <c r="P22" s="51"/>
      <c r="Q22" s="51"/>
      <c r="R22" s="51"/>
      <c r="S22" s="51"/>
    </row>
    <row r="23" spans="2:19" x14ac:dyDescent="0.25">
      <c r="B23" s="154" t="s">
        <v>2657</v>
      </c>
    </row>
    <row r="24" spans="2:19" x14ac:dyDescent="0.25">
      <c r="B24" s="152" t="s">
        <v>2658</v>
      </c>
      <c r="C24" s="153" t="s">
        <v>2601</v>
      </c>
      <c r="D24" s="153" t="s">
        <v>2602</v>
      </c>
      <c r="E24" s="153" t="s">
        <v>2603</v>
      </c>
      <c r="F24" s="153" t="s">
        <v>2604</v>
      </c>
      <c r="G24" s="153" t="s">
        <v>2605</v>
      </c>
      <c r="H24" s="153" t="s">
        <v>2606</v>
      </c>
      <c r="I24" s="153" t="str" cm="1">
        <f t="array" ref="I24:S24">TRANSPOSE(_xlfn.SORTBY(_xlfn._xlws.FILTER(Table3[NOME FÍSICO CAMPO],Table3[NOME FÍSICO TABELA]="prepaid_card"), _xlfn._xlws.FILTER(Table3[ORDEM], Table3[NOME FÍSICO TABELA]="prepaid_card"), 1))</f>
        <v>card_number</v>
      </c>
      <c r="J24" s="153" t="str">
        <v>main_contract_bank_id</v>
      </c>
      <c r="K24" s="153" t="str">
        <v>main_contract_id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x14ac:dyDescent="0.25">
      <c r="B25" s="131" t="s">
        <v>2659</v>
      </c>
      <c r="C25" s="134">
        <v>21</v>
      </c>
      <c r="D25" s="128" t="s">
        <v>2660</v>
      </c>
      <c r="E25" s="127" t="s">
        <v>2661</v>
      </c>
      <c r="F25" s="127" t="s">
        <v>351</v>
      </c>
      <c r="G25" s="127" t="s">
        <v>351</v>
      </c>
      <c r="H25" s="127" t="s">
        <v>351</v>
      </c>
      <c r="I25" s="127" t="str" cm="1">
        <f t="array" ref="I25:S26">TRANSPOSE(_xlfn.SORTBY(_xlfn._xlws.FILTER(IF(Table3[FORMATO]:Table3[COMP_ CAMPO]&lt;&gt;"",Table3[FORMATO]:Table3[COMP_ CAMPO],9999999),Table3[NOME FÍSICO TABELA]="prepaid_card"), _xlfn._xlws.FILTER(Table3[ORDEM], Table3[NOME FÍSICO TABELA]="prepaid_card"), 1))</f>
        <v>STRING</v>
      </c>
      <c r="J25" s="127" t="str">
        <v>STRING</v>
      </c>
      <c r="K25" s="127" t="str">
        <v>STRING</v>
      </c>
      <c r="L25" s="127" t="str">
        <v>STRING</v>
      </c>
      <c r="M25" s="127" t="str">
        <v>STRING</v>
      </c>
      <c r="N25" s="127" t="str">
        <v>STRING</v>
      </c>
      <c r="O25" s="127" t="str">
        <v>DECIMAL</v>
      </c>
      <c r="P25" s="127" t="str">
        <v>DECIMAL</v>
      </c>
      <c r="Q25" s="127" t="str">
        <v>STRING</v>
      </c>
      <c r="R25" s="127" t="str">
        <v>STRING</v>
      </c>
      <c r="S25" s="127" t="str">
        <v>TIMESTAMP</v>
      </c>
    </row>
    <row r="26" spans="2:19" x14ac:dyDescent="0.25">
      <c r="B26" s="131" t="s">
        <v>2662</v>
      </c>
      <c r="C26" s="134">
        <v>7</v>
      </c>
      <c r="D26" s="128" t="s">
        <v>2660</v>
      </c>
      <c r="E26" s="127" t="s">
        <v>2661</v>
      </c>
      <c r="F26" s="129" t="s">
        <v>351</v>
      </c>
      <c r="G26" s="129" t="s">
        <v>351</v>
      </c>
      <c r="H26" s="129" t="s">
        <v>351</v>
      </c>
      <c r="I26" s="175">
        <v>16</v>
      </c>
      <c r="J26" s="175">
        <v>4</v>
      </c>
      <c r="K26" s="175">
        <v>30</v>
      </c>
      <c r="L26" s="175">
        <v>10</v>
      </c>
      <c r="M26" s="175">
        <v>10</v>
      </c>
      <c r="N26" s="175">
        <v>10</v>
      </c>
      <c r="O26" s="175">
        <v>23</v>
      </c>
      <c r="P26" s="175">
        <v>23</v>
      </c>
      <c r="Q26" s="175">
        <v>20</v>
      </c>
      <c r="R26" s="175">
        <v>10</v>
      </c>
      <c r="S26" s="175">
        <v>23</v>
      </c>
    </row>
    <row r="28" spans="2:19" x14ac:dyDescent="0.25">
      <c r="B28" s="164" t="s">
        <v>2663</v>
      </c>
    </row>
    <row r="29" spans="2:19" x14ac:dyDescent="0.25">
      <c r="B29" s="158" t="s">
        <v>2664</v>
      </c>
      <c r="C29" s="158" t="s">
        <v>2665</v>
      </c>
      <c r="D29" s="159" t="s">
        <v>2666</v>
      </c>
      <c r="E29" s="158" t="s">
        <v>2667</v>
      </c>
      <c r="F29" s="158" t="s">
        <v>2668</v>
      </c>
    </row>
    <row r="30" spans="2:19" x14ac:dyDescent="0.25">
      <c r="B30" s="142"/>
      <c r="C30" s="141"/>
      <c r="D30" s="147"/>
      <c r="E30" s="170"/>
      <c r="F30" s="160"/>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97B2-9146-4049-B3FF-7AE943888AA6}">
  <sheetPr>
    <tabColor rgb="FF00B050"/>
  </sheetPr>
  <dimension ref="B1:S30"/>
  <sheetViews>
    <sheetView showGridLines="0" workbookViewId="0">
      <selection activeCell="H9" sqref="H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8" t="s">
        <v>2658</v>
      </c>
      <c r="C2" s="98" t="s">
        <v>2601</v>
      </c>
      <c r="D2" s="98" t="s">
        <v>2602</v>
      </c>
      <c r="E2" s="98" t="s">
        <v>2603</v>
      </c>
      <c r="F2" s="98" t="s">
        <v>2604</v>
      </c>
      <c r="G2" s="98" t="s">
        <v>2605</v>
      </c>
      <c r="H2" s="98" t="s">
        <v>2606</v>
      </c>
      <c r="I2" s="98" t="s">
        <v>1042</v>
      </c>
      <c r="J2" s="98" t="s">
        <v>1054</v>
      </c>
      <c r="K2" s="98" t="s">
        <v>1061</v>
      </c>
      <c r="L2" s="98" t="s">
        <v>1069</v>
      </c>
      <c r="M2" s="98" t="s">
        <v>1076</v>
      </c>
      <c r="N2" s="98" t="s">
        <v>1083</v>
      </c>
      <c r="O2" s="98" t="s">
        <v>1090</v>
      </c>
      <c r="P2" s="98" t="s">
        <v>1100</v>
      </c>
      <c r="Q2" s="98" t="s">
        <v>1107</v>
      </c>
      <c r="R2" s="98" t="s">
        <v>330</v>
      </c>
      <c r="S2" s="98" t="s">
        <v>337</v>
      </c>
    </row>
    <row r="3" spans="2:19" x14ac:dyDescent="0.25">
      <c r="B3" s="51" t="s">
        <v>2554</v>
      </c>
      <c r="C3" s="51">
        <v>1</v>
      </c>
      <c r="D3" s="51" t="s">
        <v>3164</v>
      </c>
      <c r="E3" s="119">
        <v>45485</v>
      </c>
      <c r="F3" s="51">
        <v>1</v>
      </c>
      <c r="G3" s="221">
        <v>1</v>
      </c>
      <c r="H3" s="213">
        <v>650320</v>
      </c>
      <c r="I3" s="51" t="s">
        <v>2614</v>
      </c>
      <c r="J3" s="51" t="s">
        <v>2614</v>
      </c>
      <c r="K3" s="51" t="s">
        <v>2614</v>
      </c>
      <c r="L3" s="51" t="s">
        <v>2614</v>
      </c>
      <c r="M3" s="51" t="s">
        <v>2614</v>
      </c>
      <c r="N3" s="51" t="s">
        <v>2614</v>
      </c>
      <c r="O3" s="51" t="s">
        <v>2614</v>
      </c>
      <c r="P3" s="51" t="s">
        <v>2614</v>
      </c>
      <c r="Q3" s="51" t="s">
        <v>2614</v>
      </c>
      <c r="R3" s="51" t="s">
        <v>2614</v>
      </c>
      <c r="S3" s="51" t="s">
        <v>2614</v>
      </c>
    </row>
    <row r="4" spans="2:19" x14ac:dyDescent="0.25">
      <c r="B4" s="51" t="s">
        <v>2556</v>
      </c>
      <c r="C4" s="51">
        <v>2</v>
      </c>
      <c r="D4" s="51" t="s">
        <v>3165</v>
      </c>
      <c r="E4" s="119">
        <v>45485</v>
      </c>
      <c r="F4" s="51">
        <v>1</v>
      </c>
      <c r="G4" s="221">
        <v>1</v>
      </c>
      <c r="H4" s="51">
        <v>0</v>
      </c>
      <c r="I4" s="51" t="s">
        <v>2614</v>
      </c>
      <c r="J4" s="51" t="s">
        <v>2614</v>
      </c>
      <c r="K4" s="51" t="s">
        <v>2614</v>
      </c>
      <c r="L4" s="51" t="s">
        <v>2614</v>
      </c>
      <c r="M4" s="51" t="s">
        <v>2614</v>
      </c>
      <c r="N4" s="51" t="s">
        <v>2614</v>
      </c>
      <c r="O4" s="51" t="s">
        <v>2614</v>
      </c>
      <c r="P4" s="51" t="s">
        <v>2614</v>
      </c>
      <c r="Q4" s="51" t="s">
        <v>2614</v>
      </c>
      <c r="R4" s="51" t="s">
        <v>2614</v>
      </c>
      <c r="S4" s="51" t="s">
        <v>2614</v>
      </c>
    </row>
    <row r="5" spans="2:19" x14ac:dyDescent="0.25">
      <c r="B5" s="51" t="s">
        <v>2558</v>
      </c>
      <c r="C5" s="51">
        <v>3</v>
      </c>
      <c r="D5" s="51" t="s">
        <v>3166</v>
      </c>
      <c r="E5" s="119">
        <v>45485</v>
      </c>
      <c r="F5" s="51">
        <v>1</v>
      </c>
      <c r="G5" s="221">
        <v>1</v>
      </c>
      <c r="H5" s="51">
        <v>0</v>
      </c>
      <c r="I5" s="51">
        <v>0</v>
      </c>
      <c r="J5" s="51" t="s">
        <v>2614</v>
      </c>
      <c r="K5" s="51" t="s">
        <v>2614</v>
      </c>
      <c r="L5" s="51" t="s">
        <v>2614</v>
      </c>
      <c r="M5" s="51" t="s">
        <v>2614</v>
      </c>
      <c r="N5" s="51" t="s">
        <v>2614</v>
      </c>
      <c r="O5" s="51" t="s">
        <v>2614</v>
      </c>
      <c r="P5" s="51" t="s">
        <v>2614</v>
      </c>
      <c r="Q5" s="51" t="s">
        <v>2614</v>
      </c>
      <c r="R5" s="51">
        <v>0</v>
      </c>
      <c r="S5" s="51" t="s">
        <v>2614</v>
      </c>
    </row>
    <row r="6" spans="2:19" x14ac:dyDescent="0.25">
      <c r="B6" s="121" t="s">
        <v>2560</v>
      </c>
      <c r="C6" s="51">
        <v>4</v>
      </c>
      <c r="D6" s="51" t="s">
        <v>2618</v>
      </c>
      <c r="E6" s="119" t="s">
        <v>2614</v>
      </c>
      <c r="F6" s="51">
        <v>1</v>
      </c>
      <c r="G6" s="51" t="s">
        <v>2614</v>
      </c>
      <c r="H6" s="51" t="s">
        <v>2614</v>
      </c>
      <c r="I6" s="51" t="s">
        <v>2614</v>
      </c>
      <c r="J6" s="51" t="s">
        <v>2614</v>
      </c>
      <c r="K6" s="51" t="s">
        <v>2614</v>
      </c>
      <c r="L6" s="51" t="s">
        <v>2614</v>
      </c>
      <c r="M6" s="51" t="s">
        <v>2614</v>
      </c>
      <c r="N6" s="51" t="s">
        <v>2614</v>
      </c>
      <c r="O6" s="51" t="s">
        <v>2614</v>
      </c>
      <c r="P6" s="51" t="s">
        <v>2614</v>
      </c>
      <c r="Q6" s="51" t="s">
        <v>2614</v>
      </c>
      <c r="R6" s="51" t="s">
        <v>2614</v>
      </c>
      <c r="S6" s="51" t="s">
        <v>2614</v>
      </c>
    </row>
    <row r="7" spans="2:19" x14ac:dyDescent="0.25">
      <c r="B7" s="51" t="s">
        <v>2562</v>
      </c>
      <c r="C7" s="51">
        <v>5</v>
      </c>
      <c r="D7" s="51" t="s">
        <v>2618</v>
      </c>
      <c r="E7" s="119" t="s">
        <v>2614</v>
      </c>
      <c r="F7" s="51">
        <v>1</v>
      </c>
      <c r="G7" s="51" t="s">
        <v>2614</v>
      </c>
      <c r="H7" s="51" t="s">
        <v>2614</v>
      </c>
      <c r="I7" s="51" t="s">
        <v>2614</v>
      </c>
      <c r="J7" s="51" t="s">
        <v>2614</v>
      </c>
      <c r="K7" s="51" t="s">
        <v>2614</v>
      </c>
      <c r="L7" s="51" t="s">
        <v>2614</v>
      </c>
      <c r="M7" s="51" t="s">
        <v>2614</v>
      </c>
      <c r="N7" s="51" t="s">
        <v>2614</v>
      </c>
      <c r="O7" s="51" t="s">
        <v>2614</v>
      </c>
      <c r="P7" s="51" t="s">
        <v>2614</v>
      </c>
      <c r="Q7" s="51" t="s">
        <v>2614</v>
      </c>
      <c r="R7" s="51" t="s">
        <v>2614</v>
      </c>
      <c r="S7" s="51" t="s">
        <v>2614</v>
      </c>
    </row>
    <row r="8" spans="2:19" x14ac:dyDescent="0.25">
      <c r="B8" s="121" t="s">
        <v>2563</v>
      </c>
      <c r="C8" s="51">
        <v>6</v>
      </c>
      <c r="D8" s="51" t="s">
        <v>3167</v>
      </c>
      <c r="E8" s="119">
        <v>45485</v>
      </c>
      <c r="F8" s="51">
        <v>1</v>
      </c>
      <c r="G8" s="221" cm="1">
        <f t="array" ref="G8">SUMPRODUCT(--(I8:S8&gt;0))/COUNTA(I8:S8)</f>
        <v>1</v>
      </c>
      <c r="H8" s="51">
        <v>0</v>
      </c>
      <c r="I8" s="51">
        <v>16</v>
      </c>
      <c r="J8" s="51">
        <v>2</v>
      </c>
      <c r="K8" s="51">
        <v>15</v>
      </c>
      <c r="L8" s="51">
        <v>1</v>
      </c>
      <c r="M8" s="51">
        <v>1</v>
      </c>
      <c r="N8" s="51">
        <v>7</v>
      </c>
      <c r="O8" s="51">
        <v>8</v>
      </c>
      <c r="P8" s="51">
        <v>8</v>
      </c>
      <c r="Q8" s="51">
        <v>3</v>
      </c>
      <c r="R8" s="51">
        <v>10</v>
      </c>
      <c r="S8" s="51">
        <v>23</v>
      </c>
    </row>
    <row r="9" spans="2:19" x14ac:dyDescent="0.25">
      <c r="B9" s="51" t="s">
        <v>2566</v>
      </c>
      <c r="C9" s="51">
        <v>7</v>
      </c>
      <c r="D9" s="51" t="s">
        <v>3168</v>
      </c>
      <c r="E9" s="119">
        <v>45485</v>
      </c>
      <c r="F9" s="51">
        <v>1</v>
      </c>
      <c r="G9" s="221" cm="1">
        <f t="array" ref="G9">SUMPRODUCT(--(I9:S9&lt;=I26:S26))/COUNTA(I26:S26)</f>
        <v>1</v>
      </c>
      <c r="H9" s="51">
        <v>0</v>
      </c>
      <c r="I9" s="51">
        <v>16</v>
      </c>
      <c r="J9" s="51">
        <v>2</v>
      </c>
      <c r="K9" s="51">
        <v>15</v>
      </c>
      <c r="L9" s="51">
        <v>3</v>
      </c>
      <c r="M9" s="51">
        <v>10</v>
      </c>
      <c r="N9" s="51">
        <v>7</v>
      </c>
      <c r="O9" s="51">
        <v>13</v>
      </c>
      <c r="P9" s="51">
        <v>13</v>
      </c>
      <c r="Q9" s="51">
        <v>3</v>
      </c>
      <c r="R9" s="51">
        <v>10</v>
      </c>
      <c r="S9" s="51">
        <v>23</v>
      </c>
    </row>
    <row r="10" spans="2:19" x14ac:dyDescent="0.25">
      <c r="B10" s="51" t="s">
        <v>2569</v>
      </c>
      <c r="C10" s="51">
        <v>8</v>
      </c>
      <c r="D10" s="51" t="s">
        <v>3169</v>
      </c>
      <c r="E10" s="119">
        <v>45485</v>
      </c>
      <c r="F10" s="51">
        <v>1</v>
      </c>
      <c r="G10" s="51" t="s">
        <v>2614</v>
      </c>
      <c r="H10" s="51">
        <v>0</v>
      </c>
      <c r="I10" s="51">
        <v>4001900051800820</v>
      </c>
      <c r="J10" s="51">
        <v>31</v>
      </c>
      <c r="K10" s="51">
        <v>1100827510011</v>
      </c>
      <c r="L10" s="51">
        <v>0</v>
      </c>
      <c r="M10" s="51">
        <v>0</v>
      </c>
      <c r="N10" s="119" t="s">
        <v>3150</v>
      </c>
      <c r="O10" s="51" t="s">
        <v>2616</v>
      </c>
      <c r="P10" s="119" t="s">
        <v>2616</v>
      </c>
      <c r="Q10" s="119" t="s">
        <v>2622</v>
      </c>
      <c r="R10" s="119">
        <v>45485</v>
      </c>
      <c r="S10" s="122" t="s">
        <v>3170</v>
      </c>
    </row>
    <row r="11" spans="2:19" x14ac:dyDescent="0.25">
      <c r="B11" s="51" t="s">
        <v>2571</v>
      </c>
      <c r="C11" s="51">
        <v>9</v>
      </c>
      <c r="D11" s="51" t="s">
        <v>3171</v>
      </c>
      <c r="E11" s="119">
        <v>45485</v>
      </c>
      <c r="F11" s="51">
        <v>1</v>
      </c>
      <c r="G11" s="51" t="s">
        <v>2614</v>
      </c>
      <c r="H11" s="51">
        <v>0</v>
      </c>
      <c r="I11" s="51">
        <v>4001900051800820</v>
      </c>
      <c r="J11" s="51"/>
      <c r="K11" s="51">
        <v>1100827510011</v>
      </c>
      <c r="L11" s="51">
        <v>0</v>
      </c>
      <c r="M11" s="51">
        <v>0</v>
      </c>
      <c r="N11" s="119" t="s">
        <v>3150</v>
      </c>
      <c r="O11" s="51">
        <v>0</v>
      </c>
      <c r="P11" s="51">
        <v>0</v>
      </c>
      <c r="Q11" s="51">
        <v>15</v>
      </c>
      <c r="R11" s="119">
        <v>45485</v>
      </c>
      <c r="S11" s="51" t="s">
        <v>3172</v>
      </c>
    </row>
    <row r="12" spans="2:19" x14ac:dyDescent="0.25">
      <c r="B12" s="121" t="s">
        <v>2573</v>
      </c>
      <c r="C12" s="51">
        <v>10</v>
      </c>
      <c r="D12" s="51" t="s">
        <v>3173</v>
      </c>
      <c r="E12" s="119">
        <v>45485</v>
      </c>
      <c r="F12" s="51">
        <v>1</v>
      </c>
      <c r="G12" s="51" t="s">
        <v>2614</v>
      </c>
      <c r="H12" s="51">
        <v>0</v>
      </c>
      <c r="I12" s="51">
        <v>5492260069819360</v>
      </c>
      <c r="J12" s="213">
        <v>31</v>
      </c>
      <c r="K12" s="51">
        <v>5131606960011</v>
      </c>
      <c r="L12" s="51">
        <v>99</v>
      </c>
      <c r="M12" s="119">
        <v>45488</v>
      </c>
      <c r="N12" s="119" t="s">
        <v>3174</v>
      </c>
      <c r="O12" s="122">
        <v>150000000000</v>
      </c>
      <c r="P12" s="221">
        <v>150000000000</v>
      </c>
      <c r="Q12" s="119" t="s">
        <v>2622</v>
      </c>
      <c r="R12" s="119">
        <v>45485</v>
      </c>
      <c r="S12" s="181" t="s">
        <v>3170</v>
      </c>
    </row>
    <row r="13" spans="2:19" x14ac:dyDescent="0.25">
      <c r="B13" s="51" t="s">
        <v>2575</v>
      </c>
      <c r="C13" s="51">
        <v>11</v>
      </c>
      <c r="D13" s="51" t="s">
        <v>3175</v>
      </c>
      <c r="E13" s="119">
        <v>45485</v>
      </c>
      <c r="F13" s="51">
        <v>1</v>
      </c>
      <c r="G13" s="51" t="s">
        <v>2614</v>
      </c>
      <c r="H13" s="51">
        <v>0</v>
      </c>
      <c r="I13" s="51">
        <v>5492260069819360</v>
      </c>
      <c r="J13" s="213"/>
      <c r="K13" s="51">
        <v>5131606960011</v>
      </c>
      <c r="L13" s="51">
        <v>99</v>
      </c>
      <c r="M13" s="119">
        <v>20240715</v>
      </c>
      <c r="N13" s="119" t="s">
        <v>3174</v>
      </c>
      <c r="O13" s="51">
        <v>9000</v>
      </c>
      <c r="P13" s="51">
        <v>998</v>
      </c>
      <c r="Q13" s="51">
        <v>5</v>
      </c>
      <c r="R13" s="119">
        <v>45485</v>
      </c>
      <c r="S13" s="51" t="s">
        <v>3176</v>
      </c>
    </row>
    <row r="14" spans="2:19" x14ac:dyDescent="0.25">
      <c r="B14" s="51" t="s">
        <v>2577</v>
      </c>
      <c r="C14" s="51">
        <v>12</v>
      </c>
      <c r="D14" s="51" t="s">
        <v>3177</v>
      </c>
      <c r="E14" s="119">
        <v>45485</v>
      </c>
      <c r="F14" s="51">
        <v>1</v>
      </c>
      <c r="G14" s="221">
        <v>1</v>
      </c>
      <c r="H14" s="51">
        <v>0</v>
      </c>
      <c r="I14" s="51">
        <v>0</v>
      </c>
      <c r="J14" s="51">
        <v>0</v>
      </c>
      <c r="K14" s="51">
        <v>0</v>
      </c>
      <c r="L14" s="51">
        <v>0</v>
      </c>
      <c r="M14" s="51">
        <v>0</v>
      </c>
      <c r="N14" s="51">
        <v>0</v>
      </c>
      <c r="O14" s="51">
        <v>0</v>
      </c>
      <c r="P14" s="51">
        <v>0</v>
      </c>
      <c r="Q14" s="51">
        <v>0</v>
      </c>
      <c r="R14" s="51">
        <v>0</v>
      </c>
      <c r="S14" s="51">
        <v>0</v>
      </c>
    </row>
    <row r="15" spans="2:19" x14ac:dyDescent="0.25">
      <c r="B15" s="51" t="s">
        <v>2579</v>
      </c>
      <c r="C15" s="51">
        <v>13</v>
      </c>
      <c r="D15" s="51" t="s">
        <v>3178</v>
      </c>
      <c r="E15" s="119">
        <v>45485</v>
      </c>
      <c r="F15" s="51">
        <v>1</v>
      </c>
      <c r="G15" s="221">
        <v>1</v>
      </c>
      <c r="H15" s="51">
        <v>0</v>
      </c>
      <c r="I15" s="51" t="s">
        <v>2614</v>
      </c>
      <c r="J15" s="51" t="s">
        <v>2614</v>
      </c>
      <c r="K15" s="51" t="s">
        <v>2614</v>
      </c>
      <c r="L15" s="51" t="s">
        <v>2614</v>
      </c>
      <c r="M15" s="51">
        <v>0</v>
      </c>
      <c r="N15" s="51">
        <v>0</v>
      </c>
      <c r="O15" s="51" t="s">
        <v>2614</v>
      </c>
      <c r="P15" s="51" t="s">
        <v>2614</v>
      </c>
      <c r="Q15" s="51" t="s">
        <v>2614</v>
      </c>
      <c r="R15" s="51" t="s">
        <v>2614</v>
      </c>
      <c r="S15" s="51" t="s">
        <v>2614</v>
      </c>
    </row>
    <row r="16" spans="2:19" x14ac:dyDescent="0.25">
      <c r="B16" s="51" t="s">
        <v>2581</v>
      </c>
      <c r="C16" s="51">
        <v>14</v>
      </c>
      <c r="D16" s="51" t="s">
        <v>3179</v>
      </c>
      <c r="E16" s="119">
        <v>45485</v>
      </c>
      <c r="F16" s="51">
        <v>1</v>
      </c>
      <c r="G16" s="221">
        <v>1</v>
      </c>
      <c r="H16" s="51">
        <v>0</v>
      </c>
      <c r="I16" s="51" t="s">
        <v>2614</v>
      </c>
      <c r="J16" s="51">
        <v>0</v>
      </c>
      <c r="K16" s="51">
        <v>0</v>
      </c>
      <c r="L16" s="51" t="s">
        <v>2614</v>
      </c>
      <c r="M16" s="51" t="s">
        <v>2614</v>
      </c>
      <c r="N16" s="51" t="s">
        <v>2614</v>
      </c>
      <c r="O16" s="51" t="s">
        <v>2614</v>
      </c>
      <c r="P16" s="51" t="s">
        <v>2614</v>
      </c>
      <c r="Q16" s="51">
        <v>0</v>
      </c>
      <c r="R16" s="51" t="s">
        <v>2614</v>
      </c>
      <c r="S16" s="51" t="s">
        <v>2614</v>
      </c>
    </row>
    <row r="17" spans="2:19" x14ac:dyDescent="0.25">
      <c r="B17" s="51" t="s">
        <v>2583</v>
      </c>
      <c r="C17" s="51">
        <v>15</v>
      </c>
      <c r="D17" s="51" t="s">
        <v>3180</v>
      </c>
      <c r="E17" s="119">
        <v>45485</v>
      </c>
      <c r="F17" s="51">
        <v>1</v>
      </c>
      <c r="G17" s="221">
        <v>1</v>
      </c>
      <c r="H17" s="51">
        <v>0</v>
      </c>
      <c r="I17" s="51" t="s">
        <v>2614</v>
      </c>
      <c r="J17" s="51" t="s">
        <v>2614</v>
      </c>
      <c r="K17" s="51" t="s">
        <v>2614</v>
      </c>
      <c r="L17" s="51" t="s">
        <v>2614</v>
      </c>
      <c r="M17" s="51" t="s">
        <v>2614</v>
      </c>
      <c r="N17" s="51" t="s">
        <v>2614</v>
      </c>
      <c r="O17" s="51" t="s">
        <v>2614</v>
      </c>
      <c r="P17" s="51" t="s">
        <v>2614</v>
      </c>
      <c r="Q17" s="51" t="s">
        <v>2614</v>
      </c>
      <c r="R17" s="51" t="s">
        <v>2614</v>
      </c>
      <c r="S17" s="51" t="s">
        <v>2614</v>
      </c>
    </row>
    <row r="18" spans="2:19" x14ac:dyDescent="0.25">
      <c r="B18" s="51" t="s">
        <v>2585</v>
      </c>
      <c r="C18" s="51">
        <v>16</v>
      </c>
      <c r="D18" s="51" t="s">
        <v>3180</v>
      </c>
      <c r="E18" s="119">
        <v>45485</v>
      </c>
      <c r="F18" s="51">
        <v>1</v>
      </c>
      <c r="G18" s="221">
        <v>1</v>
      </c>
      <c r="H18" s="51">
        <v>0</v>
      </c>
      <c r="I18" s="51" t="s">
        <v>2614</v>
      </c>
      <c r="J18" s="51" t="s">
        <v>2614</v>
      </c>
      <c r="K18" s="51" t="s">
        <v>2614</v>
      </c>
      <c r="L18" s="51" t="s">
        <v>2614</v>
      </c>
      <c r="M18" s="51" t="s">
        <v>2614</v>
      </c>
      <c r="N18" s="51" t="s">
        <v>2614</v>
      </c>
      <c r="O18" s="51" t="s">
        <v>2614</v>
      </c>
      <c r="P18" s="51" t="s">
        <v>2614</v>
      </c>
      <c r="Q18" s="51" t="s">
        <v>2614</v>
      </c>
      <c r="R18" s="51" t="s">
        <v>2614</v>
      </c>
      <c r="S18" s="51" t="s">
        <v>2614</v>
      </c>
    </row>
    <row r="19" spans="2:19" x14ac:dyDescent="0.25">
      <c r="B19" s="51" t="s">
        <v>2591</v>
      </c>
      <c r="C19" s="51">
        <v>19</v>
      </c>
      <c r="D19" s="51" t="s">
        <v>3181</v>
      </c>
      <c r="E19" s="119">
        <v>45485</v>
      </c>
      <c r="F19" s="51">
        <v>1</v>
      </c>
      <c r="G19" s="221" cm="1">
        <f t="array" ref="G19">SUMPRODUCT(--(ISNUMBER((SEARCH(I25:S25,I19:S19)))))/COUNTA(I19:S19)</f>
        <v>1</v>
      </c>
      <c r="H19" s="51" t="s">
        <v>2614</v>
      </c>
      <c r="I19" s="51" t="s">
        <v>2654</v>
      </c>
      <c r="J19" s="51" t="s">
        <v>2654</v>
      </c>
      <c r="K19" s="51" t="s">
        <v>2654</v>
      </c>
      <c r="L19" s="51" t="s">
        <v>2654</v>
      </c>
      <c r="M19" s="51" t="s">
        <v>2654</v>
      </c>
      <c r="N19" s="51" t="s">
        <v>2654</v>
      </c>
      <c r="O19" s="51" t="s">
        <v>2655</v>
      </c>
      <c r="P19" s="51" t="s">
        <v>2655</v>
      </c>
      <c r="Q19" s="51" t="s">
        <v>2654</v>
      </c>
      <c r="R19" s="51" t="s">
        <v>2654</v>
      </c>
      <c r="S19" s="51" t="s">
        <v>2656</v>
      </c>
    </row>
    <row r="20" spans="2:19" x14ac:dyDescent="0.25">
      <c r="B20" s="51" t="s">
        <v>2594</v>
      </c>
      <c r="C20" s="51">
        <v>20</v>
      </c>
      <c r="D20" s="51" t="s">
        <v>3182</v>
      </c>
      <c r="E20" s="119">
        <v>45485</v>
      </c>
      <c r="F20" s="51">
        <v>1</v>
      </c>
      <c r="G20" s="221" cm="1">
        <f t="array" ref="G20">SUM(IF(I2:S2 = I24:S24, 1, 0))/ COUNTA(I2:S2)</f>
        <v>1</v>
      </c>
      <c r="H20" s="51" t="s">
        <v>2614</v>
      </c>
      <c r="I20" s="51"/>
      <c r="J20" s="51"/>
      <c r="K20" s="51"/>
      <c r="L20" s="51"/>
      <c r="M20" s="51"/>
      <c r="N20" s="51"/>
      <c r="O20" s="51"/>
      <c r="P20" s="51"/>
      <c r="Q20" s="51"/>
      <c r="R20" s="51"/>
      <c r="S20" s="51"/>
    </row>
    <row r="21" spans="2:19" x14ac:dyDescent="0.25">
      <c r="B21" s="51" t="s">
        <v>2597</v>
      </c>
      <c r="C21" s="51">
        <v>21</v>
      </c>
      <c r="D21" s="51" t="s">
        <v>3182</v>
      </c>
      <c r="E21" s="119">
        <v>45485</v>
      </c>
      <c r="F21" s="51">
        <v>1</v>
      </c>
      <c r="G21" s="221" cm="1">
        <f t="array" ref="G21">SUM(IF(IF(G3:G20="null",1,G3:G20)=1,1,0))/COUNT(IF(G3:G20="null",1,1))</f>
        <v>1</v>
      </c>
      <c r="H21" s="51" t="s">
        <v>2614</v>
      </c>
      <c r="I21" s="51"/>
      <c r="J21" s="51"/>
      <c r="K21" s="51"/>
      <c r="L21" s="51"/>
      <c r="M21" s="51"/>
      <c r="N21" s="51"/>
      <c r="O21" s="51"/>
      <c r="P21" s="51"/>
      <c r="Q21" s="51"/>
      <c r="R21" s="51"/>
      <c r="S21" s="51"/>
    </row>
    <row r="22" spans="2:19" x14ac:dyDescent="0.25">
      <c r="B22" s="51"/>
      <c r="C22" s="51"/>
      <c r="D22" s="51"/>
      <c r="E22" s="119"/>
      <c r="F22" s="51"/>
      <c r="G22" s="51"/>
      <c r="H22" s="51"/>
      <c r="I22" s="51"/>
      <c r="J22" s="51"/>
      <c r="K22" s="51"/>
      <c r="L22" s="51"/>
      <c r="M22" s="51"/>
      <c r="N22" s="51"/>
      <c r="O22" s="51"/>
      <c r="P22" s="51"/>
      <c r="Q22" s="51"/>
      <c r="R22" s="51"/>
      <c r="S22" s="51"/>
    </row>
    <row r="23" spans="2:19" x14ac:dyDescent="0.25">
      <c r="B23" s="154" t="s">
        <v>2657</v>
      </c>
    </row>
    <row r="24" spans="2:19" x14ac:dyDescent="0.25">
      <c r="B24" s="152" t="s">
        <v>2658</v>
      </c>
      <c r="C24" s="153" t="s">
        <v>2601</v>
      </c>
      <c r="D24" s="153" t="s">
        <v>2602</v>
      </c>
      <c r="E24" s="153" t="s">
        <v>2603</v>
      </c>
      <c r="F24" s="153" t="s">
        <v>2604</v>
      </c>
      <c r="G24" s="153" t="s">
        <v>2605</v>
      </c>
      <c r="H24" s="153" t="s">
        <v>2606</v>
      </c>
      <c r="I24" s="153" t="str" cm="1">
        <f t="array" ref="I24:S24">TRANSPOSE(_xlfn.SORTBY(_xlfn._xlws.FILTER(Table3[NOME FÍSICO CAMPO],Table3[NOME FÍSICO TABELA]="credit_card"), _xlfn._xlws.FILTER(Table3[ORDEM], Table3[NOME FÍSICO TABELA]="credit_card"), 1))</f>
        <v>card_number</v>
      </c>
      <c r="J24" s="153" t="str">
        <v>main_card_account_bank_id</v>
      </c>
      <c r="K24" s="153" t="str">
        <v>main_card_account_contract_id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x14ac:dyDescent="0.25">
      <c r="B25" s="131" t="s">
        <v>2659</v>
      </c>
      <c r="C25" s="134">
        <v>21</v>
      </c>
      <c r="D25" s="128" t="s">
        <v>2660</v>
      </c>
      <c r="E25" s="127" t="s">
        <v>2661</v>
      </c>
      <c r="F25" s="127" t="s">
        <v>351</v>
      </c>
      <c r="G25" s="127" t="s">
        <v>351</v>
      </c>
      <c r="H25" s="127" t="s">
        <v>351</v>
      </c>
      <c r="I25" s="127" t="str" cm="1">
        <f t="array" ref="I25:S26">TRANSPOSE(_xlfn.SORTBY(_xlfn._xlws.FILTER(IF(Table3[FORMATO]:Table3[COMP_ CAMPO]&lt;&gt;"",Table3[FORMATO]:Table3[COMP_ CAMPO],9999999),Table3[NOME FÍSICO TABELA]="credit_card"), _xlfn._xlws.FILTER(Table3[ORDEM], Table3[NOME FÍSICO TABELA]="credit_card"), 1))</f>
        <v>STRING</v>
      </c>
      <c r="J25" s="127" t="str">
        <v>STRING</v>
      </c>
      <c r="K25" s="127" t="str">
        <v>STRING</v>
      </c>
      <c r="L25" s="127" t="str">
        <v>STRING</v>
      </c>
      <c r="M25" s="127" t="str">
        <v>STRING</v>
      </c>
      <c r="N25" s="127" t="str">
        <v>STRING</v>
      </c>
      <c r="O25" s="127" t="str">
        <v>DECIMAL</v>
      </c>
      <c r="P25" s="127" t="str">
        <v>DECIMAL</v>
      </c>
      <c r="Q25" s="127" t="str">
        <v>STRING</v>
      </c>
      <c r="R25" s="127" t="str">
        <v>STRING</v>
      </c>
      <c r="S25" s="127" t="str">
        <v>TIMESTAMP</v>
      </c>
    </row>
    <row r="26" spans="2:19" x14ac:dyDescent="0.25">
      <c r="B26" s="131" t="s">
        <v>2662</v>
      </c>
      <c r="C26" s="134">
        <v>7</v>
      </c>
      <c r="D26" s="128" t="s">
        <v>2660</v>
      </c>
      <c r="E26" s="127" t="s">
        <v>2661</v>
      </c>
      <c r="F26" s="129" t="s">
        <v>351</v>
      </c>
      <c r="G26" s="129" t="s">
        <v>351</v>
      </c>
      <c r="H26" s="129" t="s">
        <v>351</v>
      </c>
      <c r="I26" s="175">
        <v>16</v>
      </c>
      <c r="J26" s="175">
        <v>4</v>
      </c>
      <c r="K26" s="175">
        <v>30</v>
      </c>
      <c r="L26" s="175">
        <v>10</v>
      </c>
      <c r="M26" s="175">
        <v>10</v>
      </c>
      <c r="N26" s="175">
        <v>10</v>
      </c>
      <c r="O26" s="175">
        <v>23</v>
      </c>
      <c r="P26" s="175">
        <v>23</v>
      </c>
      <c r="Q26" s="175">
        <v>20</v>
      </c>
      <c r="R26" s="175">
        <v>10</v>
      </c>
      <c r="S26" s="175">
        <v>23</v>
      </c>
    </row>
    <row r="28" spans="2:19" x14ac:dyDescent="0.25">
      <c r="B28" s="164" t="s">
        <v>2663</v>
      </c>
    </row>
    <row r="29" spans="2:19" x14ac:dyDescent="0.25">
      <c r="B29" s="158" t="s">
        <v>2664</v>
      </c>
      <c r="C29" s="158" t="s">
        <v>2665</v>
      </c>
      <c r="D29" s="159" t="s">
        <v>2666</v>
      </c>
      <c r="E29" s="158" t="s">
        <v>2667</v>
      </c>
      <c r="F29" s="158" t="s">
        <v>2668</v>
      </c>
    </row>
    <row r="30" spans="2:19" x14ac:dyDescent="0.25">
      <c r="B30" s="142"/>
      <c r="C30" s="141"/>
      <c r="D30" s="147"/>
      <c r="E30" s="170"/>
      <c r="F30" s="160"/>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B4FA-9A80-4EFD-9239-6A4BDDCB416A}">
  <sheetPr>
    <tabColor rgb="FF00B050"/>
  </sheetPr>
  <dimension ref="B1:S30"/>
  <sheetViews>
    <sheetView showGridLines="0" topLeftCell="C1" workbookViewId="0">
      <selection activeCell="N36" sqref="N36"/>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8" t="s">
        <v>2658</v>
      </c>
      <c r="C2" s="98" t="s">
        <v>2601</v>
      </c>
      <c r="D2" s="98" t="s">
        <v>2602</v>
      </c>
      <c r="E2" s="98" t="s">
        <v>2603</v>
      </c>
      <c r="F2" s="98" t="s">
        <v>2604</v>
      </c>
      <c r="G2" s="98" t="s">
        <v>2605</v>
      </c>
      <c r="H2" s="98" t="s">
        <v>2606</v>
      </c>
      <c r="I2" s="98" t="s">
        <v>1042</v>
      </c>
      <c r="J2" s="98" t="s">
        <v>1503</v>
      </c>
      <c r="K2" s="98" t="s">
        <v>1507</v>
      </c>
      <c r="L2" s="98" t="s">
        <v>1069</v>
      </c>
      <c r="M2" s="98" t="s">
        <v>1076</v>
      </c>
      <c r="N2" s="98" t="s">
        <v>1083</v>
      </c>
      <c r="O2" s="98" t="s">
        <v>1090</v>
      </c>
      <c r="P2" s="98" t="s">
        <v>1100</v>
      </c>
      <c r="Q2" s="98" t="s">
        <v>1107</v>
      </c>
      <c r="R2" s="98" t="s">
        <v>330</v>
      </c>
      <c r="S2" s="98" t="s">
        <v>337</v>
      </c>
    </row>
    <row r="3" spans="2:19" x14ac:dyDescent="0.25">
      <c r="B3" s="51" t="s">
        <v>2554</v>
      </c>
      <c r="C3" s="51">
        <v>1</v>
      </c>
      <c r="D3" s="51" t="s">
        <v>3183</v>
      </c>
      <c r="E3" s="119">
        <v>45483</v>
      </c>
      <c r="F3" s="51">
        <v>1</v>
      </c>
      <c r="G3" s="122">
        <v>1</v>
      </c>
      <c r="H3" s="213">
        <v>1722768</v>
      </c>
      <c r="I3" s="51" t="s">
        <v>2614</v>
      </c>
      <c r="J3" s="51" t="s">
        <v>2614</v>
      </c>
      <c r="K3" s="51" t="s">
        <v>2614</v>
      </c>
      <c r="L3" s="51" t="s">
        <v>2614</v>
      </c>
      <c r="M3" s="51" t="s">
        <v>2614</v>
      </c>
      <c r="N3" s="51" t="s">
        <v>2614</v>
      </c>
      <c r="O3" s="51" t="s">
        <v>2614</v>
      </c>
      <c r="P3" s="51" t="s">
        <v>2614</v>
      </c>
      <c r="Q3" s="51" t="s">
        <v>2614</v>
      </c>
      <c r="R3" s="51" t="s">
        <v>2614</v>
      </c>
      <c r="S3" s="51" t="s">
        <v>2614</v>
      </c>
    </row>
    <row r="4" spans="2:19" x14ac:dyDescent="0.25">
      <c r="B4" s="51" t="s">
        <v>2556</v>
      </c>
      <c r="C4" s="51">
        <v>2</v>
      </c>
      <c r="D4" s="51" t="s">
        <v>3184</v>
      </c>
      <c r="E4" s="119">
        <v>45483</v>
      </c>
      <c r="F4" s="51">
        <v>1</v>
      </c>
      <c r="G4" s="122">
        <v>1</v>
      </c>
      <c r="H4" s="51">
        <v>0</v>
      </c>
      <c r="I4" s="51" t="s">
        <v>2614</v>
      </c>
      <c r="J4" s="51" t="s">
        <v>2614</v>
      </c>
      <c r="K4" s="51" t="s">
        <v>2614</v>
      </c>
      <c r="L4" s="51" t="s">
        <v>2614</v>
      </c>
      <c r="M4" s="51" t="s">
        <v>2614</v>
      </c>
      <c r="N4" s="51" t="s">
        <v>2614</v>
      </c>
      <c r="O4" s="51" t="s">
        <v>2614</v>
      </c>
      <c r="P4" s="51" t="s">
        <v>2614</v>
      </c>
      <c r="Q4" s="51" t="s">
        <v>2614</v>
      </c>
      <c r="R4" s="51" t="s">
        <v>2614</v>
      </c>
      <c r="S4" s="51" t="s">
        <v>2614</v>
      </c>
    </row>
    <row r="5" spans="2:19" x14ac:dyDescent="0.25">
      <c r="B5" s="51" t="s">
        <v>2558</v>
      </c>
      <c r="C5" s="51">
        <v>3</v>
      </c>
      <c r="D5" s="51" t="s">
        <v>3185</v>
      </c>
      <c r="E5" s="119">
        <v>45483</v>
      </c>
      <c r="F5" s="51">
        <v>1</v>
      </c>
      <c r="G5" s="122">
        <v>1</v>
      </c>
      <c r="H5" s="51">
        <v>0</v>
      </c>
      <c r="I5" s="51">
        <v>0</v>
      </c>
      <c r="J5" s="51" t="s">
        <v>2614</v>
      </c>
      <c r="K5" s="51" t="s">
        <v>2614</v>
      </c>
      <c r="L5" s="51" t="s">
        <v>2614</v>
      </c>
      <c r="M5" s="51" t="s">
        <v>2614</v>
      </c>
      <c r="N5" s="51" t="s">
        <v>2614</v>
      </c>
      <c r="O5" s="51" t="s">
        <v>2614</v>
      </c>
      <c r="P5" s="51" t="s">
        <v>2614</v>
      </c>
      <c r="Q5" s="51" t="s">
        <v>2614</v>
      </c>
      <c r="R5" s="51">
        <v>0</v>
      </c>
      <c r="S5" s="51" t="s">
        <v>2614</v>
      </c>
    </row>
    <row r="6" spans="2:19" x14ac:dyDescent="0.25">
      <c r="B6" s="121" t="s">
        <v>2560</v>
      </c>
      <c r="C6" s="51">
        <v>4</v>
      </c>
      <c r="D6" s="51" t="s">
        <v>2618</v>
      </c>
      <c r="E6" s="119" t="s">
        <v>2614</v>
      </c>
      <c r="F6" s="51">
        <v>1</v>
      </c>
      <c r="G6" s="51" t="s">
        <v>2614</v>
      </c>
      <c r="H6" s="51" t="s">
        <v>2614</v>
      </c>
      <c r="I6" s="51" t="s">
        <v>2614</v>
      </c>
      <c r="J6" s="51" t="s">
        <v>2614</v>
      </c>
      <c r="K6" s="51" t="s">
        <v>2614</v>
      </c>
      <c r="L6" s="51" t="s">
        <v>2614</v>
      </c>
      <c r="M6" s="51" t="s">
        <v>2614</v>
      </c>
      <c r="N6" s="51" t="s">
        <v>2614</v>
      </c>
      <c r="O6" s="51" t="s">
        <v>2614</v>
      </c>
      <c r="P6" s="51" t="s">
        <v>2614</v>
      </c>
      <c r="Q6" s="51" t="s">
        <v>2614</v>
      </c>
      <c r="R6" s="51" t="s">
        <v>2614</v>
      </c>
      <c r="S6" s="51" t="s">
        <v>2614</v>
      </c>
    </row>
    <row r="7" spans="2:19" x14ac:dyDescent="0.25">
      <c r="B7" s="51" t="s">
        <v>2562</v>
      </c>
      <c r="C7" s="51">
        <v>5</v>
      </c>
      <c r="D7" s="51" t="s">
        <v>2618</v>
      </c>
      <c r="E7" s="119" t="s">
        <v>2614</v>
      </c>
      <c r="F7" s="51">
        <v>1</v>
      </c>
      <c r="G7" s="51" t="s">
        <v>2614</v>
      </c>
      <c r="H7" s="51" t="s">
        <v>2614</v>
      </c>
      <c r="I7" s="51" t="s">
        <v>2614</v>
      </c>
      <c r="J7" s="51" t="s">
        <v>2614</v>
      </c>
      <c r="K7" s="51" t="s">
        <v>2614</v>
      </c>
      <c r="L7" s="51" t="s">
        <v>2614</v>
      </c>
      <c r="M7" s="51" t="s">
        <v>2614</v>
      </c>
      <c r="N7" s="51" t="s">
        <v>2614</v>
      </c>
      <c r="O7" s="51" t="s">
        <v>2614</v>
      </c>
      <c r="P7" s="51" t="s">
        <v>2614</v>
      </c>
      <c r="Q7" s="51" t="s">
        <v>2614</v>
      </c>
      <c r="R7" s="51" t="s">
        <v>2614</v>
      </c>
      <c r="S7" s="51" t="s">
        <v>2614</v>
      </c>
    </row>
    <row r="8" spans="2:19" x14ac:dyDescent="0.25">
      <c r="B8" s="121" t="s">
        <v>2563</v>
      </c>
      <c r="C8" s="51">
        <v>6</v>
      </c>
      <c r="D8" s="51" t="s">
        <v>3186</v>
      </c>
      <c r="E8" s="119">
        <v>45483</v>
      </c>
      <c r="F8" s="51">
        <v>1</v>
      </c>
      <c r="G8" s="221" cm="1">
        <f t="array" ref="G8">SUMPRODUCT(--(I8:S8&gt;0))/COUNTA(I8:S8)</f>
        <v>1</v>
      </c>
      <c r="H8" s="213">
        <v>0</v>
      </c>
      <c r="I8" s="51">
        <v>16</v>
      </c>
      <c r="J8" s="51">
        <v>2</v>
      </c>
      <c r="K8" s="51">
        <v>15</v>
      </c>
      <c r="L8" s="51">
        <v>1</v>
      </c>
      <c r="M8" s="51">
        <v>1</v>
      </c>
      <c r="N8" s="51">
        <v>7</v>
      </c>
      <c r="O8" s="51">
        <v>8</v>
      </c>
      <c r="P8" s="51">
        <v>8</v>
      </c>
      <c r="Q8" s="51">
        <v>3</v>
      </c>
      <c r="R8" s="51">
        <v>10</v>
      </c>
      <c r="S8" s="51">
        <v>23</v>
      </c>
    </row>
    <row r="9" spans="2:19" x14ac:dyDescent="0.25">
      <c r="B9" s="51" t="s">
        <v>2566</v>
      </c>
      <c r="C9" s="51">
        <v>7</v>
      </c>
      <c r="D9" s="51" t="s">
        <v>3187</v>
      </c>
      <c r="E9" s="119">
        <v>45483</v>
      </c>
      <c r="F9" s="51">
        <v>1</v>
      </c>
      <c r="G9" s="221" cm="1">
        <f t="array" ref="G9">SUMPRODUCT(--(I9:S9&lt;=I26:S26))/COUNTA(I26:S26)</f>
        <v>1</v>
      </c>
      <c r="H9" s="213">
        <v>0</v>
      </c>
      <c r="I9" s="51">
        <v>16</v>
      </c>
      <c r="J9" s="51">
        <v>2</v>
      </c>
      <c r="K9" s="51">
        <v>15</v>
      </c>
      <c r="L9" s="51">
        <v>3</v>
      </c>
      <c r="M9" s="51">
        <v>10</v>
      </c>
      <c r="N9" s="51">
        <v>7</v>
      </c>
      <c r="O9" s="51">
        <v>16</v>
      </c>
      <c r="P9" s="51">
        <v>16</v>
      </c>
      <c r="Q9" s="51">
        <v>3</v>
      </c>
      <c r="R9" s="51">
        <v>10</v>
      </c>
      <c r="S9" s="51">
        <v>23</v>
      </c>
    </row>
    <row r="10" spans="2:19" x14ac:dyDescent="0.25">
      <c r="B10" s="51" t="s">
        <v>2569</v>
      </c>
      <c r="C10" s="51">
        <v>8</v>
      </c>
      <c r="D10" s="51" t="s">
        <v>3188</v>
      </c>
      <c r="E10" s="119">
        <v>45483</v>
      </c>
      <c r="F10" s="51">
        <v>1</v>
      </c>
      <c r="G10" s="51" t="s">
        <v>2614</v>
      </c>
      <c r="H10" s="213">
        <v>0</v>
      </c>
      <c r="I10" s="51">
        <v>4008110051813620</v>
      </c>
      <c r="J10" s="51">
        <v>31</v>
      </c>
      <c r="K10" s="51">
        <v>1100751730010</v>
      </c>
      <c r="L10" s="51">
        <v>0</v>
      </c>
      <c r="M10" s="51">
        <v>0</v>
      </c>
      <c r="N10" s="119" t="s">
        <v>3150</v>
      </c>
      <c r="O10" s="51" t="s">
        <v>2616</v>
      </c>
      <c r="P10" s="119" t="s">
        <v>2616</v>
      </c>
      <c r="Q10" s="119" t="s">
        <v>2622</v>
      </c>
      <c r="R10" s="119">
        <v>45483</v>
      </c>
      <c r="S10" s="122" t="s">
        <v>3189</v>
      </c>
    </row>
    <row r="11" spans="2:19" x14ac:dyDescent="0.25">
      <c r="B11" s="51" t="s">
        <v>2571</v>
      </c>
      <c r="C11" s="51">
        <v>9</v>
      </c>
      <c r="D11" s="51" t="s">
        <v>3190</v>
      </c>
      <c r="E11" s="119">
        <v>45483</v>
      </c>
      <c r="F11" s="51">
        <v>1</v>
      </c>
      <c r="G11" s="51" t="s">
        <v>2614</v>
      </c>
      <c r="H11" s="213">
        <v>0</v>
      </c>
      <c r="I11" s="51">
        <v>4008110051813620</v>
      </c>
      <c r="J11" s="51">
        <v>31</v>
      </c>
      <c r="K11" s="51">
        <v>1100751730010</v>
      </c>
      <c r="L11" s="51">
        <v>0</v>
      </c>
      <c r="M11" s="51">
        <v>0</v>
      </c>
      <c r="N11" s="119" t="s">
        <v>3150</v>
      </c>
      <c r="O11" s="51" t="s">
        <v>2616</v>
      </c>
      <c r="P11" s="51" t="s">
        <v>2616</v>
      </c>
      <c r="Q11" s="51">
        <v>15</v>
      </c>
      <c r="R11" s="119">
        <v>45483</v>
      </c>
      <c r="S11" s="51" t="s">
        <v>3191</v>
      </c>
    </row>
    <row r="12" spans="2:19" x14ac:dyDescent="0.25">
      <c r="B12" s="121" t="s">
        <v>2573</v>
      </c>
      <c r="C12" s="51">
        <v>10</v>
      </c>
      <c r="D12" s="51" t="s">
        <v>3192</v>
      </c>
      <c r="E12" s="119">
        <v>45483</v>
      </c>
      <c r="F12" s="51">
        <v>1</v>
      </c>
      <c r="G12" s="51" t="s">
        <v>2614</v>
      </c>
      <c r="H12" s="213">
        <v>0</v>
      </c>
      <c r="I12" s="51">
        <v>5890770069838630</v>
      </c>
      <c r="J12" s="213">
        <v>31</v>
      </c>
      <c r="K12" s="51">
        <v>5131570010010</v>
      </c>
      <c r="L12" s="51">
        <v>97</v>
      </c>
      <c r="M12" s="119">
        <v>45484</v>
      </c>
      <c r="N12" s="119" t="s">
        <v>3193</v>
      </c>
      <c r="O12" s="122">
        <v>999999999000000</v>
      </c>
      <c r="P12" s="221">
        <v>999999999000000</v>
      </c>
      <c r="Q12" s="119" t="s">
        <v>2622</v>
      </c>
      <c r="R12" s="119">
        <v>45483</v>
      </c>
      <c r="S12" s="181" t="s">
        <v>3189</v>
      </c>
    </row>
    <row r="13" spans="2:19" x14ac:dyDescent="0.25">
      <c r="B13" s="51" t="s">
        <v>2575</v>
      </c>
      <c r="C13" s="51">
        <v>11</v>
      </c>
      <c r="D13" s="51" t="s">
        <v>3194</v>
      </c>
      <c r="E13" s="119">
        <v>45483</v>
      </c>
      <c r="F13" s="51">
        <v>1</v>
      </c>
      <c r="G13" s="51" t="s">
        <v>2614</v>
      </c>
      <c r="H13" s="213">
        <v>0</v>
      </c>
      <c r="I13" s="51">
        <v>5890770069838630</v>
      </c>
      <c r="J13" s="213">
        <v>31</v>
      </c>
      <c r="K13" s="51">
        <v>5131570010010</v>
      </c>
      <c r="L13" s="51">
        <v>97</v>
      </c>
      <c r="M13" s="119">
        <v>20240711</v>
      </c>
      <c r="N13" s="119" t="s">
        <v>3193</v>
      </c>
      <c r="O13" s="122">
        <v>999999999000000</v>
      </c>
      <c r="P13" s="119">
        <v>999999999000000</v>
      </c>
      <c r="Q13" s="51">
        <v>5</v>
      </c>
      <c r="R13" s="119">
        <v>45483</v>
      </c>
      <c r="S13" s="51" t="s">
        <v>3195</v>
      </c>
    </row>
    <row r="14" spans="2:19" x14ac:dyDescent="0.25">
      <c r="B14" s="51" t="s">
        <v>2577</v>
      </c>
      <c r="C14" s="51">
        <v>12</v>
      </c>
      <c r="D14" s="51" t="s">
        <v>3196</v>
      </c>
      <c r="E14" s="119">
        <v>45483</v>
      </c>
      <c r="F14" s="51">
        <v>1</v>
      </c>
      <c r="G14" s="221">
        <v>1</v>
      </c>
      <c r="H14" s="213">
        <v>0</v>
      </c>
      <c r="I14" s="51">
        <v>0</v>
      </c>
      <c r="J14" s="51">
        <v>0</v>
      </c>
      <c r="K14" s="51">
        <v>0</v>
      </c>
      <c r="L14" s="51">
        <v>0</v>
      </c>
      <c r="M14" s="51">
        <v>0</v>
      </c>
      <c r="N14" s="51">
        <v>0</v>
      </c>
      <c r="O14" s="51">
        <v>0</v>
      </c>
      <c r="P14" s="51">
        <v>0</v>
      </c>
      <c r="Q14" s="51">
        <v>0</v>
      </c>
      <c r="R14" s="51">
        <v>0</v>
      </c>
      <c r="S14" s="51">
        <v>0</v>
      </c>
    </row>
    <row r="15" spans="2:19" x14ac:dyDescent="0.25">
      <c r="B15" s="51" t="s">
        <v>2579</v>
      </c>
      <c r="C15" s="51">
        <v>13</v>
      </c>
      <c r="D15" s="51" t="s">
        <v>3197</v>
      </c>
      <c r="E15" s="119">
        <v>45483</v>
      </c>
      <c r="F15" s="51">
        <v>1</v>
      </c>
      <c r="G15" s="221">
        <v>1</v>
      </c>
      <c r="H15" s="213">
        <v>0</v>
      </c>
      <c r="I15" s="51" t="s">
        <v>2614</v>
      </c>
      <c r="J15" s="51" t="s">
        <v>2614</v>
      </c>
      <c r="K15" s="51" t="s">
        <v>2614</v>
      </c>
      <c r="L15" s="51" t="s">
        <v>2614</v>
      </c>
      <c r="M15" s="51">
        <v>0</v>
      </c>
      <c r="N15" s="51">
        <v>0</v>
      </c>
      <c r="O15" s="51" t="s">
        <v>2614</v>
      </c>
      <c r="P15" s="51" t="s">
        <v>2614</v>
      </c>
      <c r="Q15" s="51" t="s">
        <v>2614</v>
      </c>
      <c r="R15" s="51" t="s">
        <v>2614</v>
      </c>
      <c r="S15" s="51" t="s">
        <v>2614</v>
      </c>
    </row>
    <row r="16" spans="2:19" x14ac:dyDescent="0.25">
      <c r="B16" s="51" t="s">
        <v>2581</v>
      </c>
      <c r="C16" s="51">
        <v>14</v>
      </c>
      <c r="D16" s="51" t="s">
        <v>3198</v>
      </c>
      <c r="E16" s="119">
        <v>45483</v>
      </c>
      <c r="F16" s="51">
        <v>1</v>
      </c>
      <c r="G16" s="221">
        <v>1</v>
      </c>
      <c r="H16" s="213">
        <v>0</v>
      </c>
      <c r="I16" s="51">
        <v>0</v>
      </c>
      <c r="J16" s="51">
        <v>0</v>
      </c>
      <c r="K16" s="51">
        <v>0</v>
      </c>
      <c r="L16" s="51">
        <v>0</v>
      </c>
      <c r="M16" s="51" t="s">
        <v>2614</v>
      </c>
      <c r="N16" s="51" t="s">
        <v>2614</v>
      </c>
      <c r="O16" s="51" t="s">
        <v>2614</v>
      </c>
      <c r="P16" s="51" t="s">
        <v>2614</v>
      </c>
      <c r="Q16" s="51">
        <v>0</v>
      </c>
      <c r="R16" s="51" t="s">
        <v>2614</v>
      </c>
      <c r="S16" s="51" t="s">
        <v>2614</v>
      </c>
    </row>
    <row r="17" spans="2:19" x14ac:dyDescent="0.25">
      <c r="B17" s="51" t="s">
        <v>2583</v>
      </c>
      <c r="C17" s="51">
        <v>15</v>
      </c>
      <c r="D17" s="51" t="s">
        <v>3199</v>
      </c>
      <c r="E17" s="119">
        <v>45483</v>
      </c>
      <c r="F17" s="51">
        <v>1</v>
      </c>
      <c r="G17" s="221">
        <v>1</v>
      </c>
      <c r="H17" s="213">
        <v>0</v>
      </c>
      <c r="I17" s="51" t="s">
        <v>2614</v>
      </c>
      <c r="J17" s="51" t="s">
        <v>2614</v>
      </c>
      <c r="K17" s="51" t="s">
        <v>2614</v>
      </c>
      <c r="L17" s="51" t="s">
        <v>2614</v>
      </c>
      <c r="M17" s="51" t="s">
        <v>2614</v>
      </c>
      <c r="N17" s="51" t="s">
        <v>2614</v>
      </c>
      <c r="O17" s="51" t="s">
        <v>2614</v>
      </c>
      <c r="P17" s="51" t="s">
        <v>2614</v>
      </c>
      <c r="Q17" s="51" t="s">
        <v>2614</v>
      </c>
      <c r="R17" s="51" t="s">
        <v>2614</v>
      </c>
      <c r="S17" s="51" t="s">
        <v>2614</v>
      </c>
    </row>
    <row r="18" spans="2:19" x14ac:dyDescent="0.25">
      <c r="B18" s="51" t="s">
        <v>2585</v>
      </c>
      <c r="C18" s="51">
        <v>16</v>
      </c>
      <c r="D18" s="51" t="s">
        <v>3199</v>
      </c>
      <c r="E18" s="119">
        <v>45483</v>
      </c>
      <c r="F18" s="51">
        <v>1</v>
      </c>
      <c r="G18" s="221">
        <v>1</v>
      </c>
      <c r="H18" s="213">
        <v>0</v>
      </c>
      <c r="I18" s="51" t="s">
        <v>2614</v>
      </c>
      <c r="J18" s="51" t="s">
        <v>2614</v>
      </c>
      <c r="K18" s="51" t="s">
        <v>2614</v>
      </c>
      <c r="L18" s="51" t="s">
        <v>2614</v>
      </c>
      <c r="M18" s="51" t="s">
        <v>2614</v>
      </c>
      <c r="N18" s="51" t="s">
        <v>2614</v>
      </c>
      <c r="O18" s="51" t="s">
        <v>2614</v>
      </c>
      <c r="P18" s="51" t="s">
        <v>2614</v>
      </c>
      <c r="Q18" s="51" t="s">
        <v>2614</v>
      </c>
      <c r="R18" s="51" t="s">
        <v>2614</v>
      </c>
      <c r="S18" s="51" t="s">
        <v>2614</v>
      </c>
    </row>
    <row r="19" spans="2:19" x14ac:dyDescent="0.25">
      <c r="B19" s="51" t="s">
        <v>2591</v>
      </c>
      <c r="C19" s="51">
        <v>19</v>
      </c>
      <c r="D19" s="51" t="s">
        <v>3200</v>
      </c>
      <c r="E19" s="119">
        <v>45483</v>
      </c>
      <c r="F19" s="51">
        <v>1</v>
      </c>
      <c r="G19" s="221" cm="1">
        <f t="array" ref="G19">SUMPRODUCT(--(ISNUMBER((SEARCH(I25:S25,I19:S19)))))/COUNTA(I19:S19)</f>
        <v>1</v>
      </c>
      <c r="H19" s="51" t="s">
        <v>2614</v>
      </c>
      <c r="I19" s="51" t="s">
        <v>2654</v>
      </c>
      <c r="J19" s="51" t="s">
        <v>2654</v>
      </c>
      <c r="K19" s="51" t="s">
        <v>2654</v>
      </c>
      <c r="L19" s="51" t="s">
        <v>2654</v>
      </c>
      <c r="M19" s="51" t="s">
        <v>2654</v>
      </c>
      <c r="N19" s="51" t="s">
        <v>2654</v>
      </c>
      <c r="O19" s="51" t="s">
        <v>2655</v>
      </c>
      <c r="P19" s="51" t="s">
        <v>2655</v>
      </c>
      <c r="Q19" s="51" t="s">
        <v>2654</v>
      </c>
      <c r="R19" s="51" t="s">
        <v>2654</v>
      </c>
      <c r="S19" s="51" t="s">
        <v>2656</v>
      </c>
    </row>
    <row r="20" spans="2:19" x14ac:dyDescent="0.25">
      <c r="B20" s="51" t="s">
        <v>2594</v>
      </c>
      <c r="C20" s="51">
        <v>20</v>
      </c>
      <c r="D20" s="51" t="s">
        <v>3201</v>
      </c>
      <c r="E20" s="119">
        <v>45483</v>
      </c>
      <c r="F20" s="51">
        <v>1</v>
      </c>
      <c r="G20" s="221" cm="1">
        <f t="array" ref="G20">SUM(IF(I2:S2 = I24:S24, 1, 0))/ COUNTA(I2:S2)</f>
        <v>1</v>
      </c>
      <c r="H20" s="51" t="s">
        <v>2614</v>
      </c>
      <c r="I20" s="51"/>
      <c r="J20" s="51"/>
      <c r="K20" s="51"/>
      <c r="L20" s="51"/>
      <c r="M20" s="51"/>
      <c r="N20" s="51"/>
      <c r="O20" s="51"/>
      <c r="P20" s="51"/>
      <c r="Q20" s="51"/>
      <c r="R20" s="51"/>
      <c r="S20" s="51"/>
    </row>
    <row r="21" spans="2:19" x14ac:dyDescent="0.25">
      <c r="B21" s="51" t="s">
        <v>2597</v>
      </c>
      <c r="C21" s="51">
        <v>21</v>
      </c>
      <c r="D21" s="51" t="s">
        <v>3201</v>
      </c>
      <c r="E21" s="119">
        <v>45483</v>
      </c>
      <c r="F21" s="51">
        <v>1</v>
      </c>
      <c r="G21" s="221" cm="1">
        <f t="array" ref="G21">SUM(IF(IF(G3:G20="null",1,G3:G20)=1,1,0))/COUNT(IF(G3:G20="null",1,1))</f>
        <v>1</v>
      </c>
      <c r="H21" s="51" t="s">
        <v>2614</v>
      </c>
      <c r="I21" s="51"/>
      <c r="J21" s="51"/>
      <c r="K21" s="51"/>
      <c r="L21" s="51"/>
      <c r="M21" s="51"/>
      <c r="N21" s="51"/>
      <c r="O21" s="51"/>
      <c r="P21" s="51"/>
      <c r="Q21" s="51"/>
      <c r="R21" s="51"/>
      <c r="S21" s="51"/>
    </row>
    <row r="22" spans="2:19" x14ac:dyDescent="0.25">
      <c r="B22" s="51"/>
      <c r="C22" s="51"/>
      <c r="D22" s="51"/>
      <c r="E22" s="119"/>
      <c r="F22" s="51"/>
      <c r="G22" s="51"/>
      <c r="H22" s="51"/>
      <c r="I22" s="51"/>
      <c r="J22" s="51"/>
      <c r="K22" s="51"/>
      <c r="L22" s="51"/>
      <c r="M22" s="51"/>
      <c r="N22" s="51"/>
      <c r="O22" s="51"/>
      <c r="P22" s="51"/>
      <c r="Q22" s="51"/>
      <c r="R22" s="51"/>
      <c r="S22" s="51"/>
    </row>
    <row r="23" spans="2:19" x14ac:dyDescent="0.25">
      <c r="B23" s="154" t="s">
        <v>2657</v>
      </c>
    </row>
    <row r="24" spans="2:19" x14ac:dyDescent="0.25">
      <c r="B24" s="152" t="s">
        <v>2658</v>
      </c>
      <c r="C24" s="153" t="s">
        <v>2601</v>
      </c>
      <c r="D24" s="153" t="s">
        <v>2602</v>
      </c>
      <c r="E24" s="153" t="s">
        <v>2603</v>
      </c>
      <c r="F24" s="153" t="s">
        <v>2604</v>
      </c>
      <c r="G24" s="153" t="s">
        <v>2605</v>
      </c>
      <c r="H24" s="153" t="s">
        <v>2606</v>
      </c>
      <c r="I24" s="153" t="str" cm="1">
        <f t="array" ref="I24:S24">TRANSPOSE(_xlfn.SORTBY(_xlfn._xlws.FILTER(Table3[NOME FÍSICO CAMPO],Table3[NOME FÍSICO TABELA]="debit_card"), _xlfn._xlws.FILTER(Table3[ORDEM], Table3[NOME FÍSICO TABELA]="debit_card"), 1))</f>
        <v>card_number</v>
      </c>
      <c r="J24" s="153" t="str">
        <v>main_contract_bank_id</v>
      </c>
      <c r="K24" s="153" t="str">
        <v>main_contract_id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x14ac:dyDescent="0.25">
      <c r="B25" s="131" t="s">
        <v>2659</v>
      </c>
      <c r="C25" s="134">
        <v>21</v>
      </c>
      <c r="D25" s="128" t="s">
        <v>2660</v>
      </c>
      <c r="E25" s="127" t="s">
        <v>2661</v>
      </c>
      <c r="F25" s="127" t="s">
        <v>351</v>
      </c>
      <c r="G25" s="127" t="s">
        <v>351</v>
      </c>
      <c r="H25" s="127" t="s">
        <v>351</v>
      </c>
      <c r="I25" s="127" t="str" cm="1">
        <f t="array" ref="I25:S26">TRANSPOSE(_xlfn.SORTBY(_xlfn._xlws.FILTER(IF(Table3[FORMATO]:Table3[COMP_ CAMPO]&lt;&gt;"",Table3[FORMATO]:Table3[COMP_ CAMPO],9999999),Table3[NOME FÍSICO TABELA]="debit_card"), _xlfn._xlws.FILTER(Table3[ORDEM], Table3[NOME FÍSICO TABELA]="debit_card"), 1))</f>
        <v>STRING</v>
      </c>
      <c r="J25" s="127" t="str">
        <v>STRING</v>
      </c>
      <c r="K25" s="127" t="str">
        <v>STRING</v>
      </c>
      <c r="L25" s="127" t="str">
        <v>STRING</v>
      </c>
      <c r="M25" s="127" t="str">
        <v>STRING</v>
      </c>
      <c r="N25" s="127" t="str">
        <v>STRING</v>
      </c>
      <c r="O25" s="127" t="str">
        <v>DECIMAL</v>
      </c>
      <c r="P25" s="127" t="str">
        <v>DECIMAL</v>
      </c>
      <c r="Q25" s="127" t="str">
        <v>STRING</v>
      </c>
      <c r="R25" s="127" t="str">
        <v>STRING</v>
      </c>
      <c r="S25" s="127" t="str">
        <v>TIMESTAMP</v>
      </c>
    </row>
    <row r="26" spans="2:19" x14ac:dyDescent="0.25">
      <c r="B26" s="131" t="s">
        <v>2662</v>
      </c>
      <c r="C26" s="134">
        <v>7</v>
      </c>
      <c r="D26" s="128" t="s">
        <v>2660</v>
      </c>
      <c r="E26" s="127" t="s">
        <v>2661</v>
      </c>
      <c r="F26" s="129" t="s">
        <v>351</v>
      </c>
      <c r="G26" s="129" t="s">
        <v>351</v>
      </c>
      <c r="H26" s="129" t="s">
        <v>351</v>
      </c>
      <c r="I26" s="175">
        <v>16</v>
      </c>
      <c r="J26" s="175">
        <v>4</v>
      </c>
      <c r="K26" s="175">
        <v>30</v>
      </c>
      <c r="L26" s="175">
        <v>10</v>
      </c>
      <c r="M26" s="175">
        <v>10</v>
      </c>
      <c r="N26" s="175">
        <v>10</v>
      </c>
      <c r="O26" s="175">
        <v>23</v>
      </c>
      <c r="P26" s="175">
        <v>23</v>
      </c>
      <c r="Q26" s="175">
        <v>20</v>
      </c>
      <c r="R26" s="175">
        <v>10</v>
      </c>
      <c r="S26" s="175">
        <v>23</v>
      </c>
    </row>
    <row r="28" spans="2:19" x14ac:dyDescent="0.25">
      <c r="B28" s="164" t="s">
        <v>2663</v>
      </c>
    </row>
    <row r="29" spans="2:19" x14ac:dyDescent="0.25">
      <c r="B29" s="158" t="s">
        <v>2664</v>
      </c>
      <c r="C29" s="158" t="s">
        <v>2665</v>
      </c>
      <c r="D29" s="159" t="s">
        <v>2666</v>
      </c>
      <c r="E29" s="158" t="s">
        <v>2667</v>
      </c>
      <c r="F29" s="158" t="s">
        <v>2668</v>
      </c>
    </row>
    <row r="30" spans="2:19" x14ac:dyDescent="0.25">
      <c r="B30" s="142"/>
      <c r="C30" s="141"/>
      <c r="D30" s="147"/>
      <c r="E30" s="170"/>
      <c r="F30" s="160"/>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E824-B8A1-4943-A0BC-3B5492ECD79E}">
  <sheetPr>
    <tabColor rgb="FF00B050"/>
  </sheetPr>
  <dimension ref="B1:U30"/>
  <sheetViews>
    <sheetView showGridLines="0" workbookViewId="0">
      <selection activeCell="G19" sqref="G1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x14ac:dyDescent="0.25"/>
    <row r="2" spans="2:21" x14ac:dyDescent="0.25">
      <c r="B2" s="98" t="s">
        <v>2658</v>
      </c>
      <c r="C2" s="98" t="s">
        <v>2601</v>
      </c>
      <c r="D2" s="98" t="s">
        <v>2602</v>
      </c>
      <c r="E2" s="98" t="s">
        <v>2603</v>
      </c>
      <c r="F2" s="98" t="s">
        <v>2604</v>
      </c>
      <c r="G2" s="98" t="s">
        <v>2605</v>
      </c>
      <c r="H2" s="98" t="s">
        <v>2606</v>
      </c>
      <c r="I2" s="153" t="s">
        <v>138</v>
      </c>
      <c r="J2" s="153" t="s">
        <v>1122</v>
      </c>
      <c r="K2" s="153" t="s">
        <v>165</v>
      </c>
      <c r="L2" s="153" t="s">
        <v>173</v>
      </c>
      <c r="M2" s="153" t="s">
        <v>185</v>
      </c>
      <c r="N2" s="153" t="s">
        <v>194</v>
      </c>
      <c r="O2" s="153" t="s">
        <v>204</v>
      </c>
      <c r="P2" s="153" t="s">
        <v>215</v>
      </c>
      <c r="Q2" s="153" t="s">
        <v>227</v>
      </c>
      <c r="R2" s="153" t="s">
        <v>239</v>
      </c>
      <c r="S2" s="153" t="s">
        <v>1156</v>
      </c>
      <c r="T2" t="s">
        <v>330</v>
      </c>
      <c r="U2" t="s">
        <v>337</v>
      </c>
    </row>
    <row r="3" spans="2:21" x14ac:dyDescent="0.25">
      <c r="B3" s="51" t="s">
        <v>2554</v>
      </c>
      <c r="C3" s="51">
        <v>1</v>
      </c>
      <c r="D3" s="51" t="s">
        <v>3202</v>
      </c>
      <c r="E3" s="119">
        <v>45490</v>
      </c>
      <c r="F3" s="51">
        <v>1</v>
      </c>
      <c r="G3" s="221">
        <v>1</v>
      </c>
      <c r="H3" s="255">
        <v>759069</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row>
    <row r="4" spans="2:21" x14ac:dyDescent="0.25">
      <c r="B4" s="51" t="s">
        <v>2556</v>
      </c>
      <c r="C4" s="51">
        <v>2</v>
      </c>
      <c r="D4" s="51" t="s">
        <v>3203</v>
      </c>
      <c r="E4" s="119">
        <v>45490</v>
      </c>
      <c r="F4" s="51">
        <v>1</v>
      </c>
      <c r="G4" s="221">
        <v>1</v>
      </c>
      <c r="H4" s="213">
        <v>0</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row>
    <row r="5" spans="2:21" x14ac:dyDescent="0.25">
      <c r="B5" s="51" t="s">
        <v>2558</v>
      </c>
      <c r="C5" s="51">
        <v>3</v>
      </c>
      <c r="D5" s="51" t="s">
        <v>3204</v>
      </c>
      <c r="E5" s="119">
        <v>45490</v>
      </c>
      <c r="F5" s="51">
        <v>1</v>
      </c>
      <c r="G5" s="221">
        <v>1</v>
      </c>
      <c r="H5" s="213">
        <v>0</v>
      </c>
      <c r="I5" s="51">
        <v>0</v>
      </c>
      <c r="J5" s="51">
        <v>0</v>
      </c>
      <c r="K5" s="51" t="s">
        <v>2614</v>
      </c>
      <c r="L5" s="51" t="s">
        <v>2614</v>
      </c>
      <c r="M5" s="51" t="s">
        <v>2614</v>
      </c>
      <c r="N5" s="51" t="s">
        <v>2614</v>
      </c>
      <c r="O5" s="51" t="s">
        <v>2614</v>
      </c>
      <c r="P5" s="51" t="s">
        <v>2614</v>
      </c>
      <c r="Q5" s="51" t="s">
        <v>2614</v>
      </c>
      <c r="R5" s="51" t="s">
        <v>2614</v>
      </c>
      <c r="S5" s="51" t="s">
        <v>2614</v>
      </c>
      <c r="T5" s="51">
        <v>0</v>
      </c>
      <c r="U5" s="51" t="s">
        <v>2614</v>
      </c>
    </row>
    <row r="6" spans="2:21" x14ac:dyDescent="0.25">
      <c r="B6" s="121" t="s">
        <v>2560</v>
      </c>
      <c r="C6" s="51">
        <v>4</v>
      </c>
      <c r="D6" s="51" t="s">
        <v>2618</v>
      </c>
      <c r="E6" s="119" t="s">
        <v>2614</v>
      </c>
      <c r="F6" s="51">
        <v>1</v>
      </c>
      <c r="G6" s="119" t="s">
        <v>2614</v>
      </c>
      <c r="H6" s="213" t="s">
        <v>2614</v>
      </c>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row>
    <row r="7" spans="2:21" x14ac:dyDescent="0.25">
      <c r="B7" s="51" t="s">
        <v>2562</v>
      </c>
      <c r="C7" s="51">
        <v>5</v>
      </c>
      <c r="D7" s="51" t="s">
        <v>2618</v>
      </c>
      <c r="E7" s="119" t="s">
        <v>2614</v>
      </c>
      <c r="F7" s="51">
        <v>1</v>
      </c>
      <c r="G7" s="119" t="s">
        <v>2614</v>
      </c>
      <c r="H7" s="213" t="s">
        <v>2614</v>
      </c>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row>
    <row r="8" spans="2:21" x14ac:dyDescent="0.25">
      <c r="B8" s="121" t="s">
        <v>2563</v>
      </c>
      <c r="C8" s="51">
        <v>6</v>
      </c>
      <c r="D8" s="51" t="s">
        <v>3205</v>
      </c>
      <c r="E8" s="119">
        <v>45490</v>
      </c>
      <c r="F8" s="51">
        <v>1</v>
      </c>
      <c r="G8" s="221" cm="1">
        <f t="array" ref="G8">SUMPRODUCT(--(I8:U8&gt;0))/COUNTA(I8:U8)</f>
        <v>1</v>
      </c>
      <c r="H8" s="213">
        <v>0</v>
      </c>
      <c r="I8" s="51">
        <v>2</v>
      </c>
      <c r="J8" s="51">
        <v>15</v>
      </c>
      <c r="K8" s="51">
        <v>3</v>
      </c>
      <c r="L8" s="51">
        <v>3</v>
      </c>
      <c r="M8" s="51">
        <v>3</v>
      </c>
      <c r="N8" s="51">
        <v>2</v>
      </c>
      <c r="O8" s="51">
        <v>30</v>
      </c>
      <c r="P8" s="51">
        <v>10</v>
      </c>
      <c r="Q8" s="51">
        <v>10</v>
      </c>
      <c r="R8" s="51">
        <v>3</v>
      </c>
      <c r="S8" s="51">
        <v>3</v>
      </c>
      <c r="T8" s="51">
        <v>10</v>
      </c>
      <c r="U8" s="51">
        <v>23</v>
      </c>
    </row>
    <row r="9" spans="2:21" x14ac:dyDescent="0.25">
      <c r="B9" s="51" t="s">
        <v>2566</v>
      </c>
      <c r="C9" s="51">
        <v>7</v>
      </c>
      <c r="D9" s="51" t="s">
        <v>3206</v>
      </c>
      <c r="E9" s="119">
        <v>45490</v>
      </c>
      <c r="F9" s="51">
        <v>1</v>
      </c>
      <c r="G9" s="221" cm="1">
        <f t="array" ref="G9">SUMPRODUCT(--(I9:U9&lt;=I26:U26))/COUNTA(I26:U26)</f>
        <v>1</v>
      </c>
      <c r="H9" s="213">
        <v>0</v>
      </c>
      <c r="I9" s="51">
        <v>2</v>
      </c>
      <c r="J9" s="51">
        <v>15</v>
      </c>
      <c r="K9" s="51">
        <v>3</v>
      </c>
      <c r="L9" s="51">
        <v>3</v>
      </c>
      <c r="M9" s="51">
        <v>3</v>
      </c>
      <c r="N9" s="51">
        <v>2</v>
      </c>
      <c r="O9" s="51">
        <v>30</v>
      </c>
      <c r="P9" s="51">
        <v>10</v>
      </c>
      <c r="Q9" s="51">
        <v>10</v>
      </c>
      <c r="R9" s="51">
        <v>3</v>
      </c>
      <c r="S9" s="51">
        <v>3</v>
      </c>
      <c r="T9" s="51">
        <v>10</v>
      </c>
      <c r="U9" s="51">
        <v>23</v>
      </c>
    </row>
    <row r="10" spans="2:21" x14ac:dyDescent="0.25">
      <c r="B10" s="51" t="s">
        <v>2569</v>
      </c>
      <c r="C10" s="51">
        <v>8</v>
      </c>
      <c r="D10" s="51" t="s">
        <v>3207</v>
      </c>
      <c r="E10" s="119">
        <v>45490</v>
      </c>
      <c r="F10" s="51">
        <v>1</v>
      </c>
      <c r="G10" s="119" t="s">
        <v>2614</v>
      </c>
      <c r="H10" s="213">
        <v>0</v>
      </c>
      <c r="I10" s="51">
        <v>31</v>
      </c>
      <c r="J10" s="51">
        <v>1100827510011</v>
      </c>
      <c r="K10" s="51" t="s">
        <v>2622</v>
      </c>
      <c r="L10" s="51">
        <v>11</v>
      </c>
      <c r="M10" s="51" t="s">
        <v>3208</v>
      </c>
      <c r="N10" s="51">
        <v>31</v>
      </c>
      <c r="O10" s="51">
        <v>2.079771E+21</v>
      </c>
      <c r="P10" s="119">
        <v>35711</v>
      </c>
      <c r="Q10" s="119">
        <v>2958465</v>
      </c>
      <c r="R10" s="119">
        <v>978</v>
      </c>
      <c r="S10" s="122" t="s">
        <v>2622</v>
      </c>
      <c r="T10" s="119">
        <v>45490</v>
      </c>
      <c r="U10" s="51" t="s">
        <v>3209</v>
      </c>
    </row>
    <row r="11" spans="2:21" x14ac:dyDescent="0.25">
      <c r="B11" s="51" t="s">
        <v>2571</v>
      </c>
      <c r="C11" s="51">
        <v>9</v>
      </c>
      <c r="D11" s="51" t="s">
        <v>3210</v>
      </c>
      <c r="E11" s="119">
        <v>45490</v>
      </c>
      <c r="F11" s="51">
        <v>1</v>
      </c>
      <c r="G11" s="119" t="s">
        <v>2614</v>
      </c>
      <c r="H11" s="213">
        <v>0</v>
      </c>
      <c r="I11" s="51">
        <v>31</v>
      </c>
      <c r="J11" s="51">
        <v>1100827510011</v>
      </c>
      <c r="K11" s="51">
        <v>31</v>
      </c>
      <c r="L11" s="51">
        <v>11</v>
      </c>
      <c r="M11" s="51" t="s">
        <v>3208</v>
      </c>
      <c r="N11" s="119">
        <v>31</v>
      </c>
      <c r="O11" s="51">
        <v>2.079771E+21</v>
      </c>
      <c r="P11" s="119">
        <v>35711</v>
      </c>
      <c r="Q11" s="119">
        <v>2958465</v>
      </c>
      <c r="R11" s="119">
        <v>978</v>
      </c>
      <c r="S11" s="51">
        <v>0</v>
      </c>
      <c r="T11" s="119">
        <v>45490</v>
      </c>
      <c r="U11" s="51" t="s">
        <v>3211</v>
      </c>
    </row>
    <row r="12" spans="2:21" x14ac:dyDescent="0.25">
      <c r="B12" s="121" t="s">
        <v>2573</v>
      </c>
      <c r="C12" s="51">
        <v>10</v>
      </c>
      <c r="D12" s="51" t="s">
        <v>3212</v>
      </c>
      <c r="E12" s="119">
        <v>45490</v>
      </c>
      <c r="F12" s="51">
        <v>1</v>
      </c>
      <c r="G12" s="119" t="s">
        <v>2614</v>
      </c>
      <c r="H12" s="213">
        <v>0</v>
      </c>
      <c r="I12" s="51">
        <v>31</v>
      </c>
      <c r="J12" s="213">
        <v>5131651710011</v>
      </c>
      <c r="K12" s="51" t="s">
        <v>2622</v>
      </c>
      <c r="L12" s="51">
        <v>11</v>
      </c>
      <c r="M12" s="119" t="s">
        <v>3213</v>
      </c>
      <c r="N12" s="51">
        <v>31</v>
      </c>
      <c r="O12" s="122">
        <v>9.9999999999999903E+29</v>
      </c>
      <c r="P12" s="221">
        <v>45491</v>
      </c>
      <c r="Q12" s="119">
        <v>2958465</v>
      </c>
      <c r="R12" s="119">
        <v>978</v>
      </c>
      <c r="S12" s="181" t="s">
        <v>2622</v>
      </c>
      <c r="T12" s="119">
        <v>45490</v>
      </c>
      <c r="U12" s="51" t="s">
        <v>3209</v>
      </c>
    </row>
    <row r="13" spans="2:21" x14ac:dyDescent="0.25">
      <c r="B13" s="51" t="s">
        <v>2575</v>
      </c>
      <c r="C13" s="51">
        <v>11</v>
      </c>
      <c r="D13" s="51" t="s">
        <v>3214</v>
      </c>
      <c r="E13" s="119">
        <v>45490</v>
      </c>
      <c r="F13" s="51">
        <v>1</v>
      </c>
      <c r="G13" s="119" t="s">
        <v>2614</v>
      </c>
      <c r="H13" s="213">
        <v>0</v>
      </c>
      <c r="I13" s="51">
        <v>31</v>
      </c>
      <c r="J13" s="213">
        <v>5131651710011</v>
      </c>
      <c r="K13" s="51">
        <v>31</v>
      </c>
      <c r="L13" s="51">
        <v>11</v>
      </c>
      <c r="M13" s="119" t="s">
        <v>3213</v>
      </c>
      <c r="N13" s="119">
        <v>31</v>
      </c>
      <c r="O13" s="51">
        <v>9.9999999999999903E+29</v>
      </c>
      <c r="P13" s="119">
        <v>45491</v>
      </c>
      <c r="Q13" s="119">
        <v>2958465</v>
      </c>
      <c r="R13" s="119">
        <v>978</v>
      </c>
      <c r="S13" s="51">
        <v>4</v>
      </c>
      <c r="T13" s="119">
        <v>45490</v>
      </c>
      <c r="U13" s="51" t="s">
        <v>3215</v>
      </c>
    </row>
    <row r="14" spans="2:21" x14ac:dyDescent="0.25">
      <c r="B14" s="51" t="s">
        <v>2577</v>
      </c>
      <c r="C14" s="51">
        <v>12</v>
      </c>
      <c r="D14" s="51" t="s">
        <v>3216</v>
      </c>
      <c r="E14" s="119">
        <v>45490</v>
      </c>
      <c r="F14" s="51">
        <v>1</v>
      </c>
      <c r="G14" s="221">
        <v>1</v>
      </c>
      <c r="H14" s="213">
        <v>0</v>
      </c>
      <c r="I14" s="51">
        <v>0</v>
      </c>
      <c r="J14" s="51">
        <v>0</v>
      </c>
      <c r="K14" s="51">
        <v>0</v>
      </c>
      <c r="L14" s="51">
        <v>0</v>
      </c>
      <c r="M14" s="51">
        <v>0</v>
      </c>
      <c r="N14" s="51">
        <v>0</v>
      </c>
      <c r="O14" s="51">
        <v>0</v>
      </c>
      <c r="P14" s="51">
        <v>0</v>
      </c>
      <c r="Q14" s="51">
        <v>0</v>
      </c>
      <c r="R14" s="51">
        <v>0</v>
      </c>
      <c r="S14" s="51">
        <v>0</v>
      </c>
      <c r="T14" s="51">
        <v>0</v>
      </c>
      <c r="U14" s="51">
        <v>0</v>
      </c>
    </row>
    <row r="15" spans="2:21" x14ac:dyDescent="0.25">
      <c r="B15" s="51" t="s">
        <v>2579</v>
      </c>
      <c r="C15" s="51">
        <v>13</v>
      </c>
      <c r="D15" s="51" t="s">
        <v>3217</v>
      </c>
      <c r="E15" s="119">
        <v>45490</v>
      </c>
      <c r="F15" s="51">
        <v>1</v>
      </c>
      <c r="G15" s="221">
        <v>1</v>
      </c>
      <c r="H15" s="213">
        <v>0</v>
      </c>
      <c r="I15" s="51" t="s">
        <v>2614</v>
      </c>
      <c r="J15" s="51" t="s">
        <v>2614</v>
      </c>
      <c r="K15" s="51" t="s">
        <v>2614</v>
      </c>
      <c r="L15" s="51" t="s">
        <v>2614</v>
      </c>
      <c r="M15" s="51" t="s">
        <v>2614</v>
      </c>
      <c r="N15" s="51" t="s">
        <v>2614</v>
      </c>
      <c r="O15" s="51" t="s">
        <v>2614</v>
      </c>
      <c r="P15" s="51">
        <v>0</v>
      </c>
      <c r="Q15" s="51">
        <v>0</v>
      </c>
      <c r="R15" s="51" t="s">
        <v>2614</v>
      </c>
      <c r="S15" s="51" t="s">
        <v>2614</v>
      </c>
      <c r="T15" s="51" t="s">
        <v>2614</v>
      </c>
      <c r="U15" s="51" t="s">
        <v>2614</v>
      </c>
    </row>
    <row r="16" spans="2:21" x14ac:dyDescent="0.25">
      <c r="B16" s="51" t="s">
        <v>2581</v>
      </c>
      <c r="C16" s="51">
        <v>14</v>
      </c>
      <c r="D16" s="51" t="s">
        <v>3218</v>
      </c>
      <c r="E16" s="119">
        <v>45490</v>
      </c>
      <c r="F16" s="51">
        <v>1</v>
      </c>
      <c r="G16" s="221">
        <v>1</v>
      </c>
      <c r="H16" s="213">
        <v>0</v>
      </c>
      <c r="I16" s="51">
        <v>0</v>
      </c>
      <c r="J16" s="51">
        <v>0</v>
      </c>
      <c r="K16" s="51">
        <v>0</v>
      </c>
      <c r="L16" s="51">
        <v>0</v>
      </c>
      <c r="M16" s="51">
        <v>0</v>
      </c>
      <c r="N16" s="51">
        <v>0</v>
      </c>
      <c r="O16" s="51">
        <v>0</v>
      </c>
      <c r="P16" s="51" t="s">
        <v>2614</v>
      </c>
      <c r="Q16" s="51" t="s">
        <v>2614</v>
      </c>
      <c r="R16" s="51">
        <v>0</v>
      </c>
      <c r="S16" s="51">
        <v>0</v>
      </c>
      <c r="T16" s="51" t="s">
        <v>2614</v>
      </c>
      <c r="U16" s="51" t="s">
        <v>2614</v>
      </c>
    </row>
    <row r="17" spans="2:21" x14ac:dyDescent="0.25">
      <c r="B17" s="51" t="s">
        <v>2583</v>
      </c>
      <c r="C17" s="51">
        <v>15</v>
      </c>
      <c r="D17" s="51" t="s">
        <v>3219</v>
      </c>
      <c r="E17" s="119">
        <v>45490</v>
      </c>
      <c r="F17" s="51">
        <v>1</v>
      </c>
      <c r="G17" s="221">
        <v>1</v>
      </c>
      <c r="H17" s="213">
        <v>0</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row>
    <row r="18" spans="2:21" x14ac:dyDescent="0.25">
      <c r="B18" s="51" t="s">
        <v>2585</v>
      </c>
      <c r="C18" s="51">
        <v>16</v>
      </c>
      <c r="D18" s="51" t="s">
        <v>3219</v>
      </c>
      <c r="E18" s="119">
        <v>45490</v>
      </c>
      <c r="F18" s="51">
        <v>1</v>
      </c>
      <c r="G18" s="221">
        <v>1</v>
      </c>
      <c r="H18" s="213">
        <v>0</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row>
    <row r="19" spans="2:21" x14ac:dyDescent="0.25">
      <c r="B19" s="51" t="s">
        <v>2591</v>
      </c>
      <c r="C19" s="51">
        <v>19</v>
      </c>
      <c r="D19" s="51" t="s">
        <v>3220</v>
      </c>
      <c r="E19" s="119">
        <v>45490</v>
      </c>
      <c r="F19" s="51">
        <v>1</v>
      </c>
      <c r="G19" s="221" cm="1">
        <f t="array" ref="G19">SUMPRODUCT(--(ISNUMBER((SEARCH(I25:U25,I19:U19)))))/COUNTA(I19:U19)</f>
        <v>1</v>
      </c>
      <c r="H19" s="213">
        <v>0</v>
      </c>
      <c r="I19" s="51" t="s">
        <v>2654</v>
      </c>
      <c r="J19" s="51" t="s">
        <v>2654</v>
      </c>
      <c r="K19" s="51" t="s">
        <v>2654</v>
      </c>
      <c r="L19" s="51" t="s">
        <v>2654</v>
      </c>
      <c r="M19" s="51" t="s">
        <v>2654</v>
      </c>
      <c r="N19" s="51" t="s">
        <v>2654</v>
      </c>
      <c r="O19" s="51" t="s">
        <v>2654</v>
      </c>
      <c r="P19" s="51" t="s">
        <v>2654</v>
      </c>
      <c r="Q19" s="51" t="s">
        <v>2654</v>
      </c>
      <c r="R19" s="51" t="s">
        <v>2654</v>
      </c>
      <c r="S19" s="51" t="s">
        <v>2654</v>
      </c>
      <c r="T19" s="51" t="s">
        <v>2654</v>
      </c>
      <c r="U19" s="51" t="s">
        <v>2656</v>
      </c>
    </row>
    <row r="20" spans="2:21" x14ac:dyDescent="0.25">
      <c r="B20" s="51" t="s">
        <v>2594</v>
      </c>
      <c r="C20" s="51">
        <v>20</v>
      </c>
      <c r="D20" s="51" t="s">
        <v>3220</v>
      </c>
      <c r="E20" s="119">
        <v>45490</v>
      </c>
      <c r="F20" s="51">
        <v>1</v>
      </c>
      <c r="G20" s="221" cm="1">
        <f t="array" ref="G20">SUM(IF(I2:S2 = I24:S24, 1, 0))/ COUNTA(I2:S2)</f>
        <v>1</v>
      </c>
      <c r="H20" s="51" t="s">
        <v>2614</v>
      </c>
      <c r="I20" s="51"/>
      <c r="J20" s="51"/>
      <c r="K20" s="51"/>
      <c r="L20" s="51"/>
      <c r="M20" s="51"/>
      <c r="N20" s="51"/>
      <c r="O20" s="51"/>
      <c r="P20" s="51"/>
      <c r="Q20" s="51"/>
      <c r="R20" s="51"/>
      <c r="S20" s="51"/>
      <c r="T20" s="51"/>
      <c r="U20" s="51"/>
    </row>
    <row r="21" spans="2:21" x14ac:dyDescent="0.25">
      <c r="B21" s="51" t="s">
        <v>2597</v>
      </c>
      <c r="C21" s="51">
        <v>21</v>
      </c>
      <c r="D21" s="51" t="s">
        <v>3220</v>
      </c>
      <c r="E21" s="119">
        <v>45490</v>
      </c>
      <c r="F21" s="51">
        <v>1</v>
      </c>
      <c r="G21" s="221" cm="1">
        <f t="array" ref="G21">SUM(IF(IF(G3:G20="null",1,G3:G20)=1,1,0))/COUNT(IF(G3:G20="null",1,1))</f>
        <v>1</v>
      </c>
      <c r="H21" s="51" t="s">
        <v>2614</v>
      </c>
      <c r="I21" s="51"/>
      <c r="J21" s="51"/>
      <c r="K21" s="51"/>
      <c r="L21" s="51"/>
      <c r="M21" s="51"/>
      <c r="N21" s="51"/>
      <c r="O21" s="51"/>
      <c r="P21" s="51"/>
      <c r="Q21" s="51"/>
      <c r="R21" s="51"/>
      <c r="S21" s="51"/>
      <c r="T21" s="51"/>
      <c r="U21" s="51"/>
    </row>
    <row r="22" spans="2:21" x14ac:dyDescent="0.25">
      <c r="B22" s="51"/>
      <c r="C22" s="51"/>
      <c r="D22" s="51"/>
      <c r="E22" s="119"/>
      <c r="F22" s="51"/>
      <c r="G22" s="51"/>
      <c r="H22" s="51"/>
      <c r="I22" s="51"/>
      <c r="J22" s="51"/>
      <c r="K22" s="51"/>
      <c r="L22" s="51"/>
      <c r="M22" s="51"/>
      <c r="N22" s="51"/>
      <c r="O22" s="51"/>
      <c r="P22" s="51"/>
      <c r="Q22" s="51"/>
      <c r="R22" s="51"/>
      <c r="S22" s="51"/>
    </row>
    <row r="23" spans="2:21" x14ac:dyDescent="0.25">
      <c r="B23" s="154" t="s">
        <v>2657</v>
      </c>
    </row>
    <row r="24" spans="2:21" x14ac:dyDescent="0.25">
      <c r="B24" s="152" t="s">
        <v>2658</v>
      </c>
      <c r="C24" s="153" t="s">
        <v>2601</v>
      </c>
      <c r="D24" s="153" t="s">
        <v>2602</v>
      </c>
      <c r="E24" s="153" t="s">
        <v>2603</v>
      </c>
      <c r="F24" s="153" t="s">
        <v>2604</v>
      </c>
      <c r="G24" s="153" t="s">
        <v>2605</v>
      </c>
      <c r="H24" s="153" t="s">
        <v>2606</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x14ac:dyDescent="0.25">
      <c r="B25" s="131" t="s">
        <v>2659</v>
      </c>
      <c r="C25" s="134">
        <v>21</v>
      </c>
      <c r="D25" s="128" t="s">
        <v>2660</v>
      </c>
      <c r="E25" s="127" t="s">
        <v>2661</v>
      </c>
      <c r="F25" s="127" t="s">
        <v>351</v>
      </c>
      <c r="G25" s="127" t="s">
        <v>351</v>
      </c>
      <c r="H25" s="127" t="s">
        <v>351</v>
      </c>
      <c r="I25" s="127" t="str" cm="1">
        <f t="array" ref="I25:U26">TRANSPOSE(_xlfn.SORTBY(_xlfn._xlws.FILTER(IF(Table3[FORMATO]:Table3[COMP_ CAMPO]&lt;&gt;"",Table3[FORMATO]:Table3[COMP_ CAMPO],9999999),Table3[NOME FÍSICO TABELA]="credit_card_account"), _xlfn._xlws.FILTER(Table3[ORDEM], Table3[NOME FÍSICO TABELA]="credit_card_account"),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STRING</v>
      </c>
      <c r="U25" s="127" t="str">
        <v>TIMESTAMP</v>
      </c>
    </row>
    <row r="26" spans="2:21" x14ac:dyDescent="0.25">
      <c r="B26" s="131" t="s">
        <v>2662</v>
      </c>
      <c r="C26" s="134">
        <v>7</v>
      </c>
      <c r="D26" s="128" t="s">
        <v>2660</v>
      </c>
      <c r="E26" s="127" t="s">
        <v>2661</v>
      </c>
      <c r="F26" s="129" t="s">
        <v>351</v>
      </c>
      <c r="G26" s="129" t="s">
        <v>351</v>
      </c>
      <c r="H26" s="129" t="s">
        <v>351</v>
      </c>
      <c r="I26" s="175">
        <v>4</v>
      </c>
      <c r="J26" s="175">
        <v>15</v>
      </c>
      <c r="K26" s="175">
        <v>20</v>
      </c>
      <c r="L26" s="175">
        <v>20</v>
      </c>
      <c r="M26" s="175">
        <v>20</v>
      </c>
      <c r="N26" s="175">
        <v>4</v>
      </c>
      <c r="O26" s="175">
        <v>30</v>
      </c>
      <c r="P26" s="175">
        <v>10</v>
      </c>
      <c r="Q26" s="175">
        <v>10</v>
      </c>
      <c r="R26" s="175">
        <v>3</v>
      </c>
      <c r="S26" s="175">
        <v>3</v>
      </c>
      <c r="T26" s="175">
        <v>10</v>
      </c>
      <c r="U26" s="175">
        <v>23</v>
      </c>
    </row>
    <row r="28" spans="2:21" x14ac:dyDescent="0.25">
      <c r="B28" s="164" t="s">
        <v>2663</v>
      </c>
    </row>
    <row r="29" spans="2:21" x14ac:dyDescent="0.25">
      <c r="B29" s="158" t="s">
        <v>2664</v>
      </c>
      <c r="C29" s="158" t="s">
        <v>2665</v>
      </c>
      <c r="D29" s="159" t="s">
        <v>2666</v>
      </c>
      <c r="E29" s="158" t="s">
        <v>2667</v>
      </c>
      <c r="F29" s="158" t="s">
        <v>2668</v>
      </c>
    </row>
    <row r="30" spans="2:21" x14ac:dyDescent="0.25">
      <c r="B30" s="142"/>
      <c r="C30" s="141"/>
      <c r="D30" s="147"/>
      <c r="E30" s="170"/>
      <c r="F30" s="160"/>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2A86-1CCC-4D20-B91E-FDA3318300AE}">
  <sheetPr>
    <tabColor rgb="FF00B050"/>
  </sheetPr>
  <dimension ref="B1:X30"/>
  <sheetViews>
    <sheetView showGridLines="0"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x14ac:dyDescent="0.25"/>
    <row r="2" spans="2:23" x14ac:dyDescent="0.25">
      <c r="B2" s="98" t="s">
        <v>2658</v>
      </c>
      <c r="C2" s="98" t="s">
        <v>2601</v>
      </c>
      <c r="D2" s="98" t="s">
        <v>2602</v>
      </c>
      <c r="E2" s="98" t="s">
        <v>2603</v>
      </c>
      <c r="F2" s="98" t="s">
        <v>2604</v>
      </c>
      <c r="G2" s="98" t="s">
        <v>2605</v>
      </c>
      <c r="H2" s="98" t="s">
        <v>2606</v>
      </c>
      <c r="I2" s="153" t="s">
        <v>138</v>
      </c>
      <c r="J2" s="153" t="s">
        <v>153</v>
      </c>
      <c r="K2" s="153" t="s">
        <v>165</v>
      </c>
      <c r="L2" s="153" t="s">
        <v>173</v>
      </c>
      <c r="M2" s="153" t="s">
        <v>185</v>
      </c>
      <c r="N2" s="153" t="s">
        <v>194</v>
      </c>
      <c r="O2" s="153" t="s">
        <v>204</v>
      </c>
      <c r="P2" s="153" t="s">
        <v>215</v>
      </c>
      <c r="Q2" s="153" t="s">
        <v>227</v>
      </c>
      <c r="R2" s="153" t="s">
        <v>239</v>
      </c>
      <c r="S2" t="s">
        <v>302</v>
      </c>
      <c r="T2" t="s">
        <v>312</v>
      </c>
      <c r="U2" s="98" t="s">
        <v>323</v>
      </c>
      <c r="V2" s="98" t="s">
        <v>330</v>
      </c>
      <c r="W2" s="251" t="s">
        <v>337</v>
      </c>
    </row>
    <row r="3" spans="2:23" x14ac:dyDescent="0.25">
      <c r="B3" s="51" t="s">
        <v>2554</v>
      </c>
      <c r="C3" s="51">
        <v>1</v>
      </c>
      <c r="D3" s="51" t="s">
        <v>3221</v>
      </c>
      <c r="E3" s="119">
        <v>45485</v>
      </c>
      <c r="F3" s="51">
        <v>2</v>
      </c>
      <c r="G3" s="238">
        <v>1</v>
      </c>
      <c r="H3" s="255">
        <v>2097675</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row>
    <row r="4" spans="2:23" x14ac:dyDescent="0.25">
      <c r="B4" s="51" t="s">
        <v>2556</v>
      </c>
      <c r="C4" s="51">
        <v>2</v>
      </c>
      <c r="D4" s="51" t="s">
        <v>3222</v>
      </c>
      <c r="E4" s="119">
        <v>45485</v>
      </c>
      <c r="F4" s="51">
        <v>2</v>
      </c>
      <c r="G4" s="238">
        <v>1</v>
      </c>
      <c r="H4" s="213">
        <v>0</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row>
    <row r="5" spans="2:23" x14ac:dyDescent="0.25">
      <c r="B5" s="51" t="s">
        <v>2558</v>
      </c>
      <c r="C5" s="51">
        <v>3</v>
      </c>
      <c r="D5" s="51" t="s">
        <v>3223</v>
      </c>
      <c r="E5" s="119">
        <v>45485</v>
      </c>
      <c r="F5" s="51">
        <v>2</v>
      </c>
      <c r="G5" s="238">
        <v>1</v>
      </c>
      <c r="H5" s="213">
        <v>0</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v>0</v>
      </c>
      <c r="W5" s="51" t="s">
        <v>2614</v>
      </c>
    </row>
    <row r="6" spans="2:23" x14ac:dyDescent="0.25">
      <c r="B6" s="121" t="s">
        <v>2560</v>
      </c>
      <c r="C6" s="51">
        <v>4</v>
      </c>
      <c r="D6" s="51" t="s">
        <v>2618</v>
      </c>
      <c r="E6" s="119" t="s">
        <v>2614</v>
      </c>
      <c r="F6" s="51">
        <v>2</v>
      </c>
      <c r="G6" s="238" t="s">
        <v>2614</v>
      </c>
      <c r="H6" s="51" t="s">
        <v>2614</v>
      </c>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c r="V6" s="51" t="s">
        <v>2614</v>
      </c>
      <c r="W6" s="51" t="s">
        <v>2614</v>
      </c>
    </row>
    <row r="7" spans="2:23" x14ac:dyDescent="0.25">
      <c r="B7" s="51" t="s">
        <v>2562</v>
      </c>
      <c r="C7" s="51">
        <v>5</v>
      </c>
      <c r="D7" s="51" t="s">
        <v>2618</v>
      </c>
      <c r="E7" s="119" t="s">
        <v>2614</v>
      </c>
      <c r="F7" s="51">
        <v>2</v>
      </c>
      <c r="G7" s="238" t="s">
        <v>2614</v>
      </c>
      <c r="H7" s="51" t="s">
        <v>2614</v>
      </c>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row>
    <row r="8" spans="2:23" x14ac:dyDescent="0.25">
      <c r="B8" s="121" t="s">
        <v>2563</v>
      </c>
      <c r="C8" s="51">
        <v>6</v>
      </c>
      <c r="D8" s="51" t="s">
        <v>3224</v>
      </c>
      <c r="E8" s="119">
        <v>45485</v>
      </c>
      <c r="F8" s="51">
        <v>2</v>
      </c>
      <c r="G8" s="238" cm="1">
        <f t="array" ref="G8">SUMPRODUCT(--(I8:V8&gt;0))/COUNTA(I8:V8)</f>
        <v>1</v>
      </c>
      <c r="H8" s="213">
        <v>0</v>
      </c>
      <c r="I8" s="51">
        <v>2</v>
      </c>
      <c r="J8" s="51">
        <v>15</v>
      </c>
      <c r="K8" s="51">
        <v>3</v>
      </c>
      <c r="L8" s="51">
        <v>3</v>
      </c>
      <c r="M8" s="51">
        <v>3</v>
      </c>
      <c r="N8" s="51">
        <v>2</v>
      </c>
      <c r="O8" s="51">
        <v>15</v>
      </c>
      <c r="P8" s="51">
        <v>10</v>
      </c>
      <c r="Q8" s="51">
        <v>10</v>
      </c>
      <c r="R8" s="51">
        <v>3</v>
      </c>
      <c r="S8" s="51">
        <v>3</v>
      </c>
      <c r="T8" s="51">
        <v>3</v>
      </c>
      <c r="U8" s="51">
        <v>2</v>
      </c>
      <c r="V8" s="51">
        <v>10</v>
      </c>
      <c r="W8" s="51">
        <v>23</v>
      </c>
    </row>
    <row r="9" spans="2:23" x14ac:dyDescent="0.25">
      <c r="B9" s="51" t="s">
        <v>2566</v>
      </c>
      <c r="C9" s="51">
        <v>7</v>
      </c>
      <c r="D9" s="51" t="s">
        <v>3225</v>
      </c>
      <c r="E9" s="119">
        <v>45485</v>
      </c>
      <c r="F9" s="51">
        <v>2</v>
      </c>
      <c r="G9" s="238" cm="1">
        <f t="array" ref="G9">SUMPRODUCT(--(I9:W9&lt;=I26:W26))/COUNTA(I26:W26)</f>
        <v>1</v>
      </c>
      <c r="H9" s="213">
        <v>0</v>
      </c>
      <c r="I9" s="51">
        <v>2</v>
      </c>
      <c r="J9" s="51">
        <v>15</v>
      </c>
      <c r="K9" s="51">
        <v>3</v>
      </c>
      <c r="L9" s="51">
        <v>3</v>
      </c>
      <c r="M9" s="51">
        <v>3</v>
      </c>
      <c r="N9" s="51">
        <v>2</v>
      </c>
      <c r="O9" s="51">
        <v>15</v>
      </c>
      <c r="P9" s="51">
        <v>10</v>
      </c>
      <c r="Q9" s="51">
        <v>10</v>
      </c>
      <c r="R9" s="51">
        <v>3</v>
      </c>
      <c r="S9" s="51">
        <v>3</v>
      </c>
      <c r="T9" s="51">
        <v>3</v>
      </c>
      <c r="U9" s="51">
        <v>2</v>
      </c>
      <c r="V9" s="51">
        <v>10</v>
      </c>
      <c r="W9" s="51">
        <v>23</v>
      </c>
    </row>
    <row r="10" spans="2:23" x14ac:dyDescent="0.25">
      <c r="B10" s="51" t="s">
        <v>2569</v>
      </c>
      <c r="C10" s="51">
        <v>8</v>
      </c>
      <c r="D10" s="51" t="s">
        <v>3226</v>
      </c>
      <c r="E10" s="119">
        <v>45485</v>
      </c>
      <c r="F10" s="51">
        <v>2</v>
      </c>
      <c r="G10" s="238" t="s">
        <v>2614</v>
      </c>
      <c r="H10" s="213">
        <v>0</v>
      </c>
      <c r="I10" s="51">
        <v>31</v>
      </c>
      <c r="J10" s="51">
        <v>1100750280010</v>
      </c>
      <c r="K10" s="51" t="s">
        <v>2622</v>
      </c>
      <c r="L10" s="51">
        <v>10</v>
      </c>
      <c r="M10" s="51">
        <v>14</v>
      </c>
      <c r="N10" s="119">
        <v>31</v>
      </c>
      <c r="O10" s="51">
        <v>20113001</v>
      </c>
      <c r="P10" s="119">
        <v>33879</v>
      </c>
      <c r="Q10" s="119">
        <v>2958465</v>
      </c>
      <c r="R10" s="119">
        <v>978</v>
      </c>
      <c r="S10" s="51" t="s">
        <v>2622</v>
      </c>
      <c r="T10" s="51" t="s">
        <v>2622</v>
      </c>
      <c r="U10" s="119" t="s">
        <v>2850</v>
      </c>
      <c r="V10" s="119">
        <v>45485</v>
      </c>
      <c r="W10" s="51" t="s">
        <v>3227</v>
      </c>
    </row>
    <row r="11" spans="2:23" x14ac:dyDescent="0.25">
      <c r="B11" s="51" t="s">
        <v>2571</v>
      </c>
      <c r="C11" s="51">
        <v>9</v>
      </c>
      <c r="D11" s="51" t="s">
        <v>3228</v>
      </c>
      <c r="E11" s="119">
        <v>45485</v>
      </c>
      <c r="F11" s="51">
        <v>2</v>
      </c>
      <c r="G11" s="238" t="s">
        <v>2614</v>
      </c>
      <c r="H11" s="213">
        <v>0</v>
      </c>
      <c r="I11" s="51">
        <v>31</v>
      </c>
      <c r="J11" s="51">
        <v>1100750280010</v>
      </c>
      <c r="K11" s="51"/>
      <c r="L11" s="51">
        <v>10</v>
      </c>
      <c r="M11" s="51">
        <v>14</v>
      </c>
      <c r="N11" s="119">
        <v>31</v>
      </c>
      <c r="O11" s="51">
        <v>20113001</v>
      </c>
      <c r="P11" s="119">
        <v>33879</v>
      </c>
      <c r="Q11" s="119">
        <v>2958465</v>
      </c>
      <c r="R11" s="119">
        <v>978</v>
      </c>
      <c r="S11" s="51">
        <v>0</v>
      </c>
      <c r="T11" s="51" t="s">
        <v>3229</v>
      </c>
      <c r="U11" s="119" t="s">
        <v>2850</v>
      </c>
      <c r="V11" s="119">
        <v>45485</v>
      </c>
      <c r="W11" s="51" t="s">
        <v>3230</v>
      </c>
    </row>
    <row r="12" spans="2:23" x14ac:dyDescent="0.25">
      <c r="B12" s="121" t="s">
        <v>2573</v>
      </c>
      <c r="C12" s="51">
        <v>10</v>
      </c>
      <c r="D12" s="51" t="s">
        <v>3231</v>
      </c>
      <c r="E12" s="119">
        <v>45485</v>
      </c>
      <c r="F12" s="51">
        <v>2</v>
      </c>
      <c r="G12" s="238" t="s">
        <v>2614</v>
      </c>
      <c r="H12" s="213">
        <v>0</v>
      </c>
      <c r="I12" s="51">
        <v>31</v>
      </c>
      <c r="J12" s="213">
        <v>5131606970010</v>
      </c>
      <c r="K12" s="51" t="s">
        <v>2622</v>
      </c>
      <c r="L12" s="51">
        <v>10</v>
      </c>
      <c r="M12" s="119" t="s">
        <v>3232</v>
      </c>
      <c r="N12" s="119">
        <v>31</v>
      </c>
      <c r="O12" s="122">
        <v>239702322521020</v>
      </c>
      <c r="P12" s="119">
        <v>45488</v>
      </c>
      <c r="Q12" s="119">
        <v>2958465</v>
      </c>
      <c r="R12" s="119">
        <v>978</v>
      </c>
      <c r="S12" s="51" t="s">
        <v>2622</v>
      </c>
      <c r="T12" s="51" t="s">
        <v>2622</v>
      </c>
      <c r="U12" s="119" t="s">
        <v>2850</v>
      </c>
      <c r="V12" s="119">
        <v>45485</v>
      </c>
      <c r="W12" s="51" t="s">
        <v>3227</v>
      </c>
    </row>
    <row r="13" spans="2:23" x14ac:dyDescent="0.25">
      <c r="B13" s="51" t="s">
        <v>2575</v>
      </c>
      <c r="C13" s="51">
        <v>11</v>
      </c>
      <c r="D13" s="51" t="s">
        <v>3233</v>
      </c>
      <c r="E13" s="119">
        <v>45485</v>
      </c>
      <c r="F13" s="51">
        <v>2</v>
      </c>
      <c r="G13" s="238" t="s">
        <v>2614</v>
      </c>
      <c r="H13" s="213">
        <v>0</v>
      </c>
      <c r="I13" s="51">
        <v>31</v>
      </c>
      <c r="J13" s="213">
        <v>5131606970010</v>
      </c>
      <c r="K13" s="51"/>
      <c r="L13" s="51">
        <v>10</v>
      </c>
      <c r="M13" s="119" t="s">
        <v>3232</v>
      </c>
      <c r="N13" s="119">
        <v>31</v>
      </c>
      <c r="O13" s="51">
        <v>239702322521020</v>
      </c>
      <c r="P13" s="119">
        <v>45488</v>
      </c>
      <c r="Q13" s="119">
        <v>2958465</v>
      </c>
      <c r="R13" s="119">
        <v>978</v>
      </c>
      <c r="S13" s="51">
        <v>3</v>
      </c>
      <c r="T13" s="51" t="s">
        <v>3234</v>
      </c>
      <c r="U13" s="119" t="s">
        <v>2850</v>
      </c>
      <c r="V13" s="119">
        <v>45485</v>
      </c>
      <c r="W13" s="51" t="s">
        <v>3235</v>
      </c>
    </row>
    <row r="14" spans="2:23" x14ac:dyDescent="0.25">
      <c r="B14" s="51" t="s">
        <v>2577</v>
      </c>
      <c r="C14" s="51">
        <v>12</v>
      </c>
      <c r="D14" s="51" t="s">
        <v>3236</v>
      </c>
      <c r="E14" s="119">
        <v>45485</v>
      </c>
      <c r="F14" s="51">
        <v>2</v>
      </c>
      <c r="G14" s="238">
        <v>0.9375</v>
      </c>
      <c r="H14" s="213">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x14ac:dyDescent="0.25">
      <c r="B15" s="51" t="s">
        <v>2579</v>
      </c>
      <c r="C15" s="51">
        <v>13</v>
      </c>
      <c r="D15" s="51" t="s">
        <v>3237</v>
      </c>
      <c r="E15" s="119">
        <v>45485</v>
      </c>
      <c r="F15" s="51">
        <v>2</v>
      </c>
      <c r="G15" s="238">
        <v>1</v>
      </c>
      <c r="H15" s="213">
        <v>0</v>
      </c>
      <c r="I15" s="51" t="s">
        <v>2614</v>
      </c>
      <c r="J15" s="51" t="s">
        <v>2614</v>
      </c>
      <c r="K15" s="51" t="s">
        <v>2614</v>
      </c>
      <c r="L15" s="51" t="s">
        <v>2614</v>
      </c>
      <c r="M15" s="51" t="s">
        <v>2614</v>
      </c>
      <c r="N15" s="51" t="s">
        <v>2614</v>
      </c>
      <c r="O15" s="51" t="s">
        <v>2614</v>
      </c>
      <c r="P15" s="51">
        <v>0</v>
      </c>
      <c r="Q15" s="51">
        <v>0</v>
      </c>
      <c r="R15" s="51" t="s">
        <v>2614</v>
      </c>
      <c r="S15" s="51" t="s">
        <v>2614</v>
      </c>
      <c r="T15" s="51" t="s">
        <v>2614</v>
      </c>
      <c r="U15" s="51" t="s">
        <v>2614</v>
      </c>
      <c r="V15" s="51" t="s">
        <v>2614</v>
      </c>
      <c r="W15" s="51" t="s">
        <v>2614</v>
      </c>
    </row>
    <row r="16" spans="2:23" x14ac:dyDescent="0.25">
      <c r="B16" s="51" t="s">
        <v>2581</v>
      </c>
      <c r="C16" s="51">
        <v>14</v>
      </c>
      <c r="D16" s="51" t="s">
        <v>3238</v>
      </c>
      <c r="E16" s="119">
        <v>45485</v>
      </c>
      <c r="F16" s="51">
        <v>2</v>
      </c>
      <c r="G16" s="238">
        <v>1</v>
      </c>
      <c r="H16" s="213">
        <v>0</v>
      </c>
      <c r="I16" s="51">
        <v>0</v>
      </c>
      <c r="J16" s="51">
        <v>0</v>
      </c>
      <c r="K16" s="51">
        <v>0</v>
      </c>
      <c r="L16" s="51">
        <v>0</v>
      </c>
      <c r="M16" s="51">
        <v>0</v>
      </c>
      <c r="N16" s="51">
        <v>0</v>
      </c>
      <c r="O16" s="51">
        <v>0</v>
      </c>
      <c r="P16" s="51" t="s">
        <v>2614</v>
      </c>
      <c r="Q16" s="51" t="s">
        <v>2614</v>
      </c>
      <c r="R16" s="51">
        <v>0</v>
      </c>
      <c r="S16" s="51">
        <v>0</v>
      </c>
      <c r="T16" s="51">
        <v>0</v>
      </c>
      <c r="U16" s="51">
        <v>0</v>
      </c>
      <c r="V16" s="51" t="s">
        <v>2614</v>
      </c>
      <c r="W16" s="51" t="s">
        <v>2614</v>
      </c>
    </row>
    <row r="17" spans="2:24" x14ac:dyDescent="0.25">
      <c r="B17" s="51" t="s">
        <v>2583</v>
      </c>
      <c r="C17" s="51">
        <v>15</v>
      </c>
      <c r="D17" s="51" t="s">
        <v>3239</v>
      </c>
      <c r="E17" s="119">
        <v>45485</v>
      </c>
      <c r="F17" s="51">
        <v>2</v>
      </c>
      <c r="G17" s="238">
        <v>1</v>
      </c>
      <c r="H17" s="213">
        <v>0</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c r="V17" s="51" t="s">
        <v>2614</v>
      </c>
      <c r="W17" s="51" t="s">
        <v>2614</v>
      </c>
    </row>
    <row r="18" spans="2:24" x14ac:dyDescent="0.25">
      <c r="B18" s="51" t="s">
        <v>2585</v>
      </c>
      <c r="C18" s="51">
        <v>16</v>
      </c>
      <c r="D18" s="51" t="s">
        <v>3239</v>
      </c>
      <c r="E18" s="119">
        <v>45485</v>
      </c>
      <c r="F18" s="51">
        <v>2</v>
      </c>
      <c r="G18" s="238">
        <v>1</v>
      </c>
      <c r="H18" s="213">
        <v>0</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row>
    <row r="19" spans="2:24" x14ac:dyDescent="0.25">
      <c r="B19" s="51" t="s">
        <v>2591</v>
      </c>
      <c r="C19" s="51">
        <v>19</v>
      </c>
      <c r="D19" s="51" t="s">
        <v>3240</v>
      </c>
      <c r="E19" s="119">
        <v>45485</v>
      </c>
      <c r="F19" s="51">
        <v>2</v>
      </c>
      <c r="G19" s="238" cm="1">
        <f t="array" ref="G19">SUMPRODUCT(--(ISNUMBER((SEARCH(I25:W25,I19:V19)))))/COUNTA(I19:V19)</f>
        <v>1</v>
      </c>
      <c r="H19" s="51" t="s">
        <v>2614</v>
      </c>
      <c r="I19" s="51" t="s">
        <v>2654</v>
      </c>
      <c r="J19" s="51" t="s">
        <v>2654</v>
      </c>
      <c r="K19" s="51" t="s">
        <v>2654</v>
      </c>
      <c r="L19" s="51" t="s">
        <v>2654</v>
      </c>
      <c r="M19" s="51" t="s">
        <v>2654</v>
      </c>
      <c r="N19" s="51" t="s">
        <v>2654</v>
      </c>
      <c r="O19" s="51" t="s">
        <v>2654</v>
      </c>
      <c r="P19" s="51" t="s">
        <v>2654</v>
      </c>
      <c r="Q19" s="51" t="s">
        <v>2654</v>
      </c>
      <c r="R19" s="51" t="s">
        <v>2654</v>
      </c>
      <c r="S19" s="51" t="s">
        <v>2654</v>
      </c>
      <c r="T19" s="51" t="s">
        <v>2654</v>
      </c>
      <c r="U19" s="51" t="s">
        <v>2654</v>
      </c>
      <c r="V19" s="51" t="s">
        <v>2654</v>
      </c>
      <c r="W19" s="51" t="s">
        <v>2656</v>
      </c>
    </row>
    <row r="20" spans="2:24" x14ac:dyDescent="0.25">
      <c r="B20" s="51" t="s">
        <v>2594</v>
      </c>
      <c r="C20" s="51">
        <v>20</v>
      </c>
      <c r="D20" s="51" t="s">
        <v>3240</v>
      </c>
      <c r="E20" s="119">
        <v>45485</v>
      </c>
      <c r="F20" s="51">
        <v>2</v>
      </c>
      <c r="G20" s="238" cm="1">
        <f t="array" ref="G20">SUM(IF(I2:W2 = I24:W24, 1, 0))/ COUNTA(I2:W2)</f>
        <v>1</v>
      </c>
      <c r="H20" s="51" t="s">
        <v>2614</v>
      </c>
      <c r="I20" s="51" t="s">
        <v>2654</v>
      </c>
      <c r="J20" s="51" t="s">
        <v>2654</v>
      </c>
      <c r="K20" s="51" t="s">
        <v>2654</v>
      </c>
      <c r="L20" s="51" t="s">
        <v>2654</v>
      </c>
      <c r="M20" s="51" t="s">
        <v>2654</v>
      </c>
      <c r="N20" s="51" t="s">
        <v>2654</v>
      </c>
      <c r="O20" s="51" t="s">
        <v>2654</v>
      </c>
      <c r="P20" s="51" t="s">
        <v>2654</v>
      </c>
      <c r="Q20" s="51" t="s">
        <v>2654</v>
      </c>
      <c r="R20" s="51" t="s">
        <v>2654</v>
      </c>
      <c r="S20" s="51" t="s">
        <v>2654</v>
      </c>
      <c r="T20" s="51" t="s">
        <v>2654</v>
      </c>
      <c r="U20" s="51" t="s">
        <v>2654</v>
      </c>
      <c r="V20" s="51" t="s">
        <v>2654</v>
      </c>
      <c r="W20" s="51" t="s">
        <v>2656</v>
      </c>
    </row>
    <row r="21" spans="2:24" x14ac:dyDescent="0.25">
      <c r="B21" s="51" t="s">
        <v>2597</v>
      </c>
      <c r="C21" s="51">
        <v>21</v>
      </c>
      <c r="D21" s="51"/>
      <c r="E21" s="119"/>
      <c r="F21" s="51">
        <v>1</v>
      </c>
      <c r="G21" s="238" cm="1">
        <f t="array" ref="G21">SUM(IF(IF(G3:G20="null",1,G3:G20)=1,1,0))/COUNT(IF(G3:G20="null",1,1))</f>
        <v>0.94444444444444442</v>
      </c>
      <c r="H21" s="51" t="s">
        <v>2614</v>
      </c>
      <c r="I21" s="51"/>
      <c r="J21" s="51"/>
      <c r="K21" s="51"/>
      <c r="L21" s="51"/>
      <c r="M21" s="51"/>
      <c r="N21" s="51"/>
      <c r="O21" s="51"/>
      <c r="P21" s="51"/>
      <c r="Q21" s="51"/>
      <c r="R21" s="51"/>
      <c r="S21" s="51"/>
      <c r="T21" s="51"/>
      <c r="U21" s="51"/>
      <c r="V21" s="51"/>
      <c r="W21" s="51"/>
    </row>
    <row r="22" spans="2:24" x14ac:dyDescent="0.25">
      <c r="B22" s="51"/>
      <c r="C22" s="51"/>
      <c r="D22" s="51"/>
      <c r="E22" s="119"/>
      <c r="F22" s="51"/>
      <c r="G22" s="51"/>
      <c r="H22" s="51"/>
      <c r="I22" s="51"/>
      <c r="J22" s="51"/>
      <c r="K22" s="51"/>
      <c r="L22" s="51"/>
      <c r="M22" s="51"/>
      <c r="N22" s="51"/>
      <c r="O22" s="51"/>
      <c r="P22" s="51"/>
      <c r="Q22" s="51"/>
      <c r="R22" s="51"/>
      <c r="S22" s="51"/>
    </row>
    <row r="23" spans="2:24" x14ac:dyDescent="0.25">
      <c r="B23" s="154" t="s">
        <v>2657</v>
      </c>
    </row>
    <row r="24" spans="2:24" x14ac:dyDescent="0.25">
      <c r="B24" s="152" t="s">
        <v>2658</v>
      </c>
      <c r="C24" s="153" t="s">
        <v>2601</v>
      </c>
      <c r="D24" s="153" t="s">
        <v>2602</v>
      </c>
      <c r="E24" s="153" t="s">
        <v>2603</v>
      </c>
      <c r="F24" s="153" t="s">
        <v>2604</v>
      </c>
      <c r="G24" s="153" t="s">
        <v>2605</v>
      </c>
      <c r="H24" s="153" t="s">
        <v>2606</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50" t="str">
        <v>contract_opening_channel_code</v>
      </c>
      <c r="U24" s="250" t="str">
        <v>source_code</v>
      </c>
      <c r="V24" s="250" t="str">
        <v>data_date_part</v>
      </c>
      <c r="W24" s="254" t="str">
        <v>data_timestamp_part</v>
      </c>
      <c r="X24" s="253"/>
    </row>
    <row r="25" spans="2:24" x14ac:dyDescent="0.25">
      <c r="B25" s="131" t="s">
        <v>2659</v>
      </c>
      <c r="C25" s="134">
        <v>21</v>
      </c>
      <c r="D25" s="128" t="s">
        <v>2660</v>
      </c>
      <c r="E25" s="127" t="s">
        <v>2661</v>
      </c>
      <c r="F25" s="127" t="s">
        <v>351</v>
      </c>
      <c r="G25" s="127" t="s">
        <v>351</v>
      </c>
      <c r="H25" s="127" t="s">
        <v>351</v>
      </c>
      <c r="I25" s="127" t="str" cm="1">
        <f t="array" ref="I25:W26">TRANSPOSE(_xlfn.SORTBY(_xlfn._xlws.FILTER(IF(Table3[FORMATO]:Table3[COMP_ CAMPO]&lt;&gt;"",Table3[FORMATO]:Table3[COMP_ CAMPO],9999999),Table3[NOME FÍSICO TABELA]="debit_card_account"), _xlfn._xlws.FILTER(Table3[ORDEM], Table3[NOME FÍSICO TABELA]="debit_card_account"),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STRING</v>
      </c>
      <c r="U25" s="127" t="str">
        <v>STRING</v>
      </c>
      <c r="V25" s="127" t="str">
        <v>STRING</v>
      </c>
      <c r="W25" s="133" t="str">
        <v>TIMESTAMP</v>
      </c>
    </row>
    <row r="26" spans="2:24" x14ac:dyDescent="0.25">
      <c r="B26" s="131" t="s">
        <v>2662</v>
      </c>
      <c r="C26" s="134">
        <v>7</v>
      </c>
      <c r="D26" s="128" t="s">
        <v>2660</v>
      </c>
      <c r="E26" s="127" t="s">
        <v>2661</v>
      </c>
      <c r="F26" s="129" t="s">
        <v>351</v>
      </c>
      <c r="G26" s="129" t="s">
        <v>351</v>
      </c>
      <c r="H26" s="129" t="s">
        <v>351</v>
      </c>
      <c r="I26" s="175">
        <v>4</v>
      </c>
      <c r="J26" s="175">
        <v>15</v>
      </c>
      <c r="K26" s="175">
        <v>20</v>
      </c>
      <c r="L26" s="175">
        <v>20</v>
      </c>
      <c r="M26" s="175">
        <v>20</v>
      </c>
      <c r="N26" s="175">
        <v>4</v>
      </c>
      <c r="O26" s="175">
        <v>30</v>
      </c>
      <c r="P26" s="175">
        <v>10</v>
      </c>
      <c r="Q26" s="175">
        <v>10</v>
      </c>
      <c r="R26" s="175">
        <v>3</v>
      </c>
      <c r="S26" s="175">
        <v>3</v>
      </c>
      <c r="T26" s="175">
        <v>3</v>
      </c>
      <c r="U26" s="175">
        <v>2</v>
      </c>
      <c r="V26" s="175">
        <v>10</v>
      </c>
      <c r="W26" s="176">
        <v>23</v>
      </c>
      <c r="X26" s="116"/>
    </row>
    <row r="28" spans="2:24" x14ac:dyDescent="0.25">
      <c r="B28" s="164" t="s">
        <v>2663</v>
      </c>
    </row>
    <row r="29" spans="2:24" x14ac:dyDescent="0.25">
      <c r="B29" s="158" t="s">
        <v>2664</v>
      </c>
      <c r="C29" s="158" t="s">
        <v>2665</v>
      </c>
      <c r="D29" s="159" t="s">
        <v>2666</v>
      </c>
      <c r="E29" s="158" t="s">
        <v>2667</v>
      </c>
      <c r="F29" s="158" t="s">
        <v>2668</v>
      </c>
    </row>
    <row r="30" spans="2:24" ht="45" x14ac:dyDescent="0.25">
      <c r="B30" s="142" t="s">
        <v>2734</v>
      </c>
      <c r="C30" s="141" t="s">
        <v>312</v>
      </c>
      <c r="D30" s="147" t="s">
        <v>3241</v>
      </c>
      <c r="E30" s="170" t="s">
        <v>3242</v>
      </c>
      <c r="F30" s="160" t="s">
        <v>2672</v>
      </c>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BE3D-B682-4AD7-A355-5769B437A2D4}">
  <sheetPr>
    <tabColor rgb="FF00B050"/>
  </sheetPr>
  <dimension ref="B1:X30"/>
  <sheetViews>
    <sheetView showGridLines="0" topLeftCell="A6" workbookViewId="0">
      <selection activeCell="G18" sqref="G18"/>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x14ac:dyDescent="0.25"/>
    <row r="2" spans="2:23" x14ac:dyDescent="0.25">
      <c r="B2" s="98" t="s">
        <v>2658</v>
      </c>
      <c r="C2" s="98" t="s">
        <v>2601</v>
      </c>
      <c r="D2" s="98" t="s">
        <v>2602</v>
      </c>
      <c r="E2" s="98" t="s">
        <v>2603</v>
      </c>
      <c r="F2" s="98" t="s">
        <v>2604</v>
      </c>
      <c r="G2" s="98" t="s">
        <v>2605</v>
      </c>
      <c r="H2" s="98" t="s">
        <v>2606</v>
      </c>
      <c r="I2" s="153" t="s">
        <v>138</v>
      </c>
      <c r="J2" s="153" t="s">
        <v>153</v>
      </c>
      <c r="K2" s="153" t="s">
        <v>165</v>
      </c>
      <c r="L2" s="153" t="s">
        <v>173</v>
      </c>
      <c r="M2" s="153" t="s">
        <v>185</v>
      </c>
      <c r="N2" s="153" t="s">
        <v>194</v>
      </c>
      <c r="O2" s="153" t="s">
        <v>204</v>
      </c>
      <c r="P2" s="153" t="s">
        <v>215</v>
      </c>
      <c r="Q2" s="153" t="s">
        <v>227</v>
      </c>
      <c r="R2" s="153" t="s">
        <v>239</v>
      </c>
      <c r="S2" t="s">
        <v>302</v>
      </c>
      <c r="T2" t="s">
        <v>312</v>
      </c>
      <c r="U2" s="98" t="s">
        <v>323</v>
      </c>
      <c r="V2" s="98" t="s">
        <v>330</v>
      </c>
      <c r="W2" s="98" t="s">
        <v>337</v>
      </c>
    </row>
    <row r="3" spans="2:23" x14ac:dyDescent="0.25">
      <c r="B3" s="51" t="s">
        <v>2554</v>
      </c>
      <c r="C3" s="51">
        <v>1</v>
      </c>
      <c r="D3" s="51" t="s">
        <v>3243</v>
      </c>
      <c r="E3" s="119">
        <v>45492</v>
      </c>
      <c r="F3" s="51">
        <v>1</v>
      </c>
      <c r="G3" s="221">
        <v>1</v>
      </c>
      <c r="H3" s="219">
        <v>2843480</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row>
    <row r="4" spans="2:23" x14ac:dyDescent="0.25">
      <c r="B4" s="51" t="s">
        <v>2556</v>
      </c>
      <c r="C4" s="51">
        <v>2</v>
      </c>
      <c r="D4" s="51" t="s">
        <v>3244</v>
      </c>
      <c r="E4" s="119">
        <v>45492</v>
      </c>
      <c r="F4" s="51">
        <v>1</v>
      </c>
      <c r="G4" s="221">
        <v>1</v>
      </c>
      <c r="H4" s="51">
        <v>0</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row>
    <row r="5" spans="2:23" x14ac:dyDescent="0.25">
      <c r="B5" s="51" t="s">
        <v>2558</v>
      </c>
      <c r="C5" s="51">
        <v>3</v>
      </c>
      <c r="D5" s="51" t="s">
        <v>3245</v>
      </c>
      <c r="E5" s="119">
        <v>45492</v>
      </c>
      <c r="F5" s="51">
        <v>1</v>
      </c>
      <c r="G5" s="221">
        <v>1</v>
      </c>
      <c r="H5" s="51">
        <v>0</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v>0</v>
      </c>
      <c r="W5" s="51" t="s">
        <v>2614</v>
      </c>
    </row>
    <row r="6" spans="2:23" x14ac:dyDescent="0.25">
      <c r="B6" s="121" t="s">
        <v>2560</v>
      </c>
      <c r="C6" s="51">
        <v>4</v>
      </c>
      <c r="D6" s="51" t="s">
        <v>2618</v>
      </c>
      <c r="E6" s="119" t="s">
        <v>2614</v>
      </c>
      <c r="F6" s="51">
        <v>1</v>
      </c>
      <c r="G6" s="51" t="s">
        <v>2614</v>
      </c>
      <c r="H6" s="51" t="s">
        <v>2614</v>
      </c>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c r="V6" s="51" t="s">
        <v>2614</v>
      </c>
      <c r="W6" s="51" t="s">
        <v>2614</v>
      </c>
    </row>
    <row r="7" spans="2:23" x14ac:dyDescent="0.25">
      <c r="B7" s="51" t="s">
        <v>2562</v>
      </c>
      <c r="C7" s="51">
        <v>5</v>
      </c>
      <c r="D7" s="51" t="s">
        <v>2618</v>
      </c>
      <c r="E7" s="119" t="s">
        <v>2614</v>
      </c>
      <c r="F7" s="51">
        <v>1</v>
      </c>
      <c r="G7" s="51" t="s">
        <v>2614</v>
      </c>
      <c r="H7" s="51" t="s">
        <v>2614</v>
      </c>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row>
    <row r="8" spans="2:23" x14ac:dyDescent="0.25">
      <c r="B8" s="121" t="s">
        <v>2563</v>
      </c>
      <c r="C8" s="51">
        <v>6</v>
      </c>
      <c r="D8" s="51" t="s">
        <v>3246</v>
      </c>
      <c r="E8" s="119">
        <v>45492</v>
      </c>
      <c r="F8" s="51">
        <v>1</v>
      </c>
      <c r="G8" s="221"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x14ac:dyDescent="0.25">
      <c r="B9" s="51" t="s">
        <v>2566</v>
      </c>
      <c r="C9" s="51">
        <v>7</v>
      </c>
      <c r="D9" s="51" t="s">
        <v>3247</v>
      </c>
      <c r="E9" s="119">
        <v>45492</v>
      </c>
      <c r="F9" s="51">
        <v>1</v>
      </c>
      <c r="G9" s="221" cm="1">
        <f t="array" ref="G9">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x14ac:dyDescent="0.25">
      <c r="B10" s="51" t="s">
        <v>2569</v>
      </c>
      <c r="C10" s="51">
        <v>8</v>
      </c>
      <c r="D10" s="51" t="s">
        <v>3248</v>
      </c>
      <c r="E10" s="119">
        <v>45492</v>
      </c>
      <c r="F10" s="51">
        <v>1</v>
      </c>
      <c r="G10" s="51" t="s">
        <v>2614</v>
      </c>
      <c r="H10" s="51">
        <v>0</v>
      </c>
      <c r="I10" s="51">
        <v>31</v>
      </c>
      <c r="J10" s="51">
        <v>1104388490010</v>
      </c>
      <c r="K10" s="51" t="s">
        <v>2622</v>
      </c>
      <c r="L10" s="51">
        <v>10</v>
      </c>
      <c r="M10" s="51">
        <v>10</v>
      </c>
      <c r="N10" s="51">
        <v>31</v>
      </c>
      <c r="O10" s="51">
        <v>0</v>
      </c>
      <c r="P10" s="119">
        <v>37403</v>
      </c>
      <c r="Q10" s="119">
        <v>2958465</v>
      </c>
      <c r="R10" s="119">
        <v>978</v>
      </c>
      <c r="S10" s="51" t="s">
        <v>2622</v>
      </c>
      <c r="T10" s="51" t="s">
        <v>2622</v>
      </c>
      <c r="U10" s="119" t="s">
        <v>2850</v>
      </c>
      <c r="V10" s="119">
        <v>45492</v>
      </c>
      <c r="W10" s="51" t="s">
        <v>3249</v>
      </c>
    </row>
    <row r="11" spans="2:23" x14ac:dyDescent="0.25">
      <c r="B11" s="51" t="s">
        <v>2571</v>
      </c>
      <c r="C11" s="51">
        <v>9</v>
      </c>
      <c r="D11" s="51" t="s">
        <v>3250</v>
      </c>
      <c r="E11" s="119">
        <v>45492</v>
      </c>
      <c r="F11" s="51">
        <v>1</v>
      </c>
      <c r="G11" s="51" t="s">
        <v>2614</v>
      </c>
      <c r="H11" s="51">
        <v>0</v>
      </c>
      <c r="I11" s="51">
        <v>31</v>
      </c>
      <c r="J11" s="51">
        <v>1104388490010</v>
      </c>
      <c r="K11" s="51">
        <v>31</v>
      </c>
      <c r="L11" s="51">
        <v>10</v>
      </c>
      <c r="M11" s="51">
        <v>10</v>
      </c>
      <c r="N11" s="119">
        <v>31</v>
      </c>
      <c r="O11" s="51">
        <v>0</v>
      </c>
      <c r="P11" s="119">
        <v>37403</v>
      </c>
      <c r="Q11" s="119">
        <v>2958465</v>
      </c>
      <c r="R11" s="119">
        <v>978</v>
      </c>
      <c r="S11" s="51">
        <v>0</v>
      </c>
      <c r="T11" s="51" t="s">
        <v>3251</v>
      </c>
      <c r="U11" s="119" t="s">
        <v>2850</v>
      </c>
      <c r="V11" s="119">
        <v>45492</v>
      </c>
      <c r="W11" s="51" t="s">
        <v>3252</v>
      </c>
    </row>
    <row r="12" spans="2:23" x14ac:dyDescent="0.25">
      <c r="B12" s="121" t="s">
        <v>2573</v>
      </c>
      <c r="C12" s="51">
        <v>10</v>
      </c>
      <c r="D12" s="51" t="s">
        <v>3253</v>
      </c>
      <c r="E12" s="119">
        <v>45492</v>
      </c>
      <c r="F12" s="51">
        <v>1</v>
      </c>
      <c r="G12" s="51" t="s">
        <v>2614</v>
      </c>
      <c r="H12" s="51">
        <v>0</v>
      </c>
      <c r="I12" s="51">
        <v>31</v>
      </c>
      <c r="J12" s="213">
        <v>5131680060010</v>
      </c>
      <c r="K12" s="51" t="s">
        <v>2622</v>
      </c>
      <c r="L12" s="51">
        <v>11</v>
      </c>
      <c r="M12" s="119" t="s">
        <v>3254</v>
      </c>
      <c r="N12" s="51">
        <v>31</v>
      </c>
      <c r="O12" s="122">
        <v>999999999999999</v>
      </c>
      <c r="P12" s="221">
        <v>45495</v>
      </c>
      <c r="Q12" s="119">
        <v>2958465</v>
      </c>
      <c r="R12" s="119">
        <v>978</v>
      </c>
      <c r="S12" s="51" t="s">
        <v>2622</v>
      </c>
      <c r="T12" s="51" t="s">
        <v>2622</v>
      </c>
      <c r="U12" s="119" t="s">
        <v>2850</v>
      </c>
      <c r="V12" s="119">
        <v>45492</v>
      </c>
      <c r="W12" s="51" t="s">
        <v>3249</v>
      </c>
    </row>
    <row r="13" spans="2:23" x14ac:dyDescent="0.25">
      <c r="B13" s="51" t="s">
        <v>2575</v>
      </c>
      <c r="C13" s="51">
        <v>11</v>
      </c>
      <c r="D13" s="51" t="s">
        <v>3255</v>
      </c>
      <c r="E13" s="119">
        <v>45492</v>
      </c>
      <c r="F13" s="51">
        <v>1</v>
      </c>
      <c r="G13" s="51" t="s">
        <v>2614</v>
      </c>
      <c r="H13" s="51">
        <v>0</v>
      </c>
      <c r="I13" s="51">
        <v>31</v>
      </c>
      <c r="J13" s="213">
        <v>5131680060010</v>
      </c>
      <c r="K13" s="51">
        <v>31</v>
      </c>
      <c r="L13" s="51">
        <v>11</v>
      </c>
      <c r="M13" s="119" t="s">
        <v>3254</v>
      </c>
      <c r="N13" s="119">
        <v>31</v>
      </c>
      <c r="O13" s="51">
        <v>999999999999999</v>
      </c>
      <c r="P13" s="119">
        <v>45495</v>
      </c>
      <c r="Q13" s="119">
        <v>2958465</v>
      </c>
      <c r="R13" s="119">
        <v>978</v>
      </c>
      <c r="S13" s="51">
        <v>0</v>
      </c>
      <c r="T13" s="51" t="s">
        <v>3256</v>
      </c>
      <c r="U13" s="119" t="s">
        <v>2850</v>
      </c>
      <c r="V13" s="119">
        <v>45492</v>
      </c>
      <c r="W13" s="51" t="s">
        <v>3257</v>
      </c>
    </row>
    <row r="14" spans="2:23" x14ac:dyDescent="0.25">
      <c r="B14" s="51" t="s">
        <v>2577</v>
      </c>
      <c r="C14" s="51">
        <v>12</v>
      </c>
      <c r="D14" s="51" t="s">
        <v>3258</v>
      </c>
      <c r="E14" s="119">
        <v>45492</v>
      </c>
      <c r="F14" s="51">
        <v>1</v>
      </c>
      <c r="G14" s="221">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x14ac:dyDescent="0.25">
      <c r="B15" s="51" t="s">
        <v>2579</v>
      </c>
      <c r="C15" s="51">
        <v>13</v>
      </c>
      <c r="D15" s="51" t="s">
        <v>3259</v>
      </c>
      <c r="E15" s="119">
        <v>45492</v>
      </c>
      <c r="F15" s="51">
        <v>1</v>
      </c>
      <c r="G15" s="221">
        <v>1</v>
      </c>
      <c r="H15" s="51">
        <v>0</v>
      </c>
      <c r="I15" s="51" t="s">
        <v>2614</v>
      </c>
      <c r="J15" s="51" t="s">
        <v>2614</v>
      </c>
      <c r="K15" s="51" t="s">
        <v>2614</v>
      </c>
      <c r="L15" s="51" t="s">
        <v>2614</v>
      </c>
      <c r="M15" s="51" t="s">
        <v>2614</v>
      </c>
      <c r="N15" s="51" t="s">
        <v>2614</v>
      </c>
      <c r="O15" s="51" t="s">
        <v>2614</v>
      </c>
      <c r="P15" s="51">
        <v>0</v>
      </c>
      <c r="Q15" s="51">
        <v>0</v>
      </c>
      <c r="R15" s="51" t="s">
        <v>2614</v>
      </c>
      <c r="S15" s="51" t="s">
        <v>2614</v>
      </c>
      <c r="T15" s="51" t="s">
        <v>2614</v>
      </c>
      <c r="U15" s="51" t="s">
        <v>2614</v>
      </c>
      <c r="V15" s="51" t="s">
        <v>2614</v>
      </c>
      <c r="W15" s="51" t="s">
        <v>2614</v>
      </c>
    </row>
    <row r="16" spans="2:23" x14ac:dyDescent="0.25">
      <c r="B16" s="51" t="s">
        <v>2581</v>
      </c>
      <c r="C16" s="51">
        <v>14</v>
      </c>
      <c r="D16" s="51" t="s">
        <v>3260</v>
      </c>
      <c r="E16" s="119">
        <v>45492</v>
      </c>
      <c r="F16" s="51">
        <v>1</v>
      </c>
      <c r="G16" s="221">
        <v>1</v>
      </c>
      <c r="H16" s="51">
        <v>0</v>
      </c>
      <c r="I16" s="51">
        <v>0</v>
      </c>
      <c r="J16" s="51">
        <v>0</v>
      </c>
      <c r="K16" s="51">
        <v>0</v>
      </c>
      <c r="L16" s="51">
        <v>0</v>
      </c>
      <c r="M16" s="51">
        <v>0</v>
      </c>
      <c r="N16" s="51">
        <v>0</v>
      </c>
      <c r="O16" s="51">
        <v>0</v>
      </c>
      <c r="P16" s="51" t="s">
        <v>2614</v>
      </c>
      <c r="Q16" s="51" t="s">
        <v>2614</v>
      </c>
      <c r="R16" s="51">
        <v>0</v>
      </c>
      <c r="S16" s="51">
        <v>0</v>
      </c>
      <c r="T16" s="51">
        <v>0</v>
      </c>
      <c r="U16" s="51">
        <v>0</v>
      </c>
      <c r="V16" s="51" t="s">
        <v>2614</v>
      </c>
      <c r="W16" s="51" t="s">
        <v>2614</v>
      </c>
    </row>
    <row r="17" spans="2:24" x14ac:dyDescent="0.25">
      <c r="B17" s="51" t="s">
        <v>2583</v>
      </c>
      <c r="C17" s="51">
        <v>15</v>
      </c>
      <c r="D17" s="51" t="s">
        <v>3261</v>
      </c>
      <c r="E17" s="119">
        <v>45492</v>
      </c>
      <c r="F17" s="51">
        <v>1</v>
      </c>
      <c r="G17" s="221">
        <v>1</v>
      </c>
      <c r="H17" s="51">
        <v>0</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c r="V17" s="51" t="s">
        <v>2614</v>
      </c>
      <c r="W17" s="51" t="s">
        <v>2614</v>
      </c>
    </row>
    <row r="18" spans="2:24" x14ac:dyDescent="0.25">
      <c r="B18" s="51" t="s">
        <v>2585</v>
      </c>
      <c r="C18" s="51">
        <v>16</v>
      </c>
      <c r="D18" s="51" t="s">
        <v>3261</v>
      </c>
      <c r="E18" s="119">
        <v>45492</v>
      </c>
      <c r="F18" s="51">
        <v>1</v>
      </c>
      <c r="G18" s="221">
        <v>1</v>
      </c>
      <c r="H18" s="51">
        <v>0</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row>
    <row r="19" spans="2:24" x14ac:dyDescent="0.25">
      <c r="B19" s="51" t="s">
        <v>2591</v>
      </c>
      <c r="C19" s="51">
        <v>19</v>
      </c>
      <c r="D19" s="51" t="s">
        <v>3262</v>
      </c>
      <c r="E19" s="119">
        <v>45492</v>
      </c>
      <c r="F19" s="51">
        <v>1</v>
      </c>
      <c r="G19" s="221" cm="1">
        <f t="array" ref="G19">SUM(IF(I2:V2 = I24:V24, 1, 0))/ COUNTA(I2:V2)</f>
        <v>1</v>
      </c>
      <c r="H19" s="51" t="s">
        <v>2614</v>
      </c>
      <c r="I19" s="51" t="s">
        <v>2654</v>
      </c>
      <c r="J19" s="51" t="s">
        <v>2654</v>
      </c>
      <c r="K19" s="51" t="s">
        <v>2654</v>
      </c>
      <c r="L19" s="51" t="s">
        <v>2654</v>
      </c>
      <c r="M19" s="51" t="s">
        <v>2654</v>
      </c>
      <c r="N19" s="51" t="s">
        <v>2654</v>
      </c>
      <c r="O19" s="51" t="s">
        <v>2654</v>
      </c>
      <c r="P19" s="51" t="s">
        <v>2654</v>
      </c>
      <c r="Q19" s="51" t="s">
        <v>2654</v>
      </c>
      <c r="R19" s="51" t="s">
        <v>2654</v>
      </c>
      <c r="S19" s="51" t="s">
        <v>2654</v>
      </c>
      <c r="T19" s="51" t="s">
        <v>2654</v>
      </c>
      <c r="U19" s="51" t="s">
        <v>2654</v>
      </c>
      <c r="V19" s="51" t="s">
        <v>2654</v>
      </c>
      <c r="W19" s="51" t="s">
        <v>2656</v>
      </c>
    </row>
    <row r="20" spans="2:24" x14ac:dyDescent="0.25">
      <c r="B20" s="51" t="s">
        <v>2594</v>
      </c>
      <c r="C20" s="51">
        <v>20</v>
      </c>
      <c r="D20" s="51" t="s">
        <v>3263</v>
      </c>
      <c r="E20" s="119">
        <v>45492</v>
      </c>
      <c r="F20" s="51">
        <v>1</v>
      </c>
      <c r="G20" s="221" cm="1">
        <f t="array" ref="G20">SUM(IF(I2:W2 = I24:W24, 1, 0))/ COUNTA(I2:W2)</f>
        <v>1</v>
      </c>
      <c r="H20" s="51" t="s">
        <v>2614</v>
      </c>
      <c r="I20" s="51"/>
      <c r="J20" s="51"/>
      <c r="K20" s="51"/>
      <c r="L20" s="51"/>
      <c r="M20" s="51"/>
      <c r="N20" s="51"/>
      <c r="O20" s="51"/>
      <c r="P20" s="51"/>
      <c r="Q20" s="51"/>
      <c r="R20" s="51"/>
      <c r="S20" s="51"/>
      <c r="T20" s="51"/>
      <c r="U20" s="51"/>
      <c r="V20" s="51"/>
      <c r="W20" s="51"/>
    </row>
    <row r="21" spans="2:24" x14ac:dyDescent="0.25">
      <c r="B21" s="51" t="s">
        <v>2597</v>
      </c>
      <c r="C21" s="51">
        <v>21</v>
      </c>
      <c r="D21" s="51" t="s">
        <v>3264</v>
      </c>
      <c r="E21" s="119">
        <v>45492</v>
      </c>
      <c r="F21" s="51">
        <v>1</v>
      </c>
      <c r="G21" s="221" cm="1">
        <f t="array" ref="G21">SUM(IF(IF(G3:G20="null",1,G3:G20)=1,1,0))/COUNT(IF(G3:G20="null",1,1))</f>
        <v>0.94444444444444442</v>
      </c>
      <c r="H21" s="51" t="s">
        <v>2614</v>
      </c>
      <c r="I21" s="51"/>
      <c r="J21" s="51"/>
      <c r="K21" s="51"/>
      <c r="L21" s="51"/>
      <c r="M21" s="51"/>
      <c r="N21" s="51"/>
      <c r="O21" s="51"/>
      <c r="P21" s="51"/>
      <c r="Q21" s="51"/>
      <c r="R21" s="51"/>
      <c r="S21" s="51"/>
      <c r="T21" s="51"/>
      <c r="U21" s="51"/>
      <c r="V21" s="51"/>
      <c r="W21" s="51"/>
    </row>
    <row r="22" spans="2:24" x14ac:dyDescent="0.25">
      <c r="B22" s="51"/>
      <c r="C22" s="51"/>
      <c r="D22" s="51"/>
      <c r="E22" s="119"/>
      <c r="F22" s="51"/>
      <c r="G22" s="51"/>
      <c r="H22" s="51"/>
      <c r="I22" s="51"/>
      <c r="J22" s="51"/>
      <c r="K22" s="51"/>
      <c r="L22" s="51"/>
      <c r="M22" s="51"/>
      <c r="N22" s="51"/>
      <c r="O22" s="51"/>
      <c r="P22" s="51"/>
      <c r="Q22" s="51"/>
      <c r="R22" s="51"/>
      <c r="S22" s="51"/>
    </row>
    <row r="23" spans="2:24" x14ac:dyDescent="0.25">
      <c r="B23" s="154" t="s">
        <v>2657</v>
      </c>
    </row>
    <row r="24" spans="2:24" x14ac:dyDescent="0.25">
      <c r="B24" s="152" t="s">
        <v>2658</v>
      </c>
      <c r="C24" s="153" t="s">
        <v>2601</v>
      </c>
      <c r="D24" s="153" t="s">
        <v>2602</v>
      </c>
      <c r="E24" s="153" t="s">
        <v>2603</v>
      </c>
      <c r="F24" s="153" t="s">
        <v>2604</v>
      </c>
      <c r="G24" s="153" t="s">
        <v>2605</v>
      </c>
      <c r="H24" s="153" t="s">
        <v>2606</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6"/>
    </row>
    <row r="25" spans="2:24" x14ac:dyDescent="0.25">
      <c r="B25" s="131" t="s">
        <v>2659</v>
      </c>
      <c r="C25" s="134">
        <v>21</v>
      </c>
      <c r="D25" s="128" t="s">
        <v>2660</v>
      </c>
      <c r="E25" s="127" t="s">
        <v>2661</v>
      </c>
      <c r="F25" s="127" t="s">
        <v>351</v>
      </c>
      <c r="G25" s="127" t="s">
        <v>351</v>
      </c>
      <c r="H25" s="127" t="s">
        <v>351</v>
      </c>
      <c r="I25" s="127"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7" t="str">
        <v>STRING</v>
      </c>
      <c r="K25" s="127" t="str">
        <v>STRING</v>
      </c>
      <c r="L25" s="127" t="str">
        <v>STRING</v>
      </c>
      <c r="M25" s="127" t="str">
        <v>STRING</v>
      </c>
      <c r="N25" s="127" t="str">
        <v>STRING</v>
      </c>
      <c r="O25" s="127" t="str">
        <v>STRING</v>
      </c>
      <c r="P25" s="127" t="str">
        <v>DATE</v>
      </c>
      <c r="Q25" s="127" t="str">
        <v>DATE</v>
      </c>
      <c r="R25" s="127" t="str">
        <v>STRING</v>
      </c>
      <c r="S25" s="127" t="str">
        <v>STRING</v>
      </c>
      <c r="T25" s="127" t="str">
        <v>STRING</v>
      </c>
      <c r="U25" s="127" t="str">
        <v>STRING</v>
      </c>
      <c r="V25" s="127" t="str">
        <v>STRING</v>
      </c>
      <c r="W25" s="133" t="str">
        <v>TIMESTAMP</v>
      </c>
    </row>
    <row r="26" spans="2:24" x14ac:dyDescent="0.25">
      <c r="B26" s="131" t="s">
        <v>2662</v>
      </c>
      <c r="C26" s="134">
        <v>7</v>
      </c>
      <c r="D26" s="128" t="s">
        <v>2660</v>
      </c>
      <c r="E26" s="127" t="s">
        <v>2661</v>
      </c>
      <c r="F26" s="129" t="s">
        <v>351</v>
      </c>
      <c r="G26" s="129" t="s">
        <v>351</v>
      </c>
      <c r="H26" s="129" t="s">
        <v>351</v>
      </c>
      <c r="I26" s="175">
        <v>4</v>
      </c>
      <c r="J26" s="175">
        <v>15</v>
      </c>
      <c r="K26" s="175">
        <v>20</v>
      </c>
      <c r="L26" s="175">
        <v>20</v>
      </c>
      <c r="M26" s="175">
        <v>20</v>
      </c>
      <c r="N26" s="175">
        <v>4</v>
      </c>
      <c r="O26" s="175">
        <v>30</v>
      </c>
      <c r="P26" s="175">
        <v>10</v>
      </c>
      <c r="Q26" s="175">
        <v>10</v>
      </c>
      <c r="R26" s="175">
        <v>3</v>
      </c>
      <c r="S26" s="175">
        <v>3</v>
      </c>
      <c r="T26" s="175">
        <v>3</v>
      </c>
      <c r="U26" s="175">
        <v>2</v>
      </c>
      <c r="V26" s="175">
        <v>10</v>
      </c>
      <c r="W26" s="176">
        <v>23</v>
      </c>
      <c r="X26" s="116"/>
    </row>
    <row r="28" spans="2:24" x14ac:dyDescent="0.25">
      <c r="B28" s="164" t="s">
        <v>2663</v>
      </c>
    </row>
    <row r="29" spans="2:24" x14ac:dyDescent="0.25">
      <c r="B29" s="158" t="s">
        <v>2664</v>
      </c>
      <c r="C29" s="158" t="s">
        <v>2665</v>
      </c>
      <c r="D29" s="159" t="s">
        <v>2666</v>
      </c>
      <c r="E29" s="158" t="s">
        <v>2667</v>
      </c>
      <c r="F29" s="158" t="s">
        <v>2668</v>
      </c>
    </row>
    <row r="30" spans="2:24" ht="45" x14ac:dyDescent="0.25">
      <c r="B30" s="142" t="s">
        <v>2734</v>
      </c>
      <c r="C30" s="141" t="s">
        <v>312</v>
      </c>
      <c r="D30" s="147" t="s">
        <v>3265</v>
      </c>
      <c r="E30" s="170" t="s">
        <v>3266</v>
      </c>
      <c r="F30" s="160" t="s">
        <v>2672</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CF02-AC0E-4565-A26D-9FEC2B54D285}">
  <sheetPr>
    <tabColor rgb="FF00B050"/>
  </sheetPr>
  <dimension ref="B1:AY49"/>
  <sheetViews>
    <sheetView showGridLines="0" workbookViewId="0">
      <selection activeCell="K32" sqref="K32"/>
    </sheetView>
  </sheetViews>
  <sheetFormatPr defaultRowHeight="15" x14ac:dyDescent="0.2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x14ac:dyDescent="0.25"/>
    <row r="2" spans="2:51" x14ac:dyDescent="0.25">
      <c r="B2" s="98" t="s">
        <v>2658</v>
      </c>
      <c r="C2" s="98" t="s">
        <v>2601</v>
      </c>
      <c r="D2" s="98" t="s">
        <v>2602</v>
      </c>
      <c r="E2" s="98" t="s">
        <v>2603</v>
      </c>
      <c r="F2" s="98" t="s">
        <v>2604</v>
      </c>
      <c r="G2" s="98" t="s">
        <v>2605</v>
      </c>
      <c r="H2" s="98" t="s">
        <v>2606</v>
      </c>
      <c r="I2" s="98" t="s">
        <v>138</v>
      </c>
      <c r="J2" s="98" t="s">
        <v>153</v>
      </c>
      <c r="K2" s="98" t="s">
        <v>165</v>
      </c>
      <c r="L2" s="98" t="s">
        <v>173</v>
      </c>
      <c r="M2" s="98" t="s">
        <v>185</v>
      </c>
      <c r="N2" s="98" t="s">
        <v>194</v>
      </c>
      <c r="O2" s="98" t="s">
        <v>204</v>
      </c>
      <c r="P2" s="98" t="s">
        <v>1054</v>
      </c>
      <c r="Q2" s="98" t="s">
        <v>1061</v>
      </c>
      <c r="R2" s="98" t="s">
        <v>215</v>
      </c>
      <c r="S2" s="98" t="s">
        <v>227</v>
      </c>
      <c r="T2" s="98" t="s">
        <v>239</v>
      </c>
      <c r="U2" s="98" t="s">
        <v>254</v>
      </c>
      <c r="V2" s="98" t="s">
        <v>1225</v>
      </c>
      <c r="W2" s="98" t="s">
        <v>1234</v>
      </c>
      <c r="X2" s="98" t="s">
        <v>1239</v>
      </c>
      <c r="Y2" s="98" t="s">
        <v>1243</v>
      </c>
      <c r="Z2" s="98" t="s">
        <v>261</v>
      </c>
      <c r="AA2" s="98" t="s">
        <v>273</v>
      </c>
      <c r="AB2" s="98" t="s">
        <v>802</v>
      </c>
      <c r="AC2" s="98" t="s">
        <v>1263</v>
      </c>
      <c r="AD2" s="98" t="s">
        <v>582</v>
      </c>
      <c r="AE2" s="98" t="s">
        <v>282</v>
      </c>
      <c r="AF2" s="98" t="s">
        <v>292</v>
      </c>
      <c r="AG2" s="98" t="s">
        <v>603</v>
      </c>
      <c r="AH2" s="98" t="s">
        <v>1289</v>
      </c>
      <c r="AI2" s="98" t="s">
        <v>1296</v>
      </c>
      <c r="AJ2" s="98" t="s">
        <v>1303</v>
      </c>
      <c r="AK2" s="98" t="s">
        <v>1309</v>
      </c>
      <c r="AL2" s="98" t="s">
        <v>1313</v>
      </c>
      <c r="AM2" s="98" t="s">
        <v>408</v>
      </c>
      <c r="AN2" s="98" t="s">
        <v>417</v>
      </c>
      <c r="AO2" s="98" t="s">
        <v>1325</v>
      </c>
      <c r="AP2" s="98" t="s">
        <v>1331</v>
      </c>
      <c r="AQ2" s="98" t="s">
        <v>1337</v>
      </c>
      <c r="AR2" s="98" t="s">
        <v>1345</v>
      </c>
      <c r="AS2" s="98" t="s">
        <v>665</v>
      </c>
      <c r="AT2" s="98" t="s">
        <v>1350</v>
      </c>
      <c r="AU2" s="98" t="s">
        <v>302</v>
      </c>
      <c r="AV2" s="98" t="s">
        <v>312</v>
      </c>
      <c r="AW2" s="98" t="s">
        <v>323</v>
      </c>
      <c r="AX2" s="98" t="s">
        <v>330</v>
      </c>
      <c r="AY2" s="98" t="s">
        <v>337</v>
      </c>
    </row>
    <row r="3" spans="2:51" x14ac:dyDescent="0.25">
      <c r="B3" s="51" t="s">
        <v>2554</v>
      </c>
      <c r="C3" s="51">
        <v>1</v>
      </c>
      <c r="D3" s="51" t="s">
        <v>3267</v>
      </c>
      <c r="E3" s="119">
        <v>45485</v>
      </c>
      <c r="F3" s="51">
        <v>2</v>
      </c>
      <c r="G3" s="238" t="s">
        <v>3268</v>
      </c>
      <c r="H3" s="210" t="s">
        <v>3269</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c r="X3" s="51" t="s">
        <v>2614</v>
      </c>
      <c r="Y3" s="51" t="s">
        <v>2614</v>
      </c>
      <c r="Z3" s="51" t="s">
        <v>2614</v>
      </c>
      <c r="AA3" s="51" t="s">
        <v>2614</v>
      </c>
      <c r="AB3" s="51" t="s">
        <v>2614</v>
      </c>
      <c r="AC3" s="51" t="s">
        <v>2614</v>
      </c>
      <c r="AD3" s="51" t="s">
        <v>2614</v>
      </c>
      <c r="AE3" s="51" t="s">
        <v>2614</v>
      </c>
      <c r="AF3" s="51" t="s">
        <v>2614</v>
      </c>
      <c r="AG3" s="51" t="s">
        <v>2614</v>
      </c>
      <c r="AH3" s="51" t="s">
        <v>2614</v>
      </c>
      <c r="AI3" s="51" t="s">
        <v>2614</v>
      </c>
      <c r="AJ3" s="51" t="s">
        <v>2614</v>
      </c>
      <c r="AK3" s="51" t="s">
        <v>2614</v>
      </c>
      <c r="AL3" s="51" t="s">
        <v>2614</v>
      </c>
      <c r="AM3" s="51" t="s">
        <v>2614</v>
      </c>
      <c r="AN3" s="51" t="s">
        <v>2614</v>
      </c>
      <c r="AO3" s="51" t="s">
        <v>2614</v>
      </c>
      <c r="AP3" s="51" t="s">
        <v>2614</v>
      </c>
      <c r="AQ3" s="51" t="s">
        <v>2614</v>
      </c>
      <c r="AR3" s="51" t="s">
        <v>2614</v>
      </c>
      <c r="AS3" s="51" t="s">
        <v>2614</v>
      </c>
      <c r="AT3" s="51" t="s">
        <v>2614</v>
      </c>
      <c r="AU3" s="51" t="s">
        <v>2614</v>
      </c>
      <c r="AV3" s="51" t="s">
        <v>2614</v>
      </c>
      <c r="AW3" s="51" t="s">
        <v>2614</v>
      </c>
      <c r="AX3" s="51" t="s">
        <v>2614</v>
      </c>
      <c r="AY3" s="51" t="s">
        <v>2614</v>
      </c>
    </row>
    <row r="4" spans="2:51" x14ac:dyDescent="0.25">
      <c r="B4" s="51" t="s">
        <v>2556</v>
      </c>
      <c r="C4" s="51">
        <v>2</v>
      </c>
      <c r="D4" s="51" t="s">
        <v>3270</v>
      </c>
      <c r="E4" s="119">
        <v>45485</v>
      </c>
      <c r="F4" s="51">
        <v>2</v>
      </c>
      <c r="G4" s="238">
        <v>1</v>
      </c>
      <c r="H4" s="51" t="s">
        <v>2616</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c r="X4" s="51" t="s">
        <v>2614</v>
      </c>
      <c r="Y4" s="51" t="s">
        <v>2614</v>
      </c>
      <c r="Z4" s="51" t="s">
        <v>2614</v>
      </c>
      <c r="AA4" s="51" t="s">
        <v>2614</v>
      </c>
      <c r="AB4" s="51" t="s">
        <v>2614</v>
      </c>
      <c r="AC4" s="51" t="s">
        <v>2614</v>
      </c>
      <c r="AD4" s="51" t="s">
        <v>2614</v>
      </c>
      <c r="AE4" s="51" t="s">
        <v>2614</v>
      </c>
      <c r="AF4" s="51" t="s">
        <v>2614</v>
      </c>
      <c r="AG4" s="51" t="s">
        <v>2614</v>
      </c>
      <c r="AH4" s="51" t="s">
        <v>2614</v>
      </c>
      <c r="AI4" s="51" t="s">
        <v>2614</v>
      </c>
      <c r="AJ4" s="51" t="s">
        <v>2614</v>
      </c>
      <c r="AK4" s="51" t="s">
        <v>2614</v>
      </c>
      <c r="AL4" s="51" t="s">
        <v>2614</v>
      </c>
      <c r="AM4" s="51" t="s">
        <v>2614</v>
      </c>
      <c r="AN4" s="51" t="s">
        <v>2614</v>
      </c>
      <c r="AO4" s="51" t="s">
        <v>2614</v>
      </c>
      <c r="AP4" s="51" t="s">
        <v>2614</v>
      </c>
      <c r="AQ4" s="51" t="s">
        <v>2614</v>
      </c>
      <c r="AR4" s="51" t="s">
        <v>2614</v>
      </c>
      <c r="AS4" s="51" t="s">
        <v>2614</v>
      </c>
      <c r="AT4" s="51" t="s">
        <v>2614</v>
      </c>
      <c r="AU4" s="51" t="s">
        <v>2614</v>
      </c>
      <c r="AV4" s="51" t="s">
        <v>2614</v>
      </c>
      <c r="AW4" s="51" t="s">
        <v>2614</v>
      </c>
      <c r="AX4" s="51" t="s">
        <v>2614</v>
      </c>
      <c r="AY4" s="51" t="s">
        <v>2614</v>
      </c>
    </row>
    <row r="5" spans="2:51" x14ac:dyDescent="0.25">
      <c r="B5" s="51" t="s">
        <v>2558</v>
      </c>
      <c r="C5" s="51">
        <v>3</v>
      </c>
      <c r="D5" s="51" t="s">
        <v>3271</v>
      </c>
      <c r="E5" s="119">
        <v>45485</v>
      </c>
      <c r="F5" s="51">
        <v>2</v>
      </c>
      <c r="G5" s="238">
        <v>1</v>
      </c>
      <c r="H5" s="51" t="s">
        <v>2616</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t="s">
        <v>2614</v>
      </c>
      <c r="W5" s="51" t="s">
        <v>2614</v>
      </c>
      <c r="X5" s="51" t="s">
        <v>2614</v>
      </c>
      <c r="Y5" s="51" t="s">
        <v>2614</v>
      </c>
      <c r="Z5" s="51" t="s">
        <v>2614</v>
      </c>
      <c r="AA5" s="51" t="s">
        <v>2614</v>
      </c>
      <c r="AB5" s="51" t="s">
        <v>2614</v>
      </c>
      <c r="AC5" s="51" t="s">
        <v>2614</v>
      </c>
      <c r="AD5" s="51" t="s">
        <v>2614</v>
      </c>
      <c r="AE5" s="51" t="s">
        <v>2614</v>
      </c>
      <c r="AF5" s="51" t="s">
        <v>2614</v>
      </c>
      <c r="AG5" s="51" t="s">
        <v>2614</v>
      </c>
      <c r="AH5" s="51" t="s">
        <v>2614</v>
      </c>
      <c r="AI5" s="51" t="s">
        <v>2614</v>
      </c>
      <c r="AJ5" s="51" t="s">
        <v>2614</v>
      </c>
      <c r="AK5" s="51" t="s">
        <v>2614</v>
      </c>
      <c r="AL5" s="51" t="s">
        <v>2614</v>
      </c>
      <c r="AM5" s="51" t="s">
        <v>2614</v>
      </c>
      <c r="AN5" s="51" t="s">
        <v>2614</v>
      </c>
      <c r="AO5" s="51" t="s">
        <v>2614</v>
      </c>
      <c r="AP5" s="51" t="s">
        <v>2614</v>
      </c>
      <c r="AQ5" s="51" t="s">
        <v>2614</v>
      </c>
      <c r="AR5" s="51" t="s">
        <v>2614</v>
      </c>
      <c r="AS5" s="51" t="s">
        <v>2614</v>
      </c>
      <c r="AT5" s="51" t="s">
        <v>2614</v>
      </c>
      <c r="AU5" s="51" t="s">
        <v>2614</v>
      </c>
      <c r="AV5" s="51" t="s">
        <v>2614</v>
      </c>
      <c r="AW5" s="51" t="s">
        <v>2614</v>
      </c>
      <c r="AX5" s="51">
        <v>0</v>
      </c>
      <c r="AY5" s="51" t="s">
        <v>2614</v>
      </c>
    </row>
    <row r="6" spans="2:51" x14ac:dyDescent="0.25">
      <c r="B6" s="121" t="s">
        <v>2560</v>
      </c>
      <c r="C6" s="51">
        <v>4</v>
      </c>
      <c r="D6" s="51" t="s">
        <v>2618</v>
      </c>
      <c r="E6" s="119" t="s">
        <v>2614</v>
      </c>
      <c r="F6" s="51">
        <v>2</v>
      </c>
      <c r="G6" s="119" t="s">
        <v>2614</v>
      </c>
      <c r="H6" s="51"/>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c r="V6" s="51" t="s">
        <v>2614</v>
      </c>
      <c r="W6" s="51" t="s">
        <v>2614</v>
      </c>
      <c r="X6" s="51" t="s">
        <v>2614</v>
      </c>
      <c r="Y6" s="51" t="s">
        <v>2614</v>
      </c>
      <c r="Z6" s="51" t="s">
        <v>2614</v>
      </c>
      <c r="AA6" s="51" t="s">
        <v>2614</v>
      </c>
      <c r="AB6" s="51" t="s">
        <v>2614</v>
      </c>
      <c r="AC6" s="51" t="s">
        <v>2614</v>
      </c>
      <c r="AD6" s="51" t="s">
        <v>2614</v>
      </c>
      <c r="AE6" s="51" t="s">
        <v>2614</v>
      </c>
      <c r="AF6" s="51" t="s">
        <v>2614</v>
      </c>
      <c r="AG6" s="51" t="s">
        <v>2614</v>
      </c>
      <c r="AH6" s="51" t="s">
        <v>2614</v>
      </c>
      <c r="AI6" s="51" t="s">
        <v>2614</v>
      </c>
      <c r="AJ6" s="51" t="s">
        <v>2614</v>
      </c>
      <c r="AK6" s="51" t="s">
        <v>2614</v>
      </c>
      <c r="AL6" s="51" t="s">
        <v>2614</v>
      </c>
      <c r="AM6" s="51" t="s">
        <v>2614</v>
      </c>
      <c r="AN6" s="51" t="s">
        <v>2614</v>
      </c>
      <c r="AO6" s="51" t="s">
        <v>2614</v>
      </c>
      <c r="AP6" s="51" t="s">
        <v>2614</v>
      </c>
      <c r="AQ6" s="51" t="s">
        <v>2614</v>
      </c>
      <c r="AR6" s="51" t="s">
        <v>2614</v>
      </c>
      <c r="AS6" s="51" t="s">
        <v>2614</v>
      </c>
      <c r="AT6" s="51" t="s">
        <v>2614</v>
      </c>
      <c r="AU6" s="51" t="s">
        <v>2614</v>
      </c>
      <c r="AV6" s="51" t="s">
        <v>2614</v>
      </c>
      <c r="AW6" s="51" t="s">
        <v>2614</v>
      </c>
      <c r="AX6" s="51" t="s">
        <v>2614</v>
      </c>
      <c r="AY6" s="51" t="s">
        <v>2614</v>
      </c>
    </row>
    <row r="7" spans="2:51" x14ac:dyDescent="0.25">
      <c r="B7" s="51" t="s">
        <v>2562</v>
      </c>
      <c r="C7" s="51">
        <v>5</v>
      </c>
      <c r="D7" s="51" t="s">
        <v>2618</v>
      </c>
      <c r="E7" s="119" t="s">
        <v>2614</v>
      </c>
      <c r="F7" s="51">
        <v>2</v>
      </c>
      <c r="G7" s="119" t="s">
        <v>2614</v>
      </c>
      <c r="H7" s="51"/>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c r="X7" s="51" t="s">
        <v>2614</v>
      </c>
      <c r="Y7" s="51" t="s">
        <v>2614</v>
      </c>
      <c r="Z7" s="51" t="s">
        <v>2614</v>
      </c>
      <c r="AA7" s="51" t="s">
        <v>2614</v>
      </c>
      <c r="AB7" s="51" t="s">
        <v>2614</v>
      </c>
      <c r="AC7" s="51" t="s">
        <v>2614</v>
      </c>
      <c r="AD7" s="51" t="s">
        <v>2614</v>
      </c>
      <c r="AE7" s="51" t="s">
        <v>2614</v>
      </c>
      <c r="AF7" s="51" t="s">
        <v>2614</v>
      </c>
      <c r="AG7" s="51" t="s">
        <v>2614</v>
      </c>
      <c r="AH7" s="51" t="s">
        <v>2614</v>
      </c>
      <c r="AI7" s="51" t="s">
        <v>2614</v>
      </c>
      <c r="AJ7" s="51" t="s">
        <v>2614</v>
      </c>
      <c r="AK7" s="51" t="s">
        <v>2614</v>
      </c>
      <c r="AL7" s="51" t="s">
        <v>2614</v>
      </c>
      <c r="AM7" s="51" t="s">
        <v>2614</v>
      </c>
      <c r="AN7" s="51" t="s">
        <v>2614</v>
      </c>
      <c r="AO7" s="51" t="s">
        <v>2614</v>
      </c>
      <c r="AP7" s="51" t="s">
        <v>2614</v>
      </c>
      <c r="AQ7" s="51" t="s">
        <v>2614</v>
      </c>
      <c r="AR7" s="51" t="s">
        <v>2614</v>
      </c>
      <c r="AS7" s="51" t="s">
        <v>2614</v>
      </c>
      <c r="AT7" s="51" t="s">
        <v>2614</v>
      </c>
      <c r="AU7" s="51" t="s">
        <v>2614</v>
      </c>
      <c r="AV7" s="51" t="s">
        <v>2614</v>
      </c>
      <c r="AW7" s="51" t="s">
        <v>2614</v>
      </c>
      <c r="AX7" s="51" t="s">
        <v>2614</v>
      </c>
      <c r="AY7" s="51" t="s">
        <v>2614</v>
      </c>
    </row>
    <row r="8" spans="2:51" x14ac:dyDescent="0.25">
      <c r="B8" s="121" t="s">
        <v>2563</v>
      </c>
      <c r="C8" s="51">
        <v>6</v>
      </c>
      <c r="D8" s="51" t="s">
        <v>3272</v>
      </c>
      <c r="E8" s="119">
        <v>45485</v>
      </c>
      <c r="F8" s="51">
        <v>2</v>
      </c>
      <c r="G8" s="238" cm="1">
        <f t="array" ref="G8">SUMPRODUCT(--(I8:AY8&gt;0))/COUNTA(I8:AY8)</f>
        <v>1</v>
      </c>
      <c r="H8" s="51" t="s">
        <v>2616</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x14ac:dyDescent="0.25">
      <c r="B9" s="51" t="s">
        <v>2566</v>
      </c>
      <c r="C9" s="51">
        <v>7</v>
      </c>
      <c r="D9" s="51" t="s">
        <v>3273</v>
      </c>
      <c r="E9" s="119">
        <v>45485</v>
      </c>
      <c r="F9" s="51">
        <v>2</v>
      </c>
      <c r="G9" s="238" cm="1">
        <f t="array" ref="G9">SUMPRODUCT(--(I9:AY9&lt;=I26:AY26))/COUNTA(I26:AY26)</f>
        <v>1</v>
      </c>
      <c r="H9" s="51" t="s">
        <v>2616</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x14ac:dyDescent="0.25">
      <c r="B10" s="51" t="s">
        <v>2569</v>
      </c>
      <c r="C10" s="51">
        <v>8</v>
      </c>
      <c r="D10" s="51" t="s">
        <v>3274</v>
      </c>
      <c r="E10" s="119">
        <v>45485</v>
      </c>
      <c r="F10" s="51">
        <v>2</v>
      </c>
      <c r="G10" s="119" t="s">
        <v>2614</v>
      </c>
      <c r="H10" s="51" t="s">
        <v>2616</v>
      </c>
      <c r="I10" s="51">
        <v>31</v>
      </c>
      <c r="J10" s="51">
        <v>3.1101216902910999E+26</v>
      </c>
      <c r="K10" s="51" t="s">
        <v>3275</v>
      </c>
      <c r="L10" s="51">
        <v>11</v>
      </c>
      <c r="M10" s="51" t="s">
        <v>3208</v>
      </c>
      <c r="N10" s="119" t="e">
        <v>#N/A</v>
      </c>
      <c r="O10" s="51" t="e">
        <v>#N/A</v>
      </c>
      <c r="P10" s="119" t="e">
        <v>#N/A</v>
      </c>
      <c r="Q10" s="119" t="e">
        <v>#N/A</v>
      </c>
      <c r="R10" s="119">
        <v>35711</v>
      </c>
      <c r="S10" s="122">
        <v>39366</v>
      </c>
      <c r="T10" s="51">
        <v>978</v>
      </c>
      <c r="U10" s="51">
        <v>0</v>
      </c>
      <c r="V10" s="51" t="e">
        <v>#N/A</v>
      </c>
      <c r="W10" s="51" t="e">
        <v>#N/A</v>
      </c>
      <c r="X10" s="51" t="e">
        <v>#N/A</v>
      </c>
      <c r="Y10" s="51" t="e">
        <v>#N/A</v>
      </c>
      <c r="Z10" s="51" t="s">
        <v>2616</v>
      </c>
      <c r="AA10" s="51" t="s">
        <v>2616</v>
      </c>
      <c r="AB10" s="51" t="s">
        <v>2616</v>
      </c>
      <c r="AC10" s="122">
        <v>-8696880000</v>
      </c>
      <c r="AD10" s="51" t="s">
        <v>2616</v>
      </c>
      <c r="AE10" s="122">
        <v>-199340000</v>
      </c>
      <c r="AF10" s="51" t="s">
        <v>2616</v>
      </c>
      <c r="AG10" s="51" t="e">
        <v>#N/A</v>
      </c>
      <c r="AH10" s="51" t="e">
        <v>#N/A</v>
      </c>
      <c r="AI10" s="51" t="e">
        <v>#N/A</v>
      </c>
      <c r="AJ10" s="122" t="e">
        <v>#N/A</v>
      </c>
      <c r="AK10" s="51" t="e">
        <v>#N/A</v>
      </c>
      <c r="AL10" s="51" t="e">
        <v>#N/A</v>
      </c>
      <c r="AM10" s="51" t="e">
        <v>#N/A</v>
      </c>
      <c r="AN10" s="51" t="e">
        <v>#N/A</v>
      </c>
      <c r="AO10" s="51" t="e">
        <v>#N/A</v>
      </c>
      <c r="AP10" s="51" t="s">
        <v>3276</v>
      </c>
      <c r="AQ10" s="51" t="s">
        <v>2616</v>
      </c>
      <c r="AR10" s="51" t="s">
        <v>3276</v>
      </c>
      <c r="AS10" s="51" t="s">
        <v>2616</v>
      </c>
      <c r="AT10" s="51">
        <v>0</v>
      </c>
      <c r="AU10" s="51" t="s">
        <v>2696</v>
      </c>
      <c r="AV10" s="51" t="s">
        <v>3277</v>
      </c>
      <c r="AW10" s="51" t="s">
        <v>2850</v>
      </c>
      <c r="AX10" s="119">
        <v>45503</v>
      </c>
      <c r="AY10" s="51" t="s">
        <v>3278</v>
      </c>
    </row>
    <row r="11" spans="2:51" x14ac:dyDescent="0.25">
      <c r="B11" s="51" t="s">
        <v>2571</v>
      </c>
      <c r="C11" s="51">
        <v>9</v>
      </c>
      <c r="D11" s="51" t="s">
        <v>3279</v>
      </c>
      <c r="E11" s="119">
        <v>45485</v>
      </c>
      <c r="F11" s="51">
        <v>2</v>
      </c>
      <c r="G11" s="119" t="s">
        <v>2614</v>
      </c>
      <c r="H11" s="51" t="s">
        <v>2616</v>
      </c>
      <c r="I11" s="51">
        <v>31</v>
      </c>
      <c r="J11" s="51">
        <v>3.1101216902910999E+26</v>
      </c>
      <c r="K11" s="51"/>
      <c r="L11" s="51">
        <v>11</v>
      </c>
      <c r="M11" s="51" t="s">
        <v>3208</v>
      </c>
      <c r="N11" s="119"/>
      <c r="O11" s="51" t="e">
        <v>#N/A</v>
      </c>
      <c r="P11" s="51"/>
      <c r="Q11" s="51" t="e">
        <v>#N/A</v>
      </c>
      <c r="R11" s="119">
        <v>35711</v>
      </c>
      <c r="S11" s="119">
        <v>39366</v>
      </c>
      <c r="T11" s="51">
        <v>978</v>
      </c>
      <c r="U11" s="51">
        <v>0</v>
      </c>
      <c r="V11" s="51" t="e">
        <v>#N/A</v>
      </c>
      <c r="W11" s="51">
        <v>0</v>
      </c>
      <c r="X11" s="51" t="s">
        <v>3280</v>
      </c>
      <c r="Y11" s="51">
        <v>3</v>
      </c>
      <c r="Z11" s="51">
        <v>0</v>
      </c>
      <c r="AA11" s="51">
        <v>0</v>
      </c>
      <c r="AB11" s="122" t="s">
        <v>2616</v>
      </c>
      <c r="AC11" s="51" t="s">
        <v>3281</v>
      </c>
      <c r="AD11" s="122" t="s">
        <v>2616</v>
      </c>
      <c r="AE11" s="122">
        <v>-199340000</v>
      </c>
      <c r="AF11" s="51" t="s">
        <v>2616</v>
      </c>
      <c r="AG11" s="51" t="e">
        <v>#N/A</v>
      </c>
      <c r="AH11" s="51" t="s">
        <v>2616</v>
      </c>
      <c r="AI11" s="51" t="e">
        <v>#N/A</v>
      </c>
      <c r="AJ11" s="122">
        <v>5300000</v>
      </c>
      <c r="AK11" s="51" t="e">
        <v>#N/A</v>
      </c>
      <c r="AL11" s="51" t="s">
        <v>2616</v>
      </c>
      <c r="AM11" s="51" t="e">
        <v>#N/A</v>
      </c>
      <c r="AN11" s="51" t="s">
        <v>2616</v>
      </c>
      <c r="AO11" s="51">
        <v>1</v>
      </c>
      <c r="AP11" s="51" t="e">
        <v>#N/A</v>
      </c>
      <c r="AQ11" s="51" t="s">
        <v>3280</v>
      </c>
      <c r="AR11" s="51" t="e">
        <v>#N/A</v>
      </c>
      <c r="AS11" s="51" t="s">
        <v>3280</v>
      </c>
      <c r="AT11" s="51">
        <v>0</v>
      </c>
      <c r="AU11" s="51">
        <v>0</v>
      </c>
      <c r="AV11" s="51" t="s">
        <v>2634</v>
      </c>
      <c r="AW11" s="51" t="s">
        <v>2850</v>
      </c>
      <c r="AX11" s="119">
        <v>45503</v>
      </c>
      <c r="AY11" s="51" t="s">
        <v>3282</v>
      </c>
    </row>
    <row r="12" spans="2:51" x14ac:dyDescent="0.25">
      <c r="B12" s="121" t="s">
        <v>2573</v>
      </c>
      <c r="C12" s="51">
        <v>10</v>
      </c>
      <c r="D12" s="51" t="s">
        <v>3283</v>
      </c>
      <c r="E12" s="119">
        <v>45485</v>
      </c>
      <c r="F12" s="51">
        <v>2</v>
      </c>
      <c r="G12" s="119" t="s">
        <v>2614</v>
      </c>
      <c r="H12" s="51" t="s">
        <v>2616</v>
      </c>
      <c r="I12" s="51">
        <v>31</v>
      </c>
      <c r="J12" s="213">
        <v>5.1317900200110001E+27</v>
      </c>
      <c r="K12" s="51" t="s">
        <v>3275</v>
      </c>
      <c r="L12" s="51">
        <v>29</v>
      </c>
      <c r="M12" s="119" t="s">
        <v>3213</v>
      </c>
      <c r="N12" s="119">
        <v>31</v>
      </c>
      <c r="O12" s="122">
        <v>9.9999999999999903E+29</v>
      </c>
      <c r="P12" s="221">
        <v>31</v>
      </c>
      <c r="Q12" s="119">
        <v>5131790020011</v>
      </c>
      <c r="R12" s="119">
        <v>45504</v>
      </c>
      <c r="S12" s="181" t="s">
        <v>3284</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3276</v>
      </c>
      <c r="AQ12" s="122">
        <v>28000000</v>
      </c>
      <c r="AR12" s="51" t="s">
        <v>3276</v>
      </c>
      <c r="AS12" s="122">
        <v>28000000</v>
      </c>
      <c r="AT12" s="51">
        <v>1</v>
      </c>
      <c r="AU12" s="51" t="s">
        <v>3285</v>
      </c>
      <c r="AV12" s="51" t="s">
        <v>3286</v>
      </c>
      <c r="AW12" s="51" t="s">
        <v>2638</v>
      </c>
      <c r="AX12" s="119">
        <v>45503</v>
      </c>
      <c r="AY12" s="51" t="s">
        <v>3278</v>
      </c>
    </row>
    <row r="13" spans="2:51" x14ac:dyDescent="0.25">
      <c r="B13" s="51" t="s">
        <v>2575</v>
      </c>
      <c r="C13" s="51">
        <v>11</v>
      </c>
      <c r="D13" s="51" t="s">
        <v>3287</v>
      </c>
      <c r="E13" s="119">
        <v>45485</v>
      </c>
      <c r="F13" s="51">
        <v>2</v>
      </c>
      <c r="G13" s="119" t="s">
        <v>2614</v>
      </c>
      <c r="H13" s="51" t="s">
        <v>2616</v>
      </c>
      <c r="I13" s="51">
        <v>31</v>
      </c>
      <c r="J13" s="213">
        <v>5.1317900200110001E+27</v>
      </c>
      <c r="K13" s="51"/>
      <c r="L13" s="51">
        <v>29</v>
      </c>
      <c r="M13" s="119" t="s">
        <v>3213</v>
      </c>
      <c r="N13" s="119">
        <v>31</v>
      </c>
      <c r="O13" s="122">
        <v>9.9999999999999903E+29</v>
      </c>
      <c r="P13" s="119">
        <v>31</v>
      </c>
      <c r="Q13" s="51">
        <v>5131790020011</v>
      </c>
      <c r="R13" s="119">
        <v>45504</v>
      </c>
      <c r="S13" s="119">
        <v>2958465</v>
      </c>
      <c r="T13" s="51" t="s">
        <v>2765</v>
      </c>
      <c r="U13" s="51">
        <v>1</v>
      </c>
      <c r="V13" s="51">
        <v>3</v>
      </c>
      <c r="W13" s="51">
        <v>93</v>
      </c>
      <c r="X13" s="51" t="s">
        <v>3288</v>
      </c>
      <c r="Y13" s="122">
        <v>36</v>
      </c>
      <c r="Z13" s="119" t="s">
        <v>3289</v>
      </c>
      <c r="AA13" s="119" t="s">
        <v>3289</v>
      </c>
      <c r="AB13" s="122">
        <v>494947820000</v>
      </c>
      <c r="AC13" s="51" t="s">
        <v>3290</v>
      </c>
      <c r="AD13" s="122">
        <v>9727520000</v>
      </c>
      <c r="AE13" s="122">
        <v>67544900000</v>
      </c>
      <c r="AF13" s="122">
        <v>20457260000</v>
      </c>
      <c r="AG13" s="119" t="e">
        <v>#N/A</v>
      </c>
      <c r="AH13" s="122">
        <v>2096690000</v>
      </c>
      <c r="AI13" s="122">
        <v>45488</v>
      </c>
      <c r="AJ13" s="122">
        <v>2093980000</v>
      </c>
      <c r="AK13" s="51" t="e">
        <v>#N/A</v>
      </c>
      <c r="AL13" s="122" t="s">
        <v>2616</v>
      </c>
      <c r="AM13" s="119">
        <v>45504</v>
      </c>
      <c r="AN13" s="122">
        <v>2093980000</v>
      </c>
      <c r="AO13" s="122">
        <v>36</v>
      </c>
      <c r="AP13" s="51" t="s">
        <v>3276</v>
      </c>
      <c r="AQ13" s="51" t="s">
        <v>3291</v>
      </c>
      <c r="AR13" s="51" t="s">
        <v>3276</v>
      </c>
      <c r="AS13" s="51" t="s">
        <v>3291</v>
      </c>
      <c r="AT13" s="51">
        <v>1</v>
      </c>
      <c r="AU13" s="51" t="s">
        <v>3292</v>
      </c>
      <c r="AV13" s="51" t="s">
        <v>2634</v>
      </c>
      <c r="AW13" s="51" t="s">
        <v>2638</v>
      </c>
      <c r="AX13" s="119">
        <v>45503</v>
      </c>
      <c r="AY13" s="51" t="s">
        <v>3293</v>
      </c>
    </row>
    <row r="14" spans="2:51" x14ac:dyDescent="0.25">
      <c r="B14" s="51" t="s">
        <v>2577</v>
      </c>
      <c r="C14" s="51">
        <v>12</v>
      </c>
      <c r="D14" s="51" t="s">
        <v>3294</v>
      </c>
      <c r="E14" s="119">
        <v>45485</v>
      </c>
      <c r="F14" s="51">
        <v>2</v>
      </c>
      <c r="G14" s="238" t="s">
        <v>3295</v>
      </c>
      <c r="H14" s="51" t="s">
        <v>2616</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x14ac:dyDescent="0.25">
      <c r="B15" s="51" t="s">
        <v>2579</v>
      </c>
      <c r="C15" s="51">
        <v>13</v>
      </c>
      <c r="D15" s="51" t="s">
        <v>3296</v>
      </c>
      <c r="E15" s="119">
        <v>45485</v>
      </c>
      <c r="F15" s="51">
        <v>2</v>
      </c>
      <c r="G15" s="238">
        <v>1</v>
      </c>
      <c r="H15" s="51" t="s">
        <v>2616</v>
      </c>
      <c r="I15" s="51" t="s">
        <v>2614</v>
      </c>
      <c r="J15" s="51" t="s">
        <v>2614</v>
      </c>
      <c r="K15" s="51" t="s">
        <v>2614</v>
      </c>
      <c r="L15" s="51" t="s">
        <v>2614</v>
      </c>
      <c r="M15" s="51" t="s">
        <v>2614</v>
      </c>
      <c r="N15" s="51" t="s">
        <v>2614</v>
      </c>
      <c r="O15" s="51" t="s">
        <v>2614</v>
      </c>
      <c r="P15" s="51" t="s">
        <v>2614</v>
      </c>
      <c r="Q15" s="51" t="s">
        <v>2614</v>
      </c>
      <c r="R15" s="51">
        <v>0</v>
      </c>
      <c r="S15" s="51">
        <v>0</v>
      </c>
      <c r="T15" s="51" t="s">
        <v>2614</v>
      </c>
      <c r="U15" s="51" t="s">
        <v>2614</v>
      </c>
      <c r="V15" s="51" t="s">
        <v>2614</v>
      </c>
      <c r="W15" s="51" t="s">
        <v>2614</v>
      </c>
      <c r="X15" s="51" t="s">
        <v>2614</v>
      </c>
      <c r="Y15" s="51" t="s">
        <v>2614</v>
      </c>
      <c r="Z15" s="51" t="s">
        <v>2614</v>
      </c>
      <c r="AA15" s="51" t="s">
        <v>2614</v>
      </c>
      <c r="AB15" s="51" t="s">
        <v>2614</v>
      </c>
      <c r="AC15" s="51" t="s">
        <v>2614</v>
      </c>
      <c r="AD15" s="51" t="s">
        <v>2614</v>
      </c>
      <c r="AE15" s="51" t="s">
        <v>2614</v>
      </c>
      <c r="AF15" s="51" t="s">
        <v>2614</v>
      </c>
      <c r="AG15" s="51">
        <v>0</v>
      </c>
      <c r="AH15" s="51" t="s">
        <v>2614</v>
      </c>
      <c r="AI15" s="51">
        <v>0</v>
      </c>
      <c r="AJ15" s="51" t="s">
        <v>2614</v>
      </c>
      <c r="AK15" s="51">
        <v>0</v>
      </c>
      <c r="AL15" s="51" t="s">
        <v>2614</v>
      </c>
      <c r="AM15" s="51">
        <v>0</v>
      </c>
      <c r="AN15" s="51" t="s">
        <v>2614</v>
      </c>
      <c r="AO15" s="51" t="s">
        <v>2614</v>
      </c>
      <c r="AP15" s="51" t="s">
        <v>2614</v>
      </c>
      <c r="AQ15" s="51" t="s">
        <v>2614</v>
      </c>
      <c r="AR15" s="51" t="s">
        <v>2614</v>
      </c>
      <c r="AS15" s="51" t="s">
        <v>2614</v>
      </c>
      <c r="AT15" s="51" t="s">
        <v>2614</v>
      </c>
      <c r="AU15" s="51" t="s">
        <v>2614</v>
      </c>
      <c r="AV15" s="51" t="s">
        <v>2614</v>
      </c>
      <c r="AW15" s="51" t="s">
        <v>2614</v>
      </c>
      <c r="AX15" s="51">
        <v>0</v>
      </c>
      <c r="AY15" s="51" t="s">
        <v>2614</v>
      </c>
    </row>
    <row r="16" spans="2:51" x14ac:dyDescent="0.25">
      <c r="B16" s="51" t="s">
        <v>2581</v>
      </c>
      <c r="C16" s="51">
        <v>14</v>
      </c>
      <c r="D16" s="51" t="s">
        <v>3297</v>
      </c>
      <c r="E16" s="119">
        <v>45485</v>
      </c>
      <c r="F16" s="51">
        <v>2</v>
      </c>
      <c r="G16" s="238">
        <v>1</v>
      </c>
      <c r="H16" s="51" t="s">
        <v>2616</v>
      </c>
      <c r="I16" s="51" t="s">
        <v>2614</v>
      </c>
      <c r="J16" s="51" t="s">
        <v>2614</v>
      </c>
      <c r="K16" s="51">
        <v>0</v>
      </c>
      <c r="L16" s="51">
        <v>0</v>
      </c>
      <c r="M16" s="51">
        <v>0</v>
      </c>
      <c r="N16" s="51">
        <v>0</v>
      </c>
      <c r="O16" s="51">
        <v>0</v>
      </c>
      <c r="P16" s="51">
        <v>0</v>
      </c>
      <c r="Q16" s="51">
        <v>0</v>
      </c>
      <c r="R16" s="51">
        <v>0</v>
      </c>
      <c r="S16" s="51">
        <v>0</v>
      </c>
      <c r="T16" s="51">
        <v>0</v>
      </c>
      <c r="U16" s="51" t="s">
        <v>2614</v>
      </c>
      <c r="V16" s="51">
        <v>0</v>
      </c>
      <c r="W16" s="51" t="s">
        <v>2614</v>
      </c>
      <c r="X16" s="51" t="s">
        <v>2614</v>
      </c>
      <c r="Y16" s="51" t="s">
        <v>2614</v>
      </c>
      <c r="Z16" s="51" t="s">
        <v>2614</v>
      </c>
      <c r="AA16" s="51" t="s">
        <v>2614</v>
      </c>
      <c r="AB16" s="51" t="s">
        <v>2614</v>
      </c>
      <c r="AC16" s="51" t="s">
        <v>2614</v>
      </c>
      <c r="AD16" s="51" t="s">
        <v>2614</v>
      </c>
      <c r="AE16" s="51" t="s">
        <v>2614</v>
      </c>
      <c r="AF16" s="51" t="s">
        <v>2614</v>
      </c>
      <c r="AG16" s="51">
        <v>0</v>
      </c>
      <c r="AH16" s="51" t="s">
        <v>2614</v>
      </c>
      <c r="AI16" s="51">
        <v>0</v>
      </c>
      <c r="AJ16" s="51" t="s">
        <v>2614</v>
      </c>
      <c r="AK16" s="51">
        <v>0</v>
      </c>
      <c r="AL16" s="51" t="s">
        <v>2614</v>
      </c>
      <c r="AM16" s="51">
        <v>0</v>
      </c>
      <c r="AN16" s="51" t="s">
        <v>2614</v>
      </c>
      <c r="AO16" s="51" t="s">
        <v>2614</v>
      </c>
      <c r="AP16" s="51">
        <v>0</v>
      </c>
      <c r="AQ16" s="51" t="s">
        <v>2614</v>
      </c>
      <c r="AR16" s="51">
        <v>0</v>
      </c>
      <c r="AS16" s="51" t="s">
        <v>2614</v>
      </c>
      <c r="AT16" s="51" t="s">
        <v>2614</v>
      </c>
      <c r="AU16" s="51">
        <v>0</v>
      </c>
      <c r="AV16" s="51">
        <v>0</v>
      </c>
      <c r="AW16" s="51">
        <v>0</v>
      </c>
      <c r="AX16" s="51" t="s">
        <v>2614</v>
      </c>
      <c r="AY16" s="51" t="s">
        <v>2614</v>
      </c>
    </row>
    <row r="17" spans="2:51" x14ac:dyDescent="0.25">
      <c r="B17" s="51" t="s">
        <v>2583</v>
      </c>
      <c r="C17" s="51">
        <v>15</v>
      </c>
      <c r="D17" s="51" t="s">
        <v>3298</v>
      </c>
      <c r="E17" s="119">
        <v>45485</v>
      </c>
      <c r="F17" s="51">
        <v>2</v>
      </c>
      <c r="G17" s="238" t="s">
        <v>3268</v>
      </c>
      <c r="H17" s="210" t="s">
        <v>3299</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c r="V17" s="51" t="s">
        <v>2614</v>
      </c>
      <c r="W17" s="51" t="s">
        <v>2614</v>
      </c>
      <c r="X17" s="51" t="s">
        <v>2614</v>
      </c>
      <c r="Y17" s="51" t="s">
        <v>2614</v>
      </c>
      <c r="Z17" s="51" t="s">
        <v>2614</v>
      </c>
      <c r="AA17" s="51" t="s">
        <v>2614</v>
      </c>
      <c r="AB17" s="51" t="s">
        <v>2614</v>
      </c>
      <c r="AC17" s="51" t="s">
        <v>2614</v>
      </c>
      <c r="AD17" s="51" t="s">
        <v>2614</v>
      </c>
      <c r="AE17" s="51" t="s">
        <v>2614</v>
      </c>
      <c r="AF17" s="51" t="s">
        <v>2614</v>
      </c>
      <c r="AG17" s="51" t="s">
        <v>2614</v>
      </c>
      <c r="AH17" s="51" t="s">
        <v>2614</v>
      </c>
      <c r="AI17" s="51" t="s">
        <v>2614</v>
      </c>
      <c r="AJ17" s="51" t="s">
        <v>2614</v>
      </c>
      <c r="AK17" s="51" t="s">
        <v>2614</v>
      </c>
      <c r="AL17" s="51" t="s">
        <v>2614</v>
      </c>
      <c r="AM17" s="51" t="s">
        <v>2614</v>
      </c>
      <c r="AN17" s="51" t="s">
        <v>2614</v>
      </c>
      <c r="AO17" s="51" t="s">
        <v>2614</v>
      </c>
      <c r="AP17" s="51" t="s">
        <v>2614</v>
      </c>
      <c r="AQ17" s="51" t="s">
        <v>2614</v>
      </c>
      <c r="AR17" s="51" t="s">
        <v>2614</v>
      </c>
      <c r="AS17" s="51" t="s">
        <v>2614</v>
      </c>
      <c r="AT17" s="51" t="s">
        <v>2614</v>
      </c>
      <c r="AU17" s="51" t="s">
        <v>2614</v>
      </c>
      <c r="AV17" s="51" t="s">
        <v>2614</v>
      </c>
      <c r="AW17" s="51" t="s">
        <v>2614</v>
      </c>
      <c r="AX17" s="51" t="s">
        <v>2614</v>
      </c>
      <c r="AY17" s="51" t="s">
        <v>2614</v>
      </c>
    </row>
    <row r="18" spans="2:51" x14ac:dyDescent="0.25">
      <c r="B18" s="51" t="s">
        <v>2585</v>
      </c>
      <c r="C18" s="51">
        <v>16</v>
      </c>
      <c r="D18" s="51" t="s">
        <v>3298</v>
      </c>
      <c r="E18" s="119">
        <v>45485</v>
      </c>
      <c r="F18" s="51">
        <v>2</v>
      </c>
      <c r="G18" s="238">
        <v>1</v>
      </c>
      <c r="H18" s="51" t="s">
        <v>2616</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c r="X18" s="51" t="s">
        <v>2614</v>
      </c>
      <c r="Y18" s="51" t="s">
        <v>2614</v>
      </c>
      <c r="Z18" s="51" t="s">
        <v>2614</v>
      </c>
      <c r="AA18" s="51" t="s">
        <v>2614</v>
      </c>
      <c r="AB18" s="51" t="s">
        <v>2614</v>
      </c>
      <c r="AC18" s="51" t="s">
        <v>2614</v>
      </c>
      <c r="AD18" s="51" t="s">
        <v>2614</v>
      </c>
      <c r="AE18" s="51" t="s">
        <v>2614</v>
      </c>
      <c r="AF18" s="51" t="s">
        <v>2614</v>
      </c>
      <c r="AG18" s="51" t="s">
        <v>2614</v>
      </c>
      <c r="AH18" s="51" t="s">
        <v>2614</v>
      </c>
      <c r="AI18" s="51" t="s">
        <v>2614</v>
      </c>
      <c r="AJ18" s="51" t="s">
        <v>2614</v>
      </c>
      <c r="AK18" s="51" t="s">
        <v>2614</v>
      </c>
      <c r="AL18" s="51" t="s">
        <v>2614</v>
      </c>
      <c r="AM18" s="51" t="s">
        <v>2614</v>
      </c>
      <c r="AN18" s="51" t="s">
        <v>2614</v>
      </c>
      <c r="AO18" s="51" t="s">
        <v>2614</v>
      </c>
      <c r="AP18" s="51" t="s">
        <v>2614</v>
      </c>
      <c r="AQ18" s="51" t="s">
        <v>2614</v>
      </c>
      <c r="AR18" s="51" t="s">
        <v>2614</v>
      </c>
      <c r="AS18" s="51" t="s">
        <v>2614</v>
      </c>
      <c r="AT18" s="51" t="s">
        <v>2614</v>
      </c>
      <c r="AU18" s="51" t="s">
        <v>2614</v>
      </c>
      <c r="AV18" s="51" t="s">
        <v>2614</v>
      </c>
      <c r="AW18" s="51" t="s">
        <v>2614</v>
      </c>
      <c r="AX18" s="51" t="s">
        <v>2614</v>
      </c>
      <c r="AY18" s="51" t="s">
        <v>2614</v>
      </c>
    </row>
    <row r="19" spans="2:51" x14ac:dyDescent="0.25">
      <c r="B19" s="242" t="s">
        <v>3300</v>
      </c>
      <c r="C19" s="51">
        <v>19</v>
      </c>
      <c r="D19" s="51" t="s">
        <v>3301</v>
      </c>
      <c r="E19" s="119">
        <v>45485</v>
      </c>
      <c r="F19" s="51">
        <v>2</v>
      </c>
      <c r="G19" s="238" cm="1">
        <f t="array" ref="G19">SUM(IF(I2:AY2 = I24:AY24, 1, 0))/ COUNTA(I2:AY2)</f>
        <v>1</v>
      </c>
      <c r="H19" s="51" t="s">
        <v>2616</v>
      </c>
      <c r="I19" s="51" t="s">
        <v>2654</v>
      </c>
      <c r="J19" s="51" t="s">
        <v>2654</v>
      </c>
      <c r="K19" s="51" t="s">
        <v>2654</v>
      </c>
      <c r="L19" s="51" t="s">
        <v>2654</v>
      </c>
      <c r="M19" s="51" t="s">
        <v>2654</v>
      </c>
      <c r="N19" s="51" t="s">
        <v>2654</v>
      </c>
      <c r="O19" s="51" t="s">
        <v>2654</v>
      </c>
      <c r="P19" s="51" t="s">
        <v>2654</v>
      </c>
      <c r="Q19" s="51" t="s">
        <v>2654</v>
      </c>
      <c r="R19" s="51" t="s">
        <v>2654</v>
      </c>
      <c r="S19" s="51" t="s">
        <v>2654</v>
      </c>
      <c r="T19" s="51" t="s">
        <v>2654</v>
      </c>
      <c r="U19" s="51" t="s">
        <v>2654</v>
      </c>
      <c r="V19" s="51" t="s">
        <v>2654</v>
      </c>
      <c r="W19" s="51" t="s">
        <v>2654</v>
      </c>
      <c r="X19" s="51" t="s">
        <v>2654</v>
      </c>
      <c r="Y19" s="51" t="s">
        <v>2654</v>
      </c>
      <c r="Z19" s="51" t="s">
        <v>2655</v>
      </c>
      <c r="AA19" s="51" t="s">
        <v>2655</v>
      </c>
      <c r="AB19" s="51" t="s">
        <v>2655</v>
      </c>
      <c r="AC19" s="51" t="s">
        <v>2655</v>
      </c>
      <c r="AD19" s="51" t="s">
        <v>2655</v>
      </c>
      <c r="AE19" s="51" t="s">
        <v>2655</v>
      </c>
      <c r="AF19" s="51" t="s">
        <v>2655</v>
      </c>
      <c r="AG19" s="51" t="s">
        <v>2654</v>
      </c>
      <c r="AH19" s="51" t="s">
        <v>2654</v>
      </c>
      <c r="AI19" s="51" t="s">
        <v>2654</v>
      </c>
      <c r="AJ19" s="51" t="s">
        <v>2654</v>
      </c>
      <c r="AK19" s="51" t="s">
        <v>2654</v>
      </c>
      <c r="AL19" s="51" t="s">
        <v>2654</v>
      </c>
      <c r="AM19" s="51" t="s">
        <v>2654</v>
      </c>
      <c r="AN19" s="51" t="s">
        <v>2654</v>
      </c>
      <c r="AO19" s="51" t="s">
        <v>2654</v>
      </c>
      <c r="AP19" s="51" t="s">
        <v>2654</v>
      </c>
      <c r="AQ19" s="51" t="s">
        <v>2655</v>
      </c>
      <c r="AR19" s="51" t="s">
        <v>2654</v>
      </c>
      <c r="AS19" s="51" t="s">
        <v>2655</v>
      </c>
      <c r="AT19" s="51" t="s">
        <v>2654</v>
      </c>
      <c r="AU19" s="51" t="s">
        <v>2654</v>
      </c>
      <c r="AV19" s="51" t="s">
        <v>2654</v>
      </c>
      <c r="AW19" s="51" t="s">
        <v>2654</v>
      </c>
      <c r="AX19" s="51" t="s">
        <v>2654</v>
      </c>
      <c r="AY19" s="51" t="s">
        <v>2656</v>
      </c>
    </row>
    <row r="20" spans="2:51" x14ac:dyDescent="0.25">
      <c r="B20" s="51" t="s">
        <v>2594</v>
      </c>
      <c r="C20" s="51">
        <v>20</v>
      </c>
      <c r="D20" s="51" t="s">
        <v>3302</v>
      </c>
      <c r="E20" s="119">
        <v>45503</v>
      </c>
      <c r="F20" s="51">
        <v>2</v>
      </c>
      <c r="G20" s="221" cm="1">
        <f t="array" ref="G20">SUM(IF(I2:AY2 = I24:AY24, 1, 0))/ COUNTA(I2:AY2)</f>
        <v>1</v>
      </c>
      <c r="H20" s="51" t="s">
        <v>2614</v>
      </c>
      <c r="I20" s="51" t="s">
        <v>2614</v>
      </c>
      <c r="J20" s="51" t="s">
        <v>2614</v>
      </c>
      <c r="K20" s="51" t="s">
        <v>2614</v>
      </c>
      <c r="L20" s="51" t="s">
        <v>2614</v>
      </c>
      <c r="M20" s="51" t="s">
        <v>2614</v>
      </c>
      <c r="N20" s="51" t="s">
        <v>2614</v>
      </c>
      <c r="O20" s="51" t="s">
        <v>2614</v>
      </c>
      <c r="P20" s="51" t="s">
        <v>2614</v>
      </c>
      <c r="Q20" s="51" t="s">
        <v>2614</v>
      </c>
      <c r="R20" s="51" t="s">
        <v>2614</v>
      </c>
      <c r="S20" s="51" t="s">
        <v>2614</v>
      </c>
      <c r="T20" s="51" t="s">
        <v>2614</v>
      </c>
      <c r="U20" s="51" t="s">
        <v>2614</v>
      </c>
      <c r="V20" s="51" t="s">
        <v>2614</v>
      </c>
      <c r="W20" s="51" t="s">
        <v>2614</v>
      </c>
      <c r="X20" s="51" t="s">
        <v>2614</v>
      </c>
      <c r="Y20" s="51" t="s">
        <v>2614</v>
      </c>
      <c r="Z20" s="51" t="s">
        <v>2614</v>
      </c>
      <c r="AA20" s="51" t="s">
        <v>2614</v>
      </c>
      <c r="AB20" s="51" t="s">
        <v>2614</v>
      </c>
      <c r="AC20" s="51" t="s">
        <v>2614</v>
      </c>
      <c r="AD20" s="51" t="s">
        <v>2614</v>
      </c>
      <c r="AE20" s="51" t="s">
        <v>2614</v>
      </c>
      <c r="AF20" s="51" t="s">
        <v>2614</v>
      </c>
      <c r="AG20" s="51" t="s">
        <v>2614</v>
      </c>
      <c r="AH20" s="51" t="s">
        <v>2614</v>
      </c>
      <c r="AI20" s="51" t="s">
        <v>2614</v>
      </c>
      <c r="AJ20" s="51" t="s">
        <v>2614</v>
      </c>
      <c r="AK20" s="51" t="s">
        <v>2614</v>
      </c>
      <c r="AL20" s="51" t="s">
        <v>2614</v>
      </c>
      <c r="AM20" s="51" t="s">
        <v>2614</v>
      </c>
      <c r="AN20" s="51" t="s">
        <v>2614</v>
      </c>
      <c r="AO20" s="51" t="s">
        <v>2614</v>
      </c>
      <c r="AP20" s="51" t="s">
        <v>2614</v>
      </c>
      <c r="AQ20" s="51" t="s">
        <v>2614</v>
      </c>
      <c r="AR20" s="51" t="s">
        <v>2614</v>
      </c>
      <c r="AS20" s="51" t="s">
        <v>2614</v>
      </c>
      <c r="AT20" s="51" t="s">
        <v>2614</v>
      </c>
      <c r="AU20" s="51" t="s">
        <v>2614</v>
      </c>
      <c r="AV20" s="51" t="s">
        <v>2614</v>
      </c>
      <c r="AW20" s="51" t="s">
        <v>2614</v>
      </c>
      <c r="AX20" s="51" t="s">
        <v>2614</v>
      </c>
      <c r="AY20" s="51" t="s">
        <v>2614</v>
      </c>
    </row>
    <row r="21" spans="2:51" x14ac:dyDescent="0.25">
      <c r="B21" s="51" t="s">
        <v>2597</v>
      </c>
      <c r="C21" s="51">
        <v>21</v>
      </c>
      <c r="D21" s="51" t="s">
        <v>3302</v>
      </c>
      <c r="E21" s="119">
        <v>45503</v>
      </c>
      <c r="F21" s="51">
        <v>2</v>
      </c>
      <c r="G21" s="221" cm="1">
        <f t="array" ref="G21">SUM(IF(IF(G3:G20="null",1,G3:G20)=1,1,0))/COUNT(IF(G3:G20="null",1,1))</f>
        <v>0.83333333333333337</v>
      </c>
      <c r="H21" s="51" t="s">
        <v>2614</v>
      </c>
      <c r="I21" s="51" t="s">
        <v>2614</v>
      </c>
      <c r="J21" s="51" t="s">
        <v>2614</v>
      </c>
      <c r="K21" s="51" t="s">
        <v>2614</v>
      </c>
      <c r="L21" s="51" t="s">
        <v>2614</v>
      </c>
      <c r="M21" s="51" t="s">
        <v>2614</v>
      </c>
      <c r="N21" s="51" t="s">
        <v>2614</v>
      </c>
      <c r="O21" s="51" t="s">
        <v>2614</v>
      </c>
      <c r="P21" s="51" t="s">
        <v>2614</v>
      </c>
      <c r="Q21" s="51" t="s">
        <v>2614</v>
      </c>
      <c r="R21" s="51" t="s">
        <v>2614</v>
      </c>
      <c r="S21" s="51" t="s">
        <v>2614</v>
      </c>
      <c r="T21" s="51" t="s">
        <v>2614</v>
      </c>
      <c r="U21" s="51" t="s">
        <v>2614</v>
      </c>
      <c r="V21" s="51" t="s">
        <v>2614</v>
      </c>
      <c r="W21" s="51" t="s">
        <v>2614</v>
      </c>
      <c r="X21" s="51" t="s">
        <v>2614</v>
      </c>
      <c r="Y21" s="51" t="s">
        <v>2614</v>
      </c>
      <c r="Z21" s="51" t="s">
        <v>2614</v>
      </c>
      <c r="AA21" s="51" t="s">
        <v>2614</v>
      </c>
      <c r="AB21" s="51" t="s">
        <v>2614</v>
      </c>
      <c r="AC21" s="51" t="s">
        <v>2614</v>
      </c>
      <c r="AD21" s="51" t="s">
        <v>2614</v>
      </c>
      <c r="AE21" s="51" t="s">
        <v>2614</v>
      </c>
      <c r="AF21" s="51" t="s">
        <v>2614</v>
      </c>
      <c r="AG21" s="51" t="s">
        <v>2614</v>
      </c>
      <c r="AH21" s="51" t="s">
        <v>2614</v>
      </c>
      <c r="AI21" s="51" t="s">
        <v>2614</v>
      </c>
      <c r="AJ21" s="51" t="s">
        <v>2614</v>
      </c>
      <c r="AK21" s="51" t="s">
        <v>2614</v>
      </c>
      <c r="AL21" s="51" t="s">
        <v>2614</v>
      </c>
      <c r="AM21" s="51" t="s">
        <v>2614</v>
      </c>
      <c r="AN21" s="51" t="s">
        <v>2614</v>
      </c>
      <c r="AO21" s="51" t="s">
        <v>2614</v>
      </c>
      <c r="AP21" s="51" t="s">
        <v>2614</v>
      </c>
      <c r="AQ21" s="51" t="s">
        <v>2614</v>
      </c>
      <c r="AR21" s="51" t="s">
        <v>2614</v>
      </c>
      <c r="AS21" s="51" t="s">
        <v>2614</v>
      </c>
      <c r="AT21" s="51" t="s">
        <v>2614</v>
      </c>
      <c r="AU21" s="51" t="s">
        <v>2614</v>
      </c>
      <c r="AV21" s="51" t="s">
        <v>2614</v>
      </c>
      <c r="AW21" s="51" t="s">
        <v>2614</v>
      </c>
      <c r="AX21" s="51" t="s">
        <v>2614</v>
      </c>
      <c r="AY21" s="51" t="s">
        <v>2614</v>
      </c>
    </row>
    <row r="22" spans="2:51" x14ac:dyDescent="0.25">
      <c r="B22" s="51"/>
      <c r="C22" s="51"/>
      <c r="D22" s="51"/>
      <c r="E22" s="119"/>
      <c r="F22" s="51"/>
      <c r="G22" s="51"/>
      <c r="H22" s="51"/>
      <c r="I22" s="51"/>
      <c r="J22" s="51"/>
      <c r="K22" s="51"/>
      <c r="L22" s="51"/>
      <c r="M22" s="51"/>
      <c r="N22" s="51"/>
      <c r="O22" s="51"/>
      <c r="P22" s="51"/>
      <c r="Q22" s="51"/>
      <c r="R22" s="51"/>
      <c r="S22" s="51"/>
    </row>
    <row r="23" spans="2:51" x14ac:dyDescent="0.25">
      <c r="B23" s="154" t="s">
        <v>2657</v>
      </c>
    </row>
    <row r="24" spans="2:51" x14ac:dyDescent="0.25">
      <c r="B24" s="152" t="s">
        <v>2658</v>
      </c>
      <c r="C24" s="153" t="s">
        <v>2601</v>
      </c>
      <c r="D24" s="153" t="s">
        <v>2602</v>
      </c>
      <c r="E24" s="153" t="s">
        <v>2603</v>
      </c>
      <c r="F24" s="153" t="s">
        <v>2604</v>
      </c>
      <c r="G24" s="153" t="s">
        <v>2605</v>
      </c>
      <c r="H24" s="153" t="s">
        <v>2606</v>
      </c>
      <c r="I24" s="153" t="str" cm="1">
        <f t="array" ref="I24:AY24">TRANSPOSE(_xlfn.SORTBY(_xlfn._xlws.FILTER(Table3[NOME FÍSICO CAMPO],Table3[NOME FÍSICO TABELA]="credit_card_account_plan"), _xlfn._xlws.FILTER(Table3[ORDEM], Table3[NOME FÍSICO TABELA]="credit_card_account_plan"), 1))</f>
        <v>bank_id</v>
      </c>
      <c r="J24" s="153" t="str">
        <v>contract_id</v>
      </c>
      <c r="K24" s="153" t="str">
        <v>product_family_id</v>
      </c>
      <c r="L24" s="153" t="str">
        <v>product_id</v>
      </c>
      <c r="M24" s="153" t="str">
        <v>subproduct_id</v>
      </c>
      <c r="N24" s="153" t="str">
        <v>main_current_account_bank_id</v>
      </c>
      <c r="O24" s="153" t="str">
        <v>main_current_account_contract_id</v>
      </c>
      <c r="P24" s="153" t="str">
        <v>main_card_account_bank_id</v>
      </c>
      <c r="Q24" s="153" t="str">
        <v>main_card_account_contract_id</v>
      </c>
      <c r="R24" s="153" t="str">
        <v>opening_date</v>
      </c>
      <c r="S24" s="153" t="str">
        <v>current_maturity_date</v>
      </c>
      <c r="T24" s="153" t="str">
        <v>currency_code</v>
      </c>
      <c r="U24" s="153" t="str">
        <v>litigation_indicator</v>
      </c>
      <c r="V24" s="153" t="str">
        <v>repayment_type_code</v>
      </c>
      <c r="W24" s="153" t="str">
        <v>fixed_repayment_amount</v>
      </c>
      <c r="X24" s="153" t="str">
        <v>repayment_rate</v>
      </c>
      <c r="Y24" s="153" t="str">
        <v>total_number_installments</v>
      </c>
      <c r="Z24" s="153" t="str">
        <v>initial_authorized_amount</v>
      </c>
      <c r="AA24" s="153" t="str">
        <v>current_authorized_amount</v>
      </c>
      <c r="AB24" s="153" t="str">
        <v>current_available_amount</v>
      </c>
      <c r="AC24" s="153" t="str">
        <v>current_outstanding_balance</v>
      </c>
      <c r="AD24" s="153" t="str">
        <v>cur_outsng_principal_balance</v>
      </c>
      <c r="AE24" s="153" t="str">
        <v>current_overdue_principal_bal</v>
      </c>
      <c r="AF24" s="153" t="str">
        <v>cur_debt_litigation_princip_bal</v>
      </c>
      <c r="AG24" s="153" t="str">
        <v>next_regular_amort_due_date</v>
      </c>
      <c r="AH24" s="153" t="str">
        <v>next_regular_amort_principal_amt</v>
      </c>
      <c r="AI24" s="153" t="str">
        <v>last_settled_amort_due_date</v>
      </c>
      <c r="AJ24" s="153" t="str">
        <v>last_settled_amort_princip_amt</v>
      </c>
      <c r="AK24" s="153" t="str">
        <v>last_early_amort_pay_date</v>
      </c>
      <c r="AL24" s="153" t="str">
        <v>last_early_amort_principal_amt</v>
      </c>
      <c r="AM24" s="153" t="str">
        <v>last_regular_amort_pay_date</v>
      </c>
      <c r="AN24" s="153" t="str">
        <v>last_regular_amort_princip_amt</v>
      </c>
      <c r="AO24" s="153" t="str">
        <v>last_regular_amort_install_num</v>
      </c>
      <c r="AP24" s="153" t="str">
        <v>init_active_rate_type_code</v>
      </c>
      <c r="AQ24" s="153" t="str">
        <v>initial_active_interest_rate</v>
      </c>
      <c r="AR24" s="153" t="str">
        <v>cur_active_rate_type_code</v>
      </c>
      <c r="AS24" s="153" t="str">
        <v>current_active_interest_rate</v>
      </c>
      <c r="AT24" s="153" t="str">
        <v>revolving_plan_indicator</v>
      </c>
      <c r="AU24" s="153" t="str">
        <v>contract_status_code</v>
      </c>
      <c r="AV24" s="153" t="str">
        <v>contract_opening_channel_code</v>
      </c>
      <c r="AW24" s="153" t="str">
        <v>source_code</v>
      </c>
      <c r="AX24" s="153" t="str">
        <v>data_date_part</v>
      </c>
      <c r="AY24" s="150" t="str">
        <v>data_timestamp_part</v>
      </c>
    </row>
    <row r="25" spans="2:51" x14ac:dyDescent="0.25">
      <c r="B25" s="131" t="s">
        <v>2659</v>
      </c>
      <c r="C25" s="134">
        <v>21</v>
      </c>
      <c r="D25" s="128" t="s">
        <v>2660</v>
      </c>
      <c r="E25" s="127" t="s">
        <v>2661</v>
      </c>
      <c r="F25" s="127" t="s">
        <v>351</v>
      </c>
      <c r="G25" s="127" t="s">
        <v>351</v>
      </c>
      <c r="H25" s="127" t="s">
        <v>351</v>
      </c>
      <c r="I25" s="127" t="str" cm="1">
        <f t="array" ref="I25:AY26">TRANSPOSE(_xlfn.SORTBY(_xlfn._xlws.FILTER(IF(Table3[FORMATO]:Table3[COMP_ CAMPO]&lt;&gt;"",Table3[FORMATO]:Table3[COMP_ CAMPO],9999999),Table3[NOME FÍSICO TABELA]="credit_card_account_plan"), _xlfn._xlws.FILTER(Table3[ORDEM], Table3[NOME FÍSICO TABELA]="credit_card_account_plan"),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STRING</v>
      </c>
      <c r="U25" s="127" t="str">
        <v>STRING</v>
      </c>
      <c r="V25" s="127" t="str">
        <v>STRING</v>
      </c>
      <c r="W25" s="127" t="str">
        <v>STRING</v>
      </c>
      <c r="X25" s="127" t="str">
        <v>STRING</v>
      </c>
      <c r="Y25" s="127" t="str">
        <v>STRING</v>
      </c>
      <c r="Z25" s="127" t="str">
        <v>DECIMAL</v>
      </c>
      <c r="AA25" s="127" t="str">
        <v>DECIMAL</v>
      </c>
      <c r="AB25" s="127" t="str">
        <v>DECIMAL</v>
      </c>
      <c r="AC25" s="127" t="str">
        <v>DECIMAL</v>
      </c>
      <c r="AD25" s="127" t="str">
        <v>DECIMAL</v>
      </c>
      <c r="AE25" s="127" t="str">
        <v>DECIMAL</v>
      </c>
      <c r="AF25" s="127" t="str">
        <v>DECIMAL</v>
      </c>
      <c r="AG25" s="300" t="str">
        <v>STRING</v>
      </c>
      <c r="AH25" s="300" t="str">
        <v>STRING</v>
      </c>
      <c r="AI25" s="127" t="str">
        <v>STRING</v>
      </c>
      <c r="AJ25" s="127" t="str">
        <v>STRING</v>
      </c>
      <c r="AK25" s="127" t="str">
        <v>STRING</v>
      </c>
      <c r="AL25" s="127" t="str">
        <v>STRING</v>
      </c>
      <c r="AM25" s="127" t="str">
        <v>STRING</v>
      </c>
      <c r="AN25" s="127" t="str">
        <v>STRING</v>
      </c>
      <c r="AO25" s="127" t="str">
        <v>STRING</v>
      </c>
      <c r="AP25" s="127" t="str">
        <v>STRING</v>
      </c>
      <c r="AQ25" s="127" t="str">
        <v>DECIMAL</v>
      </c>
      <c r="AR25" s="127" t="str">
        <v>STRING</v>
      </c>
      <c r="AS25" s="127" t="str">
        <v>DECIMAL</v>
      </c>
      <c r="AT25" s="127" t="str">
        <v>STRING</v>
      </c>
      <c r="AU25" s="127" t="str">
        <v>STRING</v>
      </c>
      <c r="AV25" s="127" t="str">
        <v>STRING</v>
      </c>
      <c r="AW25" s="127" t="str">
        <v>STRING</v>
      </c>
      <c r="AX25" s="127" t="str">
        <v>STRING</v>
      </c>
      <c r="AY25" s="133" t="str">
        <v>TIMESTAMP</v>
      </c>
    </row>
    <row r="26" spans="2:51" x14ac:dyDescent="0.25">
      <c r="B26" s="131" t="s">
        <v>2662</v>
      </c>
      <c r="C26" s="134">
        <v>7</v>
      </c>
      <c r="D26" s="128" t="s">
        <v>2660</v>
      </c>
      <c r="E26" s="127" t="s">
        <v>2661</v>
      </c>
      <c r="F26" s="129" t="s">
        <v>351</v>
      </c>
      <c r="G26" s="129" t="s">
        <v>351</v>
      </c>
      <c r="H26" s="129" t="s">
        <v>351</v>
      </c>
      <c r="I26" s="175">
        <v>4</v>
      </c>
      <c r="J26" s="175">
        <v>30</v>
      </c>
      <c r="K26" s="175">
        <v>20</v>
      </c>
      <c r="L26" s="175">
        <v>20</v>
      </c>
      <c r="M26" s="175">
        <v>20</v>
      </c>
      <c r="N26" s="175">
        <v>4</v>
      </c>
      <c r="O26" s="175">
        <v>30</v>
      </c>
      <c r="P26" s="175">
        <v>4</v>
      </c>
      <c r="Q26" s="175">
        <v>30</v>
      </c>
      <c r="R26" s="175">
        <v>10</v>
      </c>
      <c r="S26" s="175">
        <v>10</v>
      </c>
      <c r="T26" s="175">
        <v>3</v>
      </c>
      <c r="U26" s="175">
        <v>9999999</v>
      </c>
      <c r="V26" s="175">
        <v>4</v>
      </c>
      <c r="W26" s="175">
        <v>9999999</v>
      </c>
      <c r="X26" s="175">
        <v>9999999</v>
      </c>
      <c r="Y26" s="175">
        <v>5</v>
      </c>
      <c r="Z26" s="175">
        <v>23</v>
      </c>
      <c r="AA26" s="175">
        <v>23</v>
      </c>
      <c r="AB26" s="175">
        <v>23</v>
      </c>
      <c r="AC26" s="175">
        <v>23</v>
      </c>
      <c r="AD26" s="175">
        <v>23</v>
      </c>
      <c r="AE26" s="175">
        <v>23</v>
      </c>
      <c r="AF26" s="175">
        <v>23</v>
      </c>
      <c r="AG26" s="175">
        <v>10</v>
      </c>
      <c r="AH26" s="175">
        <v>9999999</v>
      </c>
      <c r="AI26" s="175">
        <v>10</v>
      </c>
      <c r="AJ26" s="175">
        <v>9999999</v>
      </c>
      <c r="AK26" s="175">
        <v>10</v>
      </c>
      <c r="AL26" s="175">
        <v>9999999</v>
      </c>
      <c r="AM26" s="175">
        <v>10</v>
      </c>
      <c r="AN26" s="175">
        <v>9999999</v>
      </c>
      <c r="AO26" s="175">
        <v>9999999</v>
      </c>
      <c r="AP26" s="175">
        <v>9999999</v>
      </c>
      <c r="AQ26" s="175">
        <v>23</v>
      </c>
      <c r="AR26" s="175">
        <v>4</v>
      </c>
      <c r="AS26" s="175">
        <v>23</v>
      </c>
      <c r="AT26" s="175">
        <v>9999999</v>
      </c>
      <c r="AU26" s="175">
        <v>3</v>
      </c>
      <c r="AV26" s="175">
        <v>3</v>
      </c>
      <c r="AW26" s="175">
        <v>2</v>
      </c>
      <c r="AX26" s="175">
        <v>10</v>
      </c>
      <c r="AY26" s="176">
        <v>23</v>
      </c>
    </row>
    <row r="28" spans="2:51" x14ac:dyDescent="0.25">
      <c r="B28" s="164" t="s">
        <v>2663</v>
      </c>
    </row>
    <row r="29" spans="2:51" x14ac:dyDescent="0.25">
      <c r="B29" s="158" t="s">
        <v>2664</v>
      </c>
      <c r="C29" s="158" t="s">
        <v>2665</v>
      </c>
      <c r="D29" s="159" t="s">
        <v>2666</v>
      </c>
      <c r="E29" s="158" t="s">
        <v>2667</v>
      </c>
      <c r="F29" s="158" t="s">
        <v>2668</v>
      </c>
    </row>
    <row r="30" spans="2:51" ht="60" x14ac:dyDescent="0.25">
      <c r="B30" s="161" t="s">
        <v>2734</v>
      </c>
      <c r="C30" s="162" t="s">
        <v>2753</v>
      </c>
      <c r="D30" s="303" t="s">
        <v>3303</v>
      </c>
      <c r="E30" s="304" t="s">
        <v>3304</v>
      </c>
      <c r="F30" s="217" t="s">
        <v>2741</v>
      </c>
      <c r="H30" s="301"/>
      <c r="J30" t="s">
        <v>3305</v>
      </c>
      <c r="K30">
        <v>20748</v>
      </c>
    </row>
    <row r="31" spans="2:51" ht="45" x14ac:dyDescent="0.25">
      <c r="B31" s="161" t="s">
        <v>2734</v>
      </c>
      <c r="C31" s="162" t="s">
        <v>582</v>
      </c>
      <c r="D31" s="303" t="s">
        <v>3306</v>
      </c>
      <c r="E31" s="304" t="s">
        <v>3307</v>
      </c>
      <c r="F31" s="217" t="s">
        <v>2672</v>
      </c>
      <c r="H31" s="302"/>
      <c r="J31" t="s">
        <v>3308</v>
      </c>
      <c r="K31">
        <v>760260</v>
      </c>
      <c r="L31">
        <f>K31+K30</f>
        <v>781008</v>
      </c>
    </row>
    <row r="32" spans="2:51" ht="30" x14ac:dyDescent="0.25">
      <c r="B32" s="161" t="s">
        <v>2734</v>
      </c>
      <c r="C32" s="139" t="s">
        <v>603</v>
      </c>
      <c r="D32" s="305" t="s">
        <v>3309</v>
      </c>
      <c r="E32" s="170" t="s">
        <v>3310</v>
      </c>
      <c r="F32" s="160" t="s">
        <v>2672</v>
      </c>
      <c r="J32" t="s">
        <v>3311</v>
      </c>
      <c r="K32">
        <v>8461</v>
      </c>
      <c r="L32">
        <f>K31+K32</f>
        <v>768721</v>
      </c>
      <c r="M32">
        <f>L31+K32</f>
        <v>789469</v>
      </c>
    </row>
    <row r="33" spans="2:12" ht="75" x14ac:dyDescent="0.25">
      <c r="B33" s="161" t="s">
        <v>2734</v>
      </c>
      <c r="C33" s="139" t="s">
        <v>1296</v>
      </c>
      <c r="D33" s="305" t="s">
        <v>3312</v>
      </c>
      <c r="E33" s="170" t="s">
        <v>3313</v>
      </c>
      <c r="F33" s="217" t="s">
        <v>2676</v>
      </c>
      <c r="J33" t="s">
        <v>3314</v>
      </c>
      <c r="K33">
        <v>26</v>
      </c>
    </row>
    <row r="34" spans="2:12" ht="105" x14ac:dyDescent="0.25">
      <c r="B34" s="161" t="s">
        <v>2734</v>
      </c>
      <c r="C34" s="139" t="s">
        <v>1303</v>
      </c>
      <c r="D34" s="305" t="s">
        <v>3315</v>
      </c>
      <c r="E34" s="170" t="s">
        <v>3316</v>
      </c>
      <c r="F34" s="160" t="s">
        <v>2676</v>
      </c>
      <c r="J34" t="s">
        <v>3317</v>
      </c>
      <c r="K34">
        <v>478</v>
      </c>
      <c r="L34">
        <f>K32+K34</f>
        <v>8939</v>
      </c>
    </row>
    <row r="35" spans="2:12" ht="75" x14ac:dyDescent="0.25">
      <c r="B35" s="135" t="s">
        <v>2734</v>
      </c>
      <c r="C35" s="139" t="s">
        <v>1309</v>
      </c>
      <c r="D35" s="305" t="s">
        <v>3318</v>
      </c>
      <c r="E35" s="170" t="s">
        <v>3319</v>
      </c>
      <c r="F35" s="160" t="s">
        <v>2744</v>
      </c>
      <c r="K35">
        <f>SUM(K30:K34)</f>
        <v>789973</v>
      </c>
    </row>
    <row r="36" spans="2:12" ht="75" x14ac:dyDescent="0.25">
      <c r="B36" s="135" t="s">
        <v>2734</v>
      </c>
      <c r="C36" s="139" t="s">
        <v>1313</v>
      </c>
      <c r="D36" s="305" t="s">
        <v>3318</v>
      </c>
      <c r="E36" s="170" t="s">
        <v>3320</v>
      </c>
      <c r="F36" s="160" t="s">
        <v>2744</v>
      </c>
    </row>
    <row r="37" spans="2:12" ht="120" x14ac:dyDescent="0.25">
      <c r="B37" s="135" t="s">
        <v>2734</v>
      </c>
      <c r="C37" s="139" t="s">
        <v>408</v>
      </c>
      <c r="D37" s="305" t="s">
        <v>3321</v>
      </c>
      <c r="E37" s="170" t="s">
        <v>3322</v>
      </c>
      <c r="F37" s="160" t="s">
        <v>2676</v>
      </c>
    </row>
    <row r="38" spans="2:12" ht="120" x14ac:dyDescent="0.25">
      <c r="B38" s="135" t="s">
        <v>2734</v>
      </c>
      <c r="C38" s="139" t="s">
        <v>417</v>
      </c>
      <c r="D38" s="305" t="s">
        <v>3321</v>
      </c>
      <c r="E38" s="170" t="s">
        <v>3322</v>
      </c>
      <c r="F38" s="160" t="s">
        <v>3323</v>
      </c>
    </row>
    <row r="39" spans="2:12" ht="45" x14ac:dyDescent="0.25">
      <c r="B39" s="142" t="s">
        <v>2734</v>
      </c>
      <c r="C39" s="141" t="s">
        <v>1325</v>
      </c>
      <c r="D39" s="306" t="s">
        <v>3324</v>
      </c>
      <c r="E39" s="170" t="s">
        <v>3325</v>
      </c>
      <c r="F39" s="160" t="s">
        <v>2672</v>
      </c>
    </row>
    <row r="40" spans="2:12" ht="90" x14ac:dyDescent="0.25">
      <c r="B40" s="135" t="s">
        <v>2734</v>
      </c>
      <c r="C40" s="139" t="s">
        <v>1331</v>
      </c>
      <c r="D40" s="306" t="s">
        <v>3326</v>
      </c>
      <c r="E40" s="170" t="s">
        <v>3327</v>
      </c>
      <c r="F40" s="217" t="s">
        <v>2676</v>
      </c>
    </row>
    <row r="41" spans="2:12" ht="90" x14ac:dyDescent="0.25">
      <c r="B41" s="135" t="s">
        <v>2734</v>
      </c>
      <c r="C41" s="139" t="s">
        <v>1337</v>
      </c>
      <c r="D41" s="306" t="s">
        <v>3328</v>
      </c>
      <c r="E41" s="170" t="s">
        <v>3327</v>
      </c>
      <c r="F41" s="217" t="s">
        <v>2676</v>
      </c>
    </row>
    <row r="42" spans="2:12" ht="90" x14ac:dyDescent="0.25">
      <c r="B42" s="135" t="s">
        <v>2734</v>
      </c>
      <c r="C42" s="139" t="s">
        <v>1345</v>
      </c>
      <c r="D42" s="306" t="s">
        <v>3329</v>
      </c>
      <c r="E42" s="170" t="s">
        <v>3327</v>
      </c>
      <c r="F42" s="217" t="s">
        <v>2676</v>
      </c>
    </row>
    <row r="43" spans="2:12" ht="90" x14ac:dyDescent="0.25">
      <c r="B43" s="135" t="s">
        <v>2734</v>
      </c>
      <c r="C43" s="139" t="s">
        <v>665</v>
      </c>
      <c r="D43" s="306" t="s">
        <v>3330</v>
      </c>
      <c r="E43" s="170" t="s">
        <v>3327</v>
      </c>
      <c r="F43" s="217" t="s">
        <v>2676</v>
      </c>
    </row>
    <row r="44" spans="2:12" ht="120" x14ac:dyDescent="0.25">
      <c r="B44" s="161" t="s">
        <v>2734</v>
      </c>
      <c r="C44" s="162" t="s">
        <v>312</v>
      </c>
      <c r="D44" s="307" t="s">
        <v>3331</v>
      </c>
      <c r="E44" s="171" t="s">
        <v>3332</v>
      </c>
      <c r="F44" s="217" t="s">
        <v>2741</v>
      </c>
    </row>
    <row r="45" spans="2:12" ht="30" x14ac:dyDescent="0.25">
      <c r="B45" s="135" t="s">
        <v>2677</v>
      </c>
      <c r="C45" s="139" t="s">
        <v>2834</v>
      </c>
      <c r="D45" s="147" t="s">
        <v>3333</v>
      </c>
      <c r="E45" s="170" t="s">
        <v>3334</v>
      </c>
      <c r="F45" s="217" t="s">
        <v>2741</v>
      </c>
    </row>
    <row r="46" spans="2:12" ht="90" x14ac:dyDescent="0.25">
      <c r="B46" s="161" t="s">
        <v>2681</v>
      </c>
      <c r="C46" s="139" t="s">
        <v>2834</v>
      </c>
      <c r="D46" s="307" t="s">
        <v>3335</v>
      </c>
      <c r="E46" s="171" t="s">
        <v>3336</v>
      </c>
      <c r="F46" s="217" t="s">
        <v>3337</v>
      </c>
    </row>
    <row r="49" spans="11:11" x14ac:dyDescent="0.25">
      <c r="K49" s="50"/>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3283-DA22-4580-A521-67C8B9FB9511}">
  <sheetPr>
    <tabColor theme="7" tint="0.79998168889431442"/>
  </sheetPr>
  <dimension ref="B1:BB56"/>
  <sheetViews>
    <sheetView showGridLines="0" topLeftCell="A42" workbookViewId="0">
      <selection activeCell="B43" sqref="B43"/>
    </sheetView>
  </sheetViews>
  <sheetFormatPr defaultRowHeight="15" x14ac:dyDescent="0.2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x14ac:dyDescent="0.25"/>
    <row r="2" spans="2:54" x14ac:dyDescent="0.25">
      <c r="B2" s="98" t="s">
        <v>2658</v>
      </c>
      <c r="C2" s="98" t="s">
        <v>2601</v>
      </c>
      <c r="D2" s="98" t="s">
        <v>2602</v>
      </c>
      <c r="E2" s="98" t="s">
        <v>3338</v>
      </c>
      <c r="F2" s="98" t="s">
        <v>2604</v>
      </c>
      <c r="G2" s="98" t="s">
        <v>2605</v>
      </c>
      <c r="H2" s="98" t="s">
        <v>2606</v>
      </c>
      <c r="I2" s="98" t="s">
        <v>138</v>
      </c>
      <c r="J2" s="98" t="s">
        <v>153</v>
      </c>
      <c r="K2" s="98" t="s">
        <v>165</v>
      </c>
      <c r="L2" s="98" t="s">
        <v>173</v>
      </c>
      <c r="M2" s="98" t="s">
        <v>185</v>
      </c>
      <c r="N2" s="98" t="s">
        <v>194</v>
      </c>
      <c r="O2" s="98" t="s">
        <v>204</v>
      </c>
      <c r="P2" s="98" t="s">
        <v>215</v>
      </c>
      <c r="Q2" s="98" t="s">
        <v>227</v>
      </c>
      <c r="R2" s="98" t="s">
        <v>239</v>
      </c>
      <c r="S2" s="98" t="s">
        <v>254</v>
      </c>
      <c r="T2" s="98" t="s">
        <v>1905</v>
      </c>
      <c r="U2" s="98" t="s">
        <v>2046</v>
      </c>
      <c r="V2" s="98" t="s">
        <v>273</v>
      </c>
      <c r="W2" s="98" t="s">
        <v>884</v>
      </c>
      <c r="X2" s="98" t="s">
        <v>582</v>
      </c>
      <c r="Y2" s="98" t="s">
        <v>282</v>
      </c>
      <c r="Z2" s="98" t="s">
        <v>292</v>
      </c>
      <c r="AA2" s="98" t="s">
        <v>603</v>
      </c>
      <c r="AB2" s="98" t="s">
        <v>1289</v>
      </c>
      <c r="AC2" s="98" t="s">
        <v>2066</v>
      </c>
      <c r="AD2" s="98" t="s">
        <v>1296</v>
      </c>
      <c r="AE2" s="98" t="s">
        <v>1303</v>
      </c>
      <c r="AF2" s="98" t="s">
        <v>1309</v>
      </c>
      <c r="AG2" s="98" t="s">
        <v>1313</v>
      </c>
      <c r="AH2" s="98" t="s">
        <v>408</v>
      </c>
      <c r="AI2" s="98" t="s">
        <v>417</v>
      </c>
      <c r="AJ2" s="98" t="s">
        <v>1325</v>
      </c>
      <c r="AK2" s="98" t="s">
        <v>2084</v>
      </c>
      <c r="AL2" s="98" t="s">
        <v>2090</v>
      </c>
      <c r="AM2" s="98" t="s">
        <v>1688</v>
      </c>
      <c r="AN2" s="98" t="s">
        <v>1695</v>
      </c>
      <c r="AO2" s="98" t="s">
        <v>1701</v>
      </c>
      <c r="AP2" s="98" t="s">
        <v>1337</v>
      </c>
      <c r="AQ2" s="98" t="s">
        <v>2104</v>
      </c>
      <c r="AR2" s="98" t="s">
        <v>1345</v>
      </c>
      <c r="AS2" s="98" t="s">
        <v>640</v>
      </c>
      <c r="AT2" s="98" t="s">
        <v>649</v>
      </c>
      <c r="AU2" s="98" t="s">
        <v>658</v>
      </c>
      <c r="AV2" s="98" t="s">
        <v>665</v>
      </c>
      <c r="AW2" s="98" t="s">
        <v>2109</v>
      </c>
      <c r="AX2" s="98" t="s">
        <v>302</v>
      </c>
      <c r="AY2" s="98" t="s">
        <v>312</v>
      </c>
      <c r="AZ2" s="98" t="s">
        <v>323</v>
      </c>
      <c r="BA2" s="98" t="s">
        <v>330</v>
      </c>
      <c r="BB2" s="98" t="s">
        <v>337</v>
      </c>
    </row>
    <row r="3" spans="2:54" x14ac:dyDescent="0.25">
      <c r="B3" s="51" t="s">
        <v>2554</v>
      </c>
      <c r="C3" s="51">
        <v>1</v>
      </c>
      <c r="D3" s="51" t="s">
        <v>3339</v>
      </c>
      <c r="E3" s="119">
        <v>45492</v>
      </c>
      <c r="F3" s="51">
        <v>4</v>
      </c>
      <c r="G3" s="238">
        <v>1</v>
      </c>
      <c r="H3" s="51">
        <v>994671</v>
      </c>
      <c r="I3" s="51" t="s">
        <v>2614</v>
      </c>
      <c r="J3" s="51" t="s">
        <v>2614</v>
      </c>
      <c r="K3" s="51" t="s">
        <v>2614</v>
      </c>
      <c r="L3" s="51" t="s">
        <v>2614</v>
      </c>
      <c r="M3" s="51" t="s">
        <v>2614</v>
      </c>
      <c r="N3" s="51" t="s">
        <v>2614</v>
      </c>
      <c r="O3" s="51" t="s">
        <v>2614</v>
      </c>
      <c r="P3" s="51" t="s">
        <v>2614</v>
      </c>
      <c r="Q3" s="51" t="s">
        <v>2614</v>
      </c>
      <c r="R3" s="51" t="s">
        <v>2614</v>
      </c>
      <c r="S3" s="51" t="s">
        <v>2614</v>
      </c>
      <c r="T3" s="51" t="s">
        <v>2614</v>
      </c>
      <c r="U3" s="51" t="s">
        <v>2614</v>
      </c>
      <c r="V3" s="51" t="s">
        <v>2614</v>
      </c>
      <c r="W3" s="51" t="s">
        <v>2614</v>
      </c>
      <c r="X3" s="51" t="s">
        <v>2614</v>
      </c>
      <c r="Y3" s="51" t="s">
        <v>2614</v>
      </c>
      <c r="Z3" s="51" t="s">
        <v>2614</v>
      </c>
      <c r="AA3" s="51" t="s">
        <v>2614</v>
      </c>
      <c r="AB3" s="51" t="s">
        <v>2614</v>
      </c>
      <c r="AC3" s="51" t="s">
        <v>2614</v>
      </c>
      <c r="AD3" s="51" t="s">
        <v>2614</v>
      </c>
      <c r="AE3" s="51" t="s">
        <v>2614</v>
      </c>
      <c r="AF3" s="51" t="s">
        <v>2614</v>
      </c>
      <c r="AG3" s="51" t="s">
        <v>2614</v>
      </c>
      <c r="AH3" s="51" t="s">
        <v>2614</v>
      </c>
      <c r="AI3" s="51" t="s">
        <v>2614</v>
      </c>
      <c r="AJ3" s="51" t="s">
        <v>2614</v>
      </c>
      <c r="AK3" s="51" t="s">
        <v>2614</v>
      </c>
      <c r="AL3" s="51" t="s">
        <v>2614</v>
      </c>
      <c r="AM3" s="51" t="s">
        <v>2614</v>
      </c>
      <c r="AN3" s="51" t="s">
        <v>2614</v>
      </c>
      <c r="AO3" s="51" t="s">
        <v>2614</v>
      </c>
      <c r="AP3" s="51" t="s">
        <v>2614</v>
      </c>
      <c r="AQ3" s="51" t="s">
        <v>2614</v>
      </c>
      <c r="AR3" s="51" t="s">
        <v>2614</v>
      </c>
      <c r="AS3" s="51" t="s">
        <v>2614</v>
      </c>
      <c r="AT3" s="51" t="s">
        <v>2614</v>
      </c>
      <c r="AU3" s="51" t="s">
        <v>2614</v>
      </c>
      <c r="AV3" s="51" t="s">
        <v>2614</v>
      </c>
      <c r="AW3" s="51" t="s">
        <v>2614</v>
      </c>
      <c r="AX3" s="51" t="s">
        <v>2614</v>
      </c>
      <c r="AY3" s="51" t="s">
        <v>2614</v>
      </c>
      <c r="AZ3" s="51" t="s">
        <v>2614</v>
      </c>
      <c r="BA3" s="51" t="s">
        <v>2614</v>
      </c>
      <c r="BB3" s="51" t="s">
        <v>2614</v>
      </c>
    </row>
    <row r="4" spans="2:54" x14ac:dyDescent="0.25">
      <c r="B4" s="51" t="s">
        <v>2556</v>
      </c>
      <c r="C4" s="51">
        <v>2</v>
      </c>
      <c r="D4" s="51" t="s">
        <v>3340</v>
      </c>
      <c r="E4" s="119">
        <v>45492</v>
      </c>
      <c r="F4" s="51">
        <v>4</v>
      </c>
      <c r="G4" s="238">
        <v>1</v>
      </c>
      <c r="H4" s="51">
        <v>0</v>
      </c>
      <c r="I4" s="51" t="s">
        <v>2614</v>
      </c>
      <c r="J4" s="51" t="s">
        <v>2614</v>
      </c>
      <c r="K4" s="51" t="s">
        <v>2614</v>
      </c>
      <c r="L4" s="51" t="s">
        <v>2614</v>
      </c>
      <c r="M4" s="51" t="s">
        <v>2614</v>
      </c>
      <c r="N4" s="51" t="s">
        <v>2614</v>
      </c>
      <c r="O4" s="51" t="s">
        <v>2614</v>
      </c>
      <c r="P4" s="51" t="s">
        <v>2614</v>
      </c>
      <c r="Q4" s="51" t="s">
        <v>2614</v>
      </c>
      <c r="R4" s="51" t="s">
        <v>2614</v>
      </c>
      <c r="S4" s="51" t="s">
        <v>2614</v>
      </c>
      <c r="T4" s="51" t="s">
        <v>2614</v>
      </c>
      <c r="U4" s="51" t="s">
        <v>2614</v>
      </c>
      <c r="V4" s="51" t="s">
        <v>2614</v>
      </c>
      <c r="W4" s="51" t="s">
        <v>2614</v>
      </c>
      <c r="X4" s="51" t="s">
        <v>2614</v>
      </c>
      <c r="Y4" s="51" t="s">
        <v>2614</v>
      </c>
      <c r="Z4" s="51" t="s">
        <v>2614</v>
      </c>
      <c r="AA4" s="51" t="s">
        <v>2614</v>
      </c>
      <c r="AB4" s="51" t="s">
        <v>2614</v>
      </c>
      <c r="AC4" s="51" t="s">
        <v>2614</v>
      </c>
      <c r="AD4" s="51" t="s">
        <v>2614</v>
      </c>
      <c r="AE4" s="51" t="s">
        <v>2614</v>
      </c>
      <c r="AF4" s="51" t="s">
        <v>2614</v>
      </c>
      <c r="AG4" s="51" t="s">
        <v>2614</v>
      </c>
      <c r="AH4" s="51" t="s">
        <v>2614</v>
      </c>
      <c r="AI4" s="51" t="s">
        <v>2614</v>
      </c>
      <c r="AJ4" s="51" t="s">
        <v>2614</v>
      </c>
      <c r="AK4" s="51" t="s">
        <v>2614</v>
      </c>
      <c r="AL4" s="51" t="s">
        <v>2614</v>
      </c>
      <c r="AM4" s="51" t="s">
        <v>2614</v>
      </c>
      <c r="AN4" s="51" t="s">
        <v>2614</v>
      </c>
      <c r="AO4" s="51" t="s">
        <v>2614</v>
      </c>
      <c r="AP4" s="51" t="s">
        <v>2614</v>
      </c>
      <c r="AQ4" s="51" t="s">
        <v>2614</v>
      </c>
      <c r="AR4" s="51" t="s">
        <v>2614</v>
      </c>
      <c r="AS4" s="51" t="s">
        <v>2614</v>
      </c>
      <c r="AT4" s="51" t="s">
        <v>2614</v>
      </c>
      <c r="AU4" s="51" t="s">
        <v>2614</v>
      </c>
      <c r="AV4" s="51" t="s">
        <v>2614</v>
      </c>
      <c r="AW4" s="51" t="s">
        <v>2614</v>
      </c>
      <c r="AX4" s="51" t="s">
        <v>2614</v>
      </c>
      <c r="AY4" s="51" t="s">
        <v>2614</v>
      </c>
      <c r="AZ4" s="51" t="s">
        <v>2614</v>
      </c>
      <c r="BA4" s="51" t="s">
        <v>2614</v>
      </c>
      <c r="BB4" s="51" t="s">
        <v>2614</v>
      </c>
    </row>
    <row r="5" spans="2:54" x14ac:dyDescent="0.25">
      <c r="B5" s="51" t="s">
        <v>2558</v>
      </c>
      <c r="C5" s="51">
        <v>3</v>
      </c>
      <c r="D5" s="51" t="s">
        <v>3341</v>
      </c>
      <c r="E5" s="119">
        <v>45492</v>
      </c>
      <c r="F5" s="51">
        <v>4</v>
      </c>
      <c r="G5" s="238">
        <v>1</v>
      </c>
      <c r="H5" s="51">
        <v>0</v>
      </c>
      <c r="I5" s="51">
        <v>0</v>
      </c>
      <c r="J5" s="51">
        <v>0</v>
      </c>
      <c r="K5" s="51" t="s">
        <v>2614</v>
      </c>
      <c r="L5" s="51" t="s">
        <v>2614</v>
      </c>
      <c r="M5" s="51" t="s">
        <v>2614</v>
      </c>
      <c r="N5" s="51" t="s">
        <v>2614</v>
      </c>
      <c r="O5" s="51" t="s">
        <v>2614</v>
      </c>
      <c r="P5" s="51" t="s">
        <v>2614</v>
      </c>
      <c r="Q5" s="51" t="s">
        <v>2614</v>
      </c>
      <c r="R5" s="51" t="s">
        <v>2614</v>
      </c>
      <c r="S5" s="51" t="s">
        <v>2614</v>
      </c>
      <c r="T5" s="51" t="s">
        <v>2614</v>
      </c>
      <c r="U5" s="51" t="s">
        <v>2614</v>
      </c>
      <c r="V5" s="51" t="s">
        <v>2614</v>
      </c>
      <c r="W5" s="51" t="s">
        <v>2614</v>
      </c>
      <c r="X5" s="51" t="s">
        <v>2614</v>
      </c>
      <c r="Y5" s="51" t="s">
        <v>2614</v>
      </c>
      <c r="Z5" s="51" t="s">
        <v>2614</v>
      </c>
      <c r="AA5" s="51" t="s">
        <v>2614</v>
      </c>
      <c r="AB5" s="51" t="s">
        <v>2614</v>
      </c>
      <c r="AC5" s="51" t="s">
        <v>2614</v>
      </c>
      <c r="AD5" s="51" t="s">
        <v>2614</v>
      </c>
      <c r="AE5" s="51" t="s">
        <v>2614</v>
      </c>
      <c r="AF5" s="51" t="s">
        <v>2614</v>
      </c>
      <c r="AG5" s="51" t="s">
        <v>2614</v>
      </c>
      <c r="AH5" s="51" t="s">
        <v>2614</v>
      </c>
      <c r="AI5" s="51" t="s">
        <v>2614</v>
      </c>
      <c r="AJ5" s="51" t="s">
        <v>2614</v>
      </c>
      <c r="AK5" s="51" t="s">
        <v>2614</v>
      </c>
      <c r="AL5" s="51" t="s">
        <v>2614</v>
      </c>
      <c r="AM5" s="51" t="s">
        <v>2614</v>
      </c>
      <c r="AN5" s="51" t="s">
        <v>2614</v>
      </c>
      <c r="AO5" s="51" t="s">
        <v>2614</v>
      </c>
      <c r="AP5" s="51" t="s">
        <v>2614</v>
      </c>
      <c r="AQ5" s="51" t="s">
        <v>2614</v>
      </c>
      <c r="AR5" s="51" t="s">
        <v>2614</v>
      </c>
      <c r="AS5" s="51" t="s">
        <v>2614</v>
      </c>
      <c r="AT5" s="51" t="s">
        <v>2614</v>
      </c>
      <c r="AU5" s="51" t="s">
        <v>2614</v>
      </c>
      <c r="AV5" s="51" t="s">
        <v>2614</v>
      </c>
      <c r="AW5" s="51" t="s">
        <v>2614</v>
      </c>
      <c r="AX5" s="51" t="s">
        <v>2614</v>
      </c>
      <c r="AY5" s="51" t="s">
        <v>2614</v>
      </c>
      <c r="AZ5" s="51" t="s">
        <v>2614</v>
      </c>
      <c r="BA5" s="51">
        <v>0</v>
      </c>
      <c r="BB5" s="51" t="s">
        <v>2614</v>
      </c>
    </row>
    <row r="6" spans="2:54" x14ac:dyDescent="0.25">
      <c r="B6" s="121" t="s">
        <v>2560</v>
      </c>
      <c r="C6" s="51">
        <v>4</v>
      </c>
      <c r="D6" s="51" t="s">
        <v>2618</v>
      </c>
      <c r="E6" s="119" t="s">
        <v>2614</v>
      </c>
      <c r="F6" s="51">
        <v>4</v>
      </c>
      <c r="G6" s="51" t="s">
        <v>2614</v>
      </c>
      <c r="H6" s="51" t="s">
        <v>2614</v>
      </c>
      <c r="I6" s="51" t="s">
        <v>2614</v>
      </c>
      <c r="J6" s="51" t="s">
        <v>2614</v>
      </c>
      <c r="K6" s="51" t="s">
        <v>2614</v>
      </c>
      <c r="L6" s="51" t="s">
        <v>2614</v>
      </c>
      <c r="M6" s="51" t="s">
        <v>2614</v>
      </c>
      <c r="N6" s="51" t="s">
        <v>2614</v>
      </c>
      <c r="O6" s="51" t="s">
        <v>2614</v>
      </c>
      <c r="P6" s="51" t="s">
        <v>2614</v>
      </c>
      <c r="Q6" s="51" t="s">
        <v>2614</v>
      </c>
      <c r="R6" s="51" t="s">
        <v>2614</v>
      </c>
      <c r="S6" s="51" t="s">
        <v>2614</v>
      </c>
      <c r="T6" s="51" t="s">
        <v>2614</v>
      </c>
      <c r="U6" s="51" t="s">
        <v>2614</v>
      </c>
      <c r="V6" s="51" t="s">
        <v>2614</v>
      </c>
      <c r="W6" s="51" t="s">
        <v>2614</v>
      </c>
      <c r="X6" s="51" t="s">
        <v>2614</v>
      </c>
      <c r="Y6" s="51" t="s">
        <v>2614</v>
      </c>
      <c r="Z6" s="51" t="s">
        <v>2614</v>
      </c>
      <c r="AA6" s="51" t="s">
        <v>2614</v>
      </c>
      <c r="AB6" s="51" t="s">
        <v>2614</v>
      </c>
      <c r="AC6" s="51" t="s">
        <v>2614</v>
      </c>
      <c r="AD6" s="51" t="s">
        <v>2614</v>
      </c>
      <c r="AE6" s="51" t="s">
        <v>2614</v>
      </c>
      <c r="AF6" s="51" t="s">
        <v>2614</v>
      </c>
      <c r="AG6" s="51" t="s">
        <v>2614</v>
      </c>
      <c r="AH6" s="51" t="s">
        <v>2614</v>
      </c>
      <c r="AI6" s="51" t="s">
        <v>2614</v>
      </c>
      <c r="AJ6" s="51" t="s">
        <v>2614</v>
      </c>
      <c r="AK6" s="51" t="s">
        <v>2614</v>
      </c>
      <c r="AL6" s="51" t="s">
        <v>2614</v>
      </c>
      <c r="AM6" s="51" t="s">
        <v>2614</v>
      </c>
      <c r="AN6" s="51" t="s">
        <v>2614</v>
      </c>
      <c r="AO6" s="51" t="s">
        <v>2614</v>
      </c>
      <c r="AP6" s="51" t="s">
        <v>2614</v>
      </c>
      <c r="AQ6" s="51" t="s">
        <v>2614</v>
      </c>
      <c r="AR6" s="51" t="s">
        <v>2614</v>
      </c>
      <c r="AS6" s="51" t="s">
        <v>2614</v>
      </c>
      <c r="AT6" s="51" t="s">
        <v>2614</v>
      </c>
      <c r="AU6" s="51" t="s">
        <v>2614</v>
      </c>
      <c r="AV6" s="51" t="s">
        <v>2614</v>
      </c>
      <c r="AW6" s="51" t="s">
        <v>2614</v>
      </c>
      <c r="AX6" s="51" t="s">
        <v>2614</v>
      </c>
      <c r="AY6" s="51" t="s">
        <v>2614</v>
      </c>
      <c r="AZ6" s="51" t="s">
        <v>2614</v>
      </c>
      <c r="BA6" s="51" t="s">
        <v>2614</v>
      </c>
      <c r="BB6" s="51" t="s">
        <v>2614</v>
      </c>
    </row>
    <row r="7" spans="2:54" x14ac:dyDescent="0.25">
      <c r="B7" s="51" t="s">
        <v>2562</v>
      </c>
      <c r="C7" s="51">
        <v>5</v>
      </c>
      <c r="D7" s="51" t="s">
        <v>2618</v>
      </c>
      <c r="E7" s="119" t="s">
        <v>2614</v>
      </c>
      <c r="F7" s="51">
        <v>4</v>
      </c>
      <c r="G7" s="51" t="s">
        <v>2614</v>
      </c>
      <c r="H7" s="51" t="s">
        <v>2614</v>
      </c>
      <c r="I7" s="51" t="s">
        <v>2614</v>
      </c>
      <c r="J7" s="51" t="s">
        <v>2614</v>
      </c>
      <c r="K7" s="51" t="s">
        <v>2614</v>
      </c>
      <c r="L7" s="51" t="s">
        <v>2614</v>
      </c>
      <c r="M7" s="51" t="s">
        <v>2614</v>
      </c>
      <c r="N7" s="51" t="s">
        <v>2614</v>
      </c>
      <c r="O7" s="51" t="s">
        <v>2614</v>
      </c>
      <c r="P7" s="51" t="s">
        <v>2614</v>
      </c>
      <c r="Q7" s="51" t="s">
        <v>2614</v>
      </c>
      <c r="R7" s="51" t="s">
        <v>2614</v>
      </c>
      <c r="S7" s="51" t="s">
        <v>2614</v>
      </c>
      <c r="T7" s="51" t="s">
        <v>2614</v>
      </c>
      <c r="U7" s="51" t="s">
        <v>2614</v>
      </c>
      <c r="V7" s="51" t="s">
        <v>2614</v>
      </c>
      <c r="W7" s="51" t="s">
        <v>2614</v>
      </c>
      <c r="X7" s="51" t="s">
        <v>2614</v>
      </c>
      <c r="Y7" s="51" t="s">
        <v>2614</v>
      </c>
      <c r="Z7" s="51" t="s">
        <v>2614</v>
      </c>
      <c r="AA7" s="51" t="s">
        <v>2614</v>
      </c>
      <c r="AB7" s="51" t="s">
        <v>2614</v>
      </c>
      <c r="AC7" s="51" t="s">
        <v>2614</v>
      </c>
      <c r="AD7" s="51" t="s">
        <v>2614</v>
      </c>
      <c r="AE7" s="51" t="s">
        <v>2614</v>
      </c>
      <c r="AF7" s="51" t="s">
        <v>2614</v>
      </c>
      <c r="AG7" s="51" t="s">
        <v>2614</v>
      </c>
      <c r="AH7" s="51" t="s">
        <v>2614</v>
      </c>
      <c r="AI7" s="51" t="s">
        <v>2614</v>
      </c>
      <c r="AJ7" s="51" t="s">
        <v>2614</v>
      </c>
      <c r="AK7" s="51" t="s">
        <v>2614</v>
      </c>
      <c r="AL7" s="51" t="s">
        <v>2614</v>
      </c>
      <c r="AM7" s="51" t="s">
        <v>2614</v>
      </c>
      <c r="AN7" s="51" t="s">
        <v>2614</v>
      </c>
      <c r="AO7" s="51" t="s">
        <v>2614</v>
      </c>
      <c r="AP7" s="51" t="s">
        <v>2614</v>
      </c>
      <c r="AQ7" s="51" t="s">
        <v>2614</v>
      </c>
      <c r="AR7" s="51" t="s">
        <v>2614</v>
      </c>
      <c r="AS7" s="51" t="s">
        <v>2614</v>
      </c>
      <c r="AT7" s="51" t="s">
        <v>2614</v>
      </c>
      <c r="AU7" s="51" t="s">
        <v>2614</v>
      </c>
      <c r="AV7" s="51" t="s">
        <v>2614</v>
      </c>
      <c r="AW7" s="51" t="s">
        <v>2614</v>
      </c>
      <c r="AX7" s="51" t="s">
        <v>2614</v>
      </c>
      <c r="AY7" s="51" t="s">
        <v>2614</v>
      </c>
      <c r="AZ7" s="51" t="s">
        <v>2614</v>
      </c>
      <c r="BA7" s="51" t="s">
        <v>2614</v>
      </c>
      <c r="BB7" s="51" t="s">
        <v>2614</v>
      </c>
    </row>
    <row r="8" spans="2:54" x14ac:dyDescent="0.25">
      <c r="B8" s="121" t="s">
        <v>2563</v>
      </c>
      <c r="C8" s="51">
        <v>6</v>
      </c>
      <c r="D8" s="51" t="s">
        <v>3342</v>
      </c>
      <c r="E8" s="119">
        <v>45492</v>
      </c>
      <c r="F8" s="51">
        <v>4</v>
      </c>
      <c r="G8" s="238" cm="1">
        <f t="array" ref="G8">SUMPRODUCT(--(I8:BB8&gt;0))/COUNTA(I8:BB8)</f>
        <v>0.97826086956521741</v>
      </c>
      <c r="H8" s="51" t="s">
        <v>2616</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0</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22</v>
      </c>
    </row>
    <row r="9" spans="2:54" x14ac:dyDescent="0.25">
      <c r="B9" s="51" t="s">
        <v>2566</v>
      </c>
      <c r="C9" s="51">
        <v>7</v>
      </c>
      <c r="D9" s="51" t="s">
        <v>3343</v>
      </c>
      <c r="E9" s="119">
        <v>45492</v>
      </c>
      <c r="F9" s="51">
        <v>4</v>
      </c>
      <c r="G9" s="238" cm="1">
        <f t="array" ref="G9">SUMPRODUCT(--(I9:BB9 &lt;= I28:BB28))/COUNTA(I28:BB28)</f>
        <v>1</v>
      </c>
      <c r="H9" s="51" t="s">
        <v>2616</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13</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22</v>
      </c>
    </row>
    <row r="10" spans="2:54" x14ac:dyDescent="0.25">
      <c r="B10" s="51" t="s">
        <v>2569</v>
      </c>
      <c r="C10" s="51">
        <v>8</v>
      </c>
      <c r="D10" s="51" t="s">
        <v>3344</v>
      </c>
      <c r="E10" s="119">
        <v>45492</v>
      </c>
      <c r="F10" s="51">
        <v>4</v>
      </c>
      <c r="G10" s="51" t="s">
        <v>2614</v>
      </c>
      <c r="H10" s="51" t="s">
        <v>2614</v>
      </c>
      <c r="I10" s="51">
        <v>31</v>
      </c>
      <c r="J10" s="51">
        <v>2.317541E+21</v>
      </c>
      <c r="K10" s="51" t="s">
        <v>3345</v>
      </c>
      <c r="L10" s="51">
        <v>96</v>
      </c>
      <c r="M10" s="51">
        <v>1</v>
      </c>
      <c r="N10" s="119">
        <v>31</v>
      </c>
      <c r="O10" s="51">
        <v>1.3033148999999999E+22</v>
      </c>
      <c r="P10" s="119" t="s">
        <v>2623</v>
      </c>
      <c r="Q10" s="119" t="s">
        <v>2623</v>
      </c>
      <c r="R10" s="119">
        <v>578</v>
      </c>
      <c r="S10" s="122">
        <v>0</v>
      </c>
      <c r="T10" s="51">
        <v>0</v>
      </c>
      <c r="U10" s="51" t="s">
        <v>2616</v>
      </c>
      <c r="V10" s="51" t="s">
        <v>2616</v>
      </c>
      <c r="W10" s="51" t="s">
        <v>2616</v>
      </c>
      <c r="X10" s="51" t="s">
        <v>2616</v>
      </c>
      <c r="Y10" s="51" t="s">
        <v>2616</v>
      </c>
      <c r="Z10" s="51" t="s">
        <v>2616</v>
      </c>
      <c r="AA10" s="119" t="s">
        <v>2623</v>
      </c>
      <c r="AB10" s="122">
        <v>-28990000</v>
      </c>
      <c r="AC10" s="122" t="s">
        <v>2616</v>
      </c>
      <c r="AD10" s="119">
        <v>35480</v>
      </c>
      <c r="AE10" s="122">
        <v>-81710000</v>
      </c>
      <c r="AF10" s="119">
        <v>36984</v>
      </c>
      <c r="AG10" s="51" t="s">
        <v>2616</v>
      </c>
      <c r="AH10" s="119">
        <v>38499</v>
      </c>
      <c r="AI10" s="51" t="s">
        <v>3109</v>
      </c>
      <c r="AJ10" s="122">
        <v>1</v>
      </c>
      <c r="AK10" s="51"/>
      <c r="AL10" s="51" t="s">
        <v>3276</v>
      </c>
      <c r="AM10" s="51" t="e">
        <v>#N/A</v>
      </c>
      <c r="AN10" s="122">
        <v>-10000000</v>
      </c>
      <c r="AO10" s="51" t="s">
        <v>2616</v>
      </c>
      <c r="AP10" s="51" t="s">
        <v>2616</v>
      </c>
      <c r="AQ10" s="51" t="s">
        <v>2616</v>
      </c>
      <c r="AR10" s="51" t="s">
        <v>3276</v>
      </c>
      <c r="AS10" s="51" t="e">
        <v>#N/A</v>
      </c>
      <c r="AT10" s="122">
        <v>-11000000</v>
      </c>
      <c r="AU10" s="51" t="s">
        <v>3346</v>
      </c>
      <c r="AV10" s="51" t="s">
        <v>3347</v>
      </c>
      <c r="AW10" s="51" t="s">
        <v>2616</v>
      </c>
      <c r="AX10" s="119" t="s">
        <v>2696</v>
      </c>
      <c r="AY10" s="51" t="s">
        <v>3277</v>
      </c>
      <c r="AZ10" s="51" t="s">
        <v>3348</v>
      </c>
      <c r="BA10" s="119">
        <v>45491</v>
      </c>
      <c r="BB10" s="51" t="s">
        <v>3349</v>
      </c>
    </row>
    <row r="11" spans="2:54" x14ac:dyDescent="0.25">
      <c r="B11" s="51" t="s">
        <v>2571</v>
      </c>
      <c r="C11" s="51">
        <v>9</v>
      </c>
      <c r="D11" s="51" t="s">
        <v>3350</v>
      </c>
      <c r="E11" s="119">
        <v>45492</v>
      </c>
      <c r="F11" s="51">
        <v>4</v>
      </c>
      <c r="G11" s="51" t="s">
        <v>2614</v>
      </c>
      <c r="H11" s="51" t="s">
        <v>2614</v>
      </c>
      <c r="I11" s="51">
        <v>31</v>
      </c>
      <c r="J11" s="51">
        <v>2.317541E+21</v>
      </c>
      <c r="K11" s="51"/>
      <c r="L11" s="51">
        <v>96</v>
      </c>
      <c r="M11" s="51">
        <v>1</v>
      </c>
      <c r="N11" s="119"/>
      <c r="O11" s="51">
        <v>1.3033148999999999E+22</v>
      </c>
      <c r="P11" s="119" t="s">
        <v>2623</v>
      </c>
      <c r="Q11" s="119" t="s">
        <v>2623</v>
      </c>
      <c r="R11" s="119">
        <v>578</v>
      </c>
      <c r="S11" s="119">
        <v>0</v>
      </c>
      <c r="T11" s="51">
        <v>0</v>
      </c>
      <c r="U11" s="51" t="s">
        <v>2616</v>
      </c>
      <c r="V11" s="51" t="s">
        <v>2616</v>
      </c>
      <c r="W11" s="51" t="s">
        <v>2616</v>
      </c>
      <c r="X11" s="51" t="s">
        <v>2616</v>
      </c>
      <c r="Y11" s="51" t="s">
        <v>2616</v>
      </c>
      <c r="Z11" s="51" t="s">
        <v>2616</v>
      </c>
      <c r="AA11" s="119" t="s">
        <v>2623</v>
      </c>
      <c r="AB11" s="122">
        <v>-28990000</v>
      </c>
      <c r="AC11" s="51" t="s">
        <v>2616</v>
      </c>
      <c r="AD11" s="122">
        <v>35480</v>
      </c>
      <c r="AE11" s="122">
        <v>-81710000</v>
      </c>
      <c r="AF11" s="119">
        <v>36984</v>
      </c>
      <c r="AG11" s="51" t="s">
        <v>2616</v>
      </c>
      <c r="AH11" s="119">
        <v>38499</v>
      </c>
      <c r="AI11" s="51" t="s">
        <v>3109</v>
      </c>
      <c r="AJ11" s="122">
        <v>1</v>
      </c>
      <c r="AK11" s="51"/>
      <c r="AL11" s="51" t="s">
        <v>3276</v>
      </c>
      <c r="AM11" s="51" t="e">
        <v>#N/A</v>
      </c>
      <c r="AN11" s="122">
        <v>-10000000</v>
      </c>
      <c r="AO11" s="51" t="s">
        <v>2616</v>
      </c>
      <c r="AP11" s="51" t="s">
        <v>2616</v>
      </c>
      <c r="AQ11" s="51" t="s">
        <v>2616</v>
      </c>
      <c r="AR11" s="51" t="s">
        <v>3276</v>
      </c>
      <c r="AS11" s="51" t="e">
        <v>#N/A</v>
      </c>
      <c r="AT11" s="122">
        <v>-11000000</v>
      </c>
      <c r="AU11" s="51" t="s">
        <v>3346</v>
      </c>
      <c r="AV11" s="51" t="s">
        <v>3347</v>
      </c>
      <c r="AW11" s="51" t="s">
        <v>2616</v>
      </c>
      <c r="AX11" s="119">
        <v>0</v>
      </c>
      <c r="AY11" s="51" t="s">
        <v>2844</v>
      </c>
      <c r="AZ11" s="51" t="s">
        <v>3348</v>
      </c>
      <c r="BA11" s="119">
        <v>45491</v>
      </c>
      <c r="BB11" s="51" t="s">
        <v>3351</v>
      </c>
    </row>
    <row r="12" spans="2:54" x14ac:dyDescent="0.25">
      <c r="B12" s="121" t="s">
        <v>2573</v>
      </c>
      <c r="C12" s="51">
        <v>10</v>
      </c>
      <c r="D12" s="51" t="s">
        <v>3352</v>
      </c>
      <c r="E12" s="119">
        <v>45492</v>
      </c>
      <c r="F12" s="51">
        <v>4</v>
      </c>
      <c r="G12" s="51" t="s">
        <v>2614</v>
      </c>
      <c r="H12" s="51" t="s">
        <v>2614</v>
      </c>
      <c r="I12" s="51">
        <v>31</v>
      </c>
      <c r="J12" s="213">
        <v>6.8350096000050594E+29</v>
      </c>
      <c r="K12" s="51" t="s">
        <v>3345</v>
      </c>
      <c r="L12" s="51">
        <v>96</v>
      </c>
      <c r="M12" s="119" t="s">
        <v>3353</v>
      </c>
      <c r="N12" s="119">
        <v>31</v>
      </c>
      <c r="O12" s="122">
        <v>2.3950569509102E+29</v>
      </c>
      <c r="P12" s="221">
        <v>110541</v>
      </c>
      <c r="Q12" s="119">
        <v>100616</v>
      </c>
      <c r="R12" s="119">
        <v>978</v>
      </c>
      <c r="S12" s="181" t="s">
        <v>3354</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2816</v>
      </c>
      <c r="AL12" s="122" t="s">
        <v>2624</v>
      </c>
      <c r="AM12" s="119" t="s">
        <v>3355</v>
      </c>
      <c r="AN12" s="122">
        <v>2480712000</v>
      </c>
      <c r="AO12" s="122">
        <v>126000000</v>
      </c>
      <c r="AP12" s="122">
        <v>99999999</v>
      </c>
      <c r="AQ12" s="122">
        <v>13241605</v>
      </c>
      <c r="AR12" s="51" t="s">
        <v>2624</v>
      </c>
      <c r="AS12" s="122" t="s">
        <v>3355</v>
      </c>
      <c r="AT12" s="122">
        <v>2431200000</v>
      </c>
      <c r="AU12" s="122">
        <v>120000000</v>
      </c>
      <c r="AV12" s="122">
        <v>20722600</v>
      </c>
      <c r="AW12" s="122">
        <v>13241605</v>
      </c>
      <c r="AX12" s="119" t="s">
        <v>3356</v>
      </c>
      <c r="AY12" s="51" t="s">
        <v>3286</v>
      </c>
      <c r="AZ12" s="51" t="s">
        <v>2638</v>
      </c>
      <c r="BA12" s="119">
        <v>45492</v>
      </c>
      <c r="BB12" s="51" t="s">
        <v>3349</v>
      </c>
    </row>
    <row r="13" spans="2:54" x14ac:dyDescent="0.25">
      <c r="B13" s="51" t="s">
        <v>2575</v>
      </c>
      <c r="C13" s="51">
        <v>11</v>
      </c>
      <c r="D13" s="51" t="s">
        <v>3357</v>
      </c>
      <c r="E13" s="119">
        <v>45492</v>
      </c>
      <c r="F13" s="51">
        <v>4</v>
      </c>
      <c r="G13" s="51" t="s">
        <v>2614</v>
      </c>
      <c r="H13" s="51" t="s">
        <v>2614</v>
      </c>
      <c r="I13" s="51">
        <v>31</v>
      </c>
      <c r="J13" s="213">
        <v>6.8350096000050594E+29</v>
      </c>
      <c r="K13" s="51"/>
      <c r="L13" s="51">
        <v>96</v>
      </c>
      <c r="M13" s="119" t="s">
        <v>3353</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2816</v>
      </c>
      <c r="AL13" s="122" t="s">
        <v>2624</v>
      </c>
      <c r="AM13" s="119" t="s">
        <v>3355</v>
      </c>
      <c r="AN13" s="122">
        <v>2480712000</v>
      </c>
      <c r="AO13" s="122">
        <v>126000000</v>
      </c>
      <c r="AP13" s="122">
        <v>99999999</v>
      </c>
      <c r="AQ13" s="122">
        <v>13241605</v>
      </c>
      <c r="AR13" s="51" t="s">
        <v>2624</v>
      </c>
      <c r="AS13" s="51" t="s">
        <v>3355</v>
      </c>
      <c r="AT13" s="122">
        <v>2431200000</v>
      </c>
      <c r="AU13" s="122">
        <v>120000000</v>
      </c>
      <c r="AV13" s="122">
        <v>20722600</v>
      </c>
      <c r="AW13" s="122">
        <v>13241605</v>
      </c>
      <c r="AX13" s="119" t="s">
        <v>3358</v>
      </c>
      <c r="AY13" s="51" t="s">
        <v>2844</v>
      </c>
      <c r="AZ13" s="51" t="s">
        <v>2638</v>
      </c>
      <c r="BA13" s="119">
        <v>45492</v>
      </c>
      <c r="BB13" s="51" t="s">
        <v>3359</v>
      </c>
    </row>
    <row r="14" spans="2:54" x14ac:dyDescent="0.25">
      <c r="B14" s="51" t="s">
        <v>2577</v>
      </c>
      <c r="C14" s="51">
        <v>12</v>
      </c>
      <c r="D14" s="51" t="s">
        <v>3360</v>
      </c>
      <c r="E14" s="119">
        <v>45492</v>
      </c>
      <c r="F14" s="51">
        <v>4</v>
      </c>
      <c r="G14" s="238">
        <v>0.52173899999999995</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2</v>
      </c>
      <c r="AA14" s="51">
        <v>0</v>
      </c>
      <c r="AB14" s="51">
        <v>914326</v>
      </c>
      <c r="AC14" s="51">
        <v>0</v>
      </c>
      <c r="AD14" s="51">
        <v>210119</v>
      </c>
      <c r="AE14" s="51">
        <v>210119</v>
      </c>
      <c r="AF14" s="51">
        <v>928743</v>
      </c>
      <c r="AG14" s="51">
        <v>962080</v>
      </c>
      <c r="AH14" s="51">
        <v>288892</v>
      </c>
      <c r="AI14" s="51">
        <v>865792</v>
      </c>
      <c r="AJ14" s="51">
        <v>782868</v>
      </c>
      <c r="AK14" s="51">
        <v>0</v>
      </c>
      <c r="AL14" s="51">
        <v>0</v>
      </c>
      <c r="AM14" s="51">
        <v>0</v>
      </c>
      <c r="AN14" s="51">
        <v>287063</v>
      </c>
      <c r="AO14" s="51">
        <v>664129</v>
      </c>
      <c r="AP14" s="51">
        <v>540296</v>
      </c>
      <c r="AQ14" s="51">
        <v>8682</v>
      </c>
      <c r="AR14" s="51">
        <v>0</v>
      </c>
      <c r="AS14" s="51">
        <v>0</v>
      </c>
      <c r="AT14" s="51">
        <v>297059</v>
      </c>
      <c r="AU14" s="51">
        <v>641483</v>
      </c>
      <c r="AV14" s="51">
        <v>522372</v>
      </c>
      <c r="AW14" s="51">
        <v>7</v>
      </c>
      <c r="AX14" s="51">
        <v>87567</v>
      </c>
      <c r="AY14" s="51">
        <v>565329</v>
      </c>
      <c r="AZ14" s="51">
        <v>0</v>
      </c>
      <c r="BA14" s="51">
        <v>0</v>
      </c>
      <c r="BB14" s="51">
        <v>0</v>
      </c>
    </row>
    <row r="15" spans="2:54" x14ac:dyDescent="0.25">
      <c r="B15" s="51" t="s">
        <v>2579</v>
      </c>
      <c r="C15" s="51">
        <v>13</v>
      </c>
      <c r="D15" s="51" t="s">
        <v>3361</v>
      </c>
      <c r="E15" s="119">
        <v>45492</v>
      </c>
      <c r="F15" s="51">
        <v>4</v>
      </c>
      <c r="G15" s="238">
        <v>1</v>
      </c>
      <c r="H15" s="51">
        <v>0</v>
      </c>
      <c r="I15" s="51" t="s">
        <v>2614</v>
      </c>
      <c r="J15" s="51" t="s">
        <v>2614</v>
      </c>
      <c r="K15" s="51" t="s">
        <v>2614</v>
      </c>
      <c r="L15" s="51" t="s">
        <v>2614</v>
      </c>
      <c r="M15" s="51" t="s">
        <v>2614</v>
      </c>
      <c r="N15" s="51" t="s">
        <v>2614</v>
      </c>
      <c r="O15" s="51" t="s">
        <v>2614</v>
      </c>
      <c r="P15" s="51">
        <v>0</v>
      </c>
      <c r="Q15" s="51">
        <v>0</v>
      </c>
      <c r="R15" s="51" t="s">
        <v>2614</v>
      </c>
      <c r="S15" s="51" t="s">
        <v>2614</v>
      </c>
      <c r="T15" s="51" t="s">
        <v>2614</v>
      </c>
      <c r="U15" s="51" t="s">
        <v>2614</v>
      </c>
      <c r="V15" s="51" t="s">
        <v>2614</v>
      </c>
      <c r="W15" s="51" t="s">
        <v>2614</v>
      </c>
      <c r="X15" s="51" t="s">
        <v>2614</v>
      </c>
      <c r="Y15" s="51" t="s">
        <v>2614</v>
      </c>
      <c r="Z15" s="51" t="s">
        <v>2614</v>
      </c>
      <c r="AA15" s="51">
        <v>0</v>
      </c>
      <c r="AB15" s="51" t="s">
        <v>2614</v>
      </c>
      <c r="AC15" s="51" t="s">
        <v>2614</v>
      </c>
      <c r="AD15" s="51">
        <v>0</v>
      </c>
      <c r="AE15" s="51" t="s">
        <v>2614</v>
      </c>
      <c r="AF15" s="51">
        <v>0</v>
      </c>
      <c r="AG15" s="51" t="s">
        <v>2614</v>
      </c>
      <c r="AH15" s="51">
        <v>0</v>
      </c>
      <c r="AI15" s="51" t="s">
        <v>2614</v>
      </c>
      <c r="AJ15" s="51" t="s">
        <v>2614</v>
      </c>
      <c r="AK15" s="51" t="s">
        <v>2614</v>
      </c>
      <c r="AL15" s="51" t="s">
        <v>2614</v>
      </c>
      <c r="AM15" s="51" t="s">
        <v>2614</v>
      </c>
      <c r="AN15" s="51" t="s">
        <v>2614</v>
      </c>
      <c r="AO15" s="51" t="s">
        <v>2614</v>
      </c>
      <c r="AP15" s="51" t="s">
        <v>2614</v>
      </c>
      <c r="AQ15" s="51" t="s">
        <v>2614</v>
      </c>
      <c r="AR15" s="51" t="s">
        <v>2614</v>
      </c>
      <c r="AS15" s="51" t="s">
        <v>2614</v>
      </c>
      <c r="AT15" s="51" t="s">
        <v>2614</v>
      </c>
      <c r="AU15" s="51" t="s">
        <v>2614</v>
      </c>
      <c r="AV15" s="51" t="s">
        <v>2614</v>
      </c>
      <c r="AW15" s="51" t="s">
        <v>2614</v>
      </c>
      <c r="AX15" s="51" t="s">
        <v>2614</v>
      </c>
      <c r="AY15" s="51" t="s">
        <v>2614</v>
      </c>
      <c r="AZ15" s="51" t="s">
        <v>2614</v>
      </c>
      <c r="BA15" s="51" t="s">
        <v>2614</v>
      </c>
      <c r="BB15" s="51" t="s">
        <v>2614</v>
      </c>
    </row>
    <row r="16" spans="2:54" x14ac:dyDescent="0.25">
      <c r="B16" s="51" t="s">
        <v>2581</v>
      </c>
      <c r="C16" s="51">
        <v>14</v>
      </c>
      <c r="D16" s="51" t="s">
        <v>3362</v>
      </c>
      <c r="E16" s="119">
        <v>45492</v>
      </c>
      <c r="F16" s="51">
        <v>4</v>
      </c>
      <c r="G16" s="238">
        <v>1</v>
      </c>
      <c r="H16" s="51">
        <v>0</v>
      </c>
      <c r="I16" s="51" t="s">
        <v>2614</v>
      </c>
      <c r="J16" s="51" t="s">
        <v>2614</v>
      </c>
      <c r="K16" s="51">
        <v>0</v>
      </c>
      <c r="L16" s="51">
        <v>0</v>
      </c>
      <c r="M16" s="51">
        <v>0</v>
      </c>
      <c r="N16" s="51" t="s">
        <v>2614</v>
      </c>
      <c r="O16" s="51" t="s">
        <v>2614</v>
      </c>
      <c r="P16" s="51" t="s">
        <v>2614</v>
      </c>
      <c r="Q16" s="51" t="s">
        <v>2614</v>
      </c>
      <c r="R16" s="51">
        <v>0</v>
      </c>
      <c r="S16" s="51" t="s">
        <v>2614</v>
      </c>
      <c r="T16" s="51" t="s">
        <v>2614</v>
      </c>
      <c r="U16" s="51" t="s">
        <v>2614</v>
      </c>
      <c r="V16" s="51" t="s">
        <v>2614</v>
      </c>
      <c r="W16" s="51" t="s">
        <v>2614</v>
      </c>
      <c r="X16" s="51" t="s">
        <v>2614</v>
      </c>
      <c r="Y16" s="51" t="s">
        <v>2614</v>
      </c>
      <c r="Z16" s="51" t="s">
        <v>2614</v>
      </c>
      <c r="AA16" s="51" t="s">
        <v>2614</v>
      </c>
      <c r="AB16" s="51" t="s">
        <v>2614</v>
      </c>
      <c r="AC16" s="51" t="s">
        <v>2614</v>
      </c>
      <c r="AD16" s="51" t="s">
        <v>2614</v>
      </c>
      <c r="AE16" s="51" t="s">
        <v>2614</v>
      </c>
      <c r="AF16" s="51" t="s">
        <v>2614</v>
      </c>
      <c r="AG16" s="51" t="s">
        <v>2614</v>
      </c>
      <c r="AH16" s="51" t="s">
        <v>2614</v>
      </c>
      <c r="AI16" s="51" t="s">
        <v>2614</v>
      </c>
      <c r="AJ16" s="51" t="s">
        <v>2614</v>
      </c>
      <c r="AK16" s="51" t="s">
        <v>2614</v>
      </c>
      <c r="AL16" s="51" t="s">
        <v>2614</v>
      </c>
      <c r="AM16" s="51">
        <v>0</v>
      </c>
      <c r="AN16" s="51" t="s">
        <v>2614</v>
      </c>
      <c r="AO16" s="51" t="s">
        <v>2614</v>
      </c>
      <c r="AP16" s="51" t="s">
        <v>2614</v>
      </c>
      <c r="AQ16" s="51" t="s">
        <v>2614</v>
      </c>
      <c r="AR16" s="51">
        <v>0</v>
      </c>
      <c r="AS16" s="51">
        <v>0</v>
      </c>
      <c r="AT16" s="51" t="s">
        <v>2614</v>
      </c>
      <c r="AU16" s="51" t="s">
        <v>2614</v>
      </c>
      <c r="AV16" s="51" t="s">
        <v>2614</v>
      </c>
      <c r="AW16" s="51" t="s">
        <v>2614</v>
      </c>
      <c r="AX16" s="51">
        <v>0</v>
      </c>
      <c r="AY16" s="51">
        <v>0</v>
      </c>
      <c r="AZ16" s="51">
        <v>0</v>
      </c>
      <c r="BA16" s="51">
        <v>0</v>
      </c>
      <c r="BB16" s="51" t="s">
        <v>2614</v>
      </c>
    </row>
    <row r="17" spans="2:54" x14ac:dyDescent="0.25">
      <c r="B17" s="51" t="s">
        <v>2583</v>
      </c>
      <c r="C17" s="51">
        <v>15</v>
      </c>
      <c r="D17" s="51" t="s">
        <v>3363</v>
      </c>
      <c r="E17" s="119">
        <v>45492</v>
      </c>
      <c r="F17" s="51">
        <v>4</v>
      </c>
      <c r="G17" s="238">
        <v>1</v>
      </c>
      <c r="H17" s="51">
        <v>0</v>
      </c>
      <c r="I17" s="51" t="s">
        <v>2614</v>
      </c>
      <c r="J17" s="51" t="s">
        <v>2614</v>
      </c>
      <c r="K17" s="51" t="s">
        <v>2614</v>
      </c>
      <c r="L17" s="51" t="s">
        <v>2614</v>
      </c>
      <c r="M17" s="51" t="s">
        <v>2614</v>
      </c>
      <c r="N17" s="51" t="s">
        <v>2614</v>
      </c>
      <c r="O17" s="51" t="s">
        <v>2614</v>
      </c>
      <c r="P17" s="51" t="s">
        <v>2614</v>
      </c>
      <c r="Q17" s="51" t="s">
        <v>2614</v>
      </c>
      <c r="R17" s="51" t="s">
        <v>2614</v>
      </c>
      <c r="S17" s="51" t="s">
        <v>2614</v>
      </c>
      <c r="T17" s="51" t="s">
        <v>2614</v>
      </c>
      <c r="U17" s="51" t="s">
        <v>2614</v>
      </c>
      <c r="V17" s="51" t="s">
        <v>2614</v>
      </c>
      <c r="W17" s="51" t="s">
        <v>2614</v>
      </c>
      <c r="X17" s="51" t="s">
        <v>2614</v>
      </c>
      <c r="Y17" s="51" t="s">
        <v>2614</v>
      </c>
      <c r="Z17" s="51" t="s">
        <v>2614</v>
      </c>
      <c r="AA17" s="51" t="s">
        <v>2614</v>
      </c>
      <c r="AB17" s="51" t="s">
        <v>2614</v>
      </c>
      <c r="AC17" s="51" t="s">
        <v>2614</v>
      </c>
      <c r="AD17" s="51" t="s">
        <v>2614</v>
      </c>
      <c r="AE17" s="51" t="s">
        <v>2614</v>
      </c>
      <c r="AF17" s="51" t="s">
        <v>2614</v>
      </c>
      <c r="AG17" s="51" t="s">
        <v>2614</v>
      </c>
      <c r="AH17" s="51" t="s">
        <v>2614</v>
      </c>
      <c r="AI17" s="51" t="s">
        <v>2614</v>
      </c>
      <c r="AJ17" s="51" t="s">
        <v>2614</v>
      </c>
      <c r="AK17" s="51" t="s">
        <v>2614</v>
      </c>
      <c r="AL17" s="51" t="s">
        <v>2614</v>
      </c>
      <c r="AM17" s="51" t="s">
        <v>2614</v>
      </c>
      <c r="AN17" s="51" t="s">
        <v>2614</v>
      </c>
      <c r="AO17" s="51" t="s">
        <v>2614</v>
      </c>
      <c r="AP17" s="51" t="s">
        <v>2614</v>
      </c>
      <c r="AQ17" s="51" t="s">
        <v>2614</v>
      </c>
      <c r="AR17" s="51" t="s">
        <v>2614</v>
      </c>
      <c r="AS17" s="51" t="s">
        <v>2614</v>
      </c>
      <c r="AT17" s="51" t="s">
        <v>2614</v>
      </c>
      <c r="AU17" s="51" t="s">
        <v>2614</v>
      </c>
      <c r="AV17" s="51" t="s">
        <v>2614</v>
      </c>
      <c r="AW17" s="51" t="s">
        <v>2614</v>
      </c>
      <c r="AX17" s="51" t="s">
        <v>2614</v>
      </c>
      <c r="AY17" s="51" t="s">
        <v>2614</v>
      </c>
      <c r="AZ17" s="51" t="s">
        <v>2614</v>
      </c>
      <c r="BA17" s="51" t="s">
        <v>2614</v>
      </c>
      <c r="BB17" s="51" t="s">
        <v>2614</v>
      </c>
    </row>
    <row r="18" spans="2:54" x14ac:dyDescent="0.25">
      <c r="B18" s="51" t="s">
        <v>2585</v>
      </c>
      <c r="C18" s="51">
        <v>16</v>
      </c>
      <c r="D18" s="51" t="s">
        <v>3363</v>
      </c>
      <c r="E18" s="119">
        <v>45492</v>
      </c>
      <c r="F18" s="51">
        <v>4</v>
      </c>
      <c r="G18" s="238">
        <v>1</v>
      </c>
      <c r="H18" s="51">
        <v>0</v>
      </c>
      <c r="I18" s="51" t="s">
        <v>2614</v>
      </c>
      <c r="J18" s="51" t="s">
        <v>2614</v>
      </c>
      <c r="K18" s="51" t="s">
        <v>2614</v>
      </c>
      <c r="L18" s="51" t="s">
        <v>2614</v>
      </c>
      <c r="M18" s="51" t="s">
        <v>2614</v>
      </c>
      <c r="N18" s="51" t="s">
        <v>2614</v>
      </c>
      <c r="O18" s="51" t="s">
        <v>2614</v>
      </c>
      <c r="P18" s="51" t="s">
        <v>2614</v>
      </c>
      <c r="Q18" s="51" t="s">
        <v>2614</v>
      </c>
      <c r="R18" s="51" t="s">
        <v>2614</v>
      </c>
      <c r="S18" s="51" t="s">
        <v>2614</v>
      </c>
      <c r="T18" s="51" t="s">
        <v>2614</v>
      </c>
      <c r="U18" s="51" t="s">
        <v>2614</v>
      </c>
      <c r="V18" s="51" t="s">
        <v>2614</v>
      </c>
      <c r="W18" s="51" t="s">
        <v>2614</v>
      </c>
      <c r="X18" s="51" t="s">
        <v>2614</v>
      </c>
      <c r="Y18" s="51" t="s">
        <v>2614</v>
      </c>
      <c r="Z18" s="51" t="s">
        <v>2614</v>
      </c>
      <c r="AA18" s="51" t="s">
        <v>2614</v>
      </c>
      <c r="AB18" s="51" t="s">
        <v>2614</v>
      </c>
      <c r="AC18" s="51" t="s">
        <v>2614</v>
      </c>
      <c r="AD18" s="51" t="s">
        <v>2614</v>
      </c>
      <c r="AE18" s="51" t="s">
        <v>2614</v>
      </c>
      <c r="AF18" s="51" t="s">
        <v>2614</v>
      </c>
      <c r="AG18" s="51" t="s">
        <v>2614</v>
      </c>
      <c r="AH18" s="51" t="s">
        <v>2614</v>
      </c>
      <c r="AI18" s="51" t="s">
        <v>2614</v>
      </c>
      <c r="AJ18" s="51" t="s">
        <v>2614</v>
      </c>
      <c r="AK18" s="51" t="s">
        <v>2614</v>
      </c>
      <c r="AL18" s="51" t="s">
        <v>2614</v>
      </c>
      <c r="AM18" s="51" t="s">
        <v>2614</v>
      </c>
      <c r="AN18" s="51" t="s">
        <v>2614</v>
      </c>
      <c r="AO18" s="51" t="s">
        <v>2614</v>
      </c>
      <c r="AP18" s="51" t="s">
        <v>2614</v>
      </c>
      <c r="AQ18" s="51" t="s">
        <v>2614</v>
      </c>
      <c r="AR18" s="51" t="s">
        <v>2614</v>
      </c>
      <c r="AS18" s="51" t="s">
        <v>2614</v>
      </c>
      <c r="AT18" s="51" t="s">
        <v>2614</v>
      </c>
      <c r="AU18" s="51" t="s">
        <v>2614</v>
      </c>
      <c r="AV18" s="51" t="s">
        <v>2614</v>
      </c>
      <c r="AW18" s="51" t="s">
        <v>2614</v>
      </c>
      <c r="AX18" s="51" t="s">
        <v>2614</v>
      </c>
      <c r="AY18" s="51" t="s">
        <v>2614</v>
      </c>
      <c r="AZ18" s="51" t="s">
        <v>2614</v>
      </c>
      <c r="BA18" s="51" t="s">
        <v>2614</v>
      </c>
      <c r="BB18" s="51" t="s">
        <v>2614</v>
      </c>
    </row>
    <row r="19" spans="2:54" x14ac:dyDescent="0.25">
      <c r="B19" s="51" t="s">
        <v>2587</v>
      </c>
      <c r="C19" s="51">
        <v>17</v>
      </c>
      <c r="D19" s="51" t="s">
        <v>3364</v>
      </c>
      <c r="E19" s="119">
        <v>45492</v>
      </c>
      <c r="F19" s="51">
        <v>4</v>
      </c>
      <c r="G19" s="221">
        <v>0.72939299999999996</v>
      </c>
      <c r="H19" s="213">
        <v>269165</v>
      </c>
      <c r="I19" s="51" t="s">
        <v>2614</v>
      </c>
      <c r="J19" s="51" t="s">
        <v>2614</v>
      </c>
      <c r="K19" s="51" t="s">
        <v>2614</v>
      </c>
      <c r="L19" s="51" t="s">
        <v>2614</v>
      </c>
      <c r="M19" s="51" t="s">
        <v>2614</v>
      </c>
      <c r="N19" s="51" t="s">
        <v>2614</v>
      </c>
      <c r="O19" s="51" t="s">
        <v>2614</v>
      </c>
      <c r="P19" s="51" t="s">
        <v>2614</v>
      </c>
      <c r="Q19" s="51" t="s">
        <v>2614</v>
      </c>
      <c r="R19" s="51" t="s">
        <v>2614</v>
      </c>
      <c r="S19" s="51" t="s">
        <v>2614</v>
      </c>
      <c r="T19" s="51" t="s">
        <v>2614</v>
      </c>
      <c r="U19" s="51" t="s">
        <v>2614</v>
      </c>
      <c r="V19" s="51" t="s">
        <v>2614</v>
      </c>
      <c r="W19" s="51" t="s">
        <v>2614</v>
      </c>
      <c r="X19" s="51" t="s">
        <v>2614</v>
      </c>
      <c r="Y19" s="51" t="s">
        <v>2614</v>
      </c>
      <c r="Z19" s="51" t="s">
        <v>2614</v>
      </c>
      <c r="AA19" s="51" t="s">
        <v>2614</v>
      </c>
      <c r="AB19" s="51" t="s">
        <v>2614</v>
      </c>
      <c r="AC19" s="51" t="s">
        <v>2614</v>
      </c>
      <c r="AD19" s="51" t="s">
        <v>2614</v>
      </c>
      <c r="AE19" s="51" t="s">
        <v>2614</v>
      </c>
      <c r="AF19" s="51" t="s">
        <v>2614</v>
      </c>
      <c r="AG19" s="51" t="s">
        <v>2614</v>
      </c>
      <c r="AH19" s="51" t="s">
        <v>2614</v>
      </c>
      <c r="AI19" s="51" t="s">
        <v>2614</v>
      </c>
      <c r="AJ19" s="51" t="s">
        <v>2614</v>
      </c>
      <c r="AK19" s="51" t="s">
        <v>2614</v>
      </c>
      <c r="AL19" s="51" t="s">
        <v>2614</v>
      </c>
      <c r="AM19" s="51" t="s">
        <v>2614</v>
      </c>
      <c r="AN19" s="51" t="s">
        <v>2614</v>
      </c>
      <c r="AO19" s="51" t="s">
        <v>2614</v>
      </c>
      <c r="AP19" s="51" t="s">
        <v>2614</v>
      </c>
      <c r="AQ19" s="51" t="s">
        <v>2614</v>
      </c>
      <c r="AR19" s="51" t="s">
        <v>2614</v>
      </c>
      <c r="AS19" s="51" t="s">
        <v>2614</v>
      </c>
      <c r="AT19" s="51" t="s">
        <v>2614</v>
      </c>
      <c r="AU19" s="51" t="s">
        <v>2614</v>
      </c>
      <c r="AV19" s="51" t="s">
        <v>2614</v>
      </c>
      <c r="AW19" s="51" t="s">
        <v>2614</v>
      </c>
      <c r="AX19" s="51" t="s">
        <v>2614</v>
      </c>
      <c r="AY19" s="51" t="s">
        <v>2614</v>
      </c>
      <c r="AZ19" s="51" t="s">
        <v>2614</v>
      </c>
      <c r="BA19" s="51" t="s">
        <v>2614</v>
      </c>
      <c r="BB19" s="51" t="s">
        <v>2614</v>
      </c>
    </row>
    <row r="20" spans="2:54" x14ac:dyDescent="0.25">
      <c r="B20" s="51" t="s">
        <v>2589</v>
      </c>
      <c r="C20" s="121">
        <v>18</v>
      </c>
      <c r="D20" s="51" t="s">
        <v>3364</v>
      </c>
      <c r="E20" s="119">
        <v>45492</v>
      </c>
      <c r="F20" s="51">
        <v>4</v>
      </c>
      <c r="G20" s="221">
        <v>0.999969</v>
      </c>
      <c r="H20" s="51">
        <v>45</v>
      </c>
      <c r="I20" s="51" t="s">
        <v>2614</v>
      </c>
      <c r="J20" s="51" t="s">
        <v>2614</v>
      </c>
      <c r="K20" s="51" t="s">
        <v>2614</v>
      </c>
      <c r="L20" s="51" t="s">
        <v>2614</v>
      </c>
      <c r="M20" s="51" t="s">
        <v>2614</v>
      </c>
      <c r="N20" s="51" t="s">
        <v>2614</v>
      </c>
      <c r="O20" s="51" t="s">
        <v>2614</v>
      </c>
      <c r="P20" s="51" t="s">
        <v>2614</v>
      </c>
      <c r="Q20" s="51" t="s">
        <v>2614</v>
      </c>
      <c r="R20" s="51" t="s">
        <v>2614</v>
      </c>
      <c r="S20" s="51" t="s">
        <v>2614</v>
      </c>
      <c r="T20" s="51" t="s">
        <v>2614</v>
      </c>
      <c r="U20" s="51" t="s">
        <v>2614</v>
      </c>
      <c r="V20" s="51" t="s">
        <v>2614</v>
      </c>
      <c r="W20" s="51" t="s">
        <v>2614</v>
      </c>
      <c r="X20" s="51" t="s">
        <v>2614</v>
      </c>
      <c r="Y20" s="51" t="s">
        <v>2614</v>
      </c>
      <c r="Z20" s="51" t="s">
        <v>2614</v>
      </c>
      <c r="AA20" s="51" t="s">
        <v>2614</v>
      </c>
      <c r="AB20" s="51" t="s">
        <v>2614</v>
      </c>
      <c r="AC20" s="51" t="s">
        <v>2614</v>
      </c>
      <c r="AD20" s="51" t="s">
        <v>2614</v>
      </c>
      <c r="AE20" s="51" t="s">
        <v>2614</v>
      </c>
      <c r="AF20" s="51" t="s">
        <v>2614</v>
      </c>
      <c r="AG20" s="51" t="s">
        <v>2614</v>
      </c>
      <c r="AH20" s="51" t="s">
        <v>2614</v>
      </c>
      <c r="AI20" s="51" t="s">
        <v>2614</v>
      </c>
      <c r="AJ20" s="51" t="s">
        <v>2614</v>
      </c>
      <c r="AK20" s="51" t="s">
        <v>2614</v>
      </c>
      <c r="AL20" s="51" t="s">
        <v>2614</v>
      </c>
      <c r="AM20" s="51" t="s">
        <v>2614</v>
      </c>
      <c r="AN20" s="51" t="s">
        <v>2614</v>
      </c>
      <c r="AO20" s="51" t="s">
        <v>2614</v>
      </c>
      <c r="AP20" s="51" t="s">
        <v>2614</v>
      </c>
      <c r="AQ20" s="51" t="s">
        <v>2614</v>
      </c>
      <c r="AR20" s="51" t="s">
        <v>2614</v>
      </c>
      <c r="AS20" s="51" t="s">
        <v>2614</v>
      </c>
      <c r="AT20" s="51" t="s">
        <v>2614</v>
      </c>
      <c r="AU20" s="51" t="s">
        <v>2614</v>
      </c>
      <c r="AV20" s="51" t="s">
        <v>2614</v>
      </c>
      <c r="AW20" s="51" t="s">
        <v>2614</v>
      </c>
      <c r="AX20" s="51" t="s">
        <v>2614</v>
      </c>
      <c r="AY20" s="51" t="s">
        <v>2614</v>
      </c>
      <c r="AZ20" s="51" t="s">
        <v>2614</v>
      </c>
      <c r="BA20" s="51" t="s">
        <v>2614</v>
      </c>
      <c r="BB20" s="51" t="s">
        <v>2614</v>
      </c>
    </row>
    <row r="21" spans="2:54" x14ac:dyDescent="0.25">
      <c r="B21" s="242" t="s">
        <v>3300</v>
      </c>
      <c r="C21" s="51">
        <v>19</v>
      </c>
      <c r="D21" s="51" t="s">
        <v>3365</v>
      </c>
      <c r="E21" s="119">
        <v>45492</v>
      </c>
      <c r="F21" s="51">
        <v>4</v>
      </c>
      <c r="G21" s="238" cm="1">
        <f t="array" ref="G21">SUMPRODUCT(--(ISNUMBER((SEARCH(I27:BB27,I21:BB21)))))/COUNTA(I21:BB21)</f>
        <v>0.97826086956521741</v>
      </c>
      <c r="H21" s="51">
        <v>0</v>
      </c>
      <c r="I21" s="51" t="s">
        <v>2654</v>
      </c>
      <c r="J21" s="51" t="s">
        <v>2654</v>
      </c>
      <c r="K21" s="51" t="s">
        <v>2654</v>
      </c>
      <c r="L21" s="51" t="s">
        <v>2654</v>
      </c>
      <c r="M21" s="51" t="s">
        <v>2654</v>
      </c>
      <c r="N21" s="51" t="s">
        <v>2654</v>
      </c>
      <c r="O21" s="51" t="s">
        <v>2654</v>
      </c>
      <c r="P21" s="51" t="s">
        <v>2654</v>
      </c>
      <c r="Q21" s="51" t="s">
        <v>2654</v>
      </c>
      <c r="R21" s="51" t="s">
        <v>2654</v>
      </c>
      <c r="S21" s="51" t="s">
        <v>2654</v>
      </c>
      <c r="T21" s="51" t="s">
        <v>3018</v>
      </c>
      <c r="U21" s="51" t="s">
        <v>2655</v>
      </c>
      <c r="V21" s="51" t="s">
        <v>2655</v>
      </c>
      <c r="W21" s="51" t="s">
        <v>2655</v>
      </c>
      <c r="X21" s="51" t="s">
        <v>2655</v>
      </c>
      <c r="Y21" s="51" t="s">
        <v>2655</v>
      </c>
      <c r="Z21" s="51" t="s">
        <v>2655</v>
      </c>
      <c r="AA21" s="51" t="s">
        <v>2654</v>
      </c>
      <c r="AB21" s="51" t="s">
        <v>2655</v>
      </c>
      <c r="AC21" s="51" t="s">
        <v>2655</v>
      </c>
      <c r="AD21" s="51" t="s">
        <v>2654</v>
      </c>
      <c r="AE21" s="51" t="s">
        <v>2655</v>
      </c>
      <c r="AF21" s="51" t="s">
        <v>2654</v>
      </c>
      <c r="AG21" s="51" t="s">
        <v>2655</v>
      </c>
      <c r="AH21" s="51" t="s">
        <v>2654</v>
      </c>
      <c r="AI21" s="51" t="s">
        <v>2655</v>
      </c>
      <c r="AJ21" s="51" t="s">
        <v>3018</v>
      </c>
      <c r="AK21" s="51" t="s">
        <v>2654</v>
      </c>
      <c r="AL21" s="51" t="s">
        <v>2654</v>
      </c>
      <c r="AM21" s="51" t="s">
        <v>2654</v>
      </c>
      <c r="AN21" s="51" t="s">
        <v>2655</v>
      </c>
      <c r="AO21" s="51" t="s">
        <v>2655</v>
      </c>
      <c r="AP21" s="51" t="s">
        <v>2655</v>
      </c>
      <c r="AQ21" s="51" t="s">
        <v>2655</v>
      </c>
      <c r="AR21" s="51" t="s">
        <v>2654</v>
      </c>
      <c r="AS21" s="51" t="s">
        <v>2654</v>
      </c>
      <c r="AT21" s="51" t="s">
        <v>2655</v>
      </c>
      <c r="AU21" s="51" t="s">
        <v>2655</v>
      </c>
      <c r="AV21" s="51" t="s">
        <v>2655</v>
      </c>
      <c r="AW21" s="51" t="s">
        <v>2655</v>
      </c>
      <c r="AX21" s="51" t="s">
        <v>2654</v>
      </c>
      <c r="AY21" s="51" t="s">
        <v>2654</v>
      </c>
      <c r="AZ21" s="51" t="s">
        <v>2654</v>
      </c>
      <c r="BA21" s="51" t="s">
        <v>2654</v>
      </c>
      <c r="BB21" s="51" t="s">
        <v>2656</v>
      </c>
    </row>
    <row r="22" spans="2:54" x14ac:dyDescent="0.25">
      <c r="B22" s="51" t="s">
        <v>2594</v>
      </c>
      <c r="C22" s="51">
        <v>20</v>
      </c>
      <c r="D22" s="51" t="s">
        <v>3365</v>
      </c>
      <c r="E22" s="119">
        <v>45492</v>
      </c>
      <c r="F22" s="51">
        <v>4</v>
      </c>
      <c r="G22" s="221" cm="1">
        <f t="array" ref="G22">SUM(IF(I2:BB2 = I26:BB26, 1, 0))/ COUNTA(I2:BB2)</f>
        <v>1</v>
      </c>
      <c r="H22" s="51" t="s">
        <v>2614</v>
      </c>
      <c r="I22" s="51" t="s">
        <v>2614</v>
      </c>
      <c r="J22" s="51" t="s">
        <v>2614</v>
      </c>
      <c r="K22" s="51" t="s">
        <v>2614</v>
      </c>
      <c r="L22" s="51" t="s">
        <v>2614</v>
      </c>
      <c r="M22" s="51" t="s">
        <v>2614</v>
      </c>
      <c r="N22" s="51" t="s">
        <v>2614</v>
      </c>
      <c r="O22" s="51" t="s">
        <v>2614</v>
      </c>
      <c r="P22" s="51" t="s">
        <v>2614</v>
      </c>
      <c r="Q22" s="51" t="s">
        <v>2614</v>
      </c>
      <c r="R22" s="51" t="s">
        <v>2614</v>
      </c>
      <c r="S22" s="51" t="s">
        <v>2614</v>
      </c>
      <c r="T22" s="51" t="s">
        <v>2614</v>
      </c>
      <c r="U22" s="51" t="s">
        <v>2614</v>
      </c>
      <c r="V22" s="51" t="s">
        <v>2614</v>
      </c>
      <c r="W22" s="51" t="s">
        <v>2614</v>
      </c>
      <c r="X22" s="51" t="s">
        <v>2614</v>
      </c>
      <c r="Y22" s="51" t="s">
        <v>2614</v>
      </c>
      <c r="Z22" s="51" t="s">
        <v>2614</v>
      </c>
      <c r="AA22" s="51" t="s">
        <v>2614</v>
      </c>
      <c r="AB22" s="51" t="s">
        <v>2614</v>
      </c>
      <c r="AC22" s="51" t="s">
        <v>2614</v>
      </c>
      <c r="AD22" s="51" t="s">
        <v>2614</v>
      </c>
      <c r="AE22" s="51" t="s">
        <v>2614</v>
      </c>
      <c r="AF22" s="51" t="s">
        <v>2614</v>
      </c>
      <c r="AG22" s="51" t="s">
        <v>2614</v>
      </c>
      <c r="AH22" s="51" t="s">
        <v>2614</v>
      </c>
      <c r="AI22" s="51" t="s">
        <v>2614</v>
      </c>
      <c r="AJ22" s="51" t="s">
        <v>2614</v>
      </c>
      <c r="AK22" s="51" t="s">
        <v>2614</v>
      </c>
      <c r="AL22" s="51" t="s">
        <v>2614</v>
      </c>
      <c r="AM22" s="51" t="s">
        <v>2614</v>
      </c>
      <c r="AN22" s="51" t="s">
        <v>2614</v>
      </c>
      <c r="AO22" s="51" t="s">
        <v>2614</v>
      </c>
      <c r="AP22" s="51" t="s">
        <v>2614</v>
      </c>
      <c r="AQ22" s="51" t="s">
        <v>2614</v>
      </c>
      <c r="AR22" s="51" t="s">
        <v>2614</v>
      </c>
      <c r="AS22" s="51" t="s">
        <v>2614</v>
      </c>
      <c r="AT22" s="51" t="s">
        <v>2614</v>
      </c>
      <c r="AU22" s="51" t="s">
        <v>2614</v>
      </c>
      <c r="AV22" s="51" t="s">
        <v>2614</v>
      </c>
      <c r="AW22" s="51" t="s">
        <v>2614</v>
      </c>
      <c r="AX22" s="51" t="s">
        <v>2614</v>
      </c>
      <c r="AY22" s="51" t="s">
        <v>2614</v>
      </c>
      <c r="AZ22" s="51" t="s">
        <v>2614</v>
      </c>
      <c r="BA22" s="51" t="s">
        <v>2614</v>
      </c>
      <c r="BB22" s="51" t="s">
        <v>2614</v>
      </c>
    </row>
    <row r="23" spans="2:54" x14ac:dyDescent="0.25">
      <c r="B23" s="51" t="s">
        <v>2597</v>
      </c>
      <c r="C23" s="51">
        <v>21</v>
      </c>
      <c r="D23" s="51" t="s">
        <v>3365</v>
      </c>
      <c r="E23" s="119">
        <v>45492</v>
      </c>
      <c r="F23" s="51">
        <v>4</v>
      </c>
      <c r="G23" s="221" cm="1">
        <f t="array" ref="G23">SUM(IF(IF(G3:G22="null",1,G3:G22)=1,1,0))/COUNT(IF(G3:G22="null",1,1))</f>
        <v>0.75</v>
      </c>
      <c r="H23" s="51" t="s">
        <v>2614</v>
      </c>
      <c r="I23" s="51" t="s">
        <v>2614</v>
      </c>
      <c r="J23" s="51" t="s">
        <v>2614</v>
      </c>
      <c r="K23" s="51" t="s">
        <v>2614</v>
      </c>
      <c r="L23" s="51" t="s">
        <v>2614</v>
      </c>
      <c r="M23" s="51" t="s">
        <v>2614</v>
      </c>
      <c r="N23" s="51" t="s">
        <v>2614</v>
      </c>
      <c r="O23" s="51" t="s">
        <v>2614</v>
      </c>
      <c r="P23" s="51" t="s">
        <v>2614</v>
      </c>
      <c r="Q23" s="51" t="s">
        <v>2614</v>
      </c>
      <c r="R23" s="51" t="s">
        <v>2614</v>
      </c>
      <c r="S23" s="51" t="s">
        <v>2614</v>
      </c>
      <c r="T23" s="51" t="s">
        <v>2614</v>
      </c>
      <c r="U23" s="51" t="s">
        <v>2614</v>
      </c>
      <c r="V23" s="51" t="s">
        <v>2614</v>
      </c>
      <c r="W23" s="51" t="s">
        <v>2614</v>
      </c>
      <c r="X23" s="51" t="s">
        <v>2614</v>
      </c>
      <c r="Y23" s="51" t="s">
        <v>2614</v>
      </c>
      <c r="Z23" s="51" t="s">
        <v>2614</v>
      </c>
      <c r="AA23" s="51" t="s">
        <v>2614</v>
      </c>
      <c r="AB23" s="51" t="s">
        <v>2614</v>
      </c>
      <c r="AC23" s="51" t="s">
        <v>2614</v>
      </c>
      <c r="AD23" s="51" t="s">
        <v>2614</v>
      </c>
      <c r="AE23" s="51" t="s">
        <v>2614</v>
      </c>
      <c r="AF23" s="51" t="s">
        <v>2614</v>
      </c>
      <c r="AG23" s="51" t="s">
        <v>2614</v>
      </c>
      <c r="AH23" s="51" t="s">
        <v>2614</v>
      </c>
      <c r="AI23" s="51" t="s">
        <v>2614</v>
      </c>
      <c r="AJ23" s="51" t="s">
        <v>2614</v>
      </c>
      <c r="AK23" s="51" t="s">
        <v>2614</v>
      </c>
      <c r="AL23" s="51" t="s">
        <v>2614</v>
      </c>
      <c r="AM23" s="51" t="s">
        <v>2614</v>
      </c>
      <c r="AN23" s="51" t="s">
        <v>2614</v>
      </c>
      <c r="AO23" s="51" t="s">
        <v>2614</v>
      </c>
      <c r="AP23" s="51" t="s">
        <v>2614</v>
      </c>
      <c r="AQ23" s="51" t="s">
        <v>2614</v>
      </c>
      <c r="AR23" s="51" t="s">
        <v>2614</v>
      </c>
      <c r="AS23" s="51" t="s">
        <v>2614</v>
      </c>
      <c r="AT23" s="51" t="s">
        <v>2614</v>
      </c>
      <c r="AU23" s="51" t="s">
        <v>2614</v>
      </c>
      <c r="AV23" s="51" t="s">
        <v>2614</v>
      </c>
      <c r="AW23" s="51" t="s">
        <v>2614</v>
      </c>
      <c r="AX23" s="51" t="s">
        <v>2614</v>
      </c>
      <c r="AY23" s="51" t="s">
        <v>2614</v>
      </c>
      <c r="AZ23" s="51" t="s">
        <v>2614</v>
      </c>
      <c r="BA23" s="51" t="s">
        <v>2614</v>
      </c>
      <c r="BB23" s="51" t="s">
        <v>2614</v>
      </c>
    </row>
    <row r="24" spans="2:54" x14ac:dyDescent="0.25">
      <c r="B24" s="51"/>
      <c r="C24" s="51"/>
      <c r="D24" s="51"/>
      <c r="E24" s="119"/>
      <c r="F24" s="51"/>
      <c r="G24" s="51"/>
      <c r="H24" s="51"/>
      <c r="I24" s="51"/>
      <c r="J24" s="51"/>
      <c r="K24" s="51"/>
      <c r="L24" s="51"/>
      <c r="M24" s="51"/>
      <c r="N24" s="51"/>
      <c r="O24" s="51"/>
      <c r="P24" s="51"/>
      <c r="Q24" s="51"/>
      <c r="R24" s="51"/>
      <c r="S24" s="51"/>
    </row>
    <row r="25" spans="2:54" x14ac:dyDescent="0.25">
      <c r="B25" s="154" t="s">
        <v>2657</v>
      </c>
    </row>
    <row r="26" spans="2:54" x14ac:dyDescent="0.25">
      <c r="B26" s="152" t="s">
        <v>2658</v>
      </c>
      <c r="C26" s="153" t="s">
        <v>2601</v>
      </c>
      <c r="D26" s="153" t="s">
        <v>2602</v>
      </c>
      <c r="E26" s="153" t="s">
        <v>2603</v>
      </c>
      <c r="F26" s="153" t="s">
        <v>2604</v>
      </c>
      <c r="G26" s="153" t="s">
        <v>2605</v>
      </c>
      <c r="H26" s="153" t="s">
        <v>2606</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308"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x14ac:dyDescent="0.25">
      <c r="B27" s="131" t="s">
        <v>2659</v>
      </c>
      <c r="C27" s="134">
        <v>21</v>
      </c>
      <c r="D27" s="128" t="s">
        <v>2660</v>
      </c>
      <c r="E27" s="127" t="s">
        <v>2661</v>
      </c>
      <c r="F27" s="127" t="s">
        <v>351</v>
      </c>
      <c r="G27" s="127" t="s">
        <v>351</v>
      </c>
      <c r="H27" s="127" t="s">
        <v>351</v>
      </c>
      <c r="I27" s="127" t="str" cm="1">
        <f t="array" ref="I27:BB28">TRANSPOSE(_xlfn.SORTBY(_xlfn._xlws.FILTER(IF(Table3[FORMATO]:Table3[COMP_ CAMPO]&lt;&gt;"",Table3[FORMATO]:Table3[COMP_ CAMPO],9999999),Table3[NOME FÍSICO TABELA]="loan"), _xlfn._xlws.FILTER(Table3[ORDEM], Table3[NOME FÍSICO TABELA]="loan"), 1))</f>
        <v>STRING</v>
      </c>
      <c r="J27" s="127" t="str">
        <v>STRING</v>
      </c>
      <c r="K27" s="127" t="str">
        <v>STRING</v>
      </c>
      <c r="L27" s="127" t="str">
        <v>STRING</v>
      </c>
      <c r="M27" s="127" t="str">
        <v>STRING</v>
      </c>
      <c r="N27" s="127" t="str">
        <v>STRING</v>
      </c>
      <c r="O27" s="127" t="str">
        <v>STRING</v>
      </c>
      <c r="P27" s="127" t="str">
        <v>STRING</v>
      </c>
      <c r="Q27" s="127" t="str">
        <v>STRING</v>
      </c>
      <c r="R27" s="127" t="str">
        <v>STRING</v>
      </c>
      <c r="S27" s="127" t="str">
        <v>STRING</v>
      </c>
      <c r="T27" s="127" t="str">
        <v>INT</v>
      </c>
      <c r="U27" s="127" t="str">
        <v>DECIMAL</v>
      </c>
      <c r="V27" s="127" t="str">
        <v>DECIMAL</v>
      </c>
      <c r="W27" s="127" t="str">
        <v>DECIMAL</v>
      </c>
      <c r="X27" s="127" t="str">
        <v>DECIMAL</v>
      </c>
      <c r="Y27" s="127" t="str">
        <v>DECIMAL</v>
      </c>
      <c r="Z27" s="127" t="str">
        <v>DECIMAL</v>
      </c>
      <c r="AA27" s="127" t="str">
        <v>STRING</v>
      </c>
      <c r="AB27" s="127" t="str">
        <v>DECIMAL</v>
      </c>
      <c r="AC27" s="127" t="str">
        <v>DECIMAL</v>
      </c>
      <c r="AD27" s="309" t="str">
        <v>DECIMAL</v>
      </c>
      <c r="AE27" s="127" t="str">
        <v>DECIMAL</v>
      </c>
      <c r="AF27" s="127" t="str">
        <v>STRING</v>
      </c>
      <c r="AG27" s="300" t="str">
        <v>DECIMAL</v>
      </c>
      <c r="AH27" s="300" t="str">
        <v>STRING</v>
      </c>
      <c r="AI27" s="127" t="str">
        <v>DECIMAL</v>
      </c>
      <c r="AJ27" s="127" t="str">
        <v>INT</v>
      </c>
      <c r="AK27" s="127" t="str">
        <v>STRING</v>
      </c>
      <c r="AL27" s="127" t="str">
        <v>STRING</v>
      </c>
      <c r="AM27" s="127" t="str">
        <v>STRING</v>
      </c>
      <c r="AN27" s="127" t="str">
        <v>DECIMAL</v>
      </c>
      <c r="AO27" s="127" t="str">
        <v>DECIMAL</v>
      </c>
      <c r="AP27" s="127" t="str">
        <v>DECIMAL</v>
      </c>
      <c r="AQ27" s="127" t="str">
        <v>DECIMAL</v>
      </c>
      <c r="AR27" s="127" t="str">
        <v>STRING</v>
      </c>
      <c r="AS27" s="127" t="str">
        <v>STRING</v>
      </c>
      <c r="AT27" s="127" t="str">
        <v>DECIMAL</v>
      </c>
      <c r="AU27" s="127" t="str">
        <v>DECIMAL</v>
      </c>
      <c r="AV27" s="127" t="str">
        <v>DECIMAL</v>
      </c>
      <c r="AW27" s="127" t="str">
        <v>DECIMAL</v>
      </c>
      <c r="AX27" s="127" t="str">
        <v>STRING</v>
      </c>
      <c r="AY27" s="129" t="str">
        <v>STRING</v>
      </c>
      <c r="AZ27" s="129" t="str">
        <v>STRING</v>
      </c>
      <c r="BA27" s="129" t="str">
        <v>STRING</v>
      </c>
      <c r="BB27" s="133" t="str">
        <v>TIMESTAMP</v>
      </c>
    </row>
    <row r="28" spans="2:54" x14ac:dyDescent="0.25">
      <c r="B28" s="131" t="s">
        <v>2662</v>
      </c>
      <c r="C28" s="134">
        <v>7</v>
      </c>
      <c r="D28" s="128" t="s">
        <v>2660</v>
      </c>
      <c r="E28" s="127" t="s">
        <v>2661</v>
      </c>
      <c r="F28" s="129" t="s">
        <v>351</v>
      </c>
      <c r="G28" s="129" t="s">
        <v>351</v>
      </c>
      <c r="H28" s="129" t="s">
        <v>351</v>
      </c>
      <c r="I28" s="175">
        <v>4</v>
      </c>
      <c r="J28" s="175">
        <v>30</v>
      </c>
      <c r="K28" s="175">
        <v>20</v>
      </c>
      <c r="L28" s="175">
        <v>20</v>
      </c>
      <c r="M28" s="175">
        <v>20</v>
      </c>
      <c r="N28" s="175">
        <v>4</v>
      </c>
      <c r="O28" s="175">
        <v>30</v>
      </c>
      <c r="P28" s="175">
        <v>10</v>
      </c>
      <c r="Q28" s="175">
        <v>10</v>
      </c>
      <c r="R28" s="175">
        <v>3</v>
      </c>
      <c r="S28" s="175">
        <v>9999999</v>
      </c>
      <c r="T28" s="175">
        <v>9999999</v>
      </c>
      <c r="U28" s="175">
        <v>23</v>
      </c>
      <c r="V28" s="175">
        <v>23</v>
      </c>
      <c r="W28" s="175">
        <v>23</v>
      </c>
      <c r="X28" s="175">
        <v>23</v>
      </c>
      <c r="Y28" s="175">
        <v>23</v>
      </c>
      <c r="Z28" s="175">
        <v>23</v>
      </c>
      <c r="AA28" s="175">
        <v>10</v>
      </c>
      <c r="AB28" s="175">
        <v>23</v>
      </c>
      <c r="AC28" s="175">
        <v>23</v>
      </c>
      <c r="AD28" s="310">
        <v>23</v>
      </c>
      <c r="AE28" s="175">
        <v>23</v>
      </c>
      <c r="AF28" s="175">
        <v>10</v>
      </c>
      <c r="AG28" s="175">
        <v>23</v>
      </c>
      <c r="AH28" s="175">
        <v>10</v>
      </c>
      <c r="AI28" s="175">
        <v>23</v>
      </c>
      <c r="AJ28" s="175">
        <v>9999999</v>
      </c>
      <c r="AK28" s="175">
        <v>9999999</v>
      </c>
      <c r="AL28" s="175">
        <v>9999999</v>
      </c>
      <c r="AM28" s="175">
        <v>20</v>
      </c>
      <c r="AN28" s="175">
        <v>23</v>
      </c>
      <c r="AO28" s="175">
        <v>23</v>
      </c>
      <c r="AP28" s="175">
        <v>23</v>
      </c>
      <c r="AQ28" s="175">
        <v>23</v>
      </c>
      <c r="AR28" s="175">
        <v>3</v>
      </c>
      <c r="AS28" s="175">
        <v>20</v>
      </c>
      <c r="AT28" s="175">
        <v>23</v>
      </c>
      <c r="AU28" s="175">
        <v>23</v>
      </c>
      <c r="AV28" s="175">
        <v>23</v>
      </c>
      <c r="AW28" s="175">
        <v>23</v>
      </c>
      <c r="AX28" s="175">
        <v>3</v>
      </c>
      <c r="AY28" s="175">
        <v>3</v>
      </c>
      <c r="AZ28" s="175">
        <v>2</v>
      </c>
      <c r="BA28" s="175">
        <v>10</v>
      </c>
      <c r="BB28" s="176">
        <v>23</v>
      </c>
    </row>
    <row r="30" spans="2:54" x14ac:dyDescent="0.25">
      <c r="B30" s="164" t="s">
        <v>2663</v>
      </c>
    </row>
    <row r="31" spans="2:54" x14ac:dyDescent="0.25">
      <c r="B31" s="158" t="s">
        <v>2664</v>
      </c>
      <c r="C31" s="158" t="s">
        <v>2665</v>
      </c>
      <c r="D31" s="159" t="s">
        <v>2666</v>
      </c>
      <c r="E31" s="158" t="s">
        <v>2667</v>
      </c>
      <c r="F31" s="158" t="s">
        <v>2668</v>
      </c>
      <c r="H31" t="s">
        <v>3366</v>
      </c>
    </row>
    <row r="32" spans="2:54" ht="60" x14ac:dyDescent="0.25">
      <c r="B32" s="330" t="s">
        <v>2837</v>
      </c>
      <c r="C32" s="333" t="s">
        <v>2084</v>
      </c>
      <c r="D32" s="334" t="s">
        <v>3367</v>
      </c>
      <c r="E32" s="335"/>
      <c r="F32" s="336"/>
      <c r="H32" s="329" t="s">
        <v>3368</v>
      </c>
      <c r="J32" s="50"/>
      <c r="L32" s="50"/>
    </row>
    <row r="33" spans="2:12" ht="45" x14ac:dyDescent="0.25">
      <c r="B33" s="161" t="s">
        <v>2734</v>
      </c>
      <c r="C33" s="162" t="s">
        <v>204</v>
      </c>
      <c r="D33" s="303" t="s">
        <v>3369</v>
      </c>
      <c r="E33" s="304" t="s">
        <v>3370</v>
      </c>
      <c r="F33" s="217" t="s">
        <v>2741</v>
      </c>
      <c r="H33" s="302"/>
      <c r="J33" s="50"/>
      <c r="L33" s="50"/>
    </row>
    <row r="34" spans="2:12" ht="30" x14ac:dyDescent="0.25">
      <c r="B34" s="161" t="s">
        <v>2734</v>
      </c>
      <c r="C34" s="139" t="s">
        <v>1905</v>
      </c>
      <c r="D34" s="305" t="s">
        <v>3371</v>
      </c>
      <c r="E34" s="170" t="s">
        <v>3372</v>
      </c>
      <c r="F34" s="160" t="s">
        <v>2741</v>
      </c>
    </row>
    <row r="35" spans="2:12" ht="105" x14ac:dyDescent="0.25">
      <c r="B35" s="161" t="s">
        <v>2734</v>
      </c>
      <c r="C35" s="139" t="s">
        <v>3373</v>
      </c>
      <c r="D35" s="305" t="s">
        <v>3374</v>
      </c>
      <c r="E35" s="170" t="s">
        <v>3375</v>
      </c>
      <c r="F35" s="217" t="s">
        <v>2747</v>
      </c>
    </row>
    <row r="36" spans="2:12" ht="30" x14ac:dyDescent="0.25">
      <c r="B36" s="161" t="s">
        <v>2734</v>
      </c>
      <c r="C36" s="139" t="s">
        <v>3376</v>
      </c>
      <c r="D36" s="305" t="s">
        <v>3377</v>
      </c>
      <c r="E36" s="170" t="s">
        <v>2683</v>
      </c>
      <c r="F36" s="160" t="s">
        <v>2741</v>
      </c>
    </row>
    <row r="37" spans="2:12" ht="120" x14ac:dyDescent="0.25">
      <c r="B37" s="330" t="s">
        <v>2734</v>
      </c>
      <c r="C37" s="201" t="s">
        <v>3378</v>
      </c>
      <c r="D37" s="331" t="s">
        <v>3379</v>
      </c>
      <c r="E37" s="332" t="s">
        <v>3380</v>
      </c>
      <c r="F37" s="204" t="s">
        <v>3381</v>
      </c>
    </row>
    <row r="38" spans="2:12" ht="90" x14ac:dyDescent="0.25">
      <c r="B38" s="161" t="s">
        <v>2734</v>
      </c>
      <c r="C38" s="139" t="s">
        <v>1296</v>
      </c>
      <c r="D38" s="305" t="s">
        <v>3382</v>
      </c>
      <c r="E38" s="170" t="s">
        <v>3383</v>
      </c>
      <c r="F38" s="160" t="s">
        <v>3384</v>
      </c>
    </row>
    <row r="39" spans="2:12" ht="60" x14ac:dyDescent="0.25">
      <c r="B39" s="161" t="s">
        <v>2734</v>
      </c>
      <c r="C39" s="139" t="s">
        <v>1303</v>
      </c>
      <c r="D39" s="305" t="s">
        <v>3385</v>
      </c>
      <c r="E39" s="170" t="s">
        <v>3386</v>
      </c>
      <c r="F39" s="160" t="s">
        <v>3387</v>
      </c>
    </row>
    <row r="40" spans="2:12" ht="90" x14ac:dyDescent="0.25">
      <c r="B40" s="161" t="s">
        <v>2734</v>
      </c>
      <c r="C40" s="139" t="s">
        <v>1309</v>
      </c>
      <c r="D40" s="305" t="s">
        <v>3388</v>
      </c>
      <c r="E40" s="170" t="s">
        <v>3389</v>
      </c>
      <c r="F40" s="160" t="s">
        <v>3390</v>
      </c>
      <c r="H40" s="51"/>
    </row>
    <row r="41" spans="2:12" ht="150" x14ac:dyDescent="0.25">
      <c r="B41" s="161" t="s">
        <v>2734</v>
      </c>
      <c r="C41" s="141" t="s">
        <v>1313</v>
      </c>
      <c r="D41" s="306" t="s">
        <v>3391</v>
      </c>
      <c r="E41" s="170" t="s">
        <v>3392</v>
      </c>
      <c r="F41" s="160" t="s">
        <v>3393</v>
      </c>
    </row>
    <row r="42" spans="2:12" ht="135" x14ac:dyDescent="0.25">
      <c r="B42" s="161" t="s">
        <v>2734</v>
      </c>
      <c r="C42" s="139" t="s">
        <v>408</v>
      </c>
      <c r="D42" s="321" t="s">
        <v>3394</v>
      </c>
      <c r="E42" s="121" t="s">
        <v>3395</v>
      </c>
      <c r="F42" s="217" t="s">
        <v>3396</v>
      </c>
    </row>
    <row r="43" spans="2:12" ht="255" x14ac:dyDescent="0.25">
      <c r="B43" s="161" t="s">
        <v>2734</v>
      </c>
      <c r="C43" s="139" t="s">
        <v>417</v>
      </c>
      <c r="D43" s="321" t="s">
        <v>3397</v>
      </c>
      <c r="E43" s="170" t="s">
        <v>3398</v>
      </c>
      <c r="F43" s="217" t="s">
        <v>3399</v>
      </c>
    </row>
    <row r="44" spans="2:12" ht="315" x14ac:dyDescent="0.25">
      <c r="B44" s="330" t="s">
        <v>2734</v>
      </c>
      <c r="C44" s="201" t="s">
        <v>1325</v>
      </c>
      <c r="D44" s="337" t="s">
        <v>3400</v>
      </c>
      <c r="E44" s="338" t="s">
        <v>3401</v>
      </c>
      <c r="F44" s="336" t="s">
        <v>3402</v>
      </c>
      <c r="I44" s="315"/>
    </row>
    <row r="45" spans="2:12" ht="90" x14ac:dyDescent="0.25">
      <c r="B45" s="161" t="s">
        <v>2734</v>
      </c>
      <c r="C45" s="139" t="s">
        <v>1695</v>
      </c>
      <c r="D45" s="306" t="s">
        <v>3403</v>
      </c>
      <c r="E45" s="170" t="s">
        <v>3404</v>
      </c>
      <c r="F45" s="217" t="s">
        <v>3387</v>
      </c>
      <c r="I45" s="315"/>
    </row>
    <row r="46" spans="2:12" ht="90" x14ac:dyDescent="0.25">
      <c r="B46" s="161" t="s">
        <v>2734</v>
      </c>
      <c r="C46" s="162" t="s">
        <v>1701</v>
      </c>
      <c r="D46" s="307" t="s">
        <v>3405</v>
      </c>
      <c r="E46" s="171" t="s">
        <v>3406</v>
      </c>
      <c r="F46" s="217" t="s">
        <v>2744</v>
      </c>
      <c r="I46" s="51"/>
      <c r="J46" s="51"/>
      <c r="K46" s="51"/>
    </row>
    <row r="47" spans="2:12" ht="60" x14ac:dyDescent="0.25">
      <c r="B47" s="161" t="s">
        <v>2734</v>
      </c>
      <c r="C47" s="139" t="s">
        <v>1337</v>
      </c>
      <c r="D47" s="307" t="s">
        <v>3407</v>
      </c>
      <c r="E47" s="170" t="s">
        <v>3408</v>
      </c>
      <c r="F47" s="217" t="s">
        <v>2741</v>
      </c>
      <c r="I47" s="315"/>
    </row>
    <row r="48" spans="2:12" ht="60" x14ac:dyDescent="0.25">
      <c r="B48" s="161" t="s">
        <v>2734</v>
      </c>
      <c r="C48" s="139" t="s">
        <v>2104</v>
      </c>
      <c r="D48" s="307" t="s">
        <v>3409</v>
      </c>
      <c r="E48" s="171" t="s">
        <v>3410</v>
      </c>
      <c r="F48" s="217" t="s">
        <v>2741</v>
      </c>
      <c r="I48" s="315"/>
    </row>
    <row r="49" spans="2:11" ht="135" x14ac:dyDescent="0.25">
      <c r="B49" s="161" t="s">
        <v>2734</v>
      </c>
      <c r="C49" s="139" t="s">
        <v>649</v>
      </c>
      <c r="D49" s="306" t="s">
        <v>3411</v>
      </c>
      <c r="E49" s="170" t="s">
        <v>3412</v>
      </c>
      <c r="F49" s="217" t="s">
        <v>3413</v>
      </c>
    </row>
    <row r="50" spans="2:11" ht="90" x14ac:dyDescent="0.25">
      <c r="B50" s="161" t="s">
        <v>2734</v>
      </c>
      <c r="C50" s="139" t="s">
        <v>658</v>
      </c>
      <c r="D50" s="307" t="s">
        <v>3405</v>
      </c>
      <c r="E50" s="171" t="s">
        <v>3414</v>
      </c>
      <c r="F50" s="217" t="s">
        <v>2744</v>
      </c>
      <c r="I50" s="51"/>
      <c r="J50" s="51"/>
    </row>
    <row r="51" spans="2:11" ht="90" x14ac:dyDescent="0.25">
      <c r="B51" s="161" t="s">
        <v>2734</v>
      </c>
      <c r="C51" s="139" t="s">
        <v>665</v>
      </c>
      <c r="D51" s="307" t="s">
        <v>3415</v>
      </c>
      <c r="E51" s="170" t="s">
        <v>3416</v>
      </c>
      <c r="F51" s="217" t="s">
        <v>2744</v>
      </c>
      <c r="K51" s="50"/>
    </row>
    <row r="52" spans="2:11" ht="45" x14ac:dyDescent="0.25">
      <c r="B52" s="161" t="s">
        <v>2734</v>
      </c>
      <c r="C52" s="162" t="s">
        <v>2109</v>
      </c>
      <c r="D52" s="307" t="s">
        <v>3417</v>
      </c>
      <c r="E52" s="171" t="s">
        <v>3418</v>
      </c>
      <c r="F52" s="217" t="s">
        <v>2741</v>
      </c>
    </row>
    <row r="53" spans="2:11" ht="30" x14ac:dyDescent="0.25">
      <c r="B53" s="161" t="s">
        <v>2734</v>
      </c>
      <c r="C53" s="162" t="s">
        <v>312</v>
      </c>
      <c r="D53" s="307" t="s">
        <v>3419</v>
      </c>
      <c r="E53" s="171" t="s">
        <v>3420</v>
      </c>
      <c r="F53" s="217" t="s">
        <v>2741</v>
      </c>
    </row>
    <row r="54" spans="2:11" ht="45" x14ac:dyDescent="0.25">
      <c r="B54" s="324" t="s">
        <v>2734</v>
      </c>
      <c r="C54" s="325" t="s">
        <v>302</v>
      </c>
      <c r="D54" s="326" t="s">
        <v>3421</v>
      </c>
      <c r="E54" s="327" t="s">
        <v>3422</v>
      </c>
      <c r="F54" s="328" t="s">
        <v>2741</v>
      </c>
    </row>
    <row r="55" spans="2:11" ht="195" x14ac:dyDescent="0.25">
      <c r="B55" s="319" t="s">
        <v>2677</v>
      </c>
      <c r="C55" s="323" t="s">
        <v>2396</v>
      </c>
      <c r="D55" s="316" t="s">
        <v>3423</v>
      </c>
      <c r="E55" s="317" t="s">
        <v>3424</v>
      </c>
      <c r="F55" s="318"/>
    </row>
    <row r="56" spans="2:11" x14ac:dyDescent="0.25">
      <c r="B56" s="319" t="s">
        <v>2681</v>
      </c>
      <c r="C56" s="320" t="s">
        <v>3425</v>
      </c>
      <c r="D56" s="316"/>
      <c r="E56" s="317" t="s">
        <v>3426</v>
      </c>
      <c r="F56" s="318"/>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8F57-2371-4C6B-B8AA-9C376150C791}">
  <sheetPr>
    <tabColor rgb="FF00B050"/>
  </sheetPr>
  <dimension ref="B1:AO38"/>
  <sheetViews>
    <sheetView showGridLines="0" topLeftCell="A27" workbookViewId="0">
      <selection activeCell="E36" sqref="E36"/>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8" t="s">
        <v>2684</v>
      </c>
      <c r="C2" s="98" t="s">
        <v>2601</v>
      </c>
      <c r="D2" s="98" t="s">
        <v>2602</v>
      </c>
      <c r="E2" s="98" t="s">
        <v>2603</v>
      </c>
      <c r="F2" s="98" t="s">
        <v>2604</v>
      </c>
      <c r="G2" s="98" t="s">
        <v>2605</v>
      </c>
      <c r="H2" s="98" t="s">
        <v>2606</v>
      </c>
      <c r="I2" s="98" t="s">
        <v>138</v>
      </c>
      <c r="J2" s="98" t="s">
        <v>153</v>
      </c>
      <c r="K2" s="98" t="s">
        <v>165</v>
      </c>
      <c r="L2" s="98" t="s">
        <v>173</v>
      </c>
      <c r="M2" s="98" t="s">
        <v>185</v>
      </c>
      <c r="N2" s="98" t="s">
        <v>194</v>
      </c>
      <c r="O2" s="98" t="s">
        <v>204</v>
      </c>
      <c r="P2" s="98" t="s">
        <v>215</v>
      </c>
      <c r="Q2" s="98" t="s">
        <v>227</v>
      </c>
      <c r="R2" s="98" t="s">
        <v>239</v>
      </c>
      <c r="S2" s="98" t="s">
        <v>2205</v>
      </c>
      <c r="T2" s="98" t="s">
        <v>1406</v>
      </c>
      <c r="U2" s="98" t="s">
        <v>2211</v>
      </c>
      <c r="V2" s="98" t="s">
        <v>1834</v>
      </c>
      <c r="W2" s="98" t="s">
        <v>1837</v>
      </c>
      <c r="X2" s="98" t="s">
        <v>1839</v>
      </c>
      <c r="Y2" s="98" t="s">
        <v>1842</v>
      </c>
      <c r="Z2" s="98" t="s">
        <v>1844</v>
      </c>
      <c r="AA2" s="98" t="s">
        <v>1847</v>
      </c>
      <c r="AB2" s="98" t="s">
        <v>1850</v>
      </c>
      <c r="AC2" s="98" t="s">
        <v>1852</v>
      </c>
      <c r="AD2" s="98" t="s">
        <v>1855</v>
      </c>
      <c r="AE2" s="98" t="s">
        <v>1857</v>
      </c>
      <c r="AF2" s="98" t="s">
        <v>302</v>
      </c>
      <c r="AG2" s="98" t="s">
        <v>312</v>
      </c>
      <c r="AH2" s="98" t="s">
        <v>323</v>
      </c>
      <c r="AI2" s="98" t="s">
        <v>330</v>
      </c>
      <c r="AJ2" s="98" t="s">
        <v>337</v>
      </c>
      <c r="AK2" s="98"/>
      <c r="AL2" s="98"/>
      <c r="AM2" s="98"/>
      <c r="AN2" s="98"/>
    </row>
    <row r="3" spans="2:40" x14ac:dyDescent="0.25">
      <c r="B3" s="51" t="s">
        <v>2554</v>
      </c>
      <c r="C3" s="51">
        <v>1</v>
      </c>
      <c r="D3" s="51" t="s">
        <v>3427</v>
      </c>
      <c r="E3" s="119">
        <v>45495</v>
      </c>
      <c r="F3" s="51">
        <v>3</v>
      </c>
      <c r="G3" s="122">
        <v>1</v>
      </c>
      <c r="H3" s="122">
        <v>269078</v>
      </c>
      <c r="I3" s="51" t="s">
        <v>2614</v>
      </c>
      <c r="J3" s="51" t="s">
        <v>2614</v>
      </c>
      <c r="K3" s="51" t="s">
        <v>2614</v>
      </c>
      <c r="L3" s="51" t="s">
        <v>2614</v>
      </c>
      <c r="M3" s="51" t="s">
        <v>2614</v>
      </c>
      <c r="N3" s="51" t="s">
        <v>2614</v>
      </c>
      <c r="O3" s="51" t="s">
        <v>2614</v>
      </c>
      <c r="P3" s="51" t="s">
        <v>2614</v>
      </c>
      <c r="Q3" s="51" t="s">
        <v>2614</v>
      </c>
      <c r="R3" s="51" t="s">
        <v>2614</v>
      </c>
      <c r="S3" s="51" t="s">
        <v>2614</v>
      </c>
      <c r="T3" s="51" t="s">
        <v>2614</v>
      </c>
      <c r="U3" s="312" t="s">
        <v>2614</v>
      </c>
      <c r="V3" s="312" t="s">
        <v>2614</v>
      </c>
      <c r="W3" s="312" t="s">
        <v>2614</v>
      </c>
      <c r="X3" s="312" t="s">
        <v>2614</v>
      </c>
      <c r="Y3" s="312" t="s">
        <v>2614</v>
      </c>
      <c r="Z3" s="312" t="s">
        <v>2614</v>
      </c>
      <c r="AA3" s="312" t="s">
        <v>2614</v>
      </c>
      <c r="AB3" s="312" t="s">
        <v>2614</v>
      </c>
      <c r="AC3" s="312" t="s">
        <v>2614</v>
      </c>
      <c r="AD3" s="312" t="s">
        <v>2614</v>
      </c>
      <c r="AE3" s="312" t="s">
        <v>2614</v>
      </c>
      <c r="AF3" s="51" t="s">
        <v>2614</v>
      </c>
      <c r="AG3" s="51" t="s">
        <v>2614</v>
      </c>
      <c r="AH3" s="51" t="s">
        <v>2614</v>
      </c>
      <c r="AI3" s="51" t="s">
        <v>2614</v>
      </c>
      <c r="AJ3" s="51" t="s">
        <v>2614</v>
      </c>
      <c r="AK3" s="51"/>
      <c r="AL3" s="51"/>
      <c r="AM3" s="51"/>
      <c r="AN3" s="51"/>
    </row>
    <row r="4" spans="2:40" x14ac:dyDescent="0.25">
      <c r="B4" s="51" t="s">
        <v>2556</v>
      </c>
      <c r="C4" s="51">
        <v>2</v>
      </c>
      <c r="D4" s="51" t="s">
        <v>3428</v>
      </c>
      <c r="E4" s="119">
        <v>45495</v>
      </c>
      <c r="F4" s="51">
        <v>3</v>
      </c>
      <c r="G4" s="51">
        <v>0.99996300000000005</v>
      </c>
      <c r="H4" s="122">
        <v>10</v>
      </c>
      <c r="I4" s="51" t="s">
        <v>2614</v>
      </c>
      <c r="J4" s="51" t="s">
        <v>2614</v>
      </c>
      <c r="K4" s="51" t="s">
        <v>2614</v>
      </c>
      <c r="L4" s="51" t="s">
        <v>2614</v>
      </c>
      <c r="M4" s="51" t="s">
        <v>2614</v>
      </c>
      <c r="N4" s="51" t="s">
        <v>2614</v>
      </c>
      <c r="O4" s="51" t="s">
        <v>2614</v>
      </c>
      <c r="P4" s="51" t="s">
        <v>2614</v>
      </c>
      <c r="Q4" s="51" t="s">
        <v>2614</v>
      </c>
      <c r="R4" s="51" t="s">
        <v>2614</v>
      </c>
      <c r="S4" s="51" t="s">
        <v>2614</v>
      </c>
      <c r="T4" s="51" t="s">
        <v>2614</v>
      </c>
      <c r="U4" s="312" t="s">
        <v>2614</v>
      </c>
      <c r="V4" s="312" t="s">
        <v>2614</v>
      </c>
      <c r="W4" s="312" t="s">
        <v>2614</v>
      </c>
      <c r="X4" s="312" t="s">
        <v>2614</v>
      </c>
      <c r="Y4" s="312" t="s">
        <v>2614</v>
      </c>
      <c r="Z4" s="312" t="s">
        <v>2614</v>
      </c>
      <c r="AA4" s="312" t="s">
        <v>2614</v>
      </c>
      <c r="AB4" s="312" t="s">
        <v>2614</v>
      </c>
      <c r="AC4" s="312" t="s">
        <v>2614</v>
      </c>
      <c r="AD4" s="312" t="s">
        <v>2614</v>
      </c>
      <c r="AE4" s="312" t="s">
        <v>2614</v>
      </c>
      <c r="AF4" s="51" t="s">
        <v>2614</v>
      </c>
      <c r="AG4" s="51" t="s">
        <v>2614</v>
      </c>
      <c r="AH4" s="51" t="s">
        <v>2614</v>
      </c>
      <c r="AI4" s="51" t="s">
        <v>2614</v>
      </c>
      <c r="AJ4" s="51" t="s">
        <v>2614</v>
      </c>
      <c r="AK4" s="51"/>
      <c r="AL4" s="51"/>
      <c r="AM4" s="51"/>
      <c r="AN4" s="51"/>
    </row>
    <row r="5" spans="2:40" x14ac:dyDescent="0.25">
      <c r="B5" s="51" t="s">
        <v>2558</v>
      </c>
      <c r="C5" s="51">
        <v>3</v>
      </c>
      <c r="D5" s="51" t="s">
        <v>3429</v>
      </c>
      <c r="E5" s="119">
        <v>45495</v>
      </c>
      <c r="F5" s="51">
        <v>3</v>
      </c>
      <c r="G5" s="122">
        <v>1</v>
      </c>
      <c r="H5" s="51" t="s">
        <v>2616</v>
      </c>
      <c r="I5" s="51">
        <v>0</v>
      </c>
      <c r="J5" s="51">
        <v>0</v>
      </c>
      <c r="K5" s="51" t="s">
        <v>2614</v>
      </c>
      <c r="L5" s="51" t="s">
        <v>2614</v>
      </c>
      <c r="M5" s="51" t="s">
        <v>2614</v>
      </c>
      <c r="N5" s="51" t="s">
        <v>2614</v>
      </c>
      <c r="O5" s="51" t="s">
        <v>2614</v>
      </c>
      <c r="P5" s="51" t="s">
        <v>2614</v>
      </c>
      <c r="Q5" s="51" t="s">
        <v>2614</v>
      </c>
      <c r="R5" s="51" t="s">
        <v>2614</v>
      </c>
      <c r="S5" s="51" t="s">
        <v>2614</v>
      </c>
      <c r="T5" s="51" t="s">
        <v>2614</v>
      </c>
      <c r="U5" s="312" t="s">
        <v>2614</v>
      </c>
      <c r="V5" s="312" t="s">
        <v>2614</v>
      </c>
      <c r="W5" s="312" t="s">
        <v>2614</v>
      </c>
      <c r="X5" s="312" t="s">
        <v>2614</v>
      </c>
      <c r="Y5" s="312" t="s">
        <v>2614</v>
      </c>
      <c r="Z5" s="312" t="s">
        <v>2614</v>
      </c>
      <c r="AA5" s="312" t="s">
        <v>2614</v>
      </c>
      <c r="AB5" s="312" t="s">
        <v>2614</v>
      </c>
      <c r="AC5" s="312" t="s">
        <v>2614</v>
      </c>
      <c r="AD5" s="312" t="s">
        <v>2614</v>
      </c>
      <c r="AE5" s="312" t="s">
        <v>2614</v>
      </c>
      <c r="AF5" s="51" t="s">
        <v>2614</v>
      </c>
      <c r="AG5" s="51" t="s">
        <v>2614</v>
      </c>
      <c r="AH5" s="51" t="s">
        <v>2614</v>
      </c>
      <c r="AI5" s="51">
        <v>0</v>
      </c>
      <c r="AJ5" s="51" t="s">
        <v>2614</v>
      </c>
      <c r="AK5" s="51"/>
      <c r="AL5" s="51"/>
      <c r="AM5" s="51"/>
      <c r="AN5" s="51"/>
    </row>
    <row r="6" spans="2:40" x14ac:dyDescent="0.25">
      <c r="B6" s="121" t="s">
        <v>2560</v>
      </c>
      <c r="C6" s="51">
        <v>4</v>
      </c>
      <c r="D6" s="51" t="s">
        <v>2618</v>
      </c>
      <c r="E6" s="119" t="s">
        <v>2614</v>
      </c>
      <c r="F6" s="51">
        <v>3</v>
      </c>
      <c r="G6" s="51" t="s">
        <v>2614</v>
      </c>
      <c r="H6" s="51"/>
      <c r="I6" s="51" t="s">
        <v>2614</v>
      </c>
      <c r="J6" s="51" t="s">
        <v>2614</v>
      </c>
      <c r="K6" s="51" t="s">
        <v>2614</v>
      </c>
      <c r="L6" s="51" t="s">
        <v>2614</v>
      </c>
      <c r="M6" s="51" t="s">
        <v>2614</v>
      </c>
      <c r="N6" s="51" t="s">
        <v>2614</v>
      </c>
      <c r="O6" s="51" t="s">
        <v>2614</v>
      </c>
      <c r="P6" s="51" t="s">
        <v>2614</v>
      </c>
      <c r="Q6" s="51" t="s">
        <v>2614</v>
      </c>
      <c r="R6" s="51" t="s">
        <v>2614</v>
      </c>
      <c r="S6" s="51" t="s">
        <v>2614</v>
      </c>
      <c r="T6" s="51" t="s">
        <v>2614</v>
      </c>
      <c r="U6" s="312" t="s">
        <v>2614</v>
      </c>
      <c r="V6" s="312" t="s">
        <v>2614</v>
      </c>
      <c r="W6" s="312" t="s">
        <v>2614</v>
      </c>
      <c r="X6" s="312" t="s">
        <v>2614</v>
      </c>
      <c r="Y6" s="312" t="s">
        <v>2614</v>
      </c>
      <c r="Z6" s="312" t="s">
        <v>2614</v>
      </c>
      <c r="AA6" s="312" t="s">
        <v>2614</v>
      </c>
      <c r="AB6" s="312" t="s">
        <v>2614</v>
      </c>
      <c r="AC6" s="312" t="s">
        <v>2614</v>
      </c>
      <c r="AD6" s="312" t="s">
        <v>2614</v>
      </c>
      <c r="AE6" s="312" t="s">
        <v>2614</v>
      </c>
      <c r="AF6" s="51" t="s">
        <v>2614</v>
      </c>
      <c r="AG6" s="51" t="s">
        <v>2614</v>
      </c>
      <c r="AH6" s="51" t="s">
        <v>2614</v>
      </c>
      <c r="AI6" s="51" t="s">
        <v>2614</v>
      </c>
      <c r="AJ6" s="51" t="s">
        <v>2614</v>
      </c>
      <c r="AK6" s="51"/>
      <c r="AL6" s="51"/>
      <c r="AM6" s="51"/>
      <c r="AN6" s="51"/>
    </row>
    <row r="7" spans="2:40" x14ac:dyDescent="0.25">
      <c r="B7" s="51" t="s">
        <v>2562</v>
      </c>
      <c r="C7" s="51">
        <v>5</v>
      </c>
      <c r="D7" s="51" t="s">
        <v>2618</v>
      </c>
      <c r="E7" s="119" t="s">
        <v>2614</v>
      </c>
      <c r="F7" s="51">
        <v>3</v>
      </c>
      <c r="G7" s="51" t="s">
        <v>2614</v>
      </c>
      <c r="H7" s="51"/>
      <c r="I7" s="51" t="s">
        <v>2614</v>
      </c>
      <c r="J7" s="51" t="s">
        <v>2614</v>
      </c>
      <c r="K7" s="51" t="s">
        <v>2614</v>
      </c>
      <c r="L7" s="51" t="s">
        <v>2614</v>
      </c>
      <c r="M7" s="51" t="s">
        <v>2614</v>
      </c>
      <c r="N7" s="51" t="s">
        <v>2614</v>
      </c>
      <c r="O7" s="51" t="s">
        <v>2614</v>
      </c>
      <c r="P7" s="51" t="s">
        <v>2614</v>
      </c>
      <c r="Q7" s="51" t="s">
        <v>2614</v>
      </c>
      <c r="R7" s="51" t="s">
        <v>2614</v>
      </c>
      <c r="S7" s="51" t="s">
        <v>2614</v>
      </c>
      <c r="T7" s="51" t="s">
        <v>2614</v>
      </c>
      <c r="U7" s="312" t="s">
        <v>2614</v>
      </c>
      <c r="V7" s="312" t="s">
        <v>2614</v>
      </c>
      <c r="W7" s="312" t="s">
        <v>2614</v>
      </c>
      <c r="X7" s="312" t="s">
        <v>2614</v>
      </c>
      <c r="Y7" s="312" t="s">
        <v>2614</v>
      </c>
      <c r="Z7" s="312" t="s">
        <v>2614</v>
      </c>
      <c r="AA7" s="312" t="s">
        <v>2614</v>
      </c>
      <c r="AB7" s="312" t="s">
        <v>2614</v>
      </c>
      <c r="AC7" s="312" t="s">
        <v>2614</v>
      </c>
      <c r="AD7" s="312" t="s">
        <v>2614</v>
      </c>
      <c r="AE7" s="312" t="s">
        <v>2614</v>
      </c>
      <c r="AF7" s="51" t="s">
        <v>2614</v>
      </c>
      <c r="AG7" s="51" t="s">
        <v>2614</v>
      </c>
      <c r="AH7" s="51" t="s">
        <v>2614</v>
      </c>
      <c r="AI7" s="51" t="s">
        <v>2614</v>
      </c>
      <c r="AJ7" s="51" t="s">
        <v>2614</v>
      </c>
      <c r="AK7" s="51"/>
      <c r="AL7" s="51"/>
      <c r="AM7" s="51"/>
      <c r="AN7" s="51"/>
    </row>
    <row r="8" spans="2:40" x14ac:dyDescent="0.25">
      <c r="B8" s="121" t="s">
        <v>2563</v>
      </c>
      <c r="C8" s="51">
        <v>6</v>
      </c>
      <c r="D8" s="51" t="s">
        <v>3430</v>
      </c>
      <c r="E8" s="119">
        <v>45495</v>
      </c>
      <c r="F8" s="51">
        <v>3</v>
      </c>
      <c r="G8" s="238" cm="1">
        <f t="array" ref="G8">SUMPRODUCT(--(I8:AJ8&gt;0))/COUNTA(I8:AJ8)</f>
        <v>1</v>
      </c>
      <c r="H8" s="51" t="s">
        <v>2616</v>
      </c>
      <c r="I8" s="51">
        <v>2</v>
      </c>
      <c r="J8" s="51">
        <v>30</v>
      </c>
      <c r="K8" s="51">
        <v>3</v>
      </c>
      <c r="L8" s="51">
        <v>3</v>
      </c>
      <c r="M8" s="51">
        <v>3</v>
      </c>
      <c r="N8" s="51">
        <v>2</v>
      </c>
      <c r="O8" s="51">
        <v>30</v>
      </c>
      <c r="P8" s="51">
        <v>10</v>
      </c>
      <c r="Q8" s="51">
        <v>10</v>
      </c>
      <c r="R8" s="51">
        <v>3</v>
      </c>
      <c r="S8" s="122">
        <v>8</v>
      </c>
      <c r="T8" s="122">
        <v>8</v>
      </c>
      <c r="U8" s="312">
        <v>26</v>
      </c>
      <c r="V8" s="312">
        <v>27</v>
      </c>
      <c r="W8" s="312">
        <v>24</v>
      </c>
      <c r="X8" s="312">
        <v>26</v>
      </c>
      <c r="Y8" s="312">
        <v>22</v>
      </c>
      <c r="Z8" s="312">
        <v>29</v>
      </c>
      <c r="AA8" s="312">
        <v>26</v>
      </c>
      <c r="AB8" s="312">
        <v>24</v>
      </c>
      <c r="AC8" s="312">
        <v>26</v>
      </c>
      <c r="AD8" s="312">
        <v>22</v>
      </c>
      <c r="AE8" s="312">
        <v>29</v>
      </c>
      <c r="AF8" s="51">
        <v>3</v>
      </c>
      <c r="AG8" s="51" t="s">
        <v>2844</v>
      </c>
      <c r="AH8" s="51">
        <v>2</v>
      </c>
      <c r="AI8" s="51">
        <v>10</v>
      </c>
      <c r="AJ8" s="51">
        <v>22</v>
      </c>
      <c r="AK8" s="51"/>
      <c r="AL8" s="51"/>
      <c r="AM8" s="51"/>
      <c r="AN8" s="51"/>
    </row>
    <row r="9" spans="2:40" x14ac:dyDescent="0.25">
      <c r="B9" s="51" t="s">
        <v>2566</v>
      </c>
      <c r="C9" s="51">
        <v>7</v>
      </c>
      <c r="D9" s="51" t="s">
        <v>3431</v>
      </c>
      <c r="E9" s="119">
        <v>45495</v>
      </c>
      <c r="F9" s="51">
        <v>3</v>
      </c>
      <c r="G9" s="238" cm="1">
        <f t="array" ref="G9">SUMPRODUCT(--(I9:AJ9 &lt;= I28:AJ28))/COUNTA(I28:AJ28)</f>
        <v>0.6428571428571429</v>
      </c>
      <c r="H9" s="51" t="s">
        <v>2616</v>
      </c>
      <c r="I9" s="51">
        <v>2</v>
      </c>
      <c r="J9" s="51">
        <v>30</v>
      </c>
      <c r="K9" s="51">
        <v>3</v>
      </c>
      <c r="L9" s="51">
        <v>3</v>
      </c>
      <c r="M9" s="51">
        <v>3</v>
      </c>
      <c r="N9" s="51">
        <v>2</v>
      </c>
      <c r="O9" s="51">
        <v>30</v>
      </c>
      <c r="P9" s="51">
        <v>10</v>
      </c>
      <c r="Q9" s="51">
        <v>10</v>
      </c>
      <c r="R9" s="51">
        <v>3</v>
      </c>
      <c r="S9" s="51">
        <v>16</v>
      </c>
      <c r="T9" s="51">
        <v>16</v>
      </c>
      <c r="U9" s="312">
        <v>26</v>
      </c>
      <c r="V9" s="312">
        <v>27</v>
      </c>
      <c r="W9" s="312">
        <v>24</v>
      </c>
      <c r="X9" s="312">
        <v>26</v>
      </c>
      <c r="Y9" s="312">
        <v>22</v>
      </c>
      <c r="Z9" s="312">
        <v>29</v>
      </c>
      <c r="AA9" s="312">
        <v>26</v>
      </c>
      <c r="AB9" s="312">
        <v>24</v>
      </c>
      <c r="AC9" s="312">
        <v>26</v>
      </c>
      <c r="AD9" s="312">
        <v>22</v>
      </c>
      <c r="AE9" s="312">
        <v>29</v>
      </c>
      <c r="AF9" s="51">
        <v>3</v>
      </c>
      <c r="AG9" s="51" t="s">
        <v>2844</v>
      </c>
      <c r="AH9" s="51">
        <v>2</v>
      </c>
      <c r="AI9" s="51">
        <v>10</v>
      </c>
      <c r="AJ9" s="51">
        <v>22</v>
      </c>
      <c r="AK9" s="51"/>
      <c r="AL9" s="51"/>
      <c r="AM9" s="51"/>
      <c r="AN9" s="51"/>
    </row>
    <row r="10" spans="2:40" x14ac:dyDescent="0.25">
      <c r="B10" s="51" t="s">
        <v>2569</v>
      </c>
      <c r="C10" s="51">
        <v>8</v>
      </c>
      <c r="D10" s="51" t="s">
        <v>3432</v>
      </c>
      <c r="E10" s="119">
        <v>45495</v>
      </c>
      <c r="F10" s="51">
        <v>3</v>
      </c>
      <c r="G10" s="51" t="s">
        <v>2614</v>
      </c>
      <c r="H10" s="51" t="s">
        <v>2616</v>
      </c>
      <c r="I10" s="51">
        <v>31</v>
      </c>
      <c r="J10" s="51">
        <v>2.4845061000001999E+22</v>
      </c>
      <c r="K10" s="51" t="s">
        <v>3433</v>
      </c>
      <c r="L10" s="51">
        <v>61</v>
      </c>
      <c r="M10" s="51">
        <v>0</v>
      </c>
      <c r="N10" s="51">
        <v>31</v>
      </c>
      <c r="O10" s="51">
        <v>2.1208001000000002E+22</v>
      </c>
      <c r="P10" s="119">
        <v>26384</v>
      </c>
      <c r="Q10" s="119">
        <v>40121</v>
      </c>
      <c r="R10" s="122">
        <v>36</v>
      </c>
      <c r="S10" s="122" t="s">
        <v>2616</v>
      </c>
      <c r="T10" s="122" t="s">
        <v>2616</v>
      </c>
      <c r="U10" s="313" t="s">
        <v>2211</v>
      </c>
      <c r="V10" s="313" t="s">
        <v>1834</v>
      </c>
      <c r="W10" s="312" t="s">
        <v>1837</v>
      </c>
      <c r="X10" s="313" t="s">
        <v>1839</v>
      </c>
      <c r="Y10" s="313" t="s">
        <v>1842</v>
      </c>
      <c r="Z10" s="312" t="s">
        <v>1844</v>
      </c>
      <c r="AA10" s="312" t="s">
        <v>1847</v>
      </c>
      <c r="AB10" s="312" t="s">
        <v>1850</v>
      </c>
      <c r="AC10" s="312" t="s">
        <v>1852</v>
      </c>
      <c r="AD10" s="312" t="s">
        <v>1855</v>
      </c>
      <c r="AE10" s="312" t="s">
        <v>1857</v>
      </c>
      <c r="AF10" s="51" t="s">
        <v>2696</v>
      </c>
      <c r="AG10" s="51" t="s">
        <v>2844</v>
      </c>
      <c r="AH10" s="51" t="s">
        <v>3434</v>
      </c>
      <c r="AI10" s="119">
        <v>45495</v>
      </c>
      <c r="AJ10" s="51" t="s">
        <v>3435</v>
      </c>
      <c r="AK10" s="51"/>
      <c r="AL10" s="51"/>
      <c r="AM10" s="119"/>
      <c r="AN10" s="119"/>
    </row>
    <row r="11" spans="2:40" x14ac:dyDescent="0.25">
      <c r="B11" s="51" t="s">
        <v>2571</v>
      </c>
      <c r="C11" s="51">
        <v>9</v>
      </c>
      <c r="D11" s="51" t="s">
        <v>3436</v>
      </c>
      <c r="E11" s="119">
        <v>45495</v>
      </c>
      <c r="F11" s="51">
        <v>3</v>
      </c>
      <c r="G11" s="51" t="s">
        <v>2614</v>
      </c>
      <c r="H11" s="51" t="s">
        <v>2616</v>
      </c>
      <c r="I11" s="51">
        <v>31</v>
      </c>
      <c r="J11" s="51">
        <v>2.4845061000001999E+22</v>
      </c>
      <c r="K11" s="51"/>
      <c r="L11" s="51">
        <v>61</v>
      </c>
      <c r="M11" s="51">
        <v>0</v>
      </c>
      <c r="N11" s="119"/>
      <c r="O11" s="51">
        <v>2.1208001000000002E+22</v>
      </c>
      <c r="P11" s="119">
        <v>26384</v>
      </c>
      <c r="Q11" s="119">
        <v>40121</v>
      </c>
      <c r="R11" s="51">
        <v>36</v>
      </c>
      <c r="S11" s="51" t="s">
        <v>2631</v>
      </c>
      <c r="T11" s="51" t="s">
        <v>2631</v>
      </c>
      <c r="U11" s="312" t="s">
        <v>2211</v>
      </c>
      <c r="V11" s="312" t="s">
        <v>1834</v>
      </c>
      <c r="W11" s="312" t="s">
        <v>1837</v>
      </c>
      <c r="X11" s="313" t="s">
        <v>1839</v>
      </c>
      <c r="Y11" s="313" t="s">
        <v>1842</v>
      </c>
      <c r="Z11" s="312" t="s">
        <v>1844</v>
      </c>
      <c r="AA11" s="312" t="s">
        <v>1847</v>
      </c>
      <c r="AB11" s="312" t="s">
        <v>1850</v>
      </c>
      <c r="AC11" s="312" t="s">
        <v>1852</v>
      </c>
      <c r="AD11" s="312" t="s">
        <v>1855</v>
      </c>
      <c r="AE11" s="312" t="s">
        <v>1857</v>
      </c>
      <c r="AF11" s="51" t="s">
        <v>2767</v>
      </c>
      <c r="AG11" s="51" t="s">
        <v>2844</v>
      </c>
      <c r="AH11" s="51" t="s">
        <v>3434</v>
      </c>
      <c r="AI11" s="119">
        <v>45495</v>
      </c>
      <c r="AJ11" s="51" t="s">
        <v>3437</v>
      </c>
      <c r="AK11" s="51"/>
      <c r="AL11" s="51"/>
      <c r="AM11" s="119"/>
      <c r="AN11" s="119"/>
    </row>
    <row r="12" spans="2:40" x14ac:dyDescent="0.25">
      <c r="B12" s="121" t="s">
        <v>2573</v>
      </c>
      <c r="C12" s="51">
        <v>10</v>
      </c>
      <c r="D12" s="51" t="s">
        <v>3438</v>
      </c>
      <c r="E12" s="119">
        <v>45495</v>
      </c>
      <c r="F12" s="51">
        <v>3</v>
      </c>
      <c r="G12" s="51" t="s">
        <v>2614</v>
      </c>
      <c r="H12" s="51" t="s">
        <v>2616</v>
      </c>
      <c r="I12" s="51">
        <v>31</v>
      </c>
      <c r="J12" s="51">
        <v>5.4060000086906101E+29</v>
      </c>
      <c r="K12" s="51" t="s">
        <v>3433</v>
      </c>
      <c r="L12" s="51">
        <v>269</v>
      </c>
      <c r="M12" s="51" t="s">
        <v>3439</v>
      </c>
      <c r="N12" s="51">
        <v>31</v>
      </c>
      <c r="O12" s="51">
        <v>2.39700506824024E+29</v>
      </c>
      <c r="P12" s="119">
        <v>45495</v>
      </c>
      <c r="Q12" s="119">
        <v>50908</v>
      </c>
      <c r="R12" s="51">
        <v>978</v>
      </c>
      <c r="S12" s="221">
        <v>99995000000</v>
      </c>
      <c r="T12" s="122">
        <v>120000000000000</v>
      </c>
      <c r="U12" s="313" t="s">
        <v>2211</v>
      </c>
      <c r="V12" s="313" t="s">
        <v>1834</v>
      </c>
      <c r="W12" s="313" t="s">
        <v>1837</v>
      </c>
      <c r="X12" s="313" t="s">
        <v>1839</v>
      </c>
      <c r="Y12" s="313" t="s">
        <v>1842</v>
      </c>
      <c r="Z12" s="313" t="s">
        <v>1844</v>
      </c>
      <c r="AA12" s="312" t="s">
        <v>1847</v>
      </c>
      <c r="AB12" s="312" t="s">
        <v>1850</v>
      </c>
      <c r="AC12" s="314" t="s">
        <v>1852</v>
      </c>
      <c r="AD12" s="312" t="s">
        <v>1855</v>
      </c>
      <c r="AE12" s="312" t="s">
        <v>1857</v>
      </c>
      <c r="AF12" s="51" t="s">
        <v>2696</v>
      </c>
      <c r="AG12" s="51" t="s">
        <v>2844</v>
      </c>
      <c r="AH12" s="119" t="s">
        <v>3434</v>
      </c>
      <c r="AI12" s="119">
        <v>45495</v>
      </c>
      <c r="AJ12" s="51" t="s">
        <v>3435</v>
      </c>
      <c r="AK12" s="51"/>
      <c r="AL12" s="51"/>
      <c r="AM12" s="119"/>
      <c r="AN12" s="119"/>
    </row>
    <row r="13" spans="2:40" x14ac:dyDescent="0.25">
      <c r="B13" s="51" t="s">
        <v>2575</v>
      </c>
      <c r="C13" s="51">
        <v>11</v>
      </c>
      <c r="D13" s="51" t="s">
        <v>3440</v>
      </c>
      <c r="E13" s="119">
        <v>45495</v>
      </c>
      <c r="F13" s="51">
        <v>3</v>
      </c>
      <c r="G13" s="51" t="s">
        <v>2614</v>
      </c>
      <c r="H13" s="51" t="s">
        <v>2616</v>
      </c>
      <c r="I13" s="51">
        <v>31</v>
      </c>
      <c r="J13" s="51">
        <v>5.4060000086906101E+29</v>
      </c>
      <c r="K13" s="51"/>
      <c r="L13" s="51">
        <v>269</v>
      </c>
      <c r="M13" s="51" t="s">
        <v>3439</v>
      </c>
      <c r="N13" s="119"/>
      <c r="O13" s="51">
        <v>2.39700506824024E+29</v>
      </c>
      <c r="P13" s="119">
        <v>45495</v>
      </c>
      <c r="Q13" s="119">
        <v>50908</v>
      </c>
      <c r="R13" s="51">
        <v>978</v>
      </c>
      <c r="S13" s="119" t="s">
        <v>3441</v>
      </c>
      <c r="T13" s="122" t="s">
        <v>3441</v>
      </c>
      <c r="U13" s="312" t="s">
        <v>2211</v>
      </c>
      <c r="V13" s="312" t="s">
        <v>1834</v>
      </c>
      <c r="W13" s="312" t="s">
        <v>1837</v>
      </c>
      <c r="X13" s="313" t="s">
        <v>1839</v>
      </c>
      <c r="Y13" s="313" t="s">
        <v>1842</v>
      </c>
      <c r="Z13" s="313" t="s">
        <v>1844</v>
      </c>
      <c r="AA13" s="312" t="s">
        <v>1847</v>
      </c>
      <c r="AB13" s="312" t="s">
        <v>1850</v>
      </c>
      <c r="AC13" s="314" t="s">
        <v>1852</v>
      </c>
      <c r="AD13" s="312" t="s">
        <v>1855</v>
      </c>
      <c r="AE13" s="312" t="s">
        <v>1857</v>
      </c>
      <c r="AF13" s="51" t="s">
        <v>2767</v>
      </c>
      <c r="AG13" s="51" t="s">
        <v>2844</v>
      </c>
      <c r="AH13" s="119" t="s">
        <v>3434</v>
      </c>
      <c r="AI13" s="119">
        <v>45495</v>
      </c>
      <c r="AJ13" s="51" t="s">
        <v>3442</v>
      </c>
      <c r="AK13" s="51"/>
      <c r="AL13" s="51"/>
      <c r="AM13" s="119"/>
      <c r="AN13" s="119"/>
    </row>
    <row r="14" spans="2:40" x14ac:dyDescent="0.25">
      <c r="B14" s="51" t="s">
        <v>2577</v>
      </c>
      <c r="C14" s="51">
        <v>12</v>
      </c>
      <c r="D14" s="51" t="s">
        <v>3443</v>
      </c>
      <c r="E14" s="119">
        <v>45495</v>
      </c>
      <c r="F14" s="51">
        <v>3</v>
      </c>
      <c r="G14" s="51">
        <v>0.89285700000000001</v>
      </c>
      <c r="H14" s="51" t="s">
        <v>2616</v>
      </c>
      <c r="I14" s="51">
        <v>0</v>
      </c>
      <c r="J14" s="51">
        <v>0</v>
      </c>
      <c r="K14" s="51">
        <v>0</v>
      </c>
      <c r="L14" s="51">
        <v>0</v>
      </c>
      <c r="M14" s="51">
        <v>0</v>
      </c>
      <c r="N14" s="51">
        <v>0</v>
      </c>
      <c r="O14" s="51">
        <v>6</v>
      </c>
      <c r="P14" s="51">
        <v>0</v>
      </c>
      <c r="Q14" s="51">
        <v>0</v>
      </c>
      <c r="R14" s="51">
        <v>251</v>
      </c>
      <c r="S14" s="51">
        <v>251</v>
      </c>
      <c r="T14" s="51">
        <v>251</v>
      </c>
      <c r="U14" s="313">
        <v>0</v>
      </c>
      <c r="V14" s="313">
        <v>0</v>
      </c>
      <c r="W14" s="313">
        <v>0</v>
      </c>
      <c r="X14" s="312">
        <v>0</v>
      </c>
      <c r="Y14" s="312">
        <v>0</v>
      </c>
      <c r="Z14" s="312">
        <v>0</v>
      </c>
      <c r="AA14" s="312">
        <v>0</v>
      </c>
      <c r="AB14" s="312">
        <v>0</v>
      </c>
      <c r="AC14" s="312">
        <v>0</v>
      </c>
      <c r="AD14" s="312">
        <v>0</v>
      </c>
      <c r="AE14" s="312">
        <v>0</v>
      </c>
      <c r="AF14" s="51">
        <v>0</v>
      </c>
      <c r="AG14" s="51">
        <v>269078</v>
      </c>
      <c r="AH14" s="51">
        <v>0</v>
      </c>
      <c r="AI14" s="51">
        <v>0</v>
      </c>
      <c r="AJ14" s="51">
        <v>0</v>
      </c>
      <c r="AK14" s="51"/>
      <c r="AL14" s="51"/>
      <c r="AM14" s="51"/>
      <c r="AN14" s="51"/>
    </row>
    <row r="15" spans="2:40" x14ac:dyDescent="0.25">
      <c r="B15" s="51" t="s">
        <v>2579</v>
      </c>
      <c r="C15" s="51">
        <v>13</v>
      </c>
      <c r="D15" s="51" t="s">
        <v>3444</v>
      </c>
      <c r="E15" s="119">
        <v>45495</v>
      </c>
      <c r="F15" s="51">
        <v>3</v>
      </c>
      <c r="G15" s="122">
        <v>1</v>
      </c>
      <c r="H15" s="51" t="s">
        <v>2616</v>
      </c>
      <c r="I15" s="51" t="s">
        <v>2614</v>
      </c>
      <c r="J15" s="51" t="s">
        <v>2614</v>
      </c>
      <c r="K15" s="51" t="s">
        <v>2614</v>
      </c>
      <c r="L15" s="51" t="s">
        <v>2614</v>
      </c>
      <c r="M15" s="51" t="s">
        <v>2614</v>
      </c>
      <c r="N15" s="119" t="s">
        <v>2614</v>
      </c>
      <c r="O15" s="119" t="s">
        <v>2614</v>
      </c>
      <c r="P15" s="51">
        <v>0</v>
      </c>
      <c r="Q15" s="51">
        <v>0</v>
      </c>
      <c r="R15" s="51" t="s">
        <v>2614</v>
      </c>
      <c r="S15" s="119" t="s">
        <v>2614</v>
      </c>
      <c r="T15" s="119" t="s">
        <v>2614</v>
      </c>
      <c r="U15" s="312" t="s">
        <v>2614</v>
      </c>
      <c r="V15" s="312" t="s">
        <v>2614</v>
      </c>
      <c r="W15" s="312" t="s">
        <v>2614</v>
      </c>
      <c r="X15" s="312" t="s">
        <v>2614</v>
      </c>
      <c r="Y15" s="312" t="s">
        <v>2614</v>
      </c>
      <c r="Z15" s="312" t="s">
        <v>2614</v>
      </c>
      <c r="AA15" s="312" t="s">
        <v>2614</v>
      </c>
      <c r="AB15" s="312" t="s">
        <v>2614</v>
      </c>
      <c r="AC15" s="314" t="s">
        <v>2614</v>
      </c>
      <c r="AD15" s="312" t="s">
        <v>2614</v>
      </c>
      <c r="AE15" s="312" t="s">
        <v>2614</v>
      </c>
      <c r="AF15" s="51" t="s">
        <v>2614</v>
      </c>
      <c r="AG15" s="51" t="s">
        <v>2614</v>
      </c>
      <c r="AH15" s="119" t="s">
        <v>2614</v>
      </c>
      <c r="AI15" s="51" t="s">
        <v>2614</v>
      </c>
      <c r="AJ15" s="51" t="s">
        <v>2614</v>
      </c>
      <c r="AK15" s="51"/>
      <c r="AL15" s="51"/>
      <c r="AM15" s="51"/>
      <c r="AN15" s="119"/>
    </row>
    <row r="16" spans="2:40" x14ac:dyDescent="0.25">
      <c r="B16" s="51" t="s">
        <v>2581</v>
      </c>
      <c r="C16" s="51">
        <v>14</v>
      </c>
      <c r="D16" s="51" t="s">
        <v>3445</v>
      </c>
      <c r="E16" s="119">
        <v>45495</v>
      </c>
      <c r="F16" s="51">
        <v>3</v>
      </c>
      <c r="G16" s="122">
        <v>1</v>
      </c>
      <c r="H16" s="51" t="s">
        <v>2616</v>
      </c>
      <c r="I16" s="51">
        <v>0</v>
      </c>
      <c r="J16" s="51">
        <v>0</v>
      </c>
      <c r="K16" s="51">
        <v>0</v>
      </c>
      <c r="L16" s="51">
        <v>0</v>
      </c>
      <c r="M16" s="51">
        <v>0</v>
      </c>
      <c r="N16" s="51">
        <v>0</v>
      </c>
      <c r="O16" s="51">
        <v>0</v>
      </c>
      <c r="P16" s="51" t="s">
        <v>2614</v>
      </c>
      <c r="Q16" s="51" t="s">
        <v>2614</v>
      </c>
      <c r="R16" s="51">
        <v>0</v>
      </c>
      <c r="S16" s="51" t="s">
        <v>2614</v>
      </c>
      <c r="T16" s="51" t="s">
        <v>2614</v>
      </c>
      <c r="U16" s="312" t="s">
        <v>2614</v>
      </c>
      <c r="V16" s="312" t="s">
        <v>2614</v>
      </c>
      <c r="W16" s="312" t="s">
        <v>2614</v>
      </c>
      <c r="X16" s="312" t="s">
        <v>2614</v>
      </c>
      <c r="Y16" s="312" t="s">
        <v>2614</v>
      </c>
      <c r="Z16" s="312" t="s">
        <v>2614</v>
      </c>
      <c r="AA16" s="312" t="s">
        <v>2614</v>
      </c>
      <c r="AB16" s="312" t="s">
        <v>2614</v>
      </c>
      <c r="AC16" s="312" t="s">
        <v>2614</v>
      </c>
      <c r="AD16" s="312" t="s">
        <v>2614</v>
      </c>
      <c r="AE16" s="312" t="s">
        <v>2614</v>
      </c>
      <c r="AF16" s="51">
        <v>0</v>
      </c>
      <c r="AG16" s="51">
        <v>0</v>
      </c>
      <c r="AH16" s="51">
        <v>0</v>
      </c>
      <c r="AI16" s="51" t="s">
        <v>2614</v>
      </c>
      <c r="AJ16" s="51" t="s">
        <v>2614</v>
      </c>
      <c r="AK16" s="51"/>
      <c r="AL16" s="51"/>
      <c r="AM16" s="51"/>
      <c r="AN16" s="51"/>
    </row>
    <row r="17" spans="2:41" x14ac:dyDescent="0.25">
      <c r="B17" s="51" t="s">
        <v>2583</v>
      </c>
      <c r="C17" s="51">
        <v>15</v>
      </c>
      <c r="D17" s="51" t="s">
        <v>3446</v>
      </c>
      <c r="E17" s="119">
        <v>45495</v>
      </c>
      <c r="F17" s="51">
        <v>3</v>
      </c>
      <c r="G17" s="122">
        <v>1</v>
      </c>
      <c r="H17" s="122" t="s">
        <v>2616</v>
      </c>
      <c r="I17" s="51" t="s">
        <v>2614</v>
      </c>
      <c r="J17" s="51" t="s">
        <v>2614</v>
      </c>
      <c r="K17" s="51" t="s">
        <v>2614</v>
      </c>
      <c r="L17" s="51" t="s">
        <v>2614</v>
      </c>
      <c r="M17" s="51" t="s">
        <v>2614</v>
      </c>
      <c r="N17" s="121" t="s">
        <v>2614</v>
      </c>
      <c r="O17" s="121" t="s">
        <v>2614</v>
      </c>
      <c r="P17" s="121" t="s">
        <v>2614</v>
      </c>
      <c r="Q17" s="121" t="s">
        <v>2614</v>
      </c>
      <c r="R17" s="121" t="s">
        <v>2614</v>
      </c>
      <c r="S17" s="51" t="s">
        <v>2614</v>
      </c>
      <c r="T17" s="121" t="s">
        <v>2614</v>
      </c>
      <c r="U17" s="312" t="s">
        <v>2614</v>
      </c>
      <c r="V17" s="312" t="s">
        <v>2614</v>
      </c>
      <c r="W17" s="312" t="s">
        <v>2614</v>
      </c>
      <c r="X17" s="312" t="s">
        <v>2614</v>
      </c>
      <c r="Y17" s="312" t="s">
        <v>2614</v>
      </c>
      <c r="Z17" s="312" t="s">
        <v>2614</v>
      </c>
      <c r="AA17" s="312" t="s">
        <v>2614</v>
      </c>
      <c r="AB17" s="312" t="s">
        <v>2614</v>
      </c>
      <c r="AC17" s="312" t="s">
        <v>2614</v>
      </c>
      <c r="AD17" s="312" t="s">
        <v>2614</v>
      </c>
      <c r="AE17" s="312" t="s">
        <v>2614</v>
      </c>
      <c r="AF17" s="51" t="s">
        <v>2614</v>
      </c>
      <c r="AG17" s="51" t="s">
        <v>2614</v>
      </c>
      <c r="AH17" s="51" t="s">
        <v>2614</v>
      </c>
      <c r="AI17" s="51" t="s">
        <v>2614</v>
      </c>
      <c r="AJ17" s="51" t="s">
        <v>2614</v>
      </c>
      <c r="AK17" s="51"/>
      <c r="AL17" s="51"/>
      <c r="AM17" s="51"/>
      <c r="AN17" s="51"/>
    </row>
    <row r="18" spans="2:41" x14ac:dyDescent="0.25">
      <c r="B18" s="51" t="s">
        <v>2585</v>
      </c>
      <c r="C18" s="51">
        <v>16</v>
      </c>
      <c r="D18" s="51" t="s">
        <v>3446</v>
      </c>
      <c r="E18" s="119">
        <v>45495</v>
      </c>
      <c r="F18" s="51">
        <v>3</v>
      </c>
      <c r="G18" s="122">
        <v>1</v>
      </c>
      <c r="H18" s="122" t="s">
        <v>2616</v>
      </c>
      <c r="I18" s="51" t="s">
        <v>2614</v>
      </c>
      <c r="J18" s="51" t="s">
        <v>2614</v>
      </c>
      <c r="K18" s="51" t="s">
        <v>2614</v>
      </c>
      <c r="L18" s="51" t="s">
        <v>2614</v>
      </c>
      <c r="M18" s="51" t="s">
        <v>2614</v>
      </c>
      <c r="N18" s="121" t="s">
        <v>2614</v>
      </c>
      <c r="O18" s="121" t="s">
        <v>2614</v>
      </c>
      <c r="P18" s="51" t="s">
        <v>2614</v>
      </c>
      <c r="Q18" s="51" t="s">
        <v>2614</v>
      </c>
      <c r="R18" s="121" t="s">
        <v>2614</v>
      </c>
      <c r="S18" s="121" t="s">
        <v>2614</v>
      </c>
      <c r="T18" s="51" t="s">
        <v>2614</v>
      </c>
      <c r="U18" s="312" t="s">
        <v>2614</v>
      </c>
      <c r="V18" s="312" t="s">
        <v>2614</v>
      </c>
      <c r="W18" s="312" t="s">
        <v>2614</v>
      </c>
      <c r="X18" s="312" t="s">
        <v>2614</v>
      </c>
      <c r="Y18" s="312" t="s">
        <v>2614</v>
      </c>
      <c r="Z18" s="312" t="s">
        <v>2614</v>
      </c>
      <c r="AA18" s="312" t="s">
        <v>2614</v>
      </c>
      <c r="AB18" s="312" t="s">
        <v>2614</v>
      </c>
      <c r="AC18" s="312" t="s">
        <v>2614</v>
      </c>
      <c r="AD18" s="312" t="s">
        <v>2614</v>
      </c>
      <c r="AE18" s="312" t="s">
        <v>2614</v>
      </c>
      <c r="AF18" s="51" t="s">
        <v>2614</v>
      </c>
      <c r="AG18" s="51" t="s">
        <v>2614</v>
      </c>
      <c r="AH18" s="51" t="s">
        <v>2614</v>
      </c>
      <c r="AI18" s="51" t="s">
        <v>2614</v>
      </c>
      <c r="AJ18" s="51" t="s">
        <v>2614</v>
      </c>
      <c r="AK18" s="51"/>
      <c r="AL18" s="51"/>
      <c r="AM18" s="51"/>
      <c r="AN18" s="51"/>
    </row>
    <row r="19" spans="2:41" x14ac:dyDescent="0.25">
      <c r="B19" s="51" t="s">
        <v>2587</v>
      </c>
      <c r="C19" s="51">
        <v>17</v>
      </c>
      <c r="D19" s="51" t="s">
        <v>3447</v>
      </c>
      <c r="E19" s="119">
        <v>45495</v>
      </c>
      <c r="F19" s="51">
        <v>3</v>
      </c>
      <c r="G19" s="51">
        <v>0.98260000000000003</v>
      </c>
      <c r="H19" s="241">
        <v>4682000000</v>
      </c>
      <c r="I19" s="51" t="s">
        <v>2614</v>
      </c>
      <c r="J19" s="51" t="s">
        <v>2614</v>
      </c>
      <c r="K19" s="51" t="s">
        <v>2614</v>
      </c>
      <c r="L19" s="51" t="s">
        <v>2614</v>
      </c>
      <c r="M19" s="51" t="s">
        <v>2614</v>
      </c>
      <c r="N19" s="51" t="s">
        <v>2614</v>
      </c>
      <c r="O19" s="51" t="s">
        <v>2614</v>
      </c>
      <c r="P19" s="51" t="s">
        <v>2614</v>
      </c>
      <c r="Q19" s="121" t="s">
        <v>2614</v>
      </c>
      <c r="R19" s="51" t="s">
        <v>2614</v>
      </c>
      <c r="S19" s="51" t="s">
        <v>2614</v>
      </c>
      <c r="T19" s="51" t="s">
        <v>2614</v>
      </c>
      <c r="U19" s="312" t="s">
        <v>2614</v>
      </c>
      <c r="V19" s="312" t="s">
        <v>2614</v>
      </c>
      <c r="W19" s="312" t="s">
        <v>2614</v>
      </c>
      <c r="X19" s="312" t="s">
        <v>2614</v>
      </c>
      <c r="Y19" s="312" t="s">
        <v>2614</v>
      </c>
      <c r="Z19" s="312" t="s">
        <v>2614</v>
      </c>
      <c r="AA19" s="312" t="s">
        <v>2614</v>
      </c>
      <c r="AB19" s="312" t="s">
        <v>2614</v>
      </c>
      <c r="AC19" s="312" t="s">
        <v>2614</v>
      </c>
      <c r="AD19" s="312" t="s">
        <v>2614</v>
      </c>
      <c r="AE19" s="312" t="s">
        <v>2614</v>
      </c>
      <c r="AF19" s="51" t="s">
        <v>2614</v>
      </c>
      <c r="AG19" s="51" t="s">
        <v>2614</v>
      </c>
      <c r="AH19" s="51" t="s">
        <v>2614</v>
      </c>
      <c r="AI19" s="51" t="s">
        <v>2614</v>
      </c>
      <c r="AJ19" s="51" t="s">
        <v>2614</v>
      </c>
      <c r="AK19" s="51"/>
      <c r="AL19" s="51"/>
      <c r="AM19" s="51"/>
      <c r="AN19" s="51"/>
    </row>
    <row r="20" spans="2:41" x14ac:dyDescent="0.25">
      <c r="B20" s="51" t="s">
        <v>2589</v>
      </c>
      <c r="C20" s="51">
        <v>18</v>
      </c>
      <c r="D20" s="51" t="s">
        <v>3447</v>
      </c>
      <c r="E20" s="119">
        <v>45495</v>
      </c>
      <c r="F20" s="51">
        <v>3</v>
      </c>
      <c r="G20" s="122">
        <v>1</v>
      </c>
      <c r="H20" s="221" t="s">
        <v>2616</v>
      </c>
      <c r="I20" s="51" t="s">
        <v>2614</v>
      </c>
      <c r="J20" s="51" t="s">
        <v>2614</v>
      </c>
      <c r="K20" s="51" t="s">
        <v>2614</v>
      </c>
      <c r="L20" s="51" t="s">
        <v>2614</v>
      </c>
      <c r="M20" s="51" t="s">
        <v>2614</v>
      </c>
      <c r="N20" s="51" t="s">
        <v>2614</v>
      </c>
      <c r="O20" s="51" t="s">
        <v>2614</v>
      </c>
      <c r="P20" s="51" t="s">
        <v>2614</v>
      </c>
      <c r="Q20" s="51" t="s">
        <v>2614</v>
      </c>
      <c r="R20" s="51" t="s">
        <v>2614</v>
      </c>
      <c r="S20" s="51" t="s">
        <v>2614</v>
      </c>
      <c r="T20" s="51" t="s">
        <v>2614</v>
      </c>
      <c r="U20" s="312" t="s">
        <v>2614</v>
      </c>
      <c r="V20" s="312" t="s">
        <v>2614</v>
      </c>
      <c r="W20" s="312" t="s">
        <v>2614</v>
      </c>
      <c r="X20" s="312" t="s">
        <v>2614</v>
      </c>
      <c r="Y20" s="312" t="s">
        <v>2614</v>
      </c>
      <c r="Z20" s="312" t="s">
        <v>2614</v>
      </c>
      <c r="AA20" s="312" t="s">
        <v>2614</v>
      </c>
      <c r="AB20" s="312" t="s">
        <v>2614</v>
      </c>
      <c r="AC20" s="312" t="s">
        <v>2614</v>
      </c>
      <c r="AD20" s="312" t="s">
        <v>2614</v>
      </c>
      <c r="AE20" s="312" t="s">
        <v>2614</v>
      </c>
      <c r="AF20" s="51" t="s">
        <v>2614</v>
      </c>
      <c r="AG20" s="51" t="s">
        <v>2614</v>
      </c>
      <c r="AH20" s="51" t="s">
        <v>2614</v>
      </c>
      <c r="AI20" s="51" t="s">
        <v>2614</v>
      </c>
      <c r="AJ20" s="51" t="s">
        <v>2614</v>
      </c>
      <c r="AK20" s="51"/>
      <c r="AL20" s="51"/>
      <c r="AM20" s="51"/>
      <c r="AN20" s="51"/>
    </row>
    <row r="21" spans="2:41" x14ac:dyDescent="0.25">
      <c r="B21" s="51" t="s">
        <v>2591</v>
      </c>
      <c r="C21" s="51">
        <v>19</v>
      </c>
      <c r="D21" s="51" t="s">
        <v>3448</v>
      </c>
      <c r="E21" s="119">
        <v>45495</v>
      </c>
      <c r="F21" s="51">
        <v>3</v>
      </c>
      <c r="G21" s="238" cm="1">
        <f t="array" ref="G21">SUMPRODUCT(--(ISNUMBER((SEARCH(I27:AJ27,I21:AJ21)))))/COUNTA(I21:AJ21)</f>
        <v>0.6428571428571429</v>
      </c>
      <c r="H21" s="51" t="s">
        <v>2616</v>
      </c>
      <c r="I21" s="51" t="s">
        <v>2654</v>
      </c>
      <c r="J21" s="51" t="s">
        <v>2654</v>
      </c>
      <c r="K21" s="51" t="s">
        <v>2654</v>
      </c>
      <c r="L21" s="51" t="s">
        <v>2654</v>
      </c>
      <c r="M21" s="51" t="s">
        <v>2654</v>
      </c>
      <c r="N21" s="51" t="s">
        <v>2654</v>
      </c>
      <c r="O21" s="51" t="s">
        <v>2654</v>
      </c>
      <c r="P21" s="121" t="s">
        <v>2654</v>
      </c>
      <c r="Q21" s="121" t="s">
        <v>2654</v>
      </c>
      <c r="R21" s="51" t="s">
        <v>2654</v>
      </c>
      <c r="S21" s="51" t="s">
        <v>2654</v>
      </c>
      <c r="T21" s="51" t="s">
        <v>2655</v>
      </c>
      <c r="U21" s="312" t="s">
        <v>2654</v>
      </c>
      <c r="V21" s="312" t="s">
        <v>2654</v>
      </c>
      <c r="W21" s="312" t="s">
        <v>2654</v>
      </c>
      <c r="X21" s="312" t="s">
        <v>2654</v>
      </c>
      <c r="Y21" s="312" t="s">
        <v>2654</v>
      </c>
      <c r="Z21" s="312" t="s">
        <v>2654</v>
      </c>
      <c r="AA21" s="312" t="s">
        <v>2654</v>
      </c>
      <c r="AB21" s="312" t="s">
        <v>2654</v>
      </c>
      <c r="AC21" s="312" t="s">
        <v>2654</v>
      </c>
      <c r="AD21" s="312" t="s">
        <v>2654</v>
      </c>
      <c r="AE21" s="312" t="s">
        <v>2654</v>
      </c>
      <c r="AF21" s="51" t="s">
        <v>2654</v>
      </c>
      <c r="AG21" s="51" t="s">
        <v>2654</v>
      </c>
      <c r="AH21" s="51" t="s">
        <v>2654</v>
      </c>
      <c r="AI21" s="51" t="s">
        <v>2654</v>
      </c>
      <c r="AJ21" s="51" t="s">
        <v>2656</v>
      </c>
      <c r="AK21" s="51"/>
      <c r="AL21" s="51"/>
      <c r="AM21" s="51"/>
      <c r="AN21" s="51"/>
    </row>
    <row r="22" spans="2:41" x14ac:dyDescent="0.25">
      <c r="B22" s="51" t="s">
        <v>2594</v>
      </c>
      <c r="C22" s="51">
        <v>20</v>
      </c>
      <c r="D22" s="51"/>
      <c r="E22" s="119"/>
      <c r="F22" s="51"/>
      <c r="G22" s="221" cm="1">
        <f t="array" ref="G22">SUM(IF(I2:AJ2 = I26:AJ26, 1, 0))/ COUNTA(I2:AJ2)</f>
        <v>1</v>
      </c>
      <c r="H22" s="51"/>
      <c r="I22" s="51"/>
      <c r="J22" s="51"/>
      <c r="K22" s="51"/>
      <c r="L22" s="51"/>
      <c r="M22" s="51"/>
      <c r="N22" s="51"/>
      <c r="O22" s="51"/>
      <c r="P22" s="51"/>
      <c r="Q22" s="51"/>
      <c r="R22" s="51"/>
      <c r="S22" s="51"/>
      <c r="T22" s="51"/>
      <c r="U22" s="312"/>
      <c r="V22" s="312"/>
      <c r="W22" s="312"/>
      <c r="X22" s="312"/>
      <c r="Y22" s="312"/>
      <c r="Z22" s="312"/>
      <c r="AA22" s="312"/>
      <c r="AB22" s="312"/>
      <c r="AC22" s="312"/>
      <c r="AD22" s="312"/>
      <c r="AE22" s="312"/>
      <c r="AF22" s="51"/>
      <c r="AG22" s="51"/>
      <c r="AH22" s="51"/>
      <c r="AI22" s="51"/>
      <c r="AJ22" s="51"/>
      <c r="AK22" s="51"/>
      <c r="AL22" s="51"/>
      <c r="AM22" s="51"/>
      <c r="AN22" s="51"/>
    </row>
    <row r="23" spans="2:41" x14ac:dyDescent="0.25">
      <c r="B23" s="51" t="s">
        <v>2597</v>
      </c>
      <c r="C23" s="51">
        <v>21</v>
      </c>
      <c r="D23" s="51"/>
      <c r="E23" s="119"/>
      <c r="F23" s="51"/>
      <c r="G23" s="221" cm="1">
        <f t="array" ref="G23">SUM(IF(IF(G3:G22="null",1,G3:G22)=1,1,0))/COUNT(IF(G3:G22="null",1,1))</f>
        <v>0.75</v>
      </c>
      <c r="H23" s="51"/>
      <c r="I23" s="51"/>
      <c r="J23" s="51"/>
      <c r="K23" s="51"/>
      <c r="L23" s="51"/>
      <c r="M23" s="51"/>
      <c r="N23" s="51"/>
      <c r="O23" s="51"/>
      <c r="P23" s="51"/>
      <c r="Q23" s="51"/>
      <c r="R23" s="51"/>
      <c r="S23" s="51"/>
      <c r="T23" s="51"/>
      <c r="U23" s="312"/>
      <c r="V23" s="312"/>
      <c r="W23" s="312"/>
      <c r="X23" s="312"/>
      <c r="Y23" s="312"/>
      <c r="Z23" s="312"/>
      <c r="AA23" s="312"/>
      <c r="AB23" s="312"/>
      <c r="AC23" s="312"/>
      <c r="AD23" s="312"/>
      <c r="AE23" s="312"/>
      <c r="AF23" s="51"/>
      <c r="AG23" s="51"/>
      <c r="AH23" s="51"/>
      <c r="AI23" s="51"/>
      <c r="AJ23" s="51"/>
      <c r="AK23" s="51"/>
      <c r="AL23" s="51"/>
      <c r="AM23" s="51"/>
      <c r="AN23" s="51"/>
    </row>
    <row r="25" spans="2:41" x14ac:dyDescent="0.25">
      <c r="B25" s="154" t="s">
        <v>2657</v>
      </c>
    </row>
    <row r="26" spans="2:41" x14ac:dyDescent="0.25">
      <c r="B26" s="152" t="s">
        <v>2658</v>
      </c>
      <c r="C26" s="153" t="s">
        <v>2601</v>
      </c>
      <c r="D26" s="153" t="s">
        <v>2602</v>
      </c>
      <c r="E26" s="153" t="s">
        <v>2603</v>
      </c>
      <c r="F26" s="153" t="s">
        <v>2604</v>
      </c>
      <c r="G26" s="153" t="s">
        <v>2605</v>
      </c>
      <c r="H26" s="153" t="s">
        <v>2606</v>
      </c>
      <c r="I26" s="153" t="str" cm="1">
        <f t="array" ref="I26:AJ26">TRANSPOSE(_xlfn.SORTBY(_xlfn._xlws.FILTER(Table3[NOME FÍSICO CAMPO],Table3[NOME FÍSICO TABELA]="saving_account"), _xlfn._xlws.FILTER(Table3[ORDEM], Table3[NOME FÍSICO TABELA]="saving_account"),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initial_deposit_amount</v>
      </c>
      <c r="T26" s="153" t="str">
        <v>current_available_balance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6"/>
      <c r="AL26" s="246"/>
      <c r="AM26" s="246"/>
      <c r="AN26" s="246"/>
      <c r="AO26" s="246"/>
    </row>
    <row r="27" spans="2:41" x14ac:dyDescent="0.25">
      <c r="B27" s="131" t="s">
        <v>2659</v>
      </c>
      <c r="C27" s="116">
        <v>21</v>
      </c>
      <c r="D27" s="115" t="s">
        <v>2660</v>
      </c>
      <c r="E27" t="s">
        <v>2661</v>
      </c>
      <c r="F27" t="s">
        <v>351</v>
      </c>
      <c r="G27" t="s">
        <v>351</v>
      </c>
      <c r="H27" t="s">
        <v>351</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DATE</v>
      </c>
      <c r="Q27" t="str">
        <v>DATE</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11" t="str">
        <v>TIMESTAMP</v>
      </c>
    </row>
    <row r="28" spans="2:41" x14ac:dyDescent="0.25">
      <c r="B28" s="131" t="s">
        <v>2662</v>
      </c>
      <c r="C28" s="175">
        <v>7</v>
      </c>
      <c r="D28" s="130" t="s">
        <v>2660</v>
      </c>
      <c r="E28" s="129" t="s">
        <v>2661</v>
      </c>
      <c r="F28" s="129" t="s">
        <v>351</v>
      </c>
      <c r="G28" s="129" t="s">
        <v>351</v>
      </c>
      <c r="H28" s="129" t="s">
        <v>351</v>
      </c>
      <c r="I28" s="175">
        <v>4</v>
      </c>
      <c r="J28" s="175">
        <v>30</v>
      </c>
      <c r="K28" s="175">
        <v>20</v>
      </c>
      <c r="L28" s="175">
        <v>20</v>
      </c>
      <c r="M28" s="175">
        <v>20</v>
      </c>
      <c r="N28" s="175">
        <v>4</v>
      </c>
      <c r="O28" s="175">
        <v>30</v>
      </c>
      <c r="P28" s="175">
        <v>10</v>
      </c>
      <c r="Q28" s="175">
        <v>10</v>
      </c>
      <c r="R28" s="175">
        <v>3</v>
      </c>
      <c r="S28" s="175">
        <v>23</v>
      </c>
      <c r="T28" s="175">
        <v>23</v>
      </c>
      <c r="U28" s="175">
        <v>23</v>
      </c>
      <c r="V28" s="175">
        <v>3</v>
      </c>
      <c r="W28" s="175">
        <v>20</v>
      </c>
      <c r="X28" s="175">
        <v>23</v>
      </c>
      <c r="Y28" s="175">
        <v>23</v>
      </c>
      <c r="Z28" s="175">
        <v>23</v>
      </c>
      <c r="AA28" s="175">
        <v>3</v>
      </c>
      <c r="AB28" s="175">
        <v>20</v>
      </c>
      <c r="AC28" s="175">
        <v>23</v>
      </c>
      <c r="AD28" s="175">
        <v>23</v>
      </c>
      <c r="AE28" s="175">
        <v>23</v>
      </c>
      <c r="AF28" s="175">
        <v>3</v>
      </c>
      <c r="AG28" s="175">
        <v>3</v>
      </c>
      <c r="AH28" s="175">
        <v>2</v>
      </c>
      <c r="AI28" s="175">
        <v>27</v>
      </c>
      <c r="AJ28" s="176">
        <v>28</v>
      </c>
      <c r="AK28" s="116"/>
      <c r="AL28" s="116"/>
      <c r="AM28" s="116"/>
      <c r="AN28" s="116"/>
      <c r="AO28" s="116"/>
    </row>
    <row r="30" spans="2:41" x14ac:dyDescent="0.25">
      <c r="B30" s="164" t="s">
        <v>2663</v>
      </c>
    </row>
    <row r="31" spans="2:41" x14ac:dyDescent="0.25">
      <c r="B31" s="158" t="s">
        <v>2664</v>
      </c>
      <c r="C31" s="158" t="s">
        <v>2665</v>
      </c>
      <c r="D31" s="159" t="s">
        <v>2666</v>
      </c>
      <c r="E31" s="158" t="s">
        <v>2667</v>
      </c>
      <c r="F31" s="158" t="s">
        <v>2668</v>
      </c>
    </row>
    <row r="32" spans="2:41" ht="30" x14ac:dyDescent="0.25">
      <c r="B32" s="135" t="s">
        <v>2734</v>
      </c>
      <c r="C32" s="139" t="s">
        <v>204</v>
      </c>
      <c r="D32" s="54" t="s">
        <v>3449</v>
      </c>
      <c r="E32" s="177" t="s">
        <v>3450</v>
      </c>
      <c r="F32" s="160" t="s">
        <v>2672</v>
      </c>
    </row>
    <row r="33" spans="2:16" ht="30" x14ac:dyDescent="0.25">
      <c r="B33" s="135" t="s">
        <v>2734</v>
      </c>
      <c r="C33" s="139" t="s">
        <v>239</v>
      </c>
      <c r="D33" s="54" t="s">
        <v>3451</v>
      </c>
      <c r="E33" s="177" t="s">
        <v>3452</v>
      </c>
      <c r="F33" s="160" t="s">
        <v>2672</v>
      </c>
    </row>
    <row r="34" spans="2:16" ht="30" x14ac:dyDescent="0.25">
      <c r="B34" s="135" t="s">
        <v>2734</v>
      </c>
      <c r="C34" s="139" t="s">
        <v>2205</v>
      </c>
      <c r="D34" s="54" t="s">
        <v>3451</v>
      </c>
      <c r="E34" s="177" t="s">
        <v>3452</v>
      </c>
      <c r="F34" s="160" t="s">
        <v>2672</v>
      </c>
    </row>
    <row r="35" spans="2:16" ht="30" x14ac:dyDescent="0.25">
      <c r="B35" s="135" t="s">
        <v>2734</v>
      </c>
      <c r="C35" s="139" t="s">
        <v>1406</v>
      </c>
      <c r="D35" s="54" t="s">
        <v>3451</v>
      </c>
      <c r="E35" s="177" t="s">
        <v>3452</v>
      </c>
      <c r="F35" s="160" t="s">
        <v>2672</v>
      </c>
    </row>
    <row r="36" spans="2:16" ht="30" x14ac:dyDescent="0.25">
      <c r="B36" s="135" t="s">
        <v>2734</v>
      </c>
      <c r="C36" s="139" t="s">
        <v>312</v>
      </c>
      <c r="D36" s="54" t="s">
        <v>3453</v>
      </c>
      <c r="E36" s="177" t="s">
        <v>3454</v>
      </c>
      <c r="F36" s="160" t="s">
        <v>2741</v>
      </c>
    </row>
    <row r="37" spans="2:16" ht="45" x14ac:dyDescent="0.25">
      <c r="B37" s="135" t="s">
        <v>2787</v>
      </c>
      <c r="C37" s="139" t="s">
        <v>3455</v>
      </c>
      <c r="D37" s="54" t="s">
        <v>3456</v>
      </c>
      <c r="E37" s="177" t="s">
        <v>3457</v>
      </c>
      <c r="F37" s="160" t="s">
        <v>2741</v>
      </c>
      <c r="I37" s="182"/>
      <c r="J37" s="182"/>
      <c r="K37" s="182"/>
      <c r="L37" s="182"/>
      <c r="M37" s="182"/>
      <c r="N37" s="182"/>
      <c r="O37" s="182"/>
      <c r="P37" s="182"/>
    </row>
    <row r="38" spans="2:16" ht="30" x14ac:dyDescent="0.25">
      <c r="B38" s="135" t="s">
        <v>2677</v>
      </c>
      <c r="C38" s="139" t="s">
        <v>3455</v>
      </c>
      <c r="D38" s="54" t="s">
        <v>3458</v>
      </c>
      <c r="E38" s="177" t="s">
        <v>3459</v>
      </c>
      <c r="F38" s="160" t="s">
        <v>2672</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C61506DD-052F-441B-9309-2201E57612A4}"/>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Capa</vt:lpstr>
      <vt:lpstr>Lista</vt:lpstr>
      <vt:lpstr>Tabelas</vt:lpstr>
      <vt:lpstr>Restrições de Universo</vt:lpstr>
      <vt:lpstr>Regras de Cruzamento</vt:lpstr>
      <vt:lpstr>Descrição Testes</vt:lpstr>
      <vt:lpstr>bills_promissory_notes_contract</vt:lpstr>
      <vt:lpstr>current_account</vt:lpstr>
      <vt:lpstr>bank_guarantee</vt:lpstr>
      <vt:lpstr>confirming_contract</vt:lpstr>
      <vt:lpstr>incomesaving_account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vt:lpstr>
      <vt:lpstr>credit_card_account</vt:lpstr>
      <vt:lpstr>debit_card_account</vt:lpstr>
      <vt:lpstr>prepaid_card_account</vt:lpstr>
      <vt:lpstr>credit_card_account_plan</vt:lpstr>
      <vt:lpstr>loan</vt:lpstr>
      <vt:lpstr>saving_account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2024-08-13T15:56:34Z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