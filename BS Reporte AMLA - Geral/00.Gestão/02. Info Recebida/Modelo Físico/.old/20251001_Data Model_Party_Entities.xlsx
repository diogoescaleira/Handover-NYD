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46" documentId="11_5A24F50AE7C46CA63748E7F94FE7588C9324AE63" xr6:coauthVersionLast="47" xr6:coauthVersionMax="47" xr10:uidLastSave="{C9807147-58C5-4EA2-89E4-39F4A7458E5D}"/>
  <bookViews>
    <workbookView xWindow="-110" yWindow="-110" windowWidth="19420" windowHeight="1030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s>
  <externalReferences>
    <externalReference r:id="rId11"/>
    <externalReference r:id="rId12"/>
    <externalReference r:id="rId13"/>
    <externalReference r:id="rId14"/>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tc={A857E8BC-8B42-4AAE-A21C-5B86DF024970}</author>
  </authors>
  <commentList>
    <comment ref="C67" authorId="0" shapeId="0" xr:uid="{00000000-0006-0000-09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<sst xmlns="http://schemas.openxmlformats.org/spreadsheetml/2006/main" count="3842" uniqueCount="1510">
  <si>
    <t>Common Data Model - Parties - Entities</t>
  </si>
  <si>
    <t>SCHEMA</t>
  </si>
  <si>
    <t>TABELA</t>
  </si>
  <si>
    <t>DESCRIÇÃO</t>
  </si>
  <si>
    <t>common_parties_entities</t>
  </si>
  <si>
    <t>entity</t>
  </si>
  <si>
    <t>Entity's general information, such as identification, Santander's IDs, etc.</t>
  </si>
  <si>
    <t>entity_address</t>
  </si>
  <si>
    <t>Entity's addresses and respective characteristics.</t>
  </si>
  <si>
    <t>entity_contact</t>
  </si>
  <si>
    <t>Entity's contacts information.</t>
  </si>
  <si>
    <t>entity_contractual_mngt</t>
  </si>
  <si>
    <t>Entity's information regarding their relationship with Santander.</t>
  </si>
  <si>
    <t>entity_economic_activity</t>
  </si>
  <si>
    <t>Entity's economic activity information.</t>
  </si>
  <si>
    <t>entity_financial_information</t>
  </si>
  <si>
    <t>Entity's financial information and characteristics.</t>
  </si>
  <si>
    <t>entity_identity_document</t>
  </si>
  <si>
    <t>Entity's identification documents and respective characteristics.</t>
  </si>
  <si>
    <t>entity_negative_file</t>
  </si>
  <si>
    <t>Entity's negative situations associated to its documents information.</t>
  </si>
  <si>
    <t>entity_segment</t>
  </si>
  <si>
    <t>Entity's segments information.</t>
  </si>
  <si>
    <t>entity_tax_residence_country</t>
  </si>
  <si>
    <t>Entity's tax residence countries information.</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</si>
  <si>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</si>
  <si>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</si>
  <si>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</si>
  <si>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</si>
  <si>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</si>
  <si>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</si>
  <si>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</si>
  <si>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</si>
  <si>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</si>
  <si>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</si>
  <si>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</si>
  <si>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</si>
  <si>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</si>
  <si>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</si>
  <si>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</si>
  <si>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</si>
  <si>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</si>
  <si>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</si>
  <si>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</si>
  <si>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</si>
  <si>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</si>
  <si>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</si>
  <si>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</si>
  <si>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</si>
  <si>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</si>
  <si>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</si>
  <si>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</si>
  <si>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</si>
  <si>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</si>
  <si>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</si>
  <si>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</si>
  <si>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</si>
  <si>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</si>
  <si>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</si>
  <si>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</si>
  <si>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</si>
  <si>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</si>
  <si>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</si>
  <si>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</si>
  <si>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</si>
  <si>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</si>
  <si>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</si>
  <si>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</si>
  <si>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</si>
  <si>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</si>
  <si>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</si>
  <si>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</si>
  <si>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</si>
  <si>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</si>
  <si>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</si>
  <si>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</si>
  <si>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</si>
  <si>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</si>
  <si>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</si>
  <si>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</si>
  <si>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</si>
  <si>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</si>
  <si>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</si>
  <si>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</si>
  <si>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</si>
  <si>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</si>
  <si>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</si>
  <si>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</si>
  <si>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</si>
  <si>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</si>
  <si>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</si>
  <si>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</si>
  <si>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</si>
  <si>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</si>
  <si>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</si>
  <si>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</si>
  <si>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</si>
  <si>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</si>
  <si>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</si>
  <si>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</si>
  <si>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</si>
  <si>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</si>
  <si>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</si>
  <si>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</si>
  <si>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</si>
  <si>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</si>
  <si>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</si>
  <si>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</si>
  <si>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</si>
  <si>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</si>
  <si>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</si>
  <si>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</si>
  <si>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</si>
  <si>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</si>
  <si>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</si>
  <si>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</si>
  <si>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</si>
  <si>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</si>
  <si>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</si>
  <si>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</si>
  <si>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</si>
  <si>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</si>
  <si>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</si>
  <si>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</si>
  <si>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</si>
  <si>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</si>
  <si>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</si>
  <si>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</si>
  <si>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</si>
  <si>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</si>
  <si>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</si>
  <si>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</si>
  <si>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</si>
  <si>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</si>
  <si>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</si>
  <si>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</si>
  <si>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</si>
  <si>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</si>
  <si>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</si>
  <si>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</si>
  <si>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</si>
  <si>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</si>
  <si>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</si>
  <si>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</si>
  <si>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</si>
  <si>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</si>
  <si>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</si>
  <si>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</si>
  <si>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</si>
  <si>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</si>
  <si>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</si>
  <si>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</si>
  <si>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</si>
  <si>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</si>
  <si>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</si>
  <si>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</si>
  <si>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</si>
  <si>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</si>
  <si>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</si>
  <si>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</si>
  <si>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</si>
  <si>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</si>
  <si>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</si>
  <si>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</si>
  <si>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</si>
  <si>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</si>
  <si>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</si>
  <si>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</si>
  <si>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</si>
  <si>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</si>
  <si>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</si>
  <si>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</si>
  <si>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</si>
  <si>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</si>
  <si>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</si>
  <si>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</si>
  <si>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</si>
  <si>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</si>
  <si>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</si>
  <si>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</si>
  <si>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</si>
  <si>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</si>
  <si>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</si>
  <si>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</si>
  <si>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</si>
  <si>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</si>
  <si>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</si>
  <si>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</si>
  <si>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</si>
  <si>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</si>
  <si>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</si>
  <si>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</si>
  <si>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</si>
  <si>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</si>
  <si>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</si>
  <si>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</si>
  <si>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</si>
  <si>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</si>
  <si>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</si>
  <si>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</si>
  <si>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</si>
  <si>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</si>
  <si>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</si>
  <si>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</si>
  <si>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</si>
  <si>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</si>
  <si>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</si>
  <si>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</si>
  <si>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</si>
  <si>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</si>
  <si>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</si>
  <si>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</si>
  <si>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</si>
  <si>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</si>
  <si>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</si>
  <si>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</si>
  <si>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</si>
  <si>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</si>
  <si>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</si>
  <si>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</si>
  <si>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</si>
  <si>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</si>
  <si>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</si>
  <si>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</si>
  <si>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</si>
  <si>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</si>
  <si>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</si>
  <si>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</si>
  <si>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</si>
  <si>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</si>
  <si>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</si>
  <si>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</si>
  <si>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</si>
  <si>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</si>
  <si>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</si>
  <si>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</si>
  <si>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</si>
  <si>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</si>
  <si>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</si>
  <si>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</si>
  <si>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</si>
  <si>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</si>
  <si>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</si>
  <si>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</si>
  <si>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</si>
  <si>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</si>
  <si>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</si>
  <si>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</si>
  <si>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</si>
  <si>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</si>
  <si>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</si>
  <si>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</si>
  <si>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</si>
  <si>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</si>
  <si>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</si>
  <si>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</si>
  <si>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</si>
  <si>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</si>
  <si>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</si>
  <si>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</si>
  <si>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</si>
  <si>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</si>
  <si>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</si>
  <si>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</si>
  <si>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</si>
  <si>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</si>
  <si>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</si>
  <si>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</si>
  <si>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</si>
  <si>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</si>
  <si>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</si>
  <si>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</si>
  <si>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</si>
  <si>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</si>
  <si>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</si>
  <si>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</si>
  <si>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</si>
  <si>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</si>
  <si>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</si>
  <si>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</si>
  <si>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</si>
  <si>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</si>
  <si>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</si>
  <si>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</si>
  <si>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</si>
  <si>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</si>
  <si>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</si>
  <si>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</si>
  <si>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</si>
  <si>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</si>
  <si>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</si>
  <si>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</si>
  <si>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</si>
  <si>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</si>
  <si>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</si>
  <si>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</si>
  <si>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</si>
  <si>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</si>
  <si>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</si>
  <si>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</si>
  <si>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</si>
  <si>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</si>
  <si>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</si>
  <si>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</si>
  <si>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</si>
  <si>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</si>
  <si>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</si>
  <si>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</si>
  <si>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</si>
  <si>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</si>
  <si>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</si>
  <si>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</si>
  <si>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</si>
  <si>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</si>
  <si>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</si>
  <si>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</si>
  <si>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</si>
  <si>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</si>
  <si>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</si>
  <si>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</si>
  <si>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</si>
  <si>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</si>
  <si>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</si>
  <si>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</si>
  <si>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</si>
  <si>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</si>
  <si>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</si>
  <si>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</si>
  <si>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</si>
  <si>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</si>
  <si>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</si>
  <si>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</si>
  <si>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</si>
  <si>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</si>
  <si>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</si>
  <si>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</si>
  <si>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</si>
  <si>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</si>
  <si>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</si>
  <si>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</si>
  <si>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</si>
  <si>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</si>
  <si>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</si>
  <si>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</si>
  <si>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</si>
  <si>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</si>
  <si>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</si>
  <si>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</si>
  <si>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</si>
  <si>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</si>
  <si>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</si>
  <si>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</si>
  <si>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</si>
  <si>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</si>
  <si>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</si>
  <si>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</si>
  <si>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</si>
  <si>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</si>
  <si>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</si>
  <si>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</si>
  <si>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</si>
  <si>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</si>
  <si>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</si>
  <si>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</si>
  <si>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</si>
  <si>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</si>
  <si>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</si>
  <si>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</si>
  <si>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</si>
  <si>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</si>
  <si>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</si>
  <si>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</si>
  <si>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</si>
  <si>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</si>
  <si>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</si>
  <si>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</si>
  <si>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</si>
  <si>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</si>
  <si>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</si>
  <si>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</si>
  <si>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</si>
  <si>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</si>
  <si>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</si>
  <si>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</si>
  <si>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</si>
  <si>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</si>
  <si>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</si>
  <si>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</si>
  <si>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</si>
  <si>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</si>
  <si>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</si>
  <si>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</si>
  <si>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</si>
  <si>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</si>
  <si>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</si>
  <si>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</si>
  <si>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</si>
  <si>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</si>
  <si>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</si>
  <si>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</si>
  <si>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</si>
  <si>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</si>
  <si>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</si>
  <si>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</si>
  <si>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</si>
  <si>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</si>
  <si>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</si>
  <si>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</si>
  <si>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</si>
  <si>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</si>
  <si>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</si>
  <si>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</si>
  <si>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</si>
  <si>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</si>
  <si>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</si>
  <si>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</si>
  <si>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</si>
  <si>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</si>
  <si>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</si>
  <si>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</si>
  <si>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</si>
  <si>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</si>
  <si>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</si>
  <si>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</si>
  <si>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</si>
  <si>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</si>
  <si>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</si>
  <si>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</si>
  <si>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</si>
  <si>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</si>
  <si>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</si>
  <si>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</si>
  <si>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</si>
  <si>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</si>
  <si>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</si>
  <si>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</si>
  <si>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</si>
  <si>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</si>
  <si>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</si>
  <si>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</si>
  <si>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</si>
  <si>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</si>
  <si>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</si>
  <si>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</si>
  <si>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</si>
  <si>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</si>
  <si>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</si>
  <si>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</si>
  <si>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</si>
  <si>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</si>
  <si>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</si>
  <si>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</si>
  <si>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</si>
  <si>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</si>
  <si>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</si>
  <si>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</si>
  <si>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</si>
  <si>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</si>
  <si>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</si>
  <si>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</si>
  <si>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</si>
  <si>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</si>
  <si>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</si>
  <si>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</si>
  <si>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</si>
  <si>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</si>
  <si>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</si>
  <si>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</si>
  <si>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</si>
  <si>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</si>
  <si>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</si>
  <si>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</si>
  <si>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</si>
  <si>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</si>
  <si>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</si>
  <si>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</si>
  <si>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</si>
  <si>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</si>
  <si>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</si>
  <si>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</si>
  <si>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</si>
  <si>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</si>
  <si>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</si>
  <si>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</si>
  <si>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</si>
  <si>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</si>
  <si>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</si>
  <si>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</si>
  <si>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</si>
  <si>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</si>
  <si>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</si>
  <si>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</si>
  <si>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</si>
  <si>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</si>
  <si>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</si>
  <si>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</si>
  <si>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</si>
  <si>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</si>
  <si>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</si>
  <si>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</si>
  <si>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</si>
  <si>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</si>
  <si>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</si>
  <si>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</si>
  <si>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</si>
  <si>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</si>
  <si>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</si>
  <si>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</si>
  <si>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</si>
  <si>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</si>
  <si>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</si>
  <si>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</si>
  <si>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</si>
  <si>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</si>
  <si>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</si>
  <si>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</si>
  <si>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</si>
  <si>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</si>
  <si>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</si>
  <si>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</si>
  <si>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</si>
  <si>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</si>
  <si>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</si>
  <si>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</si>
  <si>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</si>
  <si>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</si>
  <si>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</si>
  <si>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</si>
  <si>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</si>
  <si>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</si>
  <si>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</si>
  <si>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</si>
  <si>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</si>
  <si>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</si>
  <si>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</si>
  <si>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</si>
  <si>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</si>
  <si>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</si>
  <si>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</si>
  <si>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</si>
  <si>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</si>
  <si>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</si>
  <si>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</si>
  <si>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</si>
  <si>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</si>
  <si>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</si>
  <si>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</si>
  <si>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</si>
  <si>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</si>
  <si>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</si>
  <si>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</si>
  <si>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</si>
  <si>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</si>
  <si>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</si>
  <si>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</si>
  <si>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</si>
  <si>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</si>
  <si>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</si>
  <si>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</si>
  <si>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</si>
  <si>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</si>
  <si>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</si>
  <si>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</si>
  <si>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</si>
  <si>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</si>
  <si>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</si>
  <si>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</si>
  <si>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</si>
  <si>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</si>
  <si>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</si>
  <si>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</si>
  <si>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</si>
  <si>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</si>
  <si>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</si>
  <si>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</si>
  <si>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</si>
  <si>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</si>
  <si>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</si>
  <si>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</si>
  <si>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</si>
  <si>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</si>
  <si>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</si>
  <si>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</si>
  <si>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</si>
  <si>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</si>
  <si>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</si>
  <si>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</si>
  <si>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</si>
  <si>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</si>
  <si>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</si>
  <si>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</si>
  <si>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</si>
  <si>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</si>
  <si>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</si>
  <si>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</si>
  <si>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</si>
  <si>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</si>
  <si>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</si>
  <si>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</si>
  <si>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</si>
  <si>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</si>
  <si>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</si>
  <si>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</si>
  <si>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</si>
  <si>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</si>
  <si>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</si>
  <si>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</si>
  <si>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</si>
  <si>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</si>
  <si>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</si>
  <si>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</si>
  <si>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</si>
  <si>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</si>
  <si>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</si>
  <si>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</si>
  <si>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</si>
  <si>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</si>
  <si>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</si>
  <si>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</si>
  <si>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</si>
  <si>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</si>
  <si>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</si>
  <si>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</si>
  <si>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</si>
  <si>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</si>
  <si>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</si>
  <si>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</si>
  <si>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</si>
  <si>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</si>
  <si>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</si>
  <si>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</si>
  <si>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</si>
  <si>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</si>
  <si>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</si>
  <si>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</si>
  <si>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</si>
  <si>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</si>
  <si>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</si>
  <si>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</si>
  <si>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</si>
  <si>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</si>
  <si>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</si>
  <si>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</si>
  <si>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</si>
  <si>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</si>
  <si>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</si>
  <si>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</si>
  <si>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</si>
  <si>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</si>
  <si>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</si>
  <si>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</si>
  <si>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</si>
  <si>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</si>
  <si>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</si>
  <si>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</si>
  <si>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</si>
  <si>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</si>
  <si>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</si>
  <si>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</si>
  <si>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</si>
  <si>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</si>
  <si>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</si>
  <si>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</si>
  <si>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</si>
  <si>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</si>
  <si>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</si>
  <si>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</si>
  <si>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</si>
  <si>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</si>
  <si>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</si>
  <si>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</si>
  <si>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</si>
  <si>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</si>
  <si>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</si>
  <si>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</si>
  <si>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</si>
  <si>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</si>
  <si>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</si>
  <si>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</si>
  <si>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</si>
  <si>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</si>
  <si>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</si>
  <si>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</si>
  <si>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</si>
  <si>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</si>
  <si>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</si>
  <si>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</si>
  <si>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</si>
  <si>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</si>
  <si>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</si>
  <si>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</si>
  <si>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</si>
  <si>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</si>
  <si>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</si>
  <si>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</si>
  <si>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</si>
  <si>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</si>
  <si>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</si>
  <si>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Entity</t>
  </si>
  <si>
    <t>Party ID</t>
  </si>
  <si>
    <t>party_id</t>
  </si>
  <si>
    <t>Key - ID</t>
  </si>
  <si>
    <t>STRING</t>
  </si>
  <si>
    <t>Unique identifier of the party.</t>
  </si>
  <si>
    <t>Identificador único do cliente.</t>
  </si>
  <si>
    <t>X</t>
  </si>
  <si>
    <t>CURATED_INTERNAL_MAINFRAME_ESTRUTURAIS
CURATED_INTERNAL_MAINFRAME_CLIENTES</t>
  </si>
  <si>
    <t>TAT01_CLIENTES
PERS_JCA_INT</t>
  </si>
  <si>
    <t>ZCLIENTE
N\A</t>
  </si>
  <si>
    <r>
      <rPr>
        <b/>
        <sz val="11"/>
        <color rgb="FF000000"/>
        <rFont val="Calibri"/>
        <family val="2"/>
      </rPr>
      <t>SELECT</t>
    </r>
    <r>
      <rPr>
        <sz val="11"/>
        <color rgb="FF000000"/>
        <rFont val="Calibri"/>
        <family val="2"/>
      </rPr>
      <t xml:space="preserve"> LPAD( TAT01_CLIENTES.ZCLIENTE, 10, '0' )
</t>
    </r>
    <r>
      <rPr>
        <b/>
        <sz val="11"/>
        <color rgb="FF000000"/>
        <rFont val="Calibri"/>
        <family val="2"/>
      </rPr>
      <t xml:space="preserve">WHERE </t>
    </r>
    <r>
      <rPr>
        <sz val="11"/>
        <color rgb="FF000000"/>
        <rFont val="Calibri"/>
        <family val="2"/>
      </rPr>
      <t xml:space="preserve">PERS_JCA_INT.E2085_TIPO_PERS = 'J'
</t>
    </r>
  </si>
  <si>
    <t>BdP - Clientes(APMT0100020556) -&gt; TA - Tabelas Gerais(APMT0100021115)</t>
  </si>
  <si>
    <t>PERS_JCA_INT -&gt; TAT01_CLIENTES</t>
  </si>
  <si>
    <t>CONCAT( TIPO_PERS, COD_PERS ) -&gt; ZCLIENTE</t>
  </si>
  <si>
    <t>N\A -&gt; N\A</t>
  </si>
  <si>
    <t>Full Name</t>
  </si>
  <si>
    <t>full_name</t>
  </si>
  <si>
    <t>Ext Inf - Clt Ident Inf - Value</t>
  </si>
  <si>
    <t>Entity´s complete name.</t>
  </si>
  <si>
    <t>Nome completo da entidade.</t>
  </si>
  <si>
    <t/>
  </si>
  <si>
    <t>CURATED_INTERNAL_MAINFRAME_CLIENTES</t>
  </si>
  <si>
    <t>PERS_JCA_INT</t>
  </si>
  <si>
    <t>E205_NOM_SOCIED</t>
  </si>
  <si>
    <r>
      <rPr>
        <b/>
        <sz val="11"/>
        <color rgb="FF000000"/>
        <rFont val="Calibri"/>
        <family val="2"/>
        <scheme val="minor"/>
      </rPr>
      <t xml:space="preserve">SELECT </t>
    </r>
    <r>
      <rPr>
        <sz val="11"/>
        <color rgb="FF000000"/>
        <rFont val="Calibri"/>
        <family val="2"/>
        <scheme val="minor"/>
      </rPr>
      <t xml:space="preserve">IF( TRIM( PERS_JCA_INT.E205_NOM_SOCIED ) = '', NULL, PERS_JCA_INT.E205_NOM_SOCIED )
</t>
    </r>
    <r>
      <rPr>
        <b/>
        <sz val="11"/>
        <color rgb="FF000000"/>
        <rFont val="Calibri"/>
        <family val="2"/>
        <scheme val="minor"/>
      </rPr>
      <t xml:space="preserve">WHERE </t>
    </r>
    <r>
      <rPr>
        <sz val="11"/>
        <color rgb="FF000000"/>
        <rFont val="Calibri"/>
        <family val="2"/>
        <scheme val="minor"/>
      </rPr>
      <t>AND PERS_JCA_INT.E2085_TIPO_PERS = 'J'</t>
    </r>
  </si>
  <si>
    <t>BdP - Clientes(APMT0100020556)</t>
  </si>
  <si>
    <t>NOM_SOCIED</t>
  </si>
  <si>
    <t>N\A</t>
  </si>
  <si>
    <t>Company Type Code</t>
  </si>
  <si>
    <t>company_type_code</t>
  </si>
  <si>
    <t>Ext Inf - Clt Gen Inf - Code</t>
  </si>
  <si>
    <t>Identifies the legal process used to form the entity.</t>
  </si>
  <si>
    <t>Código que identifica o processo legal utilizado para formar a entidade.</t>
  </si>
  <si>
    <t>Company Type:
TAT91 - CTABELA 159 ( NELEM09 ); CURATED_INTERNAL_MAINFRAME_ESTRUTURAIS.TAT91_TABELAS - TAYD91C0_CTABELA 159 ( TAYD91C0_NELEMC09 ); COMMON_REFERENCEDATA_CORE.REFERENCE_DATA_TABLE - DATA_TABLE_CODE 000159;</t>
  </si>
  <si>
    <t>E2085_CSECBES</t>
  </si>
  <si>
    <r>
      <rPr>
        <b/>
        <sz val="11"/>
        <color rgb="FF000000"/>
        <rFont val="Calibri"/>
        <family val="2"/>
        <scheme val="minor"/>
      </rPr>
      <t xml:space="preserve">SELECT </t>
    </r>
    <r>
      <rPr>
        <sz val="11"/>
        <color rgb="FF000000"/>
        <rFont val="Calibri"/>
        <family val="2"/>
        <scheme val="minor"/>
      </rPr>
      <t xml:space="preserve">IF( TRIM( PERS_JCA_INT.E2085_CSECBES ) = '', NULL, PERS_JCA_INT.E2085_CSECBES )
</t>
    </r>
    <r>
      <rPr>
        <b/>
        <sz val="11"/>
        <color rgb="FF000000"/>
        <rFont val="Calibri"/>
        <family val="2"/>
        <scheme val="minor"/>
      </rPr>
      <t xml:space="preserve">WHERE </t>
    </r>
    <r>
      <rPr>
        <sz val="11"/>
        <color rgb="FF000000"/>
        <rFont val="Calibri"/>
        <family val="2"/>
        <scheme val="minor"/>
      </rPr>
      <t>PERS_JCA_INT.E2085_TIPO_PERS = 'J'</t>
    </r>
  </si>
  <si>
    <t>CSECBES</t>
  </si>
  <si>
    <t>LEI ID</t>
  </si>
  <si>
    <t>lei_id</t>
  </si>
  <si>
    <t>Ext Inf - Clt Ext Id - ID</t>
  </si>
  <si>
    <t>Legal entity identifier which uniquely identifies a legally entity that engages in a financial transaction.</t>
  </si>
  <si>
    <t>Identificador da entidade legal que identifica de forma inequívoca uma entidade legal que participa numa transação financeira.</t>
  </si>
  <si>
    <t>CURATED_INTERNAL_MAINFRAME_CLIENTES
CURATED_INTERNAL_MAINFRAME_CLIENTES</t>
  </si>
  <si>
    <t>CLT45_FCLI
PERS_JCA_INT</t>
  </si>
  <si>
    <t>CODLEI
N\A</t>
  </si>
  <si>
    <r>
      <rPr>
        <b/>
        <sz val="11"/>
        <color rgb="FF000000"/>
        <rFont val="Calibri"/>
        <family val="2"/>
        <scheme val="minor"/>
      </rPr>
      <t xml:space="preserve">SELECT </t>
    </r>
    <r>
      <rPr>
        <sz val="11"/>
        <color rgb="FF000000"/>
        <rFont val="Calibri"/>
        <family val="2"/>
        <scheme val="minor"/>
      </rPr>
      <t xml:space="preserve">IF( TRIM( CLT45_FCLI.CODLEI ) = '', NULL, CLT45_FCLI.CODLEI )
</t>
    </r>
    <r>
      <rPr>
        <b/>
        <sz val="11"/>
        <color rgb="FF000000"/>
        <rFont val="Calibri"/>
        <family val="2"/>
        <scheme val="minor"/>
      </rPr>
      <t xml:space="preserve">WHERE </t>
    </r>
    <r>
      <rPr>
        <sz val="11"/>
        <color rgb="FF000000"/>
        <rFont val="Calibri"/>
        <family val="2"/>
        <scheme val="minor"/>
      </rPr>
      <t>PERS_JCA_INT.E2085_TIPO_PERS = 'J'</t>
    </r>
  </si>
  <si>
    <t>BdP - Clientes(APMT0100020556) -&gt; CL-S APMT0100024056</t>
  </si>
  <si>
    <t>CLT45_FCLI</t>
  </si>
  <si>
    <t>CODLEI</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</si>
  <si>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</si>
  <si>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</si>
  <si>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</si>
  <si>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Código que identifica o país de origem da empresa. Não é o mesmo que o código do país de constituição da empresa (pode, ou não, corresponder ao mesmo país). O sistema do Santander não tem o país de constituição duma entidade.</t>
  </si>
  <si>
    <t>Country:
PAIS -&gt; TAT91 - CTABELA 015; CURATED_INTERNAL_MAINFRAME_ESTRUTURAIS.TAT91_TABELAS - TAYD91C0_CTABELA 015; COMMON_REFERENCEDATA_CORE.REFERENCE_DATA_TABLE - DATA_TABLE_CODE 000015;</t>
  </si>
  <si>
    <t>TAT03_PAISES
PERS_JCA_INT</t>
  </si>
  <si>
    <t>CPAIS_S
N\A</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</si>
  <si>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PERS_JCA_INT.E2085_TIPO_PERS = 'J'</t>
    </r>
  </si>
  <si>
    <t>PERS_JCA_INT -&gt; TAT03_PAISES</t>
  </si>
  <si>
    <t>PAIS_NACIO -&gt; CPAIS_S</t>
  </si>
  <si>
    <t>Incorporation Date</t>
  </si>
  <si>
    <t>incorporation_date</t>
  </si>
  <si>
    <t>Date of incorporation of the entity, as stated in the certificate of incorporation.</t>
  </si>
  <si>
    <t>Data de constituição da entidade, tal como consta do certificado de registo comercial.</t>
  </si>
  <si>
    <t>E2085_FECCONST</t>
  </si>
  <si>
    <r>
      <rPr>
        <b/>
        <sz val="11"/>
        <color rgb="FF000000"/>
        <rFont val="Calibri"/>
        <family val="2"/>
        <scheme val="minor"/>
      </rPr>
      <t>SELECT</t>
    </r>
    <r>
      <rPr>
        <sz val="11"/>
        <color rgb="FF000000"/>
        <rFont val="Calibri"/>
        <family val="2"/>
        <scheme val="minor"/>
      </rPr>
      <t xml:space="preserve"> IF( TRIM( PERS_JCA_INT.E2085_FECCONST ) = '', NULL, PERS_JCA_INT.E2085_FECCONST )
</t>
    </r>
    <r>
      <rPr>
        <b/>
        <sz val="11"/>
        <color rgb="FF000000"/>
        <rFont val="Calibri"/>
        <family val="2"/>
        <scheme val="minor"/>
      </rPr>
      <t>WHERE</t>
    </r>
    <r>
      <rPr>
        <sz val="11"/>
        <color rgb="FF000000"/>
        <rFont val="Calibri"/>
        <family val="2"/>
        <scheme val="minor"/>
      </rPr>
      <t xml:space="preserve"> PERS_JCA_INT.E2085_TIPO_PERS = 'J'</t>
    </r>
  </si>
  <si>
    <t>FECCONST</t>
  </si>
  <si>
    <t>FATCA Reporting Indicator</t>
  </si>
  <si>
    <t>fatca_reporting_ind</t>
  </si>
  <si>
    <t>Ext Inf - Clt Fiscal Inf - Code</t>
  </si>
  <si>
    <t>Indicates if the entity is reported in the FACTA report.</t>
  </si>
  <si>
    <t>Indica se a entidade é reportada no report FACTA.</t>
  </si>
  <si>
    <t>COMMON_REFERENCEDATA_CORE
CURATED_INTERNAL_MAINFRAME_CLIENTES
CURATED_INTERNAL_MAINFRAME_CLIENTES</t>
  </si>
  <si>
    <t>PARAM_GENERAL_CODE_CONVERTER
CLIENTE_SGMEN2
PERS_JCA_INT.E2085_TIPO_PERS</t>
  </si>
  <si>
    <t>TARGET_VALUE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</si>
  <si>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'fatca_reporting_ind' 
AND PARAM_GENERAL_CODE_CONVERTER.SOURCE_CODE = 'CL' 
AND PARAM_GENERAL_CODE_CONVERTER.SOURCE_VALUE = '' 
AND PARAM_GENERAL_CODE_CONVERTER.OPTION_NUMBER = IF(CLIENTE_SGMEN2.E0840_CODSEG IS NULL, 1, 2)
AND PERS_JCA_INT.E2085_TIPO_PERS = 'J'</t>
    </r>
  </si>
  <si>
    <t>CLIENTE_SEGMEN2</t>
  </si>
  <si>
    <t>CODSEG</t>
  </si>
  <si>
    <t>CRS Reporting Indicator</t>
  </si>
  <si>
    <t>crs_reporting_ind</t>
  </si>
  <si>
    <t>Indicates if the entity is reported in the CRS report.</t>
  </si>
  <si>
    <t>Indica se a entidade é reporta no report CRS.</t>
  </si>
  <si>
    <t>PARAM_GENERAL_CODE_CONVERTER
CRS_CLASSIF
PERS_JCA_INT</t>
  </si>
  <si>
    <t>TARGET_VALUE
N\A
N\A</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</si>
  <si>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PARAM_GENERAL_CODE_CONVERTER.TARGET_FIELD = 'crs_reporting_ind' 
AND PARAM_GENERAL_CODE_CONVERTER.SOURCE_CODE = 'CL' AND PARAM_GENERAL_CODE_CONVERTER.SOURCE_VALUE = '' AND PARAM_GENERAL_CODE_CONVERTER.OPTION_NUMBER = IF(CRS_CLASSIF.R4084_COD_PERS IS NULL, 1, 2)
AND MAX(CRS_CLASSIF.R4084_NR_SEQ) GROUP BY CRS_CLASSIF.R4084_COD_PERS, CRS_CLASSIF.R4084_TIPO_PERS AND CRS_CLASSIF.R4084_FEC_CLAS_FIM = '9999-12-31'
AND PERS_JCA_INT.E2085_TIPO_PERS = 'J'</t>
    </r>
  </si>
  <si>
    <t>CRS_CLASSIF</t>
  </si>
  <si>
    <t>NR_SEQ</t>
  </si>
  <si>
    <t>Legal Nature Code</t>
  </si>
  <si>
    <t>legal_nature_code</t>
  </si>
  <si>
    <t>Identifies the legal nature of the client.</t>
  </si>
  <si>
    <t>Código que identifica a natureza jurídica do cliente.</t>
  </si>
  <si>
    <t>Legal Nature Code:
CNATJUR -&gt; TAT91 - CTABELA 159 ;</t>
  </si>
  <si>
    <t>CLT46_FCLIEMP
PERS_JCA_INT</t>
  </si>
  <si>
    <t>CNATJUR
N\A</t>
  </si>
  <si>
    <r>
      <rPr>
        <b/>
        <sz val="11"/>
        <color rgb="FF000000"/>
        <rFont val="Calibri"/>
        <family val="2"/>
      </rPr>
      <t xml:space="preserve">SELECT </t>
    </r>
    <r>
      <rPr>
        <sz val="11"/>
        <color rgb="FF000000"/>
        <rFont val="Calibri"/>
        <family val="2"/>
      </rPr>
      <t xml:space="preserve">IF (TRIM (CLT46_FCLIEMP.CNATJUR) = '', NULL, CLT46_FCLIEMP.CNATJUR)
</t>
    </r>
    <r>
      <rPr>
        <b/>
        <sz val="11"/>
        <color rgb="FF000000"/>
        <rFont val="Calibri"/>
        <family val="2"/>
      </rPr>
      <t xml:space="preserve">WHERE </t>
    </r>
    <r>
      <rPr>
        <sz val="11"/>
        <color rgb="FF000000"/>
        <rFont val="Calibri"/>
        <family val="2"/>
      </rPr>
      <t>PERS_JCA_INT.E2085_TIPO_PERS = 'J' AND CLT46_FCLIEMP.CEMPRESA = '31'</t>
    </r>
  </si>
  <si>
    <t>CLT46_FCLIEMP</t>
  </si>
  <si>
    <t>CNATJUR</t>
  </si>
  <si>
    <t>Data Date Part</t>
  </si>
  <si>
    <t>data_date_part</t>
  </si>
  <si>
    <t>Key - Date</t>
  </si>
  <si>
    <t>Information reference date.</t>
  </si>
  <si>
    <t>Data de referência dos dados</t>
  </si>
  <si>
    <t>DATA_DATE_PART</t>
  </si>
  <si>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 xml:space="preserve">WHERE </t>
    </r>
    <r>
      <rPr>
        <sz val="11"/>
        <color rgb="FF000000"/>
        <rFont val="Calibri"/>
        <family val="2"/>
        <scheme val="minor"/>
      </rPr>
      <t xml:space="preserve"> AND PERS_JCA_INT.E2085_TIPO_PERS = 'J'</t>
    </r>
  </si>
  <si>
    <t>Data Timestamp Part</t>
  </si>
  <si>
    <t>data_timestamp_part</t>
  </si>
  <si>
    <t>Tec - Date</t>
  </si>
  <si>
    <t>TIMESTAMP</t>
  </si>
  <si>
    <t>Record's load timestamp in common layer.</t>
  </si>
  <si>
    <t>Timestamp da data de execução</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</si>
  <si>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PERS_JCA_INT.E2085_TIPO_PERS = 'J'</t>
    </r>
  </si>
  <si>
    <t>Entity Address</t>
  </si>
  <si>
    <t>TAT01_CLIENTES
 REL_TIP_DOM_HIS</t>
  </si>
  <si>
    <t>ZCLIENTE 
N\A</t>
  </si>
  <si>
    <r>
      <rPr>
        <b/>
        <sz val="11"/>
        <color rgb="FF000000"/>
        <rFont val="Calibri"/>
        <family val="2"/>
        <scheme val="minor"/>
      </rPr>
      <t xml:space="preserve">SELECT </t>
    </r>
    <r>
      <rPr>
        <sz val="11"/>
        <color rgb="FF000000"/>
        <rFont val="Calibri"/>
        <family val="2"/>
        <scheme val="minor"/>
      </rPr>
      <t xml:space="preserve">LPAD( TAT01_CLIENTES.ZCLIENTE, 10, '0' ) 
</t>
    </r>
    <r>
      <rPr>
        <b/>
        <sz val="11"/>
        <color rgb="FF000000"/>
        <rFont val="Calibri"/>
        <family val="2"/>
        <scheme val="minor"/>
      </rPr>
      <t xml:space="preserve">WHERE </t>
    </r>
    <r>
      <rPr>
        <sz val="11"/>
        <color rgb="FF000000"/>
        <rFont val="Calibri"/>
        <family val="2"/>
        <scheme val="minor"/>
      </rPr>
      <t>REL_TIP_DOM_HIS.E0712_FECH_FIN = '9999-12-31'</t>
    </r>
  </si>
  <si>
    <t>DOMIC_PERS_INT -&gt; TAT01_CLIENTES</t>
  </si>
  <si>
    <t>CONCAT( TIPO_PER, COD_PERS ) -&gt; ZCLIENTE</t>
  </si>
  <si>
    <t>Order Number</t>
  </si>
  <si>
    <t>order_number</t>
  </si>
  <si>
    <t>Key - Value</t>
  </si>
  <si>
    <t>BIGINT</t>
  </si>
  <si>
    <t>Corresponds to the order in which the address is registred in the system. It is not a direct relationship with the address beeing, or not, the main address.</t>
  </si>
  <si>
    <t>Corresponde à ordem em que a morada está registada no sistema. Não se trata de uma relação direta com o facto de a morada ser, ou não, a morada principal.</t>
  </si>
  <si>
    <t>DOMIC_PERS_INT
REL_TIP_DOM_HIS</t>
  </si>
  <si>
    <t>E0710_NRODOM
N\A</t>
  </si>
  <si>
    <r>
      <rPr>
        <b/>
        <sz val="11"/>
        <color rgb="FF000000"/>
        <rFont val="Calibri"/>
        <family val="2"/>
        <scheme val="minor"/>
      </rPr>
      <t xml:space="preserve">SELECT </t>
    </r>
    <r>
      <rPr>
        <sz val="11"/>
        <color rgb="FF000000"/>
        <rFont val="Calibri"/>
        <family val="2"/>
        <scheme val="minor"/>
      </rPr>
      <t xml:space="preserve">CAST( DOMIC_PERS_INT.E0710_NRODOM AS BIGINT )
</t>
    </r>
    <r>
      <rPr>
        <b/>
        <sz val="11"/>
        <color rgb="FF000000"/>
        <rFont val="Calibri"/>
        <family val="2"/>
        <scheme val="minor"/>
      </rPr>
      <t xml:space="preserve">WHERE </t>
    </r>
    <r>
      <rPr>
        <sz val="11"/>
        <color rgb="FF000000"/>
        <rFont val="Calibri"/>
        <family val="2"/>
        <scheme val="minor"/>
      </rPr>
      <t>REL_TIP_DOM_HIS.E0712_FECH_FIN = '9999-12-31'</t>
    </r>
  </si>
  <si>
    <t>DOMIC_PERS_INT</t>
  </si>
  <si>
    <t xml:space="preserve">NRODOM </t>
  </si>
  <si>
    <t>Start Date</t>
  </si>
  <si>
    <t>start_date</t>
  </si>
  <si>
    <t>Ext inf - Clt Addr Inf - Date</t>
  </si>
  <si>
    <t>The date in which the client submited the information about the address to Santander's systems.</t>
  </si>
  <si>
    <t>Data em que o cliente submeteu informação relativa à morada nos sistemas do Santander.</t>
  </si>
  <si>
    <t>E0710_FECALTSI
N\A</t>
  </si>
  <si>
    <r>
      <rPr>
        <b/>
        <sz val="11"/>
        <color rgb="FF000000"/>
        <rFont val="Calibri"/>
        <family val="2"/>
        <scheme val="minor"/>
      </rPr>
      <t xml:space="preserve">SELECT </t>
    </r>
    <r>
      <rPr>
        <sz val="11"/>
        <color rgb="FF000000"/>
        <rFont val="Calibri"/>
        <family val="2"/>
        <scheme val="minor"/>
      </rPr>
      <t xml:space="preserve">CAST( DOMIC_PERS_INT.E0710_FECALTSI AS STRING)
</t>
    </r>
    <r>
      <rPr>
        <b/>
        <sz val="11"/>
        <color rgb="FF000000"/>
        <rFont val="Calibri"/>
        <family val="2"/>
        <scheme val="minor"/>
      </rPr>
      <t xml:space="preserve">WHERE </t>
    </r>
    <r>
      <rPr>
        <sz val="11"/>
        <color rgb="FF000000"/>
        <rFont val="Calibri"/>
        <family val="2"/>
        <scheme val="minor"/>
      </rPr>
      <t>REL_TIP_DOM_HIS.E0712_FECH_FIN = '9999-12-31'</t>
    </r>
  </si>
  <si>
    <t>FECALTSI</t>
  </si>
  <si>
    <t>Address Type Code</t>
  </si>
  <si>
    <t>address_type_code</t>
  </si>
  <si>
    <t>Ext inf - Addr Inf - Code</t>
  </si>
  <si>
    <t>Identifies the type of address.</t>
  </si>
  <si>
    <t>Código que identifica o tipo de morada, por exemplo, residência, etc.</t>
  </si>
  <si>
    <t>Address Type:
TIP_DOMICILIO -&gt; ?</t>
  </si>
  <si>
    <t>REL_TIP_DOM_HIS</t>
  </si>
  <si>
    <t>E0712_TIPODOM</t>
  </si>
  <si>
    <r>
      <rPr>
        <b/>
        <sz val="11"/>
        <color rgb="FF000000"/>
        <rFont val="Calibri"/>
        <family val="2"/>
        <scheme val="minor"/>
      </rPr>
      <t xml:space="preserve">SELECT </t>
    </r>
    <r>
      <rPr>
        <sz val="11"/>
        <color rgb="FF000000"/>
        <rFont val="Calibri"/>
        <family val="2"/>
        <scheme val="minor"/>
      </rPr>
      <t xml:space="preserve">CAST( REL_TIP_DOM_HIS.E0712_TIPODOM AS STRING )
</t>
    </r>
    <r>
      <rPr>
        <b/>
        <sz val="11"/>
        <color rgb="FF000000"/>
        <rFont val="Calibri"/>
        <family val="2"/>
        <scheme val="minor"/>
      </rPr>
      <t xml:space="preserve">WHERE </t>
    </r>
    <r>
      <rPr>
        <sz val="11"/>
        <color rgb="FF000000"/>
        <rFont val="Calibri"/>
        <family val="2"/>
        <scheme val="minor"/>
      </rPr>
      <t>REL_TIP_DOM_HIS.E0712_FECH_FIN = '9999-12-31'</t>
    </r>
  </si>
  <si>
    <t>TIPODOM</t>
  </si>
  <si>
    <t>Country Code</t>
  </si>
  <si>
    <t>country_code</t>
  </si>
  <si>
    <t>Ext inf - Addr Gen Inf - Code</t>
  </si>
  <si>
    <t>Country code to which the address belongs to.</t>
  </si>
  <si>
    <t>Código do país ao qual a morada pertence.</t>
  </si>
  <si>
    <t>Country:
PAIS -&gt; TAT03_PAISES -&gt; TAT91 - CTABELA 015; CURATED_INTERNAL_MAINFRAME_ESTRUTURAIS.TAT91_TABELAS - TAYD91C0_CTABELA 015; COMMON_REFERENCEDATA_CORE.REFERENCE_DATA_TABLE - DATA_TABLE_CODE 000015;</t>
  </si>
  <si>
    <t>TAT03_PAISES
REL_TIP_DOM_HIS</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</si>
  <si>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REL_TIP_DOM_HIS.E0712_FECH_FIN = '9999-12-31'</t>
    </r>
  </si>
  <si>
    <t>DOMIC_PERS_INT -&gt; TAT03_PAISES</t>
  </si>
  <si>
    <t>COD_PAIS -&gt; CPAIS_S</t>
  </si>
  <si>
    <t>District Name</t>
  </si>
  <si>
    <t>district_name</t>
  </si>
  <si>
    <t>Identifies the name of district to which the address belongs to.</t>
  </si>
  <si>
    <t>Nome do distrito ao qual a morada pertence.</t>
  </si>
  <si>
    <t>E0710_DOM_DESC_TEXT
N\A</t>
  </si>
  <si>
    <r>
      <rPr>
        <b/>
        <sz val="11"/>
        <color rgb="FF000000"/>
        <rFont val="Calibri"/>
        <family val="2"/>
      </rPr>
      <t xml:space="preserve">SELECT </t>
    </r>
    <r>
      <rPr>
        <sz val="11"/>
        <color rgb="FF000000"/>
        <rFont val="Calibri"/>
        <family val="2"/>
      </rPr>
      <t xml:space="preserve">CASE
    WHEN DOMIC_PERS_INT.E0710_FMTO_DOM = 'DP' THEN IF( TRIM ( SUBSTRING( DOMIC_PERS_INT.E0710_DOM_DESC_TEXT, 229, 35 ) ) = '', NULL,  UPPER( SUBSTRING( DOMIC_PERS_INT.E0710_DOM_DESC_TEXT, 229, 35 ) ) )
    WHEN DOMIC_PERS_INT.E0710_FMTO_DOM = 'EP' THEN NULL
    WHEN DOMIC_PERS_INT.E0710_FMTO_DOM = 'AP' THEN IF( TRIM ( SUBSTRING( DOMIC_PERS_INT.E0710_DOM_DESC_TEXT, 68, 30 ) ) = '', NULL, UPPER( SUBSTRING( DOMIC_PERS_INT.E0710_DOM_DESC_TEXT, 68, 30 ) ) )
     ELSE NULL
</t>
    </r>
    <r>
      <rPr>
        <b/>
        <sz val="11"/>
        <color rgb="FF000000"/>
        <rFont val="Calibri"/>
        <family val="2"/>
      </rPr>
      <t>WHERE</t>
    </r>
    <r>
      <rPr>
        <sz val="11"/>
        <color rgb="FF000000"/>
        <rFont val="Calibri"/>
        <family val="2"/>
      </rPr>
      <t xml:space="preserve"> REL_TIP_DOM_HIS.E0712_FECH_FIN = '9999-12-31'</t>
    </r>
  </si>
  <si>
    <t>DOMIC_PERS_INT || N\A || DOMIC_PERS_INT</t>
  </si>
  <si>
    <t>DOM_DESC( 229, 35 ) || N\A || DOM_DESC( 68, 30 )</t>
  </si>
  <si>
    <t>N\A || "NULL" || N\A</t>
  </si>
  <si>
    <t>District Code</t>
  </si>
  <si>
    <t>district_code</t>
  </si>
  <si>
    <t>Identifies the district to which the address belongs to.</t>
  </si>
  <si>
    <t>Código do distrito ao qual a morada pertence.
CL: O código é composta por 8 números, sendo que os 2 primeiros são o distrito e os 6 restantes são 0 de preenchimento que permitem descodificar o campo na tabela de dados de referência.</t>
  </si>
  <si>
    <t>District:
DISTRITO_PT -&gt; TAT91 - CTABELA J48; CURATED_INTERNAL_MAINFRAME_ESTRUTURAIS.TAT91_TABELAS - TAYD91C0_CTABELA J48;COMMON_REFERENCEDATA_CORE.REFERENCE_DATA_TABLE - DATA_TABLE_CODE 000J48;</t>
  </si>
  <si>
    <t>CURATED_INTERNAL_MAINFRAME_CLIENTES
CURATED_INTERNAL_MAINFRAME_ESTRUTURAIS
CURATED_INTERNAL_MAINFRAME_ESTRUTURAIS
CURATED_INTERNAL_MAINFRAME_CLIENTES</t>
  </si>
  <si>
    <t>DOMIC_PERS_INT
(VIAS_PT)2
(VIAS_PT)1
REL_TIP_DOM_HIS</t>
  </si>
  <si>
    <t>N\A
CODDIS
CODDIS
N\A</t>
  </si>
  <si>
    <r>
      <rPr>
        <b/>
        <sz val="11"/>
        <color rgb="FF000000"/>
        <rFont val="Calibri"/>
        <family val="2"/>
        <scheme val="minor"/>
      </rPr>
      <t xml:space="preserve">SELECT </t>
    </r>
    <r>
      <rPr>
        <sz val="11"/>
        <color rgb="FF000000"/>
        <rFont val="Calibri"/>
        <family val="2"/>
        <scheme val="minor"/>
      </rPr>
      <t xml:space="preserve">CASE
        WHEN DOMIC_PERS_INT.E0710_FMTO_DOM = 'DP' THEN CONCAT(VIAS_PT(1).CODDIS, '0000')
        WHEN DOMIC_PERS_INT.E0710_FMTO_DOM = 'EP' THEN NULL
        WHEN DOMIC_PERS_INT.E0710_FMTO_DOM = 'AP' THEN CONCAT(VIAS_PT(2).CODDIS, '0000')
        ELSE NULL
      END AS DISTRICT_CODE,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VIAS_PT(2).FECBAJA = '9999-12-31'</t>
    </r>
  </si>
  <si>
    <t>BdP - Clientes</t>
  </si>
  <si>
    <t>CONCAT ( DOM_DESC( 222, 2 ), "0000" ) || N\A || CONCAT( DOM_DESC( 61, 2 ), "0000" )</t>
  </si>
  <si>
    <t>Municipality Code</t>
  </si>
  <si>
    <t>municipality_code</t>
  </si>
  <si>
    <t>Identifies the municipality to which the address belongs to.</t>
  </si>
  <si>
    <t>Código do municipio ao qual a morada pertence.
CL: O código é composta por 8 números, sendo que os 4 primeiros são o municipio e os 2 restantes são 0 de preenchimento que permitem descodificar o campo na tabela de dados de referência.</t>
  </si>
  <si>
    <t>Municipality:
CONCELHO_PT -&gt; TAT91 - CTABELA J48; CURATED_INTERNAL_MAINFRAME_ESTRUTURAIS.TAT91_TABELAS - TAYD91C0_CTABELA J48; COMMON_REFERENCEDATA_CORE.REFERENCE_DATA_TABLE - DATA_TABLE_CODE 000J48;</t>
  </si>
  <si>
    <t>N\A
CODCON
CODCON
N\A</t>
  </si>
  <si>
    <r>
      <rPr>
        <b/>
        <sz val="11"/>
        <color rgb="FF000000"/>
        <rFont val="Calibri"/>
        <family val="2"/>
        <scheme val="minor"/>
      </rPr>
      <t>SELECT</t>
    </r>
    <r>
      <rPr>
        <sz val="11"/>
        <color rgb="FF000000"/>
        <rFont val="Calibri"/>
        <family val="2"/>
        <scheme val="minor"/>
      </rPr>
      <t xml:space="preserve"> CASE
        WHEN DOMIC_PERS_INT.E0710_FMTO_DOM = 'DP' THEN CONCAT(VIAS_PT(1).CODDIS,VIAS_PT(1).CODCON, '00')
        WHEN DOMIC_PERS_INT.E0710_FMTO_DOM = 'EP' THEN NULL
        WHEN DOMIC_PERS_INT.E0710_FMTO_DOM = 'AP' THEN CONCAT(VIAS_PT(2).CODDIS,VIAS_PT(2).CODCON, '00')
        ELSE NULL
     END AS MUNICIPALITY_CODE,
</t>
    </r>
    <r>
      <rPr>
        <b/>
        <sz val="11"/>
        <color rgb="FF000000"/>
        <rFont val="Calibri"/>
        <family val="2"/>
        <scheme val="minor"/>
      </rPr>
      <t xml:space="preserve">WHERE </t>
    </r>
    <r>
      <rPr>
        <sz val="11"/>
        <color rgb="FF000000"/>
        <rFont val="Calibri"/>
        <family val="2"/>
        <scheme val="minor"/>
      </rPr>
      <t xml:space="preserve">REL_TIP_DOM_HIS.E0712_FECH_FIN = '9999-12-31'
    AND VIAS_PT(1).FECBAJA = '9999-12-31'
    AND VIAS_PT(2).FECBAJA = '9999-12-31'
</t>
    </r>
  </si>
  <si>
    <t>CONCAT ( DOM_DESC( 222, 4 ), "00" ) || N\A || CONCAT( DOM_DESC( 61, 4 ), "00" )</t>
  </si>
  <si>
    <t>Civil Parish Code</t>
  </si>
  <si>
    <t>civil_parish_code</t>
  </si>
  <si>
    <t>Identifies the lowest local adminstrative location of the local government ("freguesia") to which the address belongs to.</t>
  </si>
  <si>
    <t>Código da freguesia ao qual a morada pertence.
CL: O código é composta por 8 números, sendo que os 8 primeiros são a freguesia que permite descodificar o campo na tabela de dados de referência.</t>
  </si>
  <si>
    <t>Civil Parish:
TAT91 - CTABELA J48; CURATED_INTERNAL_MAINFRAME_ESTRUTURAIS.TAT91_TABELAS - TAYD91C0_CTABELA J48; COMMON_REFERENCEDATA_CORE.REFERENCE_DATA_TABLE - DATA_TABLE_CODE 000J48;</t>
  </si>
  <si>
    <t>CURATED_INTERNAL_MAINFRAME_CLIENTES
CURATED_INTERNAL_MAINFRAME_ESTRUTURAIS
CURATED_INTERNAL_MAINFRAME_ESTRUTURAIS
CURATED_INTERNAL_MAINFRAME_ESTRUTURAIS
CURATED_INTERNAL_MAINFRAME_ESTRUTURAIS
CURATED_INTERNAL_MAINFRAME_CLIENTES</t>
  </si>
  <si>
    <t>DOMIC_PERS_INT
(VIAS_PT)2
(VIAS_PT)2
(VIAS_PT)1
(VIAS_PT)1
REL_TIP_DOM_HIS</t>
  </si>
  <si>
    <t>N\A
CODCON
FREGNA
CODCON
FREGNA
N\A</t>
  </si>
  <si>
    <r>
      <rPr>
        <b/>
        <sz val="11"/>
        <color rgb="FF000000"/>
        <rFont val="Calibri"/>
        <family val="2"/>
        <scheme val="minor"/>
      </rPr>
      <t>SELECT</t>
    </r>
    <r>
      <rPr>
        <sz val="11"/>
        <color rgb="FF000000"/>
        <rFont val="Calibri"/>
        <family val="2"/>
        <scheme val="minor"/>
      </rPr>
      <t xml:space="preserve"> CASE
        WHEN DOMIC_PERS_INT.E0710_FMTO_DOM = 'DP' THEN CONCAT(VIAS_PT(1).CODDIS,VIAS_PT(1).CODCON, VIAS_PT(1).FREGNA)
        WHEN DOMIC_PERS_INT.E0710_FMTO_DOM = 'EP' THEN NULL
        WHEN DOMIC_PERS_INT.E0710_FMTO_DOM = 'AP' THEN CONCAT(VIAS_PT(2).CODDIS,VIAS_PT(2).CODCON, VIAS_PT(2).FREGNA)
        ELSE NULL
     END AS CIVIL_PARISH_CODE,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VIAS_PT(2).FECBAJA = '9999-12-31'</t>
    </r>
  </si>
  <si>
    <t>DOM_DESC( 222, 7 ) || N\A || DOM_DESC( 61, 7 )</t>
  </si>
  <si>
    <t>Nomenclature of Territorial Units for Statistics 3 Code</t>
  </si>
  <si>
    <t>nut3_code</t>
  </si>
  <si>
    <t>Identifies to which nut3 (lowest level of the EU's economic territory hierarchy) the address belongs to.</t>
  </si>
  <si>
    <t>Identifica a que nut3 (nível mais baixo da hierarquia do território económico da UE) pertence a morada.</t>
  </si>
  <si>
    <t>NUT3:
TAT91 - CTABELA J48; CURATED_INTERNAL_MAINFRAME_ESTRUTURAIS.TAT91_TABELAS - TAYD91C0_CTABELA J48; COMMON_REFERENCEDATA_CORE.REFERENCE_DATA_TABLE - DATA_TABLE_CODE 000J48;</t>
  </si>
  <si>
    <t>CURATED_INTERNAL_MAINFRAME_ESTRUTURAIS
CURATED_INTERNAL_MAINFRAME_ESTRUTURAIS
CURATED_INTERNAL_MAINFRAME_ESTRUTURAIS
CURATED_INTERNAL_MAINFRAME_ESTRUTURAIS
CURATED_INTERNAL_MAINFRAME_CLIENTES</t>
  </si>
  <si>
    <t>(TAT91_TABELAS_NEW)1
(TAT91_TABELAS_NEW)2
(VIAS_PT)2
(VIAS_PT)1
REL_TIP_DOM_HIS</t>
  </si>
  <si>
    <t>TAYD91C0_NELEMC05
TAYD91C0_NELEMC05
N\A
N\A
N\A</t>
  </si>
  <si>
    <r>
      <t xml:space="preserve">
</t>
    </r>
    <r>
      <rPr>
        <b/>
        <sz val="11"/>
        <color rgb="FF000000"/>
        <rFont val="Calibri"/>
        <family val="2"/>
        <scheme val="minor"/>
      </rPr>
      <t>SELECT</t>
    </r>
    <r>
      <rPr>
        <sz val="11"/>
        <color rgb="FF000000"/>
        <rFont val="Calibri"/>
        <family val="2"/>
        <scheme val="minor"/>
      </rPr>
      <t xml:space="preserve"> CASE
    WHEN DOMIC_PERS_INT.E0710_FMTO_DOM = 'DP' THEN SUBSTRING(TAT91_TABELAS_NEW(1).TAYD91C0_NELEMC05, 1, 5))
    WHEN DOMIC_PERS_INT.E0710_FMTO_DOM = 'EP' THEN NULL
    WHEN DOMIC_PERS_INT.E0710_FMTO_DOM = 'AP' THEN SUBSTRING(TAT91_TABELAS_NEW(2).TAYD91C0_NELEMC05, 1, 5))
    ELSE NULL
END AS NUT3_CODE,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VIAS_PT(1).FECBAJA.DATA_DATE_PART = MAX(VIAS_PT(1).FECBAJA.DATA_DATE_PART)) AND (MAX( COUNT(*) GROUP BY VIAS_PT.ZONA, VIAS_PT.CODCOMP, VIAS_PT.CODDIS, VIAS_PT.CODCON, VIAS_PT.FREGNA) GROUP BY VIAS_PT.ZONA, VIAS_PT.CODCOMP)
AND VIAS_PT(2).FECBAJA = '9999-12-31' AND AND VIAS_PT(2).FECBAJA.DATA_DATE_PART = MAX(VIAS_PT(2).FECBAJA.DATA_DATE_PART)) AND (MAX( COUNT(*) GROUP BY VIAS_PT.ZONA, VIAS_PT.CODCOMP, VIAS_PT.CODDIS, VIAS_PT.CODCON, VIAS_PT.FREGNA) GROUP BY VIAS_PT.ZONA, VIAS_PT.CODCOMP)
AND TAT91_TABELAS_NEW(1).TAYD91C0_CTABELA = 'J48'
AND TAT91_TABELAS_NEW(2).TAYD91C0_CTABELA = 'J48'</t>
    </r>
  </si>
  <si>
    <t>DOMIC_PERS_INT -&gt; TAT91_TABELAS || N\A || DOMIC_PERS_INT -&gt; TAT91_TABELAS</t>
  </si>
  <si>
    <t>DOM_DESC( 222, 7 ) -&gt; NELEMC09 || N\A || DOM_DESC( 61, 7 ) -&gt; NELEMC08 || DOM_DESC( 61, 7 ) -&gt; NELEMC09</t>
  </si>
  <si>
    <t>Postal Code</t>
  </si>
  <si>
    <t>postal_code</t>
  </si>
  <si>
    <t>Ext inf - Addr Inf - Value</t>
  </si>
  <si>
    <t>Postal code of the adress.</t>
  </si>
  <si>
    <t>Código postal da morada.</t>
  </si>
  <si>
    <t>Postal Code:
COD_POSTAL_PT -&gt; TAT91 - CTABELA 020; CURATED_INTERNAL_MAINFRAME_ESTRUTURAIS.TAT91_TABELAS - TAYD91C0_CTABELA 020; COMMON_REFERENCEDATA_CORE.REFERENCE_DATA_TABLE - DATA_TABLE_CODE 000028;</t>
  </si>
  <si>
    <t>CURATED_INTERNAL_MAINFRAME_CLIENTES
CURATED_INTERNAL_MAINFRAME_CLIENTES
CURATED_INTERNAL_MAINFRAME_CLIENTES
CURATED_INTERNAL_MAINFRAME_ESTRUTURAIS</t>
  </si>
  <si>
    <t>DOMIC_PERS_INT
PERS_JCA_INT
REL_TIP_DOM_HIS
TAT01_CLIENTES</t>
  </si>
  <si>
    <t>E0710_DOM_DESC_TEXT
N\A
N\A
N\A</t>
  </si>
  <si>
    <t xml:space="preserve">SELECT CASE
    WHEN DOMIC_PERS_INT.E0710_FMTO_DOM = 'DP' THEN IF( TRIM( CONCAT( SUBSTRING( DOMIC_PERS_INT.E0710_DOM_DESC_TEXT, 222, 4 ), '-', SUBSTRING( DOMIC_PERS_INT.E0710_DOM_DESC_TEXT, 226, 3 ) ) ) = '', NULL, CONCAT( SUBSTRING( DOMIC_PERS_INT.E0710_DOM_DESC_TEXT, 222, 4 ), '-', SUBSTRING( DOMIC_PERS_INT.E0710_DOM_DESC_TEXT,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END AS POSTAL_CODE
WHERE REL_TIP_DOM_HIS.E0712_FECH_FIN = '9999-12-31'
AND VIAS_PT(1).FECBAJA = '9999-12-31' AND VIAS_PT(1).FECBAJA.DATA_DATE_PART = MAX(VIAS_PT(1).FECBAJA.DATA_DATE_PART)) AND (MAX( COUNT(*) GROUP BY VIAS_PT.ZONA, VIAS_PT.CODCOMP, VIAS_PT.CODDIS, VIAS_PT.CODCON, VIAS_PT.FREGNA) GROUP BY VIAS_PT.ZONA, VIAS_PT.CODCOMP)
AND VIAS_PT(2).FECBAJA = '9999-12-31' AND AND VIAS_PT(2).FECBAJA.DATA_DATE_PART = MAX(VIAS_PT(2).FECBAJA.DATA_DATE_PART)) AND (MAX( COUNT(*) GROUP BY VIAS_PT.ZONA, VIAS_PT.CODCOMP, VIAS_PT.CODDIS, VIAS_PT.CODCON, VIAS_PT.FREGNA) GROUP BY VIAS_PT.ZONA, VIAS_PT.CODCOMP)
AND TAT91_TABELAS_NEW(1).TAYD91C0_CTABELA = 'J48'
AND TAT91_TABELAS_NEW(2).TAYD91C0_CTABELA = 'J48'
</t>
  </si>
  <si>
    <t>CONCAT( DOM_DESC( 222, 4 ), "-", DOM_DESC ( 226, 3 ) || N\A || CONCAT( DOM_DESC( 61, 4 ), "-", DOM_DESC ( 65, 3 )</t>
  </si>
  <si>
    <t>Postal Code Description</t>
  </si>
  <si>
    <t>postal_code_description</t>
  </si>
  <si>
    <t>Postal Code Description:
TAT91 - CTABELA J48; CURATED_INTERNAL_MAINFRAME_ESTRUTURAIS.TAT91_TABELAS - TAYD91C0_CTABELA J48; COMMON_REFERENCEDATA_CORE.REFERENCE_DATA_TABLE - DATA_TABLE_CODE 000J48;</t>
  </si>
  <si>
    <t>TAYD91C0_GELEMTAB
TAYD91C0_GELEMTAB
N\A
N\A
N\A</t>
  </si>
  <si>
    <r>
      <rPr>
        <b/>
        <sz val="11"/>
        <color rgb="FF000000"/>
        <rFont val="Calibri"/>
        <family val="2"/>
      </rPr>
      <t>SELECT</t>
    </r>
    <r>
      <rPr>
        <sz val="11"/>
        <color rgb="FF000000"/>
        <rFont val="Calibri"/>
        <family val="2"/>
      </rPr>
      <t xml:space="preserve"> CASE
    WHEN DOMIC_PERS_INT.E0710_FMTO_DOM = 'DP' THEN UPPER( TRIM(TAT91_TABELAS_NEW(1).TAYD91C0_GELEMTAB) )
    WHEN DOMIC_PERS_INT.E0710_FMTO_DOM = 'EP' THEN NULL
    WHEN DOMIC_PERS_INT.E0710_FMTO_DOM = 'AP' THEN UPPER ( TRIM(TAT91_TABELAS_NEW(2).TAYD91C0_GELEMTAB) )
    ELSE NULL
END AS POSTAL_CODE_DESCRIPTION,
</t>
    </r>
    <r>
      <rPr>
        <b/>
        <sz val="11"/>
        <color rgb="FF000000"/>
        <rFont val="Calibri"/>
        <family val="2"/>
      </rPr>
      <t xml:space="preserve">WHERE </t>
    </r>
    <r>
      <rPr>
        <sz val="11"/>
        <color rgb="FF000000"/>
        <rFont val="Calibri"/>
        <family val="2"/>
      </rPr>
      <t>REL_TIP_DOM_HIS.E0712_FECH_FIN = '9999-12-31'
AND VIAS_PT(1).FECBAJA = '9999-12-31' AND VIAS_PT(1).FECBAJA.DATA_DATE_PART = MAX(VIAS_PT(1).FECBAJA.DATA_DATE_PART)) AND (MAX( COUNT(*) GROUP BY VIAS_PT.ZONA, VIAS_PT.CODCOMP, VIAS_PT.CODDIS, VIAS_PT.CODCON, VIAS_PT.FREGNA) GROUP BY VIAS_PT.ZONA, VIAS_PT.CODCOMP)
AND VIAS_PT(2).FECBAJA = '9999-12-31' AND AND VIAS_PT(2).FECBAJA.DATA_DATE_PART = MAX(VIAS_PT(2).FECBAJA.DATA_DATE_PART)) AND (MAX( COUNT(*) GROUP BY VIAS_PT.ZONA, VIAS_PT.CODCOMP, VIAS_PT.CODDIS, VIAS_PT.CODCON, VIAS_PT.FREGNA) GROUP BY VIAS_PT.ZONA, VIAS_PT.CODCOMP)
AND TAT91_TABELAS_NEW(1).TAYD91C0_CTABELA = 'J48'
AND TAT91_TABELAS_NEW(2).TAYD91C0_CTABELA = 'J48'</t>
    </r>
  </si>
  <si>
    <t>Street Type Code</t>
  </si>
  <si>
    <t>street_type_code</t>
  </si>
  <si>
    <t>Identifies the type of street of the address, for example, avenue, street, etc.</t>
  </si>
  <si>
    <t>Código do tipo de rua da morada, por exemplo, avenida, rua, etc.</t>
  </si>
  <si>
    <t>Street Type:
TIPO_VIA_PT -&gt;  TAT91 - CTABELA H91; CURATED_INTERNAL_MAINFRAME_ESTRUTURAIS.TAT91_TABELAS - TAYD91C0_CTABELA H91</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</si>
  <si>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REL_TIP_DOM_HIS.E0712_FECH_FIN = '9999-12-31'</t>
    </r>
  </si>
  <si>
    <t>DOMIC_PERS_INT || N\A || N\A</t>
  </si>
  <si>
    <t>DOM_DESC( 1, 6 ) || N\A || N\A</t>
  </si>
  <si>
    <t>N\A || "NULL" || "NULL"</t>
  </si>
  <si>
    <t>Street Name</t>
  </si>
  <si>
    <t>street_name</t>
  </si>
  <si>
    <t>Address's street name.</t>
  </si>
  <si>
    <t>Nome da rua da morada.</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</si>
  <si>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7, 100 ) ) = '', NULL, UPPER( SUBSTRING( DOMIC_PERS_INT.E0710_DOM_DESC_TEXT, 7, 100 ) ) )
    WHEN DOMIC_PERS_INT.E0710_FMTO_DOM = 'EP' THEN NULL
    WHEN DOMIC_PERS_INT.E0710_FMTO_DOM = 'AP' THEN NULL
    ELSE NULL
</t>
    </r>
    <r>
      <rPr>
        <sz val="11"/>
        <color rgb="FFFF0000"/>
        <rFont val="Calibri"/>
        <family val="2"/>
      </rPr>
      <t xml:space="preserve">
</t>
    </r>
    <r>
      <rPr>
        <b/>
        <sz val="11"/>
        <color rgb="FF000000"/>
        <rFont val="Calibri"/>
        <family val="2"/>
      </rPr>
      <t>WHERE</t>
    </r>
    <r>
      <rPr>
        <sz val="11"/>
        <color rgb="FF000000"/>
        <rFont val="Calibri"/>
        <family val="2"/>
      </rPr>
      <t xml:space="preserve"> REL_TIP_DOM_HIS.E0712_FECH_FIN = '9999-12-31'</t>
    </r>
  </si>
  <si>
    <t>DOM_DESC( 7, 100 ) || N\A || N\A</t>
  </si>
  <si>
    <t>Locality Name</t>
  </si>
  <si>
    <t>locality_name</t>
  </si>
  <si>
    <t>Ext inf - Addr Gen Inf - Value</t>
  </si>
  <si>
    <t>Locality Name.</t>
  </si>
  <si>
    <t>Localidade da cliente.</t>
  </si>
  <si>
    <r>
      <rPr>
        <b/>
        <sz val="11"/>
        <color rgb="FF000000"/>
        <rFont val="Calibri"/>
        <family val="2"/>
        <scheme val="minor"/>
      </rPr>
      <t>SELECT</t>
    </r>
    <r>
      <rPr>
        <sz val="11"/>
        <color rgb="FF000000"/>
        <rFont val="Calibri"/>
        <family val="2"/>
        <scheme val="minor"/>
      </rPr>
      <t xml:space="preserve"> CASE
    WHEN DOMIC_PERS_INT.E0710_FMTO_DOM = 'DP' THEN IF( TRIM( SUBSTRING( DOMIC_PERS_INT.E0710_DOM_DESC_TEXT, 172, 50 ) ) = '', NULL, UPPER( SUBSTRING( DOMIC_PERS_INT.E0710_DOM_DESC_TEXT, 172, 50 ) ) )
    WHEN DOMIC_PERS_INT.E0710_FMTO_DOM = 'EP' THEN NULL
    WHEN DOMIC_PERS_INT.E0710_FMTO_DOM = 'AP' THEN NULL
    ELSE NULL
</t>
    </r>
    <r>
      <rPr>
        <b/>
        <sz val="11"/>
        <color rgb="FF000000"/>
        <rFont val="Calibri"/>
        <family val="2"/>
        <scheme val="minor"/>
      </rPr>
      <t>WHERE</t>
    </r>
    <r>
      <rPr>
        <sz val="11"/>
        <color rgb="FF000000"/>
        <rFont val="Calibri"/>
        <family val="2"/>
        <scheme val="minor"/>
      </rPr>
      <t xml:space="preserve"> REL_TIP_DOM_HIS.E0712_FECH_FIN = '9999-12-31'</t>
    </r>
  </si>
  <si>
    <t>E0710_DOM_DESC_TEXT( 172, 50 )</t>
  </si>
  <si>
    <t>Building Type Code</t>
  </si>
  <si>
    <t>building_type_code</t>
  </si>
  <si>
    <t>Type of building, for example, if it is a building an estate and so on.</t>
  </si>
  <si>
    <t>Tipo de edificio, por exemplo, se é um prédio, propriedade, etc.</t>
  </si>
  <si>
    <t>Building Type:
TIP_EDIFICIO_PT -&gt; TAT91 - CTABELA H90; CURATED_INTERNAL_MAINFRAME_ESTRUTURAIS.TAT91_TABELAS - TAYD91C0_CTABELA H90; COMMON_REFERENCEDATA_CORE.REFERENCE_DATA_TABLE - DATA_TABLE_CODE 000H90;</t>
  </si>
  <si>
    <t>CURATED_INTERNAL_MAINFRAME_CLIENTES
CURATED_INTERNAL_MAINFRAME_CLIENTES
COMMON_REFERENCEDATA_CORE</t>
  </si>
  <si>
    <t>DOMIC_PERS_INT
REL_TIP_DOM_HIS
PARAM_GENERAL_CODE_CONVERTER</t>
  </si>
  <si>
    <t>E0710_DOM_DESC_TEXT
N\A
TARGET_VALUE</t>
  </si>
  <si>
    <r>
      <rPr>
        <b/>
        <sz val="11"/>
        <color rgb="FF000000"/>
        <rFont val="Calibri"/>
        <family val="2"/>
      </rPr>
      <t xml:space="preserve">SELECT </t>
    </r>
    <r>
      <rPr>
        <sz val="11"/>
        <color rgb="FF000000"/>
        <rFont val="Calibri"/>
        <family val="2"/>
      </rPr>
      <t xml:space="preserve">CASE
    WHEN (
        CASE
            WHEN DOMIC_PERS_INT.E0710_FMTO_DOM = 'DP' THEN IF(TRIM(SUBSTRING(DOMIC_PERS_INT.E0710_DOM_DESC_TEXT, 112, 10)) = '', NULL, SUBSTRING(DOMIC_PERS_INT.E0710_DOM_DESC_TEXT, 112, 10))
            WHEN DOMIC_PERS_INT.E0710_FMTO_DOM = 'EP' THEN NULL
            WHEN DOMIC_PERS_INT.E0710_FMTO_DOM = 'AP' THEN ''
            ELSE NULL
        END
    ) = '' THEN PARAM_GENERAL_CODE_CONVERTER.TARGET_VALUE
    ELSE (
        CASE
            WHEN DOMIC_PERS_INT.E0710_FMTO_DOM = 'DP' THEN IF(TRIM(SUBSTRING(DOMIC_PERS_INT.E0710_DOM_DESC_TEXT, 112, 10)) = '', NULL, SUBSTRING(DOMIC_PERS_INT.E0710_DOM_DESC_TEXT, 112, 10))
            WHEN DOMIC_PERS_INT.E0710_FMTO_DOM = 'EP' THEN NULL
            WHEN DOMIC_PERS_INT.E0710_FMTO_DOM = 'AP' THEN ''
            ELSE NULL
        END
    )
END AS BUILDING_TYPE_CODE
</t>
    </r>
    <r>
      <rPr>
        <b/>
        <sz val="11"/>
        <color rgb="FF000000"/>
        <rFont val="Calibri"/>
        <family val="2"/>
      </rPr>
      <t>WHERE</t>
    </r>
    <r>
      <rPr>
        <sz val="11"/>
        <color rgb="FF000000"/>
        <rFont val="Calibri"/>
        <family val="2"/>
      </rPr>
      <t xml:space="preserve"> REL_TIP_DOM_HIS.E0712_FECH_FIN = '9999-12-31'
 AND PARAM_GENERAL_CODE_CONVERTER.SOURCE_CODE = "CL"
 AND PARAM_GENERAL_CODE_CONVERTER.TARGET_FIELD = 'building_type_code'
 AND PARAM_GENERAL_CODE_CONVERTER.SOURCE_VALUE = (
     CASE
        WHEN DOMIC_PERS_INT.E0710_FMTO_DOM = 'DP' THEN IF(TRIM(SUBSTRING(DOMIC_PERS_INT.E0710_DOM_DESC_TEXT, 112, 10)) = '', NULL, SUBSTRING(DOMIC_PERS_INT.E0710_DOM_DESC_TEXT, 112, 10))
        WHEN DOMIC_PERS_INT.E0710_FMTO_DOM = 'EP' THEN NULL
        WHEN DOMIC_PERS_INT.E0710_FMTO_DOM = 'AP' THEN ''
        ELSE NULL
    END
)
AND PARAM_GENERAL_CODE_CONVERTER.OPTION_NUMBER = 1</t>
    </r>
  </si>
  <si>
    <t>DOM_DESC( 112, 10 ) || N\A || N\A</t>
  </si>
  <si>
    <t>N\A || "NULL" || "AP"</t>
  </si>
  <si>
    <t>Building Number</t>
  </si>
  <si>
    <t>building_number</t>
  </si>
  <si>
    <t>Address' building number (it also includes homes and other types of houses).</t>
  </si>
  <si>
    <t>Número do edifício da morada (inclui também moradias e outros tipos de casas).</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</si>
  <si>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107, 5 ) ) = '', NULL, UPPER( SUBSTRING( DOMIC_PERS_INT.E0710_DOM_DESC_TEXT, 107, 5 ) ) )
    WHEN DOMIC_PERS_INT.E0710_FMTO_DOM = 'EP' THEN NULL
    WHEN DOMIC_PERS_INT.E0710_FMTO_DOM = 'AP' THEN NULL
    ELSE NULL
</t>
    </r>
    <r>
      <rPr>
        <b/>
        <sz val="11"/>
        <color rgb="FF000000"/>
        <rFont val="Calibri"/>
        <family val="2"/>
      </rPr>
      <t>WHERE</t>
    </r>
    <r>
      <rPr>
        <sz val="11"/>
        <color rgb="FF000000"/>
        <rFont val="Calibri"/>
        <family val="2"/>
      </rPr>
      <t xml:space="preserve"> REL_TIP_DOM_HIS.E0712_FECH_FIN = '9999-12-31'
 </t>
    </r>
  </si>
  <si>
    <t>DOM_DESC( 107, 5 ) || N\A || N\A</t>
  </si>
  <si>
    <t>Building Details</t>
  </si>
  <si>
    <t>building_details</t>
  </si>
  <si>
    <t xml:space="preserve">Free text field for details of the building. It can include the number of the house inside of the building and extra details. </t>
  </si>
  <si>
    <t xml:space="preserve">Campo de texto livre com detalhes sobre o edifício. Pode incluir o número da casa no interior do edifício e pormenores adicionais. </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</si>
  <si>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122, 50 ) ) = '', NULL, UPPER( SUBSTRING( DOMIC_PERS_INT.E0710_DOM_DESC_TEXT, 122, 50 ) ) )
    WHEN DOMIC_PERS_INT.E0710_FMTO_DOM = 'EP' THEN NULL
    WHEN DOMIC_PERS_INT.E0710_FMTO_DOM = 'AP' THEN NULL
    ELSE NULL
</t>
    </r>
    <r>
      <rPr>
        <b/>
        <sz val="11"/>
        <color rgb="FF000000"/>
        <rFont val="Calibri"/>
        <family val="2"/>
      </rPr>
      <t>WHERE</t>
    </r>
    <r>
      <rPr>
        <sz val="11"/>
        <color rgb="FF000000"/>
        <rFont val="Calibri"/>
        <family val="2"/>
      </rPr>
      <t xml:space="preserve"> REL_TIP_DOM_HIS.E0712_FECH_FIN = '9999-12-31'</t>
    </r>
  </si>
  <si>
    <t>DOM_DESC( 122, 50 ) || N\A || N\A</t>
  </si>
  <si>
    <t>Post Office Box Number</t>
  </si>
  <si>
    <t>post_office_box_number</t>
  </si>
  <si>
    <t>Identifies the number of the post office box used as address.</t>
  </si>
  <si>
    <t xml:space="preserve">Identifica o número da caixa postal utilizada como morada. </t>
  </si>
  <si>
    <r>
      <rPr>
        <b/>
        <sz val="11"/>
        <color rgb="FF000000"/>
        <rFont val="Calibri"/>
        <family val="2"/>
      </rPr>
      <t xml:space="preserve">SELECT </t>
    </r>
    <r>
      <rPr>
        <sz val="11"/>
        <color rgb="FF000000"/>
        <rFont val="Calibri"/>
        <family val="2"/>
      </rPr>
      <t xml:space="preserve">CASE
    WHEN ( CASE
        WHEN DOMIC_PERS_INT.E0710_FMTO_DOM = 'DP' THEN ''
        WHEN DOMIC_PERS_INT.E0710_FMTO_DOM = 'EP' THEN ''
        WHEN DOMIC_PERS_INT.E0710_FMTO_DOM = 'AP' THEN IF(TRIM(SUBSTRING(DOMIC_PERS_INT.E0710_DOM_DESC_TEXT, 1, 10)) = '', NULL, UPPER( SUBSTRING(DOMIC_PERS_INT.E0710_DOM_DESC_TEXT, 1, 10) ) )
        ELSE NULL
    END ) = '' THEN PARAM_GENERAL_CODE_CONVERTER.TARGET_VALUE
    ELSE ( CASE
        WHEN DOMIC_PERS_INT.E0710_FMTO_DOM = 'DP' THEN ''
        WHEN DOMIC_PERS_INT.E0710_FMTO_DOM = 'EP' THEN ''
        WHEN DOMIC_PERS_INT.E0710_FMTO_DOM = 'AP' THEN IF(TRIM(SUBSTRING(DOMIC_PERS_INT.E0710_DOM_DESC_TEXT, 1, 10)) = '', NULL, UPPER( SUBSTRING(DOMIC_PERS_INT.E0710_DOM_DESC_TEXT, 1, 10) ) )
        ELSE NULL
    END )
END
</t>
    </r>
    <r>
      <rPr>
        <sz val="11"/>
        <color rgb="FFFF0000"/>
        <rFont val="Calibri"/>
        <family val="2"/>
      </rPr>
      <t xml:space="preserve">
</t>
    </r>
    <r>
      <rPr>
        <b/>
        <sz val="11"/>
        <color rgb="FF000000"/>
        <rFont val="Calibri"/>
        <family val="2"/>
      </rPr>
      <t xml:space="preserve">WHERE </t>
    </r>
    <r>
      <rPr>
        <sz val="11"/>
        <color rgb="FF000000"/>
        <rFont val="Calibri"/>
        <family val="2"/>
      </rPr>
      <t xml:space="preserve">REL_TIP_DOM_HIS.E0712_FECH_FIN = '9999-12-31'
 AND PARAM_GENERAL_CODE_CONVERTER.SOURCE_CODE = 'CL'
    AND PARAM_GENERAL_CODE_CONVERTER.TARGET_FIELD = 'post_office_box_number'
    AND PARAM_GENERAL_CODE_CONVERTER.SOURCE_VALUE = (
        CASE
            WHEN DOMIC_PERS_INT.E0710_FMTO_DOM = 'DP' THEN ''
            WHEN DOMIC_PERS_INT.E0710_FMTO_DOM = 'EP' THEN ''
            WHEN DOMIC_PERS_INT.E0710_FMTO_DOM = 'AP' THEN IF(TRIM(SUBSTRING(DOMIC_PERS_INT.E0710_DOM_DESC_TEXT, 1, 10)) = '', NULL, UPPER(SUBSTRING(DOMIC_PERS_INT.E0710_DOM_DESC_TEXT, 1, 10)))
            ELSE NULL
        END
    )
    AND PARAM_GENERAL_CODE_CONVERTER.OPTION_NUMBER = 1
</t>
    </r>
  </si>
  <si>
    <t>N\A || N\A || DOMIC_PERS_INT</t>
  </si>
  <si>
    <t>N\A || N\A || DOM_DESC( 1, 10 )</t>
  </si>
  <si>
    <t>"#N/A" || "#N/A" || N\A</t>
  </si>
  <si>
    <t>Full Address</t>
  </si>
  <si>
    <t>full_address</t>
  </si>
  <si>
    <t>Complete address.</t>
  </si>
  <si>
    <t>Morada completa.</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</si>
  <si>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 221 ) ) = '', NULL, UPPER( SUBSTRING( DOMIC_PERS_INT.E0710_DOM_DESC_TEXT, 1, 221 ) ) )
    WHEN DOMIC_PERS_INT.E0710_FMTO_DOM = 'AP' THEN IF( TRIM( SUBSTRING( DOMIC_PERS_INT.E0710_DOM_DESC_TEXT, 1, 60 ) ) = '', NULL, UPPER( SUBSTRING( DOMIC_PERS_INT.E0710_DOM_DESC_TEXT, 1, 60 ) ) )
    WHEN DOMIC_PERS_INT.E0710_FMTO_DOM = 'EP' THEN IF( TRIM( SUBSTRING( DOMIC_PERS_INT.E0710_DOM_DESC_TEXT, 1, 68 ) ) = '', NULL, UPPER( SUBSTRING( DOMIC_PERS_INT.E0710_DOM_DESC_TEXT, 1, 68 ) ) )
    ELSE NULL
</t>
    </r>
    <r>
      <rPr>
        <b/>
        <sz val="11"/>
        <color rgb="FF000000"/>
        <rFont val="Calibri"/>
        <family val="2"/>
      </rPr>
      <t>WHERE</t>
    </r>
    <r>
      <rPr>
        <sz val="11"/>
        <color rgb="FF000000"/>
        <rFont val="Calibri"/>
        <family val="2"/>
      </rPr>
      <t xml:space="preserve"> REL_TIP_DOM_HIS.E0712_FECH_FIN = '9999-12-31'</t>
    </r>
  </si>
  <si>
    <t>DOMIC_PERS_INT || DOMIC_PERS_INT || DOMIC_PERS_INT</t>
  </si>
  <si>
    <t>DOM_DESC( 1, 221 ) || DOM_DESC( 1, 68 ) ||  DOM_DESC( 1, 60 )</t>
  </si>
  <si>
    <t>N\A || N\A || N\A</t>
  </si>
  <si>
    <t>DATA_DATE_PART
N\A</t>
  </si>
  <si>
    <r>
      <rPr>
        <b/>
        <sz val="11"/>
        <color rgb="FF000000"/>
        <rFont val="Calibri"/>
        <family val="2"/>
        <scheme val="minor"/>
      </rPr>
      <t xml:space="preserve">SELECT </t>
    </r>
    <r>
      <rPr>
        <sz val="11"/>
        <color rgb="FF000000"/>
        <rFont val="Calibri"/>
        <family val="2"/>
        <scheme val="minor"/>
      </rPr>
      <t xml:space="preserve">DOMIC_PERS_INT.DATA_DATE_PART
    ELSE NULL
</t>
    </r>
    <r>
      <rPr>
        <b/>
        <sz val="11"/>
        <color rgb="FF000000"/>
        <rFont val="Calibri"/>
        <family val="2"/>
        <scheme val="minor"/>
      </rPr>
      <t xml:space="preserve">WHERE </t>
    </r>
    <r>
      <rPr>
        <sz val="11"/>
        <color rgb="FF000000"/>
        <rFont val="Calibri"/>
        <family val="2"/>
        <scheme val="minor"/>
      </rPr>
      <t>REL_TIP_DOM_HIS.E0712_FECH_FIN = '9999-12-31'</t>
    </r>
  </si>
  <si>
    <t xml:space="preserve">
CURATED_INTERNAL_MAINFRAME_CLIENTES</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</si>
  <si>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REL_TIP_DOM_HIS.E0712_FECH_FIN = '9999-12-31'</t>
    </r>
  </si>
  <si>
    <t>Entity Contact</t>
  </si>
  <si>
    <t>CURATED_INTERNAL_MAINFRAME_CLIENTES
CURATED_INTERNAL_MAINFRAME_ESTRUTURAIS</t>
  </si>
  <si>
    <t>DIR_ELECTRONICA
TAT01_CLIENTES</t>
  </si>
  <si>
    <t xml:space="preserve">N\A
ZCLIENTE </t>
  </si>
  <si>
    <r>
      <rPr>
        <b/>
        <sz val="11"/>
        <color rgb="FF000000"/>
        <rFont val="Calibri"/>
        <family val="2"/>
        <scheme val="minor"/>
      </rPr>
      <t>SELECT</t>
    </r>
    <r>
      <rPr>
        <b/>
        <sz val="11"/>
        <color rgb="FFFF0000"/>
        <rFont val="Calibri"/>
        <family val="2"/>
        <scheme val="minor"/>
      </rPr>
      <t xml:space="preserve"> </t>
    </r>
    <r>
      <rPr>
        <sz val="11"/>
        <color rgb="FF000000"/>
        <rFont val="Calibri"/>
        <family val="2"/>
        <scheme val="minor"/>
      </rPr>
      <t xml:space="preserve">LPAD( TAT01_CLIENTES.ZCLIENTE, 10, '0' )
</t>
    </r>
    <r>
      <rPr>
        <b/>
        <sz val="11"/>
        <color rgb="FF000000"/>
        <rFont val="Calibri"/>
        <family val="2"/>
        <scheme val="minor"/>
      </rPr>
      <t xml:space="preserve">WHERE </t>
    </r>
    <r>
      <rPr>
        <sz val="11"/>
        <color rgb="FF000000"/>
        <rFont val="Calibri"/>
        <family val="2"/>
        <scheme val="minor"/>
      </rPr>
      <t>DIR_ELECTRONICA.DIRE_FECBAJ = '9999-12-31'</t>
    </r>
  </si>
  <si>
    <t>DIR_ELECTRONICA -&gt; TAT01_CLIENTES</t>
  </si>
  <si>
    <t>CONCAT( TIPOPERS, CODPERS ) -&gt; ZCLIENTE</t>
  </si>
  <si>
    <t>Contact Type Code</t>
  </si>
  <si>
    <t>contact_type_code</t>
  </si>
  <si>
    <t>Ext Inf - Clt Inf - Code</t>
  </si>
  <si>
    <t>Identifies the type of contact (e.g. mobile, e-mail, etc.).</t>
  </si>
  <si>
    <t>Código que identifica o tipo de contacto do cliente (por exemplo: telemóvel, e-mail, etc.).</t>
  </si>
  <si>
    <t>Contact Type:
? -&gt; TAT91 - CTABELA 459; CURATED_INTERNAL_MAINFRAME_ESTRUTURAIS.TAT91_TABELAS - TAYD91C0_CTABELA 459; COMMON_REFERENCEDATA_CORE.REFERENCE_DATA_TABLE - DATA_TABLE_CODE 000459;</t>
  </si>
  <si>
    <t>DIR_ELECTRONICA</t>
  </si>
  <si>
    <t>DIRE_IDDISPO</t>
  </si>
  <si>
    <r>
      <rPr>
        <b/>
        <sz val="11"/>
        <color rgb="FF000000"/>
        <rFont val="Calibri"/>
        <family val="2"/>
        <scheme val="minor"/>
      </rPr>
      <t>SELECT</t>
    </r>
    <r>
      <rPr>
        <sz val="11"/>
        <color rgb="FF000000"/>
        <rFont val="Calibri"/>
        <family val="2"/>
        <scheme val="minor"/>
      </rPr>
      <t xml:space="preserve"> DIR_ELECTRONICA.DIRE_IDDISPO
</t>
    </r>
    <r>
      <rPr>
        <b/>
        <sz val="11"/>
        <color rgb="FF000000"/>
        <rFont val="Calibri"/>
        <family val="2"/>
        <scheme val="minor"/>
      </rPr>
      <t xml:space="preserve">WHERE </t>
    </r>
    <r>
      <rPr>
        <sz val="11"/>
        <color rgb="FF000000"/>
        <rFont val="Calibri"/>
        <family val="2"/>
        <scheme val="minor"/>
      </rPr>
      <t>DIR_ELECTRONICA.DIRE_FECBAJ = '9999-12-31'</t>
    </r>
  </si>
  <si>
    <t>IDDISPO</t>
  </si>
  <si>
    <t>Corresponds to the order in which the contact is registred in the system. It is not a direct relationship with the contact beeing, or not, the main contact.</t>
  </si>
  <si>
    <t>Corresponde à ordem em que o contacto está registada no sistema. Não se trata de uma relação direta com o facto de a morada ser, ou não, a morada principal.</t>
  </si>
  <si>
    <t>DIRE_JNROSEC</t>
  </si>
  <si>
    <r>
      <rPr>
        <b/>
        <sz val="11"/>
        <color rgb="FF000000"/>
        <rFont val="Calibri"/>
        <family val="2"/>
        <scheme val="minor"/>
      </rPr>
      <t xml:space="preserve">SELECT </t>
    </r>
    <r>
      <rPr>
        <sz val="11"/>
        <color rgb="FF000000"/>
        <rFont val="Calibri"/>
        <family val="2"/>
        <scheme val="minor"/>
      </rPr>
      <t xml:space="preserve">CAST( DIR_ELECTRONICA.DIRE_JNROSEC AS BIGINT ) 
</t>
    </r>
    <r>
      <rPr>
        <b/>
        <sz val="11"/>
        <color rgb="FF000000"/>
        <rFont val="Calibri"/>
        <family val="2"/>
        <scheme val="minor"/>
      </rPr>
      <t xml:space="preserve">WHERE </t>
    </r>
    <r>
      <rPr>
        <sz val="11"/>
        <color rgb="FF000000"/>
        <rFont val="Calibri"/>
        <family val="2"/>
        <scheme val="minor"/>
      </rPr>
      <t>DIR_ELECTRONICA.DIRE_FECBAJ = '9999-12-31'</t>
    </r>
  </si>
  <si>
    <t>JNROSEC</t>
  </si>
  <si>
    <t>Main Contact Indicator</t>
  </si>
  <si>
    <t>main_contact_indicator</t>
  </si>
  <si>
    <t>Ext Inf - Clt Inf - Ind</t>
  </si>
  <si>
    <t>Indicates if the contact is the main \ preferred contact of the client.</t>
  </si>
  <si>
    <t>Indica se o contacto é o principal/preferencial do cliente.</t>
  </si>
  <si>
    <t>COMMON_REFERENCEDATA_CORE
CURATED_INTERNAL_MAINFRAME_CLIENTES</t>
  </si>
  <si>
    <t>PARAM_GENERAL_CODE_CONVERTER
DIR_ELECTRONICA</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</si>
  <si>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DIR_ELECTRONICA.DIRE_FECBAJ = '9999-12-31'
AND PARAM_GENERAL_CODE_CONVERTER.SOURCE_CODE = "CL"
AND PARAM_GENERAL_CODE_CONVERTER.TARGET_FIELD = 'main_contact_indicator'
 AND PARAM_GENERAL_CODE_CONVERTER.SOURCE_VALUE =  IF(TRIM(DIR_ELECTRONICA.DIRE_INDPRE) = '', NULL, DIR_ELECTRONICA.DIRE_INDPRE)
 AND PARAM_GENERAL_CODE_CONVERTER.OPTION_NUMBER = 1</t>
    </r>
  </si>
  <si>
    <t>INDPRE</t>
  </si>
  <si>
    <t>Ext Inf - Clt Inf - Date</t>
  </si>
  <si>
    <t>The date in which the client submited the information about the contact to Santander's systems.</t>
  </si>
  <si>
    <t>Data em que o cliente submeteu informação relativa ao contacto nos sistemas do Santander.</t>
  </si>
  <si>
    <t>DIRE_FECALTSI</t>
  </si>
  <si>
    <r>
      <rPr>
        <b/>
        <sz val="11"/>
        <color rgb="FF000000"/>
        <rFont val="Calibri"/>
        <family val="2"/>
        <scheme val="minor"/>
      </rPr>
      <t xml:space="preserve">SELECT </t>
    </r>
    <r>
      <rPr>
        <sz val="11"/>
        <color rgb="FF000000"/>
        <rFont val="Calibri"/>
        <family val="2"/>
        <scheme val="minor"/>
      </rPr>
      <t xml:space="preserve">IF(TRIM(DIR_ELECTRONICA.DIRE_FECALTSI) = '', NULL, DIR_ELECTRONICA.DIRE_FECALTSI)
</t>
    </r>
    <r>
      <rPr>
        <b/>
        <sz val="11"/>
        <color rgb="FF000000"/>
        <rFont val="Calibri"/>
        <family val="2"/>
        <scheme val="minor"/>
      </rPr>
      <t xml:space="preserve">WHERE </t>
    </r>
    <r>
      <rPr>
        <sz val="11"/>
        <color rgb="FF000000"/>
        <rFont val="Calibri"/>
        <family val="2"/>
        <scheme val="minor"/>
      </rPr>
      <t>DIR_ELECTRONICA.DIRE_FECBAJ = '9999-12-31'</t>
    </r>
  </si>
  <si>
    <t>Last Update Date</t>
  </si>
  <si>
    <t>last_update_date</t>
  </si>
  <si>
    <t>Last update date of the contact.</t>
  </si>
  <si>
    <t>Data da última atualização do contacto.</t>
  </si>
  <si>
    <t>DIRE_FECULTAC</t>
  </si>
  <si>
    <r>
      <rPr>
        <b/>
        <sz val="11"/>
        <color rgb="FF000000"/>
        <rFont val="Calibri"/>
        <family val="2"/>
        <scheme val="minor"/>
      </rPr>
      <t xml:space="preserve">SELECT </t>
    </r>
    <r>
      <rPr>
        <sz val="11"/>
        <color rgb="FF000000"/>
        <rFont val="Calibri"/>
        <family val="2"/>
        <scheme val="minor"/>
      </rPr>
      <t xml:space="preserve">IF( TRIM( DIR_ELECTRONICA.DIRE_FECULTAC ) = '', NULL, DIR_ELECTRONICA.DIRE_FECULTAC )
</t>
    </r>
    <r>
      <rPr>
        <b/>
        <sz val="11"/>
        <color rgb="FF000000"/>
        <rFont val="Calibri"/>
        <family val="2"/>
        <scheme val="minor"/>
      </rPr>
      <t xml:space="preserve">WHERE </t>
    </r>
    <r>
      <rPr>
        <sz val="11"/>
        <color rgb="FF000000"/>
        <rFont val="Calibri"/>
        <family val="2"/>
        <scheme val="minor"/>
      </rPr>
      <t>DIR_ELECTRONICA.DIRE_FECBAJ = '9999-12-31'</t>
    </r>
  </si>
  <si>
    <t>FECULTAC</t>
  </si>
  <si>
    <t>Contact</t>
  </si>
  <si>
    <t>contact</t>
  </si>
  <si>
    <t>Ext Inf - Clt Inf - Value</t>
  </si>
  <si>
    <t>Contains the contact itself. For example. the email or the phone number.</t>
  </si>
  <si>
    <t>Contém o contacto propriamente dito. Por exemplo, o e-mail ou o número de telefone.</t>
  </si>
  <si>
    <t>DIRE_DIRELE_TEXT</t>
  </si>
  <si>
    <r>
      <rPr>
        <b/>
        <sz val="11"/>
        <color rgb="FF000000"/>
        <rFont val="Calibri"/>
        <family val="2"/>
        <scheme val="minor"/>
      </rPr>
      <t xml:space="preserve">SELECT </t>
    </r>
    <r>
      <rPr>
        <sz val="11"/>
        <color rgb="FF000000"/>
        <rFont val="Calibri"/>
        <family val="2"/>
        <scheme val="minor"/>
      </rPr>
      <t xml:space="preserve">IF( TRIM( DIR_ELECTRONICA.DIRE_DIRELE_TEXT ) = '', NULL, DIR_ELECTRONICA.DIRE_DIRELE_TEXT )
</t>
    </r>
    <r>
      <rPr>
        <b/>
        <sz val="11"/>
        <color rgb="FF000000"/>
        <rFont val="Calibri"/>
        <family val="2"/>
        <scheme val="minor"/>
      </rPr>
      <t xml:space="preserve">WHERE </t>
    </r>
    <r>
      <rPr>
        <sz val="11"/>
        <color rgb="FF000000"/>
        <rFont val="Calibri"/>
        <family val="2"/>
        <scheme val="minor"/>
      </rPr>
      <t>DIR_ELECTRONICA.DIRE_FECBAJ = '9999-12-31'</t>
    </r>
  </si>
  <si>
    <t>DIRE_DIRELE</t>
  </si>
  <si>
    <t>Dat Date Part</t>
  </si>
  <si>
    <r>
      <rPr>
        <b/>
        <sz val="11"/>
        <color rgb="FF000000"/>
        <rFont val="Calibri"/>
        <family val="2"/>
        <scheme val="minor"/>
      </rPr>
      <t xml:space="preserve">SELECT </t>
    </r>
    <r>
      <rPr>
        <sz val="11"/>
        <color rgb="FF000000"/>
        <rFont val="Calibri"/>
        <family val="2"/>
        <scheme val="minor"/>
      </rPr>
      <t xml:space="preserve">DIR_ELECTRONICA.DATA_DATE_PART
</t>
    </r>
    <r>
      <rPr>
        <b/>
        <sz val="11"/>
        <color rgb="FF000000"/>
        <rFont val="Calibri"/>
        <family val="2"/>
        <scheme val="minor"/>
      </rPr>
      <t xml:space="preserve">WHERE </t>
    </r>
    <r>
      <rPr>
        <sz val="11"/>
        <color rgb="FF000000"/>
        <rFont val="Calibri"/>
        <family val="2"/>
        <scheme val="minor"/>
      </rPr>
      <t>DIR_ELECTRONICA.DIRE_FECBAJ = '9999-12-31'</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</si>
  <si>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DIR_ELECTRONICA.DIRE_FECBAJ = '9999-12-31'</t>
    </r>
  </si>
  <si>
    <t>Entity Contractual Management</t>
  </si>
  <si>
    <t>CURATED_INTERNAL_MAINFRAME_ESTRUTURAIS</t>
  </si>
  <si>
    <t>TAT01_CLIENTES</t>
  </si>
  <si>
    <r>
      <rPr>
        <b/>
        <sz val="11"/>
        <color rgb="FF000000"/>
        <rFont val="Calibri"/>
        <family val="2"/>
      </rPr>
      <t>SELECT</t>
    </r>
    <r>
      <rPr>
        <sz val="11"/>
        <color rgb="FF000000"/>
        <rFont val="Calibri"/>
        <family val="2"/>
      </rPr>
      <t xml:space="preserve"> LPAD(TAT01_CLIENTES.ZCLIENTE, 10, 0)</t>
    </r>
  </si>
  <si>
    <t>CONCAT ( TIPO_PERS, COD_PERS ) -&gt; ZCLIENTE</t>
  </si>
  <si>
    <t>Client Manager Employee ID</t>
  </si>
  <si>
    <t>client_manager_employee_id</t>
  </si>
  <si>
    <t>Ext Inf - Clt Rel Inf - ID</t>
  </si>
  <si>
    <t>Unique identifier of the manager (employee) assigned to the client.</t>
  </si>
  <si>
    <t>Identificador único de empregado do gestor (colaborador) atribuído ao cliente.</t>
  </si>
  <si>
    <t>Client Manager:
SET01_UTILIZA; CURATED_INTERNAL_MAINFRAME_SEGURANCA.SET01_UTILIZA; N\A</t>
  </si>
  <si>
    <t>CLT47_FCLIMARC</t>
  </si>
  <si>
    <t>CKGESTCLI</t>
  </si>
  <si>
    <r>
      <rPr>
        <b/>
        <sz val="11"/>
        <color rgb="FF000000"/>
        <rFont val="Calibri"/>
        <family val="2"/>
        <scheme val="minor"/>
      </rPr>
      <t xml:space="preserve">SELECT </t>
    </r>
    <r>
      <rPr>
        <sz val="11"/>
        <color rgb="FF000000"/>
        <rFont val="Calibri"/>
        <family val="2"/>
        <scheme val="minor"/>
      </rPr>
      <t>IF( TRIM( CLT47_FCLIMARC.CKGESTCLI ) = '', NULL, CLT47_FCLIMARC.CKGESTCLI)</t>
    </r>
  </si>
  <si>
    <t>Client Manager Branch Code</t>
  </si>
  <si>
    <t>client_manager_branch_code</t>
  </si>
  <si>
    <t>Identifies the entity's client manager branch.</t>
  </si>
  <si>
    <t>Código que identifica o balcão do gerente de clientes da entidade.</t>
  </si>
  <si>
    <t>Branch:
TAT91 - CTABELA 091; CURATED_INTERNAL_MAINFRAME_ESTRUTURAIS.TAT91_TABELAS - TAYD91C0_CTABELA 091; COMMON_REFERENCEDATA_CORE.REFERENCE_DATA_TABLE  - DATA_TABLE_CODE 000091</t>
  </si>
  <si>
    <t>CBALGEST</t>
  </si>
  <si>
    <r>
      <rPr>
        <b/>
        <sz val="11"/>
        <color rgb="FF000000"/>
        <rFont val="Calibri"/>
        <family val="2"/>
        <scheme val="minor"/>
      </rPr>
      <t xml:space="preserve">SELECT </t>
    </r>
    <r>
      <rPr>
        <sz val="11"/>
        <color rgb="FF000000"/>
        <rFont val="Calibri"/>
        <family val="2"/>
        <scheme val="minor"/>
      </rPr>
      <t>IF( TRIM( CLT47_FCLIMARC.CBALGEST ) = '', NULL, CLT47_FCLIMARC.CBALGEST )</t>
    </r>
  </si>
  <si>
    <t>Contractual Relationship Start Date</t>
  </si>
  <si>
    <t>contractual_rel_start_date</t>
  </si>
  <si>
    <t>Date when the contractual relationship between the client and Santander started.</t>
  </si>
  <si>
    <t>Data de inicio de relação contratual entre o cliente e o Santander.</t>
  </si>
  <si>
    <t>E2085_FEC_CTE</t>
  </si>
  <si>
    <r>
      <rPr>
        <b/>
        <sz val="11"/>
        <color rgb="FF000000"/>
        <rFont val="Calibri"/>
        <family val="2"/>
        <scheme val="minor"/>
      </rPr>
      <t xml:space="preserve">SELECT </t>
    </r>
    <r>
      <rPr>
        <sz val="11"/>
        <color rgb="FF000000"/>
        <rFont val="Calibri"/>
        <family val="2"/>
        <scheme val="minor"/>
      </rPr>
      <t>IF( TRIM( PERS_JCA_INT.E2085_FEC_CTE ) = '', NULL, CAST( PERS_JCA_INT.E2085_FEC_CTE AS STRING ) )</t>
    </r>
  </si>
  <si>
    <t>FEC_CTE</t>
  </si>
  <si>
    <t>Digital Banking Join Date</t>
  </si>
  <si>
    <t>digital_banking_join_date</t>
  </si>
  <si>
    <t>Ext Inf - Clt Serv Inf - Date</t>
  </si>
  <si>
    <t>Date in which the client signed up for the digital banking online service (Net Banco).</t>
  </si>
  <si>
    <t>Data em que o cliente aderiu ao serviço de banca digital online (Net Banco).</t>
  </si>
  <si>
    <t>DTCONSTNB</t>
  </si>
  <si>
    <r>
      <rPr>
        <b/>
        <sz val="11"/>
        <color rgb="FF000000"/>
        <rFont val="Calibri"/>
        <family val="2"/>
        <scheme val="minor"/>
      </rPr>
      <t xml:space="preserve">SELECT </t>
    </r>
    <r>
      <rPr>
        <sz val="11"/>
        <color rgb="FF000000"/>
        <rFont val="Calibri"/>
        <family val="2"/>
        <scheme val="minor"/>
      </rPr>
      <t>IF( TRIM( CLT47_FCLIMARC.DTCONSTNB ) = '', NULL, CAST( CLT47_FCLIMARC.DTCONSTNB AS STRING ) )</t>
    </r>
  </si>
  <si>
    <r>
      <rPr>
        <b/>
        <sz val="11"/>
        <color rgb="FF000000"/>
        <rFont val="Calibri"/>
        <family val="2"/>
        <scheme val="minor"/>
      </rPr>
      <t xml:space="preserve">SELECT </t>
    </r>
    <r>
      <rPr>
        <sz val="11"/>
        <color rgb="FF000000"/>
        <rFont val="Calibri"/>
        <family val="2"/>
        <scheme val="minor"/>
      </rPr>
      <t>PERS_JCA_INT.DATA_DATE_PART</t>
    </r>
  </si>
  <si>
    <t xml:space="preserve">N\A
</t>
  </si>
  <si>
    <r>
      <rPr>
        <b/>
        <sz val="11"/>
        <color rgb="FF000000"/>
        <rFont val="Calibri"/>
        <family val="2"/>
        <scheme val="minor"/>
      </rPr>
      <t xml:space="preserve">SELECT </t>
    </r>
    <r>
      <rPr>
        <sz val="11"/>
        <color rgb="FF000000"/>
        <rFont val="Calibri"/>
        <family val="2"/>
        <scheme val="minor"/>
      </rPr>
      <t>NOW()</t>
    </r>
  </si>
  <si>
    <t>Entity Economic Activity</t>
  </si>
  <si>
    <t>PERS_JCA_INT
TAT01_CLIENTES</t>
  </si>
  <si>
    <t>N\A
ZCLIENTE</t>
  </si>
  <si>
    <r>
      <rPr>
        <b/>
        <sz val="11"/>
        <color rgb="FF000000"/>
        <rFont val="Calibri"/>
        <family val="2"/>
        <scheme val="minor"/>
      </rPr>
      <t xml:space="preserve">SELECT </t>
    </r>
    <r>
      <rPr>
        <sz val="11"/>
        <color rgb="FF000000"/>
        <rFont val="Calibri"/>
        <family val="2"/>
        <scheme val="minor"/>
      </rPr>
      <t xml:space="preserve">LPAD( TAT01_CLIENTES.ZCLIENTE, 10, '0' )
</t>
    </r>
    <r>
      <rPr>
        <b/>
        <sz val="11"/>
        <color rgb="FF000000"/>
        <rFont val="Calibri"/>
        <family val="2"/>
        <scheme val="minor"/>
      </rPr>
      <t>WHERE</t>
    </r>
    <r>
      <rPr>
        <sz val="11"/>
        <color rgb="FF000000"/>
        <rFont val="Calibri"/>
        <family val="2"/>
        <scheme val="minor"/>
      </rPr>
      <t xml:space="preserve"> PERS_JCA_INT.E2085_CNAE93 != '00999'</t>
    </r>
  </si>
  <si>
    <t>Industry Classification System Code</t>
  </si>
  <si>
    <t>industry_classific_system_code</t>
  </si>
  <si>
    <t>Key - Code</t>
  </si>
  <si>
    <t>Identifies the industry classification system used to categorize the entity's economic activity.. For example, CAE, UKSIC, etc.</t>
  </si>
  <si>
    <t>Código que identifica o sistema de classificação de atividade económica utilizado para categorizar a atividade económica da entidade. Por exemplo, CAE, UKSIC, etc.</t>
  </si>
  <si>
    <t>Industry Classification System:
N\A (CNAE_03 - Classificação Nacional de Atividades Econômicas); COMMON_REFERENCEDATA_CORE.REFERENCE_DATA_TABLE - DATA_TABLE_CODE 010005</t>
  </si>
  <si>
    <t>CURATED_INTERNAL_MAINFRAME_CLIENTES
COMMON_REFERENCEDATA_CORE</t>
  </si>
  <si>
    <t>PERS_JCA_INT
PARAM_GENERAL_CODE_CONVERTER</t>
  </si>
  <si>
    <t>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</si>
  <si>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PERS_JCA_INT.E2085_CNAE93 != '00999'
AND PARAM_GENERAL_CODE_CONVERTER.TARGET_FIELD = 'industry_classific_system_code'
AND PARAM_GENERAL_CODE_CONVERTER.SOURCE_CODE = 'CL'
AND PARAM_GENERAL_CODE_CONVERTER.SOURCE_VALUE = ''
AND PARAM_GENERAL_CODE_CONVERTER.OPTION_NUMBER = 1</t>
    </r>
  </si>
  <si>
    <t>"CNAE_93"</t>
  </si>
  <si>
    <t>Order of economic activity of the entity (e.g. 1 = Main Activity, 2 = Secondary Activity, etc.).</t>
  </si>
  <si>
    <t>Ordem de atividade económica da entidade (por exemplo, 1 = Atividade principal, 2 = Atividade secundária, etc.).</t>
  </si>
  <si>
    <r>
      <rPr>
        <b/>
        <sz val="11"/>
        <color rgb="FF000000"/>
        <rFont val="Calibri"/>
        <family val="2"/>
        <scheme val="minor"/>
      </rPr>
      <t>SELECT</t>
    </r>
    <r>
      <rPr>
        <sz val="11"/>
        <color rgb="FF000000"/>
        <rFont val="Calibri"/>
        <family val="2"/>
        <scheme val="minor"/>
      </rPr>
      <t xml:space="preserve"> CAST(PARAM_GENERAL_CODE_CONVERTER.TARGET_VALUE AS BIGINT)
</t>
    </r>
    <r>
      <rPr>
        <b/>
        <sz val="11"/>
        <color rgb="FF000000"/>
        <rFont val="Calibri"/>
        <family val="2"/>
        <scheme val="minor"/>
      </rPr>
      <t>WHERE</t>
    </r>
    <r>
      <rPr>
        <sz val="11"/>
        <color rgb="FF000000"/>
        <rFont val="Calibri"/>
        <family val="2"/>
        <scheme val="minor"/>
      </rPr>
      <t xml:space="preserve"> PERS_JCA_INT.E2085_CNAE93 != '00999'
AND PARAM_GENERAL_CODE_CONVERTER.TARGET_FIELD = 'order_number'
AND PARAM_GENERAL_CODE_CONVERTER.SOURCE_CODE = 'CL'
AND PARAM_GENERAL_CODE_CONVERTER.SOURCE_VALUE = ''
AND PARAM_GENERAL_CODE_CONVERTER.OPTION_NUMBER = 1</t>
    </r>
  </si>
  <si>
    <t>"1"</t>
  </si>
  <si>
    <t>Economic Activity Category Code</t>
  </si>
  <si>
    <t>econ_activity_category_code</t>
  </si>
  <si>
    <t>Defines the type of use of the document. For example, identification, temporary, etc.</t>
  </si>
  <si>
    <t>Código que define o uso do documento. Por exemplo, documento de identificação, temporário, etc.</t>
  </si>
  <si>
    <t>Economic Activity:
CNAE_93 -&gt; TAT91 - CTABELA 154; CURATED_INTERNAL_MAINFRAME_ESTRUTURAIS.TAT91_TABELAS - TAYD91C0_CTABELA 154; COMMON_REFERENCEDATA_CORE.REFERENCE_DATA_TABLE  - DATA_TABLE_CODE 000154</t>
  </si>
  <si>
    <t>TAT91_TABELAS_NEW
PERS_JCA_INT</t>
  </si>
  <si>
    <t>E2085_CNAE93
N\A</t>
  </si>
  <si>
    <r>
      <rPr>
        <b/>
        <sz val="11"/>
        <color rgb="FF000000"/>
        <rFont val="Calibri"/>
        <family val="2"/>
      </rPr>
      <t>SELECT</t>
    </r>
    <r>
      <rPr>
        <sz val="11"/>
        <color rgb="FF000000"/>
        <rFont val="Calibri"/>
        <family val="2"/>
      </rPr>
      <t xml:space="preserve"> IF(TRIM(TAT91_TABELAS_NEW.TAYD91C0_CELEMTAB) = '', NULL, CAST(TRIM(TAT91_TABELAS_NEW.TAYD91C0_CELEMTAB) AS STRING))
</t>
    </r>
    <r>
      <rPr>
        <b/>
        <sz val="11"/>
        <color rgb="FF000000"/>
        <rFont val="Calibri"/>
        <family val="2"/>
      </rPr>
      <t xml:space="preserve">WERE </t>
    </r>
    <r>
      <rPr>
        <sz val="11"/>
        <color rgb="FF000000"/>
        <rFont val="Calibri"/>
        <family val="2"/>
      </rPr>
      <t>PERS_JCA_INT.E2085_CNAE93 != '00999'
    AND TAT91_TABELAS_NEW.TAYD91C0_CTABELA= '154'</t>
    </r>
  </si>
  <si>
    <t>CNAE93</t>
  </si>
  <si>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WHERE</t>
    </r>
    <r>
      <rPr>
        <sz val="11"/>
        <color rgb="FF000000"/>
        <rFont val="Calibri"/>
        <family val="2"/>
        <scheme val="minor"/>
      </rPr>
      <t xml:space="preserve"> PERS_JCA_INT.E2085_CNAE93 != '00999'</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</si>
  <si>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AND PERS_JCA_INT.E2085_CNAE93 != '00999'</t>
    </r>
  </si>
  <si>
    <t>Entity Financial Information</t>
  </si>
  <si>
    <r>
      <rPr>
        <b/>
        <sz val="11"/>
        <color rgb="FF000000"/>
        <rFont val="Calibri"/>
        <family val="2"/>
        <scheme val="minor"/>
      </rPr>
      <t xml:space="preserve">SELECT </t>
    </r>
    <r>
      <rPr>
        <sz val="11"/>
        <color rgb="FF000000"/>
        <rFont val="Calibri"/>
        <family val="2"/>
        <scheme val="minor"/>
      </rPr>
      <t>LPAD(TAT01_CLIENTES.ZCLIENTE, 10, '0' )</t>
    </r>
  </si>
  <si>
    <t>Financial Report Date</t>
  </si>
  <si>
    <t>financial_report_date</t>
  </si>
  <si>
    <t>Identifies the moment in which the information was reported \ produced.</t>
  </si>
  <si>
    <t>Data do momento em que a informação foi reportada/produzida.</t>
  </si>
  <si>
    <t>ECONOM_JCAS_INT
JCA_ADICIO_T02</t>
  </si>
  <si>
    <t>E8727_FEC_ULTACT
E2090_FEC_ULTACT</t>
  </si>
  <si>
    <r>
      <rPr>
        <b/>
        <sz val="11"/>
        <color rgb="FF000000"/>
        <rFont val="Calibri"/>
        <family val="2"/>
      </rPr>
      <t xml:space="preserve">SELECT </t>
    </r>
    <r>
      <rPr>
        <sz val="11"/>
        <color rgb="FF000000"/>
        <rFont val="Calibri"/>
        <family val="2"/>
      </rPr>
      <t xml:space="preserve"> CASE
        WHEN ECONOM_JCAS_INT.E8727_COD_PERS IS NULL THEN IF ( TRIM ( JCA_ADICIO_T02.E2090_FEC_ULTACT ) = '', NULL, JCA_ADICIO_T02.E2090_FEC_ULTACT )
        WHEN JCA_ADICIO_T02.E2090_COD_PERS IS NULL THEN IF ( TRIM ( ECONOM_JCAS_INT.E8727_FEC_ULTACT ) = '', NULL, ECONOM_JCAS_INT.E8727_FEC_ULTACT )
        ELSE GREATEST ( JCA_ADICIO_T02.E2090_FEC_ULTACT, ECONOM_JCAS_INT.E8727_FEC_ULTACT )
</t>
    </r>
    <r>
      <rPr>
        <b/>
        <sz val="11"/>
        <color rgb="FF000000"/>
        <rFont val="Calibri"/>
        <family val="2"/>
      </rPr>
      <t xml:space="preserve">WHERE </t>
    </r>
    <r>
      <rPr>
        <sz val="11"/>
        <color rgb="FF000000"/>
        <rFont val="Calibri"/>
        <family val="2"/>
      </rPr>
      <t>ECONOM_JCAS_INT.E8727_COD_PERS IS NOT NULL OR JCA_ADICIO_T02.E2090_COD_PERS IS NOT NULL</t>
    </r>
  </si>
  <si>
    <t>MAT21_DEMZCLIA || MAT21_DEMZCLIA || MAT11_CASHFLOW || MAT18_BALZCLIA</t>
  </si>
  <si>
    <t>HTIMEST || HTIMEST || HTIMEST || HTIMEST</t>
  </si>
  <si>
    <t>N\A || N\A || N\A || N\A || N\A</t>
  </si>
  <si>
    <t>EBITDA Currency Code</t>
  </si>
  <si>
    <t>ebitda_currency_code</t>
  </si>
  <si>
    <t>Ext Inf - Fin Inf - Code</t>
  </si>
  <si>
    <t>MAT21_DEMZCLIA</t>
  </si>
  <si>
    <t>EBITDA Amount</t>
  </si>
  <si>
    <t>ebitda_amount</t>
  </si>
  <si>
    <t>Ext Inf - Fin Inf - Value</t>
  </si>
  <si>
    <t>DECIMAL</t>
  </si>
  <si>
    <t>MEBE (liga por zcligrupo)</t>
  </si>
  <si>
    <t>Annual Turnover Currency Code</t>
  </si>
  <si>
    <t>annual_turnover_currency_code</t>
  </si>
  <si>
    <t>Currency used to describe the entity's annual turnover (total sales).</t>
  </si>
  <si>
    <t>Código da moeda utilizada para representar o valor do volume de negócios anual da entidade (total de vendas).</t>
  </si>
  <si>
    <t>Currency:
MONEDA -&gt; TAT91 - CTABELA 206; CURATED_INTERNAL_MAINFRAME_ESTRUTURAIS.TAT91_TABELAS - TAYD91C0_CTABELA 206; COMMON_REFERENCEDATA_CORE.REFERENCE_DATA_TABLE  - DATA_TABLE_CODE 000206</t>
  </si>
  <si>
    <t>CURATED_INTERNAL_MAINFRAME_MAGICO
CURATED_INTERNAL_MAINFRAME_CLIENTES
CURATED_INTERNAL_MAINFRAME_CLIENTES</t>
  </si>
  <si>
    <t>MAT21_DEMZCLIA
ECONOM_JCAS_INT
JCA_ADICIO_T02</t>
  </si>
  <si>
    <t>CMOEDA
N\A
N\A</t>
  </si>
  <si>
    <r>
      <rPr>
        <b/>
        <sz val="11"/>
        <color rgb="FF000000"/>
        <rFont val="Calibri"/>
        <family val="2"/>
      </rPr>
      <t xml:space="preserve">SELECT </t>
    </r>
    <r>
      <rPr>
        <sz val="11"/>
        <color rgb="FF000000"/>
        <rFont val="Calibri"/>
        <family val="2"/>
      </rPr>
      <t xml:space="preserve">IF(TRIM(MAT21_DEMZCLIA.CMOEDA) = '', NULL, MAT21_DEMZCLIA.CMOEDA)
</t>
    </r>
    <r>
      <rPr>
        <b/>
        <sz val="11"/>
        <color rgb="FF000000"/>
        <rFont val="Calibri"/>
        <family val="2"/>
      </rPr>
      <t xml:space="preserve">WHERE </t>
    </r>
    <r>
      <rPr>
        <sz val="11"/>
        <color rgb="FF000000"/>
        <rFont val="Calibri"/>
        <family val="2"/>
      </rPr>
      <t>ECONOM_JCAS_INT.E8727_COD_PERS IS NOT NULL OR JCA_ADICIO_T02.E2090_COD_PERS IS NOT NULL
AND MAT21_DEMZCLIA.CPERIOD = '212' AND MAT21_DEMZCLIA.ITIPINF = 'I'</t>
    </r>
  </si>
  <si>
    <t>Annual Turnover Amount</t>
  </si>
  <si>
    <t>annual_turnover_amount</t>
  </si>
  <si>
    <t>Amount of the entity turnover, this is, the entity total sales (gross revenue).</t>
  </si>
  <si>
    <t>Montante do volume de negócios da entidade, ou seja, o total de vendas (receita bruta).</t>
  </si>
  <si>
    <t>MVDSRPRE
N\A
N\A</t>
  </si>
  <si>
    <r>
      <rPr>
        <b/>
        <sz val="11"/>
        <color rgb="FF000000"/>
        <rFont val="Calibri"/>
        <family val="2"/>
      </rPr>
      <t xml:space="preserve">SELECT </t>
    </r>
    <r>
      <rPr>
        <sz val="11"/>
        <color rgb="FF000000"/>
        <rFont val="Calibri"/>
        <family val="2"/>
      </rPr>
      <t xml:space="preserve">IF(TRIM(MAT21_DEMZCLIA.MVDSRPRE) = '', NULL, CAST(MAT21_DEMZCLIA.MVDSRPRE AS DECIMAL(23, 6)))
</t>
    </r>
    <r>
      <rPr>
        <b/>
        <sz val="11"/>
        <color rgb="FF000000"/>
        <rFont val="Calibri"/>
        <family val="2"/>
      </rPr>
      <t xml:space="preserve">WHERE </t>
    </r>
    <r>
      <rPr>
        <sz val="11"/>
        <color rgb="FF000000"/>
        <rFont val="Calibri"/>
        <family val="2"/>
      </rPr>
      <t>ECONOM_JCAS_INT.E8727_COD_PERS IS NOT NULL OR JCA_ADICIO_T02.E2090_COD_PERS IS NOT NULL
AND MAT21_DEMZCLIA.CPERIOD = '212' AND MAT21_DEMZCLIA.ITIPINF = 'I'</t>
    </r>
  </si>
  <si>
    <t>MVDSRPRE (liga por zcligrupo)</t>
  </si>
  <si>
    <t>Group Annual Turnover Currency Code</t>
  </si>
  <si>
    <t>group_ann_turnover_currcy_code</t>
  </si>
  <si>
    <t>MAT22_DEMZGPIA</t>
  </si>
  <si>
    <t>Group Annual Turnover Amount</t>
  </si>
  <si>
    <t>group_annual_turnover_amount</t>
  </si>
  <si>
    <t>Free Cash-Flow Currency Code</t>
  </si>
  <si>
    <t>free_cashflow_currcy_code</t>
  </si>
  <si>
    <t>""</t>
  </si>
  <si>
    <t>Free Cash-Flow Amount</t>
  </si>
  <si>
    <t>free_cashflow_amount</t>
  </si>
  <si>
    <t>MAT11_CASHFLOW</t>
  </si>
  <si>
    <t>MFREECF</t>
  </si>
  <si>
    <t>Share Capital Currency Code</t>
  </si>
  <si>
    <t>share_capital_currency_code</t>
  </si>
  <si>
    <t>Currency used to describer the share capital amount.</t>
  </si>
  <si>
    <t>Código de moeda utilizado para descrever o montante do capital social (shared capital).</t>
  </si>
  <si>
    <t>CURATED_INTERNAL_MAINFRAME_ESTRUTURAIS
CURATED_INTERNAL_MAINFRAME_CLIENTES
CURATED_INTERNAL_MAINFRAME_CLIENTES</t>
  </si>
  <si>
    <t>TAT21_MOEDA
ECONOM_JCAS_INT
JCA_ADICIO_T02</t>
  </si>
  <si>
    <r>
      <rPr>
        <b/>
        <sz val="11"/>
        <color rgb="FF000000"/>
        <rFont val="Calibri"/>
        <family val="2"/>
      </rPr>
      <t xml:space="preserve">SELECT </t>
    </r>
    <r>
      <rPr>
        <sz val="11"/>
        <color rgb="FF000000"/>
        <rFont val="Calibri"/>
        <family val="2"/>
      </rPr>
      <t xml:space="preserve">IF( TRIM( TAT21_MOEDA(2).CMOEDA ) = '', NULL, TAT21_MOEDA(2).CMOEDA )
</t>
    </r>
    <r>
      <rPr>
        <b/>
        <sz val="11"/>
        <color rgb="FF000000"/>
        <rFont val="Calibri"/>
        <family val="2"/>
      </rPr>
      <t xml:space="preserve">WHERE </t>
    </r>
    <r>
      <rPr>
        <sz val="11"/>
        <color rgb="FF000000"/>
        <rFont val="Calibri"/>
        <family val="2"/>
      </rPr>
      <t>ECONOM_JCAS_INT.E8727_COD_PERS IS NOT NULL OR JCA_ADICIO_T02.E2090_COD_PERS IS NOT NULL</t>
    </r>
  </si>
  <si>
    <t>MAT18_BALZCLIA</t>
  </si>
  <si>
    <t xml:space="preserve">N\A </t>
  </si>
  <si>
    <t>Share Capital Amount</t>
  </si>
  <si>
    <t>share_capital_amount</t>
  </si>
  <si>
    <t>Sum of the value obtained from the sale of share of the entity to the shareholders.</t>
  </si>
  <si>
    <t>Soma do valor obtido da venda de ações da entidade aos acionistas.</t>
  </si>
  <si>
    <t>E8727_IMPCAPSO
N\A</t>
  </si>
  <si>
    <r>
      <rPr>
        <b/>
        <sz val="11"/>
        <color rgb="FF000000"/>
        <rFont val="Calibri"/>
        <family val="2"/>
      </rPr>
      <t>SELECT</t>
    </r>
    <r>
      <rPr>
        <sz val="11"/>
        <color rgb="FF000000"/>
        <rFont val="Calibri"/>
        <family val="2"/>
      </rPr>
      <t xml:space="preserve"> CAST(ECONOM_JCAS_INT.E8727_IMPCAPSO AS DECIMAL(23, 6))
</t>
    </r>
    <r>
      <rPr>
        <b/>
        <sz val="11"/>
        <color rgb="FF000000"/>
        <rFont val="Calibri"/>
        <family val="2"/>
      </rPr>
      <t xml:space="preserve">WHERE </t>
    </r>
    <r>
      <rPr>
        <sz val="11"/>
        <color rgb="FF000000"/>
        <rFont val="Calibri"/>
        <family val="2"/>
      </rPr>
      <t>ECONOM_JCAS_INT.E8727_COD_PERS IS NOT NULL OR JCA_ADICIO_T02.E2090_COD_PERS IS NOT NULL</t>
    </r>
  </si>
  <si>
    <t>DBSPRDX (liga por zcligrupo)</t>
  </si>
  <si>
    <t>Current Liabilities Currency Code</t>
  </si>
  <si>
    <t>cur_liabilities_currcy_code</t>
  </si>
  <si>
    <t>Current Liabilities Amount</t>
  </si>
  <si>
    <t>current_liabilities_amount</t>
  </si>
  <si>
    <t xml:space="preserve">MPCTOT </t>
  </si>
  <si>
    <t>Non-Current Liabilities Currency Code</t>
  </si>
  <si>
    <t>non_cur_liabilities_currcy_code</t>
  </si>
  <si>
    <t>Non-Current Liabilities Amount</t>
  </si>
  <si>
    <t>non_current_liabilities_amount</t>
  </si>
  <si>
    <t>MPNTOT</t>
  </si>
  <si>
    <t xml:space="preserve">Number of Employees </t>
  </si>
  <si>
    <t>number_employees</t>
  </si>
  <si>
    <t>INT</t>
  </si>
  <si>
    <t>Number of employees of the entity.</t>
  </si>
  <si>
    <t>Número de empregados da entidade.</t>
  </si>
  <si>
    <t>N\A
E2090_NREMPFIJ</t>
  </si>
  <si>
    <r>
      <rPr>
        <b/>
        <sz val="11"/>
        <color rgb="FF000000"/>
        <rFont val="Calibri"/>
        <family val="2"/>
      </rPr>
      <t>SELECT</t>
    </r>
    <r>
      <rPr>
        <sz val="11"/>
        <color rgb="FF000000"/>
        <rFont val="Calibri"/>
        <family val="2"/>
      </rPr>
      <t xml:space="preserve"> CAST(JCA_ADICIO_T02.E2090_NREMPFIJ AS INT)
</t>
    </r>
    <r>
      <rPr>
        <b/>
        <sz val="11"/>
        <color rgb="FF000000"/>
        <rFont val="Calibri"/>
        <family val="2"/>
      </rPr>
      <t xml:space="preserve">WHERE </t>
    </r>
    <r>
      <rPr>
        <sz val="11"/>
        <color rgb="FF000000"/>
        <rFont val="Calibri"/>
        <family val="2"/>
      </rPr>
      <t>ECONOM_JCAS_INT.E8727_COD_PERS IS NOT NULL OR JCA_ADICIO_T02.E2090_COD_PERS IS NOT NULL</t>
    </r>
  </si>
  <si>
    <t>NEMPGE</t>
  </si>
  <si>
    <t>CURATED_INTERNAL_MAINFRAME_CLIENTES
CURATED_INTERNAL_MAINFRAME_CLIENTES
CURATED_INTERNAL_MAINFRAME_CLIENTES</t>
  </si>
  <si>
    <t>PERS_JCA_INT
ECONOM_JCAS_INT
JCA_ADICIO_T02</t>
  </si>
  <si>
    <t>DATA_DATE_PART
N\A
N\A</t>
  </si>
  <si>
    <r>
      <rPr>
        <b/>
        <sz val="11"/>
        <color rgb="FF000000"/>
        <rFont val="Calibri"/>
        <family val="2"/>
      </rPr>
      <t xml:space="preserve">SELECT </t>
    </r>
    <r>
      <rPr>
        <sz val="11"/>
        <color rgb="FF000000"/>
        <rFont val="Calibri"/>
        <family val="2"/>
      </rPr>
      <t xml:space="preserve">PERS_JCA_INT.DATA_DATE_PART
</t>
    </r>
    <r>
      <rPr>
        <b/>
        <sz val="11"/>
        <color rgb="FF000000"/>
        <rFont val="Calibri"/>
        <family val="2"/>
      </rPr>
      <t xml:space="preserve">WHERE </t>
    </r>
    <r>
      <rPr>
        <sz val="11"/>
        <color rgb="FF000000"/>
        <rFont val="Calibri"/>
        <family val="2"/>
      </rPr>
      <t>ECONOM_JCAS_INT.E8727_COD_PERS IS NOT NULL OR JCA_ADICIO_T02.E2090_COD_PERS IS NOT NULL</t>
    </r>
  </si>
  <si>
    <t>N\A
N\A
N\A</t>
  </si>
  <si>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ECONOM_JCAS_INT.E8727_COD_PERS IS NOT NULL OR JCA_ADICIO_T02.E2090_COD_PERS IS NOT NULL</t>
    </r>
  </si>
  <si>
    <t>Entity Identity Document</t>
  </si>
  <si>
    <t>ID</t>
  </si>
  <si>
    <r>
      <rPr>
        <b/>
        <sz val="11"/>
        <color rgb="FF000000"/>
        <rFont val="Calibri"/>
        <family val="2"/>
        <scheme val="minor"/>
      </rPr>
      <t xml:space="preserve">SELECT </t>
    </r>
    <r>
      <rPr>
        <sz val="11"/>
        <color rgb="FF000000"/>
        <rFont val="Calibri"/>
        <family val="2"/>
        <scheme val="minor"/>
      </rPr>
      <t>LPAD( TAT01_CLIENTES.ZCLIENTE, 10, '0' )</t>
    </r>
  </si>
  <si>
    <t>PERS_DOCUMENTO -&gt; TAT01_CLIENTES</t>
  </si>
  <si>
    <t>CONCAT( TIPO_PER, COD_PERS1 ) -&gt; ZCLIENTE</t>
  </si>
  <si>
    <t>Document Type Code</t>
  </si>
  <si>
    <t>document_type_code</t>
  </si>
  <si>
    <t>Identifies type of the identification document.</t>
  </si>
  <si>
    <t>Código que identifica o tipo de documento de identificação , por exemplo, cc, bi, etc.</t>
  </si>
  <si>
    <t>Document Type:
TIP_DOCUMENT -&gt; TAT91 - CTABELA 151; CURATED_INTERNAL_MAINFRAME_ESTRUTURAIS.TAT91_TABELAS - TAYD91C0_CTABELA 151; COMMON_REFERENCEDATA_CORE.REFERENCE_DATA_TABLE  - DATA_TABLE_CODE 000151</t>
  </si>
  <si>
    <t>PERS_DOCUMENTO_01
PERS_DOCUMENTO_01</t>
  </si>
  <si>
    <t>E5015_ITIPDOCU 
CTIPDOC</t>
  </si>
  <si>
    <r>
      <rPr>
        <b/>
        <sz val="11"/>
        <color rgb="FF000000"/>
        <rFont val="Calibri"/>
        <family val="2"/>
        <scheme val="minor"/>
      </rPr>
      <t xml:space="preserve">SELECT </t>
    </r>
    <r>
      <rPr>
        <sz val="11"/>
        <color rgb="FF000000"/>
        <rFont val="Calibri"/>
        <family val="2"/>
        <scheme val="minor"/>
      </rPr>
      <t>IF( PERS_DOCUMENTO_01.E0515_ITIPDOCU IN ( '909', '910' ), CAST( PERS_DOCUMENTO_01.E0515_ITIPDOCU AS STRING ), CAST( TAT17_CTIPDOC.CTIPDOC AS STRING ) )</t>
    </r>
  </si>
  <si>
    <t>PERS_DOCUMENTO -&gt; TAT17_CTIPDOC</t>
  </si>
  <si>
    <t>ITIPDOCU -&gt; CTIPDOC</t>
  </si>
  <si>
    <t>Document Use Type Code</t>
  </si>
  <si>
    <t>document_use_type_code</t>
  </si>
  <si>
    <t>Document Use Type:
N\A (DI - Documento Identifição; FP - Fiscal Provisório; CC - Cartão Cidadão; DF - Documento Fiscal; IP - Identifição Provisório; NR - Nif do Pais Residência (Estrangeiros) )</t>
  </si>
  <si>
    <t>CURATED_INTERNAL_MAINFRAME_CLIENTES
CURATED_INTERNAL_MAINFRAME_ESTRUTURAIS
COMMON_REFERENCEDATA_CORE</t>
  </si>
  <si>
    <t>PERS_DOCUMENTO_01
TAT17_CTIPDOC
PARAM_GENERAL_CODE_CONVERTER</t>
  </si>
  <si>
    <t>N\A
ITIPUSO
TARGET_VALUE</t>
  </si>
  <si>
    <r>
      <rPr>
        <b/>
        <sz val="11"/>
        <color rgb="FF000000"/>
        <rFont val="Calibri"/>
        <family val="2"/>
        <scheme val="minor"/>
      </rPr>
      <t xml:space="preserve">CASE
</t>
    </r>
    <r>
      <rPr>
        <sz val="11"/>
        <color rgb="FF000000"/>
        <rFont val="Calibri"/>
        <family val="2"/>
        <scheme val="minor"/>
      </rPr>
      <t xml:space="preserve">        WHEN (SELECT IF( PERS_DOCUMENTO_01.E0515_ITIPDOCU IN ( '909', '910' ), '' , CAST( TAT17_CTIPDOC.ITIPUSO AS STRING ) ) = '' THEN PARAM_GENERAL_CODE_CONVERTER.TARGET_VALUE
        ELSE (SELECT IF( PERS_DOCUMENTO_01.E0515_ITIPDOCU IN ( '909', '910' ), '' , CAST( TAT17_CTIPDOC.ITIPUSO AS STRING ) )
</t>
    </r>
    <r>
      <rPr>
        <b/>
        <sz val="11"/>
        <color rgb="FF000000"/>
        <rFont val="Calibri"/>
        <family val="2"/>
        <scheme val="minor"/>
      </rPr>
      <t xml:space="preserve">END 
WHERE </t>
    </r>
    <r>
      <rPr>
        <sz val="11"/>
        <color rgb="FF000000"/>
        <rFont val="Calibri"/>
        <family val="2"/>
        <scheme val="minor"/>
      </rPr>
      <t>PARAM_GENERAL_CODE_CONVERTER.SOURCE_CODE = "CL"
AND PARAM_GENERAL_CODE_CONVERTER.TARGET_FIELD = 'document_use_type_code'
AND PARAM_GENERAL_CODE_CONVERTER.SOURCE_VALUE = SELECT IF( PERS_DOCUMENTO_01.E0515_ITIPDOCU IN ( '909', '910' ), '' , CAST( TAT17_CTIPDOC.ITIPUSO AS STRING ) )
AND DOCUMENT_USE_TYPE_CODE.OPTION_NUMBER = 1</t>
    </r>
  </si>
  <si>
    <t>ITIPUSO</t>
  </si>
  <si>
    <t>Document Country Code</t>
  </si>
  <si>
    <t>document_country_code</t>
  </si>
  <si>
    <t>Identifies the country that issued the identification document.</t>
  </si>
  <si>
    <t>Código que identifica o país que emitiu o documento de identificação.</t>
  </si>
  <si>
    <t>Country:
PAIS -&gt; TAT91 - CTABELA 015; CURATED_INTERNAL_MAINFRAME_ESTRUTURAIS.TAT91_TABELAS - TAYD91C0_CTABELA 015; COMMON_REFERENCEDATA_CORE.REFERENCE_DATA_TABLE  - DATA_TABLE_CODE 000015</t>
  </si>
  <si>
    <t>TAT03_PAISES</t>
  </si>
  <si>
    <t>CPAIS_S</t>
  </si>
  <si>
    <r>
      <rPr>
        <b/>
        <sz val="11"/>
        <color rgb="FF000000"/>
        <rFont val="Calibri"/>
        <family val="2"/>
        <scheme val="minor"/>
      </rPr>
      <t xml:space="preserve">SELECT </t>
    </r>
    <r>
      <rPr>
        <sz val="11"/>
        <color rgb="FF000000"/>
        <rFont val="Calibri"/>
        <family val="2"/>
        <scheme val="minor"/>
      </rPr>
      <t>TAT03_PAISES.CPAIS_S</t>
    </r>
  </si>
  <si>
    <t>PERS_DOCUMENTO -&gt; TAT03_PAISES</t>
  </si>
  <si>
    <t>CPAISDOC -&gt; CPAIS_S</t>
  </si>
  <si>
    <t>Document Number</t>
  </si>
  <si>
    <t>document_number</t>
  </si>
  <si>
    <t>Number of the identification document associated to the entity.</t>
  </si>
  <si>
    <t>Número do documento de identificação associado à entidade.</t>
  </si>
  <si>
    <t>PERS_DOCUMENTO_01</t>
  </si>
  <si>
    <t>E0515_CD_DOCUM</t>
  </si>
  <si>
    <r>
      <rPr>
        <b/>
        <sz val="11"/>
        <color rgb="FF000000"/>
        <rFont val="Calibri"/>
        <family val="2"/>
        <scheme val="minor"/>
      </rPr>
      <t xml:space="preserve">SELECT </t>
    </r>
    <r>
      <rPr>
        <sz val="11"/>
        <color rgb="FF000000"/>
        <rFont val="Calibri"/>
        <family val="2"/>
        <scheme val="minor"/>
      </rPr>
      <t>PERS_DOCUMENTO_01.E0515_CD_DOCUM</t>
    </r>
  </si>
  <si>
    <t>PERS_DOCUMENTO</t>
  </si>
  <si>
    <t>CD_DOCUM</t>
  </si>
  <si>
    <t>Document Issue Date</t>
  </si>
  <si>
    <t>document_issue_date</t>
  </si>
  <si>
    <t>Date in which the identification document was issued.</t>
  </si>
  <si>
    <t>Data em que o documento de identificação foi emitido.</t>
  </si>
  <si>
    <t>E0515_FECH_INI</t>
  </si>
  <si>
    <r>
      <rPr>
        <b/>
        <sz val="11"/>
        <color rgb="FF000000"/>
        <rFont val="Calibri"/>
        <family val="2"/>
        <scheme val="minor"/>
      </rPr>
      <t xml:space="preserve">SELECT </t>
    </r>
    <r>
      <rPr>
        <sz val="11"/>
        <color rgb="FF000000"/>
        <rFont val="Calibri"/>
        <family val="2"/>
        <scheme val="minor"/>
      </rPr>
      <t>IF( TRIM( PERS_DOCUMENTO_01.E0515_FECH_INI ) = '', NULL, CAST( PERS_DOCUMENTO_01.E0515_FECH_INI AS STRING ) )</t>
    </r>
  </si>
  <si>
    <t>FECH_INI</t>
  </si>
  <si>
    <t>Document Expiration Date</t>
  </si>
  <si>
    <t>document_expiration_date</t>
  </si>
  <si>
    <t>Date in which the identification document expires.</t>
  </si>
  <si>
    <t>Data em que o documento de identificação expira.</t>
  </si>
  <si>
    <t>E0515_FECH_FIN</t>
  </si>
  <si>
    <r>
      <rPr>
        <b/>
        <sz val="11"/>
        <color rgb="FF000000"/>
        <rFont val="Calibri"/>
        <family val="2"/>
        <scheme val="minor"/>
      </rPr>
      <t xml:space="preserve">SELECT </t>
    </r>
    <r>
      <rPr>
        <sz val="11"/>
        <color rgb="FF000000"/>
        <rFont val="Calibri"/>
        <family val="2"/>
        <scheme val="minor"/>
      </rPr>
      <t>IF( TRIM( PERS_DOCUMENTO_01.E0515_FECH_FIN ) = '', NULL, CAST( PERS_DOCUMENTO_01.E0515_FECH_FIN AS STRING ) )</t>
    </r>
  </si>
  <si>
    <t>FECH_FIN</t>
  </si>
  <si>
    <r>
      <rPr>
        <b/>
        <sz val="11"/>
        <color rgb="FF000000"/>
        <rFont val="Calibri"/>
        <family val="2"/>
        <scheme val="minor"/>
      </rPr>
      <t xml:space="preserve">SELECT </t>
    </r>
    <r>
      <rPr>
        <sz val="11"/>
        <color rgb="FF000000"/>
        <rFont val="Calibri"/>
        <family val="2"/>
        <scheme val="minor"/>
      </rPr>
      <t>PERS_DOCUMENTO_01.DATA_DATE_PART</t>
    </r>
  </si>
  <si>
    <t>Entity Negative File</t>
  </si>
  <si>
    <t>CLT61_CNINCID</t>
  </si>
  <si>
    <r>
      <rPr>
        <b/>
        <sz val="11"/>
        <color rgb="FF000000"/>
        <rFont val="Calibri"/>
        <family val="2"/>
        <scheme val="minor"/>
      </rPr>
      <t xml:space="preserve">SELECT </t>
    </r>
    <r>
      <rPr>
        <sz val="11"/>
        <color rgb="FF000000"/>
        <rFont val="Calibri"/>
        <family val="2"/>
        <scheme val="minor"/>
      </rPr>
      <t xml:space="preserve">LPAD(CLT61_CNINCID.ZCLIENTE, 10, '0' )
</t>
    </r>
    <r>
      <rPr>
        <b/>
        <sz val="11"/>
        <color rgb="FF000000"/>
        <rFont val="Calibri"/>
        <family val="2"/>
        <scheme val="minor"/>
      </rPr>
      <t xml:space="preserve">WHERE </t>
    </r>
    <r>
      <rPr>
        <sz val="11"/>
        <color rgb="FF000000"/>
        <rFont val="Calibri"/>
        <family val="2"/>
        <scheme val="minor"/>
      </rPr>
      <t xml:space="preserve">CLT61_CNINCID.DSAIDA = '9999-12-31' AND CLT61_CNINCID.CEMPRESA = '31'
</t>
    </r>
  </si>
  <si>
    <t xml:space="preserve">CLT61_CNINCID </t>
  </si>
  <si>
    <t>Number of the identification document associated to the entity that is associated with a negative situation.</t>
  </si>
  <si>
    <t>Número do documento de identificação associado à entidade que está associada a uma situação negativa.</t>
  </si>
  <si>
    <t>CKDOCID</t>
  </si>
  <si>
    <r>
      <rPr>
        <b/>
        <sz val="11"/>
        <color rgb="FF000000"/>
        <rFont val="Calibri"/>
        <family val="2"/>
        <scheme val="minor"/>
      </rPr>
      <t xml:space="preserve">SELECT </t>
    </r>
    <r>
      <rPr>
        <sz val="11"/>
        <color rgb="FF000000"/>
        <rFont val="Calibri"/>
        <family val="2"/>
        <scheme val="minor"/>
      </rPr>
      <t xml:space="preserve">CLT61_CNINCID.CKDOCID
</t>
    </r>
    <r>
      <rPr>
        <b/>
        <sz val="11"/>
        <color rgb="FF000000"/>
        <rFont val="Calibri"/>
        <family val="2"/>
        <scheme val="minor"/>
      </rPr>
      <t>WHERE</t>
    </r>
    <r>
      <rPr>
        <sz val="11"/>
        <color rgb="FF000000"/>
        <rFont val="Calibri"/>
        <family val="2"/>
        <scheme val="minor"/>
      </rPr>
      <t xml:space="preserve"> CLT61_CNINCID.DSAIDA = '9999-12-31' AND CLT61_CNINCID.CEMPRESA = '31'</t>
    </r>
  </si>
  <si>
    <t>Document Type:
TAT91 - CTABELA 151; CURATED_INTERNAL_MAINFRAME_ESTRUTURAIS.TAT91_TABELAS - TAYD91C0_CTABELA 151; COMMON_REFERENCEDATA_CORE.REFERENCE_DATA_TABLE  - DATA_TABLE_CODE 000151</t>
  </si>
  <si>
    <t>IDENTDOC</t>
  </si>
  <si>
    <r>
      <rPr>
        <b/>
        <sz val="11"/>
        <color rgb="FF000000"/>
        <rFont val="Calibri"/>
        <family val="2"/>
        <scheme val="minor"/>
      </rPr>
      <t xml:space="preserve">SELECT </t>
    </r>
    <r>
      <rPr>
        <sz val="11"/>
        <color rgb="FF000000"/>
        <rFont val="Calibri"/>
        <family val="2"/>
        <scheme val="minor"/>
      </rPr>
      <t xml:space="preserve">CLT61_CNINCID.IDENTDOC
</t>
    </r>
    <r>
      <rPr>
        <b/>
        <sz val="11"/>
        <color rgb="FF000000"/>
        <rFont val="Calibri"/>
        <family val="2"/>
        <scheme val="minor"/>
      </rPr>
      <t xml:space="preserve">WHERE </t>
    </r>
    <r>
      <rPr>
        <sz val="11"/>
        <color rgb="FF000000"/>
        <rFont val="Calibri"/>
        <family val="2"/>
        <scheme val="minor"/>
      </rPr>
      <t>CLT61_CNINCID.DSAIDA = '9999-12-31' AND CLT61_CNINCID.CEMPRESA = '31'</t>
    </r>
  </si>
  <si>
    <t>Document Type:
TAT91 - CTABELA 015; CURATED_INTERNAL_MAINFRAME_ESTRUTURAIS.TAT91_TABELAS - TAYD91C0_CTABELA 015; COMMON_REFERENCEDATA_CORE.REFERENCE_DATA_TABLE  - DATA_TABLE_CODE 000015</t>
  </si>
  <si>
    <r>
      <rPr>
        <b/>
        <sz val="11"/>
        <color rgb="FF000000"/>
        <rFont val="Calibri"/>
        <family val="2"/>
        <scheme val="minor"/>
      </rPr>
      <t xml:space="preserve">SELECT </t>
    </r>
    <r>
      <rPr>
        <sz val="11"/>
        <color rgb="FF000000"/>
        <rFont val="Calibri"/>
        <family val="2"/>
        <scheme val="minor"/>
      </rPr>
      <t xml:space="preserve">CLT61_CNINCID.CPAIS
</t>
    </r>
    <r>
      <rPr>
        <b/>
        <sz val="11"/>
        <color rgb="FF000000"/>
        <rFont val="Calibri"/>
        <family val="2"/>
        <scheme val="minor"/>
      </rPr>
      <t xml:space="preserve">WHERE </t>
    </r>
    <r>
      <rPr>
        <sz val="11"/>
        <color rgb="FF000000"/>
        <rFont val="Calibri"/>
        <family val="2"/>
        <scheme val="minor"/>
      </rPr>
      <t>CLT61_CNINCID.DSAIDA = '9999-12-31' AND CLT61_CNINCID.CEMPRESA = '31'</t>
    </r>
  </si>
  <si>
    <t>Negative Code</t>
  </si>
  <si>
    <t>negative_code</t>
  </si>
  <si>
    <t>Identifies the negative situation associated with the identificattion document.</t>
  </si>
  <si>
    <t>Código que identifica a situação negativa associada ao documento de identificação.</t>
  </si>
  <si>
    <t>Negative Code:
TAT91 - CTABELA 177; CURATED_INTERNAL_MAINFRAME_ESTRUTURAIS.TAT91_TABELAS - TAYD91C0_CTABELA 177; COMMON_REFERENCEDATA_CORE.REFERENCE_DATA_TABLE  - DATA_TABLE_CODE 000177</t>
  </si>
  <si>
    <t>CODINCID</t>
  </si>
  <si>
    <r>
      <rPr>
        <b/>
        <sz val="11"/>
        <color rgb="FF000000"/>
        <rFont val="Calibri"/>
        <family val="2"/>
        <scheme val="minor"/>
      </rPr>
      <t xml:space="preserve">SELECT </t>
    </r>
    <r>
      <rPr>
        <sz val="11"/>
        <color rgb="FF000000"/>
        <rFont val="Calibri"/>
        <family val="2"/>
        <scheme val="minor"/>
      </rPr>
      <t xml:space="preserve">CLT61_CNINCID.CODINCID
</t>
    </r>
    <r>
      <rPr>
        <b/>
        <sz val="11"/>
        <color rgb="FF000000"/>
        <rFont val="Calibri"/>
        <family val="2"/>
        <scheme val="minor"/>
      </rPr>
      <t xml:space="preserve">WHERE </t>
    </r>
    <r>
      <rPr>
        <sz val="11"/>
        <color rgb="FF000000"/>
        <rFont val="Calibri"/>
        <family val="2"/>
        <scheme val="minor"/>
      </rPr>
      <t>CLT61_CNINCID.DSAIDA = '9999-12-31' AND CLT61_CNINCID.CEMPRESA = '31'</t>
    </r>
  </si>
  <si>
    <t>Int Inf - Clt Inf - Date</t>
  </si>
  <si>
    <t>Date in which the Negative File situation started.</t>
  </si>
  <si>
    <t>Data em que se iniciou a situação negativa do documento.</t>
  </si>
  <si>
    <t>DENTRADA</t>
  </si>
  <si>
    <r>
      <rPr>
        <b/>
        <sz val="11"/>
        <color rgb="FF000000"/>
        <rFont val="Calibri"/>
        <family val="2"/>
        <scheme val="minor"/>
      </rPr>
      <t xml:space="preserve">SELECT </t>
    </r>
    <r>
      <rPr>
        <sz val="11"/>
        <color rgb="FF000000"/>
        <rFont val="Calibri"/>
        <family val="2"/>
        <scheme val="minor"/>
      </rPr>
      <t xml:space="preserve">CLT61_CNINCID.DENTRADA
</t>
    </r>
    <r>
      <rPr>
        <b/>
        <sz val="11"/>
        <color rgb="FF000000"/>
        <rFont val="Calibri"/>
        <family val="2"/>
        <scheme val="minor"/>
      </rPr>
      <t xml:space="preserve">WHERE </t>
    </r>
    <r>
      <rPr>
        <sz val="11"/>
        <color rgb="FF000000"/>
        <rFont val="Calibri"/>
        <family val="2"/>
        <scheme val="minor"/>
      </rPr>
      <t>CLT61_CNINCID.DSAIDA = '9999-12-31' AND CLT61_CNINCID.CEMPRESA = '31'</t>
    </r>
  </si>
  <si>
    <r>
      <rPr>
        <b/>
        <sz val="11"/>
        <color rgb="FF000000"/>
        <rFont val="Calibri"/>
        <family val="2"/>
        <scheme val="minor"/>
      </rPr>
      <t xml:space="preserve">SELECT </t>
    </r>
    <r>
      <rPr>
        <sz val="11"/>
        <color rgb="FF000000"/>
        <rFont val="Calibri"/>
        <family val="2"/>
        <scheme val="minor"/>
      </rPr>
      <t xml:space="preserve">CLT61_CNINCID.DATA_DATE_PART
</t>
    </r>
    <r>
      <rPr>
        <b/>
        <sz val="11"/>
        <color rgb="FF000000"/>
        <rFont val="Calibri"/>
        <family val="2"/>
        <scheme val="minor"/>
      </rPr>
      <t xml:space="preserve">WHERE </t>
    </r>
    <r>
      <rPr>
        <sz val="11"/>
        <color rgb="FF000000"/>
        <rFont val="Calibri"/>
        <family val="2"/>
        <scheme val="minor"/>
      </rPr>
      <t>CLT61_CNINCID.DSAIDA = '9999-12-31' AND CLT61_CNINCID.CEMPRESA = '31'</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</si>
  <si>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CLT61_CNINCID.DSAIDA = '9999-12-31' AND CLT61_CNINCID.CEMPRESA = '31'</t>
    </r>
  </si>
  <si>
    <t>Entity Segment</t>
  </si>
  <si>
    <t>y</t>
  </si>
  <si>
    <t>MC_CLIENTE -&gt; TAT01_CLIENTES</t>
  </si>
  <si>
    <t>Segment Type Code</t>
  </si>
  <si>
    <t>segment_type_code</t>
  </si>
  <si>
    <t>Type of segment inside of the segment category.</t>
  </si>
  <si>
    <t>Código do tipo de segmento dentro da categoria do segmento de cliente.</t>
  </si>
  <si>
    <t>Segment:
MC_TIPO; CURATED_INTERNAL_,MAINFRAME_CLIENTES.MC_TIPO; COMMON_REFERENCEDATA_CORE.REFERENCE_DATA_TABLE  - DATA_TABLE_CODE 001001</t>
  </si>
  <si>
    <t>MC_CLIENTE</t>
  </si>
  <si>
    <t>O3647_CODTIP</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</si>
  <si>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MC_CLIENTE.O3647_CODTIP, 3, '0' )</t>
    </r>
  </si>
  <si>
    <t>CODTIP</t>
  </si>
  <si>
    <t>Segment Code</t>
  </si>
  <si>
    <t>segment_code</t>
  </si>
  <si>
    <t>Category of client's segment.</t>
  </si>
  <si>
    <t>Código da categoria do segmento de cliente.</t>
  </si>
  <si>
    <t>Subsegment:
MC_SUB_TIPO; CURATED_INTERNAL_,MAINFRAME_CLIENTES.MC_SUB_TIPO; COMMON_REFERENCEDATA_CORE.REFERENCE_DATA_TABLE  - DATA_TABLE_CODE 001002</t>
  </si>
  <si>
    <t>O3647_CODSTIP</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</si>
  <si>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MC_CLIENTE.O3647_CODSTIP, 3, '0' )</t>
    </r>
  </si>
  <si>
    <t>CODSTIP</t>
  </si>
  <si>
    <r>
      <rPr>
        <b/>
        <sz val="11"/>
        <color rgb="FF000000"/>
        <rFont val="Calibri"/>
        <family val="2"/>
        <scheme val="minor"/>
      </rPr>
      <t xml:space="preserve">SELECT </t>
    </r>
    <r>
      <rPr>
        <sz val="11"/>
        <color rgb="FF000000"/>
        <rFont val="Calibri"/>
        <family val="2"/>
        <scheme val="minor"/>
      </rPr>
      <t>MC_CLIENTE.DATA_DATE_PART</t>
    </r>
  </si>
  <si>
    <t>Entity Tax Residence Country</t>
  </si>
  <si>
    <t>PS_PAI_ADI_TRIB -&gt; TAT01_CLIENTES</t>
  </si>
  <si>
    <t>Identifies the country where the client pays taxes.</t>
  </si>
  <si>
    <t>Código que identifica o país onde o cliente paga impostos.</t>
  </si>
  <si>
    <t>PS_PAI_ADI_TRIB -&gt; TAT03_PAISES</t>
  </si>
  <si>
    <t>Date when the tax residency started .</t>
  </si>
  <si>
    <t>Data de início do domicílio fiscal .</t>
  </si>
  <si>
    <t>PS_PAI_ADI_TRIB</t>
  </si>
  <si>
    <t>N1420_FEULTACT</t>
  </si>
  <si>
    <r>
      <rPr>
        <b/>
        <sz val="11"/>
        <color rgb="FF000000"/>
        <rFont val="Calibri"/>
        <family val="2"/>
        <scheme val="minor"/>
      </rPr>
      <t xml:space="preserve">SELECT </t>
    </r>
    <r>
      <rPr>
        <sz val="11"/>
        <color rgb="FF000000"/>
        <rFont val="Calibri"/>
        <family val="2"/>
        <scheme val="minor"/>
      </rPr>
      <t xml:space="preserve">IF(TRIM( PS_PAI_ADI_TRIB.N1420_FEULTACT ) = '', NULL, PS_PAI_ADI_TRIB.N1420_FEULTACT )
</t>
    </r>
    <r>
      <rPr>
        <b/>
        <sz val="11"/>
        <color rgb="FF000000"/>
        <rFont val="Calibri"/>
        <family val="2"/>
        <scheme val="minor"/>
      </rPr>
      <t xml:space="preserve">SELECT </t>
    </r>
    <r>
      <rPr>
        <sz val="11"/>
        <color rgb="FF000000"/>
        <rFont val="Calibri"/>
        <family val="2"/>
        <scheme val="minor"/>
      </rPr>
      <t>NULL</t>
    </r>
  </si>
  <si>
    <t>FEULTACT</t>
  </si>
  <si>
    <t>Data de referência dos dados.</t>
  </si>
  <si>
    <t>PS_PAI_ADI_TRIB
PERS_JCA_INT</t>
  </si>
  <si>
    <t>DATA_DATE_PART
DATA_DATE_PART</t>
  </si>
  <si>
    <r>
      <rPr>
        <b/>
        <sz val="11"/>
        <color rgb="FF000000"/>
        <rFont val="Calibri"/>
        <family val="2"/>
        <scheme val="minor"/>
      </rPr>
      <t xml:space="preserve">SELECT </t>
    </r>
    <r>
      <rPr>
        <sz val="11"/>
        <color rgb="FF000000"/>
        <rFont val="Calibri"/>
        <family val="2"/>
        <scheme val="minor"/>
      </rPr>
      <t xml:space="preserve">PS_PAI_ADI_TRIB.DATA_DATE_PART
</t>
    </r>
    <r>
      <rPr>
        <b/>
        <sz val="11"/>
        <color rgb="FF000000"/>
        <rFont val="Calibri"/>
        <family val="2"/>
        <scheme val="minor"/>
      </rPr>
      <t xml:space="preserve">SELECT </t>
    </r>
    <r>
      <rPr>
        <sz val="11"/>
        <color rgb="FF000000"/>
        <rFont val="Calibri"/>
        <family val="2"/>
        <scheme val="minor"/>
      </rPr>
      <t>PERS_JCA_INT.DATA_DATE_PART</t>
    </r>
  </si>
  <si>
    <t>Entity Income Statement</t>
  </si>
  <si>
    <t>entity_income_statement</t>
  </si>
  <si>
    <r>
      <t>SELECT</t>
    </r>
    <r>
      <rPr>
        <sz val="11"/>
        <color rgb="FF000000"/>
        <rFont val="Calibri"/>
        <family val="2"/>
      </rPr>
      <t xml:space="preserve"> LPAD ( TAT01_CLIENTES.ZCLIENTE, 10, '0' )
</t>
    </r>
    <r>
      <rPr>
        <b/>
        <sz val="11"/>
        <color rgb="FF000000"/>
        <rFont val="Calibri"/>
        <family val="2"/>
      </rPr>
      <t xml:space="preserve">WHERE </t>
    </r>
    <r>
      <rPr>
        <sz val="11"/>
        <color rgb="FF000000"/>
        <rFont val="Calibri"/>
        <family val="2"/>
      </rPr>
      <t>PERS_JCA_INT.E2085_TIPO_PERS = 'J'</t>
    </r>
  </si>
  <si>
    <t>Report Year</t>
  </si>
  <si>
    <t>report_year</t>
  </si>
  <si>
    <t>*Ano em que a informação foi reportada/produzida.</t>
  </si>
  <si>
    <t>CURATED_INTERNAL_MAINFRAME_MAGICO</t>
  </si>
  <si>
    <t>DANO</t>
  </si>
  <si>
    <r>
      <t xml:space="preserve">SELECT </t>
    </r>
    <r>
      <rPr>
        <sz val="11"/>
        <color rgb="FF000000"/>
        <rFont val="Calibri"/>
        <family val="2"/>
      </rPr>
      <t xml:space="preserve">IF( TRIM( MAT21_DEMZCLIA.DANO ) = '',  NULL, MAT21_DEMZCLIA.DANO )
</t>
    </r>
    <r>
      <rPr>
        <b/>
        <sz val="11"/>
        <color rgb="FF000000"/>
        <rFont val="Calibri"/>
        <family val="2"/>
      </rPr>
      <t>WHERE</t>
    </r>
    <r>
      <rPr>
        <sz val="11"/>
        <color rgb="FF000000"/>
        <rFont val="Calibri"/>
        <family val="2"/>
      </rPr>
      <t xml:space="preserve"> PERS_JCA_INT.E2085_TIPO_PERS = 'J'</t>
    </r>
  </si>
  <si>
    <t xml:space="preserve">*Data de inicio da demonstração de resultados </t>
  </si>
  <si>
    <t>CURATED_INTERNAL_MAINFRAME_MAGICO
COMMON_REFERENCEDATA_CORE</t>
  </si>
  <si>
    <t>MAT21_DEMZCLIA
PARAM_GENERAL_CODE_CONVERTER</t>
  </si>
  <si>
    <t xml:space="preserve">DINICIO
TARGET_VALUE </t>
  </si>
  <si>
    <r>
      <rPr>
        <b/>
        <sz val="11"/>
        <color rgb="FF000000"/>
        <rFont val="Calibri"/>
        <family val="2"/>
      </rPr>
      <t>SELECT</t>
    </r>
    <r>
      <rPr>
        <sz val="11"/>
        <color rgb="FF000000"/>
        <rFont val="Calibri"/>
        <family val="2"/>
      </rPr>
      <t xml:space="preserve">
     CASE
          WHEN ( IF( TRIM ( MAT21_DEMZCLIA.DINICIO ) = '', NULL, MAT21_DEMZCLIA.DINICIO ) ) = '0001-01-01'  THEN PARAM_GENERAL_CODE_CONVERTER.TARGET_VALUE
          ELSE ( IF ( TRIM ( MAT21_DEMZCLIA.DINICIO ) = '',  NULL, MAT21_DEMZCLIA.DINICIO ) )
</t>
    </r>
    <r>
      <rPr>
        <b/>
        <sz val="11"/>
        <color rgb="FF000000"/>
        <rFont val="Calibri"/>
        <family val="2"/>
      </rPr>
      <t>WHERE</t>
    </r>
    <r>
      <rPr>
        <sz val="11"/>
        <color rgb="FF000000"/>
        <rFont val="Calibri"/>
        <family val="2"/>
      </rPr>
      <t xml:space="preserve"> PARAM_GENERAL_CODE_CONVERTER.TARGET_FIELD = 'start_date'
     AND PARAM_GENERAL_CODE_CONVERTER.SOURCE_CODE = 'CL'
     AND PARAM_GENERAL_CODE_CONVERTER.SOURCE_VALUE = IF ( TRIM (  MAT21_DEMZCLIA.DINICIO ) = '',  NULL,  MAT21_DEMZCLIA.DINICIO )
     AND PARAM_GENERAL_CODE_CONVERTER.OPTION_NUMBER = '1'
     AND PERS_JCA_INT.E2085_TIPO_PERS = 'J'</t>
    </r>
  </si>
  <si>
    <t>DINICIO</t>
  </si>
  <si>
    <t>End Date</t>
  </si>
  <si>
    <t>end_date</t>
  </si>
  <si>
    <t>*Data de fim da demonstração de resultados</t>
  </si>
  <si>
    <t xml:space="preserve">DFIM
TARGET_VALUE </t>
  </si>
  <si>
    <r>
      <t xml:space="preserve">SELECT
     CASE
          WHEN ( IF( TRIM ( MAT21_DEMZCLIA.DFIM ) = '', NULL, MAT21_DEMZCLIA.DFIM ) ) = '9999-12-31'  THEN PARAM_GENERAL_CODE_CONVERTER.TARGET_VALUE
          ELSE ( IF ( TRIM ( MAT21_DEMZCLIA.DFIM ) = '' ,  NULL,  MAT21_DEMZCLIA.DFIM ) )
</t>
    </r>
    <r>
      <rPr>
        <b/>
        <sz val="11"/>
        <color rgb="FF000000"/>
        <rFont val="Calibri"/>
        <family val="2"/>
      </rPr>
      <t>WHERE</t>
    </r>
    <r>
      <rPr>
        <sz val="11"/>
        <color rgb="FF000000"/>
        <rFont val="Calibri"/>
        <family val="2"/>
      </rPr>
      <t xml:space="preserve"> PARAM_GENERAL_CODE_CONVERTER.TARGET_FIELD = 'end_date'
     AND PARAM_GENERAL_CODE_CONVERTER.SOURCE_CODE = 'CL'
     AND PARAM_GENERAL_CODE_CONVERTER.SOURCE_VALUE = IF ( TRIM (  MAT21_DEMZCLIA.DFIM ) = '',  NULL,  MAT21_DEMZCLIA.DFIM )
     AND PARAM_GENERAL_CODE_CONVERTER.OPTION_NUMBER = '1'
     AND PERS_JCA_INT.E2085_TIPO_PERS = 'J'</t>
    </r>
  </si>
  <si>
    <t>DFIM</t>
  </si>
  <si>
    <t>Consolidation Type</t>
  </si>
  <si>
    <t>consolidation_type</t>
  </si>
  <si>
    <t>ITIPINF</t>
  </si>
  <si>
    <r>
      <rPr>
        <b/>
        <sz val="11"/>
        <color rgb="FF000000"/>
        <rFont val="Calibri"/>
        <family val="2"/>
      </rPr>
      <t xml:space="preserve">SELECT </t>
    </r>
    <r>
      <rPr>
        <sz val="11"/>
        <color rgb="FF000000"/>
        <rFont val="Calibri"/>
        <family val="2"/>
      </rPr>
      <t xml:space="preserve">IF( TRIM( MAT21_DEMZCLIA.ITIPINF ) = '',  NULL ,  MAT21_DEMZCLIA.ITIPINF )
</t>
    </r>
    <r>
      <rPr>
        <b/>
        <sz val="11"/>
        <color rgb="FF000000"/>
        <rFont val="Calibri"/>
        <family val="2"/>
      </rPr>
      <t>WHERE</t>
    </r>
    <r>
      <rPr>
        <sz val="11"/>
        <color rgb="FF000000"/>
        <rFont val="Calibri"/>
        <family val="2"/>
      </rPr>
      <t xml:space="preserve"> PERS_JCA_INT.E2085_TIPO_PERS = 'J'</t>
    </r>
  </si>
  <si>
    <t>Frequency Code</t>
  </si>
  <si>
    <t>frequency_code</t>
  </si>
  <si>
    <t>*Indica a periodicidade com que os dados financeiros são reportados</t>
  </si>
  <si>
    <t xml:space="preserve">N/A
TARGET_VALUE </t>
  </si>
  <si>
    <r>
      <t xml:space="preserve">SELECT </t>
    </r>
    <r>
      <rPr>
        <sz val="11"/>
        <color rgb="FF000000"/>
        <rFont val="Calibri"/>
        <family val="2"/>
      </rPr>
      <t>PARAM_GENERAL_CODE_CONVERTER.TARGET_VALUE</t>
    </r>
    <r>
      <rPr>
        <b/>
        <sz val="11"/>
        <color rgb="FF000000"/>
        <rFont val="Calibri"/>
        <family val="2"/>
      </rPr>
      <t xml:space="preserve">
WHERE </t>
    </r>
    <r>
      <rPr>
        <sz val="11"/>
        <color rgb="FF000000"/>
        <rFont val="Calibri"/>
        <family val="2"/>
      </rPr>
      <t>PARAM_GENERAL_CODE_CONVERTER.SOURCE_CODE = 'CL'
     AND PARAM_GENERAL_CODE_CONVERTER.TARGET_FIELD = 'frequency_code'
     AND PARAM_GENERAL_CODE_CONVERTER.SOURCE_VALUE = IF (TRIM ( MAT21_DEMZCLIA.CPERIOD) = '',  NULL, MAT21_DEMZCLIA.CPERIOD )
     AND PARAM_GENERAL_CODE_CONVERTER.OPTION_NUMBER = '1'
     AND PERS_JCA_INT.E2085_TIPO_PERS = 'J'</t>
    </r>
  </si>
  <si>
    <t>CPERIOD</t>
  </si>
  <si>
    <t>Currency Code</t>
  </si>
  <si>
    <t>currency_code</t>
  </si>
  <si>
    <r>
      <t xml:space="preserve">SELECT </t>
    </r>
    <r>
      <rPr>
        <sz val="11"/>
        <color rgb="FF000000"/>
        <rFont val="Calibri"/>
        <family val="2"/>
      </rPr>
      <t xml:space="preserve">IF ( TRIM ( MAT21_DEMZCLIA.CMOEDA ) =  '',  NULL ,  MAT21_DEMZCLIA.CMOEDA )
</t>
    </r>
    <r>
      <rPr>
        <b/>
        <sz val="11"/>
        <color rgb="FF000000"/>
        <rFont val="Calibri"/>
        <family val="2"/>
      </rPr>
      <t>WHERE</t>
    </r>
    <r>
      <rPr>
        <sz val="11"/>
        <color rgb="FF000000"/>
        <rFont val="Calibri"/>
        <family val="2"/>
      </rPr>
      <t xml:space="preserve"> PERS_JCA_INT.E2085_TIPO_PERS = 'J'</t>
    </r>
  </si>
  <si>
    <t>*Montante do EBITDA da entidade, ou seja, o lucro antes de juros, impostos, depreciações e amortizações.</t>
  </si>
  <si>
    <t>MEBE</t>
  </si>
  <si>
    <r>
      <t xml:space="preserve">SELECT </t>
    </r>
    <r>
      <rPr>
        <sz val="11"/>
        <color rgb="FF000000"/>
        <rFont val="Calibri"/>
        <family val="2"/>
      </rPr>
      <t xml:space="preserve">IF ( TRIM ( MAT21_DEMZCLIA.MEBE = '',  NULL,  CAST(MAT21_DEMZCLIA.MEBE AS DECIMAL (23,6) )
</t>
    </r>
    <r>
      <rPr>
        <b/>
        <sz val="11"/>
        <color rgb="FF000000"/>
        <rFont val="Calibri"/>
        <family val="2"/>
      </rPr>
      <t>WHERE</t>
    </r>
    <r>
      <rPr>
        <sz val="11"/>
        <color rgb="FF000000"/>
        <rFont val="Calibri"/>
        <family val="2"/>
      </rPr>
      <t xml:space="preserve"> PERS_JCA_INT.E2085_TIPO_PERS = 'J'</t>
    </r>
  </si>
  <si>
    <t>MVDSRPRE</t>
  </si>
  <si>
    <r>
      <t xml:space="preserve">SELECT </t>
    </r>
    <r>
      <rPr>
        <sz val="11"/>
        <color rgb="FF000000"/>
        <rFont val="Calibri"/>
        <family val="2"/>
      </rPr>
      <t xml:space="preserve">IF ( TRIM ( MAT21_DEMZCLIA.MVDSRPRE ) = '', NULL, CAST ( MAT21_DEMZCLIA.MVDSRPRE AS DECIMAL (23,6) )
</t>
    </r>
    <r>
      <rPr>
        <b/>
        <sz val="11"/>
        <color rgb="FF000000"/>
        <rFont val="Calibri"/>
        <family val="2"/>
      </rPr>
      <t>WHERE</t>
    </r>
    <r>
      <rPr>
        <sz val="11"/>
        <color rgb="FF000000"/>
        <rFont val="Calibri"/>
        <family val="2"/>
      </rPr>
      <t xml:space="preserve"> PERS_JCA_INT.E2085_TIPO_PERS = 'J'</t>
    </r>
  </si>
  <si>
    <r>
      <t>SELECT</t>
    </r>
    <r>
      <rPr>
        <sz val="11"/>
        <color rgb="FF000000"/>
        <rFont val="Calibri"/>
        <family val="2"/>
      </rPr>
      <t xml:space="preserve"> IF ( TRIM ( MAT21_DEMZCLIA.NEMPGE ) = '', NULL, CAST ( MAT21_DEMZCLIA.NEMPGE AS INT ) )
</t>
    </r>
    <r>
      <rPr>
        <b/>
        <sz val="11"/>
        <color rgb="FF000000"/>
        <rFont val="Calibri"/>
        <family val="2"/>
      </rPr>
      <t>WHERE</t>
    </r>
    <r>
      <rPr>
        <sz val="11"/>
        <color rgb="FF000000"/>
        <rFont val="Calibri"/>
        <family val="2"/>
      </rPr>
      <t xml:space="preserve"> PERS_JCA_INT.E2085_TIPO_PERS = 'J'</t>
    </r>
  </si>
  <si>
    <t>Source Code</t>
  </si>
  <si>
    <t>source_code</t>
  </si>
  <si>
    <t>Tec - Code</t>
  </si>
  <si>
    <r>
      <t xml:space="preserve">SELECT </t>
    </r>
    <r>
      <rPr>
        <sz val="11"/>
        <color rgb="FF000000"/>
        <rFont val="Calibri"/>
        <family val="2"/>
      </rPr>
      <t xml:space="preserve">'CL'
</t>
    </r>
    <r>
      <rPr>
        <b/>
        <sz val="11"/>
        <color rgb="FF000000"/>
        <rFont val="Calibri"/>
        <family val="2"/>
      </rPr>
      <t>WHERE</t>
    </r>
    <r>
      <rPr>
        <sz val="11"/>
        <color rgb="FF000000"/>
        <rFont val="Calibri"/>
        <family val="2"/>
      </rPr>
      <t xml:space="preserve"> PERS_JCA_INT.E2085_TIPO_PERS = 'J'</t>
    </r>
  </si>
  <si>
    <t>"CL"</t>
  </si>
  <si>
    <r>
      <t xml:space="preserve">SELECT </t>
    </r>
    <r>
      <rPr>
        <sz val="11"/>
        <color rgb="FF000000"/>
        <rFont val="Calibri"/>
        <family val="2"/>
      </rPr>
      <t xml:space="preserve">PERS_JCA_INT.DATA_DATE_PART
</t>
    </r>
    <r>
      <rPr>
        <b/>
        <sz val="11"/>
        <color rgb="FF000000"/>
        <rFont val="Calibri"/>
        <family val="2"/>
      </rPr>
      <t>WHERE</t>
    </r>
    <r>
      <rPr>
        <sz val="11"/>
        <color rgb="FF000000"/>
        <rFont val="Calibri"/>
        <family val="2"/>
      </rPr>
      <t xml:space="preserve"> PERS_JCA_INT.E2085_TIPO_PERS = 'J'</t>
    </r>
  </si>
  <si>
    <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PERS_JCA_INT.E2085_TIPO_PERS = 'J'</t>
    </r>
  </si>
  <si>
    <t>Entity Cashflow</t>
  </si>
  <si>
    <t>entity_cashflow</t>
  </si>
  <si>
    <r>
      <rPr>
        <b/>
        <sz val="11"/>
        <color rgb="FF000000"/>
        <rFont val="Calibri"/>
        <family val="2"/>
      </rPr>
      <t xml:space="preserve">SELECT </t>
    </r>
    <r>
      <rPr>
        <sz val="11"/>
        <color rgb="FF000000"/>
        <rFont val="Calibri"/>
        <family val="2"/>
      </rPr>
      <t xml:space="preserve"> LPAD( TAT01_CLIENTES.ZCLIENTE, 10, '0' ) AS STRING
</t>
    </r>
    <r>
      <rPr>
        <b/>
        <sz val="11"/>
        <color rgb="FF000000"/>
        <rFont val="Calibri"/>
        <family val="2"/>
      </rPr>
      <t xml:space="preserve">WHERE </t>
    </r>
    <r>
      <rPr>
        <sz val="11"/>
        <color rgb="FF000000"/>
        <rFont val="Calibri"/>
        <family val="2"/>
      </rPr>
      <t>PERS_JCA_INT.E2085_TIPO_PERS = 'J'</t>
    </r>
  </si>
  <si>
    <r>
      <rPr>
        <b/>
        <sz val="11"/>
        <color rgb="FF000000"/>
        <rFont val="Calibri"/>
        <family val="2"/>
      </rPr>
      <t xml:space="preserve">SELECT </t>
    </r>
    <r>
      <rPr>
        <sz val="11"/>
        <color rgb="FF000000"/>
        <rFont val="Calibri"/>
        <family val="2"/>
      </rPr>
      <t xml:space="preserve">IF ( TRIM ( MAT11_CASHFLOW.DANO ) = '', NULL, MAT11_CASHFLOW.DANO )
</t>
    </r>
    <r>
      <rPr>
        <b/>
        <sz val="11"/>
        <color rgb="FF000000"/>
        <rFont val="Calibri"/>
        <family val="2"/>
      </rPr>
      <t xml:space="preserve">WHERE </t>
    </r>
    <r>
      <rPr>
        <sz val="11"/>
        <color rgb="FF000000"/>
        <rFont val="Calibri"/>
        <family val="2"/>
      </rPr>
      <t>PERS_JCA_INT.E2085_TIPO_PERS = 'J'</t>
    </r>
  </si>
  <si>
    <t>MAT11_CASHFLOW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</si>
  <si>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'currency_code'
     AND PARAM_GENERAL_CODE_CONVERTER.SOURCE_CODE = 'CL'
     AND PARAM_GENERAL_CODE_CONVERTER.SOURCE_VALUE = ''
     AND PARAM_GENERAL_CODE_CONVERTER.OPTION_NUMBER = '1'
     AND PERS_JCA_INT.E2085_TIPO_PERS = 'J' </t>
    </r>
  </si>
  <si>
    <t>"978"</t>
  </si>
  <si>
    <r>
      <rPr>
        <b/>
        <sz val="11"/>
        <color rgb="FF000000"/>
        <rFont val="Calibri"/>
        <family val="2"/>
      </rPr>
      <t xml:space="preserve">SELECT </t>
    </r>
    <r>
      <rPr>
        <sz val="11"/>
        <color rgb="FF000000"/>
        <rFont val="Calibri"/>
        <family val="2"/>
      </rPr>
      <t xml:space="preserve">IF ( TRIM ( MAT11_CASHFLOW.MFREECF) = '', NULL, CAST ( MAT11_CASHFLOW.MFREECF AS DECIMAL ( 23, 6 ) ) )
</t>
    </r>
    <r>
      <rPr>
        <b/>
        <sz val="11"/>
        <color rgb="FF000000"/>
        <rFont val="Calibri"/>
        <family val="2"/>
      </rPr>
      <t xml:space="preserve">WHERE </t>
    </r>
    <r>
      <rPr>
        <sz val="11"/>
        <color rgb="FF000000"/>
        <rFont val="Calibri"/>
        <family val="2"/>
      </rPr>
      <t>PERS_JCA_INT.E2085_TIPO_PERS = 'J'</t>
    </r>
  </si>
  <si>
    <t>MFREECF (liga por zcligrupo)</t>
  </si>
  <si>
    <r>
      <rPr>
        <b/>
        <sz val="11"/>
        <color rgb="FF000000"/>
        <rFont val="Calibri"/>
        <family val="2"/>
      </rPr>
      <t xml:space="preserve">SELECT </t>
    </r>
    <r>
      <rPr>
        <sz val="11"/>
        <color rgb="FF000000"/>
        <rFont val="Calibri"/>
        <family val="2"/>
      </rPr>
      <t>'CL'</t>
    </r>
  </si>
  <si>
    <r>
      <rPr>
        <b/>
        <sz val="11"/>
        <color rgb="FF000000"/>
        <rFont val="Calibri"/>
        <family val="2"/>
      </rPr>
      <t xml:space="preserve">SELECT </t>
    </r>
    <r>
      <rPr>
        <sz val="11"/>
        <color rgb="FF000000"/>
        <rFont val="Calibri"/>
        <family val="2"/>
      </rPr>
      <t xml:space="preserve">MAT11_CASHFLOW.DATA_DATE_PART
</t>
    </r>
    <r>
      <rPr>
        <b/>
        <sz val="11"/>
        <color rgb="FF000000"/>
        <rFont val="Calibri"/>
        <family val="2"/>
      </rPr>
      <t xml:space="preserve">WHERE </t>
    </r>
    <r>
      <rPr>
        <sz val="11"/>
        <color rgb="FF000000"/>
        <rFont val="Calibri"/>
        <family val="2"/>
      </rPr>
      <t>PERS_JCA_INT.E2085_TIPO_PERS = 'J'</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</si>
  <si>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PERS_JCA_INT.E2085_TIPO_PERS = 'J'</t>
    </r>
  </si>
  <si>
    <t>Entity Balance Sheet</t>
  </si>
  <si>
    <t>entity_balance_sheet</t>
  </si>
  <si>
    <r>
      <t>SELECT</t>
    </r>
    <r>
      <rPr>
        <sz val="11"/>
        <color rgb="FF000000"/>
        <rFont val="Calibri"/>
        <family val="2"/>
      </rPr>
      <t xml:space="preserve"> LPAD( TAT01_CLIENTES.ZCLIENTE, 10, '0' )
</t>
    </r>
    <r>
      <rPr>
        <b/>
        <sz val="11"/>
        <color rgb="FF000000"/>
        <rFont val="Calibri"/>
        <family val="2"/>
      </rPr>
      <t xml:space="preserve">WHERE </t>
    </r>
    <r>
      <rPr>
        <sz val="11"/>
        <color rgb="FF000000"/>
        <rFont val="Calibri"/>
        <family val="2"/>
      </rPr>
      <t>PERS_JCA_INT.E2085_TIPO_PERS = 'J'</t>
    </r>
  </si>
  <si>
    <r>
      <t xml:space="preserve">SELECT </t>
    </r>
    <r>
      <rPr>
        <sz val="11"/>
        <color rgb="FF000000"/>
        <rFont val="Calibri"/>
        <family val="2"/>
      </rPr>
      <t>IF(TRIM(MAT18_BALZCLIA.DANO) = '', NULL, MAT18_BALZCLIA.DANO)</t>
    </r>
    <r>
      <rPr>
        <b/>
        <sz val="11"/>
        <color rgb="FF000000"/>
        <rFont val="Calibri"/>
        <family val="2"/>
      </rPr>
      <t xml:space="preserve">
WHERE </t>
    </r>
    <r>
      <rPr>
        <sz val="11"/>
        <color rgb="FF000000"/>
        <rFont val="Calibri"/>
        <family val="2"/>
      </rPr>
      <t xml:space="preserve">PERS_JCA_INT.E2085_TIPO_PERS = 'J' </t>
    </r>
  </si>
  <si>
    <t>Data de início do balanço financeiro.</t>
  </si>
  <si>
    <t>MAT18_BALZCLIA
PARAM_GENERAL_CODE_CONVERTER</t>
  </si>
  <si>
    <t>DINICIO
TARGET_VALUE</t>
  </si>
  <si>
    <r>
      <t xml:space="preserve">SELECT
     </t>
    </r>
    <r>
      <rPr>
        <sz val="11"/>
        <color rgb="FF000000"/>
        <rFont val="Calibri"/>
        <family val="2"/>
      </rPr>
      <t>CASE
          WHEN (IF(TRIM(MAT18_BALZCLIA.DINICIO) = '', NULL, MAT18_BALZCLIA.DINICIO)) = '0001-01-01' THEN PARAM_GENERAL_CODE_CONVERTER.TARGET_VALUE
          ELSE (IF(TRIM(MAT18_BALZCLIA.DINICIO) = '', NULL, MAT18_BALZCLIA.DINICIO))</t>
    </r>
    <r>
      <rPr>
        <b/>
        <sz val="11"/>
        <color rgb="FF000000"/>
        <rFont val="Calibri"/>
        <family val="2"/>
      </rPr>
      <t xml:space="preserve">
WHERE </t>
    </r>
    <r>
      <rPr>
        <sz val="11"/>
        <color rgb="FF000000"/>
        <rFont val="Calibri"/>
        <family val="2"/>
      </rPr>
      <t>PARAM_GENERAL_CODE_CONVERTER.SOURCE_CODE = 'CL'
     AND PARAM_GENERAL_CODE_CONVERTER.TARGET_FIELD = 'start_date'
     AND PARAM_GENERAL_CODE_CONVERTER.SOURCE_VALUE = IF(TRIM(MAT18_BALZCLIA.DINICIO) = '', NULL, MAT18_BALZCLIA.DINICIO)
     AND PARAM_GENERAL_CODE_CONVERTER.OPTION_NUMBER = '1'
     AND PERS_JCA_INT.E2085_TIPO_PERS = 'J'</t>
    </r>
  </si>
  <si>
    <t>Data de fim do balanço financeiro.</t>
  </si>
  <si>
    <r>
      <t>SELECT</t>
    </r>
    <r>
      <rPr>
        <sz val="11"/>
        <color rgb="FF000000"/>
        <rFont val="Calibri"/>
        <family val="2"/>
      </rPr>
      <t xml:space="preserve">
    CASE
        WHEN IF ( TRIM ( MAT18_BALZCLIA.DFIM ) = '', NULL, MAT18_BALZCLIA.DFIM ) = '9999-12-31' THEN PARAM_GENERAL_CODE_CONVERTER.TARGET_VALUE
        ELSE IF(TRIM(MAT18_BALZCLIA.DFIM) = '', NULL, MAT18_BALZCLIA.DFIM)</t>
    </r>
    <r>
      <rPr>
        <b/>
        <sz val="11"/>
        <color rgb="FF000000"/>
        <rFont val="Calibri"/>
        <family val="2"/>
      </rPr>
      <t xml:space="preserve">
WHERE </t>
    </r>
    <r>
      <rPr>
        <sz val="11"/>
        <color rgb="FF000000"/>
        <rFont val="Calibri"/>
        <family val="2"/>
      </rPr>
      <t>PARAM_GENERAL_CODE_CONVERTER.SOURCE_CODE = 'CL'
    AND PARAM_GENERAL_CODE_CONVERTER.TARGET_FIELD = 'end_date'
    AND PARAM_GENERAL_CODE_CONVERTER.SOURCE_VALUE = IF ( TRIM( MAT18_BALZCLIA.DFIM ) = '', NULL, MAT18_BALZCLIA.DFIM )
    AND PARAM_GENERAL_CODE_CONVERTER.OPTION_NUMBER = '1'
    AND PERS_JCA_INT.E2085_TIPO_PERS = 'J'</t>
    </r>
  </si>
  <si>
    <t>Report Scope Code</t>
  </si>
  <si>
    <t>Report_scope_code</t>
  </si>
  <si>
    <r>
      <rPr>
        <b/>
        <sz val="11"/>
        <color rgb="FF000000"/>
        <rFont val="Calibri"/>
        <family val="2"/>
      </rPr>
      <t xml:space="preserve">SELECT </t>
    </r>
    <r>
      <rPr>
        <sz val="11"/>
        <color rgb="FF000000"/>
        <rFont val="Calibri"/>
        <family val="2"/>
      </rPr>
      <t xml:space="preserve">IF(TRIM(MAT18_BALZCLIA.ITIPINF) = '', NULL, MAT18_BALZCLIA.ITIPINF)
</t>
    </r>
    <r>
      <rPr>
        <b/>
        <sz val="11"/>
        <color rgb="FF000000"/>
        <rFont val="Calibri"/>
        <family val="2"/>
      </rPr>
      <t xml:space="preserve">WHERE </t>
    </r>
    <r>
      <rPr>
        <sz val="11"/>
        <color rgb="FF000000"/>
        <rFont val="Calibri"/>
        <family val="2"/>
      </rPr>
      <t xml:space="preserve">PERS_JCA_INT.E2085_TIPO_PERS = 'J' </t>
    </r>
  </si>
  <si>
    <t>Indica a periodicidade com que os dados financeiros são reportados.</t>
  </si>
  <si>
    <r>
      <t xml:space="preserve">SELECT </t>
    </r>
    <r>
      <rPr>
        <sz val="11"/>
        <color rgb="FF000000"/>
        <rFont val="Calibri"/>
        <family val="2"/>
      </rPr>
      <t>PARAM_GENERAL_CODE_CONVERTER.TARGET_VALUE</t>
    </r>
    <r>
      <rPr>
        <b/>
        <sz val="11"/>
        <color rgb="FF000000"/>
        <rFont val="Calibri"/>
        <family val="2"/>
      </rPr>
      <t xml:space="preserve">
WHERE </t>
    </r>
    <r>
      <rPr>
        <sz val="11"/>
        <color rgb="FF000000"/>
        <rFont val="Calibri"/>
        <family val="2"/>
      </rPr>
      <t>PARAM_GENERAL_CODE_CONVERTER.SOURCE_CODE = 'CL'
     AND PARAM_GENERAL_CODE_CONVERTER.TARGET_FIELD = 'frequency_code'
     AND PARAM_GENERAL_CODE_CONVERTER.SOURCE_VALUE = IF(TRIM(MAT18_BALZCLIA.CPERIOD) = '', NULL, MAT18_BALZCLIA.CPERIOD)
     AND PARAM_GENERAL_CODE_CONVERTER.OPTION_NUMBER = '1'
     AND PERS_JCA_INT.E2085_TIPO_PERS = 'J'</t>
    </r>
  </si>
  <si>
    <r>
      <t xml:space="preserve">SELECT </t>
    </r>
    <r>
      <rPr>
        <sz val="11"/>
        <color rgb="FF000000"/>
        <rFont val="Calibri"/>
        <family val="2"/>
      </rPr>
      <t>IF(TRIM(MAT18_BALZCLIA.CMOEDA) = '', NULL, MAT18_BALZCLIA.CMOEDA)</t>
    </r>
    <r>
      <rPr>
        <b/>
        <sz val="11"/>
        <color rgb="FF000000"/>
        <rFont val="Calibri"/>
        <family val="2"/>
      </rPr>
      <t xml:space="preserve">
WHERE </t>
    </r>
    <r>
      <rPr>
        <sz val="11"/>
        <color rgb="FF000000"/>
        <rFont val="Calibri"/>
        <family val="2"/>
      </rPr>
      <t>PERS_JCA_INT.E2085_TIPO_PERS = 'J'</t>
    </r>
  </si>
  <si>
    <t>MCPCAPR</t>
  </si>
  <si>
    <r>
      <t xml:space="preserve">SELECT </t>
    </r>
    <r>
      <rPr>
        <sz val="11"/>
        <color rgb="FF000000"/>
        <rFont val="Calibri"/>
        <family val="2"/>
      </rPr>
      <t xml:space="preserve">IF(TRIM(MAT18_BALZCLIA.MCPCAPR) = '', NULL, CAST(MAT18_BALZCLIA.MCPCAPR AS DECIMAL(23,6)))
</t>
    </r>
    <r>
      <rPr>
        <b/>
        <sz val="11"/>
        <color rgb="FF000000"/>
        <rFont val="Calibri"/>
        <family val="2"/>
      </rPr>
      <t>WHERE</t>
    </r>
    <r>
      <rPr>
        <sz val="11"/>
        <color rgb="FF000000"/>
        <rFont val="Calibri"/>
        <family val="2"/>
      </rPr>
      <t xml:space="preserve"> PERS_JCA_INT.E2085_TIPO_PERS = 'J'</t>
    </r>
  </si>
  <si>
    <t>Total Assets Amount</t>
  </si>
  <si>
    <t>total_assets_amount</t>
  </si>
  <si>
    <t>MTOTACT</t>
  </si>
  <si>
    <r>
      <rPr>
        <b/>
        <sz val="11"/>
        <color rgb="FF000000"/>
        <rFont val="Calibri"/>
        <family val="2"/>
      </rPr>
      <t xml:space="preserve">SELECT </t>
    </r>
    <r>
      <rPr>
        <sz val="11"/>
        <color rgb="FF000000"/>
        <rFont val="Calibri"/>
        <family val="2"/>
      </rPr>
      <t xml:space="preserve">IF(TRIM(MAT18_BALZCLIA.MTOTACT) = '', NULL, CAST(MAT18_BALZCLIA.MTOTACT AS DECIMAL(23,6)))
</t>
    </r>
    <r>
      <rPr>
        <b/>
        <sz val="11"/>
        <color rgb="FF000000"/>
        <rFont val="Calibri"/>
        <family val="2"/>
      </rPr>
      <t xml:space="preserve">WHERE </t>
    </r>
    <r>
      <rPr>
        <sz val="11"/>
        <color rgb="FF000000"/>
        <rFont val="Calibri"/>
        <family val="2"/>
      </rPr>
      <t>PERS_JCA_INT.E2085_TIPO_PERS = 'J'</t>
    </r>
  </si>
  <si>
    <t>Obrigações financeiras de uma entidade empresarial que vencem e são pagáveis no prazo de um ano.</t>
  </si>
  <si>
    <r>
      <t xml:space="preserve">SELECT </t>
    </r>
    <r>
      <rPr>
        <sz val="11"/>
        <color rgb="FF000000"/>
        <rFont val="Calibri"/>
        <family val="2"/>
      </rPr>
      <t xml:space="preserve">IF(TRIM(MAT18_BALZCLIA.MPCTOT ) = '', NULL, CAST(MAT18_BALZCLIA.MPCTOT AS DECIMAL(23,6)))
</t>
    </r>
    <r>
      <rPr>
        <b/>
        <sz val="11"/>
        <color rgb="FF000000"/>
        <rFont val="Calibri"/>
        <family val="2"/>
      </rPr>
      <t>WHERE</t>
    </r>
    <r>
      <rPr>
        <sz val="11"/>
        <color rgb="FF000000"/>
        <rFont val="Calibri"/>
        <family val="2"/>
      </rPr>
      <t xml:space="preserve"> PERS_JCA_INT.E2085_TIPO_PERS = 'J'</t>
    </r>
  </si>
  <si>
    <t>Obrigações financeiras de uma entidade empresarial que não vencem em mais de um ano.</t>
  </si>
  <si>
    <r>
      <t xml:space="preserve">SELECT </t>
    </r>
    <r>
      <rPr>
        <sz val="11"/>
        <color rgb="FF000000"/>
        <rFont val="Calibri"/>
        <family val="2"/>
      </rPr>
      <t xml:space="preserve">IF(TRIM(MAT18_BALZCLIA.MPNTOT) = '', NULL, CAST(MAT18_BALZCLIA.MPNTOT AS DECIMAL(23,6)))
</t>
    </r>
    <r>
      <rPr>
        <b/>
        <sz val="11"/>
        <color rgb="FF000000"/>
        <rFont val="Calibri"/>
        <family val="2"/>
      </rPr>
      <t>WHERE</t>
    </r>
    <r>
      <rPr>
        <sz val="11"/>
        <color rgb="FF000000"/>
        <rFont val="Calibri"/>
        <family val="2"/>
      </rPr>
      <t xml:space="preserve"> PERS_JCA_INT.E2085_TIPO_PERS = 'J'</t>
    </r>
  </si>
  <si>
    <t> </t>
  </si>
  <si>
    <t>Identifier of the Santander's application that generated the information. For example, EP for loans, CRT for cards, etc.</t>
  </si>
  <si>
    <t>Código da aplicação fonte, isto é, aplicação técnica que gerou o resgisto.</t>
  </si>
  <si>
    <r>
      <t xml:space="preserve">SELECT </t>
    </r>
    <r>
      <rPr>
        <sz val="11"/>
        <color rgb="FF000000"/>
        <rFont val="Calibri"/>
        <family val="2"/>
      </rPr>
      <t>MAT18_BALZCLIA.DATA_DATE_PART</t>
    </r>
    <r>
      <rPr>
        <b/>
        <sz val="11"/>
        <color rgb="FF000000"/>
        <rFont val="Calibri"/>
        <family val="2"/>
      </rPr>
      <t xml:space="preserve">
WHERE</t>
    </r>
    <r>
      <rPr>
        <sz val="11"/>
        <color rgb="FF000000"/>
        <rFont val="Calibri"/>
        <family val="2"/>
      </rPr>
      <t xml:space="preserve"> PERS_JCA_INT.E2085_TIPO_PERS = 'J'</t>
    </r>
  </si>
  <si>
    <r>
      <t xml:space="preserve">SELECT </t>
    </r>
    <r>
      <rPr>
        <sz val="11"/>
        <color rgb="FF000000"/>
        <rFont val="Calibri"/>
        <family val="2"/>
      </rPr>
      <t>NOW()</t>
    </r>
    <r>
      <rPr>
        <b/>
        <sz val="11"/>
        <color rgb="FF000000"/>
        <rFont val="Calibri"/>
        <family val="2"/>
      </rPr>
      <t xml:space="preserve">
WHERE</t>
    </r>
    <r>
      <rPr>
        <sz val="11"/>
        <color rgb="FF000000"/>
        <rFont val="Calibri"/>
        <family val="2"/>
      </rPr>
      <t xml:space="preserve"> PERS_JCA_INT.E2085_TIPO_PERS = 'J'</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</si>
  <si>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</si>
  <si>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</si>
  <si>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</si>
  <si>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</si>
  <si>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</si>
  <si>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</si>
  <si>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</si>
  <si>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curated_internal_mainframe_clientes</t>
  </si>
  <si>
    <t>crs_classif</t>
  </si>
  <si>
    <t>crs_classif.r4084_cod_pers = crs_classif.cod_pers and crs_classif.r4084_tipo_pers = crs_classif.tipo_pers and crs_classif.r4084_nr_seq = crs_classif.max( r4084_nr_seq )</t>
  </si>
  <si>
    <t>inner</t>
  </si>
  <si>
    <t>pers_jca_int</t>
  </si>
  <si>
    <t>curated_internal_mainframe_estruturais</t>
  </si>
  <si>
    <t>tat01_clientes</t>
  </si>
  <si>
    <t>pers_jca_int.e2085_tipo_pers = tat01_clientes.tipo_pers and pers_jca_int.e2085_cod_pers = lpad( tat01_clientes.cod_pers, 9, '0' )</t>
  </si>
  <si>
    <t>cliente_segmen2</t>
  </si>
  <si>
    <t>pers_jca_int.e2085_tipo_pers = cliente_segmen2.e0840_tipopers and pers_jca_int.e2085_cod_pers = cliente_segmen2.e0840_codpers
where cliente_segmen2.e0840_fecbaj = '9999-12-31' and  cliente_segmen2.e0840_cdsegmen = '10' and  cliente_segmen2.e0840_codseg IN ('SU', 'IU', 'PN', 'NP')</t>
  </si>
  <si>
    <t>left</t>
  </si>
  <si>
    <t>pers_jca_int.e2085_cod_pers = crs_classif.r4084_cod_pers and pers_jca_int.e2085_tipo_pers = crs_classif.r4084_tipo_pers</t>
  </si>
  <si>
    <t>tat03_paises</t>
  </si>
  <si>
    <t>pers_jca_int.e2085_pais_nacio = tat03_paises.cpais_p</t>
  </si>
  <si>
    <t>clt45_fcli</t>
  </si>
  <si>
    <t>lpad( tat01_clientes.zcliente, 10, '0' ) = clt45_fcli.zcliente</t>
  </si>
  <si>
    <t>operations_common_referencedata_core</t>
  </si>
  <si>
    <t>entity_universe</t>
  </si>
  <si>
    <t>lpad( tat01_clientes.zcliente, 10, '0' ) = entity_universe.party_id AND entity_universe.party_alive_indicator = 1 AND entity_universe.source_code = 'CL'</t>
  </si>
  <si>
    <t>clt46_fcliemp</t>
  </si>
  <si>
    <t>lpad( tat01_clientes.zcliente, 10, '0' ) = clt46_fcliemp.zcliente AND ctl46_fcliemp.cempresa = '31'</t>
  </si>
  <si>
    <t>domic_pers_int</t>
  </si>
  <si>
    <t>tat01_clientes.tipo_pers = domic_pers_int.e0710_tipo_pers and lpad(tat01_clientes.cod_pers, 9, '0') = domic_pers_int.e0710_cod_pers</t>
  </si>
  <si>
    <t>rel_tip_dom_his</t>
  </si>
  <si>
    <t>domic_pers_int.e0710_tipo_per = rel_tip_dom_his.e0712_tipo_per and domic_pers_int.e0710_cod_pers = lpad(rel_tip_dom_his.e0712_cod_pers,   9, '0') and domic_pers_int.e0710_nrodom = rel_tip_dom_his.e0712_nrodom</t>
  </si>
  <si>
    <t>domic_pers_int.e0710_cod_pais = tat03_paises.cpais_p</t>
  </si>
  <si>
    <t>dir_electronica</t>
  </si>
  <si>
    <t>dir_electronica.dire_tipopers = tat01_clientes.tipo_pers and dir_electronica.dire_codpers = LPAD(tat01_clientes.cod_pers, 9, '0')</t>
  </si>
  <si>
    <t>tat01_clientes.tipo_pers = pers_jca_int.e2085_tipo_pers and lpad(tat01_clientes.cod_pers, 9, '0') = pers_jca_int.e2085_cod_pers</t>
  </si>
  <si>
    <t>clt47_fclimarc</t>
  </si>
  <si>
    <t>clt47_fclimarc.zcliente = lpad(tat01_clientes.zcliente, 10, '0' )</t>
  </si>
  <si>
    <t>econom_jcas_int</t>
  </si>
  <si>
    <t>pers_jca_int.e2085_tipo_pers = econom_jcas_int.e8727_tipo_pers and pers_jca_int.e2085_cod_pers = econom_jcas_int.e8727_cod_pers</t>
  </si>
  <si>
    <t>jca_adicio_t02</t>
  </si>
  <si>
    <t>pers_jca_int.e2085_tipo_pers = jca_adicio_t02.e2090_tipo_pers and pers_jca_int.e2085_cod_pers = jca_adicio_t02.e2090_cod_pers</t>
  </si>
  <si>
    <t>clt50_zcligrupo</t>
  </si>
  <si>
    <t>tat01_clientes.zcliente = clt50_zcligrupo.zcliente</t>
  </si>
  <si>
    <t>curated_internal_mainframe_magico</t>
  </si>
  <si>
    <t>mat21_demzclia</t>
  </si>
  <si>
    <t>clt50.zcligrupo = mat21_demzclia.zcligrupo and mat21_demzclia.dano = YEAR(  CASE
          WHEN econom_jcas_int.e8727_cod_pers IS NULL THEN IF(TRIM(adic.e2090_fec_ultact) = '', NULL, jca_adicio_t02.e2090_fec_ultact)
          WHEN jca_adicio_t02.e2090_cod_pers IS NULL THEN IF(TRIM(econom_jcas_int.e8727_fec_ultact) = '', NULL, econom_jcas_int.e8727_fec_ultact)
          ELSE GREATEST(econom_jcas_int.e2090_fec_ultact, econom_jcas_int.e8727_fec_ultact))</t>
  </si>
  <si>
    <t>pers_documento_01</t>
  </si>
  <si>
    <t>tat01_clientes.tipo_pers = pers_documento_01.e0515_tipo_per and lpad(tat01_clientes.cod_pers, 9, '0') = pers_documento_01.e0515_cod_pers</t>
  </si>
  <si>
    <t>pers_documento_01.e0515_cpaisdoc = tat03_paises.cpais_p</t>
  </si>
  <si>
    <t>tat17_ctipdoc</t>
  </si>
  <si>
    <t>pers_documento_01.e0515_itipdocu = tat17_ctipdoc.itipdocu</t>
  </si>
  <si>
    <t>mc_cliente</t>
  </si>
  <si>
    <t>tat01_clientes.tipo_pers = mc_cliente.o3647_tipopers and lpad(tat01_clientes.cod_pers, 9, '0') = mc_cliente.o3647_codpers</t>
  </si>
  <si>
    <t>tat01_clientes.tipo_pers = pers_jca_int.e2085_tipo_pers AND LPAD(tat01_clientes.cod_pers, 9, '0') = pers_jca_int.e2085_cod_pers</t>
  </si>
  <si>
    <t>pers_jca_int.e2085_paisresi= tat03_paises.cpais_p</t>
  </si>
  <si>
    <t>ps_pai_adi_trib</t>
  </si>
  <si>
    <t>ps_pai_adi_trib.n1420_tipo_per = tat01_clientes.tipo_pers and ps_pai_adi_trib.n1420_cod_pers = lpad( tat01_clientes.cod_pers, 9, '0' )</t>
  </si>
  <si>
    <t>pers_jca_int.e2085_tipo_pers = ps_pai_adi_trib.n1420_tipo_per and pers_jca_int.e2085_cod_pers  = ps_pai_adi_trib.n1420_cod_pers</t>
  </si>
  <si>
    <t>ps_pai_adi_trib.n1420_cod_pais = tat03_paises.cpais_p</t>
  </si>
  <si>
    <t>lpad( tat01_clientes.zcliente, 10, '0' ) = entity_universe.party_id and 'cl' = entity_universe.source_code
and  entity_universe.party_alive_indicator = '1'</t>
  </si>
  <si>
    <t>vias_pt(1)</t>
  </si>
  <si>
    <t>SUBSTRING(domic_pers_int.e0710_dom_desc_text, 222, 4) = vias_pt(1).zona
AND SUBSTRING(domic_pers_int.e0710_dom_desc_text, 226, 3) = vias_pt(1).codcomp and domic_pers_int.e0710_fmto_dom = 'DP'
AND ROW_NUMBER() OVER (
    PARTITION BY (vias_pt(1).zona, vias_pt(1).codcomp)
    ORDER BY 
        COUNT(*) GROUP BY ( vias_pt.zona, vias_pt.codcomp, vias_pt.coddis, vias_pt.codcon, vias_pt.fregna DESC,
        vias_pt(1).fregna ASC
) = 1
AND vias_pt(1).data_date_part = MAX(vias_pt.data_date_part)</t>
  </si>
  <si>
    <t>vias_pt(2)</t>
  </si>
  <si>
    <t>SUBSTRING(domic_pers_int.e0710_dom_desc_text, 61, 4) = vias_pt(2).zona
AND SUBSTRING(domic_pers_int.e0710_dom_desc_text, 65, 3) = vias_pt(2).codcomp and domic_pers_int.e0710_fmto_dom = 'AP'
AND ROW_NUMBER() OVER (
    PARTITION BY (vias_pt(2).zona, vias_pt(2).codcomp)
    ORDER BY 
        COUNT(*) GROUP BY ( vias_pt.zona, vias_pt.codcomp, vias_pt.coddis, vias_pt.codcon, vias_pt.fregna DESC,
        vias_pt(2).fregna ASC
) = 1
AND vias_pt(2).data_date_part = MAX(vias_pt.data_date_part)</t>
  </si>
  <si>
    <t>tat91_tabelas_new(1)</t>
  </si>
  <si>
    <t>concat(vias_pt(1).coddis,  vias_pt(1).codcon,  vias_pt(1).fregna) = trim(tat91_tabelas_new(1).tayd91c0_celemtab)</t>
  </si>
  <si>
    <t>tat91_tabelas_new(2)</t>
  </si>
  <si>
    <t>concat(vias_pt(2).coddis,  vias_pt(2).codcon,  vias_pt(2).fregna) = trim(tat91_tabelas_new(2).tayd91c0_celemtab)</t>
  </si>
  <si>
    <t>lpad( tat01_clientes.zcliente, 10, '0' ) = entity_universe.party_id AND entity_universe.party_alive_indicator = '1' AND entity_universe.source_code = 'CL'</t>
  </si>
  <si>
    <t>tat91_tabelas_new</t>
  </si>
  <si>
    <t>pers_jca_int.e2085_cnae93 = SUBSTRING(tat91_tabelas_new.tayd91c0_nelemc09, 1, 5)</t>
  </si>
  <si>
    <t>lpad(tat01_clientes.zcliente, 10, '0') = entity_universe.party_id and 'cl' = entity_universe.source_code
and  entity_universe.party_alive_indicator = '1'</t>
  </si>
  <si>
    <t>tat21_moeda(1)</t>
  </si>
  <si>
    <t>econ_jcas_int.e8727_codmone5 = tat21_moeda(1).codmon</t>
  </si>
  <si>
    <t>tat21_moeda(2)</t>
  </si>
  <si>
    <t>econ_jcas_int.e8727_codmone1 = tat21_moeda(2).codmon</t>
  </si>
  <si>
    <t>clt61_cnincid</t>
  </si>
  <si>
    <t>lpad(clt61_cnincid.zcliente, 10, '0' ) = entity_universe.party_id and 'CL' = entity_universe.source_code
and  entity_universe.party_alive_indicator = '1'</t>
  </si>
  <si>
    <t>lpad(tat01_clientes.zcliente, 10, '0') = entity_universe.party_id and 'CL' = entity_universe.source_code
and  entity_universe.party_alive_indicator = '1'</t>
  </si>
  <si>
    <t>tat01_clientes.tipo_pers = pers_jca_jur.e2085_tipo_pers
        AND LPAD(tat01_clientes.cod_pers, 9, '0') = pers_jca_jur.e2085_cod_pers</t>
  </si>
  <si>
    <t>curated_internal_mainframe_exclientes</t>
  </si>
  <si>
    <t>gdt01_controlo</t>
  </si>
  <si>
    <t>gdt01.tipo_pers = tat01.tipo_pers
        AND gdt01.cod_pers = LPAD(tat01.cod_pers, 9, '0')</t>
  </si>
  <si>
    <t>lpad( tat01_clientes.zcliente, 10, '0' ) = clt50_zcligrupo.zcliente</t>
  </si>
  <si>
    <t>mat18_balzclia</t>
  </si>
  <si>
    <t>clt50_zcligrupo.zcligrupo = mat18_balzclia.zcligrupo</t>
  </si>
  <si>
    <t>clt50_zcligrupo.zcligrupo = mat21_demzclia.zcligrupo</t>
  </si>
  <si>
    <t>mat11_cashflow</t>
  </si>
  <si>
    <t>clt50_zcligrupo.zcligrupo = mat11_cashflow.zcligrupo</t>
  </si>
  <si>
    <t>NOME FÍSICO BD FONTE</t>
  </si>
  <si>
    <t>NOME FÍSICO TABELA FONTE</t>
  </si>
  <si>
    <t>REGRA DE ATAQUE</t>
  </si>
  <si>
    <t>DESCRIÇÃO ESTADOS CONSIDERADOS</t>
  </si>
  <si>
    <t>DESCRIÇÃO ESTADOS DESCONSIDERADOS</t>
  </si>
  <si>
    <t xml:space="preserve">pers_jca_int.e2085_cod_pers and pers_jca_int.e2085_tipo_pers exists ( tat01_clientes.tipo_pers and tat01_clientes.cod_pers )
and pers_jca_int.e2085_cod_pers and pers_jca_int.e2085_tipo_pers not exists ( gdt01_controlo.tipo_pers and gdt01_controlo.cod_pers ) </t>
  </si>
  <si>
    <t>N/A</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</si>
  <si>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pers_jca_int.e2085_cod_pers and pers_jca_int.e2085_tipo_pers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</si>
  <si>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pers_jca_int.e2085_cod_pers and pers_jca_int.e2085_tipo_pers )</t>
  </si>
  <si>
    <t>pers_jca_int.e2085_cod_pers and pers_jca_int.e2085_tipo_pers not exists ( gdt01_controlo.tipo_pers and gdt01_controlo.cod_pers )
and and pers_jca_int.e2085_cod_pers and pers_jca_int.e2085_tipo_pers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</si>
  <si>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pers_jca_int.e2085_cod_pers and pers_jca_int.e2085_tipo_pers )</t>
  </si>
  <si>
    <t>clt61_cnincid.zcliente not exists ( gdt01_controlo.tipo_pers and gdt01_controlo.cod_pers )
and clt61_cnincid.zcliente exists ( clt61_cnincid.zcliente  )
and clt61_cnincid.zcliente exists ( pers_jca_int.e2085_cod_pers and pers_jca_int.e2085_tipo_pers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</si>
  <si>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pers_jca_int.e2085_cod_pers and pers_jca_int.e2085_tipo_pers )</t>
  </si>
  <si>
    <r>
      <rPr>
        <b/>
        <sz val="11"/>
        <color rgb="FF000000"/>
        <rFont val="Calibri"/>
        <family val="2"/>
        <scheme val="minor"/>
      </rPr>
      <t xml:space="preserve">SELECT </t>
    </r>
    <r>
      <rPr>
        <sz val="11"/>
        <color rgb="FF000000"/>
        <rFont val="Calibri"/>
        <family val="2"/>
        <scheme val="minor"/>
      </rPr>
      <t xml:space="preserve">ROW_NUMBER () OVER (PARTITION BY party_id, country_code ORDER BY start_date DESC) AS rn 
</t>
    </r>
    <r>
      <rPr>
        <b/>
        <sz val="11"/>
        <color rgb="FF000000"/>
        <rFont val="Calibri"/>
        <family val="2"/>
        <scheme val="minor"/>
      </rPr>
      <t xml:space="preserve">FROM </t>
    </r>
    <r>
      <rPr>
        <sz val="11"/>
        <color rgb="FF000000"/>
        <rFont val="Calibri"/>
        <family val="2"/>
        <scheme val="minor"/>
      </rPr>
      <t xml:space="preserve">TOTAL_UNIVERSE
</t>
    </r>
    <r>
      <rPr>
        <b/>
        <sz val="11"/>
        <color rgb="FF000000"/>
        <rFont val="Calibri"/>
        <family val="2"/>
        <scheme val="minor"/>
      </rPr>
      <t xml:space="preserve">WHERE </t>
    </r>
    <r>
      <rPr>
        <sz val="11"/>
        <color rgb="FF000000"/>
        <rFont val="Calibri"/>
        <family val="2"/>
        <scheme val="minor"/>
      </rPr>
      <t>rn = 1</t>
    </r>
  </si>
  <si>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pers_jca_int.e2085_cod_pers and pers_jca_int.e2085_tipo_pers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</si>
</sst>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rgb="FF000000"/>
      <name val="Calibri"/>
      <family val="2"/>
    </font>
    <font>
      <sz val="11"/>
      <name val="Calibri"/>
      <family val="2"/>
    </font>
    <font>
      <b/>
      <sz val="11"/>
      <color rgb="FF000000"/>
      <name val="Calibri"/>
      <family val="2"/>
      <scheme val="minor"/>
    </font>
    <font>
      <b/>
      <sz val="11"/>
      <color rgb="FF000000"/>
      <name val="Calibri"/>
      <family val="2"/>
    </font>
    <font>
      <b/>
      <sz val="11"/>
      <color rgb="FFFF0000"/>
      <name val="Calibri"/>
      <family val="2"/>
      <scheme val="minor"/>
    </font>
    <font>
      <sz val="11"/>
      <color theme="1"/>
      <name val="Calibri"/>
      <family val="2"/>
    </font>
    <font>
      <sz val="11"/>
      <color rgb="FFFF0000"/>
      <name val="Calibri"/>
      <family val="2"/>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DDEBF7"/>
        <bgColor rgb="FF000000"/>
      </patternFill>
    </fill>
    <fill>
      <patternFill patternType="solid">
        <fgColor theme="5" tint="0.79998168889431442"/>
        <bgColor indexed="64"/>
      </patternFill>
    </fill>
  </fills>
  <borders count="21">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15">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1" fillId="4" borderId="10" xfId="0" applyFont="1" applyFill="1" applyBorder="1" applyAlignment="1">
      <alignment horizontal="center" vertical="center"/>
    </xf>
    <xf numFmtId="0" fontId="17"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23" fillId="0" borderId="13" xfId="0" applyFont="1" applyBorder="1" applyAlignment="1">
      <alignment horizontal="left" vertical="center" indent="1"/>
    </xf>
    <xf numFmtId="0" fontId="0" fillId="0" borderId="14" xfId="0" applyBorder="1" applyAlignment="1">
      <alignment horizontal="left" vertical="center"/>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0" xfId="0" applyAlignment="1" applyProtection="1">
      <alignment horizontal="left" vertical="center" wrapText="1"/>
      <protection locked="0"/>
    </xf>
    <xf numFmtId="0" fontId="0" fillId="0" borderId="15" xfId="0" applyBorder="1" applyAlignment="1">
      <alignment horizontal="left" vertical="center"/>
    </xf>
    <xf numFmtId="0" fontId="31" fillId="0" borderId="14" xfId="0" applyFont="1" applyBorder="1" applyAlignment="1">
      <alignment vertical="center"/>
    </xf>
    <xf numFmtId="0" fontId="30" fillId="0" borderId="14" xfId="0" applyFont="1" applyBorder="1" applyAlignment="1">
      <alignment horizontal="left" vertical="center" wrapText="1"/>
    </xf>
    <xf numFmtId="0" fontId="0" fillId="0" borderId="14" xfId="0" applyBorder="1" applyAlignment="1" applyProtection="1">
      <alignment horizontal="left" vertical="center"/>
      <protection locked="0"/>
    </xf>
    <xf numFmtId="0" fontId="0" fillId="0" borderId="16" xfId="0" applyBorder="1" applyAlignment="1">
      <alignment horizontal="left" vertical="center" wrapText="1"/>
    </xf>
    <xf numFmtId="0" fontId="31" fillId="0" borderId="17" xfId="0" applyFont="1" applyBorder="1" applyAlignment="1">
      <alignment horizontal="left" vertical="center"/>
    </xf>
    <xf numFmtId="0" fontId="31" fillId="0" borderId="0" xfId="0" applyFont="1" applyAlignment="1">
      <alignment vertical="center"/>
    </xf>
    <xf numFmtId="0" fontId="31" fillId="0" borderId="14" xfId="0" applyFont="1" applyBorder="1" applyAlignment="1">
      <alignment horizontal="left" vertical="center"/>
    </xf>
    <xf numFmtId="0" fontId="0" fillId="0" borderId="2" xfId="0" applyBorder="1" applyAlignment="1">
      <alignment vertical="center"/>
    </xf>
    <xf numFmtId="0" fontId="30" fillId="14" borderId="15" xfId="0" applyFont="1" applyFill="1" applyBorder="1" applyAlignment="1">
      <alignment horizontal="left" vertical="center"/>
    </xf>
    <xf numFmtId="0" fontId="30" fillId="14" borderId="15" xfId="0" applyFont="1" applyFill="1" applyBorder="1" applyAlignment="1">
      <alignment horizontal="left" vertical="center" wrapText="1"/>
    </xf>
    <xf numFmtId="0" fontId="30" fillId="14" borderId="14" xfId="0" applyFont="1" applyFill="1" applyBorder="1" applyAlignment="1">
      <alignment horizontal="left" vertical="center"/>
    </xf>
    <xf numFmtId="0" fontId="30" fillId="14" borderId="14" xfId="0" applyFont="1" applyFill="1" applyBorder="1" applyAlignment="1">
      <alignment horizontal="left" vertical="center" wrapText="1"/>
    </xf>
    <xf numFmtId="0" fontId="0" fillId="0" borderId="15" xfId="0" applyBorder="1" applyAlignment="1" applyProtection="1">
      <alignment horizontal="left" vertical="center"/>
      <protection locked="0"/>
    </xf>
    <xf numFmtId="0" fontId="30" fillId="14" borderId="2" xfId="0" applyFont="1" applyFill="1" applyBorder="1" applyAlignment="1">
      <alignment vertical="center"/>
    </xf>
    <xf numFmtId="0" fontId="30" fillId="14" borderId="2" xfId="0" applyFont="1" applyFill="1" applyBorder="1" applyAlignment="1">
      <alignment vertical="center" wrapText="1"/>
    </xf>
    <xf numFmtId="0" fontId="30" fillId="0" borderId="0" xfId="0" applyFont="1"/>
    <xf numFmtId="0" fontId="30" fillId="14" borderId="14" xfId="0" applyFont="1" applyFill="1" applyBorder="1" applyAlignment="1">
      <alignment vertical="center" wrapText="1"/>
    </xf>
    <xf numFmtId="0" fontId="0" fillId="0" borderId="2" xfId="0" applyBorder="1" applyProtection="1">
      <protection locked="0"/>
    </xf>
    <xf numFmtId="0" fontId="0" fillId="0" borderId="2" xfId="0" applyBorder="1" applyAlignment="1" applyProtection="1">
      <alignment horizontal="center" vertical="center" wrapText="1"/>
      <protection locked="0"/>
    </xf>
    <xf numFmtId="0" fontId="0" fillId="0" borderId="2" xfId="0" applyBorder="1" applyAlignment="1" applyProtection="1">
      <alignment vertical="center"/>
      <protection locked="0"/>
    </xf>
    <xf numFmtId="0" fontId="0" fillId="0" borderId="2" xfId="0" applyBorder="1" applyAlignment="1" applyProtection="1">
      <alignment horizontal="center" vertical="center"/>
      <protection locked="0"/>
    </xf>
    <xf numFmtId="0" fontId="0" fillId="0" borderId="2" xfId="0" applyBorder="1" applyAlignment="1" applyProtection="1">
      <alignment horizontal="left" vertical="center"/>
      <protection locked="0"/>
    </xf>
    <xf numFmtId="0" fontId="0" fillId="0" borderId="2" xfId="0" applyBorder="1" applyAlignment="1" applyProtection="1">
      <alignment vertical="center" wrapText="1"/>
      <protection locked="0"/>
    </xf>
    <xf numFmtId="0" fontId="0" fillId="0" borderId="2" xfId="0" applyBorder="1" applyAlignment="1" applyProtection="1">
      <alignment horizontal="left" vertical="center" wrapText="1"/>
      <protection locked="0"/>
    </xf>
    <xf numFmtId="0" fontId="18" fillId="0" borderId="2" xfId="0" applyFont="1" applyBorder="1" applyProtection="1">
      <protection locked="0"/>
    </xf>
    <xf numFmtId="0" fontId="18" fillId="0" borderId="2" xfId="0" applyFont="1" applyBorder="1" applyAlignment="1" applyProtection="1">
      <alignment horizontal="center" vertical="center" wrapText="1"/>
      <protection locked="0"/>
    </xf>
    <xf numFmtId="0" fontId="18" fillId="0" borderId="2" xfId="0" applyFont="1" applyBorder="1" applyAlignment="1" applyProtection="1">
      <alignment vertical="center"/>
      <protection locked="0"/>
    </xf>
    <xf numFmtId="0" fontId="18" fillId="0" borderId="2" xfId="0" applyFont="1" applyBorder="1" applyAlignment="1" applyProtection="1">
      <alignment horizontal="center" vertical="center"/>
      <protection locked="0"/>
    </xf>
    <xf numFmtId="0" fontId="18" fillId="0" borderId="2" xfId="0" applyFont="1" applyBorder="1" applyAlignment="1" applyProtection="1">
      <alignment horizontal="left" vertical="center"/>
      <protection locked="0"/>
    </xf>
    <xf numFmtId="0" fontId="18" fillId="0" borderId="2" xfId="0" applyFont="1" applyBorder="1" applyAlignment="1" applyProtection="1">
      <alignment vertical="center" wrapText="1"/>
      <protection locked="0"/>
    </xf>
    <xf numFmtId="0" fontId="18" fillId="0" borderId="2" xfId="0" applyFont="1" applyBorder="1" applyAlignment="1" applyProtection="1">
      <alignment horizontal="left" vertical="center" wrapText="1"/>
      <protection locked="0"/>
    </xf>
    <xf numFmtId="0" fontId="25" fillId="5" borderId="2" xfId="0" applyFont="1" applyFill="1" applyBorder="1" applyAlignment="1">
      <alignment horizontal="center" vertical="center" wrapText="1"/>
    </xf>
    <xf numFmtId="0" fontId="25" fillId="5"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wrapText="1"/>
    </xf>
    <xf numFmtId="0" fontId="30" fillId="0" borderId="2" xfId="0" applyFont="1" applyBorder="1" applyAlignment="1">
      <alignment vertical="center" wrapText="1"/>
    </xf>
    <xf numFmtId="0" fontId="0" fillId="13" borderId="2" xfId="0" applyFill="1" applyBorder="1" applyAlignment="1">
      <alignment vertical="center"/>
    </xf>
    <xf numFmtId="0" fontId="0" fillId="13" borderId="2" xfId="0" applyFill="1" applyBorder="1" applyAlignment="1">
      <alignment horizontal="center" vertical="center"/>
    </xf>
    <xf numFmtId="0" fontId="0" fillId="13" borderId="2" xfId="0" applyFill="1" applyBorder="1" applyAlignment="1">
      <alignment vertical="center" wrapText="1"/>
    </xf>
    <xf numFmtId="0" fontId="32" fillId="13" borderId="2" xfId="0" applyFont="1" applyFill="1" applyBorder="1" applyAlignment="1">
      <alignment vertical="center"/>
    </xf>
    <xf numFmtId="0" fontId="30" fillId="0" borderId="2" xfId="0" applyFont="1" applyBorder="1" applyAlignment="1" applyProtection="1">
      <alignment vertical="center" wrapText="1"/>
      <protection locked="0"/>
    </xf>
    <xf numFmtId="0" fontId="30" fillId="0" borderId="2" xfId="0" applyFont="1" applyBorder="1" applyAlignment="1">
      <alignment horizontal="center" vertical="center"/>
    </xf>
    <xf numFmtId="0" fontId="30" fillId="0" borderId="2" xfId="0" applyFont="1" applyBorder="1" applyAlignment="1">
      <alignment vertical="center"/>
    </xf>
    <xf numFmtId="0" fontId="36" fillId="0" borderId="2" xfId="0" applyFont="1" applyBorder="1" applyAlignment="1" applyProtection="1">
      <alignment vertical="center" wrapText="1"/>
      <protection locked="0"/>
    </xf>
    <xf numFmtId="0" fontId="0" fillId="6" borderId="2" xfId="0" applyFill="1" applyBorder="1" applyAlignment="1">
      <alignment vertical="center"/>
    </xf>
    <xf numFmtId="0" fontId="0" fillId="6" borderId="2" xfId="0" applyFill="1" applyBorder="1" applyAlignment="1" applyProtection="1">
      <alignment vertical="center" wrapText="1"/>
      <protection locked="0"/>
    </xf>
    <xf numFmtId="0" fontId="30" fillId="6" borderId="2" xfId="0" applyFont="1" applyFill="1" applyBorder="1" applyAlignment="1" applyProtection="1">
      <alignment vertical="center" wrapText="1"/>
      <protection locked="0"/>
    </xf>
    <xf numFmtId="0" fontId="0" fillId="6" borderId="2" xfId="0" applyFill="1" applyBorder="1" applyAlignment="1" applyProtection="1">
      <alignment vertical="center"/>
      <protection locked="0"/>
    </xf>
    <xf numFmtId="0" fontId="32" fillId="0" borderId="2" xfId="0" applyFont="1" applyBorder="1" applyAlignment="1">
      <alignment vertical="center" wrapText="1"/>
    </xf>
    <xf numFmtId="0" fontId="30" fillId="0" borderId="2" xfId="0" applyFont="1" applyBorder="1" applyAlignment="1">
      <alignment horizontal="center" vertical="center" wrapText="1"/>
    </xf>
    <xf numFmtId="0" fontId="0" fillId="15" borderId="2" xfId="0" applyFill="1" applyBorder="1" applyAlignment="1">
      <alignment vertical="center"/>
    </xf>
    <xf numFmtId="0" fontId="0" fillId="15" borderId="2" xfId="0" applyFill="1" applyBorder="1" applyAlignment="1">
      <alignment vertical="center" wrapText="1"/>
    </xf>
    <xf numFmtId="0" fontId="30" fillId="15" borderId="2" xfId="0" applyFont="1" applyFill="1" applyBorder="1" applyAlignment="1">
      <alignment vertical="center" wrapText="1"/>
    </xf>
    <xf numFmtId="0" fontId="0" fillId="15" borderId="2" xfId="0" applyFill="1" applyBorder="1" applyAlignment="1" applyProtection="1">
      <alignment vertical="center"/>
      <protection locked="0"/>
    </xf>
    <xf numFmtId="0" fontId="30" fillId="15" borderId="2" xfId="0" applyFont="1" applyFill="1" applyBorder="1" applyAlignment="1" applyProtection="1">
      <alignment vertical="center"/>
      <protection locked="0"/>
    </xf>
    <xf numFmtId="0" fontId="31" fillId="0" borderId="2" xfId="0" applyFont="1" applyBorder="1" applyAlignment="1">
      <alignment vertical="center"/>
    </xf>
    <xf numFmtId="0" fontId="0" fillId="13" borderId="2" xfId="0" applyFill="1" applyBorder="1" applyAlignment="1" applyProtection="1">
      <alignment horizontal="center" vertical="center"/>
      <protection locked="0"/>
    </xf>
    <xf numFmtId="0" fontId="34" fillId="14" borderId="2" xfId="0" applyFont="1" applyFill="1" applyBorder="1" applyAlignment="1">
      <alignment vertical="center" wrapText="1"/>
    </xf>
    <xf numFmtId="0" fontId="0" fillId="13" borderId="2" xfId="0" applyFill="1" applyBorder="1" applyAlignment="1" applyProtection="1">
      <alignment vertical="center"/>
      <protection locked="0"/>
    </xf>
    <xf numFmtId="0" fontId="31" fillId="14" borderId="2" xfId="0" applyFont="1" applyFill="1" applyBorder="1" applyAlignment="1">
      <alignment vertical="center" wrapText="1"/>
    </xf>
    <xf numFmtId="0" fontId="0" fillId="6" borderId="2" xfId="0" applyFill="1" applyBorder="1" applyAlignment="1" applyProtection="1">
      <alignment horizontal="center" vertical="center"/>
      <protection locked="0"/>
    </xf>
    <xf numFmtId="0" fontId="0" fillId="6" borderId="2" xfId="0" applyFill="1" applyBorder="1" applyAlignment="1" applyProtection="1">
      <alignment horizontal="left" vertical="center"/>
      <protection locked="0"/>
    </xf>
    <xf numFmtId="0" fontId="0" fillId="6" borderId="2" xfId="0" applyFill="1" applyBorder="1" applyProtection="1">
      <protection locked="0"/>
    </xf>
    <xf numFmtId="0" fontId="0" fillId="6" borderId="2" xfId="0" applyFill="1" applyBorder="1" applyAlignment="1">
      <alignment vertical="center" wrapText="1"/>
    </xf>
    <xf numFmtId="0" fontId="30" fillId="0" borderId="2" xfId="0" applyFont="1" applyBorder="1" applyAlignment="1">
      <alignment horizontal="left" vertical="center" wrapText="1"/>
    </xf>
    <xf numFmtId="0" fontId="30" fillId="0" borderId="2" xfId="0" applyFont="1" applyBorder="1" applyAlignment="1">
      <alignment horizontal="left" vertical="center" wrapText="1" readingOrder="1"/>
    </xf>
    <xf numFmtId="0" fontId="31" fillId="0" borderId="2" xfId="0" applyFont="1" applyBorder="1" applyAlignment="1" applyProtection="1">
      <alignment vertical="center" wrapText="1"/>
      <protection locked="0"/>
    </xf>
    <xf numFmtId="0" fontId="31" fillId="0" borderId="2" xfId="0" applyFont="1" applyBorder="1" applyAlignment="1">
      <alignment vertical="center" wrapText="1"/>
    </xf>
    <xf numFmtId="0" fontId="30" fillId="0" borderId="2" xfId="0" applyFont="1" applyBorder="1" applyAlignment="1">
      <alignment horizontal="left" vertical="center" readingOrder="1"/>
    </xf>
    <xf numFmtId="0" fontId="31" fillId="14" borderId="2" xfId="0" applyFont="1" applyFill="1" applyBorder="1" applyAlignment="1">
      <alignment vertical="center"/>
    </xf>
    <xf numFmtId="0" fontId="31" fillId="13" borderId="2" xfId="0" applyFont="1" applyFill="1" applyBorder="1" applyAlignment="1">
      <alignment vertical="center"/>
    </xf>
    <xf numFmtId="0" fontId="25" fillId="5" borderId="14" xfId="0" applyFont="1" applyFill="1" applyBorder="1" applyAlignment="1">
      <alignment horizontal="center" vertical="center" wrapText="1"/>
    </xf>
    <xf numFmtId="0" fontId="31" fillId="0" borderId="15" xfId="0" applyFont="1" applyBorder="1" applyAlignment="1">
      <alignment horizontal="left" vertical="center" wrapText="1"/>
    </xf>
    <xf numFmtId="0" fontId="30" fillId="14" borderId="6" xfId="0" applyFont="1" applyFill="1" applyBorder="1" applyAlignment="1">
      <alignment vertical="center" wrapText="1"/>
    </xf>
    <xf numFmtId="0" fontId="30" fillId="13" borderId="14" xfId="0" applyFont="1" applyFill="1" applyBorder="1" applyAlignment="1">
      <alignment horizontal="left" vertical="center" readingOrder="1"/>
    </xf>
    <xf numFmtId="0" fontId="30" fillId="13" borderId="14" xfId="0" applyFont="1" applyFill="1" applyBorder="1" applyAlignment="1">
      <alignment vertical="center" wrapText="1" readingOrder="1"/>
    </xf>
    <xf numFmtId="0" fontId="33" fillId="0" borderId="2" xfId="0" applyFont="1" applyBorder="1" applyAlignment="1">
      <alignment vertical="center" wrapText="1"/>
    </xf>
    <xf numFmtId="0" fontId="1" fillId="13" borderId="2" xfId="0" applyFont="1" applyFill="1" applyBorder="1" applyAlignment="1" applyProtection="1">
      <alignment vertical="center"/>
      <protection locked="0"/>
    </xf>
    <xf numFmtId="0" fontId="1" fillId="13" borderId="2" xfId="0" applyFont="1" applyFill="1" applyBorder="1" applyAlignment="1" applyProtection="1">
      <alignment horizontal="center" vertical="center"/>
      <protection locked="0"/>
    </xf>
    <xf numFmtId="0" fontId="1" fillId="13" borderId="2" xfId="0" applyFont="1" applyFill="1" applyBorder="1" applyAlignment="1" applyProtection="1">
      <alignment vertical="center" wrapText="1"/>
      <protection locked="0"/>
    </xf>
    <xf numFmtId="0" fontId="1" fillId="13" borderId="2" xfId="0" applyFont="1" applyFill="1" applyBorder="1" applyAlignment="1" applyProtection="1">
      <alignment horizontal="center" vertical="center" wrapText="1"/>
      <protection locked="0"/>
    </xf>
    <xf numFmtId="0" fontId="31" fillId="13" borderId="2" xfId="0" applyFont="1" applyFill="1" applyBorder="1" applyAlignment="1" applyProtection="1">
      <alignment vertical="center"/>
      <protection locked="0"/>
    </xf>
    <xf numFmtId="0" fontId="1" fillId="0" borderId="2" xfId="0" applyFont="1" applyBorder="1" applyAlignment="1">
      <alignment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2" xfId="0" applyFont="1" applyBorder="1" applyAlignment="1" applyProtection="1">
      <alignment vertical="center" wrapText="1"/>
      <protection locked="0"/>
    </xf>
    <xf numFmtId="0" fontId="1" fillId="0" borderId="2" xfId="0" applyFont="1" applyBorder="1" applyAlignment="1">
      <alignment vertical="center" wrapText="1"/>
    </xf>
    <xf numFmtId="0" fontId="31" fillId="0" borderId="2" xfId="0" applyFont="1" applyBorder="1" applyAlignment="1">
      <alignment horizontal="left" vertical="center" wrapText="1"/>
    </xf>
    <xf numFmtId="0" fontId="1" fillId="0" borderId="2" xfId="0" applyFont="1" applyBorder="1" applyAlignment="1">
      <alignment horizontal="center" vertical="center" wrapText="1"/>
    </xf>
    <xf numFmtId="0" fontId="1" fillId="0" borderId="2" xfId="0" applyFont="1" applyBorder="1" applyAlignment="1" applyProtection="1">
      <alignment horizontal="center" vertical="center"/>
      <protection locked="0"/>
    </xf>
    <xf numFmtId="0" fontId="1" fillId="13" borderId="2" xfId="0" applyFont="1" applyFill="1" applyBorder="1" applyAlignment="1">
      <alignment horizontal="left" vertical="center"/>
    </xf>
    <xf numFmtId="0" fontId="1" fillId="13" borderId="2" xfId="0" applyFont="1" applyFill="1" applyBorder="1" applyAlignment="1">
      <alignment horizontal="center" vertical="center"/>
    </xf>
    <xf numFmtId="0" fontId="31" fillId="13" borderId="2" xfId="0" applyFont="1" applyFill="1" applyBorder="1" applyAlignment="1">
      <alignment vertical="center" wrapText="1"/>
    </xf>
    <xf numFmtId="0" fontId="1" fillId="0" borderId="2" xfId="0" applyFont="1" applyBorder="1" applyAlignment="1" applyProtection="1">
      <alignment vertical="center"/>
      <protection locked="0"/>
    </xf>
    <xf numFmtId="0" fontId="1" fillId="0" borderId="2" xfId="0" applyFont="1" applyBorder="1" applyAlignment="1" applyProtection="1">
      <alignment horizontal="left" vertical="center"/>
      <protection locked="0"/>
    </xf>
    <xf numFmtId="0" fontId="1" fillId="0" borderId="2" xfId="0" applyFont="1" applyBorder="1" applyAlignment="1" applyProtection="1">
      <alignment horizontal="center" vertical="center" wrapText="1"/>
      <protection locked="0"/>
    </xf>
    <xf numFmtId="0" fontId="1" fillId="6" borderId="2" xfId="0" applyFont="1" applyFill="1" applyBorder="1" applyAlignment="1" applyProtection="1">
      <alignment vertical="center"/>
      <protection locked="0"/>
    </xf>
    <xf numFmtId="0" fontId="1" fillId="6" borderId="2" xfId="0" applyFont="1" applyFill="1" applyBorder="1" applyAlignment="1">
      <alignment vertical="center"/>
    </xf>
    <xf numFmtId="0" fontId="1" fillId="6" borderId="2" xfId="0" applyFont="1" applyFill="1" applyBorder="1" applyAlignment="1">
      <alignment horizontal="center" vertical="center"/>
    </xf>
    <xf numFmtId="0" fontId="1" fillId="6" borderId="2" xfId="0" applyFont="1" applyFill="1" applyBorder="1" applyAlignment="1" applyProtection="1">
      <alignment horizontal="center" vertical="center"/>
      <protection locked="0"/>
    </xf>
    <xf numFmtId="0" fontId="31" fillId="6" borderId="2" xfId="0" applyFont="1" applyFill="1" applyBorder="1" applyAlignment="1" applyProtection="1">
      <alignment vertical="center" wrapText="1"/>
      <protection locked="0"/>
    </xf>
    <xf numFmtId="0" fontId="1" fillId="6" borderId="2" xfId="0" applyFont="1" applyFill="1" applyBorder="1" applyAlignment="1" applyProtection="1">
      <alignment vertical="center" wrapText="1"/>
      <protection locked="0"/>
    </xf>
    <xf numFmtId="0" fontId="1" fillId="15" borderId="2" xfId="0" applyFont="1" applyFill="1" applyBorder="1" applyAlignment="1">
      <alignment vertical="center"/>
    </xf>
    <xf numFmtId="0" fontId="1" fillId="15" borderId="2" xfId="0" applyFont="1" applyFill="1" applyBorder="1" applyAlignment="1">
      <alignment horizontal="center" vertical="center"/>
    </xf>
    <xf numFmtId="0" fontId="1" fillId="15" borderId="2" xfId="0" applyFont="1" applyFill="1" applyBorder="1" applyAlignment="1">
      <alignment horizontal="left" vertical="center"/>
    </xf>
    <xf numFmtId="0" fontId="1" fillId="15" borderId="2" xfId="0" applyFont="1" applyFill="1" applyBorder="1" applyAlignment="1" applyProtection="1">
      <alignment vertical="center" wrapText="1"/>
      <protection locked="0"/>
    </xf>
    <xf numFmtId="0" fontId="1" fillId="15" borderId="2" xfId="0" applyFont="1" applyFill="1" applyBorder="1" applyAlignment="1" applyProtection="1">
      <alignment vertical="center"/>
      <protection locked="0"/>
    </xf>
    <xf numFmtId="0" fontId="1" fillId="15" borderId="2" xfId="0" applyFont="1" applyFill="1" applyBorder="1" applyAlignment="1">
      <alignment vertical="center" wrapText="1"/>
    </xf>
    <xf numFmtId="0" fontId="1" fillId="15" borderId="2" xfId="0" applyFont="1" applyFill="1" applyBorder="1" applyAlignment="1" applyProtection="1">
      <alignment horizontal="center" vertical="center"/>
      <protection locked="0"/>
    </xf>
    <xf numFmtId="0" fontId="1" fillId="15" borderId="2" xfId="0" applyFont="1" applyFill="1" applyBorder="1" applyAlignment="1" applyProtection="1">
      <alignment horizontal="left" vertical="center"/>
      <protection locked="0"/>
    </xf>
    <xf numFmtId="0" fontId="1" fillId="13" borderId="2" xfId="0" applyFont="1" applyFill="1" applyBorder="1" applyAlignment="1">
      <alignment vertical="center" wrapText="1"/>
    </xf>
    <xf numFmtId="0" fontId="1" fillId="13" borderId="2" xfId="0" applyFont="1" applyFill="1" applyBorder="1" applyAlignment="1" applyProtection="1">
      <alignment horizontal="left" vertical="center"/>
      <protection locked="0"/>
    </xf>
    <xf numFmtId="0" fontId="1" fillId="13" borderId="2" xfId="0" applyFont="1" applyFill="1" applyBorder="1" applyAlignment="1">
      <alignment vertical="center"/>
    </xf>
    <xf numFmtId="0" fontId="1" fillId="13" borderId="5" xfId="0" applyFont="1" applyFill="1" applyBorder="1" applyAlignment="1" applyProtection="1">
      <alignment vertical="center"/>
      <protection locked="0"/>
    </xf>
    <xf numFmtId="0" fontId="1" fillId="13" borderId="5" xfId="0" applyFont="1" applyFill="1" applyBorder="1" applyAlignment="1" applyProtection="1">
      <alignment horizontal="center" vertical="center"/>
      <protection locked="0"/>
    </xf>
    <xf numFmtId="0" fontId="1" fillId="13" borderId="18" xfId="0" applyFont="1" applyFill="1" applyBorder="1" applyAlignment="1" applyProtection="1">
      <alignment vertical="center" wrapText="1"/>
      <protection locked="0"/>
    </xf>
    <xf numFmtId="0" fontId="1" fillId="13" borderId="3" xfId="0" applyFont="1" applyFill="1" applyBorder="1" applyAlignment="1" applyProtection="1">
      <alignment vertical="center"/>
      <protection locked="0"/>
    </xf>
    <xf numFmtId="0" fontId="1" fillId="13" borderId="19" xfId="0" applyFont="1" applyFill="1" applyBorder="1" applyAlignment="1" applyProtection="1">
      <alignment vertical="center" wrapText="1"/>
      <protection locked="0"/>
    </xf>
    <xf numFmtId="0" fontId="1" fillId="13" borderId="14" xfId="0" applyFont="1" applyFill="1" applyBorder="1" applyAlignment="1" applyProtection="1">
      <alignment horizontal="center" vertical="center"/>
      <protection locked="0"/>
    </xf>
    <xf numFmtId="0" fontId="1" fillId="13" borderId="6" xfId="0" applyFont="1" applyFill="1" applyBorder="1" applyAlignment="1" applyProtection="1">
      <alignment horizontal="center" vertical="center"/>
      <protection locked="0"/>
    </xf>
    <xf numFmtId="0" fontId="1" fillId="0" borderId="14" xfId="0" applyFont="1" applyBorder="1" applyAlignment="1" applyProtection="1">
      <alignment horizontal="left" vertical="center"/>
      <protection locked="0"/>
    </xf>
    <xf numFmtId="0" fontId="1" fillId="0" borderId="14" xfId="0" applyFont="1" applyBorder="1" applyAlignment="1" applyProtection="1">
      <alignment vertical="center"/>
      <protection locked="0"/>
    </xf>
    <xf numFmtId="0" fontId="1" fillId="0" borderId="14" xfId="0" applyFont="1" applyBorder="1" applyAlignment="1">
      <alignment vertical="center"/>
    </xf>
    <xf numFmtId="0" fontId="1" fillId="0" borderId="14" xfId="0" applyFont="1" applyBorder="1" applyAlignment="1">
      <alignment horizontal="left" vertical="center"/>
    </xf>
    <xf numFmtId="0" fontId="1" fillId="0" borderId="15" xfId="0" applyFont="1" applyBorder="1" applyAlignment="1" applyProtection="1">
      <alignment horizontal="left" vertical="center"/>
      <protection locked="0"/>
    </xf>
    <xf numFmtId="0" fontId="1" fillId="0" borderId="15" xfId="0" applyFont="1" applyBorder="1" applyAlignment="1">
      <alignment horizontal="left" vertical="center"/>
    </xf>
    <xf numFmtId="0" fontId="0" fillId="15" borderId="2" xfId="0" applyFill="1" applyBorder="1" applyAlignment="1" applyProtection="1">
      <alignment vertical="center" wrapText="1"/>
      <protection locked="0"/>
    </xf>
    <xf numFmtId="0" fontId="0" fillId="0" borderId="14" xfId="0" applyBorder="1" applyAlignment="1">
      <alignment vertical="center"/>
    </xf>
    <xf numFmtId="0" fontId="31" fillId="14" borderId="20" xfId="0" applyFont="1" applyFill="1" applyBorder="1" applyAlignment="1">
      <alignment vertical="center"/>
    </xf>
    <xf numFmtId="0" fontId="31" fillId="14" borderId="6" xfId="0" applyFont="1" applyFill="1" applyBorder="1" applyAlignment="1">
      <alignment vertical="center" wrapText="1"/>
    </xf>
    <xf numFmtId="0" fontId="1" fillId="13" borderId="0" xfId="0" applyFont="1" applyFill="1" applyAlignment="1" applyProtection="1">
      <alignment vertical="center"/>
      <protection locked="0"/>
    </xf>
    <xf numFmtId="0" fontId="31" fillId="13" borderId="0" xfId="0" applyFont="1" applyFill="1" applyAlignment="1">
      <alignment horizontal="left" vertical="center" wrapText="1"/>
    </xf>
    <xf numFmtId="0" fontId="1" fillId="13" borderId="0" xfId="0" applyFont="1" applyFill="1" applyAlignment="1" applyProtection="1">
      <alignment horizontal="center" vertical="center"/>
      <protection locked="0"/>
    </xf>
    <xf numFmtId="0" fontId="1" fillId="13" borderId="2" xfId="0" applyFont="1" applyFill="1" applyBorder="1" applyAlignment="1">
      <alignment horizontal="left" vertical="center" wrapText="1"/>
    </xf>
    <xf numFmtId="0" fontId="31" fillId="15" borderId="2" xfId="0" applyFont="1" applyFill="1" applyBorder="1" applyAlignment="1">
      <alignment vertical="center" wrapText="1"/>
    </xf>
    <xf numFmtId="0" fontId="31" fillId="15" borderId="2" xfId="0" applyFont="1" applyFill="1" applyBorder="1" applyAlignment="1" applyProtection="1">
      <alignment vertical="center" wrapText="1"/>
      <protection locked="0"/>
    </xf>
    <xf numFmtId="0" fontId="34" fillId="15" borderId="2" xfId="0" applyFont="1" applyFill="1" applyBorder="1" applyAlignment="1">
      <alignment vertical="center" wrapText="1"/>
    </xf>
    <xf numFmtId="0" fontId="31" fillId="13" borderId="2" xfId="0" applyFont="1" applyFill="1" applyBorder="1" applyAlignment="1" applyProtection="1">
      <alignment vertical="center" wrapText="1"/>
      <protection locked="0"/>
    </xf>
    <xf numFmtId="0" fontId="34" fillId="13" borderId="2" xfId="0" applyFont="1" applyFill="1" applyBorder="1" applyAlignment="1" applyProtection="1">
      <alignment vertical="center" wrapText="1"/>
      <protection locked="0"/>
    </xf>
    <xf numFmtId="0" fontId="34" fillId="14" borderId="2" xfId="0" applyFont="1" applyFill="1" applyBorder="1" applyAlignment="1">
      <alignment horizontal="left" vertical="center" wrapText="1"/>
    </xf>
    <xf numFmtId="0" fontId="31" fillId="14" borderId="2" xfId="0" applyFont="1" applyFill="1" applyBorder="1" applyAlignment="1">
      <alignment horizontal="center" vertical="center"/>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2" xfId="0" applyFont="1" applyFill="1" applyBorder="1" applyAlignment="1" applyProtection="1">
      <alignment horizontal="center" vertical="center" wrapText="1"/>
      <protection locked="0"/>
    </xf>
    <xf numFmtId="0" fontId="24" fillId="12" borderId="2" xfId="0" applyFont="1" applyFill="1" applyBorder="1" applyAlignment="1" applyProtection="1">
      <alignment horizontal="center" vertical="center" wrapText="1" readingOrder="1"/>
      <protection locked="0"/>
    </xf>
    <xf numFmtId="0" fontId="24" fillId="3" borderId="2" xfId="0" applyFont="1" applyFill="1" applyBorder="1" applyAlignment="1" applyProtection="1">
      <alignment horizontal="center" vertical="center" wrapText="1" readingOrder="1"/>
      <protection locked="0"/>
    </xf>
    <xf numFmtId="0" fontId="24" fillId="11" borderId="2"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0">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outline="0">
        <left style="thin">
          <color indexed="64"/>
        </left>
        <right style="thin">
          <color indexed="64"/>
        </right>
        <top style="thin">
          <color indexed="64"/>
        </top>
        <bottom style="thin">
          <color indexed="64"/>
        </bottom>
      </border>
    </dxf>
    <dxf>
      <fill>
        <patternFill patternType="none">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svFilter filterId="{00000000-0009-0000-0100-000002000000}" ref="B7:X142" tableId="2"/>
  </namedSheetView>
  <namedSheetView name="View1" id="{2E3DF868-E69A-428D-BF38-EFF7E4AF9970}">
    <nsvFilter filterId="{00000000-0009-0000-0100-000002000000}" ref="B7:X142" tableId="2">
      <columnFilter colId="1" id="{00000000-0010-0000-0100-000002000000}">
        <filter colId="1">
          <x:filters>
            <x:filter val="Individual Client Management"/>
          </x:filters>
        </filter>
      </columnFilter>
      <sortRules>
        <sortRule colId="4" id="{00000000-0010-0000-0100-000003000000}">
          <sortCondition ref="F7:F142"/>
        </sortRule>
      </sortRules>
    </nsvFilter>
  </namedSheetView>
  <namedSheetView name="View2" id="{A356EF7B-031C-46F7-BF34-A9084742B9F7}">
    <nsvFilter filterId="{00000000-0009-0000-0100-000002000000}" ref="B7:X142" tableId="2"/>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15" totalsRowShown="0" headerRowBorderDxfId="58" tableBorderDxfId="59" totalsRowBorderDxfId="57">
  <autoFilter ref="B5:D15" xr:uid="{00000000-0009-0000-0100-000001000000}"/>
  <sortState xmlns:xlrd2="http://schemas.microsoft.com/office/spreadsheetml/2017/richdata2" ref="B6:D32">
    <sortCondition ref="C5:C32"/>
  </sortState>
  <tableColumns count="3">
    <tableColumn id="1" xr3:uid="{00000000-0010-0000-0000-000001000000}" name="SCHEMA" dataDxfId="56"/>
    <tableColumn id="2" xr3:uid="{00000000-0010-0000-0000-000002000000}" name="TABELA" dataDxfId="55"/>
    <tableColumn id="3" xr3:uid="{00000000-0010-0000-0000-000003000000}" name="DESCRIÇÃO" dataDxfId="5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X142" totalsRowShown="0" headerRowDxfId="53" dataDxfId="52" tableBorderDxfId="51">
  <autoFilter ref="B7:X142" xr:uid="{00000000-0009-0000-0100-000002000000}">
    <filterColumn colId="2">
      <filters>
        <filter val="entity_balance_sheet"/>
        <filter val="entity_cashflow"/>
        <filter val="entity_income_statement"/>
      </filters>
    </filterColumn>
  </autoFilter>
  <sortState xmlns:xlrd2="http://schemas.microsoft.com/office/spreadsheetml/2017/richdata2" ref="B8:X107">
    <sortCondition ref="I7:I107"/>
  </sortState>
  <tableColumns count="23">
    <tableColumn id="1" xr3:uid="{00000000-0010-0000-0100-000001000000}" name="NOME BD" dataDxfId="50"/>
    <tableColumn id="2" xr3:uid="{00000000-0010-0000-0100-000002000000}" name="NOME TABELA" dataDxfId="49"/>
    <tableColumn id="21" xr3:uid="{00000000-0010-0000-0100-000015000000}" name="NOME FÍSICO TABELA" dataDxfId="48"/>
    <tableColumn id="23" xr3:uid="{00000000-0010-0000-0100-000017000000}" name="NÍVEL TABELA" dataDxfId="47"/>
    <tableColumn id="3" xr3:uid="{00000000-0010-0000-0100-000003000000}" name="NOME CAMPO" dataDxfId="46"/>
    <tableColumn id="22" xr3:uid="{00000000-0010-0000-0100-000016000000}" name="NOME FÍSICO CAMPO" dataDxfId="45"/>
    <tableColumn id="26" xr3:uid="{00000000-0010-0000-0100-00001A000000}" name="BLOCO" dataDxfId="44"/>
    <tableColumn id="4" xr3:uid="{00000000-0010-0000-0100-000004000000}" name="ORDEM" dataDxfId="43"/>
    <tableColumn id="5" xr3:uid="{00000000-0010-0000-0100-000005000000}" name="FORMATO" dataDxfId="42"/>
    <tableColumn id="6" xr3:uid="{00000000-0010-0000-0100-000006000000}" name="COMP_ CAMPO" dataDxfId="41"/>
    <tableColumn id="7" xr3:uid="{00000000-0010-0000-0100-000007000000}" name="NUM_ DECIMAIS" dataDxfId="40"/>
    <tableColumn id="8" xr3:uid="{00000000-0010-0000-0100-000008000000}" name="DESCRIÇÃO FUNCIONAL (ENG)" dataDxfId="39"/>
    <tableColumn id="9" xr3:uid="{00000000-0010-0000-0100-000009000000}" name="DESCRIÇÃO FUNCIONAL (PT)" dataDxfId="38"/>
    <tableColumn id="10" xr3:uid="{00000000-0010-0000-0100-00000A000000}" name="CHAVE PRIMÁRIA" dataDxfId="37"/>
    <tableColumn id="11" xr3:uid="{00000000-0010-0000-0100-00000B000000}" name="DADOS REFERÊNCIA" dataDxfId="36"/>
    <tableColumn id="12" xr3:uid="{00000000-0010-0000-0100-00000C000000}" name="NOME BD CURATED" dataDxfId="35"/>
    <tableColumn id="13" xr3:uid="{00000000-0010-0000-0100-00000D000000}" name="NOME FISICO TABELA CURATED" dataDxfId="34"/>
    <tableColumn id="14" xr3:uid="{00000000-0010-0000-0100-00000E000000}" name="NOME FISICO CAMPO CURATED" dataDxfId="33"/>
    <tableColumn id="16" xr3:uid="{00000000-0010-0000-0100-000010000000}" name="CODIÇÃO CURATED - CDM" dataDxfId="32"/>
    <tableColumn id="17" xr3:uid="{00000000-0010-0000-0100-000011000000}" name="ID APLICAÇÂO TÉCNICA" dataDxfId="31"/>
    <tableColumn id="18" xr3:uid="{00000000-0010-0000-0100-000012000000}" name="NOME FISICO TABELA FONTE" dataDxfId="30"/>
    <tableColumn id="19" xr3:uid="{00000000-0010-0000-0100-000013000000}" name="NOME FISICO CAMPO FONTE" dataDxfId="29"/>
    <tableColumn id="20" xr3:uid="{00000000-0010-0000-0100-000014000000}" name="VALOR MANUAL FONTE" dataDxfId="28"/>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7" displayName="Table7" ref="B2:I57" totalsRowShown="0" headerRowDxfId="27" dataDxfId="26" tableBorderDxfId="25">
  <autoFilter ref="B2:I57" xr:uid="{00000000-0009-0000-0100-000007000000}">
    <filterColumn colId="1">
      <filters>
        <filter val="entity_balance_sheet"/>
      </filters>
    </filterColumn>
  </autoFilter>
  <sortState xmlns:xlrd2="http://schemas.microsoft.com/office/spreadsheetml/2017/richdata2" ref="B3:I92">
    <sortCondition ref="E2:E92"/>
  </sortState>
  <tableColumns count="8">
    <tableColumn id="1" xr3:uid="{00000000-0010-0000-0200-000001000000}" name="NOME BD " dataDxfId="24"/>
    <tableColumn id="2" xr3:uid="{00000000-0010-0000-0200-000002000000}" name="NOME FÍSICO TABELA" dataDxfId="23"/>
    <tableColumn id="3" xr3:uid="{00000000-0010-0000-0200-000003000000}" name="NOME FÍSICO BD FONTE ESQUERDA" dataDxfId="22"/>
    <tableColumn id="4" xr3:uid="{00000000-0010-0000-0200-000004000000}" name="NOME FÍSICO TABELA FONTE ESQUERDA" dataDxfId="21"/>
    <tableColumn id="5" xr3:uid="{00000000-0010-0000-0200-000005000000}" name="NOME FÍSICO BD FONTE DIREITA" dataDxfId="20"/>
    <tableColumn id="6" xr3:uid="{00000000-0010-0000-0200-000006000000}" name="NOME FÍSICO TABELA FONTE DIREITA" dataDxfId="19"/>
    <tableColumn id="7" xr3:uid="{00000000-0010-0000-0200-000007000000}" name="REGRA DE CRUZAMENTO" dataDxfId="18"/>
    <tableColumn id="8" xr3:uid="{00000000-0010-0000-0200-000008000000}" name="TIPO CRUZAMENTO" data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69" displayName="Table69" ref="B2:H13" totalsRowShown="0" headerRowDxfId="16" dataDxfId="15" tableBorderDxfId="14">
  <autoFilter ref="B2:H13" xr:uid="{00000000-0009-0000-0100-000008000000}"/>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7"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10.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1"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workbookViewId="0">
      <selection activeCell="B20" sqref="B20"/>
    </sheetView>
  </sheetViews>
  <sheetFormatPr defaultColWidth="0" defaultRowHeight="14.45"/>
  <cols>
    <col min="1" max="1" width="8.85546875" customWidth="1"/>
    <col min="2" max="2" width="37.42578125" bestFit="1" customWidth="1"/>
    <col min="3" max="3" width="50.140625" customWidth="1"/>
    <col min="4" max="4" width="91.7109375" customWidth="1"/>
    <col min="5" max="5" width="0" hidden="1" customWidth="1"/>
    <col min="6" max="16384" width="8.85546875" hidden="1"/>
  </cols>
  <sheetData>
    <row r="1" spans="1:4">
      <c r="A1" s="20"/>
      <c r="B1" s="20"/>
      <c r="C1" s="20"/>
      <c r="D1" s="20"/>
    </row>
    <row r="2" spans="1:4">
      <c r="A2" s="20"/>
      <c r="B2" s="20"/>
      <c r="C2" s="20"/>
      <c r="D2" s="20"/>
    </row>
    <row r="3" spans="1:4">
      <c r="A3" s="22"/>
      <c r="B3" s="22"/>
      <c r="C3" s="22"/>
      <c r="D3" s="22"/>
    </row>
    <row r="4" spans="1:4">
      <c r="A4" s="21"/>
      <c r="B4" s="21"/>
      <c r="C4" s="21"/>
      <c r="D4" s="21"/>
    </row>
    <row r="5" spans="1:4">
      <c r="A5" s="21"/>
      <c r="B5" s="54" t="s">
        <v>1</v>
      </c>
      <c r="C5" s="55" t="s">
        <v>2</v>
      </c>
      <c r="D5" s="56" t="s">
        <v>3</v>
      </c>
    </row>
    <row r="6" spans="1:4">
      <c r="A6" s="21"/>
      <c r="B6" s="52" t="s">
        <v>4</v>
      </c>
      <c r="C6" s="52" t="s">
        <v>5</v>
      </c>
      <c r="D6" s="53" t="s">
        <v>6</v>
      </c>
    </row>
    <row r="7" spans="1:4">
      <c r="A7" s="21"/>
      <c r="B7" s="52" t="s">
        <v>4</v>
      </c>
      <c r="C7" s="52" t="s">
        <v>7</v>
      </c>
      <c r="D7" s="53" t="s">
        <v>8</v>
      </c>
    </row>
    <row r="8" spans="1:4">
      <c r="A8" s="21"/>
      <c r="B8" s="52" t="s">
        <v>4</v>
      </c>
      <c r="C8" s="52" t="s">
        <v>9</v>
      </c>
      <c r="D8" s="53" t="s">
        <v>10</v>
      </c>
    </row>
    <row r="9" spans="1:4">
      <c r="A9" s="21"/>
      <c r="B9" s="52" t="s">
        <v>4</v>
      </c>
      <c r="C9" s="52" t="s">
        <v>11</v>
      </c>
      <c r="D9" s="53" t="s">
        <v>12</v>
      </c>
    </row>
    <row r="10" spans="1:4">
      <c r="A10" s="21"/>
      <c r="B10" s="52" t="s">
        <v>4</v>
      </c>
      <c r="C10" s="52" t="s">
        <v>13</v>
      </c>
      <c r="D10" s="53" t="s">
        <v>14</v>
      </c>
    </row>
    <row r="11" spans="1:4">
      <c r="A11" s="21"/>
      <c r="B11" s="52" t="s">
        <v>4</v>
      </c>
      <c r="C11" s="52" t="s">
        <v>15</v>
      </c>
      <c r="D11" s="53" t="s">
        <v>16</v>
      </c>
    </row>
    <row r="12" spans="1:4">
      <c r="A12" s="21"/>
      <c r="B12" s="52" t="s">
        <v>4</v>
      </c>
      <c r="C12" s="52" t="s">
        <v>17</v>
      </c>
      <c r="D12" s="53" t="s">
        <v>18</v>
      </c>
    </row>
    <row r="13" spans="1:4">
      <c r="A13" s="21"/>
      <c r="B13" s="52" t="s">
        <v>4</v>
      </c>
      <c r="C13" s="52" t="s">
        <v>19</v>
      </c>
      <c r="D13" s="53" t="s">
        <v>20</v>
      </c>
    </row>
    <row r="14" spans="1:4">
      <c r="A14" s="21"/>
      <c r="B14" s="52" t="s">
        <v>4</v>
      </c>
      <c r="C14" s="52" t="s">
        <v>21</v>
      </c>
      <c r="D14" s="53" t="s">
        <v>22</v>
      </c>
    </row>
    <row r="15" spans="1:4">
      <c r="A15" s="4"/>
      <c r="B15" s="52" t="s">
        <v>4</v>
      </c>
      <c r="C15" s="52" t="s">
        <v>23</v>
      </c>
      <c r="D15" s="57" t="s">
        <v>24</v>
      </c>
    </row>
    <row r="16" spans="1:4">
      <c r="A16" s="4"/>
    </row>
    <row r="17" spans="1:4">
      <c r="A17" s="4"/>
    </row>
    <row r="18" spans="1:4" s="4" customFormat="1">
      <c r="B18"/>
      <c r="C18"/>
      <c r="D18"/>
    </row>
    <row r="19" spans="1:4" s="4" customFormat="1">
      <c r="B19"/>
      <c r="C19"/>
      <c r="D19"/>
    </row>
    <row r="20" spans="1:4" s="43" customFormat="1">
      <c r="A20"/>
      <c r="B20"/>
      <c r="C20"/>
      <c r="D20"/>
    </row>
    <row r="21" spans="1:4" s="4" customFormat="1">
      <c r="B21"/>
      <c r="C21"/>
      <c r="D21"/>
    </row>
    <row r="22" spans="1:4" s="4" customFormat="1">
      <c r="B22"/>
      <c r="C22"/>
      <c r="D22"/>
    </row>
    <row r="23" spans="1:4" s="4" customFormat="1">
      <c r="B23"/>
      <c r="C23"/>
      <c r="D23"/>
    </row>
    <row r="24" spans="1:4" s="4" customFormat="1">
      <c r="B24"/>
      <c r="C24"/>
      <c r="D24"/>
    </row>
    <row r="25" spans="1:4" s="4" customFormat="1">
      <c r="B25"/>
      <c r="C25"/>
      <c r="D25"/>
    </row>
    <row r="26" spans="1:4" s="4" customFormat="1">
      <c r="B26"/>
      <c r="C26"/>
      <c r="D26"/>
    </row>
    <row r="27" spans="1:4" s="4" customFormat="1">
      <c r="B27"/>
      <c r="C27"/>
      <c r="D27"/>
    </row>
    <row r="28" spans="1:4" s="4" customFormat="1">
      <c r="B28"/>
      <c r="C28"/>
      <c r="D28"/>
    </row>
    <row r="29" spans="1:4" s="4" customFormat="1">
      <c r="B29"/>
      <c r="C29"/>
      <c r="D29"/>
    </row>
    <row r="30" spans="1:4" s="4" customFormat="1">
      <c r="B30"/>
      <c r="C30"/>
      <c r="D30"/>
    </row>
    <row r="31" spans="1:4" s="4" customFormat="1">
      <c r="B31"/>
      <c r="C31"/>
      <c r="D31"/>
    </row>
    <row r="32" spans="1:4" s="4" customFormat="1">
      <c r="B32"/>
      <c r="C32"/>
      <c r="D32"/>
    </row>
    <row r="33" spans="1:4" s="4" customFormat="1">
      <c r="B33"/>
      <c r="C33"/>
      <c r="D33"/>
    </row>
    <row r="34" spans="1:4" s="4" customFormat="1">
      <c r="B34"/>
      <c r="C34"/>
      <c r="D34"/>
    </row>
    <row r="35" spans="1:4" s="4" customFormat="1">
      <c r="B35"/>
      <c r="C35"/>
      <c r="D35"/>
    </row>
    <row r="36" spans="1:4">
      <c r="A36" s="4"/>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25</v>
      </c>
      <c r="E1" s="23"/>
      <c r="F1" s="23"/>
      <c r="G1" s="23"/>
      <c r="H1" s="23" t="s">
        <v>26</v>
      </c>
      <c r="I1" s="32"/>
      <c r="J1" s="23"/>
      <c r="K1" s="23"/>
      <c r="L1" s="23"/>
      <c r="M1" s="23"/>
      <c r="N1" s="23" t="s">
        <v>27</v>
      </c>
      <c r="O1" s="23"/>
      <c r="P1" s="23"/>
      <c r="Q1" s="23"/>
    </row>
    <row r="2" spans="2:17">
      <c r="B2" s="23" t="s">
        <v>28</v>
      </c>
      <c r="C2" s="23" t="s">
        <v>29</v>
      </c>
      <c r="D2" s="23" t="s">
        <v>30</v>
      </c>
      <c r="E2" s="23">
        <v>1</v>
      </c>
      <c r="F2" s="23">
        <v>500</v>
      </c>
      <c r="G2" s="23">
        <v>500</v>
      </c>
      <c r="H2" s="23"/>
      <c r="I2" s="32"/>
      <c r="J2" s="23" t="s">
        <v>29</v>
      </c>
      <c r="K2" s="23">
        <v>1</v>
      </c>
      <c r="L2" s="23">
        <v>500</v>
      </c>
      <c r="M2" s="23">
        <v>500</v>
      </c>
      <c r="N2" s="23"/>
      <c r="O2" s="23"/>
      <c r="P2" s="23" t="s">
        <v>31</v>
      </c>
      <c r="Q2" s="23" t="s">
        <v>30</v>
      </c>
    </row>
    <row r="3" spans="2:17">
      <c r="B3" s="23" t="s">
        <v>32</v>
      </c>
      <c r="C3" s="23" t="s">
        <v>29</v>
      </c>
      <c r="D3" s="23">
        <v>25</v>
      </c>
      <c r="E3" s="23">
        <v>25</v>
      </c>
      <c r="F3" s="23">
        <v>29</v>
      </c>
      <c r="G3" s="23">
        <v>5</v>
      </c>
      <c r="H3" s="23" t="s">
        <v>33</v>
      </c>
      <c r="I3" s="32"/>
      <c r="J3" s="23" t="s">
        <v>29</v>
      </c>
      <c r="K3" s="23">
        <v>224</v>
      </c>
      <c r="L3" s="23">
        <v>228</v>
      </c>
      <c r="M3" s="23">
        <v>5</v>
      </c>
      <c r="N3" s="23" t="s">
        <v>34</v>
      </c>
      <c r="O3" s="23"/>
      <c r="P3" s="23" t="s">
        <v>35</v>
      </c>
      <c r="Q3" s="23" t="s">
        <v>36</v>
      </c>
    </row>
    <row r="4" spans="2:17">
      <c r="B4" s="23" t="s">
        <v>37</v>
      </c>
      <c r="C4" s="23" t="s">
        <v>29</v>
      </c>
      <c r="D4" s="23">
        <v>26</v>
      </c>
      <c r="E4" s="23">
        <v>69</v>
      </c>
      <c r="F4" s="23">
        <v>73</v>
      </c>
      <c r="G4" s="23">
        <v>5</v>
      </c>
      <c r="H4" s="23" t="s">
        <v>38</v>
      </c>
      <c r="I4" s="32"/>
      <c r="J4" s="23" t="s">
        <v>29</v>
      </c>
      <c r="K4" s="23">
        <v>241</v>
      </c>
      <c r="L4" s="23">
        <v>246</v>
      </c>
      <c r="M4" s="23">
        <v>6</v>
      </c>
      <c r="N4" s="23" t="s">
        <v>39</v>
      </c>
      <c r="O4" s="23"/>
      <c r="P4" s="23" t="s">
        <v>40</v>
      </c>
      <c r="Q4" s="23" t="s">
        <v>36</v>
      </c>
    </row>
    <row r="5" spans="2:17">
      <c r="B5" s="23" t="s">
        <v>41</v>
      </c>
      <c r="C5" s="23" t="s">
        <v>29</v>
      </c>
      <c r="D5" s="23">
        <v>26</v>
      </c>
      <c r="E5" s="23">
        <v>74</v>
      </c>
      <c r="F5" s="23">
        <v>78</v>
      </c>
      <c r="G5" s="23">
        <v>5</v>
      </c>
      <c r="H5" s="23" t="s">
        <v>42</v>
      </c>
      <c r="I5" s="32"/>
      <c r="J5" s="23" t="s">
        <v>29</v>
      </c>
      <c r="K5" s="23">
        <v>241</v>
      </c>
      <c r="L5" s="23">
        <v>246</v>
      </c>
      <c r="M5" s="23">
        <v>6</v>
      </c>
      <c r="N5" s="23" t="s">
        <v>39</v>
      </c>
      <c r="O5" s="23"/>
      <c r="P5" s="23" t="s">
        <v>40</v>
      </c>
      <c r="Q5" s="23" t="s">
        <v>43</v>
      </c>
    </row>
    <row r="6" spans="2:17">
      <c r="B6" s="23" t="s">
        <v>44</v>
      </c>
      <c r="C6" s="23" t="s">
        <v>29</v>
      </c>
      <c r="D6" s="23">
        <v>532</v>
      </c>
      <c r="E6" s="23">
        <v>79</v>
      </c>
      <c r="F6" s="23">
        <v>83</v>
      </c>
      <c r="G6" s="23">
        <v>5</v>
      </c>
      <c r="H6" s="23" t="s">
        <v>45</v>
      </c>
      <c r="I6" s="32"/>
      <c r="J6" s="23" t="s">
        <v>29</v>
      </c>
      <c r="K6" s="23">
        <v>247</v>
      </c>
      <c r="L6" s="23">
        <v>247</v>
      </c>
      <c r="M6" s="23">
        <v>1</v>
      </c>
      <c r="N6" s="23" t="s">
        <v>46</v>
      </c>
      <c r="O6" s="23" t="s">
        <v>47</v>
      </c>
      <c r="P6" s="23" t="s">
        <v>48</v>
      </c>
      <c r="Q6" s="23" t="s">
        <v>43</v>
      </c>
    </row>
    <row r="7" spans="2:17">
      <c r="B7" s="23" t="s">
        <v>49</v>
      </c>
      <c r="C7" s="23" t="s">
        <v>29</v>
      </c>
      <c r="D7" s="23">
        <v>27</v>
      </c>
      <c r="E7" s="23">
        <v>85</v>
      </c>
      <c r="F7" s="23">
        <v>89</v>
      </c>
      <c r="G7" s="23">
        <v>5</v>
      </c>
      <c r="H7" s="23" t="s">
        <v>50</v>
      </c>
      <c r="I7" s="32"/>
      <c r="J7" s="23" t="s">
        <v>29</v>
      </c>
      <c r="K7" s="23">
        <v>248</v>
      </c>
      <c r="L7" s="23">
        <v>248</v>
      </c>
      <c r="M7" s="23">
        <v>1</v>
      </c>
      <c r="N7" s="23" t="s">
        <v>51</v>
      </c>
      <c r="O7" s="23"/>
      <c r="P7" s="23" t="s">
        <v>52</v>
      </c>
      <c r="Q7" s="23" t="s">
        <v>36</v>
      </c>
    </row>
    <row r="8" spans="2:17">
      <c r="B8" s="23" t="s">
        <v>53</v>
      </c>
      <c r="C8" s="23" t="s">
        <v>29</v>
      </c>
      <c r="D8" s="23">
        <v>28</v>
      </c>
      <c r="E8" s="23">
        <v>90</v>
      </c>
      <c r="F8" s="23">
        <v>94</v>
      </c>
      <c r="G8" s="23">
        <v>5</v>
      </c>
      <c r="H8" s="23" t="s">
        <v>54</v>
      </c>
      <c r="I8" s="32"/>
      <c r="J8" s="23" t="s">
        <v>29</v>
      </c>
      <c r="K8" s="23">
        <v>249</v>
      </c>
      <c r="L8" s="23">
        <v>249</v>
      </c>
      <c r="M8" s="23">
        <v>1</v>
      </c>
      <c r="N8" s="23" t="s">
        <v>55</v>
      </c>
      <c r="O8" s="23"/>
      <c r="P8" s="23" t="s">
        <v>56</v>
      </c>
      <c r="Q8" s="23" t="s">
        <v>36</v>
      </c>
    </row>
    <row r="9" spans="2:17">
      <c r="B9" s="23" t="s">
        <v>57</v>
      </c>
      <c r="C9" s="23" t="s">
        <v>29</v>
      </c>
      <c r="D9" s="23">
        <v>29</v>
      </c>
      <c r="E9" s="23">
        <v>95</v>
      </c>
      <c r="F9" s="23">
        <v>99</v>
      </c>
      <c r="G9" s="23">
        <v>5</v>
      </c>
      <c r="H9" s="23" t="s">
        <v>58</v>
      </c>
      <c r="I9" s="32"/>
      <c r="J9" s="23" t="s">
        <v>29</v>
      </c>
      <c r="K9" s="23">
        <v>250</v>
      </c>
      <c r="L9" s="23">
        <v>254</v>
      </c>
      <c r="M9" s="23">
        <v>5</v>
      </c>
      <c r="N9" s="23" t="s">
        <v>59</v>
      </c>
      <c r="O9" s="23"/>
      <c r="P9" s="23" t="s">
        <v>60</v>
      </c>
      <c r="Q9" s="23" t="s">
        <v>36</v>
      </c>
    </row>
    <row r="10" spans="2:17">
      <c r="B10" s="23" t="s">
        <v>61</v>
      </c>
      <c r="C10" s="23" t="s">
        <v>29</v>
      </c>
      <c r="D10" s="23">
        <v>30</v>
      </c>
      <c r="E10" s="23">
        <v>152</v>
      </c>
      <c r="F10" s="23">
        <v>156</v>
      </c>
      <c r="G10" s="23">
        <v>5</v>
      </c>
      <c r="H10" s="23" t="s">
        <v>62</v>
      </c>
      <c r="I10" s="32"/>
      <c r="J10" s="23" t="s">
        <v>29</v>
      </c>
      <c r="K10" s="23">
        <v>255</v>
      </c>
      <c r="L10" s="23">
        <v>256</v>
      </c>
      <c r="M10" s="23">
        <v>2</v>
      </c>
      <c r="N10" s="23" t="s">
        <v>63</v>
      </c>
      <c r="O10" s="23" t="s">
        <v>64</v>
      </c>
      <c r="P10" s="23" t="s">
        <v>65</v>
      </c>
      <c r="Q10" s="23" t="s">
        <v>36</v>
      </c>
    </row>
    <row r="11" spans="2:17">
      <c r="B11" s="26" t="s">
        <v>66</v>
      </c>
      <c r="C11" s="26" t="s">
        <v>67</v>
      </c>
      <c r="D11" s="26" t="s">
        <v>30</v>
      </c>
      <c r="E11" s="26">
        <v>1</v>
      </c>
      <c r="F11" s="26">
        <v>500</v>
      </c>
      <c r="G11" s="26">
        <v>500</v>
      </c>
      <c r="H11" s="26"/>
      <c r="I11" s="34"/>
      <c r="J11" s="26" t="s">
        <v>67</v>
      </c>
      <c r="K11" s="26">
        <v>1</v>
      </c>
      <c r="L11" s="26">
        <v>500</v>
      </c>
      <c r="M11" s="26">
        <v>500</v>
      </c>
      <c r="N11" s="26"/>
      <c r="O11" s="26"/>
      <c r="P11" s="26" t="s">
        <v>31</v>
      </c>
      <c r="Q11" s="26" t="s">
        <v>30</v>
      </c>
    </row>
    <row r="12" spans="2:17">
      <c r="B12" s="26" t="s">
        <v>68</v>
      </c>
      <c r="C12" s="26" t="s">
        <v>67</v>
      </c>
      <c r="D12" s="26" t="s">
        <v>30</v>
      </c>
      <c r="E12" s="26">
        <v>501</v>
      </c>
      <c r="F12" s="26">
        <v>999</v>
      </c>
      <c r="G12" s="26">
        <v>500</v>
      </c>
      <c r="H12" s="26"/>
      <c r="I12" s="34"/>
      <c r="J12" s="26" t="s">
        <v>67</v>
      </c>
      <c r="K12" s="26">
        <v>501</v>
      </c>
      <c r="L12" s="26">
        <v>999</v>
      </c>
      <c r="M12" s="26">
        <v>500</v>
      </c>
      <c r="N12" s="26"/>
      <c r="O12" s="26"/>
      <c r="P12" s="26" t="s">
        <v>31</v>
      </c>
      <c r="Q12" s="26" t="s">
        <v>30</v>
      </c>
    </row>
    <row r="13" spans="2:17">
      <c r="B13" s="26" t="s">
        <v>69</v>
      </c>
      <c r="C13" s="26" t="s">
        <v>67</v>
      </c>
      <c r="D13" s="26">
        <v>508</v>
      </c>
      <c r="E13" s="26">
        <v>39</v>
      </c>
      <c r="F13" s="26">
        <v>43</v>
      </c>
      <c r="G13" s="26">
        <v>5</v>
      </c>
      <c r="H13" s="26" t="s">
        <v>70</v>
      </c>
      <c r="I13" s="34"/>
      <c r="J13" s="26" t="s">
        <v>67</v>
      </c>
      <c r="K13" s="26">
        <v>474</v>
      </c>
      <c r="L13" s="26">
        <v>477</v>
      </c>
      <c r="M13" s="26">
        <v>4</v>
      </c>
      <c r="N13" s="26" t="s">
        <v>71</v>
      </c>
      <c r="O13" s="26"/>
      <c r="P13" s="26" t="s">
        <v>72</v>
      </c>
      <c r="Q13" s="26" t="s">
        <v>43</v>
      </c>
    </row>
    <row r="14" spans="2:17">
      <c r="B14" s="26" t="s">
        <v>73</v>
      </c>
      <c r="C14" s="26" t="s">
        <v>67</v>
      </c>
      <c r="D14" s="26">
        <v>20</v>
      </c>
      <c r="E14" s="26">
        <v>86</v>
      </c>
      <c r="F14" s="26">
        <v>90</v>
      </c>
      <c r="G14" s="26">
        <v>5</v>
      </c>
      <c r="H14" s="26" t="s">
        <v>74</v>
      </c>
      <c r="I14" s="34"/>
      <c r="J14" s="26" t="s">
        <v>67</v>
      </c>
      <c r="K14" s="26">
        <v>478</v>
      </c>
      <c r="L14" s="26">
        <v>482</v>
      </c>
      <c r="M14" s="26">
        <v>5</v>
      </c>
      <c r="N14" s="26" t="s">
        <v>75</v>
      </c>
      <c r="O14" s="26"/>
      <c r="P14" s="26" t="s">
        <v>76</v>
      </c>
      <c r="Q14" s="26" t="s">
        <v>36</v>
      </c>
    </row>
    <row r="15" spans="2:17">
      <c r="B15" s="26" t="s">
        <v>77</v>
      </c>
      <c r="C15" s="26" t="s">
        <v>67</v>
      </c>
      <c r="D15" s="26">
        <v>32</v>
      </c>
      <c r="E15" s="26">
        <v>91</v>
      </c>
      <c r="F15" s="26">
        <v>95</v>
      </c>
      <c r="G15" s="26">
        <v>5</v>
      </c>
      <c r="H15" s="26" t="s">
        <v>78</v>
      </c>
      <c r="I15" s="34"/>
      <c r="J15" s="26" t="s">
        <v>67</v>
      </c>
      <c r="K15" s="26">
        <v>483</v>
      </c>
      <c r="L15" s="26">
        <v>487</v>
      </c>
      <c r="M15" s="26">
        <v>5</v>
      </c>
      <c r="N15" s="26" t="s">
        <v>79</v>
      </c>
      <c r="O15" s="26"/>
      <c r="P15" s="26" t="s">
        <v>80</v>
      </c>
      <c r="Q15" s="26" t="s">
        <v>36</v>
      </c>
    </row>
    <row r="16" spans="2:17">
      <c r="B16" s="26" t="s">
        <v>81</v>
      </c>
      <c r="C16" s="26" t="s">
        <v>67</v>
      </c>
      <c r="D16" s="26">
        <v>13</v>
      </c>
      <c r="E16" s="26">
        <v>96</v>
      </c>
      <c r="F16" s="26">
        <v>100</v>
      </c>
      <c r="G16" s="26">
        <v>5</v>
      </c>
      <c r="H16" s="26" t="s">
        <v>82</v>
      </c>
      <c r="I16" s="34"/>
      <c r="J16" s="26" t="s">
        <v>67</v>
      </c>
      <c r="K16" s="26">
        <v>488</v>
      </c>
      <c r="L16" s="26">
        <v>492</v>
      </c>
      <c r="M16" s="26">
        <v>5</v>
      </c>
      <c r="N16" s="26" t="s">
        <v>83</v>
      </c>
      <c r="O16" s="26"/>
      <c r="P16" s="26" t="s">
        <v>84</v>
      </c>
      <c r="Q16" s="26" t="s">
        <v>36</v>
      </c>
    </row>
    <row r="17" spans="2:17">
      <c r="B17" s="26" t="s">
        <v>85</v>
      </c>
      <c r="C17" s="26" t="s">
        <v>67</v>
      </c>
      <c r="D17" s="26">
        <v>503</v>
      </c>
      <c r="E17" s="26">
        <v>119</v>
      </c>
      <c r="F17" s="26">
        <v>123</v>
      </c>
      <c r="G17" s="26">
        <v>5</v>
      </c>
      <c r="H17" s="26" t="s">
        <v>86</v>
      </c>
      <c r="I17" s="34"/>
      <c r="J17" s="26" t="s">
        <v>67</v>
      </c>
      <c r="K17" s="26">
        <v>493</v>
      </c>
      <c r="L17" s="26">
        <v>497</v>
      </c>
      <c r="M17" s="26">
        <v>5</v>
      </c>
      <c r="N17" s="26" t="s">
        <v>87</v>
      </c>
      <c r="O17" s="26"/>
      <c r="P17" s="26" t="s">
        <v>88</v>
      </c>
      <c r="Q17" s="26" t="s">
        <v>43</v>
      </c>
    </row>
    <row r="18" spans="2:17">
      <c r="B18" s="26" t="s">
        <v>89</v>
      </c>
      <c r="C18" s="26" t="s">
        <v>67</v>
      </c>
      <c r="D18" s="26">
        <v>2</v>
      </c>
      <c r="E18" s="26">
        <v>124</v>
      </c>
      <c r="F18" s="26">
        <v>128</v>
      </c>
      <c r="G18" s="26">
        <v>5</v>
      </c>
      <c r="H18" s="26" t="s">
        <v>90</v>
      </c>
      <c r="I18" s="34"/>
      <c r="J18" s="26" t="s">
        <v>67</v>
      </c>
      <c r="K18" s="26">
        <v>498</v>
      </c>
      <c r="L18" s="26">
        <v>500</v>
      </c>
      <c r="M18" s="26">
        <v>3</v>
      </c>
      <c r="N18" s="26" t="s">
        <v>91</v>
      </c>
      <c r="O18" s="26"/>
      <c r="P18" s="26" t="s">
        <v>92</v>
      </c>
      <c r="Q18" s="26" t="s">
        <v>36</v>
      </c>
    </row>
    <row r="19" spans="2:17">
      <c r="B19" s="26" t="s">
        <v>93</v>
      </c>
      <c r="C19" s="26" t="s">
        <v>67</v>
      </c>
      <c r="D19" s="26">
        <v>6</v>
      </c>
      <c r="E19" s="26">
        <v>146</v>
      </c>
      <c r="F19" s="26">
        <v>148</v>
      </c>
      <c r="G19" s="26">
        <v>3</v>
      </c>
      <c r="H19" s="26" t="s">
        <v>94</v>
      </c>
      <c r="I19" s="34"/>
      <c r="J19" s="26" t="s">
        <v>67</v>
      </c>
      <c r="K19" s="26">
        <v>501</v>
      </c>
      <c r="L19" s="26">
        <v>503</v>
      </c>
      <c r="M19" s="26">
        <v>3</v>
      </c>
      <c r="N19" s="26" t="s">
        <v>95</v>
      </c>
      <c r="O19" s="26"/>
      <c r="P19" s="26" t="s">
        <v>96</v>
      </c>
      <c r="Q19" s="26" t="s">
        <v>36</v>
      </c>
    </row>
    <row r="20" spans="2:17">
      <c r="B20" s="26" t="s">
        <v>97</v>
      </c>
      <c r="C20" s="26" t="s">
        <v>67</v>
      </c>
      <c r="D20" s="26">
        <v>40</v>
      </c>
      <c r="E20" s="26">
        <v>199</v>
      </c>
      <c r="F20" s="26">
        <v>203</v>
      </c>
      <c r="G20" s="26">
        <v>5</v>
      </c>
      <c r="H20" s="26" t="s">
        <v>98</v>
      </c>
      <c r="I20" s="34"/>
      <c r="J20" s="26" t="s">
        <v>67</v>
      </c>
      <c r="K20" s="26">
        <v>504</v>
      </c>
      <c r="L20" s="26">
        <v>508</v>
      </c>
      <c r="M20" s="26">
        <v>5</v>
      </c>
      <c r="N20" s="26" t="s">
        <v>99</v>
      </c>
      <c r="O20" s="26"/>
      <c r="P20" s="26" t="s">
        <v>100</v>
      </c>
      <c r="Q20" s="26" t="s">
        <v>36</v>
      </c>
    </row>
    <row r="21" spans="2:17">
      <c r="B21" s="26" t="s">
        <v>101</v>
      </c>
      <c r="C21" s="26" t="s">
        <v>67</v>
      </c>
      <c r="D21" s="26">
        <v>47</v>
      </c>
      <c r="E21" s="26">
        <v>253</v>
      </c>
      <c r="F21" s="26">
        <v>257</v>
      </c>
      <c r="G21" s="26">
        <v>5</v>
      </c>
      <c r="H21" s="26" t="s">
        <v>102</v>
      </c>
      <c r="I21" s="34"/>
      <c r="J21" s="26" t="s">
        <v>67</v>
      </c>
      <c r="K21" s="26">
        <v>509</v>
      </c>
      <c r="L21" s="26">
        <v>513</v>
      </c>
      <c r="M21" s="26">
        <v>5</v>
      </c>
      <c r="N21" s="26" t="s">
        <v>103</v>
      </c>
      <c r="O21" s="26"/>
      <c r="P21" s="26" t="s">
        <v>104</v>
      </c>
      <c r="Q21" s="26" t="s">
        <v>36</v>
      </c>
    </row>
    <row r="22" spans="2:17">
      <c r="B22" s="26" t="s">
        <v>105</v>
      </c>
      <c r="C22" s="26" t="s">
        <v>67</v>
      </c>
      <c r="D22" s="26">
        <v>49</v>
      </c>
      <c r="E22" s="26">
        <v>258</v>
      </c>
      <c r="F22" s="26">
        <v>262</v>
      </c>
      <c r="G22" s="26">
        <v>5</v>
      </c>
      <c r="H22" s="26" t="s">
        <v>106</v>
      </c>
      <c r="I22" s="34"/>
      <c r="J22" s="26" t="s">
        <v>67</v>
      </c>
      <c r="K22" s="26">
        <v>514</v>
      </c>
      <c r="L22" s="26">
        <v>517</v>
      </c>
      <c r="M22" s="26">
        <v>4</v>
      </c>
      <c r="N22" s="26" t="s">
        <v>107</v>
      </c>
      <c r="O22" s="26"/>
      <c r="P22" s="26" t="s">
        <v>108</v>
      </c>
      <c r="Q22" s="26" t="s">
        <v>36</v>
      </c>
    </row>
    <row r="23" spans="2:17">
      <c r="B23" s="26" t="s">
        <v>109</v>
      </c>
      <c r="C23" s="26" t="s">
        <v>67</v>
      </c>
      <c r="D23" s="26">
        <v>50</v>
      </c>
      <c r="E23" s="26">
        <v>280</v>
      </c>
      <c r="F23" s="26">
        <v>284</v>
      </c>
      <c r="G23" s="26">
        <v>5</v>
      </c>
      <c r="H23" s="26" t="s">
        <v>110</v>
      </c>
      <c r="I23" s="34"/>
      <c r="J23" s="26" t="s">
        <v>67</v>
      </c>
      <c r="K23" s="26">
        <v>518</v>
      </c>
      <c r="L23" s="26">
        <v>522</v>
      </c>
      <c r="M23" s="26">
        <v>5</v>
      </c>
      <c r="N23" s="26" t="s">
        <v>111</v>
      </c>
      <c r="O23" s="26"/>
      <c r="P23" s="26" t="s">
        <v>112</v>
      </c>
      <c r="Q23" s="26" t="s">
        <v>36</v>
      </c>
    </row>
    <row r="24" spans="2:17">
      <c r="B24" s="26" t="s">
        <v>113</v>
      </c>
      <c r="C24" s="26" t="s">
        <v>67</v>
      </c>
      <c r="D24" s="26">
        <v>8</v>
      </c>
      <c r="E24" s="26">
        <v>285</v>
      </c>
      <c r="F24" s="26">
        <v>289</v>
      </c>
      <c r="G24" s="26">
        <v>5</v>
      </c>
      <c r="H24" s="26" t="s">
        <v>114</v>
      </c>
      <c r="I24" s="34"/>
      <c r="J24" s="26" t="s">
        <v>67</v>
      </c>
      <c r="K24" s="26">
        <v>523</v>
      </c>
      <c r="L24" s="26">
        <v>523</v>
      </c>
      <c r="M24" s="26">
        <v>1</v>
      </c>
      <c r="N24" s="26" t="s">
        <v>115</v>
      </c>
      <c r="O24" s="26"/>
      <c r="P24" s="26" t="s">
        <v>116</v>
      </c>
      <c r="Q24" s="26" t="s">
        <v>36</v>
      </c>
    </row>
    <row r="25" spans="2:17">
      <c r="B25" s="26" t="s">
        <v>117</v>
      </c>
      <c r="C25" s="26" t="s">
        <v>67</v>
      </c>
      <c r="D25" s="26">
        <v>101</v>
      </c>
      <c r="E25" s="26">
        <v>589</v>
      </c>
      <c r="F25" s="26">
        <v>593</v>
      </c>
      <c r="G25" s="26">
        <v>5</v>
      </c>
      <c r="H25" s="26" t="s">
        <v>118</v>
      </c>
      <c r="I25" s="34"/>
      <c r="J25" s="26" t="s">
        <v>67</v>
      </c>
      <c r="K25" s="26">
        <v>594</v>
      </c>
      <c r="L25" s="26">
        <v>599</v>
      </c>
      <c r="M25" s="26">
        <v>6</v>
      </c>
      <c r="N25" s="26" t="s">
        <v>39</v>
      </c>
      <c r="O25" s="26"/>
      <c r="P25" s="26" t="s">
        <v>119</v>
      </c>
      <c r="Q25" s="26" t="s">
        <v>36</v>
      </c>
    </row>
    <row r="26" spans="2:17">
      <c r="B26" s="23" t="s">
        <v>120</v>
      </c>
      <c r="C26" s="23" t="s">
        <v>121</v>
      </c>
      <c r="D26" s="23" t="s">
        <v>30</v>
      </c>
      <c r="E26" s="23">
        <v>1</v>
      </c>
      <c r="F26" s="23">
        <v>500</v>
      </c>
      <c r="G26" s="23">
        <v>500</v>
      </c>
      <c r="H26" s="23"/>
      <c r="I26" s="32"/>
      <c r="J26" s="23" t="s">
        <v>121</v>
      </c>
      <c r="K26" s="23">
        <v>1</v>
      </c>
      <c r="L26" s="23">
        <v>500</v>
      </c>
      <c r="M26" s="23">
        <v>500</v>
      </c>
      <c r="N26" s="23"/>
      <c r="O26" s="23"/>
      <c r="P26" s="23" t="s">
        <v>31</v>
      </c>
      <c r="Q26" s="23" t="s">
        <v>30</v>
      </c>
    </row>
    <row r="27" spans="2:17">
      <c r="B27" s="23" t="s">
        <v>122</v>
      </c>
      <c r="C27" s="23" t="s">
        <v>121</v>
      </c>
      <c r="D27" s="23">
        <v>26</v>
      </c>
      <c r="E27" s="23">
        <v>169</v>
      </c>
      <c r="F27" s="23">
        <v>173</v>
      </c>
      <c r="G27" s="23">
        <v>5</v>
      </c>
      <c r="H27" s="23" t="s">
        <v>38</v>
      </c>
      <c r="I27" s="32"/>
      <c r="J27" s="23" t="s">
        <v>121</v>
      </c>
      <c r="K27" s="23">
        <v>175</v>
      </c>
      <c r="L27" s="23">
        <v>180</v>
      </c>
      <c r="M27" s="23">
        <v>6</v>
      </c>
      <c r="N27" s="23" t="s">
        <v>39</v>
      </c>
      <c r="O27" s="23"/>
      <c r="P27" s="23" t="s">
        <v>40</v>
      </c>
      <c r="Q27" s="23" t="s">
        <v>36</v>
      </c>
    </row>
    <row r="28" spans="2:17" ht="43.5">
      <c r="B28" s="23" t="s">
        <v>123</v>
      </c>
      <c r="C28" s="23" t="s">
        <v>121</v>
      </c>
      <c r="D28" s="23">
        <v>81</v>
      </c>
      <c r="E28" s="23">
        <v>147</v>
      </c>
      <c r="F28" s="23">
        <v>151</v>
      </c>
      <c r="G28" s="23">
        <v>5</v>
      </c>
      <c r="H28" s="23" t="s">
        <v>124</v>
      </c>
      <c r="I28" s="32"/>
      <c r="J28" s="23" t="s">
        <v>121</v>
      </c>
      <c r="K28" s="23">
        <v>169</v>
      </c>
      <c r="L28" s="23">
        <v>180</v>
      </c>
      <c r="M28" s="23">
        <v>12</v>
      </c>
      <c r="N28" s="32" t="s">
        <v>125</v>
      </c>
      <c r="O28" s="23"/>
      <c r="P28" s="23" t="s">
        <v>126</v>
      </c>
      <c r="Q28" s="23" t="s">
        <v>36</v>
      </c>
    </row>
    <row r="31" spans="2:17">
      <c r="B31" s="23" t="s">
        <v>127</v>
      </c>
      <c r="C31" s="23" t="s">
        <v>128</v>
      </c>
      <c r="D31" s="23" t="s">
        <v>30</v>
      </c>
      <c r="E31" s="23">
        <v>1</v>
      </c>
      <c r="F31" s="23">
        <v>500</v>
      </c>
      <c r="G31" s="23">
        <v>500</v>
      </c>
      <c r="H31" s="23"/>
      <c r="I31" s="32"/>
      <c r="J31" s="23" t="s">
        <v>128</v>
      </c>
      <c r="K31" s="23">
        <v>1</v>
      </c>
      <c r="L31" s="23">
        <v>500</v>
      </c>
      <c r="M31" s="23">
        <v>500</v>
      </c>
      <c r="N31" s="23"/>
      <c r="O31" s="23"/>
      <c r="P31" s="23" t="s">
        <v>31</v>
      </c>
      <c r="Q31" s="23" t="s">
        <v>30</v>
      </c>
    </row>
    <row r="32" spans="2:17">
      <c r="B32" s="23" t="s">
        <v>129</v>
      </c>
      <c r="C32" s="23" t="s">
        <v>128</v>
      </c>
      <c r="D32" s="23" t="s">
        <v>30</v>
      </c>
      <c r="E32" s="23">
        <v>501</v>
      </c>
      <c r="F32" s="23">
        <v>500</v>
      </c>
      <c r="G32" s="23">
        <v>500</v>
      </c>
      <c r="H32" s="23"/>
      <c r="I32" s="32"/>
      <c r="J32" s="23" t="s">
        <v>128</v>
      </c>
      <c r="K32" s="23">
        <v>501</v>
      </c>
      <c r="L32" s="23">
        <v>500</v>
      </c>
      <c r="M32" s="23">
        <v>500</v>
      </c>
      <c r="N32" s="23"/>
      <c r="O32" s="23"/>
      <c r="P32" s="23" t="s">
        <v>31</v>
      </c>
      <c r="Q32" s="23" t="s">
        <v>30</v>
      </c>
    </row>
    <row r="33" spans="2:17">
      <c r="B33" s="23" t="s">
        <v>130</v>
      </c>
      <c r="C33" s="23" t="s">
        <v>128</v>
      </c>
      <c r="D33" s="23">
        <v>159</v>
      </c>
      <c r="E33" s="23">
        <v>25</v>
      </c>
      <c r="F33" s="23">
        <v>29</v>
      </c>
      <c r="G33" s="23">
        <v>5</v>
      </c>
      <c r="H33" s="23" t="s">
        <v>131</v>
      </c>
      <c r="I33" s="32"/>
      <c r="J33" s="23" t="s">
        <v>128</v>
      </c>
      <c r="K33" s="23">
        <v>501</v>
      </c>
      <c r="L33" s="23">
        <v>505</v>
      </c>
      <c r="M33" s="23">
        <v>5</v>
      </c>
      <c r="N33" s="23" t="s">
        <v>132</v>
      </c>
      <c r="O33" s="23"/>
      <c r="P33" s="23" t="s">
        <v>133</v>
      </c>
      <c r="Q33" s="23" t="s">
        <v>36</v>
      </c>
    </row>
    <row r="34" spans="2:17">
      <c r="B34" s="23" t="s">
        <v>134</v>
      </c>
      <c r="C34" s="23" t="s">
        <v>128</v>
      </c>
      <c r="D34" s="23">
        <v>160</v>
      </c>
      <c r="E34" s="23">
        <v>220</v>
      </c>
      <c r="F34" s="23">
        <v>224</v>
      </c>
      <c r="G34" s="23">
        <v>5</v>
      </c>
      <c r="H34" s="23" t="s">
        <v>135</v>
      </c>
      <c r="I34" s="32"/>
      <c r="J34" s="23" t="s">
        <v>128</v>
      </c>
      <c r="K34" s="23">
        <v>506</v>
      </c>
      <c r="L34" s="23">
        <v>510</v>
      </c>
      <c r="M34" s="23">
        <v>5</v>
      </c>
      <c r="N34" s="23" t="s">
        <v>136</v>
      </c>
      <c r="O34" s="23"/>
      <c r="P34" s="23" t="s">
        <v>137</v>
      </c>
      <c r="Q34" s="23" t="s">
        <v>36</v>
      </c>
    </row>
    <row r="35" spans="2:17">
      <c r="B35" s="23" t="s">
        <v>138</v>
      </c>
      <c r="C35" s="23" t="s">
        <v>128</v>
      </c>
      <c r="D35" s="23">
        <v>124</v>
      </c>
      <c r="E35" s="23">
        <v>327</v>
      </c>
      <c r="F35" s="23">
        <v>331</v>
      </c>
      <c r="G35" s="23">
        <v>5</v>
      </c>
      <c r="H35" s="23" t="s">
        <v>139</v>
      </c>
      <c r="I35" s="32"/>
      <c r="J35" s="23" t="s">
        <v>128</v>
      </c>
      <c r="K35" s="23">
        <v>511</v>
      </c>
      <c r="L35" s="23">
        <v>515</v>
      </c>
      <c r="M35" s="23">
        <v>5</v>
      </c>
      <c r="N35" s="23" t="s">
        <v>140</v>
      </c>
      <c r="O35" s="23"/>
      <c r="P35" s="23" t="s">
        <v>141</v>
      </c>
      <c r="Q35" s="23" t="s">
        <v>36</v>
      </c>
    </row>
    <row r="36" spans="2:17">
      <c r="B36" s="23" t="s">
        <v>142</v>
      </c>
      <c r="C36" s="23" t="s">
        <v>143</v>
      </c>
      <c r="D36" s="23" t="s">
        <v>30</v>
      </c>
      <c r="E36" s="23">
        <v>1</v>
      </c>
      <c r="F36" s="23">
        <v>250</v>
      </c>
      <c r="G36" s="23">
        <v>250</v>
      </c>
      <c r="H36" s="23" t="s">
        <v>144</v>
      </c>
      <c r="I36" s="32"/>
      <c r="J36" s="23" t="s">
        <v>143</v>
      </c>
      <c r="K36" s="23">
        <v>1</v>
      </c>
      <c r="L36" s="23">
        <v>250</v>
      </c>
      <c r="M36" s="23">
        <v>250</v>
      </c>
      <c r="N36" s="23"/>
      <c r="O36" s="23"/>
      <c r="P36" s="23" t="s">
        <v>31</v>
      </c>
      <c r="Q36" s="23" t="s">
        <v>30</v>
      </c>
    </row>
    <row r="37" spans="2:17">
      <c r="B37" s="23" t="s">
        <v>145</v>
      </c>
      <c r="C37" s="23" t="s">
        <v>143</v>
      </c>
      <c r="D37" s="23">
        <v>161</v>
      </c>
      <c r="E37" s="23">
        <v>35</v>
      </c>
      <c r="F37" s="23">
        <v>39</v>
      </c>
      <c r="G37" s="23">
        <v>5</v>
      </c>
      <c r="H37" s="23" t="s">
        <v>146</v>
      </c>
      <c r="I37" s="32"/>
      <c r="J37" s="23" t="s">
        <v>143</v>
      </c>
      <c r="K37" s="23">
        <v>129</v>
      </c>
      <c r="L37" s="23">
        <v>133</v>
      </c>
      <c r="M37" s="23">
        <v>5</v>
      </c>
      <c r="N37" s="23" t="s">
        <v>147</v>
      </c>
      <c r="O37" s="23"/>
      <c r="P37" s="23" t="s">
        <v>148</v>
      </c>
      <c r="Q37" s="23" t="s">
        <v>43</v>
      </c>
    </row>
    <row r="38" spans="2:17">
      <c r="B38" s="23" t="s">
        <v>149</v>
      </c>
      <c r="C38" s="23" t="s">
        <v>143</v>
      </c>
      <c r="D38" s="23">
        <v>161</v>
      </c>
      <c r="E38" s="23">
        <v>40</v>
      </c>
      <c r="F38" s="23">
        <v>44</v>
      </c>
      <c r="G38" s="23">
        <v>5</v>
      </c>
      <c r="H38" s="23" t="s">
        <v>150</v>
      </c>
      <c r="I38" s="32"/>
      <c r="J38" s="23" t="s">
        <v>143</v>
      </c>
      <c r="K38" s="23">
        <v>129</v>
      </c>
      <c r="L38" s="23">
        <v>133</v>
      </c>
      <c r="M38" s="23">
        <v>5</v>
      </c>
      <c r="N38" s="23" t="s">
        <v>147</v>
      </c>
      <c r="O38" s="23"/>
      <c r="P38" s="23" t="s">
        <v>148</v>
      </c>
      <c r="Q38" s="23" t="s">
        <v>36</v>
      </c>
    </row>
    <row r="39" spans="2:17">
      <c r="B39" s="23"/>
      <c r="C39" s="23"/>
      <c r="D39" s="23"/>
      <c r="E39" s="23"/>
      <c r="F39" s="23"/>
      <c r="G39" s="23"/>
      <c r="H39" s="23"/>
      <c r="I39" s="32"/>
      <c r="J39" s="23"/>
      <c r="K39" s="23"/>
      <c r="L39" s="23"/>
      <c r="M39" s="23"/>
      <c r="N39" s="23"/>
      <c r="O39" s="23"/>
      <c r="P39" s="23"/>
      <c r="Q39" s="23"/>
    </row>
    <row r="43" spans="2:17">
      <c r="B43" t="s">
        <v>151</v>
      </c>
      <c r="C43" t="s">
        <v>144</v>
      </c>
      <c r="E43">
        <v>1</v>
      </c>
      <c r="F43" t="s">
        <v>30</v>
      </c>
      <c r="G43">
        <v>500</v>
      </c>
      <c r="K43">
        <v>1</v>
      </c>
      <c r="L43" t="s">
        <v>30</v>
      </c>
      <c r="M43">
        <v>500</v>
      </c>
      <c r="P43" t="s">
        <v>31</v>
      </c>
      <c r="Q43" t="s">
        <v>30</v>
      </c>
    </row>
    <row r="44" spans="2:17">
      <c r="B44" t="s">
        <v>152</v>
      </c>
      <c r="C44" t="s">
        <v>153</v>
      </c>
      <c r="E44">
        <v>25</v>
      </c>
      <c r="F44">
        <v>29</v>
      </c>
      <c r="G44">
        <v>5</v>
      </c>
      <c r="K44">
        <v>228</v>
      </c>
      <c r="L44">
        <v>232</v>
      </c>
      <c r="M44">
        <v>5</v>
      </c>
      <c r="N44" t="s">
        <v>154</v>
      </c>
      <c r="P44" t="s">
        <v>155</v>
      </c>
      <c r="Q44" t="s">
        <v>43</v>
      </c>
    </row>
    <row r="45" spans="2:17">
      <c r="B45" t="s">
        <v>156</v>
      </c>
      <c r="C45" t="s">
        <v>157</v>
      </c>
      <c r="E45">
        <v>30</v>
      </c>
      <c r="F45">
        <v>34</v>
      </c>
      <c r="G45">
        <v>5</v>
      </c>
      <c r="K45">
        <v>228</v>
      </c>
      <c r="L45">
        <v>232</v>
      </c>
      <c r="M45">
        <v>5</v>
      </c>
      <c r="N45" t="s">
        <v>154</v>
      </c>
      <c r="P45" t="s">
        <v>155</v>
      </c>
      <c r="Q45" t="s">
        <v>36</v>
      </c>
    </row>
    <row r="48" spans="2:17">
      <c r="B48" t="s">
        <v>158</v>
      </c>
      <c r="C48" t="s">
        <v>159</v>
      </c>
      <c r="D48" t="s">
        <v>30</v>
      </c>
      <c r="E48">
        <v>1</v>
      </c>
      <c r="F48">
        <v>300</v>
      </c>
      <c r="G48">
        <v>300</v>
      </c>
      <c r="K48">
        <v>1</v>
      </c>
      <c r="L48">
        <v>300</v>
      </c>
      <c r="M48">
        <v>300</v>
      </c>
      <c r="P48" t="s">
        <v>31</v>
      </c>
    </row>
    <row r="49" spans="2:17">
      <c r="B49" t="s">
        <v>160</v>
      </c>
      <c r="C49" t="s">
        <v>159</v>
      </c>
      <c r="D49">
        <v>1</v>
      </c>
      <c r="E49">
        <v>1</v>
      </c>
      <c r="F49">
        <v>5</v>
      </c>
      <c r="G49">
        <v>5</v>
      </c>
      <c r="H49" t="s">
        <v>161</v>
      </c>
      <c r="K49">
        <v>160</v>
      </c>
      <c r="L49">
        <v>161</v>
      </c>
      <c r="M49">
        <v>2</v>
      </c>
      <c r="N49" t="s">
        <v>162</v>
      </c>
      <c r="P49" t="s">
        <v>163</v>
      </c>
      <c r="Q49" t="s">
        <v>36</v>
      </c>
    </row>
    <row r="50" spans="2:17">
      <c r="B50" t="s">
        <v>164</v>
      </c>
      <c r="C50" t="s">
        <v>159</v>
      </c>
      <c r="D50">
        <v>12</v>
      </c>
      <c r="E50">
        <v>57</v>
      </c>
      <c r="F50">
        <v>61</v>
      </c>
      <c r="G50">
        <v>5</v>
      </c>
      <c r="H50" t="s">
        <v>165</v>
      </c>
      <c r="K50">
        <v>182</v>
      </c>
      <c r="L50">
        <v>185</v>
      </c>
      <c r="M50">
        <v>4</v>
      </c>
      <c r="N50" t="s">
        <v>166</v>
      </c>
      <c r="P50" t="s">
        <v>167</v>
      </c>
      <c r="Q50" t="s">
        <v>36</v>
      </c>
    </row>
    <row r="51" spans="2:17">
      <c r="B51" t="s">
        <v>168</v>
      </c>
      <c r="C51" t="s">
        <v>159</v>
      </c>
      <c r="D51">
        <v>12</v>
      </c>
      <c r="E51">
        <v>62</v>
      </c>
      <c r="F51">
        <v>66</v>
      </c>
      <c r="G51">
        <v>5</v>
      </c>
      <c r="H51" t="s">
        <v>169</v>
      </c>
      <c r="K51">
        <v>182</v>
      </c>
      <c r="L51">
        <v>185</v>
      </c>
      <c r="M51">
        <v>4</v>
      </c>
      <c r="N51" t="s">
        <v>166</v>
      </c>
      <c r="P51" t="s">
        <v>167</v>
      </c>
      <c r="Q51" t="s">
        <v>43</v>
      </c>
    </row>
    <row r="55" spans="2:17">
      <c r="B55" t="s">
        <v>170</v>
      </c>
      <c r="C55" t="s">
        <v>161</v>
      </c>
      <c r="D55">
        <v>1</v>
      </c>
      <c r="E55">
        <v>1</v>
      </c>
      <c r="F55">
        <v>5</v>
      </c>
      <c r="G55">
        <v>5</v>
      </c>
      <c r="K55">
        <v>264</v>
      </c>
      <c r="L55">
        <v>265</v>
      </c>
      <c r="M55">
        <v>2</v>
      </c>
      <c r="N55" t="s">
        <v>162</v>
      </c>
      <c r="P55" t="s">
        <v>163</v>
      </c>
    </row>
    <row r="56" spans="2:17">
      <c r="B56" t="s">
        <v>171</v>
      </c>
      <c r="C56" t="s">
        <v>172</v>
      </c>
      <c r="D56">
        <v>2</v>
      </c>
      <c r="E56">
        <v>164</v>
      </c>
      <c r="F56">
        <v>168</v>
      </c>
      <c r="G56">
        <v>5</v>
      </c>
      <c r="K56">
        <v>276</v>
      </c>
      <c r="L56">
        <v>278</v>
      </c>
      <c r="M56">
        <v>3</v>
      </c>
      <c r="N56" t="s">
        <v>173</v>
      </c>
      <c r="P56" t="s">
        <v>174</v>
      </c>
    </row>
    <row r="57" spans="2:17">
      <c r="B57" t="s">
        <v>175</v>
      </c>
      <c r="C57" t="s">
        <v>176</v>
      </c>
      <c r="D57">
        <v>18</v>
      </c>
      <c r="E57">
        <v>212</v>
      </c>
      <c r="F57">
        <v>216</v>
      </c>
      <c r="G57">
        <v>5</v>
      </c>
      <c r="K57">
        <v>279</v>
      </c>
      <c r="L57">
        <v>283</v>
      </c>
      <c r="M57">
        <v>5</v>
      </c>
      <c r="N57" t="s">
        <v>177</v>
      </c>
      <c r="P57" t="s">
        <v>178</v>
      </c>
    </row>
    <row r="58" spans="2:17">
      <c r="B58" t="s">
        <v>179</v>
      </c>
      <c r="C58" t="s">
        <v>180</v>
      </c>
      <c r="D58">
        <v>18</v>
      </c>
      <c r="E58">
        <v>217</v>
      </c>
      <c r="F58">
        <v>221</v>
      </c>
      <c r="G58">
        <v>5</v>
      </c>
      <c r="K58">
        <v>284</v>
      </c>
      <c r="L58">
        <v>288</v>
      </c>
      <c r="M58">
        <v>5</v>
      </c>
      <c r="N58" t="s">
        <v>181</v>
      </c>
      <c r="P58" t="s">
        <v>178</v>
      </c>
    </row>
    <row r="59" spans="2:17">
      <c r="B59" t="s">
        <v>182</v>
      </c>
      <c r="C59" t="s">
        <v>183</v>
      </c>
      <c r="D59">
        <v>18</v>
      </c>
      <c r="E59">
        <v>222</v>
      </c>
      <c r="F59">
        <v>226</v>
      </c>
      <c r="G59">
        <v>5</v>
      </c>
      <c r="K59">
        <v>289</v>
      </c>
      <c r="L59">
        <v>293</v>
      </c>
      <c r="M59">
        <v>5</v>
      </c>
      <c r="N59" t="s">
        <v>184</v>
      </c>
      <c r="P59" t="s">
        <v>178</v>
      </c>
    </row>
    <row r="62" spans="2:17">
      <c r="B62" t="s">
        <v>185</v>
      </c>
      <c r="C62" t="s">
        <v>161</v>
      </c>
      <c r="D62">
        <v>1</v>
      </c>
      <c r="E62">
        <v>1</v>
      </c>
      <c r="F62">
        <v>5</v>
      </c>
      <c r="K62">
        <v>59</v>
      </c>
      <c r="L62">
        <v>60</v>
      </c>
      <c r="M62">
        <v>2</v>
      </c>
      <c r="N62" t="s">
        <v>162</v>
      </c>
      <c r="P62" t="s">
        <v>163</v>
      </c>
    </row>
    <row r="63" spans="2:17">
      <c r="B63" t="s">
        <v>186</v>
      </c>
      <c r="C63" t="s">
        <v>187</v>
      </c>
      <c r="D63">
        <v>58</v>
      </c>
      <c r="E63">
        <v>34</v>
      </c>
      <c r="F63">
        <v>38</v>
      </c>
      <c r="K63">
        <v>91</v>
      </c>
      <c r="L63">
        <v>91</v>
      </c>
      <c r="M63">
        <v>1</v>
      </c>
      <c r="N63" t="s">
        <v>188</v>
      </c>
      <c r="P63" t="s">
        <v>189</v>
      </c>
    </row>
    <row r="65" spans="2:16">
      <c r="B65" t="s">
        <v>190</v>
      </c>
      <c r="C65" t="s">
        <v>144</v>
      </c>
      <c r="D65" t="s">
        <v>30</v>
      </c>
      <c r="E65">
        <v>1</v>
      </c>
      <c r="F65">
        <v>250</v>
      </c>
      <c r="G65">
        <v>250</v>
      </c>
      <c r="K65">
        <v>1</v>
      </c>
      <c r="L65">
        <v>250</v>
      </c>
      <c r="M65">
        <v>250</v>
      </c>
      <c r="P65" t="s">
        <v>31</v>
      </c>
    </row>
    <row r="66" spans="2:16">
      <c r="B66" t="s">
        <v>191</v>
      </c>
      <c r="C66" t="s">
        <v>161</v>
      </c>
      <c r="D66">
        <v>1</v>
      </c>
      <c r="E66">
        <v>1</v>
      </c>
      <c r="F66">
        <v>5</v>
      </c>
      <c r="G66">
        <v>5</v>
      </c>
      <c r="K66">
        <v>113</v>
      </c>
      <c r="L66">
        <v>114</v>
      </c>
      <c r="M66">
        <v>2</v>
      </c>
      <c r="N66" t="s">
        <v>162</v>
      </c>
      <c r="P66" t="s">
        <v>163</v>
      </c>
    </row>
    <row r="67" spans="2:16">
      <c r="B67" t="s">
        <v>192</v>
      </c>
      <c r="C67" t="s">
        <v>176</v>
      </c>
      <c r="D67">
        <v>18</v>
      </c>
      <c r="E67">
        <v>88</v>
      </c>
      <c r="F67">
        <v>92</v>
      </c>
      <c r="G67">
        <v>5</v>
      </c>
      <c r="K67">
        <v>135</v>
      </c>
      <c r="L67">
        <v>139</v>
      </c>
      <c r="M67">
        <v>5</v>
      </c>
      <c r="N67" t="s">
        <v>177</v>
      </c>
      <c r="P67" t="s">
        <v>178</v>
      </c>
    </row>
    <row r="68" spans="2:16">
      <c r="B68" t="s">
        <v>193</v>
      </c>
      <c r="C68" t="s">
        <v>180</v>
      </c>
      <c r="D68">
        <v>18</v>
      </c>
      <c r="E68">
        <v>93</v>
      </c>
      <c r="F68">
        <v>97</v>
      </c>
      <c r="G68">
        <v>5</v>
      </c>
      <c r="K68">
        <v>140</v>
      </c>
      <c r="L68">
        <v>144</v>
      </c>
      <c r="M68">
        <v>5</v>
      </c>
      <c r="N68" t="s">
        <v>181</v>
      </c>
      <c r="P68" t="s">
        <v>178</v>
      </c>
    </row>
    <row r="69" spans="2:16">
      <c r="B69" t="s">
        <v>194</v>
      </c>
      <c r="C69" t="s">
        <v>183</v>
      </c>
      <c r="D69">
        <v>67</v>
      </c>
      <c r="E69">
        <v>98</v>
      </c>
      <c r="F69">
        <v>102</v>
      </c>
      <c r="G69">
        <v>5</v>
      </c>
      <c r="K69">
        <v>145</v>
      </c>
      <c r="L69">
        <v>149</v>
      </c>
      <c r="M69">
        <v>5</v>
      </c>
      <c r="N69" t="s">
        <v>184</v>
      </c>
      <c r="P69" t="s">
        <v>195</v>
      </c>
    </row>
    <row r="76" spans="2:16">
      <c r="B76" t="s">
        <v>196</v>
      </c>
      <c r="C76" t="s">
        <v>197</v>
      </c>
    </row>
    <row r="77" spans="2:16">
      <c r="B77" t="s">
        <v>198</v>
      </c>
      <c r="C77" t="s">
        <v>199</v>
      </c>
    </row>
    <row r="78" spans="2:16">
      <c r="B78" t="s">
        <v>200</v>
      </c>
      <c r="C78" t="s">
        <v>201</v>
      </c>
    </row>
    <row r="82" spans="2:5">
      <c r="B82" t="s">
        <v>202</v>
      </c>
      <c r="C82" t="s">
        <v>203</v>
      </c>
      <c r="D82" t="s">
        <v>204</v>
      </c>
      <c r="E82" t="s">
        <v>205</v>
      </c>
    </row>
    <row r="83" spans="2:5">
      <c r="C83" t="s">
        <v>206</v>
      </c>
      <c r="D83" t="s">
        <v>207</v>
      </c>
    </row>
    <row r="85" spans="2:5">
      <c r="B85" t="s">
        <v>208</v>
      </c>
      <c r="C85" t="s">
        <v>209</v>
      </c>
      <c r="D85" t="s">
        <v>210</v>
      </c>
    </row>
    <row r="86" spans="2:5">
      <c r="C86" t="s">
        <v>211</v>
      </c>
      <c r="D86" t="s">
        <v>212</v>
      </c>
      <c r="E86" t="s">
        <v>213</v>
      </c>
    </row>
    <row r="88" spans="2:5">
      <c r="B88" t="s">
        <v>214</v>
      </c>
      <c r="E88" t="s">
        <v>201</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5" bestFit="1" customWidth="1"/>
    <col min="4" max="4" width="84.85546875" style="35" bestFit="1" customWidth="1"/>
    <col min="5" max="5" width="11.42578125" bestFit="1" customWidth="1"/>
  </cols>
  <sheetData>
    <row r="1" spans="1:5">
      <c r="E1" t="s">
        <v>215</v>
      </c>
    </row>
    <row r="2" spans="1:5">
      <c r="A2">
        <v>5</v>
      </c>
      <c r="B2" t="s">
        <v>30</v>
      </c>
      <c r="C2" s="35" t="s">
        <v>216</v>
      </c>
      <c r="D2" s="35" t="s">
        <v>217</v>
      </c>
    </row>
    <row r="3" spans="1:5">
      <c r="A3">
        <v>9</v>
      </c>
      <c r="B3" t="s">
        <v>30</v>
      </c>
      <c r="C3" s="35" t="s">
        <v>218</v>
      </c>
      <c r="D3" s="35" t="s">
        <v>219</v>
      </c>
    </row>
    <row r="4" spans="1:5">
      <c r="A4">
        <v>13</v>
      </c>
      <c r="B4" t="s">
        <v>30</v>
      </c>
      <c r="C4" s="35" t="s">
        <v>220</v>
      </c>
      <c r="D4" s="35" t="s">
        <v>221</v>
      </c>
    </row>
    <row r="5" spans="1:5">
      <c r="A5">
        <v>17</v>
      </c>
      <c r="B5" t="s">
        <v>30</v>
      </c>
      <c r="C5" s="35" t="s">
        <v>222</v>
      </c>
      <c r="D5" s="35" t="s">
        <v>223</v>
      </c>
    </row>
    <row r="6" spans="1:5">
      <c r="A6">
        <v>21</v>
      </c>
      <c r="B6" t="s">
        <v>30</v>
      </c>
      <c r="C6" s="35" t="s">
        <v>224</v>
      </c>
      <c r="D6" s="35" t="s">
        <v>225</v>
      </c>
    </row>
    <row r="7" spans="1:5">
      <c r="A7">
        <v>25</v>
      </c>
      <c r="B7" t="s">
        <v>30</v>
      </c>
      <c r="C7" s="35" t="s">
        <v>226</v>
      </c>
      <c r="D7" s="35" t="s">
        <v>227</v>
      </c>
    </row>
    <row r="8" spans="1:5">
      <c r="A8">
        <v>29</v>
      </c>
      <c r="B8" t="s">
        <v>30</v>
      </c>
      <c r="C8" s="35" t="s">
        <v>228</v>
      </c>
      <c r="D8" s="35" t="s">
        <v>229</v>
      </c>
    </row>
    <row r="9" spans="1:5">
      <c r="A9">
        <v>33</v>
      </c>
      <c r="B9" t="s">
        <v>30</v>
      </c>
      <c r="C9" s="35" t="s">
        <v>230</v>
      </c>
      <c r="D9" s="35" t="s">
        <v>231</v>
      </c>
    </row>
    <row r="10" spans="1:5">
      <c r="A10">
        <v>37</v>
      </c>
      <c r="B10" t="s">
        <v>30</v>
      </c>
      <c r="C10" s="35" t="s">
        <v>232</v>
      </c>
      <c r="D10" s="35" t="s">
        <v>233</v>
      </c>
    </row>
    <row r="11" spans="1:5">
      <c r="A11">
        <v>41</v>
      </c>
      <c r="B11" t="s">
        <v>30</v>
      </c>
      <c r="C11" s="35" t="s">
        <v>234</v>
      </c>
      <c r="D11" s="35" t="s">
        <v>235</v>
      </c>
    </row>
    <row r="12" spans="1:5">
      <c r="A12">
        <v>45</v>
      </c>
      <c r="B12" t="s">
        <v>30</v>
      </c>
      <c r="C12" s="35" t="s">
        <v>236</v>
      </c>
      <c r="D12" s="35" t="s">
        <v>237</v>
      </c>
    </row>
    <row r="13" spans="1:5">
      <c r="A13">
        <v>49</v>
      </c>
      <c r="B13" t="s">
        <v>30</v>
      </c>
      <c r="C13" s="35" t="s">
        <v>238</v>
      </c>
      <c r="D13" s="35" t="s">
        <v>239</v>
      </c>
    </row>
    <row r="14" spans="1:5">
      <c r="A14">
        <v>56</v>
      </c>
      <c r="B14" t="s">
        <v>30</v>
      </c>
      <c r="C14" s="35" t="s">
        <v>240</v>
      </c>
      <c r="D14" s="35" t="s">
        <v>241</v>
      </c>
    </row>
    <row r="15" spans="1:5">
      <c r="A15">
        <v>60</v>
      </c>
      <c r="B15" t="s">
        <v>30</v>
      </c>
      <c r="C15" s="35" t="s">
        <v>242</v>
      </c>
      <c r="D15" s="35" t="s">
        <v>243</v>
      </c>
    </row>
    <row r="16" spans="1:5">
      <c r="A16">
        <v>64</v>
      </c>
      <c r="B16" t="s">
        <v>30</v>
      </c>
      <c r="C16" s="35" t="s">
        <v>244</v>
      </c>
      <c r="D16" s="35" t="s">
        <v>245</v>
      </c>
    </row>
    <row r="17" spans="1:4">
      <c r="A17">
        <v>68</v>
      </c>
      <c r="B17" t="s">
        <v>30</v>
      </c>
      <c r="C17" s="35" t="s">
        <v>246</v>
      </c>
      <c r="D17" s="35" t="s">
        <v>247</v>
      </c>
    </row>
    <row r="18" spans="1:4">
      <c r="A18">
        <v>72</v>
      </c>
      <c r="B18" t="s">
        <v>30</v>
      </c>
      <c r="C18" s="35" t="s">
        <v>248</v>
      </c>
      <c r="D18" s="35" t="s">
        <v>249</v>
      </c>
    </row>
    <row r="19" spans="1:4">
      <c r="A19">
        <v>73</v>
      </c>
      <c r="B19" t="s">
        <v>30</v>
      </c>
      <c r="C19" s="35" t="s">
        <v>30</v>
      </c>
      <c r="D19" s="35" t="s">
        <v>250</v>
      </c>
    </row>
    <row r="20" spans="1:4">
      <c r="A20">
        <v>74</v>
      </c>
      <c r="B20" t="s">
        <v>30</v>
      </c>
      <c r="D20" s="35" t="s">
        <v>251</v>
      </c>
    </row>
    <row r="21" spans="1:4">
      <c r="A21">
        <v>75</v>
      </c>
      <c r="B21" t="s">
        <v>30</v>
      </c>
      <c r="D21" s="35" t="s">
        <v>252</v>
      </c>
    </row>
    <row r="22" spans="1:4">
      <c r="A22">
        <v>79</v>
      </c>
      <c r="B22" t="s">
        <v>30</v>
      </c>
      <c r="C22" s="35" t="s">
        <v>253</v>
      </c>
      <c r="D22" s="35" t="s">
        <v>254</v>
      </c>
    </row>
    <row r="23" spans="1:4">
      <c r="A23">
        <v>83</v>
      </c>
      <c r="B23" t="s">
        <v>30</v>
      </c>
      <c r="C23" s="35" t="s">
        <v>255</v>
      </c>
      <c r="D23" s="35" t="s">
        <v>256</v>
      </c>
    </row>
    <row r="24" spans="1:4">
      <c r="A24">
        <v>87</v>
      </c>
      <c r="B24" t="s">
        <v>30</v>
      </c>
      <c r="C24" s="35" t="s">
        <v>257</v>
      </c>
      <c r="D24" s="35" t="s">
        <v>258</v>
      </c>
    </row>
    <row r="25" spans="1:4">
      <c r="A25">
        <v>91</v>
      </c>
      <c r="B25" t="s">
        <v>30</v>
      </c>
      <c r="C25" s="35" t="s">
        <v>259</v>
      </c>
      <c r="D25" s="35" t="s">
        <v>260</v>
      </c>
    </row>
    <row r="26" spans="1:4">
      <c r="A26">
        <v>95</v>
      </c>
      <c r="B26" t="s">
        <v>30</v>
      </c>
      <c r="C26" s="35" t="s">
        <v>261</v>
      </c>
      <c r="D26" s="35" t="s">
        <v>262</v>
      </c>
    </row>
    <row r="27" spans="1:4">
      <c r="A27">
        <v>96</v>
      </c>
      <c r="B27" t="s">
        <v>30</v>
      </c>
      <c r="C27" s="35" t="s">
        <v>30</v>
      </c>
      <c r="D27" s="35" t="s">
        <v>263</v>
      </c>
    </row>
    <row r="28" spans="1:4">
      <c r="A28">
        <v>97</v>
      </c>
      <c r="B28" t="s">
        <v>30</v>
      </c>
      <c r="D28" s="35" t="s">
        <v>264</v>
      </c>
    </row>
    <row r="29" spans="1:4">
      <c r="A29">
        <v>98</v>
      </c>
      <c r="B29" t="s">
        <v>30</v>
      </c>
      <c r="D29" s="35" t="s">
        <v>265</v>
      </c>
    </row>
    <row r="30" spans="1:4">
      <c r="A30">
        <v>99</v>
      </c>
      <c r="B30" t="s">
        <v>30</v>
      </c>
      <c r="D30" s="35" t="s">
        <v>266</v>
      </c>
    </row>
    <row r="31" spans="1:4">
      <c r="A31">
        <v>100</v>
      </c>
      <c r="B31" t="s">
        <v>30</v>
      </c>
      <c r="D31" s="35" t="s">
        <v>267</v>
      </c>
    </row>
    <row r="32" spans="1:4">
      <c r="A32">
        <v>101</v>
      </c>
      <c r="B32" t="s">
        <v>30</v>
      </c>
      <c r="D32" s="35" t="s">
        <v>268</v>
      </c>
    </row>
    <row r="33" spans="1:4">
      <c r="A33">
        <v>102</v>
      </c>
      <c r="B33" t="s">
        <v>30</v>
      </c>
      <c r="D33" s="35" t="s">
        <v>269</v>
      </c>
    </row>
    <row r="34" spans="1:4">
      <c r="A34">
        <v>103</v>
      </c>
      <c r="B34" t="s">
        <v>30</v>
      </c>
      <c r="D34" s="35" t="s">
        <v>270</v>
      </c>
    </row>
    <row r="35" spans="1:4">
      <c r="A35">
        <v>104</v>
      </c>
      <c r="B35" t="s">
        <v>30</v>
      </c>
      <c r="D35" s="35" t="s">
        <v>271</v>
      </c>
    </row>
    <row r="36" spans="1:4">
      <c r="A36">
        <v>105</v>
      </c>
      <c r="B36" t="s">
        <v>30</v>
      </c>
      <c r="D36" s="35" t="s">
        <v>272</v>
      </c>
    </row>
    <row r="37" spans="1:4">
      <c r="A37">
        <v>112</v>
      </c>
      <c r="B37" t="s">
        <v>30</v>
      </c>
      <c r="C37" s="35" t="s">
        <v>273</v>
      </c>
      <c r="D37" s="35" t="s">
        <v>274</v>
      </c>
    </row>
    <row r="38" spans="1:4">
      <c r="A38">
        <v>116</v>
      </c>
      <c r="B38" t="s">
        <v>30</v>
      </c>
      <c r="C38" s="35" t="s">
        <v>275</v>
      </c>
      <c r="D38" s="35" t="s">
        <v>276</v>
      </c>
    </row>
    <row r="39" spans="1:4">
      <c r="A39">
        <v>117</v>
      </c>
      <c r="B39" t="s">
        <v>30</v>
      </c>
      <c r="C39" s="35" t="s">
        <v>30</v>
      </c>
      <c r="D39" s="35" t="s">
        <v>277</v>
      </c>
    </row>
    <row r="40" spans="1:4">
      <c r="A40">
        <v>118</v>
      </c>
      <c r="B40" t="s">
        <v>30</v>
      </c>
      <c r="D40" s="35" t="s">
        <v>278</v>
      </c>
    </row>
    <row r="41" spans="1:4">
      <c r="A41">
        <v>119</v>
      </c>
      <c r="B41" t="s">
        <v>30</v>
      </c>
      <c r="D41" s="35" t="s">
        <v>279</v>
      </c>
    </row>
    <row r="42" spans="1:4">
      <c r="A42">
        <v>120</v>
      </c>
      <c r="B42" t="s">
        <v>30</v>
      </c>
      <c r="D42" s="35" t="s">
        <v>280</v>
      </c>
    </row>
    <row r="43" spans="1:4">
      <c r="A43">
        <v>121</v>
      </c>
      <c r="B43" t="s">
        <v>30</v>
      </c>
      <c r="D43" s="35" t="s">
        <v>281</v>
      </c>
    </row>
    <row r="44" spans="1:4">
      <c r="A44">
        <v>122</v>
      </c>
      <c r="B44" t="s">
        <v>30</v>
      </c>
      <c r="D44" s="35" t="s">
        <v>282</v>
      </c>
    </row>
    <row r="45" spans="1:4">
      <c r="A45">
        <v>123</v>
      </c>
      <c r="B45" t="s">
        <v>30</v>
      </c>
      <c r="D45" s="35" t="s">
        <v>283</v>
      </c>
    </row>
    <row r="46" spans="1:4">
      <c r="A46">
        <v>124</v>
      </c>
      <c r="B46" t="s">
        <v>30</v>
      </c>
      <c r="D46" s="35" t="s">
        <v>284</v>
      </c>
    </row>
    <row r="47" spans="1:4">
      <c r="A47">
        <v>125</v>
      </c>
      <c r="B47" t="s">
        <v>30</v>
      </c>
      <c r="D47" s="35" t="s">
        <v>285</v>
      </c>
    </row>
    <row r="48" spans="1:4">
      <c r="A48">
        <v>129</v>
      </c>
      <c r="B48" t="s">
        <v>30</v>
      </c>
      <c r="C48" s="35" t="s">
        <v>286</v>
      </c>
      <c r="D48" s="35" t="s">
        <v>287</v>
      </c>
    </row>
    <row r="49" spans="1:4">
      <c r="A49">
        <v>130</v>
      </c>
      <c r="B49" t="s">
        <v>30</v>
      </c>
      <c r="C49" s="35" t="s">
        <v>30</v>
      </c>
      <c r="D49" s="35" t="s">
        <v>288</v>
      </c>
    </row>
    <row r="50" spans="1:4">
      <c r="A50">
        <v>134</v>
      </c>
      <c r="B50" t="s">
        <v>30</v>
      </c>
      <c r="C50" s="35" t="s">
        <v>289</v>
      </c>
      <c r="D50" s="35" t="s">
        <v>290</v>
      </c>
    </row>
    <row r="51" spans="1:4">
      <c r="A51">
        <v>138</v>
      </c>
      <c r="B51" t="s">
        <v>30</v>
      </c>
      <c r="C51" s="35" t="s">
        <v>291</v>
      </c>
      <c r="D51" s="35" t="s">
        <v>292</v>
      </c>
    </row>
    <row r="52" spans="1:4">
      <c r="A52">
        <v>142</v>
      </c>
      <c r="B52" t="s">
        <v>30</v>
      </c>
      <c r="C52" s="35" t="s">
        <v>293</v>
      </c>
      <c r="D52" s="35" t="s">
        <v>294</v>
      </c>
    </row>
    <row r="53" spans="1:4">
      <c r="A53">
        <v>146</v>
      </c>
      <c r="B53" t="s">
        <v>30</v>
      </c>
      <c r="C53" s="35" t="s">
        <v>295</v>
      </c>
      <c r="D53" s="35" t="s">
        <v>296</v>
      </c>
    </row>
    <row r="54" spans="1:4">
      <c r="A54">
        <v>150</v>
      </c>
      <c r="B54" t="s">
        <v>30</v>
      </c>
      <c r="C54" s="35" t="s">
        <v>297</v>
      </c>
      <c r="D54" s="35" t="s">
        <v>298</v>
      </c>
    </row>
    <row r="55" spans="1:4">
      <c r="A55">
        <v>154</v>
      </c>
      <c r="B55" t="s">
        <v>30</v>
      </c>
      <c r="C55" s="35" t="s">
        <v>299</v>
      </c>
      <c r="D55" s="35" t="s">
        <v>300</v>
      </c>
    </row>
    <row r="56" spans="1:4">
      <c r="A56">
        <v>158</v>
      </c>
      <c r="B56" t="s">
        <v>30</v>
      </c>
      <c r="C56" s="35" t="s">
        <v>301</v>
      </c>
      <c r="D56" s="35" t="s">
        <v>302</v>
      </c>
    </row>
    <row r="57" spans="1:4">
      <c r="A57">
        <v>159</v>
      </c>
      <c r="B57" t="s">
        <v>30</v>
      </c>
      <c r="C57" s="35" t="s">
        <v>30</v>
      </c>
      <c r="D57" s="35" t="s">
        <v>303</v>
      </c>
    </row>
    <row r="58" spans="1:4">
      <c r="A58">
        <v>166</v>
      </c>
      <c r="B58" t="s">
        <v>30</v>
      </c>
      <c r="C58" s="35" t="s">
        <v>304</v>
      </c>
      <c r="D58" s="35" t="s">
        <v>305</v>
      </c>
    </row>
    <row r="59" spans="1:4">
      <c r="A59">
        <v>167</v>
      </c>
      <c r="B59" t="s">
        <v>30</v>
      </c>
      <c r="C59" s="35" t="s">
        <v>30</v>
      </c>
      <c r="D59" s="35" t="s">
        <v>306</v>
      </c>
    </row>
    <row r="60" spans="1:4">
      <c r="A60">
        <v>171</v>
      </c>
      <c r="B60" t="s">
        <v>30</v>
      </c>
      <c r="C60" s="35" t="s">
        <v>307</v>
      </c>
      <c r="D60" s="35" t="s">
        <v>308</v>
      </c>
    </row>
    <row r="61" spans="1:4">
      <c r="A61">
        <v>172</v>
      </c>
      <c r="B61" t="s">
        <v>30</v>
      </c>
      <c r="C61" s="35" t="s">
        <v>30</v>
      </c>
      <c r="D61" s="35" t="s">
        <v>309</v>
      </c>
    </row>
    <row r="62" spans="1:4">
      <c r="A62">
        <v>173</v>
      </c>
      <c r="B62" t="s">
        <v>30</v>
      </c>
      <c r="D62" s="35" t="s">
        <v>310</v>
      </c>
    </row>
    <row r="63" spans="1:4">
      <c r="A63">
        <v>177</v>
      </c>
      <c r="B63" t="s">
        <v>30</v>
      </c>
      <c r="C63" s="35" t="s">
        <v>311</v>
      </c>
      <c r="D63" s="35" t="s">
        <v>312</v>
      </c>
    </row>
    <row r="64" spans="1:4">
      <c r="A64">
        <v>178</v>
      </c>
      <c r="B64" t="s">
        <v>30</v>
      </c>
      <c r="C64" s="35" t="s">
        <v>30</v>
      </c>
      <c r="D64" s="35" t="s">
        <v>313</v>
      </c>
    </row>
    <row r="65" spans="1:4">
      <c r="A65">
        <v>182</v>
      </c>
      <c r="B65" t="s">
        <v>30</v>
      </c>
      <c r="C65" s="35" t="s">
        <v>314</v>
      </c>
      <c r="D65" s="35" t="s">
        <v>315</v>
      </c>
    </row>
    <row r="66" spans="1:4">
      <c r="A66">
        <v>183</v>
      </c>
      <c r="B66" t="s">
        <v>30</v>
      </c>
      <c r="C66" s="35" t="s">
        <v>30</v>
      </c>
      <c r="D66" s="35" t="s">
        <v>316</v>
      </c>
    </row>
    <row r="67" spans="1:4">
      <c r="A67">
        <v>184</v>
      </c>
      <c r="B67" t="s">
        <v>30</v>
      </c>
      <c r="D67" s="35" t="s">
        <v>317</v>
      </c>
    </row>
    <row r="68" spans="1:4">
      <c r="A68">
        <v>185</v>
      </c>
      <c r="B68" t="s">
        <v>30</v>
      </c>
      <c r="D68" s="35" t="s">
        <v>318</v>
      </c>
    </row>
    <row r="69" spans="1:4">
      <c r="A69">
        <v>186</v>
      </c>
      <c r="B69" t="s">
        <v>30</v>
      </c>
      <c r="D69" s="35" t="s">
        <v>319</v>
      </c>
    </row>
    <row r="70" spans="1:4">
      <c r="A70">
        <v>190</v>
      </c>
      <c r="B70" t="s">
        <v>30</v>
      </c>
      <c r="C70" s="35" t="s">
        <v>320</v>
      </c>
      <c r="D70" s="35" t="s">
        <v>321</v>
      </c>
    </row>
    <row r="71" spans="1:4">
      <c r="A71">
        <v>191</v>
      </c>
      <c r="B71" t="s">
        <v>30</v>
      </c>
      <c r="C71" s="35" t="s">
        <v>30</v>
      </c>
      <c r="D71" s="35" t="s">
        <v>322</v>
      </c>
    </row>
    <row r="72" spans="1:4">
      <c r="A72">
        <v>192</v>
      </c>
      <c r="B72" t="s">
        <v>30</v>
      </c>
      <c r="D72" s="35" t="s">
        <v>323</v>
      </c>
    </row>
    <row r="73" spans="1:4">
      <c r="A73">
        <v>196</v>
      </c>
      <c r="B73" t="s">
        <v>30</v>
      </c>
      <c r="C73" s="35" t="s">
        <v>324</v>
      </c>
      <c r="D73" s="35" t="s">
        <v>325</v>
      </c>
    </row>
    <row r="74" spans="1:4">
      <c r="A74">
        <v>197</v>
      </c>
      <c r="B74" t="s">
        <v>30</v>
      </c>
      <c r="C74" s="35" t="s">
        <v>30</v>
      </c>
      <c r="D74" s="35" t="s">
        <v>326</v>
      </c>
    </row>
    <row r="75" spans="1:4">
      <c r="A75">
        <v>198</v>
      </c>
      <c r="B75" t="s">
        <v>30</v>
      </c>
      <c r="D75" s="35" t="s">
        <v>327</v>
      </c>
    </row>
    <row r="76" spans="1:4">
      <c r="A76">
        <v>202</v>
      </c>
      <c r="B76" t="s">
        <v>30</v>
      </c>
      <c r="C76" s="35" t="s">
        <v>328</v>
      </c>
      <c r="D76" s="35" t="s">
        <v>329</v>
      </c>
    </row>
    <row r="77" spans="1:4">
      <c r="A77">
        <v>203</v>
      </c>
      <c r="B77" t="s">
        <v>30</v>
      </c>
      <c r="C77" s="35" t="s">
        <v>30</v>
      </c>
      <c r="D77" s="35" t="s">
        <v>330</v>
      </c>
    </row>
    <row r="78" spans="1:4">
      <c r="A78">
        <v>207</v>
      </c>
      <c r="B78" t="s">
        <v>30</v>
      </c>
      <c r="C78" s="35" t="s">
        <v>331</v>
      </c>
      <c r="D78" s="35" t="s">
        <v>332</v>
      </c>
    </row>
    <row r="79" spans="1:4">
      <c r="A79">
        <v>208</v>
      </c>
      <c r="B79" t="s">
        <v>30</v>
      </c>
      <c r="C79" s="35" t="s">
        <v>30</v>
      </c>
      <c r="D79" s="35" t="s">
        <v>333</v>
      </c>
    </row>
    <row r="80" spans="1:4">
      <c r="A80">
        <v>209</v>
      </c>
      <c r="B80" t="s">
        <v>30</v>
      </c>
      <c r="D80" s="35" t="s">
        <v>334</v>
      </c>
    </row>
    <row r="81" spans="1:4">
      <c r="A81">
        <v>210</v>
      </c>
      <c r="B81" t="s">
        <v>30</v>
      </c>
      <c r="D81" s="35" t="s">
        <v>335</v>
      </c>
    </row>
    <row r="82" spans="1:4">
      <c r="A82">
        <v>211</v>
      </c>
      <c r="B82" t="s">
        <v>30</v>
      </c>
      <c r="D82" s="35" t="s">
        <v>336</v>
      </c>
    </row>
    <row r="83" spans="1:4">
      <c r="A83">
        <v>212</v>
      </c>
      <c r="B83" t="s">
        <v>30</v>
      </c>
      <c r="D83" s="35" t="s">
        <v>337</v>
      </c>
    </row>
    <row r="84" spans="1:4">
      <c r="A84">
        <v>213</v>
      </c>
      <c r="B84" t="s">
        <v>30</v>
      </c>
      <c r="D84" s="35" t="s">
        <v>338</v>
      </c>
    </row>
    <row r="85" spans="1:4">
      <c r="A85">
        <v>214</v>
      </c>
      <c r="B85" t="s">
        <v>30</v>
      </c>
      <c r="D85" s="35" t="s">
        <v>339</v>
      </c>
    </row>
    <row r="86" spans="1:4">
      <c r="A86">
        <v>215</v>
      </c>
      <c r="B86" t="s">
        <v>30</v>
      </c>
    </row>
    <row r="87" spans="1:4">
      <c r="A87">
        <v>216</v>
      </c>
      <c r="B87" t="s">
        <v>30</v>
      </c>
    </row>
    <row r="88" spans="1:4">
      <c r="A88">
        <v>217</v>
      </c>
      <c r="B88" t="s">
        <v>30</v>
      </c>
      <c r="C88" s="35" t="s">
        <v>30</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340</v>
      </c>
      <c r="B2" s="24" t="s">
        <v>144</v>
      </c>
      <c r="C2" s="24" t="s">
        <v>30</v>
      </c>
      <c r="D2" s="24">
        <v>1</v>
      </c>
      <c r="E2" s="24" t="s">
        <v>30</v>
      </c>
      <c r="F2" s="24">
        <v>732</v>
      </c>
      <c r="I2">
        <v>1</v>
      </c>
      <c r="J2" t="s">
        <v>30</v>
      </c>
      <c r="K2">
        <v>732</v>
      </c>
      <c r="L2" t="s">
        <v>31</v>
      </c>
      <c r="M2" t="s">
        <v>30</v>
      </c>
    </row>
    <row r="3" spans="1:13">
      <c r="A3" s="24" t="s">
        <v>341</v>
      </c>
      <c r="B3" s="24" t="s">
        <v>342</v>
      </c>
      <c r="C3" s="24">
        <v>1</v>
      </c>
      <c r="D3" s="24">
        <v>11</v>
      </c>
      <c r="E3" s="24">
        <v>15</v>
      </c>
      <c r="F3" s="24">
        <v>5</v>
      </c>
      <c r="I3">
        <v>542</v>
      </c>
      <c r="J3">
        <v>543</v>
      </c>
      <c r="K3">
        <v>2</v>
      </c>
      <c r="L3" t="s">
        <v>163</v>
      </c>
      <c r="M3" t="s">
        <v>36</v>
      </c>
    </row>
    <row r="4" spans="1:13">
      <c r="A4" s="24" t="s">
        <v>343</v>
      </c>
      <c r="B4" s="24" t="s">
        <v>344</v>
      </c>
      <c r="C4" s="24">
        <v>3</v>
      </c>
      <c r="D4" s="24">
        <v>314</v>
      </c>
      <c r="E4" s="24">
        <v>318</v>
      </c>
      <c r="F4" s="24">
        <v>5</v>
      </c>
      <c r="H4" t="s">
        <v>91</v>
      </c>
      <c r="I4">
        <v>724</v>
      </c>
      <c r="J4">
        <v>726</v>
      </c>
      <c r="K4">
        <v>3</v>
      </c>
      <c r="L4" t="s">
        <v>92</v>
      </c>
      <c r="M4" t="s">
        <v>36</v>
      </c>
    </row>
    <row r="5" spans="1:13">
      <c r="A5" s="24" t="s">
        <v>345</v>
      </c>
      <c r="B5" s="24" t="s">
        <v>346</v>
      </c>
      <c r="C5" s="24">
        <v>112</v>
      </c>
      <c r="D5" s="24">
        <v>358</v>
      </c>
      <c r="E5" s="24">
        <v>362</v>
      </c>
      <c r="F5" s="24">
        <v>5</v>
      </c>
      <c r="H5" t="s">
        <v>347</v>
      </c>
      <c r="I5">
        <v>727</v>
      </c>
      <c r="J5">
        <v>727</v>
      </c>
      <c r="K5">
        <v>1</v>
      </c>
      <c r="L5" t="s">
        <v>348</v>
      </c>
      <c r="M5" t="s">
        <v>36</v>
      </c>
    </row>
    <row r="6" spans="1:13">
      <c r="A6" s="24" t="s">
        <v>349</v>
      </c>
      <c r="B6" s="24" t="s">
        <v>350</v>
      </c>
      <c r="C6" s="24">
        <v>113</v>
      </c>
      <c r="D6" s="24">
        <v>492</v>
      </c>
      <c r="E6" s="24">
        <v>496</v>
      </c>
      <c r="F6" s="24">
        <v>5</v>
      </c>
      <c r="H6" t="s">
        <v>351</v>
      </c>
      <c r="I6">
        <v>728</v>
      </c>
      <c r="J6">
        <v>729</v>
      </c>
      <c r="K6">
        <v>2</v>
      </c>
      <c r="L6" t="s">
        <v>352</v>
      </c>
      <c r="M6" t="s">
        <v>36</v>
      </c>
    </row>
    <row r="7" spans="1:13">
      <c r="A7" s="24" t="s">
        <v>353</v>
      </c>
      <c r="B7" s="24" t="s">
        <v>354</v>
      </c>
      <c r="C7" s="24">
        <v>6</v>
      </c>
      <c r="D7" s="24">
        <v>598</v>
      </c>
      <c r="E7" s="24">
        <v>602</v>
      </c>
      <c r="F7" s="24">
        <v>3</v>
      </c>
      <c r="H7" t="s">
        <v>355</v>
      </c>
      <c r="I7">
        <v>730</v>
      </c>
      <c r="J7">
        <v>732</v>
      </c>
      <c r="K7">
        <v>3</v>
      </c>
      <c r="L7" t="s">
        <v>356</v>
      </c>
      <c r="M7" t="s">
        <v>36</v>
      </c>
    </row>
    <row r="9" spans="1:13">
      <c r="D9" t="s">
        <v>357</v>
      </c>
    </row>
    <row r="10" spans="1:13">
      <c r="A10" s="30" t="s">
        <v>358</v>
      </c>
      <c r="B10" s="41" t="s">
        <v>359</v>
      </c>
      <c r="C10" t="s">
        <v>359</v>
      </c>
      <c r="D10" t="s">
        <v>360</v>
      </c>
      <c r="E10" t="s">
        <v>361</v>
      </c>
    </row>
    <row r="11" spans="1:13">
      <c r="A11" s="30" t="s">
        <v>362</v>
      </c>
      <c r="B11" t="s">
        <v>363</v>
      </c>
      <c r="C11" t="s">
        <v>364</v>
      </c>
      <c r="D11" t="s">
        <v>342</v>
      </c>
      <c r="E11" t="s">
        <v>365</v>
      </c>
    </row>
    <row r="12" spans="1:13">
      <c r="A12" s="30" t="s">
        <v>366</v>
      </c>
      <c r="B12" t="s">
        <v>367</v>
      </c>
      <c r="C12" t="s">
        <v>368</v>
      </c>
      <c r="D12" t="s">
        <v>369</v>
      </c>
      <c r="E12" s="48" t="s">
        <v>370</v>
      </c>
    </row>
    <row r="13" spans="1:13">
      <c r="A13" s="30" t="s">
        <v>371</v>
      </c>
      <c r="B13" t="s">
        <v>372</v>
      </c>
      <c r="C13" t="s">
        <v>351</v>
      </c>
      <c r="D13" t="s">
        <v>373</v>
      </c>
      <c r="E13" s="47" t="s">
        <v>374</v>
      </c>
    </row>
    <row r="14" spans="1:13">
      <c r="A14" s="28" t="s">
        <v>375</v>
      </c>
      <c r="B14" t="s">
        <v>347</v>
      </c>
      <c r="C14" t="s">
        <v>347</v>
      </c>
      <c r="D14" t="s">
        <v>376</v>
      </c>
      <c r="E14" s="33" t="s">
        <v>377</v>
      </c>
    </row>
    <row r="15" spans="1:13">
      <c r="A15" s="28" t="s">
        <v>378</v>
      </c>
      <c r="B15" t="s">
        <v>379</v>
      </c>
      <c r="C15" t="s">
        <v>380</v>
      </c>
      <c r="D15" t="s">
        <v>381</v>
      </c>
      <c r="E15" s="33" t="s">
        <v>382</v>
      </c>
    </row>
    <row r="16" spans="1:13">
      <c r="A16" s="31" t="s">
        <v>383</v>
      </c>
      <c r="B16" t="s">
        <v>384</v>
      </c>
      <c r="C16" t="s">
        <v>385</v>
      </c>
      <c r="D16" t="s">
        <v>386</v>
      </c>
      <c r="E16" s="43" t="s">
        <v>387</v>
      </c>
      <c r="F16" s="43" t="s">
        <v>388</v>
      </c>
      <c r="G16" s="43"/>
    </row>
    <row r="17" spans="1:8">
      <c r="A17" s="28" t="s">
        <v>389</v>
      </c>
      <c r="B17" t="s">
        <v>390</v>
      </c>
      <c r="C17" t="s">
        <v>390</v>
      </c>
      <c r="D17" t="s">
        <v>344</v>
      </c>
      <c r="E17" s="33" t="s">
        <v>391</v>
      </c>
    </row>
    <row r="18" spans="1:8">
      <c r="A18" s="28" t="s">
        <v>392</v>
      </c>
      <c r="B18" t="s">
        <v>393</v>
      </c>
      <c r="C18" t="s">
        <v>394</v>
      </c>
      <c r="D18" t="s">
        <v>395</v>
      </c>
      <c r="E18" s="33" t="s">
        <v>396</v>
      </c>
    </row>
    <row r="19" spans="1:8">
      <c r="A19" s="28" t="s">
        <v>397</v>
      </c>
      <c r="B19" t="s">
        <v>398</v>
      </c>
      <c r="C19" t="s">
        <v>399</v>
      </c>
      <c r="D19" t="s">
        <v>400</v>
      </c>
      <c r="E19" s="45" t="s">
        <v>401</v>
      </c>
    </row>
    <row r="20" spans="1:8">
      <c r="A20" s="28" t="s">
        <v>402</v>
      </c>
      <c r="B20" t="s">
        <v>403</v>
      </c>
      <c r="C20" t="s">
        <v>404</v>
      </c>
      <c r="D20" t="s">
        <v>405</v>
      </c>
      <c r="E20" s="45" t="s">
        <v>406</v>
      </c>
      <c r="H20" t="s">
        <v>407</v>
      </c>
    </row>
    <row r="21" spans="1:8">
      <c r="A21" s="28" t="s">
        <v>408</v>
      </c>
      <c r="B21" t="s">
        <v>409</v>
      </c>
      <c r="C21" t="s">
        <v>410</v>
      </c>
      <c r="D21" t="s">
        <v>411</v>
      </c>
      <c r="E21" s="45" t="s">
        <v>412</v>
      </c>
      <c r="G21">
        <v>6</v>
      </c>
    </row>
    <row r="22" spans="1:8">
      <c r="A22" s="28" t="s">
        <v>413</v>
      </c>
      <c r="B22" t="s">
        <v>414</v>
      </c>
      <c r="C22" t="s">
        <v>415</v>
      </c>
      <c r="D22" t="s">
        <v>416</v>
      </c>
      <c r="E22" s="45" t="s">
        <v>417</v>
      </c>
      <c r="G22">
        <v>10</v>
      </c>
    </row>
    <row r="23" spans="1:8">
      <c r="A23" s="31" t="s">
        <v>418</v>
      </c>
      <c r="B23" t="s">
        <v>419</v>
      </c>
      <c r="C23" t="s">
        <v>420</v>
      </c>
      <c r="D23" t="s">
        <v>421</v>
      </c>
      <c r="G23">
        <v>3</v>
      </c>
    </row>
    <row r="24" spans="1:8">
      <c r="A24" s="28" t="s">
        <v>422</v>
      </c>
      <c r="B24" t="s">
        <v>423</v>
      </c>
      <c r="C24" s="47" t="s">
        <v>424</v>
      </c>
      <c r="D24" t="s">
        <v>346</v>
      </c>
      <c r="E24" s="33" t="s">
        <v>425</v>
      </c>
      <c r="G24">
        <v>2</v>
      </c>
    </row>
    <row r="25" spans="1:8">
      <c r="A25" s="28" t="s">
        <v>426</v>
      </c>
      <c r="B25" t="s">
        <v>427</v>
      </c>
      <c r="C25" t="s">
        <v>428</v>
      </c>
      <c r="D25" t="s">
        <v>429</v>
      </c>
      <c r="E25" s="33" t="s">
        <v>430</v>
      </c>
      <c r="G25">
        <v>1</v>
      </c>
    </row>
    <row r="26" spans="1:8">
      <c r="A26" s="28" t="s">
        <v>431</v>
      </c>
      <c r="B26" s="46" t="s">
        <v>432</v>
      </c>
      <c r="C26" s="43" t="s">
        <v>433</v>
      </c>
      <c r="D26" t="s">
        <v>434</v>
      </c>
      <c r="E26" s="45" t="s">
        <v>435</v>
      </c>
      <c r="G26">
        <v>2</v>
      </c>
    </row>
    <row r="27" spans="1:8">
      <c r="A27" s="28" t="s">
        <v>436</v>
      </c>
      <c r="B27" t="s">
        <v>437</v>
      </c>
      <c r="C27" s="43" t="s">
        <v>438</v>
      </c>
      <c r="D27" t="s">
        <v>439</v>
      </c>
      <c r="E27" s="45" t="s">
        <v>440</v>
      </c>
      <c r="G27">
        <v>10</v>
      </c>
    </row>
    <row r="28" spans="1:8">
      <c r="A28" s="30" t="s">
        <v>441</v>
      </c>
      <c r="B28" t="s">
        <v>442</v>
      </c>
      <c r="C28" s="43" t="s">
        <v>443</v>
      </c>
      <c r="D28" t="s">
        <v>444</v>
      </c>
      <c r="E28" t="s">
        <v>445</v>
      </c>
      <c r="G28">
        <v>4</v>
      </c>
    </row>
    <row r="29" spans="1:8">
      <c r="A29" s="28" t="s">
        <v>446</v>
      </c>
      <c r="B29" t="s">
        <v>447</v>
      </c>
      <c r="C29" t="s">
        <v>448</v>
      </c>
      <c r="D29" t="s">
        <v>449</v>
      </c>
      <c r="E29" s="33" t="s">
        <v>450</v>
      </c>
      <c r="G29">
        <v>11</v>
      </c>
    </row>
    <row r="30" spans="1:8">
      <c r="A30" s="28" t="s">
        <v>451</v>
      </c>
      <c r="B30" t="s">
        <v>452</v>
      </c>
      <c r="C30" s="43" t="s">
        <v>453</v>
      </c>
      <c r="D30" t="s">
        <v>454</v>
      </c>
      <c r="E30" s="45" t="s">
        <v>455</v>
      </c>
      <c r="G30">
        <v>10</v>
      </c>
    </row>
    <row r="31" spans="1:8">
      <c r="A31" s="31" t="s">
        <v>456</v>
      </c>
      <c r="B31" t="s">
        <v>457</v>
      </c>
      <c r="C31" t="s">
        <v>458</v>
      </c>
      <c r="D31" t="s">
        <v>459</v>
      </c>
      <c r="E31" s="43" t="s">
        <v>460</v>
      </c>
      <c r="G31">
        <v>5</v>
      </c>
    </row>
    <row r="32" spans="1:8">
      <c r="A32" s="31" t="s">
        <v>461</v>
      </c>
      <c r="B32" s="42" t="s">
        <v>462</v>
      </c>
      <c r="C32" t="s">
        <v>463</v>
      </c>
      <c r="D32" t="s">
        <v>464</v>
      </c>
      <c r="E32" s="43" t="s">
        <v>465</v>
      </c>
      <c r="G32">
        <v>4</v>
      </c>
    </row>
    <row r="33" spans="1:7">
      <c r="A33" s="28" t="s">
        <v>466</v>
      </c>
      <c r="B33" t="s">
        <v>467</v>
      </c>
      <c r="C33" t="s">
        <v>468</v>
      </c>
      <c r="D33" t="s">
        <v>350</v>
      </c>
      <c r="E33" s="33" t="s">
        <v>469</v>
      </c>
      <c r="G33">
        <v>9</v>
      </c>
    </row>
    <row r="34" spans="1:7">
      <c r="A34" s="28" t="s">
        <v>470</v>
      </c>
      <c r="B34" t="s">
        <v>471</v>
      </c>
      <c r="C34" t="s">
        <v>472</v>
      </c>
      <c r="D34" t="s">
        <v>473</v>
      </c>
      <c r="E34" s="33" t="s">
        <v>474</v>
      </c>
      <c r="G34">
        <v>4</v>
      </c>
    </row>
    <row r="35" spans="1:7">
      <c r="A35" s="30" t="s">
        <v>475</v>
      </c>
      <c r="C35" s="43" t="s">
        <v>347</v>
      </c>
      <c r="D35" t="s">
        <v>476</v>
      </c>
      <c r="E35" t="s">
        <v>477</v>
      </c>
      <c r="G35">
        <v>5</v>
      </c>
    </row>
    <row r="36" spans="1:7">
      <c r="A36" s="30" t="s">
        <v>478</v>
      </c>
      <c r="C36" s="43" t="s">
        <v>351</v>
      </c>
      <c r="D36" t="s">
        <v>479</v>
      </c>
      <c r="E36" t="s">
        <v>480</v>
      </c>
      <c r="G36">
        <v>7</v>
      </c>
    </row>
    <row r="37" spans="1:7">
      <c r="A37" s="28" t="s">
        <v>481</v>
      </c>
      <c r="C37" s="43" t="s">
        <v>482</v>
      </c>
      <c r="D37" t="s">
        <v>483</v>
      </c>
      <c r="E37" s="33" t="s">
        <v>484</v>
      </c>
      <c r="G37">
        <v>6</v>
      </c>
    </row>
    <row r="38" spans="1:7">
      <c r="A38" s="30" t="s">
        <v>485</v>
      </c>
      <c r="C38" t="s">
        <v>390</v>
      </c>
      <c r="D38" t="s">
        <v>486</v>
      </c>
      <c r="E38" t="s">
        <v>487</v>
      </c>
      <c r="G38">
        <v>10</v>
      </c>
    </row>
    <row r="39" spans="1:7">
      <c r="A39" s="28" t="s">
        <v>488</v>
      </c>
      <c r="C39" t="s">
        <v>394</v>
      </c>
      <c r="D39" t="s">
        <v>354</v>
      </c>
      <c r="E39" s="33" t="s">
        <v>489</v>
      </c>
      <c r="G39">
        <v>17</v>
      </c>
    </row>
    <row r="40" spans="1:7">
      <c r="A40" s="28" t="s">
        <v>490</v>
      </c>
      <c r="C40" t="s">
        <v>399</v>
      </c>
      <c r="D40" t="s">
        <v>491</v>
      </c>
      <c r="E40" s="33" t="s">
        <v>492</v>
      </c>
      <c r="G40">
        <v>17</v>
      </c>
    </row>
    <row r="41" spans="1:7">
      <c r="A41" s="28" t="s">
        <v>493</v>
      </c>
      <c r="C41" t="s">
        <v>404</v>
      </c>
      <c r="D41" t="s">
        <v>493</v>
      </c>
      <c r="E41" s="45" t="s">
        <v>494</v>
      </c>
      <c r="G41">
        <v>10</v>
      </c>
    </row>
    <row r="42" spans="1:7">
      <c r="A42" s="28" t="s">
        <v>495</v>
      </c>
      <c r="C42" s="44" t="s">
        <v>496</v>
      </c>
      <c r="D42" t="s">
        <v>497</v>
      </c>
      <c r="E42" s="45" t="s">
        <v>498</v>
      </c>
      <c r="G42">
        <v>1</v>
      </c>
    </row>
    <row r="43" spans="1:7">
      <c r="A43" s="28" t="s">
        <v>499</v>
      </c>
      <c r="C43" s="44" t="s">
        <v>500</v>
      </c>
      <c r="D43" t="s">
        <v>501</v>
      </c>
      <c r="E43" s="33" t="s">
        <v>502</v>
      </c>
      <c r="G43">
        <v>4</v>
      </c>
    </row>
    <row r="44" spans="1:7">
      <c r="A44" s="28" t="s">
        <v>503</v>
      </c>
      <c r="C44" s="44" t="s">
        <v>504</v>
      </c>
      <c r="D44" t="s">
        <v>505</v>
      </c>
      <c r="E44" s="45" t="s">
        <v>506</v>
      </c>
      <c r="G44">
        <v>50</v>
      </c>
    </row>
    <row r="45" spans="1:7">
      <c r="A45" s="28" t="s">
        <v>507</v>
      </c>
      <c r="D45" t="s">
        <v>508</v>
      </c>
      <c r="E45" s="45" t="s">
        <v>509</v>
      </c>
      <c r="G45">
        <v>10</v>
      </c>
    </row>
    <row r="46" spans="1:7">
      <c r="A46" s="30"/>
      <c r="C46" t="s">
        <v>510</v>
      </c>
      <c r="D46" t="s">
        <v>511</v>
      </c>
      <c r="E46" s="48" t="s">
        <v>512</v>
      </c>
      <c r="G46">
        <v>1</v>
      </c>
    </row>
    <row r="47" spans="1:7">
      <c r="A47" s="30"/>
      <c r="C47" t="s">
        <v>513</v>
      </c>
      <c r="D47" t="s">
        <v>514</v>
      </c>
      <c r="E47" s="47" t="s">
        <v>515</v>
      </c>
      <c r="G47">
        <v>2</v>
      </c>
    </row>
    <row r="48" spans="1:7">
      <c r="A48" s="30"/>
      <c r="C48" t="s">
        <v>516</v>
      </c>
      <c r="D48" t="s">
        <v>517</v>
      </c>
      <c r="E48" t="s">
        <v>518</v>
      </c>
      <c r="G48">
        <v>3</v>
      </c>
    </row>
    <row r="49" spans="1:8">
      <c r="A49" s="30"/>
      <c r="C49" t="s">
        <v>519</v>
      </c>
      <c r="D49" t="s">
        <v>520</v>
      </c>
      <c r="E49" t="s">
        <v>521</v>
      </c>
      <c r="G49">
        <v>15</v>
      </c>
    </row>
    <row r="50" spans="1:8">
      <c r="A50" s="30" t="s">
        <v>522</v>
      </c>
      <c r="C50" t="s">
        <v>523</v>
      </c>
      <c r="D50" t="s">
        <v>524</v>
      </c>
      <c r="E50" s="43" t="s">
        <v>525</v>
      </c>
      <c r="G50">
        <v>10</v>
      </c>
    </row>
    <row r="51" spans="1:8">
      <c r="C51" t="s">
        <v>526</v>
      </c>
      <c r="E51" s="43" t="s">
        <v>527</v>
      </c>
      <c r="G51">
        <v>5</v>
      </c>
    </row>
    <row r="52" spans="1:8">
      <c r="C52" t="s">
        <v>528</v>
      </c>
      <c r="E52" s="43" t="s">
        <v>529</v>
      </c>
      <c r="G52">
        <v>4</v>
      </c>
    </row>
    <row r="53" spans="1:8">
      <c r="C53" t="s">
        <v>530</v>
      </c>
      <c r="E53" s="43" t="s">
        <v>531</v>
      </c>
      <c r="G53">
        <v>11</v>
      </c>
    </row>
    <row r="54" spans="1:8">
      <c r="C54" s="47" t="s">
        <v>532</v>
      </c>
      <c r="E54" s="43" t="s">
        <v>533</v>
      </c>
      <c r="G54">
        <v>2</v>
      </c>
      <c r="H54">
        <f>SUM(G21:G54)</f>
        <v>271</v>
      </c>
    </row>
    <row r="55" spans="1:8">
      <c r="C55" s="47" t="s">
        <v>534</v>
      </c>
      <c r="E55" s="43" t="s">
        <v>535</v>
      </c>
    </row>
    <row r="56" spans="1:8">
      <c r="C56" t="s">
        <v>536</v>
      </c>
      <c r="E56" s="43" t="s">
        <v>537</v>
      </c>
    </row>
    <row r="57" spans="1:8">
      <c r="C57" t="s">
        <v>538</v>
      </c>
    </row>
    <row r="58" spans="1:8">
      <c r="C58" t="s">
        <v>539</v>
      </c>
    </row>
    <row r="59" spans="1:8">
      <c r="C59" t="s">
        <v>540</v>
      </c>
    </row>
    <row r="61" spans="1:8">
      <c r="B61" t="s">
        <v>541</v>
      </c>
      <c r="C61" s="43" t="s">
        <v>542</v>
      </c>
    </row>
    <row r="62" spans="1:8">
      <c r="C62" s="43" t="s">
        <v>543</v>
      </c>
    </row>
    <row r="63" spans="1:8">
      <c r="C63" s="43" t="s">
        <v>91</v>
      </c>
    </row>
    <row r="64" spans="1:8">
      <c r="C64" s="43" t="s">
        <v>355</v>
      </c>
    </row>
    <row r="65" spans="2:3">
      <c r="C65" t="s">
        <v>544</v>
      </c>
    </row>
    <row r="66" spans="2:3">
      <c r="C66" t="s">
        <v>545</v>
      </c>
    </row>
    <row r="67" spans="2:3">
      <c r="C67" s="43" t="s">
        <v>546</v>
      </c>
    </row>
    <row r="68" spans="2:3">
      <c r="C68" t="s">
        <v>369</v>
      </c>
    </row>
    <row r="70" spans="2:3">
      <c r="B70" t="s">
        <v>547</v>
      </c>
      <c r="C70" s="48" t="s">
        <v>548</v>
      </c>
    </row>
    <row r="71" spans="2:3">
      <c r="C71" s="48" t="s">
        <v>369</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2" t="s">
        <v>549</v>
      </c>
      <c r="B1" s="38" t="s">
        <v>550</v>
      </c>
      <c r="C1" s="32" t="s">
        <v>551</v>
      </c>
      <c r="D1" s="32" t="s">
        <v>552</v>
      </c>
      <c r="E1" s="32" t="s">
        <v>553</v>
      </c>
      <c r="F1" s="32" t="s">
        <v>552</v>
      </c>
    </row>
    <row r="2" spans="1:7">
      <c r="A2" s="204" t="s">
        <v>554</v>
      </c>
      <c r="B2" s="37" t="s">
        <v>555</v>
      </c>
      <c r="C2" s="29"/>
      <c r="D2" s="39"/>
      <c r="E2" s="29" t="s">
        <v>556</v>
      </c>
      <c r="F2" s="39" t="s">
        <v>557</v>
      </c>
    </row>
    <row r="3" spans="1:7">
      <c r="A3" s="205"/>
      <c r="B3" s="38" t="s">
        <v>558</v>
      </c>
      <c r="C3" s="32" t="s">
        <v>559</v>
      </c>
      <c r="D3" s="32" t="s">
        <v>560</v>
      </c>
      <c r="E3" s="32" t="s">
        <v>561</v>
      </c>
      <c r="F3" s="32" t="s">
        <v>557</v>
      </c>
    </row>
    <row r="4" spans="1:7">
      <c r="A4" s="206"/>
      <c r="B4" s="24" t="s">
        <v>562</v>
      </c>
      <c r="C4" s="32" t="s">
        <v>563</v>
      </c>
      <c r="D4" s="32"/>
      <c r="E4" s="32" t="s">
        <v>564</v>
      </c>
      <c r="F4" s="32" t="s">
        <v>557</v>
      </c>
    </row>
    <row r="5" spans="1:7">
      <c r="A5" s="32" t="s">
        <v>565</v>
      </c>
      <c r="B5" s="27" t="s">
        <v>566</v>
      </c>
      <c r="C5" s="27" t="s">
        <v>567</v>
      </c>
      <c r="D5" s="32" t="s">
        <v>568</v>
      </c>
      <c r="E5" s="32"/>
      <c r="F5" s="32"/>
    </row>
    <row r="6" spans="1:7">
      <c r="A6" s="32"/>
      <c r="B6" s="32"/>
      <c r="C6" s="32"/>
      <c r="D6" s="32"/>
      <c r="E6" s="32"/>
      <c r="F6" s="32"/>
    </row>
    <row r="7" spans="1:7" ht="29.1">
      <c r="A7" s="32"/>
      <c r="B7" s="27"/>
      <c r="C7" s="27" t="s">
        <v>569</v>
      </c>
      <c r="D7" s="32"/>
      <c r="E7" s="32"/>
      <c r="F7" s="32"/>
      <c r="G7" s="32" t="s">
        <v>570</v>
      </c>
    </row>
    <row r="8" spans="1:7">
      <c r="A8" s="32"/>
      <c r="B8" s="32"/>
      <c r="C8" s="32"/>
      <c r="D8" s="32"/>
      <c r="E8" s="32"/>
      <c r="F8" s="32"/>
    </row>
    <row r="9" spans="1:7">
      <c r="A9" s="32" t="s">
        <v>571</v>
      </c>
      <c r="B9" s="32"/>
      <c r="C9" s="32" t="s">
        <v>572</v>
      </c>
      <c r="D9" s="32"/>
      <c r="E9" s="32"/>
      <c r="F9" s="32"/>
    </row>
    <row r="10" spans="1:7">
      <c r="A10" s="40"/>
      <c r="B10" s="40"/>
      <c r="C10" s="40"/>
      <c r="D10" s="40"/>
      <c r="E10" s="32"/>
      <c r="F10" s="32"/>
    </row>
    <row r="11" spans="1:7">
      <c r="A11" s="32" t="s">
        <v>573</v>
      </c>
      <c r="B11" s="32"/>
      <c r="C11" s="32" t="s">
        <v>574</v>
      </c>
      <c r="D11" s="32"/>
      <c r="E11" s="32"/>
      <c r="F11" s="32"/>
    </row>
    <row r="12" spans="1:7">
      <c r="A12" s="32" t="s">
        <v>573</v>
      </c>
      <c r="B12" s="32"/>
      <c r="C12" s="32" t="s">
        <v>575</v>
      </c>
      <c r="D12" s="32"/>
      <c r="E12" s="32"/>
      <c r="F12" s="32"/>
    </row>
    <row r="13" spans="1:7">
      <c r="A13" s="32" t="s">
        <v>573</v>
      </c>
      <c r="B13" s="32" t="s">
        <v>576</v>
      </c>
      <c r="C13" s="32" t="s">
        <v>577</v>
      </c>
      <c r="D13" s="32"/>
      <c r="E13" s="32" t="s">
        <v>578</v>
      </c>
      <c r="F13" s="32"/>
    </row>
    <row r="14" spans="1:7">
      <c r="A14" s="32" t="s">
        <v>573</v>
      </c>
      <c r="B14" s="32" t="s">
        <v>579</v>
      </c>
      <c r="C14" s="32" t="s">
        <v>580</v>
      </c>
      <c r="D14" s="32"/>
      <c r="E14" s="32" t="s">
        <v>581</v>
      </c>
      <c r="F14" s="32"/>
    </row>
    <row r="15" spans="1:7">
      <c r="A15" s="32"/>
      <c r="B15" s="32"/>
      <c r="C15" s="32"/>
      <c r="D15" s="32"/>
      <c r="E15" s="32"/>
      <c r="F15" s="32"/>
    </row>
    <row r="16" spans="1:7">
      <c r="A16" s="204" t="s">
        <v>582</v>
      </c>
      <c r="B16" s="204" t="s">
        <v>583</v>
      </c>
      <c r="C16" s="32" t="s">
        <v>584</v>
      </c>
      <c r="D16" s="32" t="s">
        <v>200</v>
      </c>
      <c r="E16" s="32" t="s">
        <v>585</v>
      </c>
      <c r="F16" s="32"/>
    </row>
    <row r="17" spans="1:6">
      <c r="A17" s="205"/>
      <c r="B17" s="205"/>
      <c r="C17" s="32" t="s">
        <v>586</v>
      </c>
      <c r="D17" s="32" t="s">
        <v>200</v>
      </c>
      <c r="E17" s="32" t="s">
        <v>587</v>
      </c>
      <c r="F17" s="32"/>
    </row>
    <row r="18" spans="1:6">
      <c r="A18" s="205"/>
      <c r="B18" s="205"/>
      <c r="C18" s="32" t="s">
        <v>588</v>
      </c>
      <c r="D18" s="32" t="s">
        <v>200</v>
      </c>
      <c r="E18" s="32" t="s">
        <v>589</v>
      </c>
      <c r="F18" s="32"/>
    </row>
    <row r="19" spans="1:6">
      <c r="A19" s="206"/>
      <c r="B19" s="206"/>
      <c r="C19" s="32" t="s">
        <v>590</v>
      </c>
      <c r="D19" s="32" t="s">
        <v>200</v>
      </c>
      <c r="E19" s="32" t="s">
        <v>591</v>
      </c>
      <c r="F19" s="32"/>
    </row>
    <row r="20" spans="1:6">
      <c r="A20" s="32"/>
      <c r="B20" s="32"/>
      <c r="C20" s="32"/>
      <c r="D20" s="32"/>
      <c r="E20" s="32"/>
      <c r="F20" s="32"/>
    </row>
    <row r="21" spans="1:6" ht="29.1">
      <c r="A21" s="32" t="s">
        <v>592</v>
      </c>
      <c r="B21" s="32" t="s">
        <v>593</v>
      </c>
      <c r="C21" s="32" t="s">
        <v>594</v>
      </c>
      <c r="D21" s="32" t="s">
        <v>595</v>
      </c>
      <c r="E21" s="32" t="s">
        <v>596</v>
      </c>
      <c r="F21" s="32"/>
    </row>
    <row r="22" spans="1:6">
      <c r="A22" s="32"/>
      <c r="B22" s="32"/>
      <c r="C22" s="32"/>
      <c r="D22" s="32"/>
      <c r="E22" s="32"/>
      <c r="F22" s="32"/>
    </row>
    <row r="23" spans="1:6">
      <c r="A23" s="32"/>
      <c r="B23" s="32"/>
      <c r="C23" s="32"/>
      <c r="D23" s="32"/>
      <c r="E23" s="32"/>
      <c r="F23" s="32"/>
    </row>
    <row r="24" spans="1:6">
      <c r="A24" s="32"/>
      <c r="B24" s="32"/>
      <c r="C24" s="32"/>
      <c r="D24" s="32"/>
      <c r="E24" s="32"/>
      <c r="F24" s="32"/>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549</v>
      </c>
      <c r="B1" s="25" t="s">
        <v>550</v>
      </c>
      <c r="C1" s="23" t="s">
        <v>551</v>
      </c>
      <c r="D1" s="23" t="s">
        <v>552</v>
      </c>
      <c r="E1" s="23" t="s">
        <v>553</v>
      </c>
      <c r="F1" s="23" t="s">
        <v>552</v>
      </c>
    </row>
    <row r="2" spans="1:6">
      <c r="A2" s="207" t="s">
        <v>554</v>
      </c>
      <c r="B2" s="36" t="s">
        <v>555</v>
      </c>
      <c r="C2" s="27"/>
      <c r="D2" s="23"/>
      <c r="E2" s="27" t="s">
        <v>556</v>
      </c>
      <c r="F2" s="23" t="s">
        <v>557</v>
      </c>
    </row>
    <row r="3" spans="1:6">
      <c r="A3" s="208"/>
      <c r="B3" s="25" t="s">
        <v>558</v>
      </c>
      <c r="C3" s="23" t="s">
        <v>559</v>
      </c>
      <c r="D3" s="23" t="s">
        <v>560</v>
      </c>
      <c r="E3" s="23" t="s">
        <v>561</v>
      </c>
      <c r="F3" s="23" t="s">
        <v>557</v>
      </c>
    </row>
    <row r="4" spans="1:6">
      <c r="A4" s="209"/>
      <c r="B4" t="s">
        <v>562</v>
      </c>
      <c r="C4" s="32" t="s">
        <v>563</v>
      </c>
      <c r="D4" s="23"/>
      <c r="E4" s="32" t="s">
        <v>564</v>
      </c>
      <c r="F4" s="23" t="s">
        <v>557</v>
      </c>
    </row>
    <row r="5" spans="1:6">
      <c r="A5" s="23"/>
      <c r="B5" s="25"/>
      <c r="C5" s="23"/>
      <c r="D5" s="23"/>
      <c r="E5" s="23"/>
      <c r="F5" s="23"/>
    </row>
    <row r="6" spans="1:6">
      <c r="A6" s="210" t="s">
        <v>597</v>
      </c>
      <c r="B6" s="23"/>
      <c r="C6" s="23" t="s">
        <v>598</v>
      </c>
      <c r="D6" s="23"/>
      <c r="E6" s="23" t="s">
        <v>599</v>
      </c>
      <c r="F6" s="25"/>
    </row>
    <row r="7" spans="1:6">
      <c r="A7" s="210"/>
      <c r="B7" s="23"/>
      <c r="C7" s="23" t="s">
        <v>600</v>
      </c>
      <c r="D7" s="23"/>
      <c r="E7" s="23" t="s">
        <v>601</v>
      </c>
      <c r="F7" s="25"/>
    </row>
    <row r="8" spans="1:6">
      <c r="A8" s="210"/>
      <c r="B8" s="23"/>
      <c r="C8" s="23" t="s">
        <v>602</v>
      </c>
      <c r="D8" s="23"/>
      <c r="E8" s="23" t="s">
        <v>603</v>
      </c>
    </row>
    <row r="9" spans="1:6">
      <c r="A9" s="210"/>
      <c r="B9" s="23"/>
      <c r="C9" s="23" t="s">
        <v>604</v>
      </c>
      <c r="D9" s="23"/>
      <c r="E9" s="23" t="s">
        <v>605</v>
      </c>
    </row>
    <row r="10" spans="1:6">
      <c r="A10" s="210"/>
      <c r="B10" s="23"/>
      <c r="C10" s="23" t="s">
        <v>606</v>
      </c>
      <c r="D10" s="23"/>
      <c r="E10" s="23" t="s">
        <v>607</v>
      </c>
    </row>
    <row r="11" spans="1:6">
      <c r="A11" s="210"/>
      <c r="B11" s="23"/>
      <c r="C11" s="23" t="s">
        <v>608</v>
      </c>
      <c r="D11" s="23"/>
      <c r="E11" s="23" t="s">
        <v>609</v>
      </c>
    </row>
    <row r="12" spans="1:6">
      <c r="A12" s="210"/>
      <c r="B12" s="23"/>
      <c r="C12" s="23" t="s">
        <v>610</v>
      </c>
      <c r="D12" s="23"/>
      <c r="E12" s="23" t="s">
        <v>611</v>
      </c>
    </row>
    <row r="13" spans="1:6">
      <c r="A13" s="210"/>
      <c r="B13" s="23"/>
      <c r="C13" s="23" t="s">
        <v>612</v>
      </c>
      <c r="D13" s="23"/>
      <c r="E13" s="23" t="s">
        <v>613</v>
      </c>
    </row>
    <row r="14" spans="1:6">
      <c r="A14" s="210"/>
      <c r="B14" s="23"/>
      <c r="C14" s="23" t="s">
        <v>614</v>
      </c>
      <c r="D14" s="23"/>
      <c r="E14" s="23" t="s">
        <v>615</v>
      </c>
    </row>
    <row r="15" spans="1:6">
      <c r="A15" s="210"/>
      <c r="B15" s="23"/>
      <c r="C15" s="23" t="s">
        <v>616</v>
      </c>
      <c r="D15" s="23"/>
      <c r="E15" s="23" t="s">
        <v>617</v>
      </c>
    </row>
    <row r="16" spans="1:6">
      <c r="A16" s="210"/>
      <c r="B16" s="23"/>
      <c r="C16" s="23" t="s">
        <v>618</v>
      </c>
      <c r="D16" s="23"/>
      <c r="E16" s="23" t="s">
        <v>619</v>
      </c>
    </row>
    <row r="17" spans="1:5">
      <c r="A17" s="210"/>
      <c r="B17" s="23"/>
      <c r="C17" s="23" t="s">
        <v>620</v>
      </c>
      <c r="D17" s="23"/>
      <c r="E17" s="23" t="s">
        <v>621</v>
      </c>
    </row>
    <row r="18" spans="1:5">
      <c r="A18" s="210"/>
      <c r="B18" s="23"/>
      <c r="C18" s="23" t="s">
        <v>622</v>
      </c>
      <c r="D18" s="23"/>
      <c r="E18" s="23" t="s">
        <v>623</v>
      </c>
    </row>
    <row r="19" spans="1:5">
      <c r="A19" s="210"/>
      <c r="B19" s="23"/>
      <c r="C19" s="23" t="s">
        <v>624</v>
      </c>
      <c r="D19" s="23"/>
      <c r="E19" s="23" t="s">
        <v>625</v>
      </c>
    </row>
    <row r="20" spans="1:5">
      <c r="A20" s="207" t="s">
        <v>626</v>
      </c>
      <c r="B20" s="23"/>
      <c r="C20" s="23" t="s">
        <v>627</v>
      </c>
      <c r="D20" s="23"/>
      <c r="E20" s="23" t="s">
        <v>628</v>
      </c>
    </row>
    <row r="21" spans="1:5">
      <c r="A21" s="208"/>
      <c r="B21" s="23"/>
      <c r="C21" s="23" t="s">
        <v>629</v>
      </c>
      <c r="D21" s="23"/>
      <c r="E21" s="23" t="s">
        <v>630</v>
      </c>
    </row>
    <row r="22" spans="1:5">
      <c r="A22" s="208"/>
      <c r="B22" s="23"/>
      <c r="C22" s="23" t="s">
        <v>631</v>
      </c>
      <c r="D22" s="23"/>
      <c r="E22" s="23" t="s">
        <v>632</v>
      </c>
    </row>
    <row r="23" spans="1:5">
      <c r="A23" s="208"/>
      <c r="B23" s="23"/>
      <c r="C23" s="23" t="s">
        <v>633</v>
      </c>
      <c r="D23" s="23"/>
      <c r="E23" s="23" t="s">
        <v>634</v>
      </c>
    </row>
    <row r="24" spans="1:5">
      <c r="A24" s="208"/>
      <c r="B24" s="23"/>
      <c r="C24" s="23" t="s">
        <v>635</v>
      </c>
      <c r="D24" s="23"/>
      <c r="E24" s="23" t="s">
        <v>636</v>
      </c>
    </row>
    <row r="25" spans="1:5">
      <c r="A25" s="208"/>
      <c r="B25" s="23"/>
      <c r="C25" s="23" t="s">
        <v>637</v>
      </c>
      <c r="D25" s="23"/>
      <c r="E25" s="23" t="s">
        <v>638</v>
      </c>
    </row>
    <row r="26" spans="1:5">
      <c r="A26" s="208"/>
      <c r="B26" s="23"/>
      <c r="C26" s="23" t="s">
        <v>639</v>
      </c>
      <c r="D26" s="23"/>
      <c r="E26" s="23" t="s">
        <v>640</v>
      </c>
    </row>
    <row r="27" spans="1:5">
      <c r="A27" s="208"/>
      <c r="B27" s="23"/>
      <c r="C27" s="23" t="s">
        <v>641</v>
      </c>
      <c r="D27" s="23"/>
      <c r="E27" s="23" t="s">
        <v>642</v>
      </c>
    </row>
    <row r="28" spans="1:5">
      <c r="A28" s="208"/>
      <c r="B28" s="23"/>
      <c r="C28" s="23" t="s">
        <v>643</v>
      </c>
      <c r="D28" s="23"/>
      <c r="E28" s="23" t="s">
        <v>644</v>
      </c>
    </row>
    <row r="29" spans="1:5">
      <c r="A29" s="208"/>
      <c r="B29" s="23"/>
      <c r="C29" s="23" t="s">
        <v>645</v>
      </c>
      <c r="D29" s="23"/>
      <c r="E29" s="23" t="s">
        <v>646</v>
      </c>
    </row>
    <row r="30" spans="1:5">
      <c r="A30" s="209"/>
      <c r="B30" s="23"/>
      <c r="C30" s="23" t="s">
        <v>647</v>
      </c>
      <c r="D30" s="23"/>
      <c r="E30" s="23" t="s">
        <v>648</v>
      </c>
    </row>
    <row r="31" spans="1:5">
      <c r="A31" s="23"/>
      <c r="B31" s="23"/>
      <c r="C31" s="23" t="s">
        <v>649</v>
      </c>
      <c r="D31" s="23"/>
      <c r="E31" s="23" t="s">
        <v>650</v>
      </c>
    </row>
    <row r="32" spans="1:5">
      <c r="A32" s="23"/>
      <c r="B32" s="23"/>
      <c r="C32" s="23" t="s">
        <v>651</v>
      </c>
      <c r="D32" s="23"/>
      <c r="E32" s="23" t="s">
        <v>652</v>
      </c>
    </row>
    <row r="33" spans="1:5">
      <c r="A33" s="23"/>
      <c r="B33" s="23"/>
      <c r="C33" s="23" t="s">
        <v>653</v>
      </c>
      <c r="D33" s="23"/>
      <c r="E33" s="23" t="s">
        <v>654</v>
      </c>
    </row>
    <row r="34" spans="1:5">
      <c r="A34" s="23"/>
      <c r="B34" s="23"/>
      <c r="C34" s="23" t="s">
        <v>655</v>
      </c>
      <c r="D34" s="23"/>
      <c r="E34" s="23" t="s">
        <v>656</v>
      </c>
    </row>
    <row r="35" spans="1:5">
      <c r="A35" s="23"/>
      <c r="B35" s="23"/>
      <c r="C35" s="23" t="s">
        <v>657</v>
      </c>
      <c r="D35" s="23"/>
      <c r="E35" s="23" t="s">
        <v>658</v>
      </c>
    </row>
    <row r="36" spans="1:5">
      <c r="A36" s="23"/>
      <c r="B36" s="23"/>
      <c r="C36" s="23" t="s">
        <v>659</v>
      </c>
      <c r="D36" s="23"/>
      <c r="E36" s="23" t="s">
        <v>660</v>
      </c>
    </row>
    <row r="37" spans="1:5">
      <c r="A37" s="23"/>
      <c r="B37" s="23"/>
      <c r="C37" s="23" t="s">
        <v>661</v>
      </c>
      <c r="D37" s="23"/>
      <c r="E37" s="23" t="s">
        <v>662</v>
      </c>
    </row>
    <row r="38" spans="1:5">
      <c r="A38" s="23"/>
      <c r="B38" s="23"/>
      <c r="C38" s="23" t="s">
        <v>663</v>
      </c>
      <c r="D38" s="23"/>
      <c r="E38" s="23" t="s">
        <v>664</v>
      </c>
    </row>
    <row r="39" spans="1:5">
      <c r="A39" s="23"/>
      <c r="B39" s="23"/>
      <c r="C39" s="23" t="s">
        <v>665</v>
      </c>
      <c r="D39" s="23"/>
      <c r="E39" s="23" t="s">
        <v>666</v>
      </c>
    </row>
    <row r="40" spans="1:5">
      <c r="A40" s="23"/>
      <c r="B40" s="23"/>
      <c r="C40" s="23"/>
      <c r="D40" s="23"/>
      <c r="E40" s="23"/>
    </row>
    <row r="41" spans="1:5">
      <c r="A41" s="23"/>
      <c r="B41" s="27"/>
      <c r="C41" s="27" t="s">
        <v>569</v>
      </c>
      <c r="D41" s="23"/>
      <c r="E41" s="23" t="s">
        <v>570</v>
      </c>
    </row>
    <row r="42" spans="1:5">
      <c r="A42" s="23"/>
      <c r="B42" s="23"/>
      <c r="C42" s="23"/>
      <c r="D42" s="23"/>
      <c r="E42" s="23"/>
    </row>
    <row r="43" spans="1:5">
      <c r="A43" s="23" t="s">
        <v>667</v>
      </c>
      <c r="B43" s="23"/>
      <c r="C43" s="23" t="s">
        <v>668</v>
      </c>
      <c r="D43" s="23"/>
      <c r="E43" s="23"/>
    </row>
    <row r="44" spans="1:5">
      <c r="A44" s="23"/>
      <c r="B44" s="23"/>
      <c r="C44" s="23"/>
      <c r="D44" s="23"/>
      <c r="E44" s="23"/>
    </row>
    <row r="45" spans="1:5">
      <c r="A45" s="23" t="s">
        <v>571</v>
      </c>
      <c r="B45" s="23"/>
      <c r="C45" s="23" t="s">
        <v>572</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X142"/>
  <sheetViews>
    <sheetView showGridLines="0" tabSelected="1" topLeftCell="C131" zoomScale="85" zoomScaleNormal="85" workbookViewId="0">
      <selection activeCell="F133" sqref="F133"/>
    </sheetView>
  </sheetViews>
  <sheetFormatPr defaultColWidth="8.5703125" defaultRowHeight="15" customHeight="1"/>
  <cols>
    <col min="1" max="1" width="3.140625" style="80" customWidth="1"/>
    <col min="2" max="2" width="45.28515625" style="81" customWidth="1"/>
    <col min="3" max="3" width="32" style="82" bestFit="1" customWidth="1"/>
    <col min="4" max="4" width="35.7109375" style="82" customWidth="1"/>
    <col min="5" max="5" width="14.85546875" style="82" customWidth="1"/>
    <col min="6" max="6" width="35.140625" style="83" customWidth="1"/>
    <col min="7" max="7" width="29.5703125" style="82" customWidth="1"/>
    <col min="8" max="8" width="24.5703125" style="83" bestFit="1" customWidth="1"/>
    <col min="9" max="9" width="11.7109375" style="84" bestFit="1" customWidth="1"/>
    <col min="10" max="10" width="13.5703125" style="84" bestFit="1" customWidth="1"/>
    <col min="11" max="11" width="17.5703125" style="85" bestFit="1" customWidth="1"/>
    <col min="12" max="12" width="18.140625" style="85" bestFit="1" customWidth="1"/>
    <col min="13" max="13" width="77.7109375" style="81" bestFit="1" customWidth="1"/>
    <col min="14" max="14" width="90.5703125" style="86" bestFit="1" customWidth="1"/>
    <col min="15" max="15" width="19" style="82" bestFit="1" customWidth="1"/>
    <col min="16" max="16" width="87.7109375" style="84" customWidth="1"/>
    <col min="17" max="17" width="42.5703125" style="82" bestFit="1" customWidth="1"/>
    <col min="18" max="18" width="35.5703125" style="82" bestFit="1" customWidth="1"/>
    <col min="19" max="19" width="34.42578125" style="82" customWidth="1"/>
    <col min="20" max="20" width="110.85546875" style="85" customWidth="1"/>
    <col min="21" max="21" width="84.28515625" style="85" customWidth="1"/>
    <col min="22" max="22" width="34" style="82" customWidth="1"/>
    <col min="23" max="23" width="101.140625" style="82" customWidth="1"/>
    <col min="24" max="24" width="40" style="23" customWidth="1"/>
    <col min="25" max="16384" width="8.5703125" style="23"/>
  </cols>
  <sheetData>
    <row r="1" spans="1:24" s="82" customFormat="1" ht="14.45">
      <c r="A1" s="80"/>
      <c r="B1" s="81"/>
      <c r="F1" s="83"/>
      <c r="H1" s="83"/>
      <c r="I1" s="84"/>
      <c r="J1" s="84"/>
      <c r="K1" s="85"/>
      <c r="L1" s="85"/>
      <c r="M1" s="81"/>
      <c r="N1" s="86"/>
      <c r="P1" s="84"/>
      <c r="T1" s="85"/>
      <c r="U1" s="85"/>
    </row>
    <row r="2" spans="1:24" s="82" customFormat="1" ht="14.45">
      <c r="A2" s="80"/>
      <c r="B2" s="81"/>
      <c r="F2" s="83"/>
      <c r="H2" s="83"/>
      <c r="I2" s="84"/>
      <c r="J2" s="84"/>
      <c r="K2" s="85"/>
      <c r="L2" s="85"/>
      <c r="M2" s="81"/>
      <c r="N2" s="86"/>
      <c r="P2" s="84"/>
      <c r="T2" s="85"/>
      <c r="U2" s="85"/>
    </row>
    <row r="3" spans="1:24" s="82" customFormat="1" ht="14.45">
      <c r="A3" s="87"/>
      <c r="B3" s="88"/>
      <c r="C3" s="89"/>
      <c r="D3" s="89"/>
      <c r="E3" s="89"/>
      <c r="F3" s="90"/>
      <c r="G3" s="89"/>
      <c r="H3" s="90"/>
      <c r="I3" s="91"/>
      <c r="J3" s="91"/>
      <c r="K3" s="92"/>
      <c r="L3" s="92"/>
      <c r="M3" s="88"/>
      <c r="N3" s="93"/>
      <c r="O3" s="89"/>
      <c r="P3" s="91"/>
      <c r="Q3" s="89"/>
      <c r="R3" s="89"/>
      <c r="S3" s="89"/>
      <c r="T3" s="92"/>
      <c r="U3" s="92"/>
    </row>
    <row r="4" spans="1:24" s="82" customFormat="1" ht="14.45">
      <c r="A4" s="80"/>
      <c r="B4" s="81"/>
      <c r="F4" s="83"/>
      <c r="H4" s="83"/>
      <c r="I4" s="84"/>
      <c r="J4" s="84"/>
      <c r="K4" s="85"/>
      <c r="L4" s="85"/>
      <c r="M4" s="81"/>
      <c r="N4" s="86"/>
      <c r="P4" s="84"/>
      <c r="T4" s="85"/>
      <c r="U4" s="85"/>
    </row>
    <row r="5" spans="1:24" s="83" customFormat="1" ht="18" customHeight="1">
      <c r="B5" s="213" t="s">
        <v>669</v>
      </c>
      <c r="C5" s="213"/>
      <c r="D5" s="213"/>
      <c r="E5" s="213"/>
      <c r="F5" s="213"/>
      <c r="G5" s="213"/>
      <c r="H5" s="213"/>
      <c r="I5" s="213"/>
      <c r="J5" s="213"/>
      <c r="K5" s="213"/>
      <c r="L5" s="213"/>
      <c r="M5" s="213"/>
      <c r="N5" s="213"/>
      <c r="O5" s="213"/>
      <c r="P5" s="213"/>
      <c r="Q5" s="214" t="s">
        <v>670</v>
      </c>
      <c r="R5" s="214"/>
      <c r="S5" s="214"/>
      <c r="T5" s="214"/>
      <c r="U5" s="211" t="s">
        <v>671</v>
      </c>
      <c r="V5" s="211"/>
      <c r="W5" s="211"/>
      <c r="X5" s="211"/>
    </row>
    <row r="6" spans="1:24" s="82" customFormat="1" ht="14.45">
      <c r="A6" s="80"/>
      <c r="B6" s="213" t="s">
        <v>672</v>
      </c>
      <c r="C6" s="213"/>
      <c r="D6" s="213"/>
      <c r="E6" s="213"/>
      <c r="F6" s="213"/>
      <c r="G6" s="213"/>
      <c r="H6" s="213"/>
      <c r="I6" s="213"/>
      <c r="J6" s="213"/>
      <c r="K6" s="213"/>
      <c r="L6" s="213"/>
      <c r="M6" s="213"/>
      <c r="N6" s="213"/>
      <c r="O6" s="213"/>
      <c r="P6" s="213"/>
      <c r="Q6" s="214" t="s">
        <v>673</v>
      </c>
      <c r="R6" s="214"/>
      <c r="S6" s="214"/>
      <c r="T6" s="214"/>
      <c r="U6" s="212" t="s">
        <v>674</v>
      </c>
      <c r="V6" s="212"/>
      <c r="W6" s="212"/>
      <c r="X6" s="212"/>
    </row>
    <row r="7" spans="1:24" s="81" customFormat="1" ht="39.75" customHeight="1">
      <c r="B7" s="94" t="s">
        <v>675</v>
      </c>
      <c r="C7" s="94" t="s">
        <v>676</v>
      </c>
      <c r="D7" s="94" t="s">
        <v>677</v>
      </c>
      <c r="E7" s="94" t="s">
        <v>678</v>
      </c>
      <c r="F7" s="95" t="s">
        <v>679</v>
      </c>
      <c r="G7" s="95" t="s">
        <v>680</v>
      </c>
      <c r="H7" s="94" t="s">
        <v>681</v>
      </c>
      <c r="I7" s="94" t="s">
        <v>682</v>
      </c>
      <c r="J7" s="94" t="s">
        <v>683</v>
      </c>
      <c r="K7" s="94" t="s">
        <v>684</v>
      </c>
      <c r="L7" s="94" t="s">
        <v>685</v>
      </c>
      <c r="M7" s="94" t="s">
        <v>686</v>
      </c>
      <c r="N7" s="94" t="s">
        <v>687</v>
      </c>
      <c r="O7" s="94" t="s">
        <v>688</v>
      </c>
      <c r="P7" s="94" t="s">
        <v>689</v>
      </c>
      <c r="Q7" s="94" t="s">
        <v>690</v>
      </c>
      <c r="R7" s="94" t="s">
        <v>691</v>
      </c>
      <c r="S7" s="94" t="s">
        <v>692</v>
      </c>
      <c r="T7" s="94" t="s">
        <v>693</v>
      </c>
      <c r="U7" s="94" t="s">
        <v>694</v>
      </c>
      <c r="V7" s="94" t="s">
        <v>695</v>
      </c>
      <c r="W7" s="94" t="s">
        <v>696</v>
      </c>
      <c r="X7" s="94" t="s">
        <v>697</v>
      </c>
    </row>
    <row r="8" spans="1:24" s="82" customFormat="1" ht="75" hidden="1" customHeight="1">
      <c r="A8" s="80"/>
      <c r="B8" s="145" t="s">
        <v>4</v>
      </c>
      <c r="C8" s="145" t="s">
        <v>698</v>
      </c>
      <c r="D8" s="145" t="s">
        <v>5</v>
      </c>
      <c r="E8" s="96">
        <v>1</v>
      </c>
      <c r="F8" s="145" t="s">
        <v>699</v>
      </c>
      <c r="G8" s="145" t="s">
        <v>700</v>
      </c>
      <c r="H8" s="145" t="s">
        <v>701</v>
      </c>
      <c r="I8" s="146">
        <v>1</v>
      </c>
      <c r="J8" s="147" t="s">
        <v>702</v>
      </c>
      <c r="K8" s="146">
        <v>10</v>
      </c>
      <c r="L8" s="146"/>
      <c r="M8" s="148" t="s">
        <v>703</v>
      </c>
      <c r="N8" s="149" t="s">
        <v>704</v>
      </c>
      <c r="O8" s="146" t="s">
        <v>705</v>
      </c>
      <c r="P8" s="145"/>
      <c r="Q8" s="148" t="s">
        <v>706</v>
      </c>
      <c r="R8" s="97" t="s">
        <v>707</v>
      </c>
      <c r="S8" s="149" t="s">
        <v>708</v>
      </c>
      <c r="T8" s="150" t="s">
        <v>709</v>
      </c>
      <c r="U8" s="70" t="s">
        <v>710</v>
      </c>
      <c r="V8" s="97" t="s">
        <v>711</v>
      </c>
      <c r="W8" s="149" t="s">
        <v>712</v>
      </c>
      <c r="X8" s="96" t="s">
        <v>713</v>
      </c>
    </row>
    <row r="9" spans="1:24" s="82" customFormat="1" ht="75" hidden="1" customHeight="1">
      <c r="A9" s="80"/>
      <c r="B9" s="145" t="s">
        <v>4</v>
      </c>
      <c r="C9" s="145" t="s">
        <v>698</v>
      </c>
      <c r="D9" s="145" t="s">
        <v>5</v>
      </c>
      <c r="E9" s="96">
        <v>1</v>
      </c>
      <c r="F9" s="145" t="s">
        <v>714</v>
      </c>
      <c r="G9" s="145" t="s">
        <v>715</v>
      </c>
      <c r="H9" s="145" t="s">
        <v>716</v>
      </c>
      <c r="I9" s="146">
        <v>2</v>
      </c>
      <c r="J9" s="147" t="s">
        <v>702</v>
      </c>
      <c r="K9" s="146"/>
      <c r="L9" s="146"/>
      <c r="M9" s="149" t="s">
        <v>717</v>
      </c>
      <c r="N9" s="149" t="s">
        <v>718</v>
      </c>
      <c r="O9" s="146" t="s">
        <v>719</v>
      </c>
      <c r="P9" s="145"/>
      <c r="Q9" s="85" t="s">
        <v>720</v>
      </c>
      <c r="R9" s="97" t="s">
        <v>721</v>
      </c>
      <c r="S9" s="149" t="s">
        <v>722</v>
      </c>
      <c r="T9" s="98" t="s">
        <v>723</v>
      </c>
      <c r="U9" s="70" t="s">
        <v>724</v>
      </c>
      <c r="V9" s="145" t="s">
        <v>721</v>
      </c>
      <c r="W9" s="145" t="s">
        <v>725</v>
      </c>
      <c r="X9" s="146" t="s">
        <v>726</v>
      </c>
    </row>
    <row r="10" spans="1:24" s="82" customFormat="1" ht="75" hidden="1" customHeight="1">
      <c r="A10" s="80"/>
      <c r="B10" s="145" t="s">
        <v>4</v>
      </c>
      <c r="C10" s="145" t="s">
        <v>698</v>
      </c>
      <c r="D10" s="145" t="s">
        <v>5</v>
      </c>
      <c r="E10" s="96">
        <v>1</v>
      </c>
      <c r="F10" s="145" t="s">
        <v>727</v>
      </c>
      <c r="G10" s="145" t="s">
        <v>728</v>
      </c>
      <c r="H10" s="145" t="s">
        <v>729</v>
      </c>
      <c r="I10" s="151">
        <v>3</v>
      </c>
      <c r="J10" s="147" t="s">
        <v>702</v>
      </c>
      <c r="K10" s="146">
        <v>4</v>
      </c>
      <c r="L10" s="152"/>
      <c r="M10" s="149" t="s">
        <v>730</v>
      </c>
      <c r="N10" s="149" t="s">
        <v>731</v>
      </c>
      <c r="O10" s="146" t="s">
        <v>719</v>
      </c>
      <c r="P10" s="97" t="s">
        <v>732</v>
      </c>
      <c r="Q10" s="85" t="s">
        <v>720</v>
      </c>
      <c r="R10" s="97" t="s">
        <v>721</v>
      </c>
      <c r="S10" s="149" t="s">
        <v>733</v>
      </c>
      <c r="T10" s="98" t="s">
        <v>734</v>
      </c>
      <c r="U10" s="70" t="s">
        <v>724</v>
      </c>
      <c r="V10" s="145" t="s">
        <v>721</v>
      </c>
      <c r="W10" s="145" t="s">
        <v>735</v>
      </c>
      <c r="X10" s="146" t="s">
        <v>726</v>
      </c>
    </row>
    <row r="11" spans="1:24" s="82" customFormat="1" ht="75" hidden="1" customHeight="1">
      <c r="A11" s="80"/>
      <c r="B11" s="145" t="s">
        <v>4</v>
      </c>
      <c r="C11" s="145" t="s">
        <v>698</v>
      </c>
      <c r="D11" s="145" t="s">
        <v>5</v>
      </c>
      <c r="E11" s="96">
        <v>1</v>
      </c>
      <c r="F11" s="145" t="s">
        <v>736</v>
      </c>
      <c r="G11" s="145" t="s">
        <v>737</v>
      </c>
      <c r="H11" s="70" t="s">
        <v>738</v>
      </c>
      <c r="I11" s="146">
        <v>4</v>
      </c>
      <c r="J11" s="147" t="s">
        <v>702</v>
      </c>
      <c r="K11" s="146">
        <v>20</v>
      </c>
      <c r="L11" s="152"/>
      <c r="M11" s="149" t="s">
        <v>739</v>
      </c>
      <c r="N11" s="149" t="s">
        <v>740</v>
      </c>
      <c r="O11" s="146" t="s">
        <v>719</v>
      </c>
      <c r="P11" s="145"/>
      <c r="Q11" s="149" t="s">
        <v>741</v>
      </c>
      <c r="R11" s="97" t="s">
        <v>742</v>
      </c>
      <c r="S11" s="149" t="s">
        <v>743</v>
      </c>
      <c r="T11" s="98" t="s">
        <v>744</v>
      </c>
      <c r="U11" s="70" t="s">
        <v>745</v>
      </c>
      <c r="V11" s="145" t="s">
        <v>746</v>
      </c>
      <c r="W11" s="145" t="s">
        <v>747</v>
      </c>
      <c r="X11" s="146" t="s">
        <v>726</v>
      </c>
    </row>
    <row r="12" spans="1:24" s="82" customFormat="1" ht="75" hidden="1" customHeight="1">
      <c r="A12" s="80"/>
      <c r="B12" s="145" t="s">
        <v>4</v>
      </c>
      <c r="C12" s="145" t="s">
        <v>698</v>
      </c>
      <c r="D12" s="145" t="s">
        <v>5</v>
      </c>
      <c r="E12" s="96">
        <v>1</v>
      </c>
      <c r="F12" s="145" t="s">
        <v>748</v>
      </c>
      <c r="G12" s="145" t="s">
        <v>749</v>
      </c>
      <c r="H12" s="145" t="s">
        <v>729</v>
      </c>
      <c r="I12" s="146">
        <v>5</v>
      </c>
      <c r="J12" s="147" t="s">
        <v>702</v>
      </c>
      <c r="K12" s="146">
        <v>4</v>
      </c>
      <c r="L12" s="146"/>
      <c r="M12" s="149" t="s">
        <v>750</v>
      </c>
      <c r="N12" s="149" t="s">
        <v>751</v>
      </c>
      <c r="O12" s="146" t="s">
        <v>719</v>
      </c>
      <c r="P12" s="97" t="s">
        <v>752</v>
      </c>
      <c r="Q12" s="148" t="s">
        <v>706</v>
      </c>
      <c r="R12" s="97" t="s">
        <v>753</v>
      </c>
      <c r="S12" s="149" t="s">
        <v>754</v>
      </c>
      <c r="T12" s="98" t="s">
        <v>755</v>
      </c>
      <c r="U12" s="70" t="s">
        <v>710</v>
      </c>
      <c r="V12" s="145" t="s">
        <v>756</v>
      </c>
      <c r="W12" s="145" t="s">
        <v>757</v>
      </c>
      <c r="X12" s="96" t="s">
        <v>713</v>
      </c>
    </row>
    <row r="13" spans="1:24" s="82" customFormat="1" ht="75" hidden="1" customHeight="1">
      <c r="A13" s="80"/>
      <c r="B13" s="145" t="s">
        <v>4</v>
      </c>
      <c r="C13" s="145" t="s">
        <v>698</v>
      </c>
      <c r="D13" s="145" t="s">
        <v>5</v>
      </c>
      <c r="E13" s="96">
        <v>1</v>
      </c>
      <c r="F13" s="145" t="s">
        <v>758</v>
      </c>
      <c r="G13" s="145" t="s">
        <v>759</v>
      </c>
      <c r="H13" s="145" t="s">
        <v>729</v>
      </c>
      <c r="I13" s="146">
        <v>6</v>
      </c>
      <c r="J13" s="147" t="s">
        <v>702</v>
      </c>
      <c r="K13" s="146">
        <v>10</v>
      </c>
      <c r="L13" s="146"/>
      <c r="M13" s="149" t="s">
        <v>760</v>
      </c>
      <c r="N13" s="128" t="s">
        <v>761</v>
      </c>
      <c r="O13" s="146" t="s">
        <v>719</v>
      </c>
      <c r="P13" s="145"/>
      <c r="Q13" s="85" t="s">
        <v>720</v>
      </c>
      <c r="R13" s="97" t="s">
        <v>721</v>
      </c>
      <c r="S13" s="149" t="s">
        <v>762</v>
      </c>
      <c r="T13" s="98" t="s">
        <v>763</v>
      </c>
      <c r="U13" s="70" t="s">
        <v>724</v>
      </c>
      <c r="V13" s="145" t="s">
        <v>721</v>
      </c>
      <c r="W13" s="145" t="s">
        <v>764</v>
      </c>
      <c r="X13" s="146" t="s">
        <v>726</v>
      </c>
    </row>
    <row r="14" spans="1:24" s="82" customFormat="1" ht="75" hidden="1" customHeight="1">
      <c r="A14" s="80"/>
      <c r="B14" s="145" t="s">
        <v>4</v>
      </c>
      <c r="C14" s="145" t="s">
        <v>698</v>
      </c>
      <c r="D14" s="145" t="s">
        <v>5</v>
      </c>
      <c r="E14" s="96">
        <v>1</v>
      </c>
      <c r="F14" s="145" t="s">
        <v>765</v>
      </c>
      <c r="G14" s="145" t="s">
        <v>766</v>
      </c>
      <c r="H14" s="145" t="s">
        <v>767</v>
      </c>
      <c r="I14" s="146">
        <v>7</v>
      </c>
      <c r="J14" s="147" t="s">
        <v>702</v>
      </c>
      <c r="K14" s="146">
        <v>4</v>
      </c>
      <c r="L14" s="152"/>
      <c r="M14" s="149" t="s">
        <v>768</v>
      </c>
      <c r="N14" s="149" t="s">
        <v>769</v>
      </c>
      <c r="O14" s="146" t="s">
        <v>719</v>
      </c>
      <c r="P14" s="145"/>
      <c r="Q14" s="149" t="s">
        <v>770</v>
      </c>
      <c r="R14" s="97" t="s">
        <v>771</v>
      </c>
      <c r="S14" s="149" t="s">
        <v>772</v>
      </c>
      <c r="T14" s="127" t="s">
        <v>773</v>
      </c>
      <c r="U14" s="70" t="s">
        <v>724</v>
      </c>
      <c r="V14" s="145" t="s">
        <v>774</v>
      </c>
      <c r="W14" s="149" t="s">
        <v>775</v>
      </c>
      <c r="X14" s="146" t="s">
        <v>726</v>
      </c>
    </row>
    <row r="15" spans="1:24" s="82" customFormat="1" ht="75" hidden="1" customHeight="1">
      <c r="A15" s="80"/>
      <c r="B15" s="145" t="s">
        <v>4</v>
      </c>
      <c r="C15" s="145" t="s">
        <v>698</v>
      </c>
      <c r="D15" s="145" t="s">
        <v>5</v>
      </c>
      <c r="E15" s="96">
        <v>1</v>
      </c>
      <c r="F15" s="145" t="s">
        <v>776</v>
      </c>
      <c r="G15" s="145" t="s">
        <v>777</v>
      </c>
      <c r="H15" s="145" t="s">
        <v>767</v>
      </c>
      <c r="I15" s="146">
        <v>8</v>
      </c>
      <c r="J15" s="147" t="s">
        <v>702</v>
      </c>
      <c r="K15" s="146">
        <v>4</v>
      </c>
      <c r="L15" s="152"/>
      <c r="M15" s="149" t="s">
        <v>778</v>
      </c>
      <c r="N15" s="149" t="s">
        <v>779</v>
      </c>
      <c r="O15" s="146" t="s">
        <v>719</v>
      </c>
      <c r="P15" s="145"/>
      <c r="Q15" s="149" t="s">
        <v>770</v>
      </c>
      <c r="R15" s="97" t="s">
        <v>780</v>
      </c>
      <c r="S15" s="149" t="s">
        <v>781</v>
      </c>
      <c r="T15" s="127" t="s">
        <v>782</v>
      </c>
      <c r="U15" s="70" t="s">
        <v>724</v>
      </c>
      <c r="V15" s="145" t="s">
        <v>783</v>
      </c>
      <c r="W15" s="70" t="s">
        <v>784</v>
      </c>
      <c r="X15" s="146" t="s">
        <v>726</v>
      </c>
    </row>
    <row r="16" spans="1:24" s="82" customFormat="1" ht="75" hidden="1" customHeight="1">
      <c r="A16" s="80"/>
      <c r="B16" s="99" t="s">
        <v>4</v>
      </c>
      <c r="C16" s="99" t="s">
        <v>698</v>
      </c>
      <c r="D16" s="99" t="s">
        <v>5</v>
      </c>
      <c r="E16" s="100">
        <v>1</v>
      </c>
      <c r="F16" s="99" t="s">
        <v>785</v>
      </c>
      <c r="G16" s="99" t="s">
        <v>786</v>
      </c>
      <c r="H16" s="140"/>
      <c r="I16" s="141">
        <v>9</v>
      </c>
      <c r="J16" s="153" t="s">
        <v>702</v>
      </c>
      <c r="K16" s="154">
        <v>4</v>
      </c>
      <c r="L16" s="101"/>
      <c r="M16" s="77" t="s">
        <v>787</v>
      </c>
      <c r="N16" s="77" t="s">
        <v>788</v>
      </c>
      <c r="O16" s="101"/>
      <c r="P16" s="101" t="s">
        <v>789</v>
      </c>
      <c r="Q16" s="99" t="s">
        <v>720</v>
      </c>
      <c r="R16" s="101" t="s">
        <v>790</v>
      </c>
      <c r="S16" s="101" t="s">
        <v>791</v>
      </c>
      <c r="T16" s="155" t="s">
        <v>792</v>
      </c>
      <c r="U16" s="99"/>
      <c r="V16" s="102" t="s">
        <v>793</v>
      </c>
      <c r="W16" s="102" t="s">
        <v>794</v>
      </c>
      <c r="X16" s="141" t="s">
        <v>726</v>
      </c>
    </row>
    <row r="17" spans="1:24" s="82" customFormat="1" ht="75" hidden="1" customHeight="1">
      <c r="A17" s="80"/>
      <c r="B17" s="145" t="s">
        <v>4</v>
      </c>
      <c r="C17" s="145" t="s">
        <v>698</v>
      </c>
      <c r="D17" s="145" t="s">
        <v>5</v>
      </c>
      <c r="E17" s="96">
        <v>1</v>
      </c>
      <c r="F17" s="145" t="s">
        <v>795</v>
      </c>
      <c r="G17" s="145" t="s">
        <v>796</v>
      </c>
      <c r="H17" s="145" t="s">
        <v>797</v>
      </c>
      <c r="I17" s="146">
        <v>10</v>
      </c>
      <c r="J17" s="147" t="s">
        <v>702</v>
      </c>
      <c r="K17" s="146">
        <v>10</v>
      </c>
      <c r="L17" s="152"/>
      <c r="M17" s="149" t="s">
        <v>798</v>
      </c>
      <c r="N17" s="97" t="s">
        <v>799</v>
      </c>
      <c r="O17" s="146" t="s">
        <v>705</v>
      </c>
      <c r="P17" s="145"/>
      <c r="Q17" s="85" t="s">
        <v>720</v>
      </c>
      <c r="R17" s="97" t="s">
        <v>721</v>
      </c>
      <c r="S17" s="149" t="s">
        <v>800</v>
      </c>
      <c r="T17" s="98" t="s">
        <v>801</v>
      </c>
      <c r="U17" s="145" t="s">
        <v>726</v>
      </c>
      <c r="V17" s="145" t="s">
        <v>726</v>
      </c>
      <c r="W17" s="145" t="s">
        <v>726</v>
      </c>
      <c r="X17" s="146" t="s">
        <v>726</v>
      </c>
    </row>
    <row r="18" spans="1:24" s="82" customFormat="1" ht="75" hidden="1" customHeight="1">
      <c r="A18" s="80"/>
      <c r="B18" s="145" t="s">
        <v>4</v>
      </c>
      <c r="C18" s="145" t="s">
        <v>698</v>
      </c>
      <c r="D18" s="145" t="s">
        <v>5</v>
      </c>
      <c r="E18" s="96">
        <v>1</v>
      </c>
      <c r="F18" s="145" t="s">
        <v>802</v>
      </c>
      <c r="G18" s="145" t="s">
        <v>803</v>
      </c>
      <c r="H18" s="145" t="s">
        <v>804</v>
      </c>
      <c r="I18" s="146">
        <v>11</v>
      </c>
      <c r="J18" s="147" t="s">
        <v>805</v>
      </c>
      <c r="K18" s="146">
        <v>23</v>
      </c>
      <c r="L18" s="152"/>
      <c r="M18" s="97" t="s">
        <v>806</v>
      </c>
      <c r="N18" s="97" t="s">
        <v>807</v>
      </c>
      <c r="O18" s="146" t="s">
        <v>719</v>
      </c>
      <c r="P18" s="145"/>
      <c r="Q18" s="85" t="s">
        <v>720</v>
      </c>
      <c r="R18" s="97" t="s">
        <v>721</v>
      </c>
      <c r="S18" s="149" t="s">
        <v>726</v>
      </c>
      <c r="T18" s="98" t="s">
        <v>808</v>
      </c>
      <c r="U18" s="145" t="s">
        <v>726</v>
      </c>
      <c r="V18" s="145" t="s">
        <v>726</v>
      </c>
      <c r="W18" s="145" t="s">
        <v>726</v>
      </c>
      <c r="X18" s="146" t="s">
        <v>726</v>
      </c>
    </row>
    <row r="19" spans="1:24" s="82" customFormat="1" ht="75" hidden="1" customHeight="1">
      <c r="A19" s="80"/>
      <c r="B19" s="156" t="s">
        <v>4</v>
      </c>
      <c r="C19" s="145" t="s">
        <v>809</v>
      </c>
      <c r="D19" s="156" t="s">
        <v>7</v>
      </c>
      <c r="E19" s="152">
        <v>2</v>
      </c>
      <c r="F19" s="145" t="s">
        <v>699</v>
      </c>
      <c r="G19" s="156" t="s">
        <v>700</v>
      </c>
      <c r="H19" s="145" t="s">
        <v>701</v>
      </c>
      <c r="I19" s="152">
        <v>1</v>
      </c>
      <c r="J19" s="157" t="s">
        <v>702</v>
      </c>
      <c r="K19" s="152">
        <v>10</v>
      </c>
      <c r="L19" s="152"/>
      <c r="M19" s="148" t="s">
        <v>703</v>
      </c>
      <c r="N19" s="156" t="s">
        <v>704</v>
      </c>
      <c r="O19" s="152" t="s">
        <v>705</v>
      </c>
      <c r="P19" s="156"/>
      <c r="Q19" s="85" t="s">
        <v>706</v>
      </c>
      <c r="R19" s="85" t="s">
        <v>810</v>
      </c>
      <c r="S19" s="85" t="s">
        <v>811</v>
      </c>
      <c r="T19" s="103" t="s">
        <v>812</v>
      </c>
      <c r="U19" s="70" t="s">
        <v>710</v>
      </c>
      <c r="V19" s="82" t="s">
        <v>813</v>
      </c>
      <c r="W19" s="82" t="s">
        <v>814</v>
      </c>
      <c r="X19" s="83" t="s">
        <v>713</v>
      </c>
    </row>
    <row r="20" spans="1:24" s="82" customFormat="1" ht="75" hidden="1" customHeight="1">
      <c r="A20" s="80"/>
      <c r="B20" s="156" t="s">
        <v>4</v>
      </c>
      <c r="C20" s="145" t="s">
        <v>809</v>
      </c>
      <c r="D20" s="156" t="s">
        <v>7</v>
      </c>
      <c r="E20" s="152">
        <v>2</v>
      </c>
      <c r="F20" s="145" t="s">
        <v>815</v>
      </c>
      <c r="G20" s="156" t="s">
        <v>816</v>
      </c>
      <c r="H20" s="145" t="s">
        <v>817</v>
      </c>
      <c r="I20" s="152">
        <v>2</v>
      </c>
      <c r="J20" s="157" t="s">
        <v>818</v>
      </c>
      <c r="K20" s="152"/>
      <c r="L20" s="152"/>
      <c r="M20" s="148" t="s">
        <v>819</v>
      </c>
      <c r="N20" s="148" t="s">
        <v>820</v>
      </c>
      <c r="O20" s="152" t="s">
        <v>705</v>
      </c>
      <c r="P20" s="156"/>
      <c r="Q20" s="85" t="s">
        <v>741</v>
      </c>
      <c r="R20" s="85" t="s">
        <v>821</v>
      </c>
      <c r="S20" s="85" t="s">
        <v>822</v>
      </c>
      <c r="T20" s="103" t="s">
        <v>823</v>
      </c>
      <c r="U20" s="82" t="s">
        <v>724</v>
      </c>
      <c r="V20" s="82" t="s">
        <v>824</v>
      </c>
      <c r="W20" s="82" t="s">
        <v>825</v>
      </c>
      <c r="X20" s="83" t="s">
        <v>726</v>
      </c>
    </row>
    <row r="21" spans="1:24" s="82" customFormat="1" ht="75" hidden="1" customHeight="1">
      <c r="A21" s="80"/>
      <c r="B21" s="156" t="s">
        <v>4</v>
      </c>
      <c r="C21" s="145" t="s">
        <v>809</v>
      </c>
      <c r="D21" s="156" t="s">
        <v>7</v>
      </c>
      <c r="E21" s="104">
        <v>2</v>
      </c>
      <c r="F21" s="145" t="s">
        <v>826</v>
      </c>
      <c r="G21" s="156" t="s">
        <v>827</v>
      </c>
      <c r="H21" s="145" t="s">
        <v>828</v>
      </c>
      <c r="I21" s="152">
        <v>3</v>
      </c>
      <c r="J21" s="157" t="s">
        <v>702</v>
      </c>
      <c r="K21" s="152">
        <v>10</v>
      </c>
      <c r="L21" s="152"/>
      <c r="M21" s="149" t="s">
        <v>829</v>
      </c>
      <c r="N21" s="148" t="s">
        <v>830</v>
      </c>
      <c r="O21" s="152" t="s">
        <v>705</v>
      </c>
      <c r="P21" s="156"/>
      <c r="Q21" s="85" t="s">
        <v>741</v>
      </c>
      <c r="R21" s="85" t="s">
        <v>821</v>
      </c>
      <c r="S21" s="98" t="s">
        <v>831</v>
      </c>
      <c r="T21" s="98" t="s">
        <v>832</v>
      </c>
      <c r="U21" s="82" t="s">
        <v>724</v>
      </c>
      <c r="V21" s="105" t="s">
        <v>824</v>
      </c>
      <c r="W21" s="105" t="s">
        <v>833</v>
      </c>
      <c r="X21" s="83" t="s">
        <v>726</v>
      </c>
    </row>
    <row r="22" spans="1:24" s="82" customFormat="1" ht="75" hidden="1" customHeight="1">
      <c r="A22" s="80"/>
      <c r="B22" s="156" t="s">
        <v>4</v>
      </c>
      <c r="C22" s="145" t="s">
        <v>809</v>
      </c>
      <c r="D22" s="156" t="s">
        <v>7</v>
      </c>
      <c r="E22" s="146">
        <v>2</v>
      </c>
      <c r="F22" s="145" t="s">
        <v>834</v>
      </c>
      <c r="G22" s="156" t="s">
        <v>835</v>
      </c>
      <c r="H22" s="145" t="s">
        <v>836</v>
      </c>
      <c r="I22" s="152">
        <v>4</v>
      </c>
      <c r="J22" s="157" t="s">
        <v>702</v>
      </c>
      <c r="K22" s="152">
        <v>4</v>
      </c>
      <c r="L22" s="152"/>
      <c r="M22" s="148" t="s">
        <v>837</v>
      </c>
      <c r="N22" s="148" t="s">
        <v>838</v>
      </c>
      <c r="O22" s="152" t="s">
        <v>705</v>
      </c>
      <c r="P22" s="85" t="s">
        <v>839</v>
      </c>
      <c r="Q22" s="85" t="s">
        <v>720</v>
      </c>
      <c r="R22" s="85" t="s">
        <v>840</v>
      </c>
      <c r="S22" s="98" t="s">
        <v>841</v>
      </c>
      <c r="T22" s="98" t="s">
        <v>842</v>
      </c>
      <c r="U22" s="82" t="s">
        <v>724</v>
      </c>
      <c r="V22" s="145" t="s">
        <v>840</v>
      </c>
      <c r="W22" s="145" t="s">
        <v>843</v>
      </c>
      <c r="X22" s="83" t="s">
        <v>726</v>
      </c>
    </row>
    <row r="23" spans="1:24" s="82" customFormat="1" ht="75" hidden="1" customHeight="1">
      <c r="A23" s="80"/>
      <c r="B23" s="156" t="s">
        <v>4</v>
      </c>
      <c r="C23" s="145" t="s">
        <v>809</v>
      </c>
      <c r="D23" s="156" t="s">
        <v>7</v>
      </c>
      <c r="E23" s="146">
        <v>2</v>
      </c>
      <c r="F23" s="145" t="s">
        <v>844</v>
      </c>
      <c r="G23" s="156" t="s">
        <v>845</v>
      </c>
      <c r="H23" s="145" t="s">
        <v>846</v>
      </c>
      <c r="I23" s="152">
        <v>5</v>
      </c>
      <c r="J23" s="157" t="s">
        <v>702</v>
      </c>
      <c r="K23" s="152">
        <v>4</v>
      </c>
      <c r="L23" s="152"/>
      <c r="M23" s="148" t="s">
        <v>847</v>
      </c>
      <c r="N23" s="156" t="s">
        <v>848</v>
      </c>
      <c r="O23" s="152" t="s">
        <v>719</v>
      </c>
      <c r="P23" s="85" t="s">
        <v>849</v>
      </c>
      <c r="Q23" s="85" t="s">
        <v>706</v>
      </c>
      <c r="R23" s="85" t="s">
        <v>850</v>
      </c>
      <c r="S23" s="85" t="s">
        <v>754</v>
      </c>
      <c r="T23" s="98" t="s">
        <v>851</v>
      </c>
      <c r="U23" s="70" t="s">
        <v>710</v>
      </c>
      <c r="V23" s="145" t="s">
        <v>852</v>
      </c>
      <c r="W23" s="145" t="s">
        <v>853</v>
      </c>
      <c r="X23" s="146" t="s">
        <v>713</v>
      </c>
    </row>
    <row r="24" spans="1:24" s="82" customFormat="1" ht="75" hidden="1" customHeight="1">
      <c r="A24" s="80"/>
      <c r="B24" s="156" t="s">
        <v>4</v>
      </c>
      <c r="C24" s="145" t="s">
        <v>809</v>
      </c>
      <c r="D24" s="156" t="s">
        <v>7</v>
      </c>
      <c r="E24" s="146">
        <v>2</v>
      </c>
      <c r="F24" s="145" t="s">
        <v>854</v>
      </c>
      <c r="G24" s="156" t="s">
        <v>855</v>
      </c>
      <c r="H24" s="145" t="s">
        <v>846</v>
      </c>
      <c r="I24" s="152">
        <v>6</v>
      </c>
      <c r="J24" s="157" t="s">
        <v>702</v>
      </c>
      <c r="K24" s="152">
        <v>6</v>
      </c>
      <c r="L24" s="152"/>
      <c r="M24" s="148" t="s">
        <v>856</v>
      </c>
      <c r="N24" s="156" t="s">
        <v>857</v>
      </c>
      <c r="O24" s="152"/>
      <c r="P24" s="148"/>
      <c r="Q24" s="85" t="s">
        <v>741</v>
      </c>
      <c r="R24" s="85" t="s">
        <v>821</v>
      </c>
      <c r="S24" s="85" t="s">
        <v>858</v>
      </c>
      <c r="T24" s="129" t="s">
        <v>859</v>
      </c>
      <c r="U24" s="82" t="s">
        <v>724</v>
      </c>
      <c r="V24" s="145" t="s">
        <v>860</v>
      </c>
      <c r="W24" s="149" t="s">
        <v>861</v>
      </c>
      <c r="X24" s="152" t="s">
        <v>862</v>
      </c>
    </row>
    <row r="25" spans="1:24" s="82" customFormat="1" ht="75" hidden="1" customHeight="1">
      <c r="A25" s="80"/>
      <c r="B25" s="156" t="s">
        <v>4</v>
      </c>
      <c r="C25" s="145" t="s">
        <v>809</v>
      </c>
      <c r="D25" s="156" t="s">
        <v>7</v>
      </c>
      <c r="E25" s="146">
        <v>2</v>
      </c>
      <c r="F25" s="145" t="s">
        <v>863</v>
      </c>
      <c r="G25" s="156" t="s">
        <v>864</v>
      </c>
      <c r="H25" s="145" t="s">
        <v>846</v>
      </c>
      <c r="I25" s="152">
        <v>7</v>
      </c>
      <c r="J25" s="157" t="s">
        <v>702</v>
      </c>
      <c r="K25" s="152">
        <v>6</v>
      </c>
      <c r="L25" s="152"/>
      <c r="M25" s="148" t="s">
        <v>865</v>
      </c>
      <c r="N25" s="97" t="s">
        <v>866</v>
      </c>
      <c r="O25" s="152"/>
      <c r="P25" s="85" t="s">
        <v>867</v>
      </c>
      <c r="Q25" s="85" t="s">
        <v>868</v>
      </c>
      <c r="R25" s="85" t="s">
        <v>869</v>
      </c>
      <c r="S25" s="85" t="s">
        <v>870</v>
      </c>
      <c r="T25" s="103" t="s">
        <v>871</v>
      </c>
      <c r="U25" s="82" t="s">
        <v>872</v>
      </c>
      <c r="V25" s="145" t="s">
        <v>860</v>
      </c>
      <c r="W25" s="149" t="s">
        <v>873</v>
      </c>
      <c r="X25" s="152" t="s">
        <v>862</v>
      </c>
    </row>
    <row r="26" spans="1:24" s="82" customFormat="1" ht="75" hidden="1" customHeight="1">
      <c r="A26" s="80"/>
      <c r="B26" s="156" t="s">
        <v>4</v>
      </c>
      <c r="C26" s="145" t="s">
        <v>809</v>
      </c>
      <c r="D26" s="156" t="s">
        <v>7</v>
      </c>
      <c r="E26" s="146">
        <v>2</v>
      </c>
      <c r="F26" s="145" t="s">
        <v>874</v>
      </c>
      <c r="G26" s="156" t="s">
        <v>875</v>
      </c>
      <c r="H26" s="145" t="s">
        <v>846</v>
      </c>
      <c r="I26" s="152">
        <v>8</v>
      </c>
      <c r="J26" s="157" t="s">
        <v>702</v>
      </c>
      <c r="K26" s="152">
        <v>6</v>
      </c>
      <c r="L26" s="152"/>
      <c r="M26" s="148" t="s">
        <v>876</v>
      </c>
      <c r="N26" s="97" t="s">
        <v>877</v>
      </c>
      <c r="O26" s="152" t="s">
        <v>719</v>
      </c>
      <c r="P26" s="85" t="s">
        <v>878</v>
      </c>
      <c r="Q26" s="85" t="s">
        <v>868</v>
      </c>
      <c r="R26" s="85" t="s">
        <v>869</v>
      </c>
      <c r="S26" s="85" t="s">
        <v>879</v>
      </c>
      <c r="T26" s="98" t="s">
        <v>880</v>
      </c>
      <c r="U26" s="82" t="s">
        <v>724</v>
      </c>
      <c r="V26" s="145" t="s">
        <v>860</v>
      </c>
      <c r="W26" s="149" t="s">
        <v>881</v>
      </c>
      <c r="X26" s="152" t="s">
        <v>862</v>
      </c>
    </row>
    <row r="27" spans="1:24" s="82" customFormat="1" ht="140.25" hidden="1" customHeight="1">
      <c r="A27" s="80"/>
      <c r="B27" s="156" t="s">
        <v>4</v>
      </c>
      <c r="C27" s="145" t="s">
        <v>809</v>
      </c>
      <c r="D27" s="156" t="s">
        <v>7</v>
      </c>
      <c r="E27" s="146">
        <v>2</v>
      </c>
      <c r="F27" s="145" t="s">
        <v>882</v>
      </c>
      <c r="G27" s="156" t="s">
        <v>883</v>
      </c>
      <c r="H27" s="145" t="s">
        <v>846</v>
      </c>
      <c r="I27" s="152">
        <v>9</v>
      </c>
      <c r="J27" s="157" t="s">
        <v>702</v>
      </c>
      <c r="K27" s="152">
        <v>6</v>
      </c>
      <c r="L27" s="152"/>
      <c r="M27" s="148" t="s">
        <v>884</v>
      </c>
      <c r="N27" s="97" t="s">
        <v>885</v>
      </c>
      <c r="O27" s="152"/>
      <c r="P27" s="85" t="s">
        <v>886</v>
      </c>
      <c r="Q27" s="85" t="s">
        <v>887</v>
      </c>
      <c r="R27" s="85" t="s">
        <v>888</v>
      </c>
      <c r="S27" s="85" t="s">
        <v>889</v>
      </c>
      <c r="T27" s="103" t="s">
        <v>890</v>
      </c>
      <c r="U27" s="82" t="s">
        <v>724</v>
      </c>
      <c r="V27" s="145" t="s">
        <v>860</v>
      </c>
      <c r="W27" s="149" t="s">
        <v>891</v>
      </c>
      <c r="X27" s="152" t="s">
        <v>862</v>
      </c>
    </row>
    <row r="28" spans="1:24" s="82" customFormat="1" ht="75" hidden="1" customHeight="1">
      <c r="A28" s="80"/>
      <c r="B28" s="156" t="s">
        <v>4</v>
      </c>
      <c r="C28" s="145" t="s">
        <v>809</v>
      </c>
      <c r="D28" s="156" t="s">
        <v>7</v>
      </c>
      <c r="E28" s="146">
        <v>2</v>
      </c>
      <c r="F28" s="145" t="s">
        <v>892</v>
      </c>
      <c r="G28" s="156" t="s">
        <v>893</v>
      </c>
      <c r="H28" s="145" t="s">
        <v>846</v>
      </c>
      <c r="I28" s="152">
        <v>11</v>
      </c>
      <c r="J28" s="157" t="s">
        <v>702</v>
      </c>
      <c r="K28" s="152">
        <v>6</v>
      </c>
      <c r="L28" s="152"/>
      <c r="M28" s="148" t="s">
        <v>894</v>
      </c>
      <c r="N28" s="148" t="s">
        <v>895</v>
      </c>
      <c r="O28" s="152"/>
      <c r="P28" s="85" t="s">
        <v>896</v>
      </c>
      <c r="Q28" s="97" t="s">
        <v>897</v>
      </c>
      <c r="R28" s="85" t="s">
        <v>898</v>
      </c>
      <c r="S28" s="85" t="s">
        <v>899</v>
      </c>
      <c r="T28" s="103" t="s">
        <v>900</v>
      </c>
      <c r="U28" s="70" t="s">
        <v>710</v>
      </c>
      <c r="V28" s="145" t="s">
        <v>901</v>
      </c>
      <c r="W28" s="149" t="s">
        <v>902</v>
      </c>
      <c r="X28" s="158" t="s">
        <v>862</v>
      </c>
    </row>
    <row r="29" spans="1:24" s="82" customFormat="1" ht="75" hidden="1" customHeight="1">
      <c r="A29" s="80"/>
      <c r="B29" s="156" t="s">
        <v>4</v>
      </c>
      <c r="C29" s="145" t="s">
        <v>809</v>
      </c>
      <c r="D29" s="156" t="s">
        <v>7</v>
      </c>
      <c r="E29" s="146">
        <v>2</v>
      </c>
      <c r="F29" s="145" t="s">
        <v>903</v>
      </c>
      <c r="G29" s="156" t="s">
        <v>904</v>
      </c>
      <c r="H29" s="145" t="s">
        <v>905</v>
      </c>
      <c r="I29" s="152">
        <v>12</v>
      </c>
      <c r="J29" s="157" t="s">
        <v>702</v>
      </c>
      <c r="K29" s="152">
        <v>7</v>
      </c>
      <c r="L29" s="152"/>
      <c r="M29" s="85" t="s">
        <v>906</v>
      </c>
      <c r="N29" s="82" t="s">
        <v>907</v>
      </c>
      <c r="O29" s="152" t="s">
        <v>719</v>
      </c>
      <c r="P29" s="85" t="s">
        <v>908</v>
      </c>
      <c r="Q29" s="148" t="s">
        <v>909</v>
      </c>
      <c r="R29" s="85" t="s">
        <v>910</v>
      </c>
      <c r="S29" s="85" t="s">
        <v>911</v>
      </c>
      <c r="T29" s="106" t="s">
        <v>912</v>
      </c>
      <c r="U29" s="82" t="s">
        <v>724</v>
      </c>
      <c r="V29" s="145" t="s">
        <v>860</v>
      </c>
      <c r="W29" s="149" t="s">
        <v>913</v>
      </c>
      <c r="X29" s="152" t="s">
        <v>862</v>
      </c>
    </row>
    <row r="30" spans="1:24" s="110" customFormat="1" ht="75" hidden="1" customHeight="1">
      <c r="A30" s="125"/>
      <c r="B30" s="159" t="s">
        <v>4</v>
      </c>
      <c r="C30" s="160" t="s">
        <v>809</v>
      </c>
      <c r="D30" s="159" t="s">
        <v>7</v>
      </c>
      <c r="E30" s="161">
        <v>2</v>
      </c>
      <c r="F30" s="107" t="s">
        <v>914</v>
      </c>
      <c r="G30" s="110" t="s">
        <v>915</v>
      </c>
      <c r="H30" s="160" t="s">
        <v>905</v>
      </c>
      <c r="I30" s="162">
        <v>13</v>
      </c>
      <c r="J30" s="124" t="s">
        <v>702</v>
      </c>
      <c r="K30" s="123"/>
      <c r="L30" s="123"/>
      <c r="M30" s="108"/>
      <c r="O30" s="123"/>
      <c r="P30" s="108" t="s">
        <v>916</v>
      </c>
      <c r="Q30" s="126" t="s">
        <v>897</v>
      </c>
      <c r="R30" s="108" t="s">
        <v>898</v>
      </c>
      <c r="S30" s="108" t="s">
        <v>917</v>
      </c>
      <c r="T30" s="163" t="s">
        <v>918</v>
      </c>
      <c r="V30" s="159"/>
      <c r="W30" s="159"/>
      <c r="X30" s="159"/>
    </row>
    <row r="31" spans="1:24" s="82" customFormat="1" ht="75" hidden="1" customHeight="1">
      <c r="A31" s="80"/>
      <c r="B31" s="156" t="s">
        <v>4</v>
      </c>
      <c r="C31" s="145" t="s">
        <v>809</v>
      </c>
      <c r="D31" s="156" t="s">
        <v>7</v>
      </c>
      <c r="E31" s="146">
        <v>2</v>
      </c>
      <c r="F31" s="145" t="s">
        <v>919</v>
      </c>
      <c r="G31" s="156" t="s">
        <v>920</v>
      </c>
      <c r="H31" s="145" t="s">
        <v>836</v>
      </c>
      <c r="I31" s="152">
        <v>14</v>
      </c>
      <c r="J31" s="157" t="s">
        <v>702</v>
      </c>
      <c r="K31" s="152">
        <v>4</v>
      </c>
      <c r="L31" s="152"/>
      <c r="M31" s="148" t="s">
        <v>921</v>
      </c>
      <c r="N31" s="156" t="s">
        <v>922</v>
      </c>
      <c r="O31" s="152" t="s">
        <v>719</v>
      </c>
      <c r="P31" s="85" t="s">
        <v>923</v>
      </c>
      <c r="Q31" s="85" t="s">
        <v>741</v>
      </c>
      <c r="R31" s="85" t="s">
        <v>821</v>
      </c>
      <c r="S31" s="85" t="s">
        <v>858</v>
      </c>
      <c r="T31" s="98" t="s">
        <v>924</v>
      </c>
      <c r="U31" s="82" t="s">
        <v>724</v>
      </c>
      <c r="V31" s="145" t="s">
        <v>925</v>
      </c>
      <c r="W31" s="149" t="s">
        <v>926</v>
      </c>
      <c r="X31" s="152" t="s">
        <v>927</v>
      </c>
    </row>
    <row r="32" spans="1:24" s="82" customFormat="1" ht="75" hidden="1" customHeight="1">
      <c r="A32" s="80"/>
      <c r="B32" s="156" t="s">
        <v>4</v>
      </c>
      <c r="C32" s="145" t="s">
        <v>809</v>
      </c>
      <c r="D32" s="156" t="s">
        <v>7</v>
      </c>
      <c r="E32" s="146">
        <v>2</v>
      </c>
      <c r="F32" s="145" t="s">
        <v>928</v>
      </c>
      <c r="G32" s="70" t="s">
        <v>929</v>
      </c>
      <c r="H32" s="145" t="s">
        <v>905</v>
      </c>
      <c r="I32" s="152">
        <v>15</v>
      </c>
      <c r="J32" s="157" t="s">
        <v>702</v>
      </c>
      <c r="K32" s="152"/>
      <c r="L32" s="152"/>
      <c r="M32" s="148" t="s">
        <v>930</v>
      </c>
      <c r="N32" s="156" t="s">
        <v>931</v>
      </c>
      <c r="O32" s="152" t="s">
        <v>719</v>
      </c>
      <c r="P32" s="156"/>
      <c r="Q32" s="85" t="s">
        <v>741</v>
      </c>
      <c r="R32" s="85" t="s">
        <v>821</v>
      </c>
      <c r="S32" s="85" t="s">
        <v>858</v>
      </c>
      <c r="T32" s="129" t="s">
        <v>932</v>
      </c>
      <c r="U32" s="82" t="s">
        <v>724</v>
      </c>
      <c r="V32" s="145" t="s">
        <v>925</v>
      </c>
      <c r="W32" s="149" t="s">
        <v>933</v>
      </c>
      <c r="X32" s="152" t="s">
        <v>927</v>
      </c>
    </row>
    <row r="33" spans="1:24" s="82" customFormat="1" ht="140.25" hidden="1" customHeight="1">
      <c r="A33" s="80"/>
      <c r="B33" s="159" t="s">
        <v>4</v>
      </c>
      <c r="C33" s="160" t="s">
        <v>809</v>
      </c>
      <c r="D33" s="159" t="s">
        <v>7</v>
      </c>
      <c r="E33" s="161">
        <v>2</v>
      </c>
      <c r="F33" s="107" t="s">
        <v>934</v>
      </c>
      <c r="G33" s="159" t="s">
        <v>935</v>
      </c>
      <c r="H33" s="160" t="s">
        <v>936</v>
      </c>
      <c r="I33" s="162">
        <v>16</v>
      </c>
      <c r="J33" s="124" t="s">
        <v>702</v>
      </c>
      <c r="K33" s="162"/>
      <c r="L33" s="162"/>
      <c r="M33" s="164" t="s">
        <v>937</v>
      </c>
      <c r="N33" s="159" t="s">
        <v>938</v>
      </c>
      <c r="O33" s="162"/>
      <c r="P33" s="159"/>
      <c r="Q33" s="108" t="s">
        <v>741</v>
      </c>
      <c r="R33" s="108" t="s">
        <v>821</v>
      </c>
      <c r="S33" s="108" t="s">
        <v>858</v>
      </c>
      <c r="T33" s="109" t="s">
        <v>939</v>
      </c>
      <c r="U33" s="110"/>
      <c r="V33" s="159" t="s">
        <v>824</v>
      </c>
      <c r="W33" s="159" t="s">
        <v>940</v>
      </c>
      <c r="X33" s="159"/>
    </row>
    <row r="34" spans="1:24" s="82" customFormat="1" ht="75" hidden="1" customHeight="1">
      <c r="A34" s="80"/>
      <c r="B34" s="156" t="s">
        <v>4</v>
      </c>
      <c r="C34" s="145" t="s">
        <v>809</v>
      </c>
      <c r="D34" s="156" t="s">
        <v>7</v>
      </c>
      <c r="E34" s="146">
        <v>2</v>
      </c>
      <c r="F34" s="145" t="s">
        <v>941</v>
      </c>
      <c r="G34" s="156" t="s">
        <v>942</v>
      </c>
      <c r="H34" s="145" t="s">
        <v>836</v>
      </c>
      <c r="I34" s="83">
        <v>17</v>
      </c>
      <c r="J34" s="157" t="s">
        <v>702</v>
      </c>
      <c r="K34" s="152">
        <v>4</v>
      </c>
      <c r="L34" s="152"/>
      <c r="M34" s="148" t="s">
        <v>943</v>
      </c>
      <c r="N34" s="148" t="s">
        <v>944</v>
      </c>
      <c r="O34" s="152"/>
      <c r="P34" s="85" t="s">
        <v>945</v>
      </c>
      <c r="Q34" s="85" t="s">
        <v>946</v>
      </c>
      <c r="R34" s="85" t="s">
        <v>947</v>
      </c>
      <c r="S34" s="85" t="s">
        <v>948</v>
      </c>
      <c r="T34" s="129" t="s">
        <v>949</v>
      </c>
      <c r="U34" s="82" t="s">
        <v>724</v>
      </c>
      <c r="V34" s="145" t="s">
        <v>925</v>
      </c>
      <c r="W34" s="149" t="s">
        <v>950</v>
      </c>
      <c r="X34" s="152" t="s">
        <v>951</v>
      </c>
    </row>
    <row r="35" spans="1:24" s="82" customFormat="1" ht="75" hidden="1" customHeight="1">
      <c r="A35" s="80"/>
      <c r="B35" s="156" t="s">
        <v>4</v>
      </c>
      <c r="C35" s="145" t="s">
        <v>809</v>
      </c>
      <c r="D35" s="156" t="s">
        <v>7</v>
      </c>
      <c r="E35" s="146">
        <v>2</v>
      </c>
      <c r="F35" s="145" t="s">
        <v>952</v>
      </c>
      <c r="G35" s="156" t="s">
        <v>953</v>
      </c>
      <c r="H35" s="145" t="s">
        <v>905</v>
      </c>
      <c r="I35" s="83">
        <v>18</v>
      </c>
      <c r="J35" s="157" t="s">
        <v>702</v>
      </c>
      <c r="K35" s="152"/>
      <c r="L35" s="152"/>
      <c r="M35" s="148" t="s">
        <v>954</v>
      </c>
      <c r="N35" s="97" t="s">
        <v>955</v>
      </c>
      <c r="O35" s="152" t="s">
        <v>719</v>
      </c>
      <c r="P35" s="156"/>
      <c r="Q35" s="85" t="s">
        <v>741</v>
      </c>
      <c r="R35" s="85" t="s">
        <v>821</v>
      </c>
      <c r="S35" s="85" t="s">
        <v>858</v>
      </c>
      <c r="T35" s="129" t="s">
        <v>956</v>
      </c>
      <c r="U35" s="82" t="s">
        <v>724</v>
      </c>
      <c r="V35" s="145" t="s">
        <v>925</v>
      </c>
      <c r="W35" s="149" t="s">
        <v>957</v>
      </c>
      <c r="X35" s="152" t="s">
        <v>927</v>
      </c>
    </row>
    <row r="36" spans="1:24" s="82" customFormat="1" ht="75" hidden="1" customHeight="1">
      <c r="A36" s="80"/>
      <c r="B36" s="156" t="s">
        <v>4</v>
      </c>
      <c r="C36" s="145" t="s">
        <v>809</v>
      </c>
      <c r="D36" s="156" t="s">
        <v>7</v>
      </c>
      <c r="E36" s="146">
        <v>2</v>
      </c>
      <c r="F36" s="145" t="s">
        <v>958</v>
      </c>
      <c r="G36" s="156" t="s">
        <v>959</v>
      </c>
      <c r="H36" s="145" t="s">
        <v>905</v>
      </c>
      <c r="I36" s="83">
        <v>19</v>
      </c>
      <c r="J36" s="157" t="s">
        <v>702</v>
      </c>
      <c r="K36" s="152"/>
      <c r="L36" s="152"/>
      <c r="M36" s="148" t="s">
        <v>960</v>
      </c>
      <c r="N36" s="128" t="s">
        <v>961</v>
      </c>
      <c r="O36" s="152" t="s">
        <v>719</v>
      </c>
      <c r="P36" s="156"/>
      <c r="Q36" s="85" t="s">
        <v>741</v>
      </c>
      <c r="R36" s="85" t="s">
        <v>821</v>
      </c>
      <c r="S36" s="85" t="s">
        <v>858</v>
      </c>
      <c r="T36" s="130" t="s">
        <v>962</v>
      </c>
      <c r="U36" s="82" t="s">
        <v>724</v>
      </c>
      <c r="V36" s="145" t="s">
        <v>925</v>
      </c>
      <c r="W36" s="149" t="s">
        <v>963</v>
      </c>
      <c r="X36" s="152" t="s">
        <v>927</v>
      </c>
    </row>
    <row r="37" spans="1:24" s="82" customFormat="1" ht="75" hidden="1" customHeight="1">
      <c r="A37" s="80"/>
      <c r="B37" s="156" t="s">
        <v>4</v>
      </c>
      <c r="C37" s="145" t="s">
        <v>809</v>
      </c>
      <c r="D37" s="156" t="s">
        <v>7</v>
      </c>
      <c r="E37" s="146">
        <v>2</v>
      </c>
      <c r="F37" s="145" t="s">
        <v>964</v>
      </c>
      <c r="G37" s="156" t="s">
        <v>965</v>
      </c>
      <c r="H37" s="145" t="s">
        <v>905</v>
      </c>
      <c r="I37" s="83">
        <v>20</v>
      </c>
      <c r="J37" s="157" t="s">
        <v>702</v>
      </c>
      <c r="K37" s="152"/>
      <c r="L37" s="152"/>
      <c r="M37" s="148" t="s">
        <v>966</v>
      </c>
      <c r="N37" s="156" t="s">
        <v>967</v>
      </c>
      <c r="O37" s="152"/>
      <c r="P37" s="156"/>
      <c r="Q37" s="85" t="s">
        <v>946</v>
      </c>
      <c r="R37" s="85" t="s">
        <v>947</v>
      </c>
      <c r="S37" s="85" t="s">
        <v>948</v>
      </c>
      <c r="T37" s="129" t="s">
        <v>968</v>
      </c>
      <c r="U37" s="82" t="s">
        <v>724</v>
      </c>
      <c r="V37" s="145" t="s">
        <v>969</v>
      </c>
      <c r="W37" s="149" t="s">
        <v>970</v>
      </c>
      <c r="X37" s="152" t="s">
        <v>971</v>
      </c>
    </row>
    <row r="38" spans="1:24" s="82" customFormat="1" ht="75" hidden="1" customHeight="1">
      <c r="A38" s="80"/>
      <c r="B38" s="156" t="s">
        <v>4</v>
      </c>
      <c r="C38" s="145" t="s">
        <v>809</v>
      </c>
      <c r="D38" s="156" t="s">
        <v>7</v>
      </c>
      <c r="E38" s="146">
        <v>2</v>
      </c>
      <c r="F38" s="145" t="s">
        <v>972</v>
      </c>
      <c r="G38" s="156" t="s">
        <v>973</v>
      </c>
      <c r="H38" s="145" t="s">
        <v>936</v>
      </c>
      <c r="I38" s="83">
        <v>21</v>
      </c>
      <c r="J38" s="157" t="s">
        <v>702</v>
      </c>
      <c r="K38" s="152"/>
      <c r="L38" s="152"/>
      <c r="M38" s="148" t="s">
        <v>974</v>
      </c>
      <c r="N38" s="156" t="s">
        <v>975</v>
      </c>
      <c r="O38" s="152" t="s">
        <v>719</v>
      </c>
      <c r="P38" s="156"/>
      <c r="Q38" s="85" t="s">
        <v>741</v>
      </c>
      <c r="R38" s="85" t="s">
        <v>821</v>
      </c>
      <c r="S38" s="85" t="s">
        <v>858</v>
      </c>
      <c r="T38" s="130" t="s">
        <v>976</v>
      </c>
      <c r="U38" s="82" t="s">
        <v>724</v>
      </c>
      <c r="V38" s="145" t="s">
        <v>977</v>
      </c>
      <c r="W38" s="149" t="s">
        <v>978</v>
      </c>
      <c r="X38" s="152" t="s">
        <v>979</v>
      </c>
    </row>
    <row r="39" spans="1:24" s="82" customFormat="1" ht="75" hidden="1" customHeight="1">
      <c r="A39" s="80"/>
      <c r="B39" s="156" t="s">
        <v>4</v>
      </c>
      <c r="C39" s="145" t="s">
        <v>809</v>
      </c>
      <c r="D39" s="156" t="s">
        <v>7</v>
      </c>
      <c r="E39" s="146">
        <v>2</v>
      </c>
      <c r="F39" s="145" t="s">
        <v>795</v>
      </c>
      <c r="G39" s="156" t="s">
        <v>796</v>
      </c>
      <c r="H39" s="145" t="s">
        <v>797</v>
      </c>
      <c r="I39" s="83">
        <v>22</v>
      </c>
      <c r="J39" s="157" t="s">
        <v>702</v>
      </c>
      <c r="K39" s="152">
        <v>10</v>
      </c>
      <c r="L39" s="152"/>
      <c r="M39" s="148" t="s">
        <v>798</v>
      </c>
      <c r="N39" s="70" t="s">
        <v>799</v>
      </c>
      <c r="O39" s="152" t="s">
        <v>705</v>
      </c>
      <c r="P39" s="156"/>
      <c r="Q39" s="85" t="s">
        <v>741</v>
      </c>
      <c r="R39" s="85" t="s">
        <v>821</v>
      </c>
      <c r="S39" s="85" t="s">
        <v>980</v>
      </c>
      <c r="T39" s="98" t="s">
        <v>981</v>
      </c>
      <c r="U39" s="145" t="s">
        <v>726</v>
      </c>
      <c r="V39" s="145" t="s">
        <v>726</v>
      </c>
      <c r="W39" s="145" t="s">
        <v>726</v>
      </c>
      <c r="X39" s="146" t="s">
        <v>726</v>
      </c>
    </row>
    <row r="40" spans="1:24" s="82" customFormat="1" ht="75" hidden="1" customHeight="1">
      <c r="A40" s="80"/>
      <c r="B40" s="156" t="s">
        <v>4</v>
      </c>
      <c r="C40" s="145" t="s">
        <v>809</v>
      </c>
      <c r="D40" s="156" t="s">
        <v>7</v>
      </c>
      <c r="E40" s="146">
        <v>2</v>
      </c>
      <c r="F40" s="145" t="s">
        <v>802</v>
      </c>
      <c r="G40" s="156" t="s">
        <v>803</v>
      </c>
      <c r="H40" s="145" t="s">
        <v>804</v>
      </c>
      <c r="I40" s="83">
        <v>23</v>
      </c>
      <c r="J40" s="157" t="s">
        <v>805</v>
      </c>
      <c r="K40" s="152">
        <v>23</v>
      </c>
      <c r="L40" s="152"/>
      <c r="M40" s="97" t="s">
        <v>806</v>
      </c>
      <c r="N40" s="97" t="s">
        <v>807</v>
      </c>
      <c r="O40" s="152" t="s">
        <v>719</v>
      </c>
      <c r="P40" s="156"/>
      <c r="Q40" s="85" t="s">
        <v>982</v>
      </c>
      <c r="R40" s="85" t="s">
        <v>840</v>
      </c>
      <c r="S40" s="85" t="s">
        <v>726</v>
      </c>
      <c r="T40" s="98" t="s">
        <v>983</v>
      </c>
      <c r="U40" s="145" t="s">
        <v>726</v>
      </c>
      <c r="V40" s="145" t="s">
        <v>726</v>
      </c>
      <c r="W40" s="145" t="s">
        <v>726</v>
      </c>
      <c r="X40" s="146" t="s">
        <v>726</v>
      </c>
    </row>
    <row r="41" spans="1:24" s="82" customFormat="1" ht="75" hidden="1" customHeight="1">
      <c r="A41" s="80"/>
      <c r="B41" s="145" t="s">
        <v>4</v>
      </c>
      <c r="C41" s="145" t="s">
        <v>984</v>
      </c>
      <c r="D41" s="145" t="s">
        <v>9</v>
      </c>
      <c r="E41" s="146">
        <v>2</v>
      </c>
      <c r="F41" s="145" t="s">
        <v>699</v>
      </c>
      <c r="G41" s="145" t="s">
        <v>700</v>
      </c>
      <c r="H41" s="145" t="s">
        <v>701</v>
      </c>
      <c r="I41" s="146">
        <v>1</v>
      </c>
      <c r="J41" s="147" t="s">
        <v>702</v>
      </c>
      <c r="K41" s="146">
        <v>10</v>
      </c>
      <c r="L41" s="152"/>
      <c r="M41" s="148" t="s">
        <v>703</v>
      </c>
      <c r="N41" s="156" t="s">
        <v>704</v>
      </c>
      <c r="O41" s="146" t="s">
        <v>705</v>
      </c>
      <c r="P41" s="145"/>
      <c r="Q41" s="97" t="s">
        <v>985</v>
      </c>
      <c r="R41" s="97" t="s">
        <v>986</v>
      </c>
      <c r="S41" s="97" t="s">
        <v>987</v>
      </c>
      <c r="T41" s="98" t="s">
        <v>988</v>
      </c>
      <c r="U41" s="70" t="s">
        <v>724</v>
      </c>
      <c r="V41" s="145" t="s">
        <v>989</v>
      </c>
      <c r="W41" s="111" t="s">
        <v>990</v>
      </c>
      <c r="X41" s="146" t="s">
        <v>713</v>
      </c>
    </row>
    <row r="42" spans="1:24" s="82" customFormat="1" ht="75" hidden="1" customHeight="1">
      <c r="A42" s="80"/>
      <c r="B42" s="145" t="s">
        <v>4</v>
      </c>
      <c r="C42" s="145" t="s">
        <v>984</v>
      </c>
      <c r="D42" s="145" t="s">
        <v>9</v>
      </c>
      <c r="E42" s="146">
        <v>2</v>
      </c>
      <c r="F42" s="145" t="s">
        <v>991</v>
      </c>
      <c r="G42" s="145" t="s">
        <v>992</v>
      </c>
      <c r="H42" s="145" t="s">
        <v>993</v>
      </c>
      <c r="I42" s="146">
        <v>2</v>
      </c>
      <c r="J42" s="147" t="s">
        <v>702</v>
      </c>
      <c r="K42" s="146">
        <v>20</v>
      </c>
      <c r="L42" s="152"/>
      <c r="M42" s="149" t="s">
        <v>994</v>
      </c>
      <c r="N42" s="149" t="s">
        <v>995</v>
      </c>
      <c r="O42" s="152" t="s">
        <v>705</v>
      </c>
      <c r="P42" s="97" t="s">
        <v>996</v>
      </c>
      <c r="Q42" s="97" t="s">
        <v>720</v>
      </c>
      <c r="R42" s="97" t="s">
        <v>997</v>
      </c>
      <c r="S42" s="97" t="s">
        <v>998</v>
      </c>
      <c r="T42" s="98" t="s">
        <v>999</v>
      </c>
      <c r="U42" s="70" t="s">
        <v>724</v>
      </c>
      <c r="V42" s="145" t="s">
        <v>997</v>
      </c>
      <c r="W42" s="145" t="s">
        <v>1000</v>
      </c>
      <c r="X42" s="152" t="s">
        <v>726</v>
      </c>
    </row>
    <row r="43" spans="1:24" s="82" customFormat="1" ht="75" hidden="1" customHeight="1">
      <c r="A43" s="80"/>
      <c r="B43" s="145" t="s">
        <v>4</v>
      </c>
      <c r="C43" s="145" t="s">
        <v>984</v>
      </c>
      <c r="D43" s="145" t="s">
        <v>9</v>
      </c>
      <c r="E43" s="146">
        <v>2</v>
      </c>
      <c r="F43" s="145" t="s">
        <v>815</v>
      </c>
      <c r="G43" s="156" t="s">
        <v>816</v>
      </c>
      <c r="H43" s="145" t="s">
        <v>817</v>
      </c>
      <c r="I43" s="152">
        <v>3</v>
      </c>
      <c r="J43" s="147" t="s">
        <v>818</v>
      </c>
      <c r="K43" s="152"/>
      <c r="L43" s="152"/>
      <c r="M43" s="148" t="s">
        <v>1001</v>
      </c>
      <c r="N43" s="148" t="s">
        <v>1002</v>
      </c>
      <c r="O43" s="152" t="s">
        <v>705</v>
      </c>
      <c r="P43" s="156"/>
      <c r="Q43" s="97" t="s">
        <v>720</v>
      </c>
      <c r="R43" s="97" t="s">
        <v>997</v>
      </c>
      <c r="S43" s="97" t="s">
        <v>1003</v>
      </c>
      <c r="T43" s="98" t="s">
        <v>1004</v>
      </c>
      <c r="U43" s="70" t="s">
        <v>724</v>
      </c>
      <c r="V43" s="156" t="s">
        <v>997</v>
      </c>
      <c r="W43" s="148" t="s">
        <v>1005</v>
      </c>
      <c r="X43" s="152" t="s">
        <v>726</v>
      </c>
    </row>
    <row r="44" spans="1:24" s="82" customFormat="1" ht="75" hidden="1" customHeight="1">
      <c r="A44" s="80"/>
      <c r="B44" s="145" t="s">
        <v>4</v>
      </c>
      <c r="C44" s="145" t="s">
        <v>984</v>
      </c>
      <c r="D44" s="145" t="s">
        <v>9</v>
      </c>
      <c r="E44" s="146">
        <v>2</v>
      </c>
      <c r="F44" s="145" t="s">
        <v>1006</v>
      </c>
      <c r="G44" s="145" t="s">
        <v>1007</v>
      </c>
      <c r="H44" s="145" t="s">
        <v>1008</v>
      </c>
      <c r="I44" s="146">
        <v>4</v>
      </c>
      <c r="J44" s="147" t="s">
        <v>702</v>
      </c>
      <c r="K44" s="146">
        <v>4</v>
      </c>
      <c r="L44" s="152"/>
      <c r="M44" s="149" t="s">
        <v>1009</v>
      </c>
      <c r="N44" s="145" t="s">
        <v>1010</v>
      </c>
      <c r="O44" s="146" t="s">
        <v>719</v>
      </c>
      <c r="P44" s="145"/>
      <c r="Q44" s="97" t="s">
        <v>1011</v>
      </c>
      <c r="R44" s="97" t="s">
        <v>1012</v>
      </c>
      <c r="S44" s="97" t="s">
        <v>772</v>
      </c>
      <c r="T44" s="98" t="s">
        <v>1013</v>
      </c>
      <c r="U44" s="70" t="s">
        <v>724</v>
      </c>
      <c r="V44" s="145" t="s">
        <v>997</v>
      </c>
      <c r="W44" s="145" t="s">
        <v>1014</v>
      </c>
      <c r="X44" s="152" t="s">
        <v>726</v>
      </c>
    </row>
    <row r="45" spans="1:24" s="82" customFormat="1" ht="75" hidden="1" customHeight="1">
      <c r="A45" s="80"/>
      <c r="B45" s="145" t="s">
        <v>4</v>
      </c>
      <c r="C45" s="145" t="s">
        <v>984</v>
      </c>
      <c r="D45" s="145" t="s">
        <v>9</v>
      </c>
      <c r="E45" s="146">
        <v>2</v>
      </c>
      <c r="F45" s="145" t="s">
        <v>826</v>
      </c>
      <c r="G45" s="156" t="s">
        <v>827</v>
      </c>
      <c r="H45" s="145" t="s">
        <v>1015</v>
      </c>
      <c r="I45" s="146">
        <v>5</v>
      </c>
      <c r="J45" s="147" t="s">
        <v>702</v>
      </c>
      <c r="K45" s="146">
        <v>10</v>
      </c>
      <c r="L45" s="152"/>
      <c r="M45" s="149" t="s">
        <v>1016</v>
      </c>
      <c r="N45" s="148" t="s">
        <v>1017</v>
      </c>
      <c r="O45" s="152"/>
      <c r="P45" s="145"/>
      <c r="Q45" s="97" t="s">
        <v>720</v>
      </c>
      <c r="R45" s="97" t="s">
        <v>997</v>
      </c>
      <c r="S45" s="97" t="s">
        <v>1018</v>
      </c>
      <c r="T45" s="98" t="s">
        <v>1019</v>
      </c>
      <c r="U45" s="70" t="s">
        <v>724</v>
      </c>
      <c r="V45" s="145" t="s">
        <v>997</v>
      </c>
      <c r="W45" s="145" t="s">
        <v>833</v>
      </c>
      <c r="X45" s="152" t="s">
        <v>726</v>
      </c>
    </row>
    <row r="46" spans="1:24" s="82" customFormat="1" ht="75" hidden="1" customHeight="1">
      <c r="A46" s="80"/>
      <c r="B46" s="145" t="s">
        <v>4</v>
      </c>
      <c r="C46" s="145" t="s">
        <v>984</v>
      </c>
      <c r="D46" s="145" t="s">
        <v>9</v>
      </c>
      <c r="E46" s="146">
        <v>2</v>
      </c>
      <c r="F46" s="145" t="s">
        <v>1020</v>
      </c>
      <c r="G46" s="156" t="s">
        <v>1021</v>
      </c>
      <c r="H46" s="145" t="s">
        <v>1015</v>
      </c>
      <c r="I46" s="152">
        <v>6</v>
      </c>
      <c r="J46" s="147" t="s">
        <v>702</v>
      </c>
      <c r="K46" s="146">
        <v>10</v>
      </c>
      <c r="L46" s="152"/>
      <c r="M46" s="148" t="s">
        <v>1022</v>
      </c>
      <c r="N46" s="156" t="s">
        <v>1023</v>
      </c>
      <c r="O46" s="152"/>
      <c r="P46" s="156"/>
      <c r="Q46" s="97" t="s">
        <v>720</v>
      </c>
      <c r="R46" s="97" t="s">
        <v>997</v>
      </c>
      <c r="S46" s="97" t="s">
        <v>1024</v>
      </c>
      <c r="T46" s="103" t="s">
        <v>1025</v>
      </c>
      <c r="U46" s="70" t="s">
        <v>724</v>
      </c>
      <c r="V46" s="145" t="s">
        <v>997</v>
      </c>
      <c r="W46" s="156" t="s">
        <v>1026</v>
      </c>
      <c r="X46" s="152" t="s">
        <v>726</v>
      </c>
    </row>
    <row r="47" spans="1:24" s="82" customFormat="1" ht="75" hidden="1" customHeight="1">
      <c r="A47" s="80"/>
      <c r="B47" s="145" t="s">
        <v>4</v>
      </c>
      <c r="C47" s="145" t="s">
        <v>984</v>
      </c>
      <c r="D47" s="145" t="s">
        <v>9</v>
      </c>
      <c r="E47" s="146">
        <v>2</v>
      </c>
      <c r="F47" s="145" t="s">
        <v>1027</v>
      </c>
      <c r="G47" s="145" t="s">
        <v>1028</v>
      </c>
      <c r="H47" s="145" t="s">
        <v>1029</v>
      </c>
      <c r="I47" s="146">
        <v>7</v>
      </c>
      <c r="J47" s="147" t="s">
        <v>702</v>
      </c>
      <c r="K47" s="146"/>
      <c r="L47" s="152"/>
      <c r="M47" s="149" t="s">
        <v>1030</v>
      </c>
      <c r="N47" s="97" t="s">
        <v>1031</v>
      </c>
      <c r="O47" s="146" t="s">
        <v>719</v>
      </c>
      <c r="P47" s="145"/>
      <c r="Q47" s="97" t="s">
        <v>720</v>
      </c>
      <c r="R47" s="97" t="s">
        <v>997</v>
      </c>
      <c r="S47" s="97" t="s">
        <v>1032</v>
      </c>
      <c r="T47" s="98" t="s">
        <v>1033</v>
      </c>
      <c r="U47" s="70" t="s">
        <v>724</v>
      </c>
      <c r="V47" s="145" t="s">
        <v>997</v>
      </c>
      <c r="W47" s="145" t="s">
        <v>1034</v>
      </c>
      <c r="X47" s="152" t="s">
        <v>726</v>
      </c>
    </row>
    <row r="48" spans="1:24" s="82" customFormat="1" ht="75" hidden="1" customHeight="1">
      <c r="A48" s="80"/>
      <c r="B48" s="145" t="s">
        <v>4</v>
      </c>
      <c r="C48" s="145" t="s">
        <v>984</v>
      </c>
      <c r="D48" s="145" t="s">
        <v>9</v>
      </c>
      <c r="E48" s="146">
        <v>2</v>
      </c>
      <c r="F48" s="145" t="s">
        <v>1035</v>
      </c>
      <c r="G48" s="145" t="s">
        <v>796</v>
      </c>
      <c r="H48" s="145" t="s">
        <v>797</v>
      </c>
      <c r="I48" s="146">
        <v>8</v>
      </c>
      <c r="J48" s="147" t="s">
        <v>702</v>
      </c>
      <c r="K48" s="146">
        <v>10</v>
      </c>
      <c r="L48" s="152"/>
      <c r="M48" s="149" t="s">
        <v>798</v>
      </c>
      <c r="N48" s="70" t="s">
        <v>799</v>
      </c>
      <c r="O48" s="146" t="s">
        <v>705</v>
      </c>
      <c r="P48" s="145"/>
      <c r="Q48" s="97" t="s">
        <v>720</v>
      </c>
      <c r="R48" s="97" t="s">
        <v>997</v>
      </c>
      <c r="S48" s="97" t="s">
        <v>800</v>
      </c>
      <c r="T48" s="98" t="s">
        <v>1036</v>
      </c>
      <c r="U48" s="145" t="s">
        <v>726</v>
      </c>
      <c r="V48" s="145" t="s">
        <v>726</v>
      </c>
      <c r="W48" s="145" t="s">
        <v>726</v>
      </c>
      <c r="X48" s="152" t="s">
        <v>726</v>
      </c>
    </row>
    <row r="49" spans="1:24" s="82" customFormat="1" ht="75" hidden="1" customHeight="1">
      <c r="A49" s="80"/>
      <c r="B49" s="145" t="s">
        <v>4</v>
      </c>
      <c r="C49" s="145" t="s">
        <v>984</v>
      </c>
      <c r="D49" s="145" t="s">
        <v>9</v>
      </c>
      <c r="E49" s="146">
        <v>2</v>
      </c>
      <c r="F49" s="145" t="s">
        <v>802</v>
      </c>
      <c r="G49" s="145" t="s">
        <v>803</v>
      </c>
      <c r="H49" s="145" t="s">
        <v>804</v>
      </c>
      <c r="I49" s="146">
        <v>9</v>
      </c>
      <c r="J49" s="147" t="s">
        <v>805</v>
      </c>
      <c r="K49" s="146">
        <v>23</v>
      </c>
      <c r="L49" s="152"/>
      <c r="M49" s="97" t="s">
        <v>806</v>
      </c>
      <c r="N49" s="97" t="s">
        <v>807</v>
      </c>
      <c r="O49" s="146" t="s">
        <v>719</v>
      </c>
      <c r="P49" s="145"/>
      <c r="Q49" s="97" t="s">
        <v>720</v>
      </c>
      <c r="R49" s="97" t="s">
        <v>997</v>
      </c>
      <c r="S49" s="97" t="s">
        <v>726</v>
      </c>
      <c r="T49" s="98" t="s">
        <v>1037</v>
      </c>
      <c r="U49" s="145" t="s">
        <v>726</v>
      </c>
      <c r="V49" s="145" t="s">
        <v>726</v>
      </c>
      <c r="W49" s="145" t="s">
        <v>726</v>
      </c>
      <c r="X49" s="152" t="s">
        <v>726</v>
      </c>
    </row>
    <row r="50" spans="1:24" s="82" customFormat="1" ht="75" hidden="1" customHeight="1">
      <c r="A50" s="80"/>
      <c r="B50" s="156" t="s">
        <v>4</v>
      </c>
      <c r="C50" s="145" t="s">
        <v>1038</v>
      </c>
      <c r="D50" s="156" t="s">
        <v>11</v>
      </c>
      <c r="E50" s="146">
        <v>2</v>
      </c>
      <c r="F50" s="145" t="s">
        <v>699</v>
      </c>
      <c r="G50" s="145" t="s">
        <v>700</v>
      </c>
      <c r="H50" s="145" t="s">
        <v>701</v>
      </c>
      <c r="I50" s="146">
        <v>1</v>
      </c>
      <c r="J50" s="147" t="s">
        <v>702</v>
      </c>
      <c r="K50" s="146">
        <v>10</v>
      </c>
      <c r="L50" s="146"/>
      <c r="M50" s="148" t="s">
        <v>703</v>
      </c>
      <c r="N50" s="156" t="s">
        <v>704</v>
      </c>
      <c r="O50" s="146" t="s">
        <v>705</v>
      </c>
      <c r="P50" s="156"/>
      <c r="Q50" s="97" t="s">
        <v>1039</v>
      </c>
      <c r="R50" s="97" t="s">
        <v>1040</v>
      </c>
      <c r="S50" s="97" t="s">
        <v>472</v>
      </c>
      <c r="T50" s="130" t="s">
        <v>1041</v>
      </c>
      <c r="U50" s="70" t="s">
        <v>710</v>
      </c>
      <c r="V50" s="148" t="s">
        <v>711</v>
      </c>
      <c r="W50" s="156" t="s">
        <v>1042</v>
      </c>
      <c r="X50" s="152" t="s">
        <v>713</v>
      </c>
    </row>
    <row r="51" spans="1:24" s="82" customFormat="1" ht="75" hidden="1" customHeight="1">
      <c r="A51" s="80"/>
      <c r="B51" s="156" t="s">
        <v>4</v>
      </c>
      <c r="C51" s="145" t="s">
        <v>1038</v>
      </c>
      <c r="D51" s="156" t="s">
        <v>11</v>
      </c>
      <c r="E51" s="146">
        <v>2</v>
      </c>
      <c r="F51" s="145" t="s">
        <v>1043</v>
      </c>
      <c r="G51" s="145" t="s">
        <v>1044</v>
      </c>
      <c r="H51" s="145" t="s">
        <v>1045</v>
      </c>
      <c r="I51" s="152">
        <v>2</v>
      </c>
      <c r="J51" s="157" t="s">
        <v>702</v>
      </c>
      <c r="K51" s="152">
        <v>10</v>
      </c>
      <c r="L51" s="152"/>
      <c r="M51" s="148" t="s">
        <v>1046</v>
      </c>
      <c r="N51" s="148" t="s">
        <v>1047</v>
      </c>
      <c r="O51" s="158"/>
      <c r="P51" s="97" t="s">
        <v>1048</v>
      </c>
      <c r="Q51" s="97" t="s">
        <v>720</v>
      </c>
      <c r="R51" s="97" t="s">
        <v>1049</v>
      </c>
      <c r="S51" s="97" t="s">
        <v>1050</v>
      </c>
      <c r="T51" s="103" t="s">
        <v>1051</v>
      </c>
      <c r="U51" s="70" t="s">
        <v>745</v>
      </c>
      <c r="V51" s="156" t="s">
        <v>1049</v>
      </c>
      <c r="W51" s="148" t="s">
        <v>1050</v>
      </c>
      <c r="X51" s="152" t="s">
        <v>726</v>
      </c>
    </row>
    <row r="52" spans="1:24" s="82" customFormat="1" ht="75" hidden="1" customHeight="1">
      <c r="A52" s="80"/>
      <c r="B52" s="156" t="s">
        <v>4</v>
      </c>
      <c r="C52" s="145" t="s">
        <v>1038</v>
      </c>
      <c r="D52" s="156" t="s">
        <v>11</v>
      </c>
      <c r="E52" s="146">
        <v>2</v>
      </c>
      <c r="F52" s="145" t="s">
        <v>1052</v>
      </c>
      <c r="G52" s="145" t="s">
        <v>1053</v>
      </c>
      <c r="H52" s="145" t="s">
        <v>993</v>
      </c>
      <c r="I52" s="146">
        <v>3</v>
      </c>
      <c r="J52" s="147" t="s">
        <v>702</v>
      </c>
      <c r="K52" s="146">
        <v>4</v>
      </c>
      <c r="L52" s="152"/>
      <c r="M52" s="149" t="s">
        <v>1054</v>
      </c>
      <c r="N52" s="148" t="s">
        <v>1055</v>
      </c>
      <c r="O52" s="158"/>
      <c r="P52" s="97" t="s">
        <v>1056</v>
      </c>
      <c r="Q52" s="97" t="s">
        <v>720</v>
      </c>
      <c r="R52" s="97" t="s">
        <v>1049</v>
      </c>
      <c r="S52" s="97" t="s">
        <v>1057</v>
      </c>
      <c r="T52" s="103" t="s">
        <v>1058</v>
      </c>
      <c r="U52" s="70" t="s">
        <v>745</v>
      </c>
      <c r="V52" s="156" t="s">
        <v>1049</v>
      </c>
      <c r="W52" s="148" t="s">
        <v>1057</v>
      </c>
      <c r="X52" s="152" t="s">
        <v>726</v>
      </c>
    </row>
    <row r="53" spans="1:24" s="82" customFormat="1" ht="75" hidden="1" customHeight="1">
      <c r="A53" s="80"/>
      <c r="B53" s="156" t="s">
        <v>4</v>
      </c>
      <c r="C53" s="145" t="s">
        <v>1038</v>
      </c>
      <c r="D53" s="156" t="s">
        <v>11</v>
      </c>
      <c r="E53" s="146">
        <v>2</v>
      </c>
      <c r="F53" s="145" t="s">
        <v>1059</v>
      </c>
      <c r="G53" s="145" t="s">
        <v>1060</v>
      </c>
      <c r="H53" s="145" t="s">
        <v>1015</v>
      </c>
      <c r="I53" s="146">
        <v>4</v>
      </c>
      <c r="J53" s="147" t="s">
        <v>702</v>
      </c>
      <c r="K53" s="146">
        <v>10</v>
      </c>
      <c r="L53" s="152"/>
      <c r="M53" s="149" t="s">
        <v>1061</v>
      </c>
      <c r="N53" s="148" t="s">
        <v>1062</v>
      </c>
      <c r="O53" s="158"/>
      <c r="P53" s="156"/>
      <c r="Q53" s="97" t="s">
        <v>720</v>
      </c>
      <c r="R53" s="97" t="s">
        <v>721</v>
      </c>
      <c r="S53" s="97" t="s">
        <v>1063</v>
      </c>
      <c r="T53" s="103" t="s">
        <v>1064</v>
      </c>
      <c r="U53" s="70" t="s">
        <v>724</v>
      </c>
      <c r="V53" s="148" t="s">
        <v>721</v>
      </c>
      <c r="W53" s="156" t="s">
        <v>1065</v>
      </c>
      <c r="X53" s="152" t="s">
        <v>726</v>
      </c>
    </row>
    <row r="54" spans="1:24" s="82" customFormat="1" ht="75" hidden="1" customHeight="1">
      <c r="A54" s="80"/>
      <c r="B54" s="156" t="s">
        <v>4</v>
      </c>
      <c r="C54" s="145" t="s">
        <v>1038</v>
      </c>
      <c r="D54" s="156" t="s">
        <v>11</v>
      </c>
      <c r="E54" s="146">
        <v>2</v>
      </c>
      <c r="F54" s="145" t="s">
        <v>1066</v>
      </c>
      <c r="G54" s="145" t="s">
        <v>1067</v>
      </c>
      <c r="H54" s="145" t="s">
        <v>1068</v>
      </c>
      <c r="I54" s="146">
        <v>5</v>
      </c>
      <c r="J54" s="147" t="s">
        <v>702</v>
      </c>
      <c r="K54" s="146">
        <v>10</v>
      </c>
      <c r="L54" s="152"/>
      <c r="M54" s="149" t="s">
        <v>1069</v>
      </c>
      <c r="N54" s="148" t="s">
        <v>1070</v>
      </c>
      <c r="O54" s="158"/>
      <c r="P54" s="156"/>
      <c r="Q54" s="97" t="s">
        <v>720</v>
      </c>
      <c r="R54" s="97" t="s">
        <v>1049</v>
      </c>
      <c r="S54" s="97" t="s">
        <v>1071</v>
      </c>
      <c r="T54" s="103" t="s">
        <v>1072</v>
      </c>
      <c r="U54" s="70" t="s">
        <v>745</v>
      </c>
      <c r="V54" s="156" t="s">
        <v>1049</v>
      </c>
      <c r="W54" s="156" t="s">
        <v>1071</v>
      </c>
      <c r="X54" s="152" t="s">
        <v>726</v>
      </c>
    </row>
    <row r="55" spans="1:24" s="82" customFormat="1" ht="75" hidden="1" customHeight="1">
      <c r="A55" s="80"/>
      <c r="B55" s="156" t="s">
        <v>4</v>
      </c>
      <c r="C55" s="145" t="s">
        <v>1038</v>
      </c>
      <c r="D55" s="156" t="s">
        <v>11</v>
      </c>
      <c r="E55" s="146">
        <v>2</v>
      </c>
      <c r="F55" s="145" t="s">
        <v>795</v>
      </c>
      <c r="G55" s="145" t="s">
        <v>796</v>
      </c>
      <c r="H55" s="145" t="s">
        <v>797</v>
      </c>
      <c r="I55" s="146">
        <v>6</v>
      </c>
      <c r="J55" s="147" t="s">
        <v>702</v>
      </c>
      <c r="K55" s="146">
        <v>10</v>
      </c>
      <c r="L55" s="152"/>
      <c r="M55" s="149" t="s">
        <v>798</v>
      </c>
      <c r="N55" s="70" t="s">
        <v>799</v>
      </c>
      <c r="O55" s="146" t="s">
        <v>705</v>
      </c>
      <c r="P55" s="145"/>
      <c r="Q55" s="97" t="s">
        <v>720</v>
      </c>
      <c r="R55" s="97" t="s">
        <v>721</v>
      </c>
      <c r="S55" s="97" t="s">
        <v>800</v>
      </c>
      <c r="T55" s="103" t="s">
        <v>1073</v>
      </c>
      <c r="U55" s="148" t="s">
        <v>726</v>
      </c>
      <c r="V55" s="148" t="s">
        <v>726</v>
      </c>
      <c r="W55" s="148" t="s">
        <v>726</v>
      </c>
      <c r="X55" s="152" t="s">
        <v>726</v>
      </c>
    </row>
    <row r="56" spans="1:24" s="82" customFormat="1" ht="75" hidden="1" customHeight="1">
      <c r="A56" s="80"/>
      <c r="B56" s="156" t="s">
        <v>4</v>
      </c>
      <c r="C56" s="145" t="s">
        <v>1038</v>
      </c>
      <c r="D56" s="156" t="s">
        <v>11</v>
      </c>
      <c r="E56" s="146">
        <v>2</v>
      </c>
      <c r="F56" s="145" t="s">
        <v>802</v>
      </c>
      <c r="G56" s="145" t="s">
        <v>803</v>
      </c>
      <c r="H56" s="145" t="s">
        <v>804</v>
      </c>
      <c r="I56" s="146">
        <v>7</v>
      </c>
      <c r="J56" s="147" t="s">
        <v>805</v>
      </c>
      <c r="K56" s="146">
        <v>23</v>
      </c>
      <c r="L56" s="152"/>
      <c r="M56" s="97" t="s">
        <v>806</v>
      </c>
      <c r="N56" s="97" t="s">
        <v>807</v>
      </c>
      <c r="O56" s="146" t="s">
        <v>719</v>
      </c>
      <c r="P56" s="145"/>
      <c r="Q56" s="97" t="s">
        <v>726</v>
      </c>
      <c r="R56" s="97" t="s">
        <v>1074</v>
      </c>
      <c r="S56" s="97" t="s">
        <v>726</v>
      </c>
      <c r="T56" s="103" t="s">
        <v>1075</v>
      </c>
      <c r="U56" s="148" t="s">
        <v>726</v>
      </c>
      <c r="V56" s="148" t="s">
        <v>726</v>
      </c>
      <c r="W56" s="148" t="s">
        <v>726</v>
      </c>
      <c r="X56" s="152" t="s">
        <v>726</v>
      </c>
    </row>
    <row r="57" spans="1:24" s="82" customFormat="1" ht="75" hidden="1" customHeight="1">
      <c r="A57" s="80"/>
      <c r="B57" s="145" t="s">
        <v>4</v>
      </c>
      <c r="C57" s="145" t="s">
        <v>1076</v>
      </c>
      <c r="D57" s="145" t="s">
        <v>13</v>
      </c>
      <c r="E57" s="146">
        <v>2</v>
      </c>
      <c r="F57" s="145" t="s">
        <v>699</v>
      </c>
      <c r="G57" s="70" t="s">
        <v>700</v>
      </c>
      <c r="H57" s="145" t="s">
        <v>701</v>
      </c>
      <c r="I57" s="146">
        <v>1</v>
      </c>
      <c r="J57" s="147" t="s">
        <v>702</v>
      </c>
      <c r="K57" s="146">
        <v>10</v>
      </c>
      <c r="L57" s="152"/>
      <c r="M57" s="148" t="s">
        <v>703</v>
      </c>
      <c r="N57" s="156" t="s">
        <v>704</v>
      </c>
      <c r="O57" s="146" t="s">
        <v>705</v>
      </c>
      <c r="P57" s="145"/>
      <c r="Q57" s="149" t="s">
        <v>985</v>
      </c>
      <c r="R57" s="149" t="s">
        <v>1077</v>
      </c>
      <c r="S57" s="97" t="s">
        <v>1078</v>
      </c>
      <c r="T57" s="98" t="s">
        <v>1079</v>
      </c>
      <c r="U57" s="70" t="s">
        <v>710</v>
      </c>
      <c r="V57" s="145" t="s">
        <v>711</v>
      </c>
      <c r="W57" s="145" t="s">
        <v>712</v>
      </c>
      <c r="X57" s="146" t="s">
        <v>713</v>
      </c>
    </row>
    <row r="58" spans="1:24" s="82" customFormat="1" ht="75" hidden="1" customHeight="1">
      <c r="A58" s="80"/>
      <c r="B58" s="145" t="s">
        <v>4</v>
      </c>
      <c r="C58" s="145" t="s">
        <v>1076</v>
      </c>
      <c r="D58" s="145" t="s">
        <v>13</v>
      </c>
      <c r="E58" s="146">
        <v>2</v>
      </c>
      <c r="F58" s="145" t="s">
        <v>1080</v>
      </c>
      <c r="G58" s="70" t="s">
        <v>1081</v>
      </c>
      <c r="H58" s="145" t="s">
        <v>1082</v>
      </c>
      <c r="I58" s="146">
        <v>2</v>
      </c>
      <c r="J58" s="147" t="s">
        <v>702</v>
      </c>
      <c r="K58" s="146">
        <v>4</v>
      </c>
      <c r="L58" s="152"/>
      <c r="M58" s="149" t="s">
        <v>1083</v>
      </c>
      <c r="N58" s="149" t="s">
        <v>1084</v>
      </c>
      <c r="O58" s="146" t="s">
        <v>705</v>
      </c>
      <c r="P58" s="149" t="s">
        <v>1085</v>
      </c>
      <c r="Q58" s="97" t="s">
        <v>1086</v>
      </c>
      <c r="R58" s="97" t="s">
        <v>1087</v>
      </c>
      <c r="S58" s="97" t="s">
        <v>1088</v>
      </c>
      <c r="T58" s="130" t="s">
        <v>1089</v>
      </c>
      <c r="U58" s="70" t="s">
        <v>724</v>
      </c>
      <c r="V58" s="145" t="s">
        <v>726</v>
      </c>
      <c r="W58" s="149" t="s">
        <v>726</v>
      </c>
      <c r="X58" s="146" t="s">
        <v>1090</v>
      </c>
    </row>
    <row r="59" spans="1:24" s="82" customFormat="1" ht="75" hidden="1" customHeight="1">
      <c r="A59" s="80"/>
      <c r="B59" s="145" t="s">
        <v>4</v>
      </c>
      <c r="C59" s="145" t="s">
        <v>1076</v>
      </c>
      <c r="D59" s="145" t="s">
        <v>13</v>
      </c>
      <c r="E59" s="146">
        <v>2</v>
      </c>
      <c r="F59" s="145" t="s">
        <v>815</v>
      </c>
      <c r="G59" s="145" t="s">
        <v>816</v>
      </c>
      <c r="H59" s="145" t="s">
        <v>1029</v>
      </c>
      <c r="I59" s="146">
        <v>3</v>
      </c>
      <c r="J59" s="147" t="s">
        <v>818</v>
      </c>
      <c r="K59" s="146"/>
      <c r="L59" s="152"/>
      <c r="M59" s="149" t="s">
        <v>1091</v>
      </c>
      <c r="N59" s="149" t="s">
        <v>1092</v>
      </c>
      <c r="O59" s="146" t="s">
        <v>705</v>
      </c>
      <c r="P59" s="145"/>
      <c r="Q59" s="97" t="s">
        <v>1086</v>
      </c>
      <c r="R59" s="97" t="s">
        <v>1087</v>
      </c>
      <c r="S59" s="97" t="s">
        <v>1088</v>
      </c>
      <c r="T59" s="98" t="s">
        <v>1093</v>
      </c>
      <c r="U59" s="70" t="s">
        <v>724</v>
      </c>
      <c r="V59" s="145" t="s">
        <v>726</v>
      </c>
      <c r="W59" s="145" t="s">
        <v>726</v>
      </c>
      <c r="X59" s="146" t="s">
        <v>1094</v>
      </c>
    </row>
    <row r="60" spans="1:24" s="82" customFormat="1" ht="75" hidden="1" customHeight="1">
      <c r="A60" s="80"/>
      <c r="B60" s="145" t="s">
        <v>4</v>
      </c>
      <c r="C60" s="145" t="s">
        <v>1076</v>
      </c>
      <c r="D60" s="145" t="s">
        <v>13</v>
      </c>
      <c r="E60" s="146">
        <v>2</v>
      </c>
      <c r="F60" s="145" t="s">
        <v>1095</v>
      </c>
      <c r="G60" s="70" t="s">
        <v>1096</v>
      </c>
      <c r="H60" s="145" t="s">
        <v>1082</v>
      </c>
      <c r="I60" s="146">
        <v>4</v>
      </c>
      <c r="J60" s="147" t="s">
        <v>702</v>
      </c>
      <c r="K60" s="146">
        <v>5</v>
      </c>
      <c r="L60" s="152"/>
      <c r="M60" s="148" t="s">
        <v>1097</v>
      </c>
      <c r="N60" s="148" t="s">
        <v>1098</v>
      </c>
      <c r="O60" s="146"/>
      <c r="P60" s="97" t="s">
        <v>1099</v>
      </c>
      <c r="Q60" s="97" t="s">
        <v>706</v>
      </c>
      <c r="R60" s="97" t="s">
        <v>1100</v>
      </c>
      <c r="S60" s="97" t="s">
        <v>1101</v>
      </c>
      <c r="T60" s="130" t="s">
        <v>1102</v>
      </c>
      <c r="U60" s="70" t="s">
        <v>724</v>
      </c>
      <c r="V60" s="145" t="s">
        <v>721</v>
      </c>
      <c r="W60" s="82" t="s">
        <v>1103</v>
      </c>
      <c r="X60" s="146" t="s">
        <v>726</v>
      </c>
    </row>
    <row r="61" spans="1:24" s="82" customFormat="1" ht="75" hidden="1" customHeight="1">
      <c r="A61" s="80"/>
      <c r="B61" s="145" t="s">
        <v>4</v>
      </c>
      <c r="C61" s="145" t="s">
        <v>1076</v>
      </c>
      <c r="D61" s="145" t="s">
        <v>13</v>
      </c>
      <c r="E61" s="146">
        <v>2</v>
      </c>
      <c r="F61" s="145" t="s">
        <v>795</v>
      </c>
      <c r="G61" s="145" t="s">
        <v>796</v>
      </c>
      <c r="H61" s="145" t="s">
        <v>797</v>
      </c>
      <c r="I61" s="112">
        <v>6</v>
      </c>
      <c r="J61" s="147" t="s">
        <v>702</v>
      </c>
      <c r="K61" s="146">
        <v>10</v>
      </c>
      <c r="L61" s="152"/>
      <c r="M61" s="149" t="s">
        <v>798</v>
      </c>
      <c r="N61" s="70" t="s">
        <v>799</v>
      </c>
      <c r="O61" s="146" t="s">
        <v>705</v>
      </c>
      <c r="P61" s="145"/>
      <c r="Q61" s="97" t="s">
        <v>720</v>
      </c>
      <c r="R61" s="97" t="s">
        <v>721</v>
      </c>
      <c r="S61" s="97" t="s">
        <v>800</v>
      </c>
      <c r="T61" s="98" t="s">
        <v>1104</v>
      </c>
      <c r="U61" s="145" t="s">
        <v>726</v>
      </c>
      <c r="V61" s="145" t="s">
        <v>726</v>
      </c>
      <c r="W61" s="145" t="s">
        <v>726</v>
      </c>
      <c r="X61" s="146" t="s">
        <v>726</v>
      </c>
    </row>
    <row r="62" spans="1:24" s="82" customFormat="1" ht="75" hidden="1" customHeight="1">
      <c r="A62" s="80"/>
      <c r="B62" s="145" t="s">
        <v>4</v>
      </c>
      <c r="C62" s="145" t="s">
        <v>1076</v>
      </c>
      <c r="D62" s="145" t="s">
        <v>13</v>
      </c>
      <c r="E62" s="146">
        <v>2</v>
      </c>
      <c r="F62" s="145" t="s">
        <v>802</v>
      </c>
      <c r="G62" s="145" t="s">
        <v>803</v>
      </c>
      <c r="H62" s="145" t="s">
        <v>804</v>
      </c>
      <c r="I62" s="146">
        <v>7</v>
      </c>
      <c r="J62" s="147" t="s">
        <v>805</v>
      </c>
      <c r="K62" s="146">
        <v>23</v>
      </c>
      <c r="L62" s="152"/>
      <c r="M62" s="97" t="s">
        <v>806</v>
      </c>
      <c r="N62" s="97" t="s">
        <v>807</v>
      </c>
      <c r="O62" s="146" t="s">
        <v>719</v>
      </c>
      <c r="P62" s="145"/>
      <c r="Q62" s="97" t="s">
        <v>720</v>
      </c>
      <c r="R62" s="97" t="s">
        <v>721</v>
      </c>
      <c r="S62" s="97" t="s">
        <v>726</v>
      </c>
      <c r="T62" s="98" t="s">
        <v>1105</v>
      </c>
      <c r="U62" s="145" t="s">
        <v>726</v>
      </c>
      <c r="V62" s="145" t="s">
        <v>726</v>
      </c>
      <c r="W62" s="145" t="s">
        <v>726</v>
      </c>
      <c r="X62" s="146" t="s">
        <v>726</v>
      </c>
    </row>
    <row r="63" spans="1:24" s="82" customFormat="1" ht="75" hidden="1" customHeight="1">
      <c r="A63" s="80"/>
      <c r="B63" s="165" t="s">
        <v>4</v>
      </c>
      <c r="C63" s="165" t="s">
        <v>1106</v>
      </c>
      <c r="D63" s="165" t="s">
        <v>15</v>
      </c>
      <c r="E63" s="166">
        <v>2</v>
      </c>
      <c r="F63" s="165" t="s">
        <v>699</v>
      </c>
      <c r="G63" s="113" t="s">
        <v>700</v>
      </c>
      <c r="H63" s="165" t="s">
        <v>701</v>
      </c>
      <c r="I63" s="166">
        <v>1</v>
      </c>
      <c r="J63" s="167" t="s">
        <v>702</v>
      </c>
      <c r="K63" s="166">
        <v>10</v>
      </c>
      <c r="L63" s="166"/>
      <c r="M63" s="168" t="s">
        <v>703</v>
      </c>
      <c r="N63" s="169" t="s">
        <v>704</v>
      </c>
      <c r="O63" s="166" t="s">
        <v>705</v>
      </c>
      <c r="P63" s="165"/>
      <c r="Q63" s="114" t="s">
        <v>1039</v>
      </c>
      <c r="R63" s="114" t="s">
        <v>1040</v>
      </c>
      <c r="S63" s="114" t="s">
        <v>472</v>
      </c>
      <c r="T63" s="115" t="s">
        <v>1107</v>
      </c>
      <c r="U63" s="113" t="s">
        <v>710</v>
      </c>
      <c r="V63" s="170" t="s">
        <v>711</v>
      </c>
      <c r="W63" s="170" t="s">
        <v>712</v>
      </c>
      <c r="X63" s="166" t="s">
        <v>713</v>
      </c>
    </row>
    <row r="64" spans="1:24" s="82" customFormat="1" ht="75" hidden="1" customHeight="1">
      <c r="A64" s="80"/>
      <c r="B64" s="165" t="s">
        <v>4</v>
      </c>
      <c r="C64" s="165" t="s">
        <v>1106</v>
      </c>
      <c r="D64" s="165" t="s">
        <v>15</v>
      </c>
      <c r="E64" s="166">
        <v>2</v>
      </c>
      <c r="F64" s="165" t="s">
        <v>1108</v>
      </c>
      <c r="G64" s="113" t="s">
        <v>1109</v>
      </c>
      <c r="H64" s="165" t="s">
        <v>797</v>
      </c>
      <c r="I64" s="166">
        <v>2</v>
      </c>
      <c r="J64" s="167" t="s">
        <v>702</v>
      </c>
      <c r="K64" s="166">
        <v>10</v>
      </c>
      <c r="L64" s="166"/>
      <c r="M64" s="170" t="s">
        <v>1110</v>
      </c>
      <c r="N64" s="165" t="s">
        <v>1111</v>
      </c>
      <c r="O64" s="166" t="s">
        <v>705</v>
      </c>
      <c r="P64" s="165"/>
      <c r="Q64" s="114" t="s">
        <v>741</v>
      </c>
      <c r="R64" s="114" t="s">
        <v>1112</v>
      </c>
      <c r="S64" s="114" t="s">
        <v>1113</v>
      </c>
      <c r="T64" s="197" t="s">
        <v>1114</v>
      </c>
      <c r="U64" s="113"/>
      <c r="V64" s="170" t="s">
        <v>1115</v>
      </c>
      <c r="W64" s="165" t="s">
        <v>1116</v>
      </c>
      <c r="X64" s="166" t="s">
        <v>1117</v>
      </c>
    </row>
    <row r="65" spans="1:24" s="82" customFormat="1" ht="75" hidden="1" customHeight="1">
      <c r="A65" s="80"/>
      <c r="B65" s="165" t="s">
        <v>4</v>
      </c>
      <c r="C65" s="165" t="s">
        <v>1106</v>
      </c>
      <c r="D65" s="165" t="s">
        <v>15</v>
      </c>
      <c r="E65" s="166">
        <v>2</v>
      </c>
      <c r="F65" s="165" t="s">
        <v>1118</v>
      </c>
      <c r="G65" s="113" t="s">
        <v>1119</v>
      </c>
      <c r="H65" s="165" t="s">
        <v>1120</v>
      </c>
      <c r="I65" s="171">
        <v>3</v>
      </c>
      <c r="J65" s="172"/>
      <c r="K65" s="171"/>
      <c r="L65" s="171"/>
      <c r="M65" s="168"/>
      <c r="N65" s="169"/>
      <c r="O65" s="171"/>
      <c r="P65" s="169"/>
      <c r="Q65" s="165"/>
      <c r="R65" s="116"/>
      <c r="S65" s="116"/>
      <c r="T65" s="117"/>
      <c r="U65" s="116"/>
      <c r="V65" s="165" t="s">
        <v>1121</v>
      </c>
      <c r="W65" s="165" t="s">
        <v>355</v>
      </c>
      <c r="X65" s="169"/>
    </row>
    <row r="66" spans="1:24" s="82" customFormat="1" ht="75" hidden="1" customHeight="1">
      <c r="A66" s="80"/>
      <c r="B66" s="169" t="s">
        <v>4</v>
      </c>
      <c r="C66" s="165" t="s">
        <v>1106</v>
      </c>
      <c r="D66" s="169" t="s">
        <v>15</v>
      </c>
      <c r="E66" s="166">
        <v>2</v>
      </c>
      <c r="F66" s="165" t="s">
        <v>1122</v>
      </c>
      <c r="G66" s="169" t="s">
        <v>1123</v>
      </c>
      <c r="H66" s="165" t="s">
        <v>1124</v>
      </c>
      <c r="I66" s="171">
        <v>4</v>
      </c>
      <c r="J66" s="167" t="s">
        <v>1125</v>
      </c>
      <c r="K66" s="166">
        <v>23</v>
      </c>
      <c r="L66" s="166">
        <v>6</v>
      </c>
      <c r="M66" s="168"/>
      <c r="N66" s="169"/>
      <c r="O66" s="171"/>
      <c r="P66" s="169"/>
      <c r="Q66" s="165"/>
      <c r="R66" s="116"/>
      <c r="S66" s="116"/>
      <c r="T66" s="117"/>
      <c r="U66" s="116"/>
      <c r="V66" s="165" t="s">
        <v>1121</v>
      </c>
      <c r="W66" s="165" t="s">
        <v>1126</v>
      </c>
      <c r="X66" s="169"/>
    </row>
    <row r="67" spans="1:24" s="82" customFormat="1" ht="75" hidden="1" customHeight="1">
      <c r="A67" s="80"/>
      <c r="B67" s="165" t="s">
        <v>4</v>
      </c>
      <c r="C67" s="165" t="s">
        <v>1106</v>
      </c>
      <c r="D67" s="165" t="s">
        <v>15</v>
      </c>
      <c r="E67" s="166">
        <v>2</v>
      </c>
      <c r="F67" s="165" t="s">
        <v>1127</v>
      </c>
      <c r="G67" s="113" t="s">
        <v>1128</v>
      </c>
      <c r="H67" s="165" t="s">
        <v>1120</v>
      </c>
      <c r="I67" s="166">
        <v>5</v>
      </c>
      <c r="J67" s="167" t="s">
        <v>702</v>
      </c>
      <c r="K67" s="166">
        <v>4</v>
      </c>
      <c r="L67" s="166"/>
      <c r="M67" s="170" t="s">
        <v>1129</v>
      </c>
      <c r="N67" s="170" t="s">
        <v>1130</v>
      </c>
      <c r="O67" s="166" t="s">
        <v>719</v>
      </c>
      <c r="P67" s="114" t="s">
        <v>1131</v>
      </c>
      <c r="Q67" s="114" t="s">
        <v>1132</v>
      </c>
      <c r="R67" s="189" t="s">
        <v>1133</v>
      </c>
      <c r="S67" s="189" t="s">
        <v>1134</v>
      </c>
      <c r="T67" s="198" t="s">
        <v>1135</v>
      </c>
      <c r="U67" s="113"/>
      <c r="V67" s="165" t="s">
        <v>1121</v>
      </c>
      <c r="W67" s="165" t="s">
        <v>355</v>
      </c>
      <c r="X67" s="166" t="s">
        <v>713</v>
      </c>
    </row>
    <row r="68" spans="1:24" s="82" customFormat="1" ht="75" hidden="1" customHeight="1">
      <c r="A68" s="80"/>
      <c r="B68" s="165" t="s">
        <v>4</v>
      </c>
      <c r="C68" s="165" t="s">
        <v>1106</v>
      </c>
      <c r="D68" s="165" t="s">
        <v>15</v>
      </c>
      <c r="E68" s="166">
        <v>2</v>
      </c>
      <c r="F68" s="165" t="s">
        <v>1136</v>
      </c>
      <c r="G68" s="113" t="s">
        <v>1137</v>
      </c>
      <c r="H68" s="165" t="s">
        <v>1124</v>
      </c>
      <c r="I68" s="166">
        <v>6</v>
      </c>
      <c r="J68" s="167" t="s">
        <v>1125</v>
      </c>
      <c r="K68" s="166">
        <v>23</v>
      </c>
      <c r="L68" s="166">
        <v>6</v>
      </c>
      <c r="M68" s="170" t="s">
        <v>1138</v>
      </c>
      <c r="N68" s="170" t="s">
        <v>1139</v>
      </c>
      <c r="O68" s="166" t="s">
        <v>719</v>
      </c>
      <c r="P68" s="165"/>
      <c r="Q68" s="114" t="s">
        <v>1132</v>
      </c>
      <c r="R68" s="189" t="s">
        <v>1133</v>
      </c>
      <c r="S68" s="189" t="s">
        <v>1140</v>
      </c>
      <c r="T68" s="198" t="s">
        <v>1141</v>
      </c>
      <c r="U68" s="113"/>
      <c r="V68" s="165" t="s">
        <v>1121</v>
      </c>
      <c r="W68" s="169" t="s">
        <v>1142</v>
      </c>
      <c r="X68" s="166" t="s">
        <v>726</v>
      </c>
    </row>
    <row r="69" spans="1:24" s="82" customFormat="1" ht="75" hidden="1" customHeight="1">
      <c r="A69" s="80"/>
      <c r="B69" s="169" t="s">
        <v>4</v>
      </c>
      <c r="C69" s="165" t="s">
        <v>1106</v>
      </c>
      <c r="D69" s="169" t="s">
        <v>15</v>
      </c>
      <c r="E69" s="166">
        <v>2</v>
      </c>
      <c r="F69" s="165" t="s">
        <v>1143</v>
      </c>
      <c r="G69" s="169" t="s">
        <v>1144</v>
      </c>
      <c r="H69" s="165" t="s">
        <v>1120</v>
      </c>
      <c r="I69" s="166">
        <v>7</v>
      </c>
      <c r="J69" s="167" t="s">
        <v>702</v>
      </c>
      <c r="K69" s="166">
        <v>4</v>
      </c>
      <c r="L69" s="166"/>
      <c r="M69" s="168"/>
      <c r="N69" s="169"/>
      <c r="O69" s="171"/>
      <c r="P69" s="169"/>
      <c r="Q69" s="165"/>
      <c r="R69" s="116"/>
      <c r="S69" s="116"/>
      <c r="T69" s="117"/>
      <c r="U69" s="116"/>
      <c r="V69" s="165" t="s">
        <v>1145</v>
      </c>
      <c r="W69" s="165" t="s">
        <v>355</v>
      </c>
      <c r="X69" s="171" t="s">
        <v>726</v>
      </c>
    </row>
    <row r="70" spans="1:24" s="82" customFormat="1" ht="75" hidden="1" customHeight="1">
      <c r="A70" s="80"/>
      <c r="B70" s="165" t="s">
        <v>4</v>
      </c>
      <c r="C70" s="165" t="s">
        <v>1106</v>
      </c>
      <c r="D70" s="165" t="s">
        <v>15</v>
      </c>
      <c r="E70" s="166">
        <v>2</v>
      </c>
      <c r="F70" s="165" t="s">
        <v>1146</v>
      </c>
      <c r="G70" s="113" t="s">
        <v>1147</v>
      </c>
      <c r="H70" s="165" t="s">
        <v>1124</v>
      </c>
      <c r="I70" s="166">
        <v>8</v>
      </c>
      <c r="J70" s="167" t="s">
        <v>1125</v>
      </c>
      <c r="K70" s="166">
        <v>23</v>
      </c>
      <c r="L70" s="166">
        <v>6</v>
      </c>
      <c r="M70" s="168"/>
      <c r="N70" s="169"/>
      <c r="O70" s="171"/>
      <c r="P70" s="169"/>
      <c r="Q70" s="165"/>
      <c r="R70" s="116"/>
      <c r="S70" s="116"/>
      <c r="T70" s="117"/>
      <c r="U70" s="116"/>
      <c r="V70" s="165" t="s">
        <v>1145</v>
      </c>
      <c r="W70" s="169" t="s">
        <v>1142</v>
      </c>
      <c r="X70" s="171" t="s">
        <v>726</v>
      </c>
    </row>
    <row r="71" spans="1:24" s="82" customFormat="1" ht="75" hidden="1" customHeight="1">
      <c r="A71" s="80"/>
      <c r="B71" s="169" t="s">
        <v>4</v>
      </c>
      <c r="C71" s="165" t="s">
        <v>1106</v>
      </c>
      <c r="D71" s="169" t="s">
        <v>15</v>
      </c>
      <c r="E71" s="166">
        <v>2</v>
      </c>
      <c r="F71" s="165" t="s">
        <v>1148</v>
      </c>
      <c r="G71" s="169" t="s">
        <v>1149</v>
      </c>
      <c r="H71" s="165" t="s">
        <v>1120</v>
      </c>
      <c r="I71" s="166">
        <v>9</v>
      </c>
      <c r="J71" s="167" t="s">
        <v>702</v>
      </c>
      <c r="K71" s="166">
        <v>4</v>
      </c>
      <c r="L71" s="166"/>
      <c r="M71" s="168"/>
      <c r="N71" s="169"/>
      <c r="O71" s="171"/>
      <c r="P71" s="169"/>
      <c r="Q71" s="165"/>
      <c r="R71" s="116"/>
      <c r="S71" s="116"/>
      <c r="T71" s="117"/>
      <c r="U71" s="116"/>
      <c r="V71" s="169" t="s">
        <v>726</v>
      </c>
      <c r="W71" s="169" t="s">
        <v>726</v>
      </c>
      <c r="X71" s="171" t="s">
        <v>1150</v>
      </c>
    </row>
    <row r="72" spans="1:24" s="82" customFormat="1" ht="75" hidden="1" customHeight="1">
      <c r="A72" s="80"/>
      <c r="B72" s="165" t="s">
        <v>4</v>
      </c>
      <c r="C72" s="165" t="s">
        <v>1106</v>
      </c>
      <c r="D72" s="165" t="s">
        <v>15</v>
      </c>
      <c r="E72" s="166">
        <v>2</v>
      </c>
      <c r="F72" s="165" t="s">
        <v>1151</v>
      </c>
      <c r="G72" s="113" t="s">
        <v>1152</v>
      </c>
      <c r="H72" s="165" t="s">
        <v>1124</v>
      </c>
      <c r="I72" s="166">
        <v>10</v>
      </c>
      <c r="J72" s="167" t="s">
        <v>1125</v>
      </c>
      <c r="K72" s="166">
        <v>23</v>
      </c>
      <c r="L72" s="166">
        <v>6</v>
      </c>
      <c r="M72" s="168"/>
      <c r="N72" s="169"/>
      <c r="O72" s="171"/>
      <c r="P72" s="169"/>
      <c r="Q72" s="165"/>
      <c r="R72" s="116"/>
      <c r="S72" s="116"/>
      <c r="T72" s="117"/>
      <c r="U72" s="116"/>
      <c r="V72" s="169" t="s">
        <v>1153</v>
      </c>
      <c r="W72" s="169" t="s">
        <v>1154</v>
      </c>
      <c r="X72" s="171" t="s">
        <v>726</v>
      </c>
    </row>
    <row r="73" spans="1:24" s="82" customFormat="1" ht="75" hidden="1" customHeight="1">
      <c r="A73" s="80"/>
      <c r="B73" s="165" t="s">
        <v>4</v>
      </c>
      <c r="C73" s="165" t="s">
        <v>1106</v>
      </c>
      <c r="D73" s="165" t="s">
        <v>15</v>
      </c>
      <c r="E73" s="166">
        <v>2</v>
      </c>
      <c r="F73" s="170" t="s">
        <v>1155</v>
      </c>
      <c r="G73" s="169" t="s">
        <v>1156</v>
      </c>
      <c r="H73" s="165" t="s">
        <v>1120</v>
      </c>
      <c r="I73" s="171">
        <v>11</v>
      </c>
      <c r="J73" s="172" t="s">
        <v>702</v>
      </c>
      <c r="K73" s="171">
        <v>4</v>
      </c>
      <c r="L73" s="171"/>
      <c r="M73" s="168" t="s">
        <v>1157</v>
      </c>
      <c r="N73" s="168" t="s">
        <v>1158</v>
      </c>
      <c r="O73" s="171"/>
      <c r="P73" s="114" t="s">
        <v>1131</v>
      </c>
      <c r="Q73" s="114" t="s">
        <v>1159</v>
      </c>
      <c r="R73" s="189" t="s">
        <v>1160</v>
      </c>
      <c r="S73" s="189" t="s">
        <v>1134</v>
      </c>
      <c r="T73" s="197" t="s">
        <v>1161</v>
      </c>
      <c r="U73" s="113"/>
      <c r="V73" s="165" t="s">
        <v>1162</v>
      </c>
      <c r="W73" s="169" t="s">
        <v>355</v>
      </c>
      <c r="X73" s="166" t="s">
        <v>1163</v>
      </c>
    </row>
    <row r="74" spans="1:24" s="82" customFormat="1" ht="75" hidden="1" customHeight="1">
      <c r="A74" s="80"/>
      <c r="B74" s="165" t="s">
        <v>4</v>
      </c>
      <c r="C74" s="165" t="s">
        <v>1106</v>
      </c>
      <c r="D74" s="165" t="s">
        <v>15</v>
      </c>
      <c r="E74" s="166">
        <v>2</v>
      </c>
      <c r="F74" s="165" t="s">
        <v>1164</v>
      </c>
      <c r="G74" s="113" t="s">
        <v>1165</v>
      </c>
      <c r="H74" s="165" t="s">
        <v>1124</v>
      </c>
      <c r="I74" s="166">
        <v>12</v>
      </c>
      <c r="J74" s="167" t="s">
        <v>1125</v>
      </c>
      <c r="K74" s="166">
        <v>23</v>
      </c>
      <c r="L74" s="166">
        <v>6</v>
      </c>
      <c r="M74" s="170" t="s">
        <v>1166</v>
      </c>
      <c r="N74" s="165" t="s">
        <v>1167</v>
      </c>
      <c r="O74" s="166" t="s">
        <v>719</v>
      </c>
      <c r="P74" s="165"/>
      <c r="Q74" s="114" t="s">
        <v>741</v>
      </c>
      <c r="R74" s="114" t="s">
        <v>1112</v>
      </c>
      <c r="S74" s="114" t="s">
        <v>1168</v>
      </c>
      <c r="T74" s="197" t="s">
        <v>1169</v>
      </c>
      <c r="U74" s="113"/>
      <c r="V74" s="165" t="s">
        <v>1162</v>
      </c>
      <c r="W74" s="165" t="s">
        <v>1170</v>
      </c>
      <c r="X74" s="166" t="s">
        <v>726</v>
      </c>
    </row>
    <row r="75" spans="1:24" s="82" customFormat="1" ht="75" hidden="1" customHeight="1">
      <c r="A75" s="80"/>
      <c r="B75" s="169" t="s">
        <v>4</v>
      </c>
      <c r="C75" s="165" t="s">
        <v>1106</v>
      </c>
      <c r="D75" s="169" t="s">
        <v>15</v>
      </c>
      <c r="E75" s="166">
        <v>2</v>
      </c>
      <c r="F75" s="165" t="s">
        <v>1171</v>
      </c>
      <c r="G75" s="169" t="s">
        <v>1172</v>
      </c>
      <c r="H75" s="165" t="s">
        <v>1120</v>
      </c>
      <c r="I75" s="171">
        <v>13</v>
      </c>
      <c r="J75" s="172"/>
      <c r="K75" s="171"/>
      <c r="L75" s="171"/>
      <c r="M75" s="168"/>
      <c r="N75" s="169"/>
      <c r="O75" s="171"/>
      <c r="P75" s="169"/>
      <c r="Q75" s="165"/>
      <c r="R75" s="116"/>
      <c r="S75" s="116"/>
      <c r="T75" s="117"/>
      <c r="U75" s="116"/>
      <c r="V75" s="169" t="s">
        <v>1162</v>
      </c>
      <c r="W75" s="169" t="s">
        <v>355</v>
      </c>
      <c r="X75" s="169"/>
    </row>
    <row r="76" spans="1:24" s="82" customFormat="1" ht="75" hidden="1" customHeight="1">
      <c r="A76" s="80"/>
      <c r="B76" s="169" t="s">
        <v>4</v>
      </c>
      <c r="C76" s="165" t="s">
        <v>1106</v>
      </c>
      <c r="D76" s="169" t="s">
        <v>15</v>
      </c>
      <c r="E76" s="166">
        <v>2</v>
      </c>
      <c r="F76" s="165" t="s">
        <v>1173</v>
      </c>
      <c r="G76" s="169" t="s">
        <v>1174</v>
      </c>
      <c r="H76" s="165" t="s">
        <v>1124</v>
      </c>
      <c r="I76" s="171">
        <v>14</v>
      </c>
      <c r="J76" s="172"/>
      <c r="K76" s="171"/>
      <c r="L76" s="171"/>
      <c r="M76" s="168"/>
      <c r="N76" s="169"/>
      <c r="O76" s="171"/>
      <c r="P76" s="169"/>
      <c r="Q76" s="165"/>
      <c r="R76" s="116"/>
      <c r="S76" s="116"/>
      <c r="T76" s="117"/>
      <c r="U76" s="116"/>
      <c r="V76" s="169" t="s">
        <v>1162</v>
      </c>
      <c r="W76" s="169" t="s">
        <v>1175</v>
      </c>
      <c r="X76" s="169"/>
    </row>
    <row r="77" spans="1:24" s="82" customFormat="1" ht="75" hidden="1" customHeight="1">
      <c r="A77" s="80"/>
      <c r="B77" s="169" t="s">
        <v>4</v>
      </c>
      <c r="C77" s="165" t="s">
        <v>1106</v>
      </c>
      <c r="D77" s="169" t="s">
        <v>15</v>
      </c>
      <c r="E77" s="166">
        <v>2</v>
      </c>
      <c r="F77" s="165" t="s">
        <v>1176</v>
      </c>
      <c r="G77" s="169" t="s">
        <v>1177</v>
      </c>
      <c r="H77" s="165" t="s">
        <v>1120</v>
      </c>
      <c r="I77" s="171">
        <v>15</v>
      </c>
      <c r="J77" s="172"/>
      <c r="K77" s="171"/>
      <c r="L77" s="171"/>
      <c r="M77" s="168"/>
      <c r="N77" s="169"/>
      <c r="O77" s="171"/>
      <c r="P77" s="169"/>
      <c r="Q77" s="165"/>
      <c r="R77" s="116"/>
      <c r="S77" s="116"/>
      <c r="T77" s="117"/>
      <c r="U77" s="116"/>
      <c r="V77" s="169" t="s">
        <v>1162</v>
      </c>
      <c r="W77" s="169" t="s">
        <v>355</v>
      </c>
      <c r="X77" s="169"/>
    </row>
    <row r="78" spans="1:24" s="82" customFormat="1" ht="75" hidden="1" customHeight="1">
      <c r="A78" s="80"/>
      <c r="B78" s="169" t="s">
        <v>4</v>
      </c>
      <c r="C78" s="165" t="s">
        <v>1106</v>
      </c>
      <c r="D78" s="169" t="s">
        <v>15</v>
      </c>
      <c r="E78" s="166">
        <v>2</v>
      </c>
      <c r="F78" s="165" t="s">
        <v>1178</v>
      </c>
      <c r="G78" s="169" t="s">
        <v>1179</v>
      </c>
      <c r="H78" s="165" t="s">
        <v>1124</v>
      </c>
      <c r="I78" s="171">
        <v>16</v>
      </c>
      <c r="J78" s="172"/>
      <c r="K78" s="171"/>
      <c r="L78" s="171"/>
      <c r="M78" s="168"/>
      <c r="N78" s="169"/>
      <c r="O78" s="171"/>
      <c r="P78" s="169"/>
      <c r="Q78" s="165"/>
      <c r="R78" s="116"/>
      <c r="S78" s="116"/>
      <c r="T78" s="117"/>
      <c r="U78" s="116"/>
      <c r="V78" s="169" t="s">
        <v>1162</v>
      </c>
      <c r="W78" s="169" t="s">
        <v>1180</v>
      </c>
      <c r="X78" s="169"/>
    </row>
    <row r="79" spans="1:24" s="82" customFormat="1" ht="75" hidden="1" customHeight="1">
      <c r="A79" s="80"/>
      <c r="B79" s="165" t="s">
        <v>4</v>
      </c>
      <c r="C79" s="165" t="s">
        <v>1106</v>
      </c>
      <c r="D79" s="165" t="s">
        <v>15</v>
      </c>
      <c r="E79" s="166">
        <v>2</v>
      </c>
      <c r="F79" s="165" t="s">
        <v>1181</v>
      </c>
      <c r="G79" s="113" t="s">
        <v>1182</v>
      </c>
      <c r="H79" s="165" t="s">
        <v>1124</v>
      </c>
      <c r="I79" s="166">
        <v>17</v>
      </c>
      <c r="J79" s="167" t="s">
        <v>1183</v>
      </c>
      <c r="K79" s="166"/>
      <c r="L79" s="166"/>
      <c r="M79" s="170" t="s">
        <v>1184</v>
      </c>
      <c r="N79" s="165" t="s">
        <v>1185</v>
      </c>
      <c r="O79" s="166" t="s">
        <v>719</v>
      </c>
      <c r="P79" s="165"/>
      <c r="Q79" s="114" t="s">
        <v>741</v>
      </c>
      <c r="R79" s="114" t="s">
        <v>1112</v>
      </c>
      <c r="S79" s="114" t="s">
        <v>1186</v>
      </c>
      <c r="T79" s="199" t="s">
        <v>1187</v>
      </c>
      <c r="U79" s="113"/>
      <c r="V79" s="165" t="s">
        <v>1121</v>
      </c>
      <c r="W79" s="165" t="s">
        <v>1188</v>
      </c>
      <c r="X79" s="166" t="s">
        <v>726</v>
      </c>
    </row>
    <row r="80" spans="1:24" s="82" customFormat="1" ht="75" hidden="1" customHeight="1">
      <c r="A80" s="80"/>
      <c r="B80" s="165" t="s">
        <v>4</v>
      </c>
      <c r="C80" s="165" t="s">
        <v>1106</v>
      </c>
      <c r="D80" s="165" t="s">
        <v>15</v>
      </c>
      <c r="E80" s="166">
        <v>2</v>
      </c>
      <c r="F80" s="165" t="s">
        <v>795</v>
      </c>
      <c r="G80" s="113" t="s">
        <v>796</v>
      </c>
      <c r="H80" s="165" t="s">
        <v>797</v>
      </c>
      <c r="I80" s="166">
        <v>18</v>
      </c>
      <c r="J80" s="167" t="s">
        <v>702</v>
      </c>
      <c r="K80" s="166">
        <v>10</v>
      </c>
      <c r="L80" s="166"/>
      <c r="M80" s="170" t="s">
        <v>798</v>
      </c>
      <c r="N80" s="113" t="s">
        <v>799</v>
      </c>
      <c r="O80" s="166" t="s">
        <v>705</v>
      </c>
      <c r="P80" s="165"/>
      <c r="Q80" s="170" t="s">
        <v>1189</v>
      </c>
      <c r="R80" s="114" t="s">
        <v>1190</v>
      </c>
      <c r="S80" s="114" t="s">
        <v>1191</v>
      </c>
      <c r="T80" s="197" t="s">
        <v>1192</v>
      </c>
      <c r="U80" s="165" t="s">
        <v>726</v>
      </c>
      <c r="V80" s="165" t="s">
        <v>726</v>
      </c>
      <c r="W80" s="165" t="s">
        <v>726</v>
      </c>
      <c r="X80" s="166" t="s">
        <v>726</v>
      </c>
    </row>
    <row r="81" spans="1:24" s="82" customFormat="1" ht="75" hidden="1" customHeight="1">
      <c r="A81" s="80"/>
      <c r="B81" s="165" t="s">
        <v>4</v>
      </c>
      <c r="C81" s="165" t="s">
        <v>1106</v>
      </c>
      <c r="D81" s="165" t="s">
        <v>15</v>
      </c>
      <c r="E81" s="166">
        <v>2</v>
      </c>
      <c r="F81" s="165" t="s">
        <v>802</v>
      </c>
      <c r="G81" s="113" t="s">
        <v>803</v>
      </c>
      <c r="H81" s="165" t="s">
        <v>804</v>
      </c>
      <c r="I81" s="166">
        <v>19</v>
      </c>
      <c r="J81" s="167" t="s">
        <v>805</v>
      </c>
      <c r="K81" s="166">
        <v>23</v>
      </c>
      <c r="L81" s="166"/>
      <c r="M81" s="114" t="s">
        <v>806</v>
      </c>
      <c r="N81" s="114" t="s">
        <v>807</v>
      </c>
      <c r="O81" s="166" t="s">
        <v>719</v>
      </c>
      <c r="P81" s="165"/>
      <c r="Q81" s="170" t="s">
        <v>1189</v>
      </c>
      <c r="R81" s="114" t="s">
        <v>1190</v>
      </c>
      <c r="S81" s="114" t="s">
        <v>1193</v>
      </c>
      <c r="T81" s="197" t="s">
        <v>1194</v>
      </c>
      <c r="U81" s="165" t="s">
        <v>726</v>
      </c>
      <c r="V81" s="165" t="s">
        <v>726</v>
      </c>
      <c r="W81" s="165" t="s">
        <v>726</v>
      </c>
      <c r="X81" s="166" t="s">
        <v>726</v>
      </c>
    </row>
    <row r="82" spans="1:24" s="82" customFormat="1" ht="75" hidden="1" customHeight="1">
      <c r="A82" s="80"/>
      <c r="B82" s="145" t="s">
        <v>4</v>
      </c>
      <c r="C82" s="145" t="s">
        <v>1195</v>
      </c>
      <c r="D82" s="145" t="s">
        <v>17</v>
      </c>
      <c r="E82" s="146">
        <v>2</v>
      </c>
      <c r="F82" s="145" t="s">
        <v>699</v>
      </c>
      <c r="G82" s="145" t="s">
        <v>700</v>
      </c>
      <c r="H82" s="145" t="s">
        <v>1196</v>
      </c>
      <c r="I82" s="146">
        <v>1</v>
      </c>
      <c r="J82" s="147" t="s">
        <v>702</v>
      </c>
      <c r="K82" s="146">
        <v>10</v>
      </c>
      <c r="L82" s="152"/>
      <c r="M82" s="148" t="s">
        <v>703</v>
      </c>
      <c r="N82" s="156" t="s">
        <v>704</v>
      </c>
      <c r="O82" s="146" t="s">
        <v>705</v>
      </c>
      <c r="P82" s="145"/>
      <c r="Q82" s="97" t="s">
        <v>1039</v>
      </c>
      <c r="R82" s="97" t="s">
        <v>1040</v>
      </c>
      <c r="S82" s="97" t="s">
        <v>472</v>
      </c>
      <c r="T82" s="98" t="s">
        <v>1197</v>
      </c>
      <c r="U82" s="70" t="s">
        <v>710</v>
      </c>
      <c r="V82" s="145" t="s">
        <v>1198</v>
      </c>
      <c r="W82" s="145" t="s">
        <v>1199</v>
      </c>
      <c r="X82" s="146" t="s">
        <v>713</v>
      </c>
    </row>
    <row r="83" spans="1:24" s="82" customFormat="1" ht="75" hidden="1" customHeight="1">
      <c r="A83" s="80"/>
      <c r="B83" s="145" t="s">
        <v>4</v>
      </c>
      <c r="C83" s="145" t="s">
        <v>1195</v>
      </c>
      <c r="D83" s="145" t="s">
        <v>17</v>
      </c>
      <c r="E83" s="146">
        <v>2</v>
      </c>
      <c r="F83" s="145" t="s">
        <v>1200</v>
      </c>
      <c r="G83" s="156" t="s">
        <v>1201</v>
      </c>
      <c r="H83" s="145" t="s">
        <v>1082</v>
      </c>
      <c r="I83" s="146">
        <v>2</v>
      </c>
      <c r="J83" s="147" t="s">
        <v>702</v>
      </c>
      <c r="K83" s="146">
        <v>4</v>
      </c>
      <c r="L83" s="152"/>
      <c r="M83" s="148" t="s">
        <v>1202</v>
      </c>
      <c r="N83" s="149" t="s">
        <v>1203</v>
      </c>
      <c r="O83" s="146" t="s">
        <v>705</v>
      </c>
      <c r="P83" s="97" t="s">
        <v>1204</v>
      </c>
      <c r="Q83" s="97" t="s">
        <v>741</v>
      </c>
      <c r="R83" s="97" t="s">
        <v>1205</v>
      </c>
      <c r="S83" s="97" t="s">
        <v>1206</v>
      </c>
      <c r="T83" s="98" t="s">
        <v>1207</v>
      </c>
      <c r="U83" s="70" t="s">
        <v>710</v>
      </c>
      <c r="V83" s="118" t="s">
        <v>1208</v>
      </c>
      <c r="W83" s="145" t="s">
        <v>1209</v>
      </c>
      <c r="X83" s="146" t="s">
        <v>713</v>
      </c>
    </row>
    <row r="84" spans="1:24" s="82" customFormat="1" ht="75" hidden="1" customHeight="1">
      <c r="A84" s="80"/>
      <c r="B84" s="145" t="s">
        <v>4</v>
      </c>
      <c r="C84" s="145" t="s">
        <v>1195</v>
      </c>
      <c r="D84" s="145" t="s">
        <v>17</v>
      </c>
      <c r="E84" s="146">
        <v>2</v>
      </c>
      <c r="F84" s="145" t="s">
        <v>1210</v>
      </c>
      <c r="G84" s="156" t="s">
        <v>1211</v>
      </c>
      <c r="H84" s="145" t="s">
        <v>1082</v>
      </c>
      <c r="I84" s="152">
        <v>3</v>
      </c>
      <c r="J84" s="147" t="s">
        <v>702</v>
      </c>
      <c r="K84" s="152">
        <v>4</v>
      </c>
      <c r="L84" s="152"/>
      <c r="M84" s="148" t="s">
        <v>1097</v>
      </c>
      <c r="N84" s="148" t="s">
        <v>1098</v>
      </c>
      <c r="O84" s="146" t="s">
        <v>705</v>
      </c>
      <c r="P84" s="85" t="s">
        <v>1212</v>
      </c>
      <c r="Q84" s="97" t="s">
        <v>1213</v>
      </c>
      <c r="R84" s="97" t="s">
        <v>1214</v>
      </c>
      <c r="S84" s="97" t="s">
        <v>1215</v>
      </c>
      <c r="T84" s="98" t="s">
        <v>1216</v>
      </c>
      <c r="U84" s="70" t="s">
        <v>710</v>
      </c>
      <c r="V84" s="118" t="s">
        <v>1208</v>
      </c>
      <c r="W84" s="156" t="s">
        <v>1217</v>
      </c>
      <c r="X84" s="146" t="s">
        <v>726</v>
      </c>
    </row>
    <row r="85" spans="1:24" s="82" customFormat="1" ht="75" hidden="1" customHeight="1">
      <c r="A85" s="80"/>
      <c r="B85" s="145" t="s">
        <v>4</v>
      </c>
      <c r="C85" s="145" t="s">
        <v>1195</v>
      </c>
      <c r="D85" s="145" t="s">
        <v>17</v>
      </c>
      <c r="E85" s="146">
        <v>2</v>
      </c>
      <c r="F85" s="145" t="s">
        <v>1218</v>
      </c>
      <c r="G85" s="156" t="s">
        <v>1219</v>
      </c>
      <c r="H85" s="145" t="s">
        <v>1082</v>
      </c>
      <c r="I85" s="146">
        <v>4</v>
      </c>
      <c r="J85" s="147" t="s">
        <v>702</v>
      </c>
      <c r="K85" s="146">
        <v>4</v>
      </c>
      <c r="L85" s="152"/>
      <c r="M85" s="149" t="s">
        <v>1220</v>
      </c>
      <c r="N85" s="149" t="s">
        <v>1221</v>
      </c>
      <c r="O85" s="146" t="s">
        <v>705</v>
      </c>
      <c r="P85" s="97" t="s">
        <v>1222</v>
      </c>
      <c r="Q85" s="97" t="s">
        <v>1039</v>
      </c>
      <c r="R85" s="97" t="s">
        <v>1223</v>
      </c>
      <c r="S85" s="97" t="s">
        <v>1224</v>
      </c>
      <c r="T85" s="98" t="s">
        <v>1225</v>
      </c>
      <c r="U85" s="70" t="s">
        <v>710</v>
      </c>
      <c r="V85" s="145" t="s">
        <v>1226</v>
      </c>
      <c r="W85" s="145" t="s">
        <v>1227</v>
      </c>
      <c r="X85" s="146" t="s">
        <v>713</v>
      </c>
    </row>
    <row r="86" spans="1:24" s="82" customFormat="1" ht="75" hidden="1" customHeight="1">
      <c r="A86" s="80"/>
      <c r="B86" s="145" t="s">
        <v>4</v>
      </c>
      <c r="C86" s="145" t="s">
        <v>1195</v>
      </c>
      <c r="D86" s="145" t="s">
        <v>17</v>
      </c>
      <c r="E86" s="146">
        <v>2</v>
      </c>
      <c r="F86" s="145" t="s">
        <v>1228</v>
      </c>
      <c r="G86" s="70" t="s">
        <v>1229</v>
      </c>
      <c r="H86" s="145" t="s">
        <v>817</v>
      </c>
      <c r="I86" s="146">
        <v>5</v>
      </c>
      <c r="J86" s="147" t="s">
        <v>702</v>
      </c>
      <c r="K86" s="146">
        <v>40</v>
      </c>
      <c r="L86" s="152"/>
      <c r="M86" s="148" t="s">
        <v>1230</v>
      </c>
      <c r="N86" s="145" t="s">
        <v>1231</v>
      </c>
      <c r="O86" s="146" t="s">
        <v>705</v>
      </c>
      <c r="P86" s="145"/>
      <c r="Q86" s="97" t="s">
        <v>720</v>
      </c>
      <c r="R86" s="97" t="s">
        <v>1232</v>
      </c>
      <c r="S86" s="97" t="s">
        <v>1233</v>
      </c>
      <c r="T86" s="98" t="s">
        <v>1234</v>
      </c>
      <c r="U86" s="70" t="s">
        <v>724</v>
      </c>
      <c r="V86" s="145" t="s">
        <v>1235</v>
      </c>
      <c r="W86" s="145" t="s">
        <v>1236</v>
      </c>
      <c r="X86" s="146" t="s">
        <v>726</v>
      </c>
    </row>
    <row r="87" spans="1:24" s="82" customFormat="1" ht="75" hidden="1" customHeight="1">
      <c r="A87" s="80"/>
      <c r="B87" s="145" t="s">
        <v>4</v>
      </c>
      <c r="C87" s="145" t="s">
        <v>1195</v>
      </c>
      <c r="D87" s="145" t="s">
        <v>17</v>
      </c>
      <c r="E87" s="146">
        <v>2</v>
      </c>
      <c r="F87" s="145" t="s">
        <v>1237</v>
      </c>
      <c r="G87" s="70" t="s">
        <v>1238</v>
      </c>
      <c r="H87" s="145" t="s">
        <v>1015</v>
      </c>
      <c r="I87" s="146">
        <v>6</v>
      </c>
      <c r="J87" s="147" t="s">
        <v>702</v>
      </c>
      <c r="K87" s="146">
        <v>10</v>
      </c>
      <c r="L87" s="152"/>
      <c r="M87" s="149" t="s">
        <v>1239</v>
      </c>
      <c r="N87" s="145" t="s">
        <v>1240</v>
      </c>
      <c r="O87" s="146" t="s">
        <v>719</v>
      </c>
      <c r="P87" s="145"/>
      <c r="Q87" s="97" t="s">
        <v>720</v>
      </c>
      <c r="R87" s="97" t="s">
        <v>1232</v>
      </c>
      <c r="S87" s="97" t="s">
        <v>1241</v>
      </c>
      <c r="T87" s="98" t="s">
        <v>1242</v>
      </c>
      <c r="U87" s="70" t="s">
        <v>724</v>
      </c>
      <c r="V87" s="145" t="s">
        <v>1235</v>
      </c>
      <c r="W87" s="145" t="s">
        <v>1243</v>
      </c>
      <c r="X87" s="146" t="s">
        <v>726</v>
      </c>
    </row>
    <row r="88" spans="1:24" s="82" customFormat="1" ht="75" hidden="1" customHeight="1">
      <c r="A88" s="80"/>
      <c r="B88" s="145" t="s">
        <v>4</v>
      </c>
      <c r="C88" s="145" t="s">
        <v>1195</v>
      </c>
      <c r="D88" s="145" t="s">
        <v>17</v>
      </c>
      <c r="E88" s="146">
        <v>2</v>
      </c>
      <c r="F88" s="145" t="s">
        <v>1244</v>
      </c>
      <c r="G88" s="145" t="s">
        <v>1245</v>
      </c>
      <c r="H88" s="145" t="s">
        <v>1015</v>
      </c>
      <c r="I88" s="146">
        <v>7</v>
      </c>
      <c r="J88" s="147" t="s">
        <v>702</v>
      </c>
      <c r="K88" s="146">
        <v>10</v>
      </c>
      <c r="L88" s="152"/>
      <c r="M88" s="149" t="s">
        <v>1246</v>
      </c>
      <c r="N88" s="131" t="s">
        <v>1247</v>
      </c>
      <c r="O88" s="146" t="s">
        <v>719</v>
      </c>
      <c r="P88" s="145"/>
      <c r="Q88" s="97" t="s">
        <v>720</v>
      </c>
      <c r="R88" s="97" t="s">
        <v>1232</v>
      </c>
      <c r="S88" s="97" t="s">
        <v>1248</v>
      </c>
      <c r="T88" s="98" t="s">
        <v>1249</v>
      </c>
      <c r="U88" s="70" t="s">
        <v>724</v>
      </c>
      <c r="V88" s="145" t="s">
        <v>1235</v>
      </c>
      <c r="W88" s="145" t="s">
        <v>1250</v>
      </c>
      <c r="X88" s="146" t="s">
        <v>726</v>
      </c>
    </row>
    <row r="89" spans="1:24" s="82" customFormat="1" ht="75" hidden="1" customHeight="1">
      <c r="A89" s="80"/>
      <c r="B89" s="145" t="s">
        <v>4</v>
      </c>
      <c r="C89" s="145" t="s">
        <v>1195</v>
      </c>
      <c r="D89" s="145" t="s">
        <v>17</v>
      </c>
      <c r="E89" s="146">
        <v>2</v>
      </c>
      <c r="F89" s="145" t="s">
        <v>795</v>
      </c>
      <c r="G89" s="145" t="s">
        <v>796</v>
      </c>
      <c r="H89" s="145" t="s">
        <v>797</v>
      </c>
      <c r="I89" s="146">
        <v>8</v>
      </c>
      <c r="J89" s="147" t="s">
        <v>702</v>
      </c>
      <c r="K89" s="146">
        <v>10</v>
      </c>
      <c r="L89" s="152"/>
      <c r="M89" s="149" t="s">
        <v>798</v>
      </c>
      <c r="N89" s="70" t="s">
        <v>799</v>
      </c>
      <c r="O89" s="146" t="s">
        <v>705</v>
      </c>
      <c r="P89" s="145"/>
      <c r="Q89" s="97" t="s">
        <v>720</v>
      </c>
      <c r="R89" s="97" t="s">
        <v>1232</v>
      </c>
      <c r="S89" s="97" t="s">
        <v>800</v>
      </c>
      <c r="T89" s="98" t="s">
        <v>1251</v>
      </c>
      <c r="U89" s="145" t="s">
        <v>726</v>
      </c>
      <c r="V89" s="145" t="s">
        <v>726</v>
      </c>
      <c r="W89" s="145" t="s">
        <v>726</v>
      </c>
      <c r="X89" s="146" t="s">
        <v>726</v>
      </c>
    </row>
    <row r="90" spans="1:24" s="82" customFormat="1" ht="75" hidden="1" customHeight="1">
      <c r="A90" s="80"/>
      <c r="B90" s="145" t="s">
        <v>4</v>
      </c>
      <c r="C90" s="145" t="s">
        <v>1195</v>
      </c>
      <c r="D90" s="145" t="s">
        <v>17</v>
      </c>
      <c r="E90" s="146">
        <v>2</v>
      </c>
      <c r="F90" s="145" t="s">
        <v>802</v>
      </c>
      <c r="G90" s="145" t="s">
        <v>803</v>
      </c>
      <c r="H90" s="145" t="s">
        <v>804</v>
      </c>
      <c r="I90" s="146">
        <v>9</v>
      </c>
      <c r="J90" s="147" t="s">
        <v>805</v>
      </c>
      <c r="K90" s="146">
        <v>23</v>
      </c>
      <c r="L90" s="152"/>
      <c r="M90" s="97" t="s">
        <v>806</v>
      </c>
      <c r="N90" s="97" t="s">
        <v>807</v>
      </c>
      <c r="O90" s="146" t="s">
        <v>719</v>
      </c>
      <c r="P90" s="145"/>
      <c r="Q90" s="97" t="s">
        <v>726</v>
      </c>
      <c r="R90" s="97" t="s">
        <v>726</v>
      </c>
      <c r="S90" s="97" t="s">
        <v>726</v>
      </c>
      <c r="T90" s="98" t="s">
        <v>1075</v>
      </c>
      <c r="U90" s="145" t="s">
        <v>726</v>
      </c>
      <c r="V90" s="145" t="s">
        <v>726</v>
      </c>
      <c r="W90" s="145" t="s">
        <v>726</v>
      </c>
      <c r="X90" s="146" t="s">
        <v>726</v>
      </c>
    </row>
    <row r="91" spans="1:24" s="82" customFormat="1" ht="75" hidden="1" customHeight="1">
      <c r="A91" s="80"/>
      <c r="B91" s="156" t="s">
        <v>4</v>
      </c>
      <c r="C91" s="145" t="s">
        <v>1252</v>
      </c>
      <c r="D91" s="156" t="s">
        <v>19</v>
      </c>
      <c r="E91" s="146">
        <v>3</v>
      </c>
      <c r="F91" s="145" t="s">
        <v>699</v>
      </c>
      <c r="G91" s="156" t="s">
        <v>700</v>
      </c>
      <c r="H91" s="145" t="s">
        <v>1196</v>
      </c>
      <c r="I91" s="152">
        <v>1</v>
      </c>
      <c r="J91" s="157" t="s">
        <v>702</v>
      </c>
      <c r="K91" s="152">
        <v>10</v>
      </c>
      <c r="L91" s="152"/>
      <c r="M91" s="148" t="s">
        <v>703</v>
      </c>
      <c r="N91" s="156" t="s">
        <v>704</v>
      </c>
      <c r="O91" s="152" t="s">
        <v>705</v>
      </c>
      <c r="P91" s="156"/>
      <c r="Q91" s="97" t="s">
        <v>720</v>
      </c>
      <c r="R91" s="97" t="s">
        <v>1253</v>
      </c>
      <c r="S91" s="97" t="s">
        <v>472</v>
      </c>
      <c r="T91" s="98" t="s">
        <v>1254</v>
      </c>
      <c r="U91" s="70" t="s">
        <v>745</v>
      </c>
      <c r="V91" s="82" t="s">
        <v>1255</v>
      </c>
      <c r="W91" s="82" t="s">
        <v>472</v>
      </c>
      <c r="X91" s="83" t="s">
        <v>726</v>
      </c>
    </row>
    <row r="92" spans="1:24" ht="75" hidden="1" customHeight="1">
      <c r="B92" s="156" t="s">
        <v>4</v>
      </c>
      <c r="C92" s="145" t="s">
        <v>1252</v>
      </c>
      <c r="D92" s="156" t="s">
        <v>19</v>
      </c>
      <c r="E92" s="146">
        <v>3</v>
      </c>
      <c r="F92" s="145" t="s">
        <v>1228</v>
      </c>
      <c r="G92" s="156" t="s">
        <v>1229</v>
      </c>
      <c r="H92" s="145" t="s">
        <v>817</v>
      </c>
      <c r="I92" s="152">
        <v>2</v>
      </c>
      <c r="J92" s="157" t="s">
        <v>702</v>
      </c>
      <c r="K92" s="152">
        <v>40</v>
      </c>
      <c r="L92" s="152"/>
      <c r="M92" s="148" t="s">
        <v>1256</v>
      </c>
      <c r="N92" s="156" t="s">
        <v>1257</v>
      </c>
      <c r="O92" s="152" t="s">
        <v>705</v>
      </c>
      <c r="P92" s="156"/>
      <c r="Q92" s="97" t="s">
        <v>720</v>
      </c>
      <c r="R92" s="97" t="s">
        <v>1253</v>
      </c>
      <c r="S92" s="97" t="s">
        <v>1258</v>
      </c>
      <c r="T92" s="98" t="s">
        <v>1259</v>
      </c>
      <c r="U92" s="70" t="s">
        <v>745</v>
      </c>
      <c r="V92" s="82" t="s">
        <v>1255</v>
      </c>
      <c r="W92" s="82" t="s">
        <v>1258</v>
      </c>
      <c r="X92" s="83" t="s">
        <v>726</v>
      </c>
    </row>
    <row r="93" spans="1:24" ht="75" hidden="1" customHeight="1">
      <c r="B93" s="156" t="s">
        <v>4</v>
      </c>
      <c r="C93" s="145" t="s">
        <v>1252</v>
      </c>
      <c r="D93" s="156" t="s">
        <v>19</v>
      </c>
      <c r="E93" s="146">
        <v>3</v>
      </c>
      <c r="F93" s="145" t="s">
        <v>1200</v>
      </c>
      <c r="G93" s="156" t="s">
        <v>1201</v>
      </c>
      <c r="H93" s="145" t="s">
        <v>1082</v>
      </c>
      <c r="I93" s="152">
        <v>3</v>
      </c>
      <c r="J93" s="157" t="s">
        <v>702</v>
      </c>
      <c r="K93" s="152">
        <v>4</v>
      </c>
      <c r="L93" s="152"/>
      <c r="M93" s="148" t="s">
        <v>1202</v>
      </c>
      <c r="N93" s="149" t="s">
        <v>1203</v>
      </c>
      <c r="O93" s="152" t="s">
        <v>705</v>
      </c>
      <c r="P93" s="85" t="s">
        <v>1260</v>
      </c>
      <c r="Q93" s="97" t="s">
        <v>720</v>
      </c>
      <c r="R93" s="97" t="s">
        <v>1253</v>
      </c>
      <c r="S93" s="97" t="s">
        <v>1261</v>
      </c>
      <c r="T93" s="98" t="s">
        <v>1262</v>
      </c>
      <c r="U93" s="70" t="s">
        <v>745</v>
      </c>
      <c r="V93" s="82" t="s">
        <v>1255</v>
      </c>
      <c r="W93" s="82" t="s">
        <v>1261</v>
      </c>
      <c r="X93" s="83" t="s">
        <v>726</v>
      </c>
    </row>
    <row r="94" spans="1:24" ht="75" hidden="1" customHeight="1">
      <c r="B94" s="156" t="s">
        <v>4</v>
      </c>
      <c r="C94" s="145" t="s">
        <v>1252</v>
      </c>
      <c r="D94" s="156" t="s">
        <v>19</v>
      </c>
      <c r="E94" s="146">
        <v>3</v>
      </c>
      <c r="F94" s="145" t="s">
        <v>1218</v>
      </c>
      <c r="G94" s="156" t="s">
        <v>1219</v>
      </c>
      <c r="H94" s="145" t="s">
        <v>1082</v>
      </c>
      <c r="I94" s="152">
        <v>4</v>
      </c>
      <c r="J94" s="157" t="s">
        <v>702</v>
      </c>
      <c r="K94" s="152">
        <v>4</v>
      </c>
      <c r="L94" s="152"/>
      <c r="M94" s="149" t="s">
        <v>1220</v>
      </c>
      <c r="N94" s="148" t="s">
        <v>1221</v>
      </c>
      <c r="O94" s="152" t="s">
        <v>705</v>
      </c>
      <c r="P94" s="85" t="s">
        <v>1263</v>
      </c>
      <c r="Q94" s="97" t="s">
        <v>720</v>
      </c>
      <c r="R94" s="97" t="s">
        <v>1253</v>
      </c>
      <c r="S94" s="97" t="s">
        <v>91</v>
      </c>
      <c r="T94" s="98" t="s">
        <v>1264</v>
      </c>
      <c r="U94" s="70" t="s">
        <v>745</v>
      </c>
      <c r="V94" s="82" t="s">
        <v>1255</v>
      </c>
      <c r="W94" s="82" t="s">
        <v>91</v>
      </c>
      <c r="X94" s="83" t="s">
        <v>726</v>
      </c>
    </row>
    <row r="95" spans="1:24" ht="75" hidden="1" customHeight="1">
      <c r="B95" s="156" t="s">
        <v>4</v>
      </c>
      <c r="C95" s="145" t="s">
        <v>1252</v>
      </c>
      <c r="D95" s="156" t="s">
        <v>19</v>
      </c>
      <c r="E95" s="146">
        <v>3</v>
      </c>
      <c r="F95" s="145" t="s">
        <v>1265</v>
      </c>
      <c r="G95" s="156" t="s">
        <v>1266</v>
      </c>
      <c r="H95" s="145" t="s">
        <v>1082</v>
      </c>
      <c r="I95" s="152">
        <v>5</v>
      </c>
      <c r="J95" s="157" t="s">
        <v>702</v>
      </c>
      <c r="K95" s="152">
        <v>4</v>
      </c>
      <c r="L95" s="152"/>
      <c r="M95" s="148" t="s">
        <v>1267</v>
      </c>
      <c r="N95" s="156" t="s">
        <v>1268</v>
      </c>
      <c r="O95" s="152" t="s">
        <v>705</v>
      </c>
      <c r="P95" s="85" t="s">
        <v>1269</v>
      </c>
      <c r="Q95" s="97" t="s">
        <v>720</v>
      </c>
      <c r="R95" s="97" t="s">
        <v>1253</v>
      </c>
      <c r="S95" s="97" t="s">
        <v>1270</v>
      </c>
      <c r="T95" s="98" t="s">
        <v>1271</v>
      </c>
      <c r="U95" s="70" t="s">
        <v>745</v>
      </c>
      <c r="V95" s="82" t="s">
        <v>1255</v>
      </c>
      <c r="W95" s="82" t="s">
        <v>1270</v>
      </c>
      <c r="X95" s="83" t="s">
        <v>726</v>
      </c>
    </row>
    <row r="96" spans="1:24" ht="75" hidden="1" customHeight="1">
      <c r="B96" s="156" t="s">
        <v>4</v>
      </c>
      <c r="C96" s="145" t="s">
        <v>1252</v>
      </c>
      <c r="D96" s="156" t="s">
        <v>19</v>
      </c>
      <c r="E96" s="146">
        <v>3</v>
      </c>
      <c r="F96" s="145" t="s">
        <v>826</v>
      </c>
      <c r="G96" s="156" t="s">
        <v>827</v>
      </c>
      <c r="H96" s="145" t="s">
        <v>1272</v>
      </c>
      <c r="I96" s="152">
        <v>6</v>
      </c>
      <c r="J96" s="157" t="s">
        <v>702</v>
      </c>
      <c r="K96" s="152">
        <v>10</v>
      </c>
      <c r="L96" s="152"/>
      <c r="M96" s="148" t="s">
        <v>1273</v>
      </c>
      <c r="N96" s="156" t="s">
        <v>1274</v>
      </c>
      <c r="O96" s="152" t="s">
        <v>705</v>
      </c>
      <c r="P96" s="156"/>
      <c r="Q96" s="97" t="s">
        <v>720</v>
      </c>
      <c r="R96" s="97" t="s">
        <v>1253</v>
      </c>
      <c r="S96" s="97" t="s">
        <v>1275</v>
      </c>
      <c r="T96" s="98" t="s">
        <v>1276</v>
      </c>
      <c r="U96" s="70" t="s">
        <v>745</v>
      </c>
      <c r="V96" s="82" t="s">
        <v>1255</v>
      </c>
      <c r="W96" s="82" t="s">
        <v>1275</v>
      </c>
      <c r="X96" s="83" t="s">
        <v>726</v>
      </c>
    </row>
    <row r="97" spans="2:24" ht="75" hidden="1" customHeight="1">
      <c r="B97" s="156" t="s">
        <v>4</v>
      </c>
      <c r="C97" s="145" t="s">
        <v>1252</v>
      </c>
      <c r="D97" s="156" t="s">
        <v>19</v>
      </c>
      <c r="E97" s="146">
        <v>3</v>
      </c>
      <c r="F97" s="145" t="s">
        <v>795</v>
      </c>
      <c r="G97" s="156" t="s">
        <v>796</v>
      </c>
      <c r="H97" s="145" t="s">
        <v>797</v>
      </c>
      <c r="I97" s="152">
        <v>7</v>
      </c>
      <c r="J97" s="157" t="s">
        <v>702</v>
      </c>
      <c r="K97" s="152">
        <v>10</v>
      </c>
      <c r="L97" s="152"/>
      <c r="M97" s="148" t="s">
        <v>798</v>
      </c>
      <c r="N97" s="70" t="s">
        <v>799</v>
      </c>
      <c r="O97" s="152"/>
      <c r="P97" s="156"/>
      <c r="Q97" s="97" t="s">
        <v>720</v>
      </c>
      <c r="R97" s="97" t="s">
        <v>1253</v>
      </c>
      <c r="S97" s="97" t="s">
        <v>800</v>
      </c>
      <c r="T97" s="98" t="s">
        <v>1277</v>
      </c>
      <c r="U97" s="156" t="s">
        <v>726</v>
      </c>
      <c r="V97" s="156" t="s">
        <v>726</v>
      </c>
      <c r="W97" s="156" t="s">
        <v>726</v>
      </c>
      <c r="X97" s="83" t="s">
        <v>726</v>
      </c>
    </row>
    <row r="98" spans="2:24" ht="75" hidden="1" customHeight="1">
      <c r="B98" s="156" t="s">
        <v>4</v>
      </c>
      <c r="C98" s="145" t="s">
        <v>1252</v>
      </c>
      <c r="D98" s="156" t="s">
        <v>19</v>
      </c>
      <c r="E98" s="146">
        <v>3</v>
      </c>
      <c r="F98" s="145" t="s">
        <v>802</v>
      </c>
      <c r="G98" s="156" t="s">
        <v>803</v>
      </c>
      <c r="H98" s="145" t="s">
        <v>804</v>
      </c>
      <c r="I98" s="152">
        <v>8</v>
      </c>
      <c r="J98" s="157" t="s">
        <v>805</v>
      </c>
      <c r="K98" s="152">
        <v>23</v>
      </c>
      <c r="L98" s="152"/>
      <c r="M98" s="97" t="s">
        <v>806</v>
      </c>
      <c r="N98" s="97" t="s">
        <v>807</v>
      </c>
      <c r="O98" s="152"/>
      <c r="P98" s="156"/>
      <c r="Q98" s="97" t="s">
        <v>720</v>
      </c>
      <c r="R98" s="97" t="s">
        <v>1253</v>
      </c>
      <c r="S98" s="97" t="s">
        <v>726</v>
      </c>
      <c r="T98" s="98" t="s">
        <v>1278</v>
      </c>
      <c r="U98" s="156" t="s">
        <v>726</v>
      </c>
      <c r="V98" s="156" t="s">
        <v>726</v>
      </c>
      <c r="W98" s="156" t="s">
        <v>726</v>
      </c>
      <c r="X98" s="83" t="s">
        <v>726</v>
      </c>
    </row>
    <row r="99" spans="2:24" ht="75" hidden="1" customHeight="1">
      <c r="B99" s="145" t="s">
        <v>4</v>
      </c>
      <c r="C99" s="145" t="s">
        <v>1279</v>
      </c>
      <c r="D99" s="156" t="s">
        <v>21</v>
      </c>
      <c r="E99" s="146">
        <v>2</v>
      </c>
      <c r="F99" s="145" t="s">
        <v>699</v>
      </c>
      <c r="G99" s="145" t="s">
        <v>700</v>
      </c>
      <c r="H99" s="145" t="s">
        <v>701</v>
      </c>
      <c r="I99" s="146">
        <v>1</v>
      </c>
      <c r="J99" s="147" t="s">
        <v>702</v>
      </c>
      <c r="K99" s="146">
        <v>10</v>
      </c>
      <c r="L99" s="146"/>
      <c r="M99" s="148" t="s">
        <v>703</v>
      </c>
      <c r="N99" s="156" t="s">
        <v>704</v>
      </c>
      <c r="O99" s="146" t="s">
        <v>705</v>
      </c>
      <c r="P99" s="156"/>
      <c r="Q99" s="97" t="s">
        <v>1039</v>
      </c>
      <c r="R99" s="97" t="s">
        <v>1040</v>
      </c>
      <c r="S99" s="97" t="s">
        <v>472</v>
      </c>
      <c r="T99" s="139" t="s">
        <v>1280</v>
      </c>
      <c r="U99" s="70" t="s">
        <v>710</v>
      </c>
      <c r="V99" s="156" t="s">
        <v>1281</v>
      </c>
      <c r="W99" s="148" t="s">
        <v>990</v>
      </c>
      <c r="X99" s="152" t="s">
        <v>713</v>
      </c>
    </row>
    <row r="100" spans="2:24" ht="75" hidden="1" customHeight="1">
      <c r="B100" s="156" t="s">
        <v>4</v>
      </c>
      <c r="C100" s="145" t="s">
        <v>1279</v>
      </c>
      <c r="D100" s="156" t="s">
        <v>21</v>
      </c>
      <c r="E100" s="146">
        <v>2</v>
      </c>
      <c r="F100" s="145" t="s">
        <v>1282</v>
      </c>
      <c r="G100" s="156" t="s">
        <v>1283</v>
      </c>
      <c r="H100" s="145" t="s">
        <v>1082</v>
      </c>
      <c r="I100" s="152">
        <v>2</v>
      </c>
      <c r="J100" s="157" t="s">
        <v>702</v>
      </c>
      <c r="K100" s="152">
        <v>4</v>
      </c>
      <c r="L100" s="152"/>
      <c r="M100" s="148" t="s">
        <v>1284</v>
      </c>
      <c r="N100" s="148" t="s">
        <v>1285</v>
      </c>
      <c r="O100" s="146" t="s">
        <v>705</v>
      </c>
      <c r="P100" s="85" t="s">
        <v>1286</v>
      </c>
      <c r="Q100" s="97" t="s">
        <v>720</v>
      </c>
      <c r="R100" s="97" t="s">
        <v>1287</v>
      </c>
      <c r="S100" s="97" t="s">
        <v>1288</v>
      </c>
      <c r="T100" s="103" t="s">
        <v>1289</v>
      </c>
      <c r="U100" s="70" t="s">
        <v>724</v>
      </c>
      <c r="V100" s="156" t="s">
        <v>1287</v>
      </c>
      <c r="W100" s="156" t="s">
        <v>1290</v>
      </c>
      <c r="X100" s="152" t="s">
        <v>726</v>
      </c>
    </row>
    <row r="101" spans="2:24" ht="75" hidden="1" customHeight="1">
      <c r="B101" s="145" t="s">
        <v>4</v>
      </c>
      <c r="C101" s="145" t="s">
        <v>1279</v>
      </c>
      <c r="D101" s="156" t="s">
        <v>21</v>
      </c>
      <c r="E101" s="146">
        <v>2</v>
      </c>
      <c r="F101" s="145" t="s">
        <v>1291</v>
      </c>
      <c r="G101" s="156" t="s">
        <v>1292</v>
      </c>
      <c r="H101" s="145" t="s">
        <v>1082</v>
      </c>
      <c r="I101" s="146">
        <v>3</v>
      </c>
      <c r="J101" s="157" t="s">
        <v>702</v>
      </c>
      <c r="K101" s="152">
        <v>4</v>
      </c>
      <c r="L101" s="152"/>
      <c r="M101" s="148" t="s">
        <v>1293</v>
      </c>
      <c r="N101" s="148" t="s">
        <v>1294</v>
      </c>
      <c r="O101" s="146" t="s">
        <v>705</v>
      </c>
      <c r="P101" s="85" t="s">
        <v>1295</v>
      </c>
      <c r="Q101" s="97" t="s">
        <v>720</v>
      </c>
      <c r="R101" s="97" t="s">
        <v>1287</v>
      </c>
      <c r="S101" s="97" t="s">
        <v>1296</v>
      </c>
      <c r="T101" s="103" t="s">
        <v>1297</v>
      </c>
      <c r="U101" s="70" t="s">
        <v>724</v>
      </c>
      <c r="V101" s="156" t="s">
        <v>1287</v>
      </c>
      <c r="W101" s="148" t="s">
        <v>1298</v>
      </c>
      <c r="X101" s="152" t="s">
        <v>726</v>
      </c>
    </row>
    <row r="102" spans="2:24" ht="75" hidden="1" customHeight="1">
      <c r="B102" s="145" t="s">
        <v>4</v>
      </c>
      <c r="C102" s="145" t="s">
        <v>1279</v>
      </c>
      <c r="D102" s="156" t="s">
        <v>21</v>
      </c>
      <c r="E102" s="146">
        <v>2</v>
      </c>
      <c r="F102" s="145" t="s">
        <v>795</v>
      </c>
      <c r="G102" s="145" t="s">
        <v>796</v>
      </c>
      <c r="H102" s="145" t="s">
        <v>797</v>
      </c>
      <c r="I102" s="146">
        <v>4</v>
      </c>
      <c r="J102" s="157" t="s">
        <v>702</v>
      </c>
      <c r="K102" s="152">
        <v>10</v>
      </c>
      <c r="L102" s="152"/>
      <c r="M102" s="148" t="s">
        <v>798</v>
      </c>
      <c r="N102" s="70" t="s">
        <v>799</v>
      </c>
      <c r="O102" s="152"/>
      <c r="P102" s="156"/>
      <c r="Q102" s="97" t="s">
        <v>720</v>
      </c>
      <c r="R102" s="97" t="s">
        <v>1287</v>
      </c>
      <c r="S102" s="97" t="s">
        <v>800</v>
      </c>
      <c r="T102" s="103" t="s">
        <v>1299</v>
      </c>
      <c r="U102" s="156" t="s">
        <v>726</v>
      </c>
      <c r="V102" s="156" t="s">
        <v>726</v>
      </c>
      <c r="W102" s="156" t="s">
        <v>726</v>
      </c>
      <c r="X102" s="152" t="s">
        <v>726</v>
      </c>
    </row>
    <row r="103" spans="2:24" ht="75" hidden="1" customHeight="1">
      <c r="B103" s="145" t="s">
        <v>4</v>
      </c>
      <c r="C103" s="145" t="s">
        <v>1279</v>
      </c>
      <c r="D103" s="156" t="s">
        <v>21</v>
      </c>
      <c r="E103" s="146">
        <v>2</v>
      </c>
      <c r="F103" s="145" t="s">
        <v>802</v>
      </c>
      <c r="G103" s="145" t="s">
        <v>803</v>
      </c>
      <c r="H103" s="145" t="s">
        <v>804</v>
      </c>
      <c r="I103" s="146">
        <v>5</v>
      </c>
      <c r="J103" s="157" t="s">
        <v>805</v>
      </c>
      <c r="K103" s="152">
        <v>23</v>
      </c>
      <c r="L103" s="152"/>
      <c r="M103" s="97" t="s">
        <v>806</v>
      </c>
      <c r="N103" s="97" t="s">
        <v>807</v>
      </c>
      <c r="O103" s="152"/>
      <c r="P103" s="156"/>
      <c r="Q103" s="97" t="s">
        <v>726</v>
      </c>
      <c r="R103" s="97" t="s">
        <v>726</v>
      </c>
      <c r="S103" s="97" t="s">
        <v>726</v>
      </c>
      <c r="T103" s="103" t="s">
        <v>1075</v>
      </c>
      <c r="U103" s="156" t="s">
        <v>726</v>
      </c>
      <c r="V103" s="156" t="s">
        <v>726</v>
      </c>
      <c r="W103" s="156" t="s">
        <v>726</v>
      </c>
      <c r="X103" s="152" t="s">
        <v>726</v>
      </c>
    </row>
    <row r="104" spans="2:24" ht="75" hidden="1" customHeight="1">
      <c r="B104" s="156" t="s">
        <v>4</v>
      </c>
      <c r="C104" s="145" t="s">
        <v>1300</v>
      </c>
      <c r="D104" s="156" t="s">
        <v>23</v>
      </c>
      <c r="E104" s="146">
        <v>2</v>
      </c>
      <c r="F104" s="145" t="s">
        <v>699</v>
      </c>
      <c r="G104" s="156" t="s">
        <v>700</v>
      </c>
      <c r="H104" s="145" t="s">
        <v>701</v>
      </c>
      <c r="I104" s="152">
        <v>1</v>
      </c>
      <c r="J104" s="157" t="s">
        <v>702</v>
      </c>
      <c r="K104" s="152">
        <v>10</v>
      </c>
      <c r="L104" s="152"/>
      <c r="M104" s="148" t="s">
        <v>703</v>
      </c>
      <c r="N104" s="156" t="s">
        <v>704</v>
      </c>
      <c r="O104" s="152" t="s">
        <v>705</v>
      </c>
      <c r="P104" s="156"/>
      <c r="Q104" s="97" t="s">
        <v>1039</v>
      </c>
      <c r="R104" s="97" t="s">
        <v>1040</v>
      </c>
      <c r="S104" s="97" t="s">
        <v>472</v>
      </c>
      <c r="T104" s="98" t="s">
        <v>1197</v>
      </c>
      <c r="U104" s="70" t="s">
        <v>710</v>
      </c>
      <c r="V104" s="149" t="s">
        <v>1301</v>
      </c>
      <c r="W104" s="145" t="s">
        <v>814</v>
      </c>
      <c r="X104" s="146" t="s">
        <v>726</v>
      </c>
    </row>
    <row r="105" spans="2:24" ht="75" hidden="1" customHeight="1">
      <c r="B105" s="156" t="s">
        <v>4</v>
      </c>
      <c r="C105" s="145" t="s">
        <v>1300</v>
      </c>
      <c r="D105" s="156" t="s">
        <v>23</v>
      </c>
      <c r="E105" s="146">
        <v>2</v>
      </c>
      <c r="F105" s="145" t="s">
        <v>844</v>
      </c>
      <c r="G105" s="156" t="s">
        <v>845</v>
      </c>
      <c r="H105" s="145" t="s">
        <v>1082</v>
      </c>
      <c r="I105" s="152">
        <v>2</v>
      </c>
      <c r="J105" s="157" t="s">
        <v>702</v>
      </c>
      <c r="K105" s="152">
        <v>4</v>
      </c>
      <c r="L105" s="152"/>
      <c r="M105" s="148" t="s">
        <v>1302</v>
      </c>
      <c r="N105" s="156" t="s">
        <v>1303</v>
      </c>
      <c r="O105" s="152" t="s">
        <v>705</v>
      </c>
      <c r="P105" s="97" t="s">
        <v>1222</v>
      </c>
      <c r="Q105" s="97" t="s">
        <v>1039</v>
      </c>
      <c r="R105" s="97" t="s">
        <v>1223</v>
      </c>
      <c r="S105" s="97" t="s">
        <v>1224</v>
      </c>
      <c r="T105" s="98" t="s">
        <v>1225</v>
      </c>
      <c r="U105" s="70" t="s">
        <v>710</v>
      </c>
      <c r="V105" s="149" t="s">
        <v>1304</v>
      </c>
      <c r="W105" s="149" t="s">
        <v>853</v>
      </c>
      <c r="X105" s="146" t="s">
        <v>726</v>
      </c>
    </row>
    <row r="106" spans="2:24" ht="75" hidden="1" customHeight="1">
      <c r="B106" s="156" t="s">
        <v>4</v>
      </c>
      <c r="C106" s="145" t="s">
        <v>1300</v>
      </c>
      <c r="D106" s="156" t="s">
        <v>23</v>
      </c>
      <c r="E106" s="146">
        <v>2</v>
      </c>
      <c r="F106" s="145" t="s">
        <v>826</v>
      </c>
      <c r="G106" s="156" t="s">
        <v>827</v>
      </c>
      <c r="H106" s="145" t="s">
        <v>1015</v>
      </c>
      <c r="I106" s="152">
        <v>3</v>
      </c>
      <c r="J106" s="147" t="s">
        <v>702</v>
      </c>
      <c r="K106" s="152">
        <v>10</v>
      </c>
      <c r="L106" s="152"/>
      <c r="M106" s="148" t="s">
        <v>1305</v>
      </c>
      <c r="N106" s="156" t="s">
        <v>1306</v>
      </c>
      <c r="O106" s="152"/>
      <c r="P106" s="156"/>
      <c r="Q106" s="97" t="s">
        <v>720</v>
      </c>
      <c r="R106" s="97" t="s">
        <v>1307</v>
      </c>
      <c r="S106" s="97" t="s">
        <v>1308</v>
      </c>
      <c r="T106" s="98" t="s">
        <v>1309</v>
      </c>
      <c r="U106" s="70" t="s">
        <v>724</v>
      </c>
      <c r="V106" s="149" t="s">
        <v>1307</v>
      </c>
      <c r="W106" s="145" t="s">
        <v>1310</v>
      </c>
      <c r="X106" s="146" t="s">
        <v>726</v>
      </c>
    </row>
    <row r="107" spans="2:24" ht="75" hidden="1" customHeight="1">
      <c r="B107" s="156" t="s">
        <v>4</v>
      </c>
      <c r="C107" s="145" t="s">
        <v>1300</v>
      </c>
      <c r="D107" s="156" t="s">
        <v>23</v>
      </c>
      <c r="E107" s="146">
        <v>2</v>
      </c>
      <c r="F107" s="145" t="s">
        <v>795</v>
      </c>
      <c r="G107" s="156" t="s">
        <v>796</v>
      </c>
      <c r="H107" s="145" t="s">
        <v>797</v>
      </c>
      <c r="I107" s="152">
        <v>4</v>
      </c>
      <c r="J107" s="157" t="s">
        <v>702</v>
      </c>
      <c r="K107" s="152">
        <v>10</v>
      </c>
      <c r="L107" s="152"/>
      <c r="M107" s="97" t="s">
        <v>798</v>
      </c>
      <c r="N107" s="97" t="s">
        <v>1311</v>
      </c>
      <c r="O107" s="152" t="s">
        <v>705</v>
      </c>
      <c r="P107" s="156"/>
      <c r="Q107" s="97" t="s">
        <v>741</v>
      </c>
      <c r="R107" s="97" t="s">
        <v>1312</v>
      </c>
      <c r="S107" s="97" t="s">
        <v>1313</v>
      </c>
      <c r="T107" s="98" t="s">
        <v>1314</v>
      </c>
      <c r="U107" s="145" t="s">
        <v>726</v>
      </c>
      <c r="V107" s="145" t="s">
        <v>726</v>
      </c>
      <c r="W107" s="145" t="s">
        <v>726</v>
      </c>
      <c r="X107" s="146" t="s">
        <v>726</v>
      </c>
    </row>
    <row r="108" spans="2:24" ht="75" hidden="1" customHeight="1">
      <c r="B108" s="156" t="s">
        <v>4</v>
      </c>
      <c r="C108" s="145" t="s">
        <v>1300</v>
      </c>
      <c r="D108" s="156" t="s">
        <v>23</v>
      </c>
      <c r="E108" s="146">
        <v>2</v>
      </c>
      <c r="F108" s="145" t="s">
        <v>802</v>
      </c>
      <c r="G108" s="156" t="s">
        <v>803</v>
      </c>
      <c r="H108" s="145" t="s">
        <v>804</v>
      </c>
      <c r="I108" s="152">
        <v>5</v>
      </c>
      <c r="J108" s="157" t="s">
        <v>805</v>
      </c>
      <c r="K108" s="152">
        <v>23</v>
      </c>
      <c r="L108" s="152"/>
      <c r="M108" s="97" t="s">
        <v>806</v>
      </c>
      <c r="N108" s="97" t="s">
        <v>807</v>
      </c>
      <c r="O108" s="152" t="s">
        <v>719</v>
      </c>
      <c r="P108" s="156"/>
      <c r="Q108" s="97" t="s">
        <v>726</v>
      </c>
      <c r="R108" s="97" t="s">
        <v>726</v>
      </c>
      <c r="S108" s="97" t="s">
        <v>726</v>
      </c>
      <c r="T108" s="98" t="s">
        <v>1075</v>
      </c>
      <c r="U108" s="145" t="s">
        <v>726</v>
      </c>
      <c r="V108" s="145" t="s">
        <v>726</v>
      </c>
      <c r="W108" s="145" t="s">
        <v>726</v>
      </c>
      <c r="X108" s="146" t="s">
        <v>726</v>
      </c>
    </row>
    <row r="109" spans="2:24" ht="80.25" customHeight="1">
      <c r="B109" s="140" t="s">
        <v>4</v>
      </c>
      <c r="C109" s="140" t="s">
        <v>1315</v>
      </c>
      <c r="D109" s="140" t="s">
        <v>1316</v>
      </c>
      <c r="E109" s="141">
        <v>2</v>
      </c>
      <c r="F109" s="140" t="s">
        <v>699</v>
      </c>
      <c r="G109" s="140" t="s">
        <v>700</v>
      </c>
      <c r="H109" s="140" t="s">
        <v>701</v>
      </c>
      <c r="I109" s="141">
        <v>1</v>
      </c>
      <c r="J109" s="153" t="s">
        <v>702</v>
      </c>
      <c r="K109" s="154">
        <v>10</v>
      </c>
      <c r="L109" s="141"/>
      <c r="M109" s="76" t="s">
        <v>703</v>
      </c>
      <c r="N109" s="76" t="s">
        <v>704</v>
      </c>
      <c r="O109" s="119" t="s">
        <v>705</v>
      </c>
      <c r="P109" s="140"/>
      <c r="Q109" s="122" t="s">
        <v>706</v>
      </c>
      <c r="R109" s="122" t="s">
        <v>707</v>
      </c>
      <c r="S109" s="122" t="s">
        <v>708</v>
      </c>
      <c r="T109" s="120" t="s">
        <v>1317</v>
      </c>
      <c r="U109" s="121"/>
      <c r="V109" s="173" t="s">
        <v>711</v>
      </c>
      <c r="W109" s="173" t="s">
        <v>712</v>
      </c>
      <c r="X109" s="154" t="s">
        <v>726</v>
      </c>
    </row>
    <row r="110" spans="2:24" ht="80.25" customHeight="1">
      <c r="B110" s="140" t="s">
        <v>4</v>
      </c>
      <c r="C110" s="140" t="s">
        <v>1315</v>
      </c>
      <c r="D110" s="140" t="s">
        <v>1316</v>
      </c>
      <c r="E110" s="141">
        <v>2</v>
      </c>
      <c r="F110" s="140" t="s">
        <v>1318</v>
      </c>
      <c r="G110" s="140" t="s">
        <v>1319</v>
      </c>
      <c r="H110" s="140" t="s">
        <v>797</v>
      </c>
      <c r="I110" s="141">
        <v>2</v>
      </c>
      <c r="J110" s="174" t="s">
        <v>702</v>
      </c>
      <c r="K110" s="141">
        <v>4</v>
      </c>
      <c r="L110" s="141"/>
      <c r="M110" s="77" t="s">
        <v>1110</v>
      </c>
      <c r="N110" s="137" t="s">
        <v>1320</v>
      </c>
      <c r="O110" s="119" t="s">
        <v>705</v>
      </c>
      <c r="P110" s="140"/>
      <c r="Q110" s="132" t="s">
        <v>1321</v>
      </c>
      <c r="R110" s="132" t="s">
        <v>1121</v>
      </c>
      <c r="S110" s="132" t="s">
        <v>1322</v>
      </c>
      <c r="T110" s="120" t="s">
        <v>1323</v>
      </c>
      <c r="U110" s="121"/>
      <c r="V110" s="121" t="s">
        <v>1121</v>
      </c>
      <c r="W110" s="121" t="s">
        <v>1322</v>
      </c>
      <c r="X110" s="154" t="s">
        <v>726</v>
      </c>
    </row>
    <row r="111" spans="2:24" ht="80.25" customHeight="1">
      <c r="B111" s="140" t="s">
        <v>4</v>
      </c>
      <c r="C111" s="140" t="s">
        <v>1315</v>
      </c>
      <c r="D111" s="140" t="s">
        <v>1316</v>
      </c>
      <c r="E111" s="141">
        <v>2</v>
      </c>
      <c r="F111" s="140" t="s">
        <v>826</v>
      </c>
      <c r="G111" s="140" t="s">
        <v>827</v>
      </c>
      <c r="H111" s="140" t="s">
        <v>797</v>
      </c>
      <c r="I111" s="141">
        <v>3</v>
      </c>
      <c r="J111" s="153" t="s">
        <v>702</v>
      </c>
      <c r="K111" s="154">
        <v>10</v>
      </c>
      <c r="L111" s="141"/>
      <c r="M111" s="142"/>
      <c r="N111" s="138" t="s">
        <v>1324</v>
      </c>
      <c r="O111" s="119" t="s">
        <v>705</v>
      </c>
      <c r="P111" s="140"/>
      <c r="Q111" s="122" t="s">
        <v>1325</v>
      </c>
      <c r="R111" s="122" t="s">
        <v>1326</v>
      </c>
      <c r="S111" s="122" t="s">
        <v>1327</v>
      </c>
      <c r="T111" s="122" t="s">
        <v>1328</v>
      </c>
      <c r="U111" s="121"/>
      <c r="V111" s="121" t="s">
        <v>1121</v>
      </c>
      <c r="W111" s="121" t="s">
        <v>1329</v>
      </c>
      <c r="X111" s="154" t="s">
        <v>726</v>
      </c>
    </row>
    <row r="112" spans="2:24" ht="80.25" customHeight="1">
      <c r="B112" s="140" t="s">
        <v>4</v>
      </c>
      <c r="C112" s="140" t="s">
        <v>1315</v>
      </c>
      <c r="D112" s="140" t="s">
        <v>1316</v>
      </c>
      <c r="E112" s="141">
        <v>2</v>
      </c>
      <c r="F112" s="140" t="s">
        <v>1330</v>
      </c>
      <c r="G112" s="140" t="s">
        <v>1331</v>
      </c>
      <c r="H112" s="140" t="s">
        <v>797</v>
      </c>
      <c r="I112" s="141">
        <v>4</v>
      </c>
      <c r="J112" s="153" t="s">
        <v>702</v>
      </c>
      <c r="K112" s="154">
        <v>10</v>
      </c>
      <c r="L112" s="141"/>
      <c r="M112" s="142"/>
      <c r="N112" s="137" t="s">
        <v>1332</v>
      </c>
      <c r="O112" s="119" t="s">
        <v>705</v>
      </c>
      <c r="P112" s="140"/>
      <c r="Q112" s="122" t="s">
        <v>1325</v>
      </c>
      <c r="R112" s="122" t="s">
        <v>1326</v>
      </c>
      <c r="S112" s="122" t="s">
        <v>1333</v>
      </c>
      <c r="T112" s="122" t="s">
        <v>1334</v>
      </c>
      <c r="U112" s="121"/>
      <c r="V112" s="121" t="s">
        <v>1121</v>
      </c>
      <c r="W112" s="121" t="s">
        <v>1335</v>
      </c>
      <c r="X112" s="154" t="s">
        <v>726</v>
      </c>
    </row>
    <row r="113" spans="2:24" ht="80.25" customHeight="1">
      <c r="B113" s="140" t="s">
        <v>4</v>
      </c>
      <c r="C113" s="140" t="s">
        <v>1315</v>
      </c>
      <c r="D113" s="140" t="s">
        <v>1316</v>
      </c>
      <c r="E113" s="141">
        <v>2</v>
      </c>
      <c r="F113" s="121" t="s">
        <v>1336</v>
      </c>
      <c r="G113" s="121" t="s">
        <v>1337</v>
      </c>
      <c r="H113" s="140" t="s">
        <v>1120</v>
      </c>
      <c r="I113" s="141">
        <v>5</v>
      </c>
      <c r="J113" s="153" t="s">
        <v>702</v>
      </c>
      <c r="K113" s="154"/>
      <c r="L113" s="141"/>
      <c r="M113" s="142"/>
      <c r="N113" s="137"/>
      <c r="O113" s="119" t="s">
        <v>705</v>
      </c>
      <c r="P113" s="140"/>
      <c r="Q113" s="122" t="s">
        <v>1325</v>
      </c>
      <c r="R113" s="132" t="s">
        <v>1121</v>
      </c>
      <c r="S113" s="122" t="s">
        <v>1338</v>
      </c>
      <c r="T113" s="120" t="s">
        <v>1339</v>
      </c>
      <c r="U113" s="121"/>
      <c r="V113" s="121" t="s">
        <v>1121</v>
      </c>
      <c r="W113" s="121" t="s">
        <v>1338</v>
      </c>
      <c r="X113" s="154" t="s">
        <v>726</v>
      </c>
    </row>
    <row r="114" spans="2:24" ht="80.25" customHeight="1">
      <c r="B114" s="140" t="s">
        <v>4</v>
      </c>
      <c r="C114" s="140" t="s">
        <v>1315</v>
      </c>
      <c r="D114" s="140" t="s">
        <v>1316</v>
      </c>
      <c r="E114" s="141">
        <v>2</v>
      </c>
      <c r="F114" s="140" t="s">
        <v>1340</v>
      </c>
      <c r="G114" s="140" t="s">
        <v>1341</v>
      </c>
      <c r="H114" s="140" t="s">
        <v>1120</v>
      </c>
      <c r="I114" s="141">
        <v>6</v>
      </c>
      <c r="J114" s="174" t="s">
        <v>702</v>
      </c>
      <c r="K114" s="141">
        <v>4</v>
      </c>
      <c r="L114" s="141"/>
      <c r="M114" s="142"/>
      <c r="N114" s="138" t="s">
        <v>1342</v>
      </c>
      <c r="O114" s="141"/>
      <c r="P114" s="140"/>
      <c r="Q114" s="122" t="s">
        <v>1325</v>
      </c>
      <c r="R114" s="122" t="s">
        <v>1326</v>
      </c>
      <c r="S114" s="122" t="s">
        <v>1343</v>
      </c>
      <c r="T114" s="120" t="s">
        <v>1344</v>
      </c>
      <c r="U114" s="121"/>
      <c r="V114" s="121" t="s">
        <v>1121</v>
      </c>
      <c r="W114" s="121" t="s">
        <v>1345</v>
      </c>
      <c r="X114" s="154" t="s">
        <v>726</v>
      </c>
    </row>
    <row r="115" spans="2:24" ht="80.25" customHeight="1">
      <c r="B115" s="140" t="s">
        <v>4</v>
      </c>
      <c r="C115" s="140" t="s">
        <v>1315</v>
      </c>
      <c r="D115" s="140" t="s">
        <v>1316</v>
      </c>
      <c r="E115" s="141">
        <v>2</v>
      </c>
      <c r="F115" s="140" t="s">
        <v>1346</v>
      </c>
      <c r="G115" s="140" t="s">
        <v>1347</v>
      </c>
      <c r="H115" s="140" t="s">
        <v>1120</v>
      </c>
      <c r="I115" s="141">
        <v>7</v>
      </c>
      <c r="J115" s="174" t="s">
        <v>702</v>
      </c>
      <c r="K115" s="141">
        <v>4</v>
      </c>
      <c r="L115" s="141"/>
      <c r="M115" s="77" t="s">
        <v>1129</v>
      </c>
      <c r="N115" s="77" t="s">
        <v>1130</v>
      </c>
      <c r="O115" s="141"/>
      <c r="P115" s="140"/>
      <c r="Q115" s="132" t="s">
        <v>1321</v>
      </c>
      <c r="R115" s="132" t="s">
        <v>1121</v>
      </c>
      <c r="S115" s="132" t="s">
        <v>355</v>
      </c>
      <c r="T115" s="120" t="s">
        <v>1348</v>
      </c>
      <c r="U115" s="121"/>
      <c r="V115" s="121" t="s">
        <v>1121</v>
      </c>
      <c r="W115" s="121" t="s">
        <v>355</v>
      </c>
      <c r="X115" s="154" t="s">
        <v>726</v>
      </c>
    </row>
    <row r="116" spans="2:24" ht="80.25" customHeight="1">
      <c r="B116" s="140" t="s">
        <v>4</v>
      </c>
      <c r="C116" s="140" t="s">
        <v>1315</v>
      </c>
      <c r="D116" s="140" t="s">
        <v>1316</v>
      </c>
      <c r="E116" s="141">
        <v>2</v>
      </c>
      <c r="F116" s="140" t="s">
        <v>1122</v>
      </c>
      <c r="G116" s="140" t="s">
        <v>1123</v>
      </c>
      <c r="H116" s="140" t="s">
        <v>1124</v>
      </c>
      <c r="I116" s="141">
        <v>8</v>
      </c>
      <c r="J116" s="174" t="s">
        <v>1125</v>
      </c>
      <c r="K116" s="141">
        <v>23</v>
      </c>
      <c r="L116" s="141">
        <v>6</v>
      </c>
      <c r="M116" s="77"/>
      <c r="N116" s="194" t="s">
        <v>1349</v>
      </c>
      <c r="O116" s="141"/>
      <c r="P116" s="140"/>
      <c r="Q116" s="132" t="s">
        <v>1321</v>
      </c>
      <c r="R116" s="132" t="s">
        <v>1121</v>
      </c>
      <c r="S116" s="132" t="s">
        <v>1350</v>
      </c>
      <c r="T116" s="120" t="s">
        <v>1351</v>
      </c>
      <c r="U116" s="121"/>
      <c r="V116" s="121" t="s">
        <v>1121</v>
      </c>
      <c r="W116" s="121" t="s">
        <v>1126</v>
      </c>
      <c r="X116" s="154" t="s">
        <v>726</v>
      </c>
    </row>
    <row r="117" spans="2:24" ht="80.25" customHeight="1">
      <c r="B117" s="140" t="s">
        <v>4</v>
      </c>
      <c r="C117" s="140" t="s">
        <v>1315</v>
      </c>
      <c r="D117" s="140" t="s">
        <v>1316</v>
      </c>
      <c r="E117" s="141">
        <v>2</v>
      </c>
      <c r="F117" s="140" t="s">
        <v>1136</v>
      </c>
      <c r="G117" s="140" t="s">
        <v>1137</v>
      </c>
      <c r="H117" s="140" t="s">
        <v>1124</v>
      </c>
      <c r="I117" s="141">
        <v>9</v>
      </c>
      <c r="J117" s="174" t="s">
        <v>1125</v>
      </c>
      <c r="K117" s="141">
        <v>23</v>
      </c>
      <c r="L117" s="141">
        <v>6</v>
      </c>
      <c r="M117" s="77" t="s">
        <v>1138</v>
      </c>
      <c r="N117" s="77" t="s">
        <v>1139</v>
      </c>
      <c r="O117" s="141"/>
      <c r="P117" s="140"/>
      <c r="Q117" s="132" t="s">
        <v>1321</v>
      </c>
      <c r="R117" s="132" t="s">
        <v>1121</v>
      </c>
      <c r="S117" s="132" t="s">
        <v>1352</v>
      </c>
      <c r="T117" s="120" t="s">
        <v>1353</v>
      </c>
      <c r="U117" s="121"/>
      <c r="V117" s="121" t="s">
        <v>1121</v>
      </c>
      <c r="W117" s="121" t="s">
        <v>1142</v>
      </c>
      <c r="X117" s="154" t="s">
        <v>726</v>
      </c>
    </row>
    <row r="118" spans="2:24" ht="80.25" customHeight="1">
      <c r="B118" s="140" t="s">
        <v>4</v>
      </c>
      <c r="C118" s="140" t="s">
        <v>1315</v>
      </c>
      <c r="D118" s="140" t="s">
        <v>1316</v>
      </c>
      <c r="E118" s="141">
        <v>2</v>
      </c>
      <c r="F118" s="140" t="s">
        <v>1181</v>
      </c>
      <c r="G118" s="140" t="s">
        <v>1182</v>
      </c>
      <c r="H118" s="140" t="s">
        <v>1124</v>
      </c>
      <c r="I118" s="141">
        <v>10</v>
      </c>
      <c r="J118" s="174" t="s">
        <v>1183</v>
      </c>
      <c r="K118" s="141"/>
      <c r="L118" s="141"/>
      <c r="M118" s="77" t="s">
        <v>1184</v>
      </c>
      <c r="N118" s="77" t="s">
        <v>1185</v>
      </c>
      <c r="O118" s="141"/>
      <c r="P118" s="140"/>
      <c r="Q118" s="132" t="s">
        <v>1321</v>
      </c>
      <c r="R118" s="132" t="s">
        <v>1121</v>
      </c>
      <c r="S118" s="132" t="s">
        <v>1188</v>
      </c>
      <c r="T118" s="120" t="s">
        <v>1354</v>
      </c>
      <c r="U118" s="121"/>
      <c r="V118" s="121" t="s">
        <v>1121</v>
      </c>
      <c r="W118" s="121" t="s">
        <v>1188</v>
      </c>
      <c r="X118" s="154" t="s">
        <v>726</v>
      </c>
    </row>
    <row r="119" spans="2:24" ht="80.25" customHeight="1">
      <c r="B119" s="140" t="s">
        <v>4</v>
      </c>
      <c r="C119" s="140" t="s">
        <v>1315</v>
      </c>
      <c r="D119" s="140" t="s">
        <v>1316</v>
      </c>
      <c r="E119" s="141">
        <v>2</v>
      </c>
      <c r="F119" s="140" t="s">
        <v>1355</v>
      </c>
      <c r="G119" s="140" t="s">
        <v>1356</v>
      </c>
      <c r="H119" s="140" t="s">
        <v>1357</v>
      </c>
      <c r="I119" s="141">
        <v>11</v>
      </c>
      <c r="J119" s="153" t="s">
        <v>702</v>
      </c>
      <c r="K119" s="141">
        <v>2</v>
      </c>
      <c r="L119" s="141"/>
      <c r="M119" s="76"/>
      <c r="N119" s="76"/>
      <c r="O119" s="141"/>
      <c r="P119" s="140"/>
      <c r="Q119" s="122" t="s">
        <v>720</v>
      </c>
      <c r="R119" s="122" t="s">
        <v>721</v>
      </c>
      <c r="S119" s="122" t="s">
        <v>726</v>
      </c>
      <c r="T119" s="120" t="s">
        <v>1358</v>
      </c>
      <c r="U119" s="121"/>
      <c r="V119" s="121" t="s">
        <v>726</v>
      </c>
      <c r="W119" s="121" t="s">
        <v>726</v>
      </c>
      <c r="X119" s="141" t="s">
        <v>1359</v>
      </c>
    </row>
    <row r="120" spans="2:24" ht="80.25" customHeight="1">
      <c r="B120" s="140" t="s">
        <v>4</v>
      </c>
      <c r="C120" s="140" t="s">
        <v>1315</v>
      </c>
      <c r="D120" s="140" t="s">
        <v>1316</v>
      </c>
      <c r="E120" s="141">
        <v>2</v>
      </c>
      <c r="F120" s="175" t="s">
        <v>795</v>
      </c>
      <c r="G120" s="140" t="s">
        <v>796</v>
      </c>
      <c r="H120" s="140" t="s">
        <v>797</v>
      </c>
      <c r="I120" s="141">
        <v>12</v>
      </c>
      <c r="J120" s="153" t="s">
        <v>702</v>
      </c>
      <c r="K120" s="154">
        <v>10</v>
      </c>
      <c r="L120" s="141"/>
      <c r="M120" s="76" t="s">
        <v>798</v>
      </c>
      <c r="N120" s="76" t="s">
        <v>1311</v>
      </c>
      <c r="O120" s="141"/>
      <c r="P120" s="140"/>
      <c r="Q120" s="122" t="s">
        <v>720</v>
      </c>
      <c r="R120" s="122" t="s">
        <v>721</v>
      </c>
      <c r="S120" s="122" t="s">
        <v>800</v>
      </c>
      <c r="T120" s="120" t="s">
        <v>1360</v>
      </c>
      <c r="U120" s="121"/>
      <c r="V120" s="175" t="s">
        <v>726</v>
      </c>
      <c r="W120" s="175" t="s">
        <v>726</v>
      </c>
      <c r="X120" s="154" t="s">
        <v>726</v>
      </c>
    </row>
    <row r="121" spans="2:24" ht="80.25" customHeight="1">
      <c r="B121" s="140" t="s">
        <v>4</v>
      </c>
      <c r="C121" s="140" t="s">
        <v>1315</v>
      </c>
      <c r="D121" s="140" t="s">
        <v>1316</v>
      </c>
      <c r="E121" s="141">
        <v>2</v>
      </c>
      <c r="F121" s="175" t="s">
        <v>802</v>
      </c>
      <c r="G121" s="140" t="s">
        <v>803</v>
      </c>
      <c r="H121" s="140" t="s">
        <v>804</v>
      </c>
      <c r="I121" s="141">
        <v>13</v>
      </c>
      <c r="J121" s="153" t="s">
        <v>805</v>
      </c>
      <c r="K121" s="154">
        <v>23</v>
      </c>
      <c r="L121" s="141"/>
      <c r="M121" s="77" t="s">
        <v>806</v>
      </c>
      <c r="N121" s="77" t="s">
        <v>807</v>
      </c>
      <c r="O121" s="141"/>
      <c r="P121" s="140"/>
      <c r="Q121" s="122" t="s">
        <v>720</v>
      </c>
      <c r="R121" s="122" t="s">
        <v>721</v>
      </c>
      <c r="S121" s="132" t="s">
        <v>726</v>
      </c>
      <c r="T121" s="120" t="s">
        <v>1361</v>
      </c>
      <c r="U121" s="121"/>
      <c r="V121" s="175" t="s">
        <v>726</v>
      </c>
      <c r="W121" s="175" t="s">
        <v>726</v>
      </c>
      <c r="X121" s="154" t="s">
        <v>726</v>
      </c>
    </row>
    <row r="122" spans="2:24" ht="80.25" customHeight="1">
      <c r="B122" s="140" t="s">
        <v>4</v>
      </c>
      <c r="C122" s="140" t="s">
        <v>1362</v>
      </c>
      <c r="D122" s="140" t="s">
        <v>1363</v>
      </c>
      <c r="E122" s="141">
        <v>2</v>
      </c>
      <c r="F122" s="140" t="s">
        <v>699</v>
      </c>
      <c r="G122" s="140" t="s">
        <v>700</v>
      </c>
      <c r="H122" s="140" t="s">
        <v>701</v>
      </c>
      <c r="I122" s="141">
        <v>1</v>
      </c>
      <c r="J122" s="153" t="s">
        <v>702</v>
      </c>
      <c r="K122" s="154">
        <v>10</v>
      </c>
      <c r="L122" s="141"/>
      <c r="M122" s="142"/>
      <c r="N122" s="140"/>
      <c r="O122" s="141" t="s">
        <v>705</v>
      </c>
      <c r="P122" s="140"/>
      <c r="Q122" s="122" t="s">
        <v>706</v>
      </c>
      <c r="R122" s="122" t="s">
        <v>707</v>
      </c>
      <c r="S122" s="122" t="s">
        <v>708</v>
      </c>
      <c r="T122" s="120" t="s">
        <v>1364</v>
      </c>
      <c r="U122" s="121"/>
      <c r="V122" s="173" t="s">
        <v>711</v>
      </c>
      <c r="W122" s="173" t="s">
        <v>712</v>
      </c>
      <c r="X122" s="154" t="s">
        <v>726</v>
      </c>
    </row>
    <row r="123" spans="2:24" ht="80.25" customHeight="1">
      <c r="B123" s="140" t="s">
        <v>4</v>
      </c>
      <c r="C123" s="140" t="s">
        <v>1362</v>
      </c>
      <c r="D123" s="140" t="s">
        <v>1363</v>
      </c>
      <c r="E123" s="141">
        <v>2</v>
      </c>
      <c r="F123" s="140" t="s">
        <v>1318</v>
      </c>
      <c r="G123" s="140" t="s">
        <v>1319</v>
      </c>
      <c r="H123" s="140" t="s">
        <v>797</v>
      </c>
      <c r="I123" s="141">
        <v>2</v>
      </c>
      <c r="J123" s="174" t="s">
        <v>702</v>
      </c>
      <c r="K123" s="141">
        <v>4</v>
      </c>
      <c r="L123" s="141"/>
      <c r="M123" s="142"/>
      <c r="N123" s="140"/>
      <c r="O123" s="141" t="s">
        <v>705</v>
      </c>
      <c r="P123" s="140"/>
      <c r="Q123" s="132" t="s">
        <v>1321</v>
      </c>
      <c r="R123" s="191" t="s">
        <v>1153</v>
      </c>
      <c r="S123" s="121" t="s">
        <v>1322</v>
      </c>
      <c r="T123" s="200" t="s">
        <v>1365</v>
      </c>
      <c r="U123" s="121"/>
      <c r="V123" s="121" t="s">
        <v>1153</v>
      </c>
      <c r="W123" s="133" t="s">
        <v>1322</v>
      </c>
      <c r="X123" s="154" t="s">
        <v>726</v>
      </c>
    </row>
    <row r="124" spans="2:24" ht="80.25" customHeight="1">
      <c r="B124" s="140" t="s">
        <v>4</v>
      </c>
      <c r="C124" s="140" t="s">
        <v>1362</v>
      </c>
      <c r="D124" s="140" t="s">
        <v>1363</v>
      </c>
      <c r="E124" s="141">
        <v>2</v>
      </c>
      <c r="F124" s="140" t="s">
        <v>1346</v>
      </c>
      <c r="G124" s="140" t="s">
        <v>1347</v>
      </c>
      <c r="H124" s="140" t="s">
        <v>1120</v>
      </c>
      <c r="I124" s="141">
        <v>3</v>
      </c>
      <c r="J124" s="174" t="s">
        <v>702</v>
      </c>
      <c r="K124" s="141">
        <v>4</v>
      </c>
      <c r="L124" s="141"/>
      <c r="M124" s="142"/>
      <c r="N124" s="140"/>
      <c r="O124" s="141"/>
      <c r="P124" s="140"/>
      <c r="Q124" s="122" t="s">
        <v>1325</v>
      </c>
      <c r="R124" s="192" t="s">
        <v>1366</v>
      </c>
      <c r="S124" s="122" t="s">
        <v>1088</v>
      </c>
      <c r="T124" s="120" t="s">
        <v>1367</v>
      </c>
      <c r="U124" s="121"/>
      <c r="V124" s="121" t="s">
        <v>726</v>
      </c>
      <c r="W124" s="121" t="s">
        <v>726</v>
      </c>
      <c r="X124" s="119" t="s">
        <v>1368</v>
      </c>
    </row>
    <row r="125" spans="2:24" ht="80.25" customHeight="1">
      <c r="B125" s="140" t="s">
        <v>4</v>
      </c>
      <c r="C125" s="140" t="s">
        <v>1362</v>
      </c>
      <c r="D125" s="140" t="s">
        <v>1363</v>
      </c>
      <c r="E125" s="141">
        <v>2</v>
      </c>
      <c r="F125" s="175" t="s">
        <v>1151</v>
      </c>
      <c r="G125" s="140" t="s">
        <v>1152</v>
      </c>
      <c r="H125" s="140" t="s">
        <v>1124</v>
      </c>
      <c r="I125" s="141">
        <v>4</v>
      </c>
      <c r="J125" s="174" t="s">
        <v>1125</v>
      </c>
      <c r="K125" s="141">
        <v>23</v>
      </c>
      <c r="L125" s="141">
        <v>6</v>
      </c>
      <c r="M125" s="142"/>
      <c r="N125" s="140"/>
      <c r="O125" s="141"/>
      <c r="P125" s="140"/>
      <c r="Q125" s="132" t="s">
        <v>1321</v>
      </c>
      <c r="R125" s="132" t="s">
        <v>1153</v>
      </c>
      <c r="S125" s="121" t="s">
        <v>1154</v>
      </c>
      <c r="T125" s="200" t="s">
        <v>1369</v>
      </c>
      <c r="U125" s="121"/>
      <c r="V125" s="121" t="s">
        <v>1153</v>
      </c>
      <c r="W125" s="121" t="s">
        <v>1370</v>
      </c>
      <c r="X125" s="154" t="s">
        <v>726</v>
      </c>
    </row>
    <row r="126" spans="2:24" ht="80.25" customHeight="1">
      <c r="B126" s="140" t="s">
        <v>4</v>
      </c>
      <c r="C126" s="140" t="s">
        <v>1362</v>
      </c>
      <c r="D126" s="140" t="s">
        <v>1363</v>
      </c>
      <c r="E126" s="141">
        <v>2</v>
      </c>
      <c r="F126" s="140" t="s">
        <v>1355</v>
      </c>
      <c r="G126" s="140" t="s">
        <v>1356</v>
      </c>
      <c r="H126" s="140" t="s">
        <v>1357</v>
      </c>
      <c r="I126" s="141">
        <v>5</v>
      </c>
      <c r="J126" s="153" t="s">
        <v>702</v>
      </c>
      <c r="K126" s="141">
        <v>2</v>
      </c>
      <c r="L126" s="141"/>
      <c r="M126" s="142"/>
      <c r="N126" s="140"/>
      <c r="O126" s="141"/>
      <c r="P126" s="140"/>
      <c r="Q126" s="122" t="s">
        <v>720</v>
      </c>
      <c r="R126" s="122" t="s">
        <v>721</v>
      </c>
      <c r="S126" s="122" t="s">
        <v>726</v>
      </c>
      <c r="T126" s="120" t="s">
        <v>1371</v>
      </c>
      <c r="U126" s="121"/>
      <c r="V126" s="121" t="s">
        <v>726</v>
      </c>
      <c r="W126" s="121" t="s">
        <v>726</v>
      </c>
      <c r="X126" s="141" t="s">
        <v>1359</v>
      </c>
    </row>
    <row r="127" spans="2:24" ht="80.25" customHeight="1">
      <c r="B127" s="140" t="s">
        <v>4</v>
      </c>
      <c r="C127" s="140" t="s">
        <v>1362</v>
      </c>
      <c r="D127" s="140" t="s">
        <v>1363</v>
      </c>
      <c r="E127" s="141">
        <v>2</v>
      </c>
      <c r="F127" s="175" t="s">
        <v>795</v>
      </c>
      <c r="G127" s="140" t="s">
        <v>796</v>
      </c>
      <c r="H127" s="140" t="s">
        <v>797</v>
      </c>
      <c r="I127" s="141">
        <v>6</v>
      </c>
      <c r="J127" s="153" t="s">
        <v>702</v>
      </c>
      <c r="K127" s="154">
        <v>10</v>
      </c>
      <c r="L127" s="141"/>
      <c r="M127" s="142"/>
      <c r="N127" s="140"/>
      <c r="O127" s="141"/>
      <c r="P127" s="140"/>
      <c r="Q127" s="132" t="s">
        <v>1321</v>
      </c>
      <c r="R127" s="132" t="s">
        <v>1153</v>
      </c>
      <c r="S127" s="122" t="s">
        <v>800</v>
      </c>
      <c r="T127" s="120" t="s">
        <v>1372</v>
      </c>
      <c r="U127" s="121"/>
      <c r="V127" s="175" t="s">
        <v>726</v>
      </c>
      <c r="W127" s="175" t="s">
        <v>726</v>
      </c>
      <c r="X127" s="154" t="s">
        <v>726</v>
      </c>
    </row>
    <row r="128" spans="2:24" ht="80.25" customHeight="1">
      <c r="B128" s="140" t="s">
        <v>4</v>
      </c>
      <c r="C128" s="140" t="s">
        <v>1362</v>
      </c>
      <c r="D128" s="140" t="s">
        <v>1363</v>
      </c>
      <c r="E128" s="141">
        <v>2</v>
      </c>
      <c r="F128" s="175" t="s">
        <v>802</v>
      </c>
      <c r="G128" s="140" t="s">
        <v>803</v>
      </c>
      <c r="H128" s="140" t="s">
        <v>804</v>
      </c>
      <c r="I128" s="141">
        <v>7</v>
      </c>
      <c r="J128" s="153" t="s">
        <v>805</v>
      </c>
      <c r="K128" s="154">
        <v>23</v>
      </c>
      <c r="L128" s="141"/>
      <c r="M128" s="142"/>
      <c r="N128" s="140"/>
      <c r="O128" s="141"/>
      <c r="P128" s="140"/>
      <c r="Q128" s="122" t="s">
        <v>720</v>
      </c>
      <c r="R128" s="122" t="s">
        <v>721</v>
      </c>
      <c r="S128" s="122" t="s">
        <v>726</v>
      </c>
      <c r="T128" s="120" t="s">
        <v>1373</v>
      </c>
      <c r="U128" s="121"/>
      <c r="V128" s="175" t="s">
        <v>726</v>
      </c>
      <c r="W128" s="175" t="s">
        <v>726</v>
      </c>
      <c r="X128" s="154" t="s">
        <v>726</v>
      </c>
    </row>
    <row r="129" spans="2:24" ht="80.25" customHeight="1">
      <c r="B129" s="140" t="s">
        <v>4</v>
      </c>
      <c r="C129" s="140" t="s">
        <v>1374</v>
      </c>
      <c r="D129" s="140" t="s">
        <v>1375</v>
      </c>
      <c r="E129" s="141">
        <v>2</v>
      </c>
      <c r="F129" s="140" t="s">
        <v>699</v>
      </c>
      <c r="G129" s="140" t="s">
        <v>700</v>
      </c>
      <c r="H129" s="140" t="s">
        <v>701</v>
      </c>
      <c r="I129" s="141">
        <v>1</v>
      </c>
      <c r="J129" s="153" t="s">
        <v>702</v>
      </c>
      <c r="K129" s="154">
        <v>10</v>
      </c>
      <c r="L129" s="141"/>
      <c r="M129" s="142"/>
      <c r="N129" s="140" t="s">
        <v>704</v>
      </c>
      <c r="O129" s="141" t="s">
        <v>705</v>
      </c>
      <c r="P129" s="140"/>
      <c r="Q129" s="122" t="s">
        <v>706</v>
      </c>
      <c r="R129" s="122" t="s">
        <v>707</v>
      </c>
      <c r="S129" s="122" t="s">
        <v>708</v>
      </c>
      <c r="T129" s="120" t="s">
        <v>1376</v>
      </c>
      <c r="U129" s="121"/>
      <c r="V129" s="173" t="s">
        <v>711</v>
      </c>
      <c r="W129" s="173" t="s">
        <v>712</v>
      </c>
      <c r="X129" s="154" t="s">
        <v>726</v>
      </c>
    </row>
    <row r="130" spans="2:24" ht="80.25" customHeight="1">
      <c r="B130" s="140" t="s">
        <v>4</v>
      </c>
      <c r="C130" s="140" t="s">
        <v>1374</v>
      </c>
      <c r="D130" s="140" t="s">
        <v>1375</v>
      </c>
      <c r="E130" s="141">
        <v>2</v>
      </c>
      <c r="F130" s="140" t="s">
        <v>1318</v>
      </c>
      <c r="G130" s="140" t="s">
        <v>1319</v>
      </c>
      <c r="H130" s="140" t="s">
        <v>797</v>
      </c>
      <c r="I130" s="141">
        <v>2</v>
      </c>
      <c r="J130" s="174" t="s">
        <v>702</v>
      </c>
      <c r="K130" s="141">
        <v>4</v>
      </c>
      <c r="L130" s="141"/>
      <c r="M130" s="142"/>
      <c r="N130" s="140" t="s">
        <v>1111</v>
      </c>
      <c r="O130" s="141" t="s">
        <v>705</v>
      </c>
      <c r="P130" s="140"/>
      <c r="Q130" s="132" t="s">
        <v>1321</v>
      </c>
      <c r="R130" s="132" t="s">
        <v>1162</v>
      </c>
      <c r="S130" s="132" t="s">
        <v>1322</v>
      </c>
      <c r="T130" s="120" t="s">
        <v>1377</v>
      </c>
      <c r="U130" s="121"/>
      <c r="V130" s="121" t="s">
        <v>1162</v>
      </c>
      <c r="W130" s="121" t="s">
        <v>1322</v>
      </c>
      <c r="X130" s="154" t="s">
        <v>726</v>
      </c>
    </row>
    <row r="131" spans="2:24" ht="80.25" customHeight="1">
      <c r="B131" s="140" t="s">
        <v>4</v>
      </c>
      <c r="C131" s="140" t="s">
        <v>1374</v>
      </c>
      <c r="D131" s="140" t="s">
        <v>1375</v>
      </c>
      <c r="E131" s="141">
        <v>2</v>
      </c>
      <c r="F131" s="140" t="s">
        <v>826</v>
      </c>
      <c r="G131" s="140" t="s">
        <v>827</v>
      </c>
      <c r="H131" s="140" t="s">
        <v>797</v>
      </c>
      <c r="I131" s="141">
        <v>3</v>
      </c>
      <c r="J131" s="153" t="s">
        <v>702</v>
      </c>
      <c r="K131" s="154">
        <v>10</v>
      </c>
      <c r="L131" s="141"/>
      <c r="M131" s="142"/>
      <c r="N131" s="140" t="s">
        <v>1378</v>
      </c>
      <c r="O131" s="141" t="s">
        <v>705</v>
      </c>
      <c r="P131" s="140"/>
      <c r="Q131" s="122" t="s">
        <v>1325</v>
      </c>
      <c r="R131" s="122" t="s">
        <v>1379</v>
      </c>
      <c r="S131" s="122" t="s">
        <v>1380</v>
      </c>
      <c r="T131" s="120" t="s">
        <v>1381</v>
      </c>
      <c r="U131" s="121"/>
      <c r="V131" s="121" t="s">
        <v>1162</v>
      </c>
      <c r="W131" s="121" t="s">
        <v>1329</v>
      </c>
      <c r="X131" s="154" t="s">
        <v>726</v>
      </c>
    </row>
    <row r="132" spans="2:24" ht="80.25" customHeight="1">
      <c r="B132" s="140" t="s">
        <v>4</v>
      </c>
      <c r="C132" s="140" t="s">
        <v>1374</v>
      </c>
      <c r="D132" s="140" t="s">
        <v>1375</v>
      </c>
      <c r="E132" s="141">
        <v>2</v>
      </c>
      <c r="F132" s="140" t="s">
        <v>1330</v>
      </c>
      <c r="G132" s="140" t="s">
        <v>1331</v>
      </c>
      <c r="H132" s="140" t="s">
        <v>797</v>
      </c>
      <c r="I132" s="141">
        <v>4</v>
      </c>
      <c r="J132" s="153" t="s">
        <v>702</v>
      </c>
      <c r="K132" s="154">
        <v>10</v>
      </c>
      <c r="L132" s="141"/>
      <c r="M132" s="142"/>
      <c r="N132" s="176" t="s">
        <v>1382</v>
      </c>
      <c r="O132" s="177" t="s">
        <v>705</v>
      </c>
      <c r="P132" s="140"/>
      <c r="Q132" s="122" t="s">
        <v>1325</v>
      </c>
      <c r="R132" s="122" t="s">
        <v>1379</v>
      </c>
      <c r="S132" s="122" t="s">
        <v>1333</v>
      </c>
      <c r="T132" s="120" t="s">
        <v>1383</v>
      </c>
      <c r="U132" s="121"/>
      <c r="V132" s="121" t="s">
        <v>1162</v>
      </c>
      <c r="W132" s="121" t="s">
        <v>1335</v>
      </c>
      <c r="X132" s="154" t="s">
        <v>726</v>
      </c>
    </row>
    <row r="133" spans="2:24" ht="80.25" customHeight="1">
      <c r="B133" s="140" t="s">
        <v>4</v>
      </c>
      <c r="C133" s="140" t="s">
        <v>1374</v>
      </c>
      <c r="D133" s="140" t="s">
        <v>1375</v>
      </c>
      <c r="E133" s="141">
        <v>2</v>
      </c>
      <c r="F133" s="121" t="s">
        <v>1384</v>
      </c>
      <c r="G133" s="121" t="s">
        <v>1385</v>
      </c>
      <c r="H133" s="140" t="s">
        <v>1120</v>
      </c>
      <c r="I133" s="141">
        <v>5</v>
      </c>
      <c r="J133" s="153" t="s">
        <v>702</v>
      </c>
      <c r="K133" s="154"/>
      <c r="L133" s="141"/>
      <c r="M133" s="178"/>
      <c r="N133" s="193"/>
      <c r="O133" s="195" t="s">
        <v>705</v>
      </c>
      <c r="P133" s="179"/>
      <c r="Q133" s="132" t="s">
        <v>1321</v>
      </c>
      <c r="R133" s="132" t="s">
        <v>1162</v>
      </c>
      <c r="S133" s="132" t="s">
        <v>1338</v>
      </c>
      <c r="T133" s="120" t="s">
        <v>1386</v>
      </c>
      <c r="U133" s="121"/>
      <c r="V133" s="121" t="s">
        <v>1162</v>
      </c>
      <c r="W133" s="121" t="s">
        <v>1338</v>
      </c>
      <c r="X133" s="154" t="s">
        <v>726</v>
      </c>
    </row>
    <row r="134" spans="2:24" ht="80.25" customHeight="1">
      <c r="B134" s="140" t="s">
        <v>4</v>
      </c>
      <c r="C134" s="140" t="s">
        <v>1374</v>
      </c>
      <c r="D134" s="140" t="s">
        <v>1375</v>
      </c>
      <c r="E134" s="141">
        <v>2</v>
      </c>
      <c r="F134" s="140" t="s">
        <v>1340</v>
      </c>
      <c r="G134" s="140" t="s">
        <v>1341</v>
      </c>
      <c r="H134" s="140" t="s">
        <v>1120</v>
      </c>
      <c r="I134" s="141">
        <v>6</v>
      </c>
      <c r="J134" s="174" t="s">
        <v>702</v>
      </c>
      <c r="K134" s="141">
        <v>4</v>
      </c>
      <c r="L134" s="141"/>
      <c r="M134" s="178"/>
      <c r="N134" s="180" t="s">
        <v>1387</v>
      </c>
      <c r="O134" s="181"/>
      <c r="P134" s="179"/>
      <c r="Q134" s="122" t="s">
        <v>1325</v>
      </c>
      <c r="R134" s="122" t="s">
        <v>1379</v>
      </c>
      <c r="S134" s="122" t="s">
        <v>1088</v>
      </c>
      <c r="T134" s="120" t="s">
        <v>1388</v>
      </c>
      <c r="U134" s="121"/>
      <c r="V134" s="121" t="s">
        <v>1162</v>
      </c>
      <c r="W134" s="121" t="s">
        <v>1345</v>
      </c>
      <c r="X134" s="154" t="s">
        <v>726</v>
      </c>
    </row>
    <row r="135" spans="2:24" ht="80.25" customHeight="1">
      <c r="B135" s="140" t="s">
        <v>4</v>
      </c>
      <c r="C135" s="140" t="s">
        <v>1374</v>
      </c>
      <c r="D135" s="140" t="s">
        <v>1375</v>
      </c>
      <c r="E135" s="141">
        <v>2</v>
      </c>
      <c r="F135" s="140" t="s">
        <v>1346</v>
      </c>
      <c r="G135" s="140" t="s">
        <v>1347</v>
      </c>
      <c r="H135" s="140" t="s">
        <v>1120</v>
      </c>
      <c r="I135" s="141">
        <v>7</v>
      </c>
      <c r="J135" s="174" t="s">
        <v>702</v>
      </c>
      <c r="K135" s="141">
        <v>4</v>
      </c>
      <c r="L135" s="141"/>
      <c r="M135" s="77" t="s">
        <v>1157</v>
      </c>
      <c r="N135" s="136" t="s">
        <v>1158</v>
      </c>
      <c r="O135" s="182"/>
      <c r="P135" s="140"/>
      <c r="Q135" s="132" t="s">
        <v>1321</v>
      </c>
      <c r="R135" s="132" t="s">
        <v>1162</v>
      </c>
      <c r="S135" s="132" t="s">
        <v>355</v>
      </c>
      <c r="T135" s="120" t="s">
        <v>1389</v>
      </c>
      <c r="U135" s="121"/>
      <c r="V135" s="121" t="s">
        <v>1162</v>
      </c>
      <c r="W135" s="121" t="s">
        <v>355</v>
      </c>
      <c r="X135" s="154" t="s">
        <v>726</v>
      </c>
    </row>
    <row r="136" spans="2:24" ht="80.25" customHeight="1">
      <c r="B136" s="140" t="s">
        <v>4</v>
      </c>
      <c r="C136" s="140" t="s">
        <v>1374</v>
      </c>
      <c r="D136" s="140" t="s">
        <v>1375</v>
      </c>
      <c r="E136" s="141">
        <v>2</v>
      </c>
      <c r="F136" s="140" t="s">
        <v>1164</v>
      </c>
      <c r="G136" s="140" t="s">
        <v>1165</v>
      </c>
      <c r="H136" s="140" t="s">
        <v>1124</v>
      </c>
      <c r="I136" s="141">
        <v>8</v>
      </c>
      <c r="J136" s="174" t="s">
        <v>1125</v>
      </c>
      <c r="K136" s="141">
        <v>23</v>
      </c>
      <c r="L136" s="141">
        <v>6</v>
      </c>
      <c r="M136" s="77" t="s">
        <v>1166</v>
      </c>
      <c r="N136" s="77" t="s">
        <v>1167</v>
      </c>
      <c r="O136" s="141"/>
      <c r="P136" s="140"/>
      <c r="Q136" s="132" t="s">
        <v>1321</v>
      </c>
      <c r="R136" s="132" t="s">
        <v>1162</v>
      </c>
      <c r="S136" s="132" t="s">
        <v>1390</v>
      </c>
      <c r="T136" s="120" t="s">
        <v>1391</v>
      </c>
      <c r="U136" s="121"/>
      <c r="V136" s="121" t="s">
        <v>1162</v>
      </c>
      <c r="W136" s="121" t="s">
        <v>1390</v>
      </c>
      <c r="X136" s="154" t="s">
        <v>726</v>
      </c>
    </row>
    <row r="137" spans="2:24" ht="80.25" customHeight="1">
      <c r="B137" s="140" t="s">
        <v>4</v>
      </c>
      <c r="C137" s="140" t="s">
        <v>1374</v>
      </c>
      <c r="D137" s="140" t="s">
        <v>1375</v>
      </c>
      <c r="E137" s="141">
        <v>2</v>
      </c>
      <c r="F137" s="140" t="s">
        <v>1392</v>
      </c>
      <c r="G137" s="140" t="s">
        <v>1393</v>
      </c>
      <c r="H137" s="140" t="s">
        <v>1124</v>
      </c>
      <c r="I137" s="141">
        <v>9</v>
      </c>
      <c r="J137" s="142" t="s">
        <v>1125</v>
      </c>
      <c r="K137" s="143">
        <v>23</v>
      </c>
      <c r="L137" s="143">
        <v>6</v>
      </c>
      <c r="M137" s="142"/>
      <c r="N137" s="140"/>
      <c r="O137" s="141"/>
      <c r="P137" s="140"/>
      <c r="Q137" s="99" t="s">
        <v>1321</v>
      </c>
      <c r="R137" s="144" t="s">
        <v>1162</v>
      </c>
      <c r="S137" s="144" t="s">
        <v>1394</v>
      </c>
      <c r="T137" s="201" t="s">
        <v>1395</v>
      </c>
      <c r="U137" s="121"/>
      <c r="V137" s="121" t="s">
        <v>1162</v>
      </c>
      <c r="W137" s="121" t="s">
        <v>1394</v>
      </c>
      <c r="X137" s="154" t="s">
        <v>726</v>
      </c>
    </row>
    <row r="138" spans="2:24" ht="80.25" customHeight="1">
      <c r="B138" s="140" t="s">
        <v>4</v>
      </c>
      <c r="C138" s="140" t="s">
        <v>1374</v>
      </c>
      <c r="D138" s="140" t="s">
        <v>1375</v>
      </c>
      <c r="E138" s="141">
        <v>2</v>
      </c>
      <c r="F138" s="175" t="s">
        <v>1173</v>
      </c>
      <c r="G138" s="140" t="s">
        <v>1174</v>
      </c>
      <c r="H138" s="140" t="s">
        <v>1124</v>
      </c>
      <c r="I138" s="141">
        <v>10</v>
      </c>
      <c r="J138" s="174" t="s">
        <v>1125</v>
      </c>
      <c r="K138" s="141">
        <v>23</v>
      </c>
      <c r="L138" s="141">
        <v>6</v>
      </c>
      <c r="M138" s="77"/>
      <c r="N138" s="77" t="s">
        <v>1396</v>
      </c>
      <c r="O138" s="141"/>
      <c r="P138" s="140"/>
      <c r="Q138" s="122" t="s">
        <v>1321</v>
      </c>
      <c r="R138" s="132" t="s">
        <v>1162</v>
      </c>
      <c r="S138" s="132" t="s">
        <v>1175</v>
      </c>
      <c r="T138" s="120" t="s">
        <v>1397</v>
      </c>
      <c r="U138" s="121"/>
      <c r="V138" s="121" t="s">
        <v>1162</v>
      </c>
      <c r="W138" s="121" t="s">
        <v>1175</v>
      </c>
      <c r="X138" s="154" t="s">
        <v>726</v>
      </c>
    </row>
    <row r="139" spans="2:24" ht="80.25" customHeight="1">
      <c r="B139" s="140" t="s">
        <v>4</v>
      </c>
      <c r="C139" s="140" t="s">
        <v>1374</v>
      </c>
      <c r="D139" s="140" t="s">
        <v>1375</v>
      </c>
      <c r="E139" s="141">
        <v>2</v>
      </c>
      <c r="F139" s="140" t="s">
        <v>1178</v>
      </c>
      <c r="G139" s="140" t="s">
        <v>1179</v>
      </c>
      <c r="H139" s="140" t="s">
        <v>1124</v>
      </c>
      <c r="I139" s="141">
        <v>11</v>
      </c>
      <c r="J139" s="174" t="s">
        <v>1125</v>
      </c>
      <c r="K139" s="141">
        <v>23</v>
      </c>
      <c r="L139" s="141">
        <v>6</v>
      </c>
      <c r="M139" s="77"/>
      <c r="N139" s="77" t="s">
        <v>1398</v>
      </c>
      <c r="O139" s="141"/>
      <c r="P139" s="140"/>
      <c r="Q139" s="132" t="s">
        <v>1321</v>
      </c>
      <c r="R139" s="132" t="s">
        <v>1162</v>
      </c>
      <c r="S139" s="132" t="s">
        <v>1180</v>
      </c>
      <c r="T139" s="120" t="s">
        <v>1399</v>
      </c>
      <c r="U139" s="121"/>
      <c r="V139" s="121" t="s">
        <v>1162</v>
      </c>
      <c r="W139" s="121" t="s">
        <v>1180</v>
      </c>
      <c r="X139" s="154" t="s">
        <v>726</v>
      </c>
    </row>
    <row r="140" spans="2:24" ht="80.25" customHeight="1">
      <c r="B140" s="140" t="s">
        <v>4</v>
      </c>
      <c r="C140" s="140" t="s">
        <v>1374</v>
      </c>
      <c r="D140" s="140" t="s">
        <v>1375</v>
      </c>
      <c r="E140" s="141">
        <v>2</v>
      </c>
      <c r="F140" s="175" t="s">
        <v>1355</v>
      </c>
      <c r="G140" s="175" t="s">
        <v>1356</v>
      </c>
      <c r="H140" s="175" t="s">
        <v>1357</v>
      </c>
      <c r="I140" s="141">
        <v>12</v>
      </c>
      <c r="J140" s="153" t="s">
        <v>702</v>
      </c>
      <c r="K140" s="141">
        <v>2</v>
      </c>
      <c r="L140" s="153" t="s">
        <v>1400</v>
      </c>
      <c r="M140" s="196" t="s">
        <v>1401</v>
      </c>
      <c r="N140" s="196" t="s">
        <v>1402</v>
      </c>
      <c r="O140" s="141"/>
      <c r="P140" s="140"/>
      <c r="Q140" s="122" t="s">
        <v>720</v>
      </c>
      <c r="R140" s="122" t="s">
        <v>721</v>
      </c>
      <c r="S140" s="122" t="s">
        <v>726</v>
      </c>
      <c r="T140" s="202" t="s">
        <v>1371</v>
      </c>
      <c r="U140" s="122"/>
      <c r="V140" s="132" t="s">
        <v>726</v>
      </c>
      <c r="W140" s="132" t="s">
        <v>726</v>
      </c>
      <c r="X140" s="203" t="s">
        <v>1359</v>
      </c>
    </row>
    <row r="141" spans="2:24" ht="80.25" customHeight="1">
      <c r="B141" s="140" t="s">
        <v>4</v>
      </c>
      <c r="C141" s="140" t="s">
        <v>1374</v>
      </c>
      <c r="D141" s="140" t="s">
        <v>1375</v>
      </c>
      <c r="E141" s="141">
        <v>2</v>
      </c>
      <c r="F141" s="175" t="s">
        <v>795</v>
      </c>
      <c r="G141" s="140" t="s">
        <v>796</v>
      </c>
      <c r="H141" s="140" t="s">
        <v>797</v>
      </c>
      <c r="I141" s="141">
        <v>13</v>
      </c>
      <c r="J141" s="153" t="s">
        <v>702</v>
      </c>
      <c r="K141" s="154">
        <v>10</v>
      </c>
      <c r="L141" s="141"/>
      <c r="M141" s="77" t="s">
        <v>798</v>
      </c>
      <c r="N141" s="77" t="s">
        <v>799</v>
      </c>
      <c r="O141" s="141"/>
      <c r="P141" s="140"/>
      <c r="Q141" s="132" t="s">
        <v>1321</v>
      </c>
      <c r="R141" s="132" t="s">
        <v>1162</v>
      </c>
      <c r="S141" s="122" t="s">
        <v>800</v>
      </c>
      <c r="T141" s="120" t="s">
        <v>1403</v>
      </c>
      <c r="U141" s="121"/>
      <c r="V141" s="175" t="s">
        <v>726</v>
      </c>
      <c r="W141" s="175" t="s">
        <v>726</v>
      </c>
      <c r="X141" s="154" t="s">
        <v>726</v>
      </c>
    </row>
    <row r="142" spans="2:24" ht="80.25" customHeight="1">
      <c r="B142" s="140" t="s">
        <v>4</v>
      </c>
      <c r="C142" s="140" t="s">
        <v>1374</v>
      </c>
      <c r="D142" s="140" t="s">
        <v>1375</v>
      </c>
      <c r="E142" s="141">
        <v>2</v>
      </c>
      <c r="F142" s="175" t="s">
        <v>802</v>
      </c>
      <c r="G142" s="140" t="s">
        <v>803</v>
      </c>
      <c r="H142" s="140" t="s">
        <v>804</v>
      </c>
      <c r="I142" s="141">
        <v>14</v>
      </c>
      <c r="J142" s="153" t="s">
        <v>805</v>
      </c>
      <c r="K142" s="154">
        <v>23</v>
      </c>
      <c r="L142" s="141"/>
      <c r="M142" s="77" t="s">
        <v>806</v>
      </c>
      <c r="N142" s="77" t="s">
        <v>807</v>
      </c>
      <c r="O142" s="141"/>
      <c r="P142" s="140"/>
      <c r="Q142" s="122" t="s">
        <v>720</v>
      </c>
      <c r="R142" s="122" t="s">
        <v>721</v>
      </c>
      <c r="S142" s="122" t="s">
        <v>726</v>
      </c>
      <c r="T142" s="120" t="s">
        <v>1404</v>
      </c>
      <c r="U142" s="121"/>
      <c r="V142" s="175" t="s">
        <v>726</v>
      </c>
      <c r="W142" s="175" t="s">
        <v>726</v>
      </c>
      <c r="X142" s="154" t="s">
        <v>726</v>
      </c>
    </row>
  </sheetData>
  <protectedRanges>
    <protectedRange sqref="N22" name="Campos_2"/>
    <protectedRange sqref="N23" name="Campos_3"/>
    <protectedRange sqref="N73" name="Campos_5"/>
    <protectedRange sqref="N99" name="Campos_6"/>
    <protectedRange sqref="N100" name="Campos_7"/>
    <protectedRange sqref="N101" name="Campos_8"/>
    <protectedRange sqref="N104" name="Campos_19"/>
    <protectedRange sqref="M16" name="Campos_22"/>
    <protectedRange sqref="N110:N114" name="Campos_4"/>
  </protectedRanges>
  <sortState xmlns:xlrd2="http://schemas.microsoft.com/office/spreadsheetml/2017/richdata2" ref="B8:X111">
    <sortCondition ref="C8:C111"/>
    <sortCondition ref="G8:G111"/>
  </sortState>
  <mergeCells count="6">
    <mergeCell ref="U5:X5"/>
    <mergeCell ref="U6:X6"/>
    <mergeCell ref="B5:P5"/>
    <mergeCell ref="B6:P6"/>
    <mergeCell ref="Q5:T5"/>
    <mergeCell ref="Q6:T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47"/>
  <sheetViews>
    <sheetView showGridLines="0" topLeftCell="D1" workbookViewId="0">
      <selection activeCell="D66" sqref="D66"/>
    </sheetView>
  </sheetViews>
  <sheetFormatPr defaultRowHeight="14.45"/>
  <cols>
    <col min="2" max="2" width="39.28515625" style="61" bestFit="1" customWidth="1"/>
    <col min="3" max="4" width="43.7109375" style="49" customWidth="1"/>
    <col min="5" max="5" width="34" style="49" customWidth="1"/>
    <col min="6" max="6" width="50.42578125" style="49" customWidth="1"/>
    <col min="7" max="7" width="37.28515625" customWidth="1"/>
    <col min="8" max="8" width="125.5703125" style="24" customWidth="1"/>
    <col min="9" max="9" width="32.5703125" customWidth="1"/>
  </cols>
  <sheetData>
    <row r="1" spans="1:9" ht="35.25" customHeight="1"/>
    <row r="2" spans="1:9" ht="39.75" customHeight="1">
      <c r="B2" s="50" t="s">
        <v>1405</v>
      </c>
      <c r="C2" s="50" t="s">
        <v>677</v>
      </c>
      <c r="D2" s="50" t="s">
        <v>1406</v>
      </c>
      <c r="E2" s="50" t="s">
        <v>1407</v>
      </c>
      <c r="F2" s="50" t="s">
        <v>1408</v>
      </c>
      <c r="G2" s="50" t="s">
        <v>1409</v>
      </c>
      <c r="H2" s="50" t="s">
        <v>1410</v>
      </c>
      <c r="I2" s="134" t="s">
        <v>1411</v>
      </c>
    </row>
    <row r="3" spans="1:9" ht="39.75" hidden="1" customHeight="1">
      <c r="B3" s="58" t="s">
        <v>4</v>
      </c>
      <c r="C3" s="58" t="s">
        <v>5</v>
      </c>
      <c r="D3" s="58" t="s">
        <v>1412</v>
      </c>
      <c r="E3" s="58" t="s">
        <v>1413</v>
      </c>
      <c r="F3" s="58" t="s">
        <v>1412</v>
      </c>
      <c r="G3" s="58" t="s">
        <v>1413</v>
      </c>
      <c r="H3" s="59" t="s">
        <v>1414</v>
      </c>
      <c r="I3" s="58" t="s">
        <v>1415</v>
      </c>
    </row>
    <row r="4" spans="1:9" ht="39.75" hidden="1" customHeight="1">
      <c r="B4" s="58" t="s">
        <v>4</v>
      </c>
      <c r="C4" s="58" t="s">
        <v>5</v>
      </c>
      <c r="D4" s="58" t="s">
        <v>1412</v>
      </c>
      <c r="E4" s="58" t="s">
        <v>1416</v>
      </c>
      <c r="F4" s="58" t="s">
        <v>1417</v>
      </c>
      <c r="G4" s="58" t="s">
        <v>1418</v>
      </c>
      <c r="H4" s="59" t="s">
        <v>1419</v>
      </c>
      <c r="I4" s="58" t="s">
        <v>1415</v>
      </c>
    </row>
    <row r="5" spans="1:9" ht="39.75" hidden="1" customHeight="1">
      <c r="B5" s="58" t="s">
        <v>4</v>
      </c>
      <c r="C5" s="58" t="s">
        <v>5</v>
      </c>
      <c r="D5" s="58" t="s">
        <v>1412</v>
      </c>
      <c r="E5" s="58" t="s">
        <v>1416</v>
      </c>
      <c r="F5" s="58" t="s">
        <v>1412</v>
      </c>
      <c r="G5" s="58" t="s">
        <v>1420</v>
      </c>
      <c r="H5" s="59" t="s">
        <v>1421</v>
      </c>
      <c r="I5" s="58" t="s">
        <v>1422</v>
      </c>
    </row>
    <row r="6" spans="1:9" ht="39.75" hidden="1" customHeight="1">
      <c r="B6" s="58" t="s">
        <v>4</v>
      </c>
      <c r="C6" s="58" t="s">
        <v>5</v>
      </c>
      <c r="D6" s="58" t="s">
        <v>1412</v>
      </c>
      <c r="E6" s="58" t="s">
        <v>1416</v>
      </c>
      <c r="F6" s="58" t="s">
        <v>1412</v>
      </c>
      <c r="G6" s="58" t="s">
        <v>1413</v>
      </c>
      <c r="H6" s="59" t="s">
        <v>1423</v>
      </c>
      <c r="I6" s="58" t="s">
        <v>1422</v>
      </c>
    </row>
    <row r="7" spans="1:9" ht="39.75" hidden="1" customHeight="1">
      <c r="B7" s="58" t="s">
        <v>4</v>
      </c>
      <c r="C7" s="58" t="s">
        <v>5</v>
      </c>
      <c r="D7" s="58" t="s">
        <v>1412</v>
      </c>
      <c r="E7" s="58" t="s">
        <v>1416</v>
      </c>
      <c r="F7" s="58" t="s">
        <v>1417</v>
      </c>
      <c r="G7" s="58" t="s">
        <v>1424</v>
      </c>
      <c r="H7" s="59" t="s">
        <v>1425</v>
      </c>
      <c r="I7" s="58" t="s">
        <v>1422</v>
      </c>
    </row>
    <row r="8" spans="1:9" ht="39.75" hidden="1" customHeight="1">
      <c r="B8" s="58" t="s">
        <v>4</v>
      </c>
      <c r="C8" s="58" t="s">
        <v>5</v>
      </c>
      <c r="D8" s="58" t="s">
        <v>1417</v>
      </c>
      <c r="E8" s="58" t="s">
        <v>1418</v>
      </c>
      <c r="F8" s="58" t="s">
        <v>1412</v>
      </c>
      <c r="G8" s="58" t="s">
        <v>1426</v>
      </c>
      <c r="H8" s="59" t="s">
        <v>1427</v>
      </c>
      <c r="I8" s="58" t="s">
        <v>1422</v>
      </c>
    </row>
    <row r="9" spans="1:9" ht="39.75" hidden="1" customHeight="1">
      <c r="B9" s="58" t="s">
        <v>4</v>
      </c>
      <c r="C9" s="58" t="s">
        <v>5</v>
      </c>
      <c r="D9" s="58" t="s">
        <v>1417</v>
      </c>
      <c r="E9" s="58" t="s">
        <v>1418</v>
      </c>
      <c r="F9" s="58" t="s">
        <v>1428</v>
      </c>
      <c r="G9" s="58" t="s">
        <v>1429</v>
      </c>
      <c r="H9" s="59" t="s">
        <v>1430</v>
      </c>
      <c r="I9" s="58" t="s">
        <v>1415</v>
      </c>
    </row>
    <row r="10" spans="1:9" ht="39.75" hidden="1" customHeight="1">
      <c r="A10" s="78"/>
      <c r="B10" s="79" t="s">
        <v>4</v>
      </c>
      <c r="C10" s="73" t="s">
        <v>5</v>
      </c>
      <c r="D10" s="73" t="s">
        <v>1417</v>
      </c>
      <c r="E10" s="73" t="s">
        <v>1418</v>
      </c>
      <c r="F10" s="73" t="s">
        <v>1412</v>
      </c>
      <c r="G10" s="73" t="s">
        <v>1431</v>
      </c>
      <c r="H10" s="74" t="s">
        <v>1432</v>
      </c>
      <c r="I10" s="73" t="s">
        <v>1422</v>
      </c>
    </row>
    <row r="11" spans="1:9" ht="39.75" hidden="1" customHeight="1">
      <c r="B11" s="183" t="s">
        <v>4</v>
      </c>
      <c r="C11" s="184" t="s">
        <v>7</v>
      </c>
      <c r="D11" s="58" t="s">
        <v>1412</v>
      </c>
      <c r="E11" s="58" t="s">
        <v>1433</v>
      </c>
      <c r="F11" s="58" t="s">
        <v>1417</v>
      </c>
      <c r="G11" s="58" t="s">
        <v>1418</v>
      </c>
      <c r="H11" s="59" t="s">
        <v>1434</v>
      </c>
      <c r="I11" s="58" t="s">
        <v>1415</v>
      </c>
    </row>
    <row r="12" spans="1:9" ht="39.75" hidden="1" customHeight="1">
      <c r="B12" s="183" t="s">
        <v>4</v>
      </c>
      <c r="C12" s="183" t="s">
        <v>7</v>
      </c>
      <c r="D12" s="58" t="s">
        <v>1412</v>
      </c>
      <c r="E12" s="58" t="s">
        <v>1433</v>
      </c>
      <c r="F12" s="58" t="s">
        <v>1412</v>
      </c>
      <c r="G12" s="58" t="s">
        <v>1435</v>
      </c>
      <c r="H12" s="59" t="s">
        <v>1436</v>
      </c>
      <c r="I12" s="58" t="s">
        <v>1415</v>
      </c>
    </row>
    <row r="13" spans="1:9" ht="39.75" hidden="1" customHeight="1">
      <c r="B13" s="183" t="s">
        <v>4</v>
      </c>
      <c r="C13" s="183" t="s">
        <v>7</v>
      </c>
      <c r="D13" s="58" t="s">
        <v>1412</v>
      </c>
      <c r="E13" s="58" t="s">
        <v>1433</v>
      </c>
      <c r="F13" s="58" t="s">
        <v>1417</v>
      </c>
      <c r="G13" s="58" t="s">
        <v>1424</v>
      </c>
      <c r="H13" s="59" t="s">
        <v>1437</v>
      </c>
      <c r="I13" s="58" t="s">
        <v>1422</v>
      </c>
    </row>
    <row r="14" spans="1:9" ht="39.75" hidden="1" customHeight="1">
      <c r="B14" s="58" t="s">
        <v>4</v>
      </c>
      <c r="C14" s="58" t="s">
        <v>9</v>
      </c>
      <c r="D14" s="58" t="s">
        <v>1412</v>
      </c>
      <c r="E14" s="58" t="s">
        <v>1438</v>
      </c>
      <c r="F14" s="58" t="s">
        <v>1417</v>
      </c>
      <c r="G14" s="58" t="s">
        <v>1418</v>
      </c>
      <c r="H14" s="59" t="s">
        <v>1439</v>
      </c>
      <c r="I14" s="58" t="s">
        <v>1415</v>
      </c>
    </row>
    <row r="15" spans="1:9" ht="39.75" hidden="1" customHeight="1">
      <c r="B15" s="58" t="s">
        <v>4</v>
      </c>
      <c r="C15" s="58" t="s">
        <v>11</v>
      </c>
      <c r="D15" s="58" t="s">
        <v>1412</v>
      </c>
      <c r="E15" s="58" t="s">
        <v>1416</v>
      </c>
      <c r="F15" s="58" t="s">
        <v>1417</v>
      </c>
      <c r="G15" s="62" t="s">
        <v>1418</v>
      </c>
      <c r="H15" s="60" t="s">
        <v>1440</v>
      </c>
      <c r="I15" s="58" t="s">
        <v>1415</v>
      </c>
    </row>
    <row r="16" spans="1:9" ht="39.75" hidden="1" customHeight="1">
      <c r="B16" s="58" t="s">
        <v>4</v>
      </c>
      <c r="C16" s="58" t="s">
        <v>11</v>
      </c>
      <c r="D16" s="58" t="s">
        <v>1417</v>
      </c>
      <c r="E16" s="58" t="s">
        <v>1418</v>
      </c>
      <c r="F16" s="58" t="s">
        <v>1412</v>
      </c>
      <c r="G16" s="58" t="s">
        <v>1441</v>
      </c>
      <c r="H16" s="59" t="s">
        <v>1442</v>
      </c>
      <c r="I16" s="58" t="s">
        <v>1422</v>
      </c>
    </row>
    <row r="17" spans="2:9" ht="39.75" hidden="1" customHeight="1">
      <c r="B17" s="58" t="s">
        <v>4</v>
      </c>
      <c r="C17" s="58" t="s">
        <v>13</v>
      </c>
      <c r="D17" s="58" t="s">
        <v>1412</v>
      </c>
      <c r="E17" s="58" t="s">
        <v>1416</v>
      </c>
      <c r="F17" s="58" t="s">
        <v>1417</v>
      </c>
      <c r="G17" s="58" t="s">
        <v>1418</v>
      </c>
      <c r="H17" s="59" t="s">
        <v>1419</v>
      </c>
      <c r="I17" s="58" t="s">
        <v>1415</v>
      </c>
    </row>
    <row r="18" spans="2:9" ht="39.75" hidden="1" customHeight="1">
      <c r="B18" s="58" t="s">
        <v>4</v>
      </c>
      <c r="C18" s="185" t="s">
        <v>15</v>
      </c>
      <c r="D18" s="58" t="s">
        <v>1412</v>
      </c>
      <c r="E18" s="58" t="s">
        <v>1416</v>
      </c>
      <c r="F18" s="58" t="s">
        <v>1417</v>
      </c>
      <c r="G18" s="58" t="s">
        <v>1418</v>
      </c>
      <c r="H18" s="59" t="s">
        <v>1419</v>
      </c>
      <c r="I18" s="58" t="s">
        <v>1415</v>
      </c>
    </row>
    <row r="19" spans="2:9" ht="39.75" hidden="1" customHeight="1">
      <c r="B19" s="58" t="s">
        <v>4</v>
      </c>
      <c r="C19" s="185" t="s">
        <v>15</v>
      </c>
      <c r="D19" s="58" t="s">
        <v>1412</v>
      </c>
      <c r="E19" s="58" t="s">
        <v>1416</v>
      </c>
      <c r="F19" s="58" t="s">
        <v>1412</v>
      </c>
      <c r="G19" s="58" t="s">
        <v>1443</v>
      </c>
      <c r="H19" s="59" t="s">
        <v>1444</v>
      </c>
      <c r="I19" s="58" t="s">
        <v>1422</v>
      </c>
    </row>
    <row r="20" spans="2:9" ht="39.75" hidden="1" customHeight="1">
      <c r="B20" s="58" t="s">
        <v>4</v>
      </c>
      <c r="C20" s="185" t="s">
        <v>15</v>
      </c>
      <c r="D20" s="58" t="s">
        <v>1412</v>
      </c>
      <c r="E20" s="58" t="s">
        <v>1416</v>
      </c>
      <c r="F20" s="58" t="s">
        <v>1412</v>
      </c>
      <c r="G20" s="58" t="s">
        <v>1445</v>
      </c>
      <c r="H20" s="59" t="s">
        <v>1446</v>
      </c>
      <c r="I20" s="58" t="s">
        <v>1422</v>
      </c>
    </row>
    <row r="21" spans="2:9" ht="20.100000000000001" hidden="1" customHeight="1">
      <c r="B21" s="58" t="s">
        <v>4</v>
      </c>
      <c r="C21" s="190" t="s">
        <v>15</v>
      </c>
      <c r="D21" s="62" t="s">
        <v>1412</v>
      </c>
      <c r="E21" s="62" t="s">
        <v>1418</v>
      </c>
      <c r="F21" s="58" t="s">
        <v>1412</v>
      </c>
      <c r="G21" s="58" t="s">
        <v>1447</v>
      </c>
      <c r="H21" s="59" t="s">
        <v>1448</v>
      </c>
      <c r="I21" s="58" t="s">
        <v>1422</v>
      </c>
    </row>
    <row r="22" spans="2:9" ht="72.599999999999994" hidden="1">
      <c r="B22" s="58" t="s">
        <v>4</v>
      </c>
      <c r="C22" s="62" t="s">
        <v>15</v>
      </c>
      <c r="D22" s="58" t="s">
        <v>1412</v>
      </c>
      <c r="E22" s="58" t="s">
        <v>1447</v>
      </c>
      <c r="F22" s="58" t="s">
        <v>1449</v>
      </c>
      <c r="G22" s="58" t="s">
        <v>1450</v>
      </c>
      <c r="H22" s="59" t="s">
        <v>1451</v>
      </c>
      <c r="I22" s="58" t="s">
        <v>1415</v>
      </c>
    </row>
    <row r="23" spans="2:9" ht="39.75" hidden="1" customHeight="1">
      <c r="B23" s="58" t="s">
        <v>4</v>
      </c>
      <c r="C23" s="186" t="s">
        <v>17</v>
      </c>
      <c r="D23" s="58" t="s">
        <v>1412</v>
      </c>
      <c r="E23" s="58" t="s">
        <v>1452</v>
      </c>
      <c r="F23" s="58" t="s">
        <v>1417</v>
      </c>
      <c r="G23" s="58" t="s">
        <v>1418</v>
      </c>
      <c r="H23" s="59" t="s">
        <v>1453</v>
      </c>
      <c r="I23" s="58" t="s">
        <v>1415</v>
      </c>
    </row>
    <row r="24" spans="2:9" ht="39.75" hidden="1" customHeight="1">
      <c r="B24" s="58" t="s">
        <v>4</v>
      </c>
      <c r="C24" s="186" t="s">
        <v>17</v>
      </c>
      <c r="D24" s="58" t="s">
        <v>1412</v>
      </c>
      <c r="E24" s="58" t="s">
        <v>1452</v>
      </c>
      <c r="F24" s="58" t="s">
        <v>1417</v>
      </c>
      <c r="G24" s="58" t="s">
        <v>1424</v>
      </c>
      <c r="H24" s="59" t="s">
        <v>1454</v>
      </c>
      <c r="I24" s="58" t="s">
        <v>1422</v>
      </c>
    </row>
    <row r="25" spans="2:9" ht="39.75" hidden="1" customHeight="1">
      <c r="B25" s="186" t="s">
        <v>4</v>
      </c>
      <c r="C25" s="186" t="s">
        <v>17</v>
      </c>
      <c r="D25" s="58" t="s">
        <v>1412</v>
      </c>
      <c r="E25" s="58" t="s">
        <v>1452</v>
      </c>
      <c r="F25" s="58" t="s">
        <v>1417</v>
      </c>
      <c r="G25" s="58" t="s">
        <v>1455</v>
      </c>
      <c r="H25" s="59" t="s">
        <v>1456</v>
      </c>
      <c r="I25" s="58" t="s">
        <v>1422</v>
      </c>
    </row>
    <row r="26" spans="2:9" ht="39.75" hidden="1" customHeight="1">
      <c r="B26" s="58" t="s">
        <v>4</v>
      </c>
      <c r="C26" s="183" t="s">
        <v>21</v>
      </c>
      <c r="D26" s="58" t="s">
        <v>1412</v>
      </c>
      <c r="E26" s="58" t="s">
        <v>1457</v>
      </c>
      <c r="F26" s="58" t="s">
        <v>1417</v>
      </c>
      <c r="G26" s="58" t="s">
        <v>1418</v>
      </c>
      <c r="H26" s="59" t="s">
        <v>1458</v>
      </c>
      <c r="I26" s="58" t="s">
        <v>1415</v>
      </c>
    </row>
    <row r="27" spans="2:9" ht="39.75" hidden="1" customHeight="1">
      <c r="B27" s="58" t="s">
        <v>4</v>
      </c>
      <c r="C27" s="185" t="s">
        <v>23</v>
      </c>
      <c r="D27" s="62" t="s">
        <v>1412</v>
      </c>
      <c r="E27" s="58" t="s">
        <v>1416</v>
      </c>
      <c r="F27" s="58" t="s">
        <v>1417</v>
      </c>
      <c r="G27" s="58" t="s">
        <v>1418</v>
      </c>
      <c r="H27" s="59" t="s">
        <v>1459</v>
      </c>
      <c r="I27" s="58" t="s">
        <v>1422</v>
      </c>
    </row>
    <row r="28" spans="2:9" ht="39.75" hidden="1" customHeight="1">
      <c r="B28" s="58" t="s">
        <v>4</v>
      </c>
      <c r="C28" s="185" t="s">
        <v>23</v>
      </c>
      <c r="D28" s="62" t="s">
        <v>1412</v>
      </c>
      <c r="E28" s="58" t="s">
        <v>1416</v>
      </c>
      <c r="F28" s="58" t="s">
        <v>1417</v>
      </c>
      <c r="G28" s="58" t="s">
        <v>1424</v>
      </c>
      <c r="H28" s="59" t="s">
        <v>1460</v>
      </c>
      <c r="I28" s="58" t="s">
        <v>1422</v>
      </c>
    </row>
    <row r="29" spans="2:9" ht="39.75" hidden="1" customHeight="1">
      <c r="B29" s="58" t="s">
        <v>4</v>
      </c>
      <c r="C29" s="185" t="s">
        <v>23</v>
      </c>
      <c r="D29" s="58" t="s">
        <v>1412</v>
      </c>
      <c r="E29" s="58" t="s">
        <v>1461</v>
      </c>
      <c r="F29" s="58" t="s">
        <v>1417</v>
      </c>
      <c r="G29" s="58" t="s">
        <v>1418</v>
      </c>
      <c r="H29" s="59" t="s">
        <v>1462</v>
      </c>
      <c r="I29" s="58" t="s">
        <v>1415</v>
      </c>
    </row>
    <row r="30" spans="2:9" ht="39.75" hidden="1" customHeight="1">
      <c r="B30" s="58" t="s">
        <v>4</v>
      </c>
      <c r="C30" s="185" t="s">
        <v>23</v>
      </c>
      <c r="D30" s="58" t="s">
        <v>1412</v>
      </c>
      <c r="E30" s="58" t="s">
        <v>1461</v>
      </c>
      <c r="F30" s="58" t="s">
        <v>1412</v>
      </c>
      <c r="G30" s="58" t="s">
        <v>1416</v>
      </c>
      <c r="H30" s="59" t="s">
        <v>1463</v>
      </c>
      <c r="I30" s="58" t="s">
        <v>1415</v>
      </c>
    </row>
    <row r="31" spans="2:9" ht="39.75" hidden="1" customHeight="1">
      <c r="B31" s="58" t="s">
        <v>4</v>
      </c>
      <c r="C31" s="185" t="s">
        <v>23</v>
      </c>
      <c r="D31" s="58" t="s">
        <v>1412</v>
      </c>
      <c r="E31" s="58" t="s">
        <v>1461</v>
      </c>
      <c r="F31" s="58" t="s">
        <v>1417</v>
      </c>
      <c r="G31" s="58" t="s">
        <v>1424</v>
      </c>
      <c r="H31" s="59" t="s">
        <v>1464</v>
      </c>
      <c r="I31" s="58" t="s">
        <v>1422</v>
      </c>
    </row>
    <row r="32" spans="2:9" ht="41.25" hidden="1" customHeight="1">
      <c r="B32" s="187" t="s">
        <v>4</v>
      </c>
      <c r="C32" s="187" t="s">
        <v>7</v>
      </c>
      <c r="D32" s="62" t="s">
        <v>1412</v>
      </c>
      <c r="E32" s="58" t="s">
        <v>1418</v>
      </c>
      <c r="F32" s="58" t="s">
        <v>1428</v>
      </c>
      <c r="G32" s="58" t="s">
        <v>1429</v>
      </c>
      <c r="H32" s="60" t="s">
        <v>1465</v>
      </c>
      <c r="I32" s="58" t="s">
        <v>1415</v>
      </c>
    </row>
    <row r="33" spans="2:9" ht="41.25" hidden="1" customHeight="1">
      <c r="B33" s="187" t="s">
        <v>4</v>
      </c>
      <c r="C33" s="187" t="s">
        <v>7</v>
      </c>
      <c r="D33" s="62" t="s">
        <v>1417</v>
      </c>
      <c r="E33" s="62" t="s">
        <v>1433</v>
      </c>
      <c r="F33" s="58" t="s">
        <v>1417</v>
      </c>
      <c r="G33" s="68" t="s">
        <v>1466</v>
      </c>
      <c r="H33" s="60" t="s">
        <v>1467</v>
      </c>
      <c r="I33" s="58" t="s">
        <v>1422</v>
      </c>
    </row>
    <row r="34" spans="2:9" ht="41.25" hidden="1" customHeight="1">
      <c r="B34" s="187" t="s">
        <v>4</v>
      </c>
      <c r="C34" s="187" t="s">
        <v>7</v>
      </c>
      <c r="D34" s="62" t="s">
        <v>1417</v>
      </c>
      <c r="E34" s="62" t="s">
        <v>1433</v>
      </c>
      <c r="F34" s="58" t="s">
        <v>1417</v>
      </c>
      <c r="G34" s="58" t="s">
        <v>1468</v>
      </c>
      <c r="H34" s="66" t="s">
        <v>1469</v>
      </c>
      <c r="I34" s="58" t="s">
        <v>1422</v>
      </c>
    </row>
    <row r="35" spans="2:9" ht="45" hidden="1" customHeight="1">
      <c r="B35" s="187" t="s">
        <v>4</v>
      </c>
      <c r="C35" s="187" t="s">
        <v>7</v>
      </c>
      <c r="D35" s="62" t="s">
        <v>1417</v>
      </c>
      <c r="E35" s="62" t="s">
        <v>1466</v>
      </c>
      <c r="F35" s="62" t="s">
        <v>1417</v>
      </c>
      <c r="G35" s="63" t="s">
        <v>1470</v>
      </c>
      <c r="H35" s="66" t="s">
        <v>1471</v>
      </c>
      <c r="I35" s="58" t="s">
        <v>1422</v>
      </c>
    </row>
    <row r="36" spans="2:9" hidden="1">
      <c r="B36" s="187" t="s">
        <v>4</v>
      </c>
      <c r="C36" s="187" t="s">
        <v>7</v>
      </c>
      <c r="D36" s="62" t="s">
        <v>1417</v>
      </c>
      <c r="E36" s="62" t="s">
        <v>1468</v>
      </c>
      <c r="F36" s="62" t="s">
        <v>1417</v>
      </c>
      <c r="G36" s="67" t="s">
        <v>1472</v>
      </c>
      <c r="H36" s="60" t="s">
        <v>1473</v>
      </c>
      <c r="I36" s="58" t="s">
        <v>1422</v>
      </c>
    </row>
    <row r="37" spans="2:9" ht="29.1" hidden="1">
      <c r="B37" s="62" t="s">
        <v>4</v>
      </c>
      <c r="C37" s="58" t="s">
        <v>9</v>
      </c>
      <c r="D37" s="62" t="s">
        <v>1417</v>
      </c>
      <c r="E37" s="62" t="s">
        <v>1418</v>
      </c>
      <c r="F37" s="62" t="s">
        <v>1428</v>
      </c>
      <c r="G37" s="62" t="s">
        <v>1429</v>
      </c>
      <c r="H37" s="60" t="s">
        <v>1474</v>
      </c>
      <c r="I37" s="58" t="s">
        <v>1415</v>
      </c>
    </row>
    <row r="38" spans="2:9" ht="29.1" hidden="1">
      <c r="B38" s="187" t="s">
        <v>4</v>
      </c>
      <c r="C38" s="58" t="s">
        <v>11</v>
      </c>
      <c r="D38" s="62" t="s">
        <v>1412</v>
      </c>
      <c r="E38" s="62" t="s">
        <v>1418</v>
      </c>
      <c r="F38" s="62" t="s">
        <v>1428</v>
      </c>
      <c r="G38" s="62" t="s">
        <v>1429</v>
      </c>
      <c r="H38" s="60" t="s">
        <v>1465</v>
      </c>
      <c r="I38" s="58" t="s">
        <v>1415</v>
      </c>
    </row>
    <row r="39" spans="2:9" hidden="1">
      <c r="B39" s="58" t="s">
        <v>4</v>
      </c>
      <c r="C39" s="58" t="s">
        <v>13</v>
      </c>
      <c r="D39" s="58" t="s">
        <v>1412</v>
      </c>
      <c r="E39" s="58" t="s">
        <v>1416</v>
      </c>
      <c r="F39" s="58" t="s">
        <v>1417</v>
      </c>
      <c r="G39" s="58" t="s">
        <v>1475</v>
      </c>
      <c r="H39" s="135" t="s">
        <v>1476</v>
      </c>
      <c r="I39" s="58" t="s">
        <v>1422</v>
      </c>
    </row>
    <row r="40" spans="2:9" ht="29.1" hidden="1">
      <c r="B40" s="187" t="s">
        <v>4</v>
      </c>
      <c r="C40" s="58" t="s">
        <v>13</v>
      </c>
      <c r="D40" s="62" t="s">
        <v>1412</v>
      </c>
      <c r="E40" s="62" t="s">
        <v>1418</v>
      </c>
      <c r="F40" s="62" t="s">
        <v>1428</v>
      </c>
      <c r="G40" s="62" t="s">
        <v>1429</v>
      </c>
      <c r="H40" s="60" t="s">
        <v>1477</v>
      </c>
      <c r="I40" s="58" t="s">
        <v>1415</v>
      </c>
    </row>
    <row r="41" spans="2:9" ht="29.1" hidden="1">
      <c r="B41" s="187" t="s">
        <v>4</v>
      </c>
      <c r="C41" s="185" t="s">
        <v>15</v>
      </c>
      <c r="D41" s="62" t="s">
        <v>1412</v>
      </c>
      <c r="E41" s="62" t="s">
        <v>1418</v>
      </c>
      <c r="F41" s="62" t="s">
        <v>1428</v>
      </c>
      <c r="G41" s="62" t="s">
        <v>1429</v>
      </c>
      <c r="H41" s="60" t="s">
        <v>1465</v>
      </c>
      <c r="I41" s="58" t="s">
        <v>1415</v>
      </c>
    </row>
    <row r="42" spans="2:9" hidden="1">
      <c r="B42" s="187" t="s">
        <v>4</v>
      </c>
      <c r="C42" s="185" t="s">
        <v>15</v>
      </c>
      <c r="D42" s="58" t="s">
        <v>1412</v>
      </c>
      <c r="E42" s="58" t="s">
        <v>1443</v>
      </c>
      <c r="F42" s="58" t="s">
        <v>1417</v>
      </c>
      <c r="G42" s="62" t="s">
        <v>1478</v>
      </c>
      <c r="H42" s="60" t="s">
        <v>1479</v>
      </c>
      <c r="I42" s="58" t="s">
        <v>1422</v>
      </c>
    </row>
    <row r="43" spans="2:9" hidden="1">
      <c r="B43" s="187" t="s">
        <v>4</v>
      </c>
      <c r="C43" s="188" t="s">
        <v>15</v>
      </c>
      <c r="D43" s="62" t="s">
        <v>1412</v>
      </c>
      <c r="E43" s="62" t="s">
        <v>1443</v>
      </c>
      <c r="F43" s="62" t="s">
        <v>1417</v>
      </c>
      <c r="G43" s="62" t="s">
        <v>1480</v>
      </c>
      <c r="H43" s="60" t="s">
        <v>1481</v>
      </c>
      <c r="I43" s="58" t="s">
        <v>1422</v>
      </c>
    </row>
    <row r="44" spans="2:9" ht="29.1" hidden="1">
      <c r="B44" s="75" t="s">
        <v>4</v>
      </c>
      <c r="C44" s="186" t="s">
        <v>17</v>
      </c>
      <c r="D44" s="62" t="s">
        <v>1412</v>
      </c>
      <c r="E44" s="62" t="s">
        <v>1418</v>
      </c>
      <c r="F44" s="62" t="s">
        <v>1428</v>
      </c>
      <c r="G44" s="62" t="s">
        <v>1429</v>
      </c>
      <c r="H44" s="60" t="s">
        <v>1465</v>
      </c>
      <c r="I44" s="58" t="s">
        <v>1415</v>
      </c>
    </row>
    <row r="45" spans="2:9" ht="29.1" hidden="1">
      <c r="B45" s="183" t="s">
        <v>4</v>
      </c>
      <c r="C45" s="186" t="s">
        <v>19</v>
      </c>
      <c r="D45" s="58" t="s">
        <v>1412</v>
      </c>
      <c r="E45" s="69" t="s">
        <v>1482</v>
      </c>
      <c r="F45" s="58" t="s">
        <v>1428</v>
      </c>
      <c r="G45" s="58" t="s">
        <v>1429</v>
      </c>
      <c r="H45" s="59" t="s">
        <v>1483</v>
      </c>
      <c r="I45" s="58" t="s">
        <v>1415</v>
      </c>
    </row>
    <row r="46" spans="2:9" ht="29.1" hidden="1">
      <c r="B46" s="183" t="s">
        <v>4</v>
      </c>
      <c r="C46" s="183" t="s">
        <v>21</v>
      </c>
      <c r="D46" s="58" t="s">
        <v>1412</v>
      </c>
      <c r="E46" s="69" t="s">
        <v>1418</v>
      </c>
      <c r="F46" s="58" t="s">
        <v>1428</v>
      </c>
      <c r="G46" s="58" t="s">
        <v>1429</v>
      </c>
      <c r="H46" s="59" t="s">
        <v>1484</v>
      </c>
      <c r="I46" s="58" t="s">
        <v>1415</v>
      </c>
    </row>
    <row r="47" spans="2:9" ht="29.1" hidden="1">
      <c r="B47" s="183" t="s">
        <v>4</v>
      </c>
      <c r="C47" s="186" t="s">
        <v>23</v>
      </c>
      <c r="D47" s="58" t="s">
        <v>1412</v>
      </c>
      <c r="E47" s="58" t="s">
        <v>1418</v>
      </c>
      <c r="F47" s="58" t="s">
        <v>1428</v>
      </c>
      <c r="G47" s="58" t="s">
        <v>1429</v>
      </c>
      <c r="H47" s="59" t="s">
        <v>1465</v>
      </c>
      <c r="I47" s="58" t="s">
        <v>1415</v>
      </c>
    </row>
    <row r="48" spans="2:9" ht="29.1" hidden="1">
      <c r="B48" s="187" t="s">
        <v>1428</v>
      </c>
      <c r="C48" s="62" t="s">
        <v>1429</v>
      </c>
      <c r="D48" s="62" t="s">
        <v>1412</v>
      </c>
      <c r="E48" s="62" t="s">
        <v>1416</v>
      </c>
      <c r="F48" s="62" t="s">
        <v>1417</v>
      </c>
      <c r="G48" s="62" t="s">
        <v>1418</v>
      </c>
      <c r="H48" s="60" t="s">
        <v>1485</v>
      </c>
      <c r="I48" s="58" t="s">
        <v>1415</v>
      </c>
    </row>
    <row r="49" spans="2:9" ht="29.1" hidden="1">
      <c r="B49" s="187" t="s">
        <v>1428</v>
      </c>
      <c r="C49" s="62" t="s">
        <v>1429</v>
      </c>
      <c r="D49" s="62" t="s">
        <v>1417</v>
      </c>
      <c r="E49" s="62" t="s">
        <v>1418</v>
      </c>
      <c r="F49" s="62" t="s">
        <v>1486</v>
      </c>
      <c r="G49" s="62" t="s">
        <v>1487</v>
      </c>
      <c r="H49" s="60" t="s">
        <v>1488</v>
      </c>
      <c r="I49" s="62" t="s">
        <v>1422</v>
      </c>
    </row>
    <row r="50" spans="2:9">
      <c r="B50" s="71" t="s">
        <v>4</v>
      </c>
      <c r="C50" s="71" t="s">
        <v>1375</v>
      </c>
      <c r="D50" s="71" t="s">
        <v>1412</v>
      </c>
      <c r="E50" s="71" t="s">
        <v>1416</v>
      </c>
      <c r="F50" s="71" t="s">
        <v>1417</v>
      </c>
      <c r="G50" s="71" t="s">
        <v>1418</v>
      </c>
      <c r="H50" s="72" t="s">
        <v>1419</v>
      </c>
      <c r="I50" s="71" t="s">
        <v>1415</v>
      </c>
    </row>
    <row r="51" spans="2:9">
      <c r="B51" s="73" t="s">
        <v>4</v>
      </c>
      <c r="C51" s="73" t="s">
        <v>1375</v>
      </c>
      <c r="D51" s="73" t="s">
        <v>1417</v>
      </c>
      <c r="E51" s="73" t="s">
        <v>1418</v>
      </c>
      <c r="F51" s="73" t="s">
        <v>1412</v>
      </c>
      <c r="G51" s="73" t="s">
        <v>1447</v>
      </c>
      <c r="H51" s="74" t="s">
        <v>1489</v>
      </c>
      <c r="I51" s="71" t="s">
        <v>1422</v>
      </c>
    </row>
    <row r="52" spans="2:9">
      <c r="B52" s="73" t="s">
        <v>4</v>
      </c>
      <c r="C52" s="73" t="s">
        <v>1375</v>
      </c>
      <c r="D52" s="73" t="s">
        <v>1412</v>
      </c>
      <c r="E52" s="73" t="s">
        <v>1447</v>
      </c>
      <c r="F52" s="73" t="s">
        <v>1449</v>
      </c>
      <c r="G52" s="73" t="s">
        <v>1490</v>
      </c>
      <c r="H52" s="74" t="s">
        <v>1491</v>
      </c>
      <c r="I52" s="71" t="s">
        <v>1415</v>
      </c>
    </row>
    <row r="53" spans="2:9" ht="29.1">
      <c r="B53" s="73" t="s">
        <v>4</v>
      </c>
      <c r="C53" s="73" t="s">
        <v>1375</v>
      </c>
      <c r="D53" s="73" t="s">
        <v>1417</v>
      </c>
      <c r="E53" s="73" t="s">
        <v>1418</v>
      </c>
      <c r="F53" s="73" t="s">
        <v>1428</v>
      </c>
      <c r="G53" s="73" t="s">
        <v>1429</v>
      </c>
      <c r="H53" s="74" t="s">
        <v>1474</v>
      </c>
      <c r="I53" s="73" t="s">
        <v>1415</v>
      </c>
    </row>
    <row r="54" spans="2:9" hidden="1">
      <c r="B54" s="73" t="s">
        <v>4</v>
      </c>
      <c r="C54" s="73" t="s">
        <v>1316</v>
      </c>
      <c r="D54" s="73" t="s">
        <v>1412</v>
      </c>
      <c r="E54" s="73" t="s">
        <v>1416</v>
      </c>
      <c r="F54" s="73" t="s">
        <v>1417</v>
      </c>
      <c r="G54" s="73" t="s">
        <v>1418</v>
      </c>
      <c r="H54" s="74" t="s">
        <v>1419</v>
      </c>
      <c r="I54" s="71" t="s">
        <v>1415</v>
      </c>
    </row>
    <row r="55" spans="2:9" hidden="1">
      <c r="B55" s="73" t="s">
        <v>4</v>
      </c>
      <c r="C55" s="73" t="s">
        <v>1316</v>
      </c>
      <c r="D55" s="73" t="s">
        <v>1417</v>
      </c>
      <c r="E55" s="73" t="s">
        <v>1418</v>
      </c>
      <c r="F55" s="73" t="s">
        <v>1412</v>
      </c>
      <c r="G55" s="73" t="s">
        <v>1447</v>
      </c>
      <c r="H55" s="74" t="s">
        <v>1489</v>
      </c>
      <c r="I55" s="71" t="s">
        <v>1422</v>
      </c>
    </row>
    <row r="56" spans="2:9" hidden="1">
      <c r="B56" s="73" t="s">
        <v>4</v>
      </c>
      <c r="C56" s="73" t="s">
        <v>1316</v>
      </c>
      <c r="D56" s="73" t="s">
        <v>1412</v>
      </c>
      <c r="E56" s="73" t="s">
        <v>1447</v>
      </c>
      <c r="F56" s="73" t="s">
        <v>1449</v>
      </c>
      <c r="G56" s="73" t="s">
        <v>1450</v>
      </c>
      <c r="H56" s="74" t="s">
        <v>1492</v>
      </c>
      <c r="I56" s="71" t="s">
        <v>1415</v>
      </c>
    </row>
    <row r="57" spans="2:9" ht="29.1" hidden="1">
      <c r="B57" s="73" t="s">
        <v>4</v>
      </c>
      <c r="C57" s="73" t="s">
        <v>1316</v>
      </c>
      <c r="D57" s="73" t="s">
        <v>1417</v>
      </c>
      <c r="E57" s="73" t="s">
        <v>1418</v>
      </c>
      <c r="F57" s="73" t="s">
        <v>1428</v>
      </c>
      <c r="G57" s="73" t="s">
        <v>1429</v>
      </c>
      <c r="H57" s="74" t="s">
        <v>1474</v>
      </c>
      <c r="I57" s="73" t="s">
        <v>1415</v>
      </c>
    </row>
    <row r="58" spans="2:9">
      <c r="B58" s="73" t="s">
        <v>4</v>
      </c>
      <c r="C58" s="73" t="s">
        <v>1363</v>
      </c>
      <c r="D58" s="73" t="s">
        <v>1412</v>
      </c>
      <c r="E58" s="73" t="s">
        <v>1416</v>
      </c>
      <c r="F58" s="73" t="s">
        <v>1417</v>
      </c>
      <c r="G58" s="73" t="s">
        <v>1418</v>
      </c>
      <c r="H58" s="74" t="s">
        <v>1419</v>
      </c>
      <c r="I58" s="73" t="s">
        <v>1415</v>
      </c>
    </row>
    <row r="59" spans="2:9">
      <c r="B59" s="73" t="s">
        <v>4</v>
      </c>
      <c r="C59" s="73" t="s">
        <v>1363</v>
      </c>
      <c r="D59" s="73" t="s">
        <v>1417</v>
      </c>
      <c r="E59" s="73" t="s">
        <v>1418</v>
      </c>
      <c r="F59" s="73" t="s">
        <v>1412</v>
      </c>
      <c r="G59" s="73" t="s">
        <v>1447</v>
      </c>
      <c r="H59" s="74" t="s">
        <v>1489</v>
      </c>
      <c r="I59" s="73" t="s">
        <v>1422</v>
      </c>
    </row>
    <row r="60" spans="2:9">
      <c r="B60" s="73" t="s">
        <v>4</v>
      </c>
      <c r="C60" s="73" t="s">
        <v>1363</v>
      </c>
      <c r="D60" s="73" t="s">
        <v>1412</v>
      </c>
      <c r="E60" s="73" t="s">
        <v>1447</v>
      </c>
      <c r="F60" s="73" t="s">
        <v>1449</v>
      </c>
      <c r="G60" s="73" t="s">
        <v>1493</v>
      </c>
      <c r="H60" s="74" t="s">
        <v>1494</v>
      </c>
      <c r="I60" s="73" t="s">
        <v>1415</v>
      </c>
    </row>
    <row r="61" spans="2:9" ht="29.1">
      <c r="B61" s="71" t="s">
        <v>4</v>
      </c>
      <c r="C61" s="73" t="s">
        <v>1363</v>
      </c>
      <c r="D61" s="71" t="s">
        <v>1417</v>
      </c>
      <c r="E61" s="71" t="s">
        <v>1418</v>
      </c>
      <c r="F61" s="71" t="s">
        <v>1428</v>
      </c>
      <c r="G61" s="71" t="s">
        <v>1429</v>
      </c>
      <c r="H61" s="72" t="s">
        <v>1474</v>
      </c>
      <c r="I61" s="71" t="s">
        <v>1415</v>
      </c>
    </row>
    <row r="62" spans="2:9">
      <c r="B62"/>
      <c r="C62"/>
      <c r="D62"/>
      <c r="E62"/>
      <c r="F62"/>
    </row>
    <row r="63" spans="2:9">
      <c r="B63"/>
      <c r="C63"/>
      <c r="D63"/>
      <c r="E63"/>
      <c r="F63"/>
    </row>
    <row r="64" spans="2:9">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sheetData>
  <pageMargins left="0.7" right="0.7" top="0.75" bottom="0.75" header="0.3" footer="0.3"/>
  <pageSetup orientation="portrait" r:id="rId1"/>
  <headerFooter>
    <oddHeader>&amp;L&amp;"Calibri"&amp;10&amp;K000000Confidential&amp;1#</oddHeader>
  </headerFooter>
  <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562"/>
  <sheetViews>
    <sheetView showGridLines="0" workbookViewId="0">
      <selection activeCell="F9" sqref="F9"/>
    </sheetView>
  </sheetViews>
  <sheetFormatPr defaultRowHeight="14.45"/>
  <cols>
    <col min="2" max="2" width="39.28515625" style="61" bestFit="1" customWidth="1"/>
    <col min="3" max="3" width="43.7109375" style="4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39.75" customHeight="1">
      <c r="B2" s="50" t="s">
        <v>675</v>
      </c>
      <c r="C2" s="50" t="s">
        <v>677</v>
      </c>
      <c r="D2" s="50" t="s">
        <v>1495</v>
      </c>
      <c r="E2" s="50" t="s">
        <v>1496</v>
      </c>
      <c r="F2" s="50" t="s">
        <v>1497</v>
      </c>
      <c r="G2" s="50" t="s">
        <v>1498</v>
      </c>
      <c r="H2" s="50" t="s">
        <v>1499</v>
      </c>
    </row>
    <row r="3" spans="2:8" ht="39.75" customHeight="1">
      <c r="B3" s="58" t="s">
        <v>4</v>
      </c>
      <c r="C3" s="58" t="s">
        <v>5</v>
      </c>
      <c r="D3" s="58" t="s">
        <v>1412</v>
      </c>
      <c r="E3" s="58" t="s">
        <v>1416</v>
      </c>
      <c r="F3" s="59" t="s">
        <v>1500</v>
      </c>
      <c r="G3" s="58" t="s">
        <v>1501</v>
      </c>
      <c r="H3" s="58" t="s">
        <v>1501</v>
      </c>
    </row>
    <row r="4" spans="2:8" ht="39.75" customHeight="1">
      <c r="B4" s="65" t="s">
        <v>4</v>
      </c>
      <c r="C4" s="65" t="s">
        <v>7</v>
      </c>
      <c r="D4" s="58" t="s">
        <v>1412</v>
      </c>
      <c r="E4" s="58" t="s">
        <v>1433</v>
      </c>
      <c r="F4" s="59" t="s">
        <v>1502</v>
      </c>
      <c r="G4" s="58" t="s">
        <v>1501</v>
      </c>
      <c r="H4" s="58" t="s">
        <v>1501</v>
      </c>
    </row>
    <row r="5" spans="2:8" ht="39.75" customHeight="1">
      <c r="B5" s="58" t="s">
        <v>4</v>
      </c>
      <c r="C5" s="58" t="s">
        <v>9</v>
      </c>
      <c r="D5" s="58" t="s">
        <v>1412</v>
      </c>
      <c r="E5" s="58" t="s">
        <v>1438</v>
      </c>
      <c r="F5" s="59" t="s">
        <v>1503</v>
      </c>
      <c r="G5" s="58" t="s">
        <v>1501</v>
      </c>
      <c r="H5" s="58" t="s">
        <v>1501</v>
      </c>
    </row>
    <row r="6" spans="2:8" ht="148.5" customHeight="1">
      <c r="B6" s="58" t="s">
        <v>4</v>
      </c>
      <c r="C6" s="58" t="s">
        <v>11</v>
      </c>
      <c r="D6" s="58" t="s">
        <v>1412</v>
      </c>
      <c r="E6" s="58" t="s">
        <v>1416</v>
      </c>
      <c r="F6" s="59" t="s">
        <v>1504</v>
      </c>
      <c r="G6" s="58" t="s">
        <v>1501</v>
      </c>
      <c r="H6" s="58" t="s">
        <v>1501</v>
      </c>
    </row>
    <row r="7" spans="2:8" ht="148.5" customHeight="1">
      <c r="B7" s="62" t="s">
        <v>4</v>
      </c>
      <c r="C7" s="62" t="s">
        <v>13</v>
      </c>
      <c r="D7" s="62" t="s">
        <v>1412</v>
      </c>
      <c r="E7" s="62" t="s">
        <v>1416</v>
      </c>
      <c r="F7" s="59" t="s">
        <v>1504</v>
      </c>
      <c r="G7" s="58" t="s">
        <v>1501</v>
      </c>
      <c r="H7" s="58" t="s">
        <v>1501</v>
      </c>
    </row>
    <row r="8" spans="2:8" ht="148.5" customHeight="1">
      <c r="B8" s="62" t="s">
        <v>4</v>
      </c>
      <c r="C8" s="185" t="s">
        <v>15</v>
      </c>
      <c r="D8" s="62" t="s">
        <v>1412</v>
      </c>
      <c r="E8" s="58" t="s">
        <v>1416</v>
      </c>
      <c r="F8" s="59" t="s">
        <v>1504</v>
      </c>
      <c r="G8" s="58" t="s">
        <v>1501</v>
      </c>
      <c r="H8" s="58" t="s">
        <v>1501</v>
      </c>
    </row>
    <row r="9" spans="2:8" ht="153" customHeight="1">
      <c r="B9" s="58" t="s">
        <v>4</v>
      </c>
      <c r="C9" s="186" t="s">
        <v>17</v>
      </c>
      <c r="D9" s="58" t="s">
        <v>1412</v>
      </c>
      <c r="E9" s="58" t="s">
        <v>1452</v>
      </c>
      <c r="F9" s="59" t="s">
        <v>1505</v>
      </c>
      <c r="G9" s="58" t="s">
        <v>1501</v>
      </c>
      <c r="H9" s="58" t="s">
        <v>1501</v>
      </c>
    </row>
    <row r="10" spans="2:8" ht="54" customHeight="1">
      <c r="B10" s="58" t="s">
        <v>4</v>
      </c>
      <c r="C10" s="184" t="s">
        <v>19</v>
      </c>
      <c r="D10" s="58" t="s">
        <v>1412</v>
      </c>
      <c r="E10" s="58" t="s">
        <v>1482</v>
      </c>
      <c r="F10" s="59" t="s">
        <v>1506</v>
      </c>
      <c r="G10" s="58" t="s">
        <v>1501</v>
      </c>
      <c r="H10" s="58" t="s">
        <v>1501</v>
      </c>
    </row>
    <row r="11" spans="2:8" ht="85.5" customHeight="1">
      <c r="B11" s="58" t="s">
        <v>4</v>
      </c>
      <c r="C11" s="184" t="s">
        <v>21</v>
      </c>
      <c r="D11" s="58" t="s">
        <v>1412</v>
      </c>
      <c r="E11" s="58" t="s">
        <v>1457</v>
      </c>
      <c r="F11" s="59" t="s">
        <v>1507</v>
      </c>
      <c r="G11" s="58" t="s">
        <v>1501</v>
      </c>
      <c r="H11" s="58" t="s">
        <v>1501</v>
      </c>
    </row>
    <row r="12" spans="2:8" ht="85.5" customHeight="1">
      <c r="B12" s="58" t="s">
        <v>4</v>
      </c>
      <c r="C12" s="185" t="s">
        <v>23</v>
      </c>
      <c r="D12" s="58" t="s">
        <v>1501</v>
      </c>
      <c r="E12" s="58" t="s">
        <v>1501</v>
      </c>
      <c r="F12" s="64" t="s">
        <v>1508</v>
      </c>
      <c r="G12" s="58" t="s">
        <v>1501</v>
      </c>
      <c r="H12" s="58" t="s">
        <v>1501</v>
      </c>
    </row>
    <row r="13" spans="2:8" ht="115.5" customHeight="1">
      <c r="B13" s="58" t="s">
        <v>4</v>
      </c>
      <c r="C13" s="185" t="s">
        <v>23</v>
      </c>
      <c r="D13" s="58" t="s">
        <v>1412</v>
      </c>
      <c r="E13" s="58" t="s">
        <v>1461</v>
      </c>
      <c r="F13" s="59" t="s">
        <v>1509</v>
      </c>
      <c r="G13" s="58" t="s">
        <v>1501</v>
      </c>
      <c r="H13" s="58" t="s">
        <v>1501</v>
      </c>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ht="39.75" customHeight="1">
      <c r="B23"/>
      <c r="C23"/>
    </row>
    <row r="24" spans="2:3" ht="39.75" customHeight="1">
      <c r="B24"/>
      <c r="C24"/>
    </row>
    <row r="25" spans="2:3" ht="39.75" customHeight="1">
      <c r="B25"/>
      <c r="C25"/>
    </row>
    <row r="26" spans="2:3" ht="39.75" customHeight="1">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sheetData>
  <pageMargins left="0.7" right="0.7" top="0.75" bottom="0.75" header="0.3" footer="0.3"/>
  <pageSetup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3A1CDC45-F137-453F-BA2A-762033D45248}"/>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César Mateus Caires Batista Rosa</cp:lastModifiedBy>
  <cp:revision/>
  <dcterms:created xsi:type="dcterms:W3CDTF">2023-01-24T18:52:31Z</dcterms:created>
  <dcterms:modified xsi:type="dcterms:W3CDTF">2025-11-10T18:18:40Z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Estado">
    <vt:lpwstr>9;#Active|5fac735a-6c3d-4db3-a5ea-62b32a9e77ff</vt:lpwstr>
  </property>
  <property fmtid="{D5CDD505-2E9C-101B-9397-08002B2CF9AE}" pid="7" name="MSIP_Label_3c41c091-3cbc-4dba-8b59-ce62f19500db_Enabled">
    <vt:lpwstr>true</vt:lpwstr>
  </property>
  <property fmtid="{D5CDD505-2E9C-101B-9397-08002B2CF9AE}" pid="8" name="MSIP_Label_3c41c091-3cbc-4dba-8b59-ce62f19500db_SetDate">
    <vt:lpwstr>2025-10-01T15:53:46Z</vt:lpwstr>
  </property>
  <property fmtid="{D5CDD505-2E9C-101B-9397-08002B2CF9AE}" pid="9" name="MSIP_Label_3c41c091-3cbc-4dba-8b59-ce62f19500db_Method">
    <vt:lpwstr>Privileged</vt:lpwstr>
  </property>
  <property fmtid="{D5CDD505-2E9C-101B-9397-08002B2CF9AE}" pid="10" name="MSIP_Label_3c41c091-3cbc-4dba-8b59-ce62f19500db_Name">
    <vt:lpwstr>Confidential_0_1</vt:lpwstr>
  </property>
  <property fmtid="{D5CDD505-2E9C-101B-9397-08002B2CF9AE}" pid="11" name="MSIP_Label_3c41c091-3cbc-4dba-8b59-ce62f19500db_SiteId">
    <vt:lpwstr>35595a02-4d6d-44ac-99e1-f9ab4cd872db</vt:lpwstr>
  </property>
  <property fmtid="{D5CDD505-2E9C-101B-9397-08002B2CF9AE}" pid="12" name="MSIP_Label_3c41c091-3cbc-4dba-8b59-ce62f19500db_ActionId">
    <vt:lpwstr>0c0389e0-7d11-4989-a581-3d1a93076587</vt:lpwstr>
  </property>
  <property fmtid="{D5CDD505-2E9C-101B-9397-08002B2CF9AE}" pid="13" name="MSIP_Label_3c41c091-3cbc-4dba-8b59-ce62f19500db_ContentBits">
    <vt:lpwstr>1</vt:lpwstr>
  </property>
</Properties>
</file>