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9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0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1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2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13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4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saveExternalLinkValues="0"/>
  <mc:AlternateContent xmlns:mc="http://schemas.openxmlformats.org/markup-compatibility/2006">
    <mc:Choice Requires="x15">
      <x15ac:absPath xmlns:x15ac="http://schemas.microsoft.com/office/spreadsheetml/2010/11/ac" url="D:\working\waccache\MR1PEPF00000E69\EXCELCNV\ef875134-44cf-4aa2-8f4a-48c8c183f680\"/>
    </mc:Choice>
  </mc:AlternateContent>
  <xr:revisionPtr revIDLastSave="3803" documentId="8_{1987690B-0945-4A1E-BB91-E5E91C117B03}" xr6:coauthVersionLast="47" xr6:coauthVersionMax="47" xr10:uidLastSave="{8957C8B1-BD11-4F2F-84CD-BB038DC85363}"/>
  <bookViews>
    <workbookView xWindow="-60" yWindow="-60" windowWidth="15480" windowHeight="11640" tabRatio="621" firstSheet="9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Descrição Testes" sheetId="40" r:id="rId9"/>
    <sheet name="collateral_value_allocation" sheetId="39" r:id="rId10"/>
    <sheet name="real_estate_collateral" sheetId="42" r:id="rId11"/>
    <sheet name="financial_collateral" sheetId="43" r:id="rId12"/>
    <sheet name="real_estate_appraise" sheetId="48" r:id="rId13"/>
    <sheet name="guarantee" sheetId="45" r:id="rId14"/>
    <sheet name="guarantee_financial_collat_rel" sheetId="46" r:id="rId15"/>
    <sheet name="guarantee_personal_collat_rel" sheetId="47" r:id="rId16"/>
    <sheet name="guarantee_real_estate_collat_re" sheetId="49" r:id="rId17"/>
    <sheet name="collateral_mapping" sheetId="50" r:id="rId18"/>
    <sheet name="responsibility_guarantee_rel" sheetId="51" r:id="rId19"/>
  </sheets>
  <externalReferences>
    <externalReference r:id="rId20"/>
    <externalReference r:id="rId21"/>
    <externalReference r:id="rId22"/>
    <externalReference r:id="rId23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47" l="1" a="1"/>
  <c r="G19" i="47"/>
  <c r="G8" i="49" a="1"/>
  <c r="G8" i="49"/>
  <c r="G8" i="46" a="1"/>
  <c r="G8" i="46"/>
  <c r="G8" i="47" a="1"/>
  <c r="G8" i="47"/>
  <c r="G8" i="42" a="1"/>
  <c r="G8" i="42"/>
  <c r="G8" i="51" a="1"/>
  <c r="G8" i="51"/>
  <c r="G8" i="50" a="1"/>
  <c r="G8" i="50"/>
  <c r="G8" i="45" a="1"/>
  <c r="G8" i="45"/>
  <c r="G8" i="48" a="1"/>
  <c r="G8" i="48"/>
  <c r="G8" i="43" a="1"/>
  <c r="G8" i="43"/>
  <c r="G8" i="39" a="1"/>
  <c r="G8" i="39"/>
  <c r="I25" i="42" a="1"/>
  <c r="G9" i="42" s="1" a="1"/>
  <c r="G9" i="42" s="1"/>
  <c r="I25" i="42"/>
  <c r="G19" i="42" s="1" a="1"/>
  <c r="G19" i="42" s="1"/>
  <c r="I25" i="39" a="1"/>
  <c r="G9" i="39" s="1" a="1"/>
  <c r="G9" i="39" s="1"/>
  <c r="I25" i="39"/>
  <c r="G19" i="39" s="1" a="1"/>
  <c r="G19" i="39" s="1"/>
  <c r="I24" i="39" a="1"/>
  <c r="I24" i="39"/>
  <c r="G20" i="39" s="1" a="1"/>
  <c r="G20" i="39" s="1"/>
  <c r="I23" i="50" a="1"/>
  <c r="I23" i="50"/>
  <c r="G19" i="50" s="1" a="1"/>
  <c r="G19" i="50" s="1"/>
  <c r="I24" i="43" a="1"/>
  <c r="I24" i="43"/>
  <c r="G19" i="43" s="1" a="1"/>
  <c r="G19" i="43" s="1"/>
  <c r="I25" i="49" a="1"/>
  <c r="I25" i="49"/>
  <c r="G19" i="51" a="1"/>
  <c r="G19" i="51"/>
  <c r="I24" i="51" a="1"/>
  <c r="G9" i="51" s="1" a="1"/>
  <c r="G9" i="51" s="1"/>
  <c r="I24" i="51"/>
  <c r="G18" i="51" s="1" a="1"/>
  <c r="G18" i="51" s="1"/>
  <c r="G19" i="49" a="1"/>
  <c r="G19" i="49"/>
  <c r="I24" i="50" a="1"/>
  <c r="G9" i="50" s="1" a="1"/>
  <c r="G9" i="50" s="1"/>
  <c r="I24" i="50"/>
  <c r="G18" i="50" s="1" a="1"/>
  <c r="G18" i="50" s="1"/>
  <c r="G9" i="49" a="1"/>
  <c r="G9" i="49" s="1"/>
  <c r="G18" i="49" a="1"/>
  <c r="G18" i="49" s="1"/>
  <c r="I25" i="48" a="1"/>
  <c r="G9" i="48" s="1" a="1"/>
  <c r="G9" i="48" s="1"/>
  <c r="I25" i="48"/>
  <c r="G19" i="48" s="1" a="1"/>
  <c r="G19" i="48" s="1"/>
  <c r="I24" i="48" a="1"/>
  <c r="I24" i="48"/>
  <c r="G20" i="48" s="1" a="1"/>
  <c r="G20" i="48" s="1"/>
  <c r="G19" i="45" a="1"/>
  <c r="G19" i="45"/>
  <c r="I24" i="42" a="1"/>
  <c r="I24" i="42" s="1"/>
  <c r="G20" i="42" s="1" a="1"/>
  <c r="G20" i="42" s="1"/>
  <c r="I24" i="47" a="1"/>
  <c r="G9" i="47" s="1" a="1"/>
  <c r="G9" i="47" s="1"/>
  <c r="I24" i="47"/>
  <c r="G18" i="47" s="1" a="1"/>
  <c r="G18" i="47" s="1"/>
  <c r="G19" i="46" a="1"/>
  <c r="G19" i="46"/>
  <c r="I25" i="46" a="1"/>
  <c r="I25" i="46"/>
  <c r="G18" i="46" s="1" a="1"/>
  <c r="G18" i="46" s="1"/>
  <c r="I25" i="43" a="1"/>
  <c r="G9" i="43" s="1" a="1"/>
  <c r="G9" i="43" s="1"/>
  <c r="I25" i="43"/>
  <c r="G18" i="43" s="1" a="1"/>
  <c r="G18" i="43" s="1"/>
  <c r="I24" i="45" a="1"/>
  <c r="G9" i="45" s="1" a="1"/>
  <c r="G9" i="45" s="1"/>
  <c r="I24" i="45"/>
  <c r="G18" i="45" s="1" a="1"/>
  <c r="G18" i="45" s="1"/>
  <c r="H54" i="28"/>
  <c r="G9" i="46" l="1" a="1"/>
  <c r="G9" i="46" s="1"/>
  <c r="G21" i="39" a="1"/>
  <c r="G21" i="39" s="1"/>
  <c r="G20" i="51" a="1"/>
  <c r="G20" i="51" s="1"/>
  <c r="G20" i="45" a="1"/>
  <c r="G20" i="45" s="1"/>
  <c r="G21" i="48" a="1"/>
  <c r="G21" i="48" s="1"/>
  <c r="G20" i="43" a="1"/>
  <c r="G20" i="43" s="1"/>
  <c r="G20" i="50" a="1"/>
  <c r="G20" i="50" s="1"/>
  <c r="G20" i="49" a="1"/>
  <c r="G20" i="49" s="1"/>
  <c r="G20" i="46" a="1"/>
  <c r="G20" i="46" s="1"/>
  <c r="G20" i="47" a="1"/>
  <c r="G20" i="47" s="1"/>
  <c r="G21" i="42" a="1"/>
  <c r="G21" i="4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<sst xmlns="http://schemas.openxmlformats.org/spreadsheetml/2006/main" count="8127" uniqueCount="1967">
  <si>
    <t>Modelo de Dados - Garantias Recebidas</t>
  </si>
  <si>
    <t>Schema</t>
  </si>
  <si>
    <t xml:space="preserve">Tabela </t>
  </si>
  <si>
    <t>Descrição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</si>
  <si>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</si>
  <si>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</si>
  <si>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</si>
  <si>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</si>
  <si>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</si>
  <si>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</si>
  <si>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</si>
  <si>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</si>
  <si>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</si>
  <si>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</si>
  <si>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</si>
  <si>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</si>
  <si>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</si>
  <si>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</si>
  <si>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</si>
  <si>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</si>
  <si>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</si>
  <si>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</si>
  <si>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</si>
  <si>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</si>
  <si>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</si>
  <si>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</si>
  <si>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</si>
  <si>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</si>
  <si>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</si>
  <si>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</si>
  <si>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</si>
  <si>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</si>
  <si>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</si>
  <si>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</si>
  <si>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</si>
  <si>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</si>
  <si>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</si>
  <si>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</si>
  <si>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</si>
  <si>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</si>
  <si>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</si>
  <si>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</si>
  <si>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</si>
  <si>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</si>
  <si>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</si>
  <si>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</si>
  <si>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</si>
  <si>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</si>
  <si>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</si>
  <si>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</si>
  <si>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</si>
  <si>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</si>
  <si>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</si>
  <si>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</si>
  <si>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</si>
  <si>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</si>
  <si>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</si>
  <si>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</si>
  <si>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</si>
  <si>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</si>
  <si>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</si>
  <si>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</si>
  <si>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</si>
  <si>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</si>
  <si>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</si>
  <si>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</si>
  <si>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</si>
  <si>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</si>
  <si>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</si>
  <si>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</si>
  <si>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</si>
  <si>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</si>
  <si>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</si>
  <si>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</si>
  <si>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</si>
  <si>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</si>
  <si>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</si>
  <si>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</si>
  <si>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</si>
  <si>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</si>
  <si>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</si>
  <si>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</si>
  <si>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</si>
  <si>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</si>
  <si>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</si>
  <si>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</si>
  <si>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</si>
  <si>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</si>
  <si>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</si>
  <si>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</si>
  <si>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</si>
  <si>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</si>
  <si>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</si>
  <si>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</si>
  <si>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</si>
  <si>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</si>
  <si>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</si>
  <si>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</si>
  <si>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</si>
  <si>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</si>
  <si>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</si>
  <si>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</si>
  <si>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</si>
  <si>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</si>
  <si>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</si>
  <si>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</si>
  <si>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</si>
  <si>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</si>
  <si>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</si>
  <si>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</si>
  <si>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</si>
  <si>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</si>
  <si>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</si>
  <si>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</si>
  <si>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</si>
  <si>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</si>
  <si>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</si>
  <si>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</si>
  <si>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</si>
  <si>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</si>
  <si>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</si>
  <si>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</si>
  <si>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</si>
  <si>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</si>
  <si>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</si>
  <si>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</si>
  <si>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</si>
  <si>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</si>
  <si>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</si>
  <si>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</si>
  <si>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</si>
  <si>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</si>
  <si>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</si>
  <si>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</si>
  <si>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</si>
  <si>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</si>
  <si>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</si>
  <si>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</si>
  <si>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</si>
  <si>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</si>
  <si>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</si>
  <si>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</si>
  <si>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</si>
  <si>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</si>
  <si>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</si>
  <si>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</si>
  <si>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</si>
  <si>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</si>
  <si>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</si>
  <si>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</si>
  <si>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</si>
  <si>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</si>
  <si>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</si>
  <si>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</si>
  <si>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</si>
  <si>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</si>
  <si>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</si>
  <si>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</si>
  <si>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</si>
  <si>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</si>
  <si>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</si>
  <si>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</si>
  <si>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</si>
  <si>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</si>
  <si>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</si>
  <si>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</si>
  <si>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</si>
  <si>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</si>
  <si>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</si>
  <si>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</si>
  <si>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</si>
  <si>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</si>
  <si>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</si>
  <si>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</si>
  <si>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</si>
  <si>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</si>
  <si>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</si>
  <si>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</si>
  <si>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</si>
  <si>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</si>
  <si>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</si>
  <si>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</si>
  <si>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</si>
  <si>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</si>
  <si>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</si>
  <si>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</si>
  <si>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</si>
  <si>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</si>
  <si>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</si>
  <si>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</si>
  <si>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</si>
  <si>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</si>
  <si>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</si>
  <si>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</si>
  <si>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</si>
  <si>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</si>
  <si>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</si>
  <si>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</si>
  <si>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</si>
  <si>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</si>
  <si>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</si>
  <si>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</si>
  <si>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</si>
  <si>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</si>
  <si>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</si>
  <si>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</si>
  <si>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</si>
  <si>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</si>
  <si>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</si>
  <si>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</si>
  <si>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</si>
  <si>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</si>
  <si>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</si>
  <si>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</si>
  <si>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</si>
  <si>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</si>
  <si>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</si>
  <si>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</si>
  <si>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</si>
  <si>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</si>
  <si>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</si>
  <si>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</si>
  <si>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</si>
  <si>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</si>
  <si>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</si>
  <si>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</si>
  <si>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</si>
  <si>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</si>
  <si>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</si>
  <si>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</si>
  <si>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</si>
  <si>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</si>
  <si>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</si>
  <si>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</si>
  <si>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</si>
  <si>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</si>
  <si>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</si>
  <si>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</si>
  <si>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</si>
  <si>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</si>
  <si>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</si>
  <si>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</si>
  <si>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</si>
  <si>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</si>
  <si>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</si>
  <si>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</si>
  <si>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</si>
  <si>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</si>
  <si>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</si>
  <si>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</si>
  <si>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</si>
  <si>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</si>
  <si>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</si>
  <si>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</si>
  <si>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</si>
  <si>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</si>
  <si>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</si>
  <si>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</si>
  <si>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</si>
  <si>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</si>
  <si>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</si>
  <si>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</si>
  <si>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</si>
  <si>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</si>
  <si>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</si>
  <si>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</si>
  <si>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</si>
  <si>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</si>
  <si>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</si>
  <si>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</si>
  <si>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</si>
  <si>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</si>
  <si>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</si>
  <si>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</si>
  <si>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</si>
  <si>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</si>
  <si>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</si>
  <si>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</si>
  <si>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</si>
  <si>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</si>
  <si>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</si>
  <si>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</si>
  <si>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</si>
  <si>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</si>
  <si>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</si>
  <si>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</si>
  <si>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</si>
  <si>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</si>
  <si>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</si>
  <si>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</si>
  <si>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</si>
  <si>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</si>
  <si>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</si>
  <si>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</si>
  <si>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</si>
  <si>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</si>
  <si>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</si>
  <si>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</si>
  <si>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</si>
  <si>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</si>
  <si>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</si>
  <si>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</si>
  <si>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</si>
  <si>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</si>
  <si>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</si>
  <si>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</si>
  <si>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</si>
  <si>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</si>
  <si>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</si>
  <si>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</si>
  <si>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</si>
  <si>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</si>
  <si>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</si>
  <si>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</si>
  <si>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</si>
  <si>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</si>
  <si>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</si>
  <si>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</si>
  <si>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</si>
  <si>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</si>
  <si>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</si>
  <si>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</si>
  <si>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</si>
  <si>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</si>
  <si>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</si>
  <si>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</si>
  <si>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</si>
  <si>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</si>
  <si>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</si>
  <si>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</si>
  <si>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</si>
  <si>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</si>
  <si>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</si>
  <si>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</si>
  <si>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</si>
  <si>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</si>
  <si>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</si>
  <si>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</si>
  <si>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</si>
  <si>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</si>
  <si>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</si>
  <si>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</si>
  <si>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</si>
  <si>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</si>
  <si>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</si>
  <si>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</si>
  <si>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</si>
  <si>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</si>
  <si>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</si>
  <si>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</si>
  <si>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</si>
  <si>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</si>
  <si>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</si>
  <si>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</si>
  <si>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</si>
  <si>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</si>
  <si>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</si>
  <si>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</si>
  <si>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</si>
  <si>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</si>
  <si>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</si>
  <si>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</si>
  <si>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</si>
  <si>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</si>
  <si>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</si>
  <si>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</si>
  <si>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</si>
  <si>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</si>
  <si>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</si>
  <si>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</si>
  <si>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</si>
  <si>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</si>
  <si>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</si>
  <si>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</si>
  <si>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</si>
  <si>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</si>
  <si>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</si>
  <si>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</si>
  <si>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</si>
  <si>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</si>
  <si>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</si>
  <si>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</si>
  <si>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</si>
  <si>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</si>
  <si>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</si>
  <si>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</si>
  <si>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</si>
  <si>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</si>
  <si>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</si>
  <si>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</si>
  <si>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</si>
  <si>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</si>
  <si>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</si>
  <si>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</si>
  <si>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</si>
  <si>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</si>
  <si>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</si>
  <si>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</si>
  <si>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</si>
  <si>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</si>
  <si>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</si>
  <si>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</si>
  <si>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</si>
  <si>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</si>
  <si>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</si>
  <si>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</si>
  <si>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</si>
  <si>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</si>
  <si>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</si>
  <si>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</si>
  <si>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</si>
  <si>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</si>
  <si>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</si>
  <si>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</si>
  <si>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</si>
  <si>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</si>
  <si>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</si>
  <si>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</si>
  <si>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</si>
  <si>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</si>
  <si>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</si>
  <si>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</si>
  <si>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</si>
  <si>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</si>
  <si>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</si>
  <si>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</si>
  <si>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</si>
  <si>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</si>
  <si>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</si>
  <si>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</si>
  <si>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</si>
  <si>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</si>
  <si>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</si>
  <si>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</si>
  <si>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</si>
  <si>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</si>
  <si>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</si>
  <si>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</si>
  <si>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</si>
  <si>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</si>
  <si>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</si>
  <si>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</si>
  <si>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</si>
  <si>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</si>
  <si>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</si>
  <si>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</si>
  <si>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</si>
  <si>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</si>
  <si>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</si>
  <si>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</si>
  <si>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</si>
  <si>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</si>
  <si>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</si>
  <si>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</si>
  <si>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</si>
  <si>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</si>
  <si>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</si>
  <si>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</si>
  <si>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</si>
  <si>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</si>
  <si>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</si>
  <si>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</si>
  <si>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</si>
  <si>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</si>
  <si>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</si>
  <si>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</si>
  <si>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</si>
  <si>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</si>
  <si>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</si>
  <si>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</si>
  <si>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</si>
  <si>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</si>
  <si>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</si>
  <si>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</si>
  <si>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</si>
  <si>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</si>
  <si>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</si>
  <si>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</si>
  <si>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</si>
  <si>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</si>
  <si>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</si>
  <si>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</si>
  <si>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</si>
  <si>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</si>
  <si>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</si>
  <si>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</si>
  <si>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</si>
  <si>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</si>
  <si>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</si>
  <si>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</si>
  <si>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</si>
  <si>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</si>
  <si>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</si>
  <si>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</si>
  <si>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</si>
  <si>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</si>
  <si>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</si>
  <si>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</si>
  <si>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</si>
  <si>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</si>
  <si>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</si>
  <si>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</si>
  <si>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</si>
  <si>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</si>
  <si>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</si>
  <si>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</si>
  <si>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</si>
  <si>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</si>
  <si>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</si>
  <si>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</si>
  <si>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</si>
  <si>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</si>
  <si>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</si>
  <si>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</si>
  <si>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</si>
  <si>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</si>
  <si>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</si>
  <si>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</si>
  <si>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</si>
  <si>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</si>
  <si>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</si>
  <si>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</si>
  <si>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</si>
  <si>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</si>
  <si>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</si>
  <si>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</si>
  <si>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</si>
  <si>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</si>
  <si>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</si>
  <si>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</si>
  <si>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</si>
  <si>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</si>
  <si>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</si>
  <si>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</si>
  <si>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</si>
  <si>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</si>
  <si>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</si>
  <si>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</si>
  <si>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</si>
  <si>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</si>
  <si>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</si>
  <si>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</si>
  <si>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</si>
  <si>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</si>
  <si>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</si>
  <si>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</si>
  <si>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</si>
  <si>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</si>
  <si>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</si>
  <si>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</si>
  <si>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</si>
  <si>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</si>
  <si>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</si>
  <si>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</si>
  <si>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</si>
  <si>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</si>
  <si>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</si>
  <si>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</si>
  <si>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</si>
  <si>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</si>
  <si>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</si>
  <si>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</si>
  <si>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</si>
  <si>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</si>
  <si>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</si>
  <si>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</si>
  <si>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</si>
  <si>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</si>
  <si>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</si>
  <si>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</si>
  <si>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</si>
  <si>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</si>
  <si>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</si>
  <si>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</si>
  <si>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</si>
  <si>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</si>
  <si>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</si>
  <si>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</si>
  <si>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</si>
  <si>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</si>
  <si>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</si>
  <si>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</si>
  <si>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</si>
  <si>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</si>
  <si>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</si>
  <si>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</si>
  <si>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</si>
  <si>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</si>
  <si>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</si>
  <si>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</si>
  <si>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</si>
  <si>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</si>
  <si>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</si>
  <si>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</si>
  <si>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</si>
  <si>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</si>
  <si>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</si>
  <si>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</si>
  <si>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</si>
  <si>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</si>
  <si>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</si>
  <si>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</si>
  <si>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</si>
  <si>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</si>
  <si>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</si>
  <si>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</si>
  <si>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</si>
  <si>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</si>
  <si>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</si>
  <si>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</si>
  <si>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</si>
  <si>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</si>
  <si>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</si>
  <si>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</si>
  <si>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</si>
  <si>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</si>
  <si>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</si>
  <si>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</si>
  <si>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</si>
  <si>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</si>
  <si>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</si>
  <si>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</si>
  <si>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</si>
  <si>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</si>
  <si>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</si>
  <si>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</si>
  <si>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</si>
  <si>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</si>
  <si>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</si>
  <si>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</si>
  <si>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</si>
  <si>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</si>
  <si>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</si>
  <si>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</si>
  <si>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</si>
  <si>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</si>
  <si>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</si>
  <si>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</si>
  <si>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</si>
  <si>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</si>
  <si>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</si>
  <si>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</si>
  <si>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</si>
  <si>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</si>
  <si>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</si>
  <si>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</si>
  <si>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</si>
  <si>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</si>
  <si>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</si>
  <si>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</si>
  <si>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</si>
  <si>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</si>
  <si>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</si>
  <si>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</si>
  <si>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</si>
  <si>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INPUT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</si>
  <si>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</si>
  <si>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</si>
  <si>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</si>
  <si>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</si>
  <si>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</si>
  <si>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</si>
  <si>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</si>
  <si>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</si>
  <si>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</si>
  <si>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</si>
  <si>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</si>
  <si>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</si>
  <si>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</si>
  <si>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</si>
  <si>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</si>
  <si>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</si>
  <si>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</si>
  <si>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</si>
  <si>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</si>
  <si>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</si>
  <si>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</si>
  <si>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</si>
  <si>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TABELA / FICHEIRO2</t>
  </si>
  <si>
    <t>ID APLICAÇÂO TÉCNICA</t>
  </si>
  <si>
    <t>NOME FISICO TABELA FONTE</t>
  </si>
  <si>
    <t>NOME FISICO CAMPO FONTE</t>
  </si>
  <si>
    <t>VALOR MANUAL FONTE</t>
  </si>
  <si>
    <t>common_collateralsguarantees_core</t>
  </si>
  <si>
    <t>Guaratee Collateral Relationship</t>
  </si>
  <si>
    <t>collateral_mapping</t>
  </si>
  <si>
    <t>Collateral Code</t>
  </si>
  <si>
    <t>collateral_code</t>
  </si>
  <si>
    <t>Ext Inf - Guar Inf - Code</t>
  </si>
  <si>
    <t>STRING</t>
  </si>
  <si>
    <t>Code of the asset colalteral type of the guarantee.</t>
  </si>
  <si>
    <t>Código de garantia do bem</t>
  </si>
  <si>
    <t>X</t>
  </si>
  <si>
    <t>MIGRATION_BUSINESS_GARANTIAS</t>
  </si>
  <si>
    <t>GT803_CGARANT_BEM</t>
  </si>
  <si>
    <t>CGARANT_BEM</t>
  </si>
  <si>
    <t>SELECT IF(TRIM(GT803_CGARANT_BEM.CGARANT_BEM) = '', NULL, GT803_CGARANT_BEM.CGARANT_BEM)</t>
  </si>
  <si>
    <t>MUG - Modelo Único de Garantias</t>
  </si>
  <si>
    <t>Description</t>
  </si>
  <si>
    <t>desc</t>
  </si>
  <si>
    <t>Ext Inf - collateral Con Inf - Info</t>
  </si>
  <si>
    <t>Description of collateral.</t>
  </si>
  <si>
    <t>Descritivo funcional do código de garantia</t>
  </si>
  <si>
    <t>DESCRITIVO</t>
  </si>
  <si>
    <t>SELECT IF(TRIM(GT803_CGARANT_BEM.DESCRITIVO)='', NULL, GT803_CGARANT_BEM.DESCRITIVO)</t>
  </si>
  <si>
    <t>Collateral Type Code</t>
  </si>
  <si>
    <t>collateral_type_code</t>
  </si>
  <si>
    <t>Ext Inf - Real Est collateral Inf - Code</t>
  </si>
  <si>
    <t>Code for the the type of collateral.</t>
  </si>
  <si>
    <t>Código indicador de tipo de bem</t>
  </si>
  <si>
    <t>Collateral Type:
?</t>
  </si>
  <si>
    <t>CTIPBEM</t>
  </si>
  <si>
    <t>SELECT IF(TRIM(GT803_CGARANT_BEM.CTIPBEM)='', NULL, GT803_CGARANT_BEM.CTIPBEM)</t>
  </si>
  <si>
    <t>Collateral Purpose Code</t>
  </si>
  <si>
    <t>collateral_purpose_code</t>
  </si>
  <si>
    <t>Ext Inf - Collateral Inf - Code</t>
  </si>
  <si>
    <t>Code of the collateral's purpose.</t>
  </si>
  <si>
    <t>Código indicador de utilização (finalidade) do bem</t>
  </si>
  <si>
    <t>Collateral Purpose:
?</t>
  </si>
  <si>
    <t>CFINBEM</t>
  </si>
  <si>
    <t>SELECT (IF(TRIM(GT803_CGARANT_BEM.CFINBEM)='', NULL, GT803_CGARANT_BEM.CFINBEM)</t>
  </si>
  <si>
    <t>Reported Collateral Code</t>
  </si>
  <si>
    <t>reported_collateral_code</t>
  </si>
  <si>
    <t>Code reported of the collateral's type of the guarantee.</t>
  </si>
  <si>
    <t>Código de garantia da caução</t>
  </si>
  <si>
    <t>CGARANT_RPT</t>
  </si>
  <si>
    <t>SELECT (IF(TRIM(GT803_CGARANT_BEM.CGARANT_RPT='', NULL, GT803_CGARANT_BEM.CGARANT_RPT)</t>
  </si>
  <si>
    <t>Appraise Motive Code</t>
  </si>
  <si>
    <t>appraisal_motive_code</t>
  </si>
  <si>
    <t>Code fo the motive of the appraise.</t>
  </si>
  <si>
    <t>Motivo da avaliação</t>
  </si>
  <si>
    <t>Appraise Motive:
?</t>
  </si>
  <si>
    <t>CMOTAVAL</t>
  </si>
  <si>
    <t>SELECT IF(TRIM(GT803_CGARANT_BEM.CMOTAVAL)='', NULL, GT803_CGARANT_BEM.CMOTAVAL)</t>
  </si>
  <si>
    <t>Coverage Percetage</t>
  </si>
  <si>
    <t>coverage_pct</t>
  </si>
  <si>
    <t>Ext Inf - Collateral Inf - Value</t>
  </si>
  <si>
    <t>Collateral's Percetage of Coverage.</t>
  </si>
  <si>
    <t>Percentagem de obra</t>
  </si>
  <si>
    <t>PERCOBRA</t>
  </si>
  <si>
    <t>SELECT IF(TRIM(GT803_CGARANT_BEM.PERCOBRA)='', NULL, GT803_CGARANT_BEM.PERCOBRA)</t>
  </si>
  <si>
    <t>Instrument Type Code</t>
  </si>
  <si>
    <t>instrument_type_code</t>
  </si>
  <si>
    <t>Ext Inf - Sec collateral Inf - Code</t>
  </si>
  <si>
    <t>Code of the portfolio of securities pledged as collateral.</t>
  </si>
  <si>
    <t>Codigo carteira dada como garantia (DO, DP, FU, TT, SG, etc.)</t>
  </si>
  <si>
    <t>Instrument Type:
?</t>
  </si>
  <si>
    <t>CTRATCTA</t>
  </si>
  <si>
    <t>SELECT IF(TRIM(GT803_CGARANT_BEM.CTRATCTA)='', NULL, GT803_CGARANT_BEM.CTRATCTA)</t>
  </si>
  <si>
    <t>Insurance Policy Code</t>
  </si>
  <si>
    <t>insurance_policy_code</t>
  </si>
  <si>
    <t>Ext Inf - Ins Collateral Inf - Code</t>
  </si>
  <si>
    <t xml:space="preserve">Insurance policy code pledged as collateral. </t>
  </si>
  <si>
    <t>Código da apólice</t>
  </si>
  <si>
    <t>CAPOLICE</t>
  </si>
  <si>
    <t>SELECT IF(TRIM(GT803_CGARANT_BEM.CAPOLICE)='', NULL, GT803_CGARANT_BEM.CAPOLICE )</t>
  </si>
  <si>
    <t>Security Typology Code</t>
  </si>
  <si>
    <t>security_typology_code</t>
  </si>
  <si>
    <t>Code for the typology of the security pledged as collateral.</t>
  </si>
  <si>
    <t>Código da natureza do título</t>
  </si>
  <si>
    <t>Security Typology:
?</t>
  </si>
  <si>
    <t>CNATUR</t>
  </si>
  <si>
    <t>SELECT IF(TRIM(GT803_CGARANT_BEM.CNATUR)='', NULL, GT803_CGARANT_BEM.CNATUR)</t>
  </si>
  <si>
    <t>Guarantor's Party ID</t>
  </si>
  <si>
    <t>guarantor_party_id</t>
  </si>
  <si>
    <t>Ext Inf - Pers collateral Con Inf - ID</t>
  </si>
  <si>
    <t>Identifier of the party which owns the collateral pledged as collateral.</t>
  </si>
  <si>
    <t>Cliente Garante</t>
  </si>
  <si>
    <t>SELECT IF(TRIM( GT803_CGARANT_BEM.ZCLIENTE)='', NULL,  GT803_CGARANT_BEM.ZCLIENTE)</t>
  </si>
  <si>
    <t>Counterparty ID</t>
  </si>
  <si>
    <t>counterparty_id</t>
  </si>
  <si>
    <t>Identifier of the counterparty.</t>
  </si>
  <si>
    <t>Código de contraparte</t>
  </si>
  <si>
    <t>CONTRAPARTE</t>
  </si>
  <si>
    <t>SELECT IF(TRIM(GT803_CGARANT_BEM.CONTRAPARTE)='', NULL,  GT803_CGARANT_BEM.CONTRAPARTE)</t>
  </si>
  <si>
    <t>Security Quote Indicator</t>
  </si>
  <si>
    <t>security_quote_ind</t>
  </si>
  <si>
    <t>Ext Inf - Pers collateral Con Inf - Ind</t>
  </si>
  <si>
    <t xml:space="preserve">
Security quote indicator (S - Listed, N - Unquoted)</t>
  </si>
  <si>
    <t>Indicador de cotação de título (S - Cotado, N - Não Cotado)</t>
  </si>
  <si>
    <t>ICOTACAO</t>
  </si>
  <si>
    <t>SELECT IF(TRIM(GT803_CGARANT_BEM.ICOTACAO)='', NULL, GT803_CGARANT_BEM.ICOTACAO)</t>
  </si>
  <si>
    <t>Record's Reference Date</t>
  </si>
  <si>
    <t>data_date_part</t>
  </si>
  <si>
    <t>Key - Date</t>
  </si>
  <si>
    <t>Information reference date.</t>
  </si>
  <si>
    <t>Data de referencia dos dados</t>
  </si>
  <si>
    <t>REF_DATE</t>
  </si>
  <si>
    <t>SELECT IF(TRIM(GT803_CGARANT_BEM.REF_DATE)='', NULL, GT803_CGARANT_BEM.REF_DATE)</t>
  </si>
  <si>
    <t>Record's Write Timestamp in the CDM</t>
  </si>
  <si>
    <t>data_timestamp_part</t>
  </si>
  <si>
    <t>Tec - Date</t>
  </si>
  <si>
    <t>TIMESTAMP</t>
  </si>
  <si>
    <t>Record's load timestamp in common layer.</t>
  </si>
  <si>
    <t>Registro do timestamp de escrita no modelo comum.</t>
  </si>
  <si>
    <t>SELECT NOW()</t>
  </si>
  <si>
    <t>Collateral Value Allocation</t>
  </si>
  <si>
    <t>collateral_value_allocation</t>
  </si>
  <si>
    <t>Bank ID</t>
  </si>
  <si>
    <t>bank_id</t>
  </si>
  <si>
    <t>Key - ID</t>
  </si>
  <si>
    <t>Internal Santander's bank identifier (previously known as CEMPRESA).</t>
  </si>
  <si>
    <t>Empresa da responsabilidade</t>
  </si>
  <si>
    <t>GT018_RATEIO_AVAL</t>
  </si>
  <si>
    <t>CEMPRESP</t>
  </si>
  <si>
    <t> SELECT IF(TRIM(GT018_RATEIO_AVAL.CEMPRESP) = '', NULL, GT018_RATEIO_AVAL.CEMPRESP)</t>
  </si>
  <si>
    <t>Branch Code</t>
  </si>
  <si>
    <t>branch_code</t>
  </si>
  <si>
    <t>Key - Code</t>
  </si>
  <si>
    <t>Code of the branch to which the product's contract belongs to.</t>
  </si>
  <si>
    <t>Balcao Responsabilidade</t>
  </si>
  <si>
    <t>Branch:
TAT91_TABELAS - CTABELA 091; CURATED_INTERNAL_MAINFRAME_ESTRUTURAIS.TAT91_TABELAS - TAYD91C0_CTABELA 091</t>
  </si>
  <si>
    <t>CKBALRES</t>
  </si>
  <si>
    <t> SELECT IF(TRIM(GT018_RATEIO_AVAL.CKBALRES) = '', NULL, GT018_RATEIO_AVAL.CKBALRES)</t>
  </si>
  <si>
    <t>Contract ID</t>
  </si>
  <si>
    <t>contract_id</t>
  </si>
  <si>
    <t>Identifier of the contract.</t>
  </si>
  <si>
    <t>Conta Responsabilidade</t>
  </si>
  <si>
    <t>CKBALRES, CKCTARES, CKREFRESP</t>
  </si>
  <si>
    <t> SELECT IF(TRIM(CONCAT(GT018_RATEIO_AVAL.CKBALRES, GT018_RATEIO_AVAL.CKCTARES, GT018_RATEIO_AVAL.CKREFRESP)) = '', NULL, CONCAT(GT018_RATEIO_AVAL.CKBALRES, GT018_RATEIO_AVAL.CKCTARES, GT018_RATEIO_AVAL.CKREFRESP))</t>
  </si>
  <si>
    <t>Reference Code</t>
  </si>
  <si>
    <t>reference_code</t>
  </si>
  <si>
    <t>Key - Value</t>
  </si>
  <si>
    <t>Number of the deposit of the contract.</t>
  </si>
  <si>
    <t>Referencia da responsabilidade</t>
  </si>
  <si>
    <t>CKREFRESP</t>
  </si>
  <si>
    <t> SELECT IF(TRIM(GT018_RATEIO_AVAL.CKREFRESP) = '', NULL, GT018_RATEIO_AVAL.CKREFRESP)</t>
  </si>
  <si>
    <t>Guarantee Bank ID</t>
  </si>
  <si>
    <t>guarantee_bank_id</t>
  </si>
  <si>
    <t>Internal Santander's guarantee bank identifier (previously known as CEMPRESA).</t>
  </si>
  <si>
    <t>Empresa da conta</t>
  </si>
  <si>
    <t> SELECT IF(TRIM(GT018_RATEIO_AVAL.CEMPRESA) = '', NULL, GT018_RATEIO_AVAL.CEMPRESA)</t>
  </si>
  <si>
    <t>Guarantee Branch Code</t>
  </si>
  <si>
    <t>guarantee_branch_code</t>
  </si>
  <si>
    <t>Code of the branch to which the Guarantee product's contract belongs to.</t>
  </si>
  <si>
    <t>Balcao Caução/GP</t>
  </si>
  <si>
    <t>CKBALCAO</t>
  </si>
  <si>
    <t>SELECT  IF(TRIM(GT018_RATEIO_AVAL.CKBALCAO) = '', NULL, GT018_RATEIO_AVAL.CKBALCAO)</t>
  </si>
  <si>
    <t>Guarantee Contract ID</t>
  </si>
  <si>
    <t>guarantee_account_id</t>
  </si>
  <si>
    <t>Identifier of the Guarantee 's contract.</t>
  </si>
  <si>
    <t>Conta Caução/GP</t>
  </si>
  <si>
    <t>CKNUMCTA</t>
  </si>
  <si>
    <t> SELECT IF(TRIM(GT018_RATEIO_AVAL.CKNUMCTA) = '', NULL, GT018_RATEIO_AVAL.CKNUMCTA)</t>
  </si>
  <si>
    <t>Guarantee Reference Code</t>
  </si>
  <si>
    <t>guarantee_reference_code</t>
  </si>
  <si>
    <t>Code of the Guarantee's reference.</t>
  </si>
  <si>
    <t>ID Garantia</t>
  </si>
  <si>
    <t>COMP_ID_GAR</t>
  </si>
  <si>
    <t> SELECT IF(TRIM(GT018_RATEIO_AVAL.COMP_ID_GAR) = '', NULL, GT018_RATEIO_AVAL.COMP_ID_GAR)</t>
  </si>
  <si>
    <t>Collateral's Bank ID</t>
  </si>
  <si>
    <t>collateral_bank_id</t>
  </si>
  <si>
    <t>Ext Inf - collateral Con Inf - ID</t>
  </si>
  <si>
    <t>Internal Santander's collateral bank identifier (previously known as CEMPRESA).</t>
  </si>
  <si>
    <t>Empresa do bem</t>
  </si>
  <si>
    <t>CEMPBEM</t>
  </si>
  <si>
    <t> SELECT IF(TRIM(GT018_RATEIO_AVAL.CEMPBEM) = '', NULL, GT018_RATEIO_AVAL.CEMPBEM)</t>
  </si>
  <si>
    <t>Collateral Branch Code</t>
  </si>
  <si>
    <t>collateral_branch_code</t>
  </si>
  <si>
    <t>Ext Inf - collateral Con Inf - Code</t>
  </si>
  <si>
    <t>Identifier of the collateral's branch to which the product's contract belongs to.</t>
  </si>
  <si>
    <t>Balcão do bem</t>
  </si>
  <si>
    <t> SELECT IF(TRIM(GT018_RATEIO_AVAL.CKBALBEM) = '', NULL, GT018_RATEIO_AVAL.CKBALBEM)</t>
  </si>
  <si>
    <t>Collateral's Contract ID</t>
  </si>
  <si>
    <t>collateral_contract_id</t>
  </si>
  <si>
    <t>Identifier of the collateral's contract.</t>
  </si>
  <si>
    <t>Conta bem</t>
  </si>
  <si>
    <t>CKBALBEM, CKCTABEM, CKREFBEM</t>
  </si>
  <si>
    <t> SELECT IF(TRIM(CONCAT(GT018_RATEIO_AVAL.CKBALBEM, GT018_RATEIO_AVAL.CKCTABEM, GT018_RATEIO_AVAL.CKREFBEM)) = '', NULL, CONCAT(GT018_RATEIO_AVAL.CKBALBEM, GT018_RATEIO_AVAL.CKCTABEM, GT018_RATEIO_AVAL.CKREFBEM))</t>
  </si>
  <si>
    <t>Collateral Reference Code</t>
  </si>
  <si>
    <t>collateral_reference_code</t>
  </si>
  <si>
    <t>Code of the collateral.</t>
  </si>
  <si>
    <t>Referencia do bem</t>
  </si>
  <si>
    <t>CKREFBEM</t>
  </si>
  <si>
    <t> SELECT IF(TRIM(GT018_RATEIO_AVAL.CKREFBEM) = '', NULL, GT018_RATEIO_AVAL.CKREFBEM)</t>
  </si>
  <si>
    <t>Código de carteira</t>
  </si>
  <si>
    <t xml:space="preserve"> SELECT CASE
    WHEN GT018_RATEIO_AVAL.TIPOLOGIA = 'FIN' THEN IF(TRIM(GT018_RATEIO_AVAL.CTRATCTA) = '', NULL, GT018_RATEIO_AVAL.CTRATCTA) 
    WHEN GT018_RATEIO_AVAL.TIPOLOGIA = 'IMO' THEN '#N/A'
    WHEN GT018_RATEIO_AVAL.TIPOLOGIA = 'PES' THEN '#N/A'
    ELSE IF(TRIM(GT018_RATEIO_AVAL.CTRATCTA) = '', NULL, GT018_RATEIO_AVAL.CTRATCTA)</t>
  </si>
  <si>
    <t>Guarantor's Party id</t>
  </si>
  <si>
    <t>ZCLIENTE_GARANTE</t>
  </si>
  <si>
    <t>SELECT  CASE
		WHEN GT018_RATEIO_AVAL.TIPOLOGIA= 'PES' THEN IF(TRIM(GT018_RATEIO_AVAL.ZCLIENTE_GARANTE) = '', NULL, GT018_RATEIO_AVAL.ZCLIENTE_GARANTE)
                ELSE '#N/A'</t>
  </si>
  <si>
    <t>Assignor's Party ID</t>
  </si>
  <si>
    <t>assignor_party_id</t>
  </si>
  <si>
    <t>Identifier of the debtor party.</t>
  </si>
  <si>
    <t>Cliente Cedente</t>
  </si>
  <si>
    <t>ZCLIENTE_CED</t>
  </si>
  <si>
    <t>SELECT  CASE
		WHEN GT018_RATEIO_AVAL.TIPOLOGIA= 'PES' THEN IF(TRIM(GT018_RATEIO_AVAL.ZCLIENTE_CED) = '', NULL, GT018_RATEIO_AVAL.ZCLIENTE_CED)
                ELSE '#N/A'</t>
  </si>
  <si>
    <t>Code for the the type of real estate collateral.</t>
  </si>
  <si>
    <t>SELECT  CASE
    WHEN GT018_RATEIO_AVAL.TIPOLOGIA = 'IMO' THEN IF(TRIM(GT018_RATEIO_AVAL.CTIPBEM) = '', NULL, GT018_RATEIO_AVAL.CTIPBEM) 
    WHEN GT018_RATEIO_AVAL.TIPOLOGIA = 'FIN' THEN '#N/A'
    WHEN GT018_RATEIO_AVAL.TIPOLOGIA = 'PES' THEN '#N/A'
    ELSE IF(TRIM(GT018_RATEIO_AVAL.CTIPBEM) = '', NULL, GT018_RATEIO_AVAL.CTIPBEM)</t>
  </si>
  <si>
    <t>Code of the real estate collateral's purpose.</t>
  </si>
  <si>
    <t>SELECT  CASE
    WHEN GT018_RATEIO_AVAL.TIPOLOGIA = 'IMO' THEN IF(TRIM(GT018_RATEIO_AVAL.CFINBEM) = '', NULL, GT018_RATEIO_AVAL.CFINBEM) 
    WHEN GT018_RATEIO_AVAL.TIPOLOGIA = 'FIN' THEN '#N/A'
    WHEN GT018_RATEIO_AVAL.TIPOLOGIA = 'PES' THEN '#N/A'
    ELSE IF(TRIM(GT018_RATEIO_AVAL.CFINBEM) = '', NULL, GT018_RATEIO_AVAL.CFINBEM)</t>
  </si>
  <si>
    <t>collateral's Last Appraise Date</t>
  </si>
  <si>
    <t>collateral_last_appraisal_date</t>
  </si>
  <si>
    <t>Ext Inf - Real Est Appr Inf - Date</t>
  </si>
  <si>
    <t>Date of the last collateral's appraisal</t>
  </si>
  <si>
    <t>Data da avaliação mais recente</t>
  </si>
  <si>
    <t>DTRCAVAL</t>
  </si>
  <si>
    <t>SELECT  IF(TRIM(GT018_RATEIO_AVAL.DTRCAVAL) = '', NULL, GT018_RATEIO_AVAL.DTRCAVAL)</t>
  </si>
  <si>
    <t>Collateral Appraise Value</t>
  </si>
  <si>
    <t>collateral_appraisal_amount</t>
  </si>
  <si>
    <t>Ext Inf - Real Est Appr Inf - Value</t>
  </si>
  <si>
    <t>Value of the collateral resulting from the last appraisal.</t>
  </si>
  <si>
    <t>Montante de avaliação do Bem</t>
  </si>
  <si>
    <t>MAVALIA</t>
  </si>
  <si>
    <t>SELECT  IF(TRIM(GT018_RATEIO_AVAL.MAVALIA) = '', NULL, GT018_RATEIO_AVAL.MAVALIA)</t>
  </si>
  <si>
    <t>Guarantee Category Code</t>
  </si>
  <si>
    <t>guarantee_category_code</t>
  </si>
  <si>
    <t>Code of the guarantee's category (e.g.: Financeira, Pessoal, Imovel)</t>
  </si>
  <si>
    <t>Tipologia das garantias (Financeira,Pessoal,Imóvel)</t>
  </si>
  <si>
    <t>Guarantee Category:
?</t>
  </si>
  <si>
    <t>TIPOLOGIA</t>
  </si>
  <si>
    <t>SELECT  IF(TRIM(GT018_RATEIO_AVAL.TIPOLOGIA) = '', NULL, GT018_RATEIO_AVAL.TIPOLOGIA)</t>
  </si>
  <si>
    <t> SELECT CASE 
		WHEN GT018_RATEIO_AVAL.TIPOLOGIA = 'PES' THEN '#N/A'
		ELSE IF(TRIM(GT018_RATEIO_AVAL.CGARANT_BEM) = '', NULL, GT018_RATEIO_AVAL.CGARANT_BEM)</t>
  </si>
  <si>
    <t>SELECT  IF(TRIM(GT018_RATEIO_AVAL.CGARANT_RPT) = '', NULL, GT018_RATEIO_AVAL.CGARANT_RPT)</t>
  </si>
  <si>
    <t>Collateral Initial Appraisal Date</t>
  </si>
  <si>
    <t>collateral_init_appraisal_date</t>
  </si>
  <si>
    <t>Ext Inf - Guar Inf - Date</t>
  </si>
  <si>
    <t>Date of the first collateral's evaluation.</t>
  </si>
  <si>
    <t>Data da avaliação inicial do bem</t>
  </si>
  <si>
    <t>DTVALIAI_BEM</t>
  </si>
  <si>
    <t>SELECT  IF(TRIM(GT018_RATEIO_AVAL.DTVALIAI_BEM) = '', NULL, GT018_RATEIO_AVAL.DTVALIAI_BEM)</t>
  </si>
  <si>
    <t>Guarantee initial Appraisal Date</t>
  </si>
  <si>
    <t>guarantee_init_appraisal_date</t>
  </si>
  <si>
    <t>Date of the first guarantee's evaluation.</t>
  </si>
  <si>
    <t>Data da avaliação inicial do processo</t>
  </si>
  <si>
    <t>DTVALIAI_PROC</t>
  </si>
  <si>
    <t>SELECT  IF(TRIM(GT018_RATEIO_AVAL.DTVALIAI_PROC) = '', NULL, GT018_RATEIO_AVAL.DTVALIAI_PROC)</t>
  </si>
  <si>
    <t>Collateral Initial Appraisal Value</t>
  </si>
  <si>
    <t>collat_ini_appraisal_amnt_alloc</t>
  </si>
  <si>
    <t>Ext Inf - Guar Inf - Value</t>
  </si>
  <si>
    <t>Resulting value of the first collateral evaluation.</t>
  </si>
  <si>
    <t>Montante da avaliação inicial do bem</t>
  </si>
  <si>
    <t>MAVALIAI_BEM</t>
  </si>
  <si>
    <t>SELECT  IF(TRIM(GT018_RATEIO_AVAL.MAVALIAI_BEM) = '', NULL, GT018_RATEIO_AVAL.MAVALIAI_BEM)</t>
  </si>
  <si>
    <t>Guarantee Initial Appraisal Value</t>
  </si>
  <si>
    <t>guarant_ini_appraisal_amnt_alloc</t>
  </si>
  <si>
    <t>Resulting value of the first guarantee evaluation.</t>
  </si>
  <si>
    <t>Montante da avaliação inicial do processo</t>
  </si>
  <si>
    <t>MAVALIAI_PROC</t>
  </si>
  <si>
    <t> SELECT IF(TRIM(GT018_RATEIO_AVAL.MAVALIAI_PROC) = '', NULL, GT018_RATEIO_AVAL.MAVALIAI_PROC)</t>
  </si>
  <si>
    <t>Debt Value Excluding Credit Balanace</t>
  </si>
  <si>
    <t>responsibility_gross_amount</t>
  </si>
  <si>
    <t>Value of the total debt while not considering the current credit balance.</t>
  </si>
  <si>
    <t>Saldo Real absoluto da responsabilidade</t>
  </si>
  <si>
    <t>MSLDREAL</t>
  </si>
  <si>
    <t>SELECT  IF(TRIM(GT018_RATEIO_AVAL.MSLDREAL) = '', NULL, GT018_RATEIO_AVAL.MSLDREAL)</t>
  </si>
  <si>
    <t>Debt Value</t>
  </si>
  <si>
    <t>responsibility_original_amount</t>
  </si>
  <si>
    <t>Value of the total debt considering current credit balance.</t>
  </si>
  <si>
    <t>Saldo Real da responsabilidade</t>
  </si>
  <si>
    <t>MONTANTE</t>
  </si>
  <si>
    <t>SELECT  IF(TRIM(GT018_RATEIO_AVAL.MONTANTE) = '', NULL, GT018_RATEIO_AVAL.MONTANTE)</t>
  </si>
  <si>
    <t>Total Responsibility Debt Value by Collateral</t>
  </si>
  <si>
    <t>total_responsibility_amount</t>
  </si>
  <si>
    <t>Value of the sum of all guarantees in which the collateral's is considered as a collateral.</t>
  </si>
  <si>
    <t>Soma da divida de todas as responsabilidades a que está associado este bem</t>
  </si>
  <si>
    <t>TOTAL_DIVIDA</t>
  </si>
  <si>
    <t>SELECT  IF(TRIM(GT018_RATEIO_AVAL.TOTAL_DIVIDA) = '', NULL, GT018_RATEIO_AVAL.TOTAL_DIVIDA)</t>
  </si>
  <si>
    <t>Breakdown of Responsibility Debt by Total Debt</t>
  </si>
  <si>
    <t>breakdown_pct</t>
  </si>
  <si>
    <t>Percentge of the collateral's apportionment in the current guarantee.</t>
  </si>
  <si>
    <t>Repartição do saldo pelo total da divida</t>
  </si>
  <si>
    <t>PERC_RATEIO</t>
  </si>
  <si>
    <t>SELECT  IF(TRIM(GT018_RATEIO_AVAL.PERC_RATEIO) = '', NULL, GT018_RATEIO_AVAL.PERC_RATEIO)</t>
  </si>
  <si>
    <t xml:space="preserve">Collateral Value Allocated to the Responsibility </t>
  </si>
  <si>
    <t>appraisal_amount_allocated</t>
  </si>
  <si>
    <t>Value of the collaterals apportionment in the current guarantee (collateral_appraise_val * collateral_guarantee_apportionment_perc).</t>
  </si>
  <si>
    <t>Montante da avaliação atribuido á responsabilidade (MAVALIA * PERC_RATEIO)</t>
  </si>
  <si>
    <t>MAVALIAA</t>
  </si>
  <si>
    <t>SELECT  IF(TRIM(GT018_RATEIO_AVAL.MAVALIAA) = '', NULL, GT018_RATEIO_AVAL.MAVALIAA)</t>
  </si>
  <si>
    <t>Collateral Coverage Percentage</t>
  </si>
  <si>
    <t>collateral_coverage_pct</t>
  </si>
  <si>
    <t>Percentage of the collateral's coverage of the current guarantee (collateral_guarantee_val / total_credit_balance_val)*100.</t>
  </si>
  <si>
    <t>Percentagem de cobertura (MAVALIAA / MSLDREAL)*100</t>
  </si>
  <si>
    <t>PER_COBERT</t>
  </si>
  <si>
    <t>SELECT  IF(TRIM(GT018_RATEIO_AVAL.PER_COBERT) = '', NULL, GT018_RATEIO_AVAL.PER_COBERT)</t>
  </si>
  <si>
    <t>Contract Unique ID</t>
  </si>
  <si>
    <t>contract_unique_id</t>
  </si>
  <si>
    <t>Unique responsibility identifier based on key fields</t>
  </si>
  <si>
    <t>Identificador da responsabilidade unívoca com base nos campos chave</t>
  </si>
  <si>
    <t>ID_CONTRATO</t>
  </si>
  <si>
    <t>Initial Guarantee Coverage Percentage</t>
  </si>
  <si>
    <t>guarantee_ini_coverage_pct</t>
  </si>
  <si>
    <t>Initial percentage of process coverage</t>
  </si>
  <si>
    <t>Percentagem inicial de cobertura do processo</t>
  </si>
  <si>
    <t>PER_COBERT_INI_PROC</t>
  </si>
  <si>
    <t>Initial Collateral Coverage Percentage</t>
  </si>
  <si>
    <t>collateral_ini_coverage_pct</t>
  </si>
  <si>
    <t>Percentagem inicial de cobertura do colateral</t>
  </si>
  <si>
    <t>PER_COBERT_INI_BEM</t>
  </si>
  <si>
    <t>Acquisition Price</t>
  </si>
  <si>
    <t>acquisition_price</t>
  </si>
  <si>
    <t>Purchase Price</t>
  </si>
  <si>
    <t>Preço de aquisição</t>
  </si>
  <si>
    <t>PRECO_AQUISIMOVEL</t>
  </si>
  <si>
    <t>Acquisition Date</t>
  </si>
  <si>
    <t>acquisition_date</t>
  </si>
  <si>
    <t>Purchase Date</t>
  </si>
  <si>
    <t>Data de aquisição</t>
  </si>
  <si>
    <t>DATA_AQUISIMOVEL</t>
  </si>
  <si>
    <t>Acquisition Price Source system</t>
  </si>
  <si>
    <t>source_acquisition_price</t>
  </si>
  <si>
    <t>Acquisition Price Origin System</t>
  </si>
  <si>
    <t>Sistema de origem do preço de aquisição</t>
  </si>
  <si>
    <t>ORIGEM_PRECOAQUIS</t>
  </si>
  <si>
    <t>Source Code</t>
  </si>
  <si>
    <t>source_code</t>
  </si>
  <si>
    <t>Tec - Code</t>
  </si>
  <si>
    <t>Identifier of the Santander's application that generated the information.</t>
  </si>
  <si>
    <t>Codigo ID sistema origem da garantia (CS, GP, Lease)</t>
  </si>
  <si>
    <t>Source:
?</t>
  </si>
  <si>
    <t>ORIGEM</t>
  </si>
  <si>
    <t>SELECT  IF(TRIM(GT018_RATEIO_AVAL.ORIGEM) = '', NULL, GT018_RATEIO_AVAL.ORIGEM)</t>
  </si>
  <si>
    <t>SELECT  GT018_RATEIO_AVAL.REF_DATE</t>
  </si>
  <si>
    <t>SELECT  NOW()</t>
  </si>
  <si>
    <t>Financial Guarantee's Collaterals</t>
  </si>
  <si>
    <t>financial_collateral</t>
  </si>
  <si>
    <t>Internal Santander's financial collateral bank identifier (previously known as CEMPRESA).</t>
  </si>
  <si>
    <t>MIGRATION_BUSINESS_MUG</t>
  </si>
  <si>
    <t>GT004_BENS_FIN</t>
  </si>
  <si>
    <t>SELECT IF(TRIM(GT004_BENS_FIN.CEMPBEM) = '', NULL, GT004_BENS_FIN.CEMPBEM)</t>
  </si>
  <si>
    <t>Collateral's Branch Code</t>
  </si>
  <si>
    <t>Code of the collateral's branch to which the product's contract belongs to.</t>
  </si>
  <si>
    <t>SELECT IF(TRIM(GT004_BENS_FIN.CKBALBEM) = '', NULL, GT004_BENS_FIN.CKBALBEM)</t>
  </si>
  <si>
    <t>Conta do bem</t>
  </si>
  <si>
    <t xml:space="preserve">SELECT IF(TRIM(CONCAT(GT004_BENS_FIN.CKBALBEM, GT004_BENS_FIN.CKCTABEM, GT004_BENS_FIN.CKREFBEM)) = '', NULL,CONCAT(GT004_BENS_FIN.CKBALBEM, GT004_BENS_FIN.CKCTABEM, GT004_BENS_FIN.CKREFBEM)) </t>
  </si>
  <si>
    <t>Collateral's Reference Code</t>
  </si>
  <si>
    <t>Código de referência do bem</t>
  </si>
  <si>
    <t>SELECT IF(TRIM(GT004_BENS_FIN.CKREFBEM) = '', NULL, GT004_BENS_FIN.CKREFBEM)</t>
  </si>
  <si>
    <t>SELECT IF(TRIM(GT004_BENS_FIN.CGARANT_BEM) = '', NULL, GT004_BENS_FIN.CGARANT_BEM)</t>
  </si>
  <si>
    <t>collateral_holder</t>
  </si>
  <si>
    <t>DETENTOR_BEM</t>
  </si>
  <si>
    <t>SELECT IF(TRIM(GT004_BENS_FIN.DETENTOR_BEM) = '', NULL, GT004_BENS_FIN.DETENTOR_BEM)</t>
  </si>
  <si>
    <t>SELECT GT004_BENS_FIN.REF_DATE</t>
  </si>
  <si>
    <t>Guarantee</t>
  </si>
  <si>
    <t>guarantee</t>
  </si>
  <si>
    <t>GT002_GRNT_PRC</t>
  </si>
  <si>
    <t>SELECT IF(TRIM(GT002_GRNT_PRC.CEMPRESA) = '', NULL, GT002_GRNT_PRC.CEMPRESA)</t>
  </si>
  <si>
    <t>Código do balcão da Conta ID da Garantia</t>
  </si>
  <si>
    <t>SELECT IF(TRIM(GT002_GRNT_PRC.CKBALCAO) = '', NULL, GT002_GRNT_PRC.CKBALCAO)</t>
  </si>
  <si>
    <t>Número de Conta ID da Garantia</t>
  </si>
  <si>
    <t>SELECT IF(TRIM(GT002_GRNT_PRC.CKNUMCTA) = '', NULL, GT002_GRNT_PRC.CKNUMCTA)</t>
  </si>
  <si>
    <t>Número ID da Caução / Versão GP / ID garantia Lease</t>
  </si>
  <si>
    <t>SELECT IF(TRIM(GT002_GRNT_PRC.COMP_ID_GAR) = '', NULL,GT002_GRNT_PRC.COMP_ID_GAR)</t>
  </si>
  <si>
    <t>Product Lvl 1 ID</t>
  </si>
  <si>
    <t>guarantee_product_id</t>
  </si>
  <si>
    <t>Ext Inf - Guar Inf - ID</t>
  </si>
  <si>
    <t xml:space="preserve">Identifier of the level one product. </t>
  </si>
  <si>
    <t>Código produto ID Garantia</t>
  </si>
  <si>
    <t>CKPRODUT</t>
  </si>
  <si>
    <t>SELECT IF(TRIM(GT002_GRNT_PRC.CKPRODUT) = '', NULL ,GT002_GRNT_PRC.CKPRODUT)</t>
  </si>
  <si>
    <t>Product Lvl 2 ID</t>
  </si>
  <si>
    <t>guarantee_subproduct_id</t>
  </si>
  <si>
    <t>Identifier of the level two product (subproduct).</t>
  </si>
  <si>
    <t>Código sub-produto ID Garantia</t>
  </si>
  <si>
    <t>CKSUBPRO</t>
  </si>
  <si>
    <t>SELECT IF(TRIM(GT002_GRNT_PRC.CKSUBPRO) = '', NULL, GT002_GRNT_PRC.CKSUBPRO)</t>
  </si>
  <si>
    <t>Guarantee Type Code</t>
  </si>
  <si>
    <t>guarantee_type_code</t>
  </si>
  <si>
    <t>Code of the Guarantee's type (e.g.: E - Específica; G - Genérica).</t>
  </si>
  <si>
    <t>Codigo tipo caução (E - especifica ; G - Generica)</t>
  </si>
  <si>
    <t>Guarantee Type:
?</t>
  </si>
  <si>
    <t>SELECT
        CASE
		WHEN GT002_GRNT_PRC.ORIGEM IN ('CS', 'LEA', 'FAC') THEN IF(TRIM(GT002_GRNT_PRC.CTIPOCS) = '', NULL, GT002_GRNT_PRC.CTIPOCS)
		ELSE '#N/A'
	END</t>
  </si>
  <si>
    <t>Guarantee Code</t>
  </si>
  <si>
    <t>guarantee_code</t>
  </si>
  <si>
    <t>Code of the colalteral type of the guarantee.</t>
  </si>
  <si>
    <t>Código de garantia</t>
  </si>
  <si>
    <t>SELECT IF(TRIM(GT002_GRNT_PRC.CGARANT) = '', NULL, GT002_GRNT_PRC.CGARANT)</t>
  </si>
  <si>
    <t>Guarantee Campaign Code</t>
  </si>
  <si>
    <t>guarantee_campaign_code</t>
  </si>
  <si>
    <t>Code of the guarantee's campaign, if applicable.</t>
  </si>
  <si>
    <t>Código da campanha da garantia, se aplicável.</t>
  </si>
  <si>
    <t>Guarantee Campaign:
?</t>
  </si>
  <si>
    <t>COBSERV</t>
  </si>
  <si>
    <t>SELECT 
       CASE
		WHEN GT002_GRNT_PRC.ORIGEM = 'GP' THEN IF(TRIM(GT002_GRNT_PRC.COBSERV) = '', NULL, GT002_GRNT_PRC.COBSERV)
		ELSE '#N/A'
	END</t>
  </si>
  <si>
    <t>Currency Code</t>
  </si>
  <si>
    <t>currency_code</t>
  </si>
  <si>
    <t>Code of the transaction currency.</t>
  </si>
  <si>
    <t>Código de moeda</t>
  </si>
  <si>
    <t>Currency:
TAT91_TABELAS - CTABELA 206; CURATED_INTERNAL_MAINFRAME_ESTRUTURAIS.TAT91_TABELAS - TAYD91C0_CTABELA 206</t>
  </si>
  <si>
    <t>SELECT IF(TRIM(GT002_GRNT_PRC.CMOEDA) = '', NULL, GT002_GRNT_PRC.CMOEDA)</t>
  </si>
  <si>
    <t>Guarantee Start Date</t>
  </si>
  <si>
    <t>guarantee_start_date</t>
  </si>
  <si>
    <t>Opening date of the Guarantee.</t>
  </si>
  <si>
    <t>Data de abertura da caução</t>
  </si>
  <si>
    <t>DABERTUR</t>
  </si>
  <si>
    <t>SELECT IF(TRIM(GT002_GRNT_PRC.DABERTUR) = '', NULL, GT002_GRNT_PRC.DABERTUR)</t>
  </si>
  <si>
    <t>Guarantee's Due Date</t>
  </si>
  <si>
    <t>guarantee_due_date</t>
  </si>
  <si>
    <t>Due date of the Guarantee.</t>
  </si>
  <si>
    <t>Data de vencimento da caução</t>
  </si>
  <si>
    <t>DVENCIM</t>
  </si>
  <si>
    <t>SELECT IF(TRIM(GT002_GRNT_PRC.DVENCIM) = '', NULL, GT002_GRNT_PRC.DVENCIM)</t>
  </si>
  <si>
    <t>SELECT IF(TRIM(GT002_GRNT_PRC.ORIGEM) = '', NULL, GT002_GRNT_PRC.ORIGEM)</t>
  </si>
  <si>
    <t>SELECT GT002_GRNT_PRC.REF_DATE</t>
  </si>
  <si>
    <t>Financial Collaterals and Guarantees Relation</t>
  </si>
  <si>
    <t>guarantee_financial_collat_rel</t>
  </si>
  <si>
    <t>GT003_TRZ_GT_FIN</t>
  </si>
  <si>
    <t xml:space="preserve">SELECT IF(TRIM(GT003_TRZ_GT_FIN.CEMPRESA) = '', NULL, GT003_TRZ_GT_FIN.CEMPRESA) </t>
  </si>
  <si>
    <t xml:space="preserve">SELECT IF(TRIM(GT003_TRZ_GT_FIN.CKBALCAO) = '', NULL, GT003_TRZ_GT_FIN.CKBALCAO) </t>
  </si>
  <si>
    <t>SELECT IF(TRIM(GT003_TRZ_GT_FIN.CKNUMCTA) = '', NULL, GT003_TRZ_GT_FIN.CKNUMCTA)</t>
  </si>
  <si>
    <t>SELECT IF(TRIM(GT003_TRZ_GT_FIN.COMP_ID_GAR) = '', NULL, GT003_TRZ_GT_FIN.COMP_ID_GAR)</t>
  </si>
  <si>
    <t>Código de empresa da Garantia Financeira</t>
  </si>
  <si>
    <t>SELECT IF(TRIM(GT003_TRZ_GT_FIN.CEMPBEM) = '', NULL, GT003_TRZ_GT_FIN.CEMPBEM)</t>
  </si>
  <si>
    <t>Código do balcão da Garantia Financeira</t>
  </si>
  <si>
    <t>SELECT IF(TRIM(GT003_TRZ_GT_FIN.CKBALBEM) = '', NULL, GT003_TRZ_GT_FIN.CKBALBEM)</t>
  </si>
  <si>
    <t>Número de Conta da Garantia Financeira</t>
  </si>
  <si>
    <t>SELECT IF(TRIM(CONCAT(GT003_TRZ_GT_FIN.CKBALBEM, GT003_TRZ_GT_FIN.CKCTABEM, GT003_TRZ_GT_FIN.CKREFBEM)) = '', NULL, CONCAT(GT003_TRZ_GT_FIN.CKBALBEM, GT003_TRZ_GT_FIN.CKCTABEM, GT003_TRZ_GT_FIN.CKREFBEM))</t>
  </si>
  <si>
    <t>Número depósito da Garantia Financeira</t>
  </si>
  <si>
    <t>SELECT IF(TRIM(GT003_TRZ_GT_FIN.CKREFBEM) = '', NULL, GT003_TRZ_GT_FIN.CKREFBEM</t>
  </si>
  <si>
    <t>Código de garantia de reporte</t>
  </si>
  <si>
    <t>SELECT IF(TRIM(GT003_TRZ_GT_FIN.CGARANT_RPT) = '', NULL, GT003_TRZ_GT_FIN.CGARANT_RPT</t>
  </si>
  <si>
    <t xml:space="preserve">SELECT IF(TRIM(GT003_TRZ_GT_FIN.CTRATCTA) = '', NULL, GT003_TRZ_GT_FIN.CTRATCTA) </t>
  </si>
  <si>
    <t>Security Custodian Code</t>
  </si>
  <si>
    <t>security_custodian_code</t>
  </si>
  <si>
    <t>Ext Inf - Sec Collateral Con Inf - Code</t>
  </si>
  <si>
    <t>Code of the collateral's securities depository owner.</t>
  </si>
  <si>
    <t>Codigo do depositário de titulos</t>
  </si>
  <si>
    <t>CDEPOSIT</t>
  </si>
  <si>
    <t>SELECT CASE 
			WHEN GT003_TRZ_GT_FIN.CTRATCTA = '10' THEN IF(TRIM(GT003_TRZ_GT_FIN.CDEPOSIT) = '', NULL, GT003_TRZ_GT_FIN.CDEPOSIT) 
			ELSE '#N/A'</t>
  </si>
  <si>
    <t>Código de natureza do titulo</t>
  </si>
  <si>
    <t>SELECT  CASE 
			WHEN GT003_TRZ_GT_FIN.CTRATCTA = '10' THEN IF(TRIM(GT003_TRZ_GT_FIN.CNATUR) = '', NULL, GT003_TRZ_GT_FIN.CNATUR) 
			ELSE '#N/A'</t>
  </si>
  <si>
    <t>Number of Holdings in collateral</t>
  </si>
  <si>
    <t>participation_units_number</t>
  </si>
  <si>
    <t>Ext Inf - Sec collateral Inf - Value</t>
  </si>
  <si>
    <t>Volume of FU and FT securities in the portfolio pledged as collateral.</t>
  </si>
  <si>
    <t>Quantidade Unidades de Participação cativa em garantias FU e TT</t>
  </si>
  <si>
    <t>QCATIVO</t>
  </si>
  <si>
    <t>SELECT IF(TRIM(GT003_TRZ_GT_FIN.QCATIVO) = '', NULL, GT003_TRZ_GT_FIN.QCATIVO)</t>
  </si>
  <si>
    <t>Collateral Value</t>
  </si>
  <si>
    <t>captive_amount</t>
  </si>
  <si>
    <t>Captive value of the portfolio pledged as collateral in local currency.</t>
  </si>
  <si>
    <t>Montante cativo na moeda local</t>
  </si>
  <si>
    <t>MVALCAT_ME</t>
  </si>
  <si>
    <t>SELECT IF(TRIM(GT003_TRZ_GT_FIN.MVALCAT_ME) = '', NULL, GT003_TRZ_GT_FIN.MVALCAT_ME)</t>
  </si>
  <si>
    <t>Collateral Origin Currency Value</t>
  </si>
  <si>
    <t>captive_original_amount</t>
  </si>
  <si>
    <t>Captive value of the portfolio pledged as collateral in original currency.</t>
  </si>
  <si>
    <t>Montante cativo em garantias com origem DO/CRP, DP, SG</t>
  </si>
  <si>
    <t>MVALCAT</t>
  </si>
  <si>
    <t>SELECT IF(TRIM(GT003_TRZ_GT_FIN.MVALCAT) = '', NULL, GT003_TRZ_GT_FIN.MVALCAT)</t>
  </si>
  <si>
    <t>Insurance Company Code</t>
  </si>
  <si>
    <t>insurance_company_code</t>
  </si>
  <si>
    <t>Ext Inf - Ins collateral Inf - Code</t>
  </si>
  <si>
    <t>Code of the insurance company collateral .</t>
  </si>
  <si>
    <t>Codigo da seguradora</t>
  </si>
  <si>
    <t>CSEGDORA</t>
  </si>
  <si>
    <t>SELECT CASE 
			WHEN GT003_TRZ_GT_FIN.CTRATCTA = '12' THEN IF(TRIM(GT003_TRZ_GT_FIN.CSEGDORA) = '', NULL, GT003_TRZ_GT_FIN.CSEGDORA) 
			ELSE '#N/A'</t>
  </si>
  <si>
    <t>Código da apolice de seguro dada como garantia</t>
  </si>
  <si>
    <t>SELECT CASE 
			WHEN GT003_TRZ_GT_FIN.CTRATCTA = '12' THEN IF(TRIM(GT003_TRZ_GT_FIN.CAPOLICE) = '', NULL, GT003_TRZ_GT_FIN.CAPOLICE) 
			ELSE '#N/A'</t>
  </si>
  <si>
    <t>Insurance Coverage Rate</t>
  </si>
  <si>
    <t>insurance_coverage_rate</t>
  </si>
  <si>
    <t>Ext Inf - Ins collateral Inf - Value</t>
  </si>
  <si>
    <t>Collateral insurance coverage rate.</t>
  </si>
  <si>
    <t>Taxa de cobertura do seguro</t>
  </si>
  <si>
    <t>TGRAUCOB</t>
  </si>
  <si>
    <t>SELECT IF(TRIM(GT003_TRZ_GT_FIN.TGRAUCOB) = '', NULL, GT003_TRZ_GT_FIN.TGRAUCOB)</t>
  </si>
  <si>
    <t>Collateral's Captive ID</t>
  </si>
  <si>
    <t>captive_id</t>
  </si>
  <si>
    <t>Ext Inf - collateral Inf - ID</t>
  </si>
  <si>
    <t>Code of the captive.</t>
  </si>
  <si>
    <t>Numero do cativo</t>
  </si>
  <si>
    <t>ZCATCTA</t>
  </si>
  <si>
    <t>SELECT IF(TRIM(GT003_TRZ_GT_FIN.ZCATCTA) = '', NULL, CAST(GT003_TRZ_GT_FIN.ZCATCTA AS STRING))</t>
  </si>
  <si>
    <t>Relationship Start Date</t>
  </si>
  <si>
    <t>relation_start_date</t>
  </si>
  <si>
    <t>Ext Inf - collateral Inf - Date</t>
  </si>
  <si>
    <t>Start date of the relation between the Guarantee and the captive.</t>
  </si>
  <si>
    <t>Data inicio do relação</t>
  </si>
  <si>
    <t>DINI_REL</t>
  </si>
  <si>
    <t xml:space="preserve">Effective Relationship End Date </t>
  </si>
  <si>
    <t>effective_relation_end_date</t>
  </si>
  <si>
    <t>Ext Inf - Collateral Inf - Date</t>
  </si>
  <si>
    <t>Initilly agreed end date of the relation between the Guarantee and the captive.</t>
  </si>
  <si>
    <t>Data fim relação efetivo</t>
  </si>
  <si>
    <t>DFIM_REL_EFEC</t>
  </si>
  <si>
    <t>Established Relationship End Date</t>
  </si>
  <si>
    <t>established_relation_end_date</t>
  </si>
  <si>
    <t>Initially agreed end date of the relation between the guarantee and the captive.</t>
  </si>
  <si>
    <t>Data fim de relação previsto</t>
  </si>
  <si>
    <t>DFIM_REL_PREV</t>
  </si>
  <si>
    <t>SELECT IF(TRIM(GT003_TRZ_GT_FIN.ORIGEM) = '', NULL, ORIGEM)</t>
  </si>
  <si>
    <t>SELECT GT003_TRZ_GT_FIN.REF_DATE</t>
  </si>
  <si>
    <t>Personal Collaterals and Guarantees Relation</t>
  </si>
  <si>
    <t>guarantee_personal_collat_rel</t>
  </si>
  <si>
    <t>GT007_TRZ_GT_PES</t>
  </si>
  <si>
    <t>SELECT IF(TRIM(GT007_TRZ_GT_PES.CEMPRESA)='', NULL, GT007_TRZ_GT_PES.CEMPRESA)</t>
  </si>
  <si>
    <t>SELECT IF(TRIM(GT007_TRZ_GT_PES.CKBALCAO)='', NULL, GT007_TRZ_GT_PES.CKBALCAO)</t>
  </si>
  <si>
    <t>SELECT IF(TRIM(GT007_TRZ_GT_PES.CKNUMCTA)='', NULL,  GT007_TRZ_GT_PES.CKNUMCTA)</t>
  </si>
  <si>
    <t>SELECT IF(TRIM(GT007_TRZ_GT_PES.COMP_ID_GAR)='', NULL, GT007_TRZ_GT_PES.COMP_ID_GAR)</t>
  </si>
  <si>
    <t>Internal Santander's personal collateral bank identifier (previously known as CEMPRESA).</t>
  </si>
  <si>
    <t>Código de empresa da Garantia Pessoal</t>
  </si>
  <si>
    <t>SELECT IF(TRIM(GT007_TRZ_GT_PES.CEMPBEM)='', NULL, GT007_TRZ_GT_PES.CEMPBEM)</t>
  </si>
  <si>
    <t>Código do balcão da Garantia Pessoal</t>
  </si>
  <si>
    <t>SELECT IF(TRIM(GT007_TRZ_GT_PES.CKBALBEM)='', NULL, GT007_TRZ_GT_PES.CKBALBEM)</t>
  </si>
  <si>
    <t>Número de Conta da Garantia Pessoal</t>
  </si>
  <si>
    <t>SELECT IF(TRIM(CONCAT(GT007_TRZ_GT_PES.CKBALBEM, GT007_TRZ_GT_PES.CKCTABEM, GT007_TRZ_GT_PES.CKREFBEM))='', NULL, CONCAT(GT007_TRZ_GT_PES.CKBALBEM, GT007_TRZ_GT_PES.CKCTABEM, GT007_TRZ_GT_PES.CKREFBEM))</t>
  </si>
  <si>
    <t>Número depósito da Garantia Pessoal</t>
  </si>
  <si>
    <t>SELECT IF(TRIM(GT007_TRZ_GT_PES.CKREFBEM) = '', NULL, GT007_TRZ_GT_PES.CKREFBEM)</t>
  </si>
  <si>
    <t>SELECT IF(TRIM(GT007_TRZ_GT_PES.ZCLIENTE)='', NULL, GT007_TRZ_GT_PES.ZCLIENTE)</t>
  </si>
  <si>
    <t>Interventining Type Code</t>
  </si>
  <si>
    <t>intervening_type_code</t>
  </si>
  <si>
    <t>Ext Inf - Pers collateral Con Inf - Code</t>
  </si>
  <si>
    <t>Code of the personal collateral internvention type guarantee (e.g.: 0 - Avalista; F - Fiador; etc.).</t>
  </si>
  <si>
    <t>Código tipo de intervenção  (0 - Avalista / F - Fiador / etc.) - T007</t>
  </si>
  <si>
    <t>Interventining Type:
?</t>
  </si>
  <si>
    <t>CINTERV</t>
  </si>
  <si>
    <t>SELECT IF(TRIM(GT007_TRZ_GT_PES.CINTERV)='', NULL, GT007_TRZ_GT_PES.CINTERV)</t>
  </si>
  <si>
    <t xml:space="preserve">Comfort Letter Level Code </t>
  </si>
  <si>
    <t>comfort_letter_level_code</t>
  </si>
  <si>
    <t>Code for the level of assurance in the comfort letter (e.g.: 01 - Fraco; 02 - Média; 03 - Forte; 04 - Mt forte)</t>
  </si>
  <si>
    <t>Cod. ID Confort Letter (01-Fraco;02-Média;03-Forte;04-Mt forte)</t>
  </si>
  <si>
    <t>Comfort Letter Level:
?</t>
  </si>
  <si>
    <t>SELECT  CASE
			WHEN GT007_TRZ_GT_PES.CGARANT_RPT IN ('304', '308', '309', '321') THEN IF(TRIM(GT007_TRZ_GT_PES.CTIPCFLET) = '', NULL, GT007_TRZ_GT_PES.CTIPCFLET) 
			ELSE '#N/A'</t>
  </si>
  <si>
    <t>Código da tipologia de garanti da gt002</t>
  </si>
  <si>
    <t>SELECT IF(TRIM(GT007_TRZ_GT_PES.CGARANT_RPT) = '', NULL, GT007_TRZ_GT_PES.CGARANT_RPT)</t>
  </si>
  <si>
    <t>Appraiser Type Code</t>
  </si>
  <si>
    <t>appraisal_type_code</t>
  </si>
  <si>
    <t>Code for the type of appraise, underlying the guarantee (e.g.: 1 - Pleno; 2 - Condicionado).</t>
  </si>
  <si>
    <t>Cod. ID tipo de aval subjacente á garantia (1-Pleno / 2-Condicionado)</t>
  </si>
  <si>
    <t>Appraiser Type:
?</t>
  </si>
  <si>
    <t>CTIPAVAL</t>
  </si>
  <si>
    <t>SELECT CASE
			WHEN origem = 'EP' THEN '#N/A'
			WHEN origem = 'CS' THEN IF(TRIM(GT007_TRZ_GT_PES.CTIPAVAL) = '', NULL, GT007_TRZ_GT_PES.CTIPAVAL)
			WHEN origem = 'EFEITOS' THEN '#N/A'
			WHEN origem = 'PARTENON' THEN '#N/A'
			WHEN origem = 'GP' THEN '#N/A'
			WHEN origem = 'FAC' THEN '#N/A'
			WHEN origem = 'LEA' THEN '#N/A'</t>
  </si>
  <si>
    <t>Start date of the relation between the Guarantee and personal collateral pledged as collateral.</t>
  </si>
  <si>
    <t>Effective end date of the relation between the guarantee and personal collateral as pledged collateral.</t>
  </si>
  <si>
    <t>Initially agreed end date of the relation between the guarantee and the collateral.</t>
  </si>
  <si>
    <t>Collateral's Guarantee Coverage Rate</t>
  </si>
  <si>
    <t>Coverage rate of the personal collateral of the total guarantee.</t>
  </si>
  <si>
    <t>Percentagem de cobertura</t>
  </si>
  <si>
    <t>PERCCOB</t>
  </si>
  <si>
    <t>SELECT IF(TRIM(GT007_TRZ_GT_PES.PERCCOB) = '', NULL, GT007_TRZ_GT_PES.PERCCOB)</t>
  </si>
  <si>
    <t>Intervention Order Number</t>
  </si>
  <si>
    <t>intervention_order_num</t>
  </si>
  <si>
    <t>Int inf - collateral - Value</t>
  </si>
  <si>
    <t>Number of the intervention order.</t>
  </si>
  <si>
    <t>Sequenciador de intervenção</t>
  </si>
  <si>
    <t>ZINTERV</t>
  </si>
  <si>
    <t>SELECT IF(TRIM(GT007_TRZ_GT_PES.ZINTERV) = '', NULL, GT007_TRZ_GT_PES.ZINTERV)</t>
  </si>
  <si>
    <t>SELECT IF(TRIM(GT007_TRZ_GT_PES.ORIGEM)='', NULL, GT007_TRZ_GT_PES.ORIGEM)</t>
  </si>
  <si>
    <t>SELECT GT007_TRZ_GT_PES.REF_DATE</t>
  </si>
  <si>
    <t>Real Estate Collaterals and Guarantees Relation</t>
  </si>
  <si>
    <t>guarantee_real_estate_collat_rel</t>
  </si>
  <si>
    <t>GT008_TRZ_GT_IMV</t>
  </si>
  <si>
    <t xml:space="preserve">SELECT IF(TRIM(GT008_TRZ_GT_IMV.CEMPRESA) = '', NULL, GT008_TRZ_GT_IMV.CEMPRESA) </t>
  </si>
  <si>
    <t>SELECT IF(TRIM(GT008_TRZ_GT_IMV.CKBALCAO) = '', NULL, GT008_TRZ_GT_IMV.CKBALCAO)</t>
  </si>
  <si>
    <t xml:space="preserve">SELECT IF(TRIM(GT008_TRZ_GT_IMV.CKNUMCTA) = '', NULL, GT008_TRZ_GT_IMV.CKNUMCTA) </t>
  </si>
  <si>
    <t xml:space="preserve">SELECT IF(TRIM(GT008_TRZ_GT_IMV.COMP_ID_GAR) = '', NULL, GT008_TRZ_GT_IMV.COMP_ID_GAR) </t>
  </si>
  <si>
    <t>Internal Santander's real estate collateral bank identifier (previously known as CEMPRESA).</t>
  </si>
  <si>
    <t>Codigo de empresa do bem</t>
  </si>
  <si>
    <t>SELECT IF(TRIM(GT008_TRZ_GT_IMV.CEMPBEM = '', NULL, GT008_TRZ_GT_IMV.CEMPBEM)</t>
  </si>
  <si>
    <t>Código do balcão do Bem</t>
  </si>
  <si>
    <t xml:space="preserve">SELECT IF(TRIM(GT008_TRZ_GT_IMV.CKBALBEM) = '', NULL, GT008_TRZ_GT_IMV.CKBALBEM) </t>
  </si>
  <si>
    <t>Número de Conta do Bem</t>
  </si>
  <si>
    <t>SELECT IF(TRIM(CONCAT(GT008_TRZ_GT_IMV.CKBALBEM, GT008_TRZ_GT_IMV.CKCTABEM, GT008_TRZ_GT_IMV.CKREFBEM)) = '', NULL, CONCAT(GT008_TRZ_GT_IMV.CKBALBEM, GT008_TRZ_GT_IMV.CKCTABEM, GT008_TRZ_GT_IMV.CKREFBEM))</t>
  </si>
  <si>
    <t>Número de bem</t>
  </si>
  <si>
    <t xml:space="preserve">SELECT IF(TRIM(GT008_TRZ_GT_IMV.CKREFBEMGT008_TRZ_GT_IMV.CKREFBEM) = '', NULL, GT008_TRZ_GT_IMV.CKREFBEM) </t>
  </si>
  <si>
    <t>Collateral Obligations Status Code</t>
  </si>
  <si>
    <t>collateral_oblig_status_code</t>
  </si>
  <si>
    <t>Code for the current status of the real estate collateral credit obligations to its credit financial institution.</t>
  </si>
  <si>
    <t xml:space="preserve">Cód.de situação do bem relativo à instituição de crédito     </t>
  </si>
  <si>
    <t>Collateral Obligations Status:
?</t>
  </si>
  <si>
    <t>CSITBEMIC</t>
  </si>
  <si>
    <t>SELECT CASE 
		WHEN GT008_TRZ_GT_IMV.ORIGEM= 'CS' THEN '#N/A'
		WHEN GT008_TRZ_GT_IMV.ORIGEM = 'GP' THEN IF(TRIM(GT008_TRZ_GT_IMV.CSITBEMIC) = '', NULL, GT008_TRZ_GT_IMV.CSITBEMIC)
		WHEN GT008_TRZ_GT_IMV.ORIGEM= 'LEA' THEN '#N/A'
END</t>
  </si>
  <si>
    <t>Código de garantia imóvel</t>
  </si>
  <si>
    <t>SELECT IF(TRIM(GT008_TRZ_GT_IMV.CGARANT_RPT) = '', NULL, GT008_TRZ_GT_IMV.CGARANT_RPT)</t>
  </si>
  <si>
    <t>Start date of the relation between the Guarantee and real estate collateral pledged as collateral.</t>
  </si>
  <si>
    <t>Data inicio relação</t>
  </si>
  <si>
    <t>Effective end date of the relation between the Guarantee and personal collateral pledged as collateral.</t>
  </si>
  <si>
    <t>Data fim relacão efetivo</t>
  </si>
  <si>
    <t>Start date of the relation between the Guarantee and real estate collateral as pledged collateral.</t>
  </si>
  <si>
    <t>Coverage rate of the real estate collateral of the total guarantee.</t>
  </si>
  <si>
    <t>SELECT IF(TRIM(GT008_TRZ_GT_IMV.PERCCOB) = '', NULL, GT008_TRZ_GT_IMV.PERCCOB)</t>
  </si>
  <si>
    <t>Codigo identificador sistema origem do Bem (CS, GP, Lease)</t>
  </si>
  <si>
    <t>SELECT IF(TRIM(GT008_TRZ_GT_IMV.ORIGEM) = '', NULL, GT008_TRZ_GT_IMV.ORIGEM)</t>
  </si>
  <si>
    <t>SELECT GT008_TRZ_GT_IMV.REF_DATE</t>
  </si>
  <si>
    <t>Historic Value Apraise</t>
  </si>
  <si>
    <t>hist_value_appraise</t>
  </si>
  <si>
    <t>Real Estate Appraise</t>
  </si>
  <si>
    <t>real_estate_appraise</t>
  </si>
  <si>
    <t>GT011_AVALC_IMOV</t>
  </si>
  <si>
    <t>SELECT IF(TRIM(GT011_AVALC_IMOV.CEMPBEM) = '', NULL, GT011_AVALC_IMOV.CEMPBEM)</t>
  </si>
  <si>
    <t>SELECT IF(TRIM(GT011_AVALC_IMOV.CKBALBEM) = '', NULL, GT011_AVALC_IMOV.CKBALBEM)</t>
  </si>
  <si>
    <t>SELECT IF(TRIM(CONCAT(GT011_AVALC_IMOV.CKBALBEM, GT011_AVALC_IMOV.CKCTABEM, GT011_AVALC_IMOV.CKREFBEM)) = '', NULL, CONCAT(GT011_AVALC_IMOV.CKBALBEM, GT011_AVALC_IMOV.CKCTABEM, GT011_AVALC_IMOV.CKREFBEM))</t>
  </si>
  <si>
    <t>SELECT IF(TRIM(GT011_AVALC_IMOV.CKREFBEM) = '', NULL, GT011_AVALC_IMOV.CKREFBEM)</t>
  </si>
  <si>
    <t>Collateral's Appraise Date</t>
  </si>
  <si>
    <t>appraisal_date</t>
  </si>
  <si>
    <t>Date of the real estate collaterals' appraise.</t>
  </si>
  <si>
    <t>Data da avaliação</t>
  </si>
  <si>
    <t>DAVALIA</t>
  </si>
  <si>
    <t>SELECT IF(TRIM(GT011_AVALC_IMOV.DAVALIA) = '', NULL, GT011_AVALC_IMOV.DAVALIA)</t>
  </si>
  <si>
    <t>Ext Inf - Sec Dep Con Inf - ID</t>
  </si>
  <si>
    <t>SELECT IF(TRIM(GT011_AVALC_IMOV.CEMPRESA) = '', NULL, GT011_AVALC_IMOV.CEMPRESA)</t>
  </si>
  <si>
    <t>Ext Inf - Sec Dep Con Inf - Code</t>
  </si>
  <si>
    <t>SELECT IF(TRIM(GT011_AVALC_IMOV.CKBALCAO) = '', NULL, GT011_AVALC_IMOV.CKBALCAO)</t>
  </si>
  <si>
    <t>SELECT IF(TRIM(GT011_AVALC_IMOV.CKNUMCTA) = '', NULL, GT011_AVALC_IMOV.CKNUMCTA)</t>
  </si>
  <si>
    <t>SELECT IF(TRIM(GT011_AVALC_IMOV.COMP_ID_GAR) = '', NULL, GT011_AVALC_IMOV.COMP_ID_GAR)</t>
  </si>
  <si>
    <t>Collateral Lifetime Code</t>
  </si>
  <si>
    <t>collateral_lifetime_code</t>
  </si>
  <si>
    <t>Ext Inf - Real Est Appr Inf - Code</t>
  </si>
  <si>
    <t>Code for the lifetime of the real estate collateral.</t>
  </si>
  <si>
    <t xml:space="preserve">Código da idade do bem         </t>
  </si>
  <si>
    <t>Collateral Lifetime:
?</t>
  </si>
  <si>
    <t>CIDADEPRED</t>
  </si>
  <si>
    <t>SELECT CASE 
            WHEN GT011_AVALC_IMOV.CORAVGP = 'G39' THEN IF(TRIM(GT011_AVALC_IMOV.CIDADEPRED) = '', NULL, GT011_AVALC_IMOV.CIDADEPRED) 
            ELSE '#N/A'</t>
  </si>
  <si>
    <t>appraisal_amount</t>
  </si>
  <si>
    <t>Value of the resulting real estate collateral's appraise.</t>
  </si>
  <si>
    <t>Montante da avaliação</t>
  </si>
  <si>
    <t>SELECT IF(TRIM(GT011_AVALC_IMOV.MAVALIA) = '', NULL, GT011_AVALC_IMOV.MAVALIA)</t>
  </si>
  <si>
    <t>Collateral's Current Market Value</t>
  </si>
  <si>
    <t>collateral_current_market_amount</t>
  </si>
  <si>
    <t>Current value of real estate pledged as collateral.</t>
  </si>
  <si>
    <t xml:space="preserve">Valor do bem no estado actual </t>
  </si>
  <si>
    <t>MVALESTACT</t>
  </si>
  <si>
    <t>SELECT CASE 
            WHEN GT011_AVALC_IMOV.CORAVGP = 'G39' THEN IF(TRIM(GT011_AVALC_IMOV.MVALESTACT) = '', NULL, GT011_AVALC_IMOV.MVALESTACT) 
            ELSE '#N/A'</t>
  </si>
  <si>
    <t>Appraisal Type Code</t>
  </si>
  <si>
    <t>Int Inf - Real Est Appr Inf - Code</t>
  </si>
  <si>
    <t>Code of the real estate appraiser.</t>
  </si>
  <si>
    <t>Código da Avaliadora</t>
  </si>
  <si>
    <t>CODAVAL</t>
  </si>
  <si>
    <t>SELECT CASE 
            WHEN GT011_AVALC_IMOV.CORAVGP = 'G26' THEN IF(TRIM(GT011_AVALC_IMOV.CODAVAL) = '', NULL, GT011_AVALC_IMOV.CODAVAL) 
            ELSE '#N/A'</t>
  </si>
  <si>
    <t>Appraise Origin Type Code</t>
  </si>
  <si>
    <t>appraisal_origin_type_code</t>
  </si>
  <si>
    <t xml:space="preserve">Code for the type of origin of the appraise. </t>
  </si>
  <si>
    <t>Código de origem da avaliação</t>
  </si>
  <si>
    <t>Appraise Type:
?</t>
  </si>
  <si>
    <t>CORAVGP</t>
  </si>
  <si>
    <t>SELECT IF(TRIM(GT011_AVALC_IMOV.CORAVGP) = '', NULL, GT011_AVALC_IMOV.CORAVGP)</t>
  </si>
  <si>
    <t>Reassessment Type Code</t>
  </si>
  <si>
    <t>reassessment_type_code</t>
  </si>
  <si>
    <t>Code for the type of the real estate collateral's reappraisal (e.g.: A - Avaliação; V - Verificação; R - Revisão).</t>
  </si>
  <si>
    <t xml:space="preserve">Tipo de Reavaliação (A - Avaliação; V - Verificação; R - Revisão) </t>
  </si>
  <si>
    <t>Reassessment Type:
?</t>
  </si>
  <si>
    <t>CTIPREAVL</t>
  </si>
  <si>
    <t>SELECT CASE 
            WHEN GT011_AVALC_IMOV.CORAVGP = 'G39' THEN IF(TRIM(GT011_AVALC_IMOV.CTIPREAVL) = '', NULL, GT011_AVALC_IMOV.CTIPREAVL) 
            ELSE '#N/A'</t>
  </si>
  <si>
    <t>Appraiser Code</t>
  </si>
  <si>
    <t>appraiser_code</t>
  </si>
  <si>
    <t>Code of the real estate reappraise appraiser.</t>
  </si>
  <si>
    <t xml:space="preserve">Código do avaliador            </t>
  </si>
  <si>
    <t>CAVALIAD</t>
  </si>
  <si>
    <t>SELECT CASE 
            WHEN GT011_AVALC_IMOV.CORAVGP = 'G39' THEN IF(TRIM(GT011_AVALC_IMOV.CAVALIAD) = '', NULL, GT011_AVALC_IMOV.CAVALIAD) 
            ELSE '#N/A'</t>
  </si>
  <si>
    <t>Internal Reappraise Indicator</t>
  </si>
  <si>
    <t>reassessment_ind</t>
  </si>
  <si>
    <t>Int Inf - Real Est Appr Inf - Ind</t>
  </si>
  <si>
    <t>Indicator if the reappraisal was internally executed, or not.</t>
  </si>
  <si>
    <t>Indicador de Reavaliação</t>
  </si>
  <si>
    <t>IREAVAL</t>
  </si>
  <si>
    <t>SELECT  CASE
            WHEN GT011_AVALC_IMOV.CORAVGP = 'G39' AND GT011_AVALC_IMOV.IREAVAL = 'I' THEN 1
            WHEN GT011_AVALC_IMOV.CORAVGP = 'G39' AND GT011_AVALC_IMOV.IREAVAL = 'E' THEN 0
            WHEN GT011_AVALC_IMOV.CORAVGP = 'G39' AND GT011_AVALC_IMOV.IREAVAL NOT IN ('I', 'E') THEN NULL
            ELSE '#N/A'</t>
  </si>
  <si>
    <t>Collateral Reappraisal Coefficient Value</t>
  </si>
  <si>
    <t>reassessment_coeficient_val</t>
  </si>
  <si>
    <t>Int Inf - Real Est Appr Inf - Value</t>
  </si>
  <si>
    <t>Value of the coeficient between the current and last appraise real estate collateral's value.</t>
  </si>
  <si>
    <t xml:space="preserve">Coeficiente de Reavaliação     </t>
  </si>
  <si>
    <t>NFACMULT</t>
  </si>
  <si>
    <t>SELECT CASE 
            WHEN GT011_AVALC_IMOV.CORAVGP = 'G39' THEN IF(TRIM(GT011_AVALC_IMOV.NFACMULT) = '', NULL, GT011_AVALC_IMOV.NFACMULT) 
            ELSE '#N/A'</t>
  </si>
  <si>
    <t>House Price Index Value</t>
  </si>
  <si>
    <t>property_price_index_val</t>
  </si>
  <si>
    <t>Int Inf - Real Est Market Inf - Code</t>
  </si>
  <si>
    <t>Vaue of the house based on the index considered for the appraisal.</t>
  </si>
  <si>
    <t xml:space="preserve">Indice de venda                </t>
  </si>
  <si>
    <t>MIVGLOBAL</t>
  </si>
  <si>
    <t>SELECT CASE 
            WHEN GT011_AVALC_IMOV.CORAVGP = 'G39' THEN IF(TRIM(GT011_AVALC_IMOV.MIVGLOBAL) = '', NULL, GT011_AVALC_IMOV.MIVGLOBAL) 
            ELSE '#N/A'</t>
  </si>
  <si>
    <t>SELECT IF(TRIM(GT011_AVALC_IMOV.ORIGEM) = '', NULL, GT011_AVALC_IMOV.ORIGEM)</t>
  </si>
  <si>
    <t>SELECT GT011_AVALC_IMOV.REF_DATE</t>
  </si>
  <si>
    <t>Real Estate Guarantee's Collaterals</t>
  </si>
  <si>
    <t>real_estate_collateral</t>
  </si>
  <si>
    <t>GT009_BENS_IMOV</t>
  </si>
  <si>
    <t>SELECT IF(TRIM(GT009_BENS_IMOV.CEMPBEM) = '', NULL, GT009_BENS_IMOV.CEMPBEM)</t>
  </si>
  <si>
    <t>SELECT IF(TRIM(CONCAT(GT009_BENS_IMOV.CKBALBEM, GT009_BENS_IMOV.CKCTABEM, GT009_BENS_IMOV.CKREFBEM)) = '', NULL, CONCAT(GT009_BENS_IMOV.CKBALBEM, GT009_BENS_IMOV.CKCTABEM, GT009_BENS_IMOV.CKREFBEM))</t>
  </si>
  <si>
    <t>SELECT IF(TRIM(GT009_BENS_IMOV.CKBALBEM) = '', NULL, GT009_BENS_IMOV.CKBALBEM)</t>
  </si>
  <si>
    <t>SELECT IF(TRIM(GT009_BENS_IMOV.CKREFBEM) = '', NULL, GT009_BENS_IMOV.CKREFBEM)</t>
  </si>
  <si>
    <t>Percentage of Construction Completed</t>
  </si>
  <si>
    <t>construction_completed_pct</t>
  </si>
  <si>
    <t>Percentagem de construção realizada</t>
  </si>
  <si>
    <t>PREALCONS</t>
  </si>
  <si>
    <t>SELECT IF(TRIM(GT009_BENS_IMOV.PREALCONS) = '', NULL, GT009_BENS_IMOV.PREALCONS)</t>
  </si>
  <si>
    <t>SELECT IF(TRIM(GT009_BENS_IMOV.CTIPBEM) = '', NULL, GT009_BENS_IMOV.CTIPBEM)</t>
  </si>
  <si>
    <t>SELECT IF(TRIM(GT009_BENS_IMOV.CFINBEM) = '', NULL, GT009_BENS_IMOV.CFINBEM)</t>
  </si>
  <si>
    <t>Código de idade do bem</t>
  </si>
  <si>
    <t>SELECT IF(TRIM(GT009_BENS_IMOV.CIDADEPRED) = '', NULL, GT009_BENS_IMOV.CIDADEPRED)</t>
  </si>
  <si>
    <t>Fraction Indicator Code</t>
  </si>
  <si>
    <t>fraction_code</t>
  </si>
  <si>
    <t>Ext Inf - Real Est collateral Inf - Ind</t>
  </si>
  <si>
    <t>Indicator if real estate is fraction.</t>
  </si>
  <si>
    <t>Indica se o colateral é uma fração.</t>
  </si>
  <si>
    <t>GFRACCAO</t>
  </si>
  <si>
    <t>Código de Motivo de Avaliação</t>
  </si>
  <si>
    <t>Use Permit Start Date</t>
  </si>
  <si>
    <t>usage_permit_start_date</t>
  </si>
  <si>
    <t>Ext Inf - Real Est collateral Inf - Date</t>
  </si>
  <si>
    <t>Start date of the real estate collateral use permit.</t>
  </si>
  <si>
    <t>Data de emissão da licença de utilização</t>
  </si>
  <si>
    <t>DELICUTIL</t>
  </si>
  <si>
    <t>SELECT IF(TRIM(GT009_BENS_IMOV.DELICUTIL) = '', NULL, GT009_BENS_IMOV.DELICUTIL)</t>
  </si>
  <si>
    <t>Collateral's Last Appraise Date</t>
  </si>
  <si>
    <t>last_appraisal_date</t>
  </si>
  <si>
    <t>Date of the collateral's last appraise.</t>
  </si>
  <si>
    <t>Data ultima avaliação</t>
  </si>
  <si>
    <t>SELECT IF(TRIM(GT009_BENS_IMOV.DAVALIA) = '', NULL, GT009_BENS_IMOV.DAVALIA)</t>
  </si>
  <si>
    <t>Last Appraise Value</t>
  </si>
  <si>
    <t>last_appraisal_amount</t>
  </si>
  <si>
    <t>Ext Inf - Real Est collateral Inf - Value</t>
  </si>
  <si>
    <t xml:space="preserve">Value of the collateral's last appraise. </t>
  </si>
  <si>
    <t>Montante ultima avaliação</t>
  </si>
  <si>
    <t>SELECT IF(TRIM(GT009_BENS_IMOV.MAVALIA) = '', NULL, GT009_BENS_IMOV.MAVALIA)</t>
  </si>
  <si>
    <t>Real Estate's Civil Registration File</t>
  </si>
  <si>
    <t>conservatory_reg_file_id</t>
  </si>
  <si>
    <t>Real estate collateral's civil registration file.</t>
  </si>
  <si>
    <t>Número de ficha na conservatória</t>
  </si>
  <si>
    <t>GFICHA</t>
  </si>
  <si>
    <t>SELECT IF(TRIM(GT009_BENS_IMOV.GFICHA) = '', NULL, GT009_BENS_IMOV.GFICHA)</t>
  </si>
  <si>
    <t>Cadastral Register Code</t>
  </si>
  <si>
    <t>cadastral_register_code</t>
  </si>
  <si>
    <t>Ext Inf - Real Est Collateral Inf - Value</t>
  </si>
  <si>
    <t>Real estate collateral's cadastral register.</t>
  </si>
  <si>
    <t xml:space="preserve">Código do Artigo Matricial     </t>
  </si>
  <si>
    <t>Cadastral Register:
?</t>
  </si>
  <si>
    <t>CARTMATR</t>
  </si>
  <si>
    <t xml:space="preserve">SELECT IF(TRIM(GT009_BENS_IMOV.CARTMATR) = '', NULL, GT009_BENS_IMOV.CARTMATR) </t>
  </si>
  <si>
    <t>Current Construction Percentage</t>
  </si>
  <si>
    <t>current_construction_pct</t>
  </si>
  <si>
    <t>Percentage of the real estate collateral's undergoing construction, if applicable.</t>
  </si>
  <si>
    <t>PERC_OBRA</t>
  </si>
  <si>
    <t>SELECT IF(TRIM(GT009_BENS_IMOV.PERC_OBRA) = '', NULL, GT009_BENS_IMOV.PERC_OBRA)</t>
  </si>
  <si>
    <t>Termination Statement Value</t>
  </si>
  <si>
    <t>net_appraisal_amount</t>
  </si>
  <si>
    <t>Valeu of the collateral's termination statement.</t>
  </si>
  <si>
    <t xml:space="preserve">Montante de avl. distrate  </t>
  </si>
  <si>
    <t>MAVLDIST</t>
  </si>
  <si>
    <t>SELECT IF(TRIM(GT009_BENS_IMOV.MAVLDIST) = '', NULL, GT009_BENS_IMOV.MAVLDIST)</t>
  </si>
  <si>
    <t>Address Type Code</t>
  </si>
  <si>
    <t>address_code</t>
  </si>
  <si>
    <t>Ext Inf - Real Est collateral Loc Inf - Code</t>
  </si>
  <si>
    <t>Code of the real estate collateral address.</t>
  </si>
  <si>
    <t xml:space="preserve">Código da morada(rua,avenida,etc)       </t>
  </si>
  <si>
    <t>Address Type:
TIP_DOMICILIO -&gt; ?</t>
  </si>
  <si>
    <t>CMORADA</t>
  </si>
  <si>
    <t>SELECT IF(TRIM(GT009_BENS_IMOV.CMORADA) = '', NULL, GT009_BENS_IMOV.CMORADA)</t>
  </si>
  <si>
    <t>Country Code</t>
  </si>
  <si>
    <t>country_code</t>
  </si>
  <si>
    <t>Code of the real estate asste's country.</t>
  </si>
  <si>
    <t>Pais da morada</t>
  </si>
  <si>
    <t>Country:
TAT91 - CTABELA 025; CURATED_INTERNAL_MAINFRAME_ESTRUTURAIS.TAT91_TABELAS - TAYD91C0_CTABELA 025</t>
  </si>
  <si>
    <t>SELECT IF(TRIM(GT009_BENS_IMOV.CPAIS) = '', NULL, GT009_BENS_IMOV.CPAIS)</t>
  </si>
  <si>
    <t>District Municipality Parish Code</t>
  </si>
  <si>
    <t>district_municip_parish_code</t>
  </si>
  <si>
    <t>Code of the real estate collateral's district, municipality and parish.</t>
  </si>
  <si>
    <t>Distrito Concelho Freguesia</t>
  </si>
  <si>
    <t>District Municipality Parish 
TAT91 - CTABELA J48; CURATED_INTERNAL_MAINFRAME_ESTRUTURAIS.TAT91_TABELAS - TAYD91C0_CTABELA J48</t>
  </si>
  <si>
    <t>SELECT IF(TRIM(GT009_BENS_IMOV.CDISCONF) = '', NULL, GT009_BENS_IMOV.CDISCONF)</t>
  </si>
  <si>
    <t>Locality</t>
  </si>
  <si>
    <t>locality</t>
  </si>
  <si>
    <t>Ext Inf - Real Est collateral Loc Inf - Value</t>
  </si>
  <si>
    <t>Real estate collateral's locallity.</t>
  </si>
  <si>
    <t xml:space="preserve">Localidade                     </t>
  </si>
  <si>
    <t>GLOCALID</t>
  </si>
  <si>
    <t>SELECT IF(TRIM(GT009_BENS_IMOV.GLOCALID) = '', NULL, GT009_BENS_IMOV.GLOCALID)</t>
  </si>
  <si>
    <t>Urbanization</t>
  </si>
  <si>
    <t>urbanization</t>
  </si>
  <si>
    <t>Real estate collateral's urbanization zone.</t>
  </si>
  <si>
    <t xml:space="preserve">Urbanização                    </t>
  </si>
  <si>
    <t>GURBANIZ</t>
  </si>
  <si>
    <t xml:space="preserve">SELECT IF(TRIM(GT009_BENS_IMOV.GURBANIZ) = '', NULL, GT009_BENS_IMOV.GURBANIZ) </t>
  </si>
  <si>
    <t>Real Estate Number</t>
  </si>
  <si>
    <t>property_number</t>
  </si>
  <si>
    <t>Real estate collateral's number.</t>
  </si>
  <si>
    <t xml:space="preserve">Número                         </t>
  </si>
  <si>
    <t>GNUM</t>
  </si>
  <si>
    <t>SELECT IF(TRIM(GT009_BENS_IMOV.GNUM) = '', NULL, GT009_BENS_IMOV.GNUM)</t>
  </si>
  <si>
    <t>Real Estate Lot</t>
  </si>
  <si>
    <t>property_lot</t>
  </si>
  <si>
    <t>Real estate collateral's lot.</t>
  </si>
  <si>
    <t xml:space="preserve">Lote                           </t>
  </si>
  <si>
    <t>GLOTE</t>
  </si>
  <si>
    <t>SELECT IF(TRIM(GT009_BENS_IMOV.GLOTE) = '', NULL, GT009_BENS_IMOV.GLOTE)</t>
  </si>
  <si>
    <t>Real Estate Fraction</t>
  </si>
  <si>
    <t>floor_number</t>
  </si>
  <si>
    <t xml:space="preserve">Real estate collateral's fraction. </t>
  </si>
  <si>
    <t xml:space="preserve">Identificação da fracção       </t>
  </si>
  <si>
    <t>GIDFRACC</t>
  </si>
  <si>
    <t xml:space="preserve">SELECT IF(TRIM(GT009_BENS_IMOV.GIDFRACC) = '', NULL, GT009_BENS_IMOV.GIDFRACC) </t>
  </si>
  <si>
    <t>Postal Code</t>
  </si>
  <si>
    <t>postal_code</t>
  </si>
  <si>
    <t>Description of the real estate collateral postal code.</t>
  </si>
  <si>
    <t>Código Postal</t>
  </si>
  <si>
    <t>SELECT  IF(TRIM(GT009_BENS_IMOV.CPOST) = '', NULL, GT009_BENS_IMOV.CPOST)</t>
  </si>
  <si>
    <t>Address</t>
  </si>
  <si>
    <t>address</t>
  </si>
  <si>
    <t>Real estate collateral's adress.</t>
  </si>
  <si>
    <t xml:space="preserve">Morada                         </t>
  </si>
  <si>
    <t>GMORADA</t>
  </si>
  <si>
    <t>SELECT IF(TRIM(GT009_BENS_IMOV.GMORADA) = '', NULL, GT009_BENS_IMOV.GMORADA)</t>
  </si>
  <si>
    <t xml:space="preserve">SELECT IF(TRIM(GT009_BENS_IMOV.CODAVAL) = '', NULL, GT009_BENS_IMOV.CODAVAL) </t>
  </si>
  <si>
    <t>Collateral's Rapid Sale Value</t>
  </si>
  <si>
    <t>collateral_fast_sale_amount</t>
  </si>
  <si>
    <t>Int Inf - Real Est Inf - Value</t>
  </si>
  <si>
    <t>Value of the real estate collateral in case of a rapid sale necessity.</t>
  </si>
  <si>
    <t xml:space="preserve">Montante venda rápida para dações </t>
  </si>
  <si>
    <t>MVNDRAP</t>
  </si>
  <si>
    <t>SELECT IF(TRIM(GT009_BENS_IMOV.MVNDRAP) = '', NULL, GT009_BENS_IMOV.MVNDRAP)</t>
  </si>
  <si>
    <t>SELECT GT009_BENS_IMOV.REF_DATE</t>
  </si>
  <si>
    <t>Responsibilities and Guarantees Relation</t>
  </si>
  <si>
    <t>responsibility_guarantee_rel</t>
  </si>
  <si>
    <t>GT001_TRZ_RSP_GT</t>
  </si>
  <si>
    <t>SELECT IF(TRIM(GT001_TRZ_RSP_GT.CEMPRESP)='', NULL,  GT001_TRZ_RSP_GT.CEMPRESP)</t>
  </si>
  <si>
    <t>Código do balcão da Responsabilidade</t>
  </si>
  <si>
    <t>SELECT IF(TRIM(GT001_TRZ_RSP_GT.CKBALRES)='', NULL,  GT001_TRZ_RSP_GT.CKBALRES)</t>
  </si>
  <si>
    <t>Número de Conta da Responsabilidade</t>
  </si>
  <si>
    <t>SELECT IF(TRIM(CONCAT(GT001_TRZ_RSP_GT.CKBALRES, GT001_TRZ_RSP_GT.CKCTARES, GT001_TRZ_RSP_GT.CKREFRESP))='', NULL,  CONCAT(GT001_TRZ_RSP_GT.CKBALRES, GT001_TRZ_RSP_GT.CKCTARES, GT001_TRZ_RSP_GT.CKREFRESP))</t>
  </si>
  <si>
    <t>Número depósito da Responsabilidade</t>
  </si>
  <si>
    <t>SELECT IF(TRIM(GT001_TRZ_RSP_GT.CKREFRESP)='', NULL,  GT001_TRZ_RSP_GT.CKREFRESP)</t>
  </si>
  <si>
    <t>SELECT IF(TRIM(GT001_TRZ_RSP_GT.CEMPRESA)='', NULL,  GT001_TRZ_RSP_GT.CEMPRESA)</t>
  </si>
  <si>
    <t>SELECT IF(TRIM( GT001_TRZ_RSP_GT.CKBALCAO)='', NULL,  GT001_TRZ_RSP_GT.CKBALCAO)</t>
  </si>
  <si>
    <t>Número de Conta da Garantia</t>
  </si>
  <si>
    <t>SELECT IF(TRIM( GT001_TRZ_RSP_GT.CKNUMCTA)='', NULL,  GT001_TRZ_RSP_GT.CKNUMCTA)</t>
  </si>
  <si>
    <t>SELECT IF(TRIM( GT001_TRZ_RSP_GT.COMP_ID_GAR)='', NULL,  GT001_TRZ_RSP_GT.COMP_ID_GAR)</t>
  </si>
  <si>
    <t>Individual Occupation Category Code</t>
  </si>
  <si>
    <t>individual_occupation_cat_code</t>
  </si>
  <si>
    <t>Ext Inf - Clt Inf - Code</t>
  </si>
  <si>
    <t>Code for the individual occupation, for example: Head or deputy of a corporation, member of a national government, etc.</t>
  </si>
  <si>
    <t>Tipo de ocupação</t>
  </si>
  <si>
    <t>Occupation Category:
TIP_SWTRABAJO -&gt; TAT91 - CTABELA K91</t>
  </si>
  <si>
    <t>CTIPOCUP</t>
  </si>
  <si>
    <t>SELECT CASE 
		WHEN GT001_TRZ_RSP_GT.ORIGEM= 'GP' THEN IF(TRIM(GT001_TRZ_RSP_GT.CTIPOCUP) = '', NULL, GT001_TRZ_RSP_GT.CTIPOCUP)
		ELSE '#N/A'</t>
  </si>
  <si>
    <t>product_id</t>
  </si>
  <si>
    <t>Ext Inf - Con Inf - ID</t>
  </si>
  <si>
    <t>Código produto responsabilidade</t>
  </si>
  <si>
    <t>CKPRDRESP</t>
  </si>
  <si>
    <t>SELECT IF(TRIM( GT001_TRZ_RSP_GT.CKPRDRESP)='', NULL,  GT001_TRZ_RSP_GT.CKPRDRESP)</t>
  </si>
  <si>
    <t>subproduct_id</t>
  </si>
  <si>
    <t>Código sub-produto responsabilidade</t>
  </si>
  <si>
    <t>CKSUBPRESP</t>
  </si>
  <si>
    <t>SELECT IF(TRIM( GT001_TRZ_RSP_GT.CKSUBPRESP)='', NULL,  GT001_TRZ_RSP_GT.CKSUBPRESP)</t>
  </si>
  <si>
    <t>Purpose Code</t>
  </si>
  <si>
    <t>purpose_code</t>
  </si>
  <si>
    <t>Ext Inf - Con Inf - Code</t>
  </si>
  <si>
    <t xml:space="preserve">Code of the purpose of the credit operation. </t>
  </si>
  <si>
    <t>Código finalidade da operação</t>
  </si>
  <si>
    <t>Purpose:
?</t>
  </si>
  <si>
    <t>CFINALID</t>
  </si>
  <si>
    <t>SELECT CASE 
                WHEN ORIGEM. GT001_TRZ_RSP_GT= 'GP' THEN IF(TRIM(GT001_TRZ_RSP_GT.CFINALID) = '', NULL, GT001_TRZ_RSP_GT.CFINALID)
		ELSE '#N/A'</t>
  </si>
  <si>
    <t>Start date of the relation between the Guarantee and the current credit responsibility.</t>
  </si>
  <si>
    <t>Effective end date of the relation between the guarantee and the current credit responsibility.</t>
  </si>
  <si>
    <t>Initilly agreed end date of the relation between the Guarantee and the current credit responsibility.</t>
  </si>
  <si>
    <t>Margin-Call Percentage</t>
  </si>
  <si>
    <t>margin_call_pct</t>
  </si>
  <si>
    <t>Percentage of the margin-call for the operation.</t>
  </si>
  <si>
    <t>Percentagem de Margin-Call da Operação</t>
  </si>
  <si>
    <t>PMGINCALL</t>
  </si>
  <si>
    <t>SELECT CASE 
		WHEN GT001_TRZ_RSP_GT.ORIGEM = 'CS' THEN IF(TRIM(GT001_TRZ_RSP_GT.PMGINCALL) = '', NULL, GT001_TRZ_RSP_GT.PMGINCALL) 
		ELSE '#N/A'</t>
  </si>
  <si>
    <t>Stop-Loss Percentage</t>
  </si>
  <si>
    <t>stop_loss_pct</t>
  </si>
  <si>
    <t>Percentage of stop-loss for the operation.</t>
  </si>
  <si>
    <t>Percentagem de Stop-Loss da Operação</t>
  </si>
  <si>
    <t>PSTOPLOSS</t>
  </si>
  <si>
    <t>SELECTIF(TRIM(GT001_TRZ_RSP_GT.PSTOPLOSS)='', NULL, GT001_TRZ_RSP_GT.PSTOPLOSS)</t>
  </si>
  <si>
    <t>Codigo ID sistema origem da garantia (CS, GP, Lease, outros)</t>
  </si>
  <si>
    <t>SELECT CASE 
		WHEN GT001_TRZ_RSP_GT.ORIGEM= 'CS' THEN IF(TRIM(GT001_TRZ_RSP_GT.PSTOPLOSS) = '', NULL, GT001_TRZ_RSP_GT.PSTOPLOSS) 
		ELSE '#N/A'</t>
  </si>
  <si>
    <t xml:space="preserve">SELECT GT001_TRZ_RSP_GT.REF_DATE </t>
  </si>
  <si>
    <t>ID</t>
  </si>
  <si>
    <t>Case Test</t>
  </si>
  <si>
    <t>Observation</t>
  </si>
  <si>
    <t>Count</t>
  </si>
  <si>
    <t>Count number of entries in table.</t>
  </si>
  <si>
    <t>Duplicates</t>
  </si>
  <si>
    <t>Count number of entries with duplicated primary keys.</t>
  </si>
  <si>
    <t>Null PK</t>
  </si>
  <si>
    <t>Check if table has any nulll primary key.</t>
  </si>
  <si>
    <t>Manual Check</t>
  </si>
  <si>
    <t>Manually checking a few IDs and compare the results from the origin and CDM tables.</t>
  </si>
  <si>
    <t>Manual Check Source</t>
  </si>
  <si>
    <t>Length Min</t>
  </si>
  <si>
    <t xml:space="preserve">Check if the minimum length for each field is the same between the origin database, the CDM database and between eachother </t>
  </si>
  <si>
    <t>Ex: =SUMPRODUCT(--(I8:AE8&gt;0))/COUNTA(I8:AE8)</t>
  </si>
  <si>
    <t>Length Max</t>
  </si>
  <si>
    <t xml:space="preserve">Check if the maximumlength for each field is the same between the origin database, the CDM database and between eachother </t>
  </si>
  <si>
    <t>Ex: =SUMPRODUCT(--(I9:AO9 &lt;= I28:AO28))/COUNTA(I28:AO28)</t>
  </si>
  <si>
    <t>Min</t>
  </si>
  <si>
    <t>Check the minimum value for CDM database.</t>
  </si>
  <si>
    <t>Min Source</t>
  </si>
  <si>
    <t>Check the minimum value for source table.</t>
  </si>
  <si>
    <t>Max</t>
  </si>
  <si>
    <t>Check the maximum value for CDM database.</t>
  </si>
  <si>
    <t>Max Source</t>
  </si>
  <si>
    <t>Check the maximum value for source table.</t>
  </si>
  <si>
    <t>Null Count</t>
  </si>
  <si>
    <t>Count number of Null entries per column in origin database and CDM database.</t>
  </si>
  <si>
    <t>Data Format</t>
  </si>
  <si>
    <t>Check the date format between in the CDM tables.</t>
  </si>
  <si>
    <t>Empty Space Count</t>
  </si>
  <si>
    <t>Count number of empty entries per column in origin database and CDM database.</t>
  </si>
  <si>
    <t>Universe Comparison MCD - Source</t>
  </si>
  <si>
    <t>Checks if every MCDs primary key exist in the source.</t>
  </si>
  <si>
    <t>Universe Comparison Source - MCD</t>
  </si>
  <si>
    <t>Checks if every "alive" Source's primary key exists in the source.</t>
  </si>
  <si>
    <t>Universe Comparison MCD - IC</t>
  </si>
  <si>
    <t>Checks if every MCD's contract exists in IC.</t>
  </si>
  <si>
    <t>Universe Comparison IC - MCD</t>
  </si>
  <si>
    <t>Checks if every IC's contract exists in MCD.</t>
  </si>
  <si>
    <t>Data Types Check</t>
  </si>
  <si>
    <t>Checks if every data type is according to the documentation.</t>
  </si>
  <si>
    <t>Ex: =SUMPRODUCT(--(ISNUMBER((SEARCH(I27:AO27;I21:AO21)))))/COUNTA(I21:AO21)</t>
  </si>
  <si>
    <t>Column Order</t>
  </si>
  <si>
    <t>Compares order between MCD table and mapping.</t>
  </si>
  <si>
    <t>Ex: =SUM(IF(I2:AO2 = I26:AO26; 1; 0))/ COUNTA(I2:AO2)</t>
  </si>
  <si>
    <t>Total</t>
  </si>
  <si>
    <t>Indicates the overall score of the table.</t>
  </si>
  <si>
    <t>Ex: =SUM(IF(IF(G3:G22="null";1;G3:G22)=1;1;0))/COUNT(IF(G3:G22="null";1;0))</t>
  </si>
  <si>
    <t>Case_Test</t>
  </si>
  <si>
    <t>test_id</t>
  </si>
  <si>
    <t>test_timestamp</t>
  </si>
  <si>
    <t>query_driver_data_date_part</t>
  </si>
  <si>
    <t>test_number</t>
  </si>
  <si>
    <t>score</t>
  </si>
  <si>
    <t>general_result</t>
  </si>
  <si>
    <t>2024-07-09T15:00:47.450+00:00</t>
  </si>
  <si>
    <t>null</t>
  </si>
  <si>
    <t>2024-07-09T15:01:01.010+00:00</t>
  </si>
  <si>
    <t>2024-07-09T15:01:35.014+00:00</t>
  </si>
  <si>
    <t>0.00</t>
  </si>
  <si>
    <t>2024-07-09T15:02:08.236+00:00</t>
  </si>
  <si>
    <t>2024-07-09T15:02:25.298+00:00</t>
  </si>
  <si>
    <t>2024-07-09T15:02:42.104+00:00</t>
  </si>
  <si>
    <t>0001-01-01</t>
  </si>
  <si>
    <t>FIN</t>
  </si>
  <si>
    <t>-0.01</t>
  </si>
  <si>
    <t>0.000000</t>
  </si>
  <si>
    <t>TBD</t>
  </si>
  <si>
    <t>2024-07-08 15:00:59.897000</t>
  </si>
  <si>
    <t>2024-07-09T15:02:58.973+00:00</t>
  </si>
  <si>
    <t xml:space="preserve">    </t>
  </si>
  <si>
    <t>-201216666.67</t>
  </si>
  <si>
    <t>CS</t>
  </si>
  <si>
    <t>2024-07-09 15:02:48.986000</t>
  </si>
  <si>
    <t>2024-07-09T15:03:17.263+00:00</t>
  </si>
  <si>
    <t>PTRAMYOM0005000</t>
  </si>
  <si>
    <t>9999999.00</t>
  </si>
  <si>
    <t>PES</t>
  </si>
  <si>
    <t>SAU</t>
  </si>
  <si>
    <t>TER</t>
  </si>
  <si>
    <t>99999.99</t>
  </si>
  <si>
    <t>71.04</t>
  </si>
  <si>
    <t>999999.95</t>
  </si>
  <si>
    <t>2024-07-09T15:03:33.029+00:00</t>
  </si>
  <si>
    <t>640709000.00</t>
  </si>
  <si>
    <t>1036240000.00</t>
  </si>
  <si>
    <t>201216666.67</t>
  </si>
  <si>
    <t>5535.06</t>
  </si>
  <si>
    <t>659231721.22</t>
  </si>
  <si>
    <t>PARTENON</t>
  </si>
  <si>
    <t>2024-07-09 15:03:25.875000</t>
  </si>
  <si>
    <t>2024-07-09T15:04:32.119+00:00</t>
  </si>
  <si>
    <t>2024-07-09T15:04:46.483+00:00</t>
  </si>
  <si>
    <t>2024-07-09T15:05:20.968+00:00</t>
  </si>
  <si>
    <t>2024-07-09T15:06:19.635+00:00</t>
  </si>
  <si>
    <t>2024-07-09T15:06:32.488+00:00</t>
  </si>
  <si>
    <t>string</t>
  </si>
  <si>
    <t>timestamp</t>
  </si>
  <si>
    <t>Formula Auxiliary Information</t>
  </si>
  <si>
    <t>Data Model Data Types</t>
  </si>
  <si>
    <t>now()</t>
  </si>
  <si>
    <t>today()</t>
  </si>
  <si>
    <t>N\A</t>
  </si>
  <si>
    <t>Data Model Lenghts</t>
  </si>
  <si>
    <t>Test Summary</t>
  </si>
  <si>
    <t>Test ID</t>
  </si>
  <si>
    <t>Field</t>
  </si>
  <si>
    <t>Justification</t>
  </si>
  <si>
    <t>Number of Occurences</t>
  </si>
  <si>
    <t>Justification State</t>
  </si>
  <si>
    <t>Test 12</t>
  </si>
  <si>
    <t>1 - Quando o campo não se encontra preenchido na fonte, logo estes casos ficam a null.</t>
  </si>
  <si>
    <t>Total: 383971
1 - 383971</t>
  </si>
  <si>
    <t>1 - OK</t>
  </si>
  <si>
    <t>Total: 386093
1 - 386093</t>
  </si>
  <si>
    <t>Total: 121404
1 - 121404</t>
  </si>
  <si>
    <t>Total: 123217
1 - 123217</t>
  </si>
  <si>
    <t>Total: 19607
1- 19607</t>
  </si>
  <si>
    <t>Total: 47
1- 47</t>
  </si>
  <si>
    <t>Total: 13
1- 13</t>
  </si>
  <si>
    <t>Total: 364263
1- 364263</t>
  </si>
  <si>
    <t>Test 2</t>
  </si>
  <si>
    <t>Universe</t>
  </si>
  <si>
    <t>1 - A tabela origem na fonte apresenta 102 duplicados.</t>
  </si>
  <si>
    <t>Total: 102
1 - 102</t>
  </si>
  <si>
    <t>1 - NOK</t>
  </si>
  <si>
    <t>Test 3</t>
  </si>
  <si>
    <t>1 - Existe 19607 registo com o campo branch_code vazio na fonte.</t>
  </si>
  <si>
    <t>Test 15</t>
  </si>
  <si>
    <t>universo</t>
  </si>
  <si>
    <t>1 - O campo branch_code possui entradas a NULL, pelo que nesta situação o teste não consegue detetar correspondência entre o Source e o MCD.</t>
  </si>
  <si>
    <t>Total : 9433
1 - 9433</t>
  </si>
  <si>
    <t>Test 16</t>
  </si>
  <si>
    <t>2024-07-09T17:00:02.023+00:00</t>
  </si>
  <si>
    <t>2024-07-09T17:00:20.638+00:00</t>
  </si>
  <si>
    <t>2024-07-09T17:00:44.605+00:00</t>
  </si>
  <si>
    <t>2024-07-09T17:01:19.728+00:00</t>
  </si>
  <si>
    <t>2024-07-09T17:01:30.601+00:00</t>
  </si>
  <si>
    <t>2024-07-09T17:01:53.470+00:00</t>
  </si>
  <si>
    <t>"1577"</t>
  </si>
  <si>
    <t>"A10"</t>
  </si>
  <si>
    <t>0 0 0</t>
  </si>
  <si>
    <t>"Caçador"</t>
  </si>
  <si>
    <t>"A"</t>
  </si>
  <si>
    <t>" I"</t>
  </si>
  <si>
    <t>"A CIDADE E AS SERRAS"</t>
  </si>
  <si>
    <t>2024-07-09 16:58:56.819000</t>
  </si>
  <si>
    <t>2024-07-09T17:02:04.571+00:00</t>
  </si>
  <si>
    <t>2024-07-09 17:02:00.114000</t>
  </si>
  <si>
    <t>2024-07-09T17:02:15.105+00:00</t>
  </si>
  <si>
    <t>não fornecido</t>
  </si>
  <si>
    <t>Ñ/EXIBIDA</t>
  </si>
  <si>
    <t>99.00</t>
  </si>
  <si>
    <t>9993645.80</t>
  </si>
  <si>
    <t>íLHAVO</t>
  </si>
  <si>
    <t>Águas Santas</t>
  </si>
  <si>
    <t>à esqB</t>
  </si>
  <si>
    <t>´23</t>
  </si>
  <si>
    <t>Ñ APLICAVE</t>
  </si>
  <si>
    <t>ão Alberto Mota Prego de Faria</t>
  </si>
  <si>
    <t>999800.00</t>
  </si>
  <si>
    <t>2024-07-09T17:02:32.390+00:00</t>
  </si>
  <si>
    <t>403355301.70</t>
  </si>
  <si>
    <t>134000000.00</t>
  </si>
  <si>
    <t>2024-07-09 17:02:29.568000</t>
  </si>
  <si>
    <t>2024-07-09T17:03:34.042+00:00</t>
  </si>
  <si>
    <t>2024-07-09T17:03:41.777+00:00</t>
  </si>
  <si>
    <t>2024-07-09T17:04:12.697+00:00</t>
  </si>
  <si>
    <t>2024-07-09T17:04:54.371+00:00</t>
  </si>
  <si>
    <t>2024-07-09T17:04:59.138+00:00</t>
  </si>
  <si>
    <t>1 - Como o campo que vem da fonte está a vazio ou null, sendo o missing value é colocado a null.</t>
  </si>
  <si>
    <t>Total : 5602
1 - 5602</t>
  </si>
  <si>
    <t>Total : 76
1 - 76</t>
  </si>
  <si>
    <t>Total : 37
1 - 37</t>
  </si>
  <si>
    <t>Total : 61332
1 - 61332</t>
  </si>
  <si>
    <t>Total : 4574
1 - 4574</t>
  </si>
  <si>
    <t>Total : 240354
1 - 240354</t>
  </si>
  <si>
    <t>Total : 13980
1 - 13980</t>
  </si>
  <si>
    <t>Total : 207016
1 - 207016</t>
  </si>
  <si>
    <t>Total : 9
1 - 9</t>
  </si>
  <si>
    <t>Total : 7063
1 - 7063</t>
  </si>
  <si>
    <t>Total : 208966
1 - 208966</t>
  </si>
  <si>
    <t>Total : 81
1 - 81</t>
  </si>
  <si>
    <t>Total : 1315
1 - 1315</t>
  </si>
  <si>
    <t>Total : 249164
1 - 249164</t>
  </si>
  <si>
    <t>Total : 35551
1 - 35551</t>
  </si>
  <si>
    <t>Total : 204611
1 - 204611</t>
  </si>
  <si>
    <t>Total : 95660
1 - 95660</t>
  </si>
  <si>
    <t>Total : 281
1 - 281</t>
  </si>
  <si>
    <t>Total : 4268
1 - 4268</t>
  </si>
  <si>
    <t>Total : 879
1 - 879</t>
  </si>
  <si>
    <t>2024-07-09T15:45:05.175+00:00</t>
  </si>
  <si>
    <t>8476</t>
  </si>
  <si>
    <t>2024-07-09T15:45:07.729+00:00</t>
  </si>
  <si>
    <t>2024-07-09T15:45:11.587+00:00</t>
  </si>
  <si>
    <t>2024-07-09T15:45:18.645+00:00</t>
  </si>
  <si>
    <t>2024-07-09T15:45:21.187+00:00</t>
  </si>
  <si>
    <t>2024-07-09T15:45:23.438+00:00</t>
  </si>
  <si>
    <t>None</t>
  </si>
  <si>
    <t>2024-07-09 15:36:16.415000</t>
  </si>
  <si>
    <t>2024-07-09T15:45:25.773+00:00</t>
  </si>
  <si>
    <t>2024-07-09 15:45:25.083000</t>
  </si>
  <si>
    <t>2024-07-09T15:45:28.093+00:00</t>
  </si>
  <si>
    <t>2024-07-09T15:45:30.123+00:00</t>
  </si>
  <si>
    <t>2024-07-09 15:45:29.560000</t>
  </si>
  <si>
    <t>2024-07-09T15:45:35.685+00:00</t>
  </si>
  <si>
    <t>2024-07-09T15:45:40.346+00:00</t>
  </si>
  <si>
    <t>2024-07-09T15:45:45.779+00:00</t>
  </si>
  <si>
    <t>2024-07-09T15:45:47.476+00:00</t>
  </si>
  <si>
    <t>1 - Registo com o campo a vazio na fonte, logo sendo um campo que devia estar preeenchido fica a null.</t>
  </si>
  <si>
    <t>Total: 8476
1 - 8476</t>
  </si>
  <si>
    <t>2024-07-09T14:20:32.907+00:00</t>
  </si>
  <si>
    <t>1870095.00</t>
  </si>
  <si>
    <t>2024-07-09T14:20:39.051+00:00</t>
  </si>
  <si>
    <t>257528.00</t>
  </si>
  <si>
    <t>2024-07-09T14:20:44.767+00:00</t>
  </si>
  <si>
    <t>2024-07-09T14:20:58.214+00:00</t>
  </si>
  <si>
    <t>2024-07-09T14:21:08.307+00:00</t>
  </si>
  <si>
    <t>2024-07-09T14:21:17.268+00:00</t>
  </si>
  <si>
    <t>CS8</t>
  </si>
  <si>
    <t>GP</t>
  </si>
  <si>
    <t>2024-07-09 14:17:17.452000</t>
  </si>
  <si>
    <t>2024-07-09T14:21:27.531+00:00</t>
  </si>
  <si>
    <t>2024-07-09 14:21:19.546000</t>
  </si>
  <si>
    <t>2024-07-09T14:21:36.223+00:00</t>
  </si>
  <si>
    <t>99995.00</t>
  </si>
  <si>
    <t>G39</t>
  </si>
  <si>
    <t>V</t>
  </si>
  <si>
    <t xml:space="preserve">xVVN    </t>
  </si>
  <si>
    <t>1.00</t>
  </si>
  <si>
    <t>LG</t>
  </si>
  <si>
    <t>2024-07-09T14:21:46.326+00:00</t>
  </si>
  <si>
    <t>1045694000.00</t>
  </si>
  <si>
    <t>2024-07-09 14:21:38.384000</t>
  </si>
  <si>
    <t>2024-07-09T14:21:59.744+00:00</t>
  </si>
  <si>
    <t>2024-07-09T14:22:03.264+00:00</t>
  </si>
  <si>
    <t>2024-07-09T14:22:13.888+00:00</t>
  </si>
  <si>
    <t>2024-07-09T14:28:00.563+00:00</t>
  </si>
  <si>
    <t>2024-07-09T14:28:09.147+00:00</t>
  </si>
  <si>
    <t>1 - Quando o campo não se encontra preenchido na fonte e deveria, logo estes casos ficam a null.</t>
  </si>
  <si>
    <t>Total: 1311430
1 - 1311430</t>
  </si>
  <si>
    <t>Total: 1325577
1 - 1325577</t>
  </si>
  <si>
    <t>Total: 9191
1 - 9191</t>
  </si>
  <si>
    <t>Total: 1329821
1 - 1329821</t>
  </si>
  <si>
    <t xml:space="preserve">Test 2 </t>
  </si>
  <si>
    <t>1 - A tabela origem na fonte apresenta 257528 duplicados.</t>
  </si>
  <si>
    <t>Total: 257528
1 - 257528</t>
  </si>
  <si>
    <t>2024-07-03T14:51:29.895+00:00</t>
  </si>
  <si>
    <t>2024-07-03T14:51:51.232+00:00</t>
  </si>
  <si>
    <t>2024-07-03T14:52:15.692+00:00</t>
  </si>
  <si>
    <t>-</t>
  </si>
  <si>
    <t>2024-07-03T14:52:54.500+00:00</t>
  </si>
  <si>
    <t>2024-07-03T14:53:05.754+00:00</t>
  </si>
  <si>
    <t>2024-07-03T14:53:17.704+00:00</t>
  </si>
  <si>
    <t>***</t>
  </si>
  <si>
    <t>2024-07-03 14:49:53.497000</t>
  </si>
  <si>
    <t>2024-07-03T14:53:28.039+00:00</t>
  </si>
  <si>
    <t>2024-07-03 14:53:22.624000</t>
  </si>
  <si>
    <t>2024-07-03T14:53:49.788+00:00</t>
  </si>
  <si>
    <t>YV2</t>
  </si>
  <si>
    <t>G</t>
  </si>
  <si>
    <t xml:space="preserve">TRG 11/10 </t>
  </si>
  <si>
    <t>2024-07-03T14:54:24.653+00:00</t>
  </si>
  <si>
    <t>2024-07-03 14:54:17.432000</t>
  </si>
  <si>
    <t>2024-07-03T14:54:59.843+00:00</t>
  </si>
  <si>
    <t>2024-07-03T14:55:48.551+00:00</t>
  </si>
  <si>
    <t>2024-07-03T14:56:15.893+00:00</t>
  </si>
  <si>
    <t>2024-07-03T14:56:21.389+00:00</t>
  </si>
  <si>
    <t>2024-07-05T16:48:49.741</t>
  </si>
  <si>
    <t>1 - A tabela origem na fonte apresenta 36 duplicados.</t>
  </si>
  <si>
    <t>Total: 36
1 - 36</t>
  </si>
  <si>
    <t>2024-07-09T16:30:19.401+00:00</t>
  </si>
  <si>
    <t>2024-07-09T16:30:30.913+00:00</t>
  </si>
  <si>
    <t>2024-07-09T16:30:58.237+00:00</t>
  </si>
  <si>
    <t>2024-07-09T16:31:23.327+00:00</t>
  </si>
  <si>
    <t>2024-07-09T16:31:31.413+00:00</t>
  </si>
  <si>
    <t>2024-07-09T16:31:40.404+00:00</t>
  </si>
  <si>
    <t>0.92</t>
  </si>
  <si>
    <t>2024-07-09 16:16:19.165000</t>
  </si>
  <si>
    <t>2024-07-09T16:31:50.032+00:00</t>
  </si>
  <si>
    <t>0.920000</t>
  </si>
  <si>
    <t>2024-07-09 16:31:45.262000</t>
  </si>
  <si>
    <t>2024-07-09T16:31:57.096+00:00</t>
  </si>
  <si>
    <t>LUX</t>
  </si>
  <si>
    <t>99999.00</t>
  </si>
  <si>
    <t>38.33</t>
  </si>
  <si>
    <t>2024-07-09T16:32:03.268+00:00</t>
  </si>
  <si>
    <t>112.00</t>
  </si>
  <si>
    <t>2024-07-09 16:32:01.856000</t>
  </si>
  <si>
    <t>2024-07-09T16:32:44.028+00:00</t>
  </si>
  <si>
    <t>2024-07-09T16:33:14.377+00:00</t>
  </si>
  <si>
    <t>2024-07-09T16:33:34.053+00:00</t>
  </si>
  <si>
    <t>2024-07-09T16:33:44.514+00:00</t>
  </si>
  <si>
    <t>2024-07-09T16:44:29.334+00:00</t>
  </si>
  <si>
    <t>2024-07-09T16:44:49.357+00:00</t>
  </si>
  <si>
    <t>2024-07-09T16:45:17.940+00:00</t>
  </si>
  <si>
    <t>2024-07-09T16:45:54.681+00:00</t>
  </si>
  <si>
    <t>2024-07-09T16:46:08.097+00:00</t>
  </si>
  <si>
    <t>2024-07-09T16:46:16.250+00:00</t>
  </si>
  <si>
    <t>EF</t>
  </si>
  <si>
    <t>2024-07-09 16:43:00.183000</t>
  </si>
  <si>
    <t>2024-07-09T16:46:24.053+00:00</t>
  </si>
  <si>
    <t>2024-07-09 16:46:21.634000</t>
  </si>
  <si>
    <t>2024-07-09T16:46:43.628+00:00</t>
  </si>
  <si>
    <t>O</t>
  </si>
  <si>
    <t>96.09</t>
  </si>
  <si>
    <t>2024-07-09T16:46:56.021+00:00</t>
  </si>
  <si>
    <t>116.67</t>
  </si>
  <si>
    <t>2024-07-09 16:46:53.463000</t>
  </si>
  <si>
    <t>2024-07-09T16:47:58.842+00:00</t>
  </si>
  <si>
    <t>2024-07-09T16:48:38.412+00:00</t>
  </si>
  <si>
    <t>2024-07-09T16:49:23.829+00:00</t>
  </si>
  <si>
    <t>2024-07-09T16:49:37.864+00:00</t>
  </si>
  <si>
    <t>2024-07-05T18:05:09.640+00:00</t>
  </si>
  <si>
    <t>1 - Registo com o valor na fonte a vazio, logo ficam a null.</t>
  </si>
  <si>
    <t>Total: 2824
1 - 2824</t>
  </si>
  <si>
    <t>reported_collateral_code2</t>
  </si>
  <si>
    <t>2024-07-09T16:48:28.693+00:00</t>
  </si>
  <si>
    <t>2024-07-09T16:48:40.476+00:00</t>
  </si>
  <si>
    <t>2024-07-09T16:49:08.696+00:00</t>
  </si>
  <si>
    <t>2024-07-09T16:49:37.797+00:00</t>
  </si>
  <si>
    <t>2024-07-09T16:49:48.301+00:00</t>
  </si>
  <si>
    <t>2024-07-09T16:50:10.956+00:00</t>
  </si>
  <si>
    <t>0.633</t>
  </si>
  <si>
    <t>2024-07-09 16:46:11.994000</t>
  </si>
  <si>
    <t>2024-07-09T16:50:24.771+00:00</t>
  </si>
  <si>
    <t>2024-07-09 16:50:21.342000</t>
  </si>
  <si>
    <t>2024-07-09T16:50:40.335+00:00</t>
  </si>
  <si>
    <t>2024-07-09T16:50:50.565+00:00</t>
  </si>
  <si>
    <t>2024-07-09 16:50:47.829000</t>
  </si>
  <si>
    <t>2024-07-09T16:51:33.068+00:00</t>
  </si>
  <si>
    <t>2024-07-09T16:52:12.590+00:00</t>
  </si>
  <si>
    <t>2024-07-09T16:52:50.884+00:00</t>
  </si>
  <si>
    <t>2024-07-09T16:52:59.803+00:00</t>
  </si>
  <si>
    <t>2024-07-04T11:18:04.499+00:00</t>
  </si>
  <si>
    <t>2024-07-04T11:18:09.680+00:00</t>
  </si>
  <si>
    <t>2024-07-04T11:18:20.210+00:00</t>
  </si>
  <si>
    <t>2024-07-04T11:18:30.624+00:00</t>
  </si>
  <si>
    <t>2024-07-04T11:18:34.269+00:00</t>
  </si>
  <si>
    <t>2024-07-04T11:18:40.065+00:00</t>
  </si>
  <si>
    <t>Ações e Outras Participações Emitidas pelo Grupo - Cotado</t>
  </si>
  <si>
    <t>in (  )</t>
  </si>
  <si>
    <t>in ( ESC ,  FAB ,  GAR ,  EST , IND , ARM , COM , RES , OUT , ENS , HOT , MIS , SAU , 079 , 080 , 081 , 082 , 083 , 084 , 085 , 086 , 087 , 088 , 089 )</t>
  </si>
  <si>
    <t>in ( 02 , 03 , 04 , 06 , 90 )</t>
  </si>
  <si>
    <t>between 1 and 90</t>
  </si>
  <si>
    <t>in ( 01 )</t>
  </si>
  <si>
    <t>in ( 11 , 22 )</t>
  </si>
  <si>
    <t>is not null</t>
  </si>
  <si>
    <t>in ( outras instituicoes financeiras , instituicoes de credito )</t>
  </si>
  <si>
    <t>in ( N )</t>
  </si>
  <si>
    <t>2024-07-04 11:16:21.176000</t>
  </si>
  <si>
    <t>2024-07-04T11:18:43.294+00:00</t>
  </si>
  <si>
    <t>2024-07-04 11:18:42.530000</t>
  </si>
  <si>
    <t>2024-07-04T11:18:46.392+00:00</t>
  </si>
  <si>
    <t>Título de Dívida Emitido por Terceiros (NFC) - Não Cotado</t>
  </si>
  <si>
    <t>in( 1140 )</t>
  </si>
  <si>
    <t>in ( 08 )</t>
  </si>
  <si>
    <t>not in ( HAB , 091 , 092 , 093 , 094 , ESC ,  FAB ,  GAR ,  EST , IND , ARM , COM , RES , OUT , ENS , HOT , MIS , SAU , 079 , 080 , 081 , 082 , 083 , 084 , 085 , 086 , 087 , 088 , 089 , TER , 096 )</t>
  </si>
  <si>
    <t>in ( 12 )</t>
  </si>
  <si>
    <t>not in (  )</t>
  </si>
  <si>
    <t>not in ( 11 , 22 )</t>
  </si>
  <si>
    <t>is null</t>
  </si>
  <si>
    <t>not in( outras instituicoes financeiras , instituicoes de credito )</t>
  </si>
  <si>
    <t>in ( S )</t>
  </si>
  <si>
    <t>2024-07-04T11:18:50.846+00:00</t>
  </si>
  <si>
    <t>2024-07-04 11:18:49.003000</t>
  </si>
  <si>
    <t>2024-07-04T11:18:59.484+00:00</t>
  </si>
  <si>
    <t>2024-07-04T11:19:08.089+00:00</t>
  </si>
  <si>
    <t>2024-07-04T11:19:22.516+00:00</t>
  </si>
  <si>
    <t>2024-07-04T11:19:26.586+00:00</t>
  </si>
  <si>
    <t>2024-07-05T16:58:59.081</t>
  </si>
  <si>
    <t>1 - Para alguns registos o campo na fonte encontra-se a null.</t>
  </si>
  <si>
    <t>Total : 17
1 - 17</t>
  </si>
  <si>
    <t>Total : 42
1 - 42</t>
  </si>
  <si>
    <t>Total : 50
1 - 50</t>
  </si>
  <si>
    <t>Total : 57
1 - 57</t>
  </si>
  <si>
    <t>Total : 72
1 - 72</t>
  </si>
  <si>
    <t>Total : 62
1 - 62</t>
  </si>
  <si>
    <t>Total : 66
1 - 66</t>
  </si>
  <si>
    <t>security_code_ind</t>
  </si>
  <si>
    <t>N/A</t>
  </si>
  <si>
    <t>1 - Sendo uma tabela de paramentrização em que nem todas as chaves tem valores, isto é, alguns campos de chave primária ficam a null. Assim ao fazermos os testes de comparação entre o universo do MCD e o a origem, os testes retornam 0.</t>
  </si>
  <si>
    <t>Total : 74
1 - 74</t>
  </si>
  <si>
    <t>2024-07-09T17:06:20.993+00:00</t>
  </si>
  <si>
    <t>2024-07-09T17:06:30.206+00:00</t>
  </si>
  <si>
    <t>2024-07-09T17:06:53.880+00:00</t>
  </si>
  <si>
    <t>2024-07-09T17:07:17.787+00:00</t>
  </si>
  <si>
    <t>2024-07-09T17:07:28.888+00:00</t>
  </si>
  <si>
    <t>2024-07-09T17:07:40.184+00:00</t>
  </si>
  <si>
    <t>2024-07-09 17:04:08.670000</t>
  </si>
  <si>
    <t>2024-07-09T17:07:50.438+00:00</t>
  </si>
  <si>
    <t>2024-07-09 17:07:44.213000</t>
  </si>
  <si>
    <t>2024-07-09T17:07:56.369+00:00</t>
  </si>
  <si>
    <t>YXF</t>
  </si>
  <si>
    <t>150.00</t>
  </si>
  <si>
    <t>125.00</t>
  </si>
  <si>
    <t>2024-07-09T17:08:04.969+00:00</t>
  </si>
  <si>
    <t>2024-07-09 17:08:02.131000</t>
  </si>
  <si>
    <t>2024-07-09T17:08:36.954+00:00</t>
  </si>
  <si>
    <t>2024-07-09T17:09:02.364+00:00</t>
  </si>
  <si>
    <t>2024-07-09T17:09:19.069+00:00</t>
  </si>
  <si>
    <t>0.98</t>
  </si>
  <si>
    <t>2024-07-09T17:09:22.138+00:00</t>
  </si>
  <si>
    <t>date</t>
  </si>
  <si>
    <t>1 - Campo que vem da fonte a vazio, como tal aplicamos o valor default NULL</t>
  </si>
  <si>
    <t>Total: 9433</t>
  </si>
  <si>
    <t>1 - Campo que vem da fonte a vazio, como tal aplicamos o valor default NULL ficando a chave null.</t>
  </si>
  <si>
    <t>Total: 23748
1 - 23748</t>
  </si>
  <si>
    <t>Total: 31722
1 - 31722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</si>
</sst>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rgb="FFA5A5A5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278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8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21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left" vertical="center" indent="1"/>
    </xf>
    <xf numFmtId="0" fontId="23" fillId="0" borderId="15" xfId="0" applyFont="1" applyBorder="1" applyAlignment="1">
      <alignment horizontal="left" vertical="center" indent="1"/>
    </xf>
    <xf numFmtId="0" fontId="23" fillId="0" borderId="16" xfId="0" applyFont="1" applyBorder="1" applyAlignment="1">
      <alignment horizontal="left" vertical="center" indent="1"/>
    </xf>
    <xf numFmtId="0" fontId="30" fillId="0" borderId="17" xfId="0" applyFont="1" applyBorder="1" applyAlignment="1" applyProtection="1">
      <alignment vertical="center"/>
      <protection locked="0"/>
    </xf>
    <xf numFmtId="0" fontId="31" fillId="0" borderId="17" xfId="0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left" vertical="center"/>
    </xf>
    <xf numFmtId="0" fontId="30" fillId="0" borderId="17" xfId="0" applyFont="1" applyBorder="1" applyAlignment="1">
      <alignment vertical="center" wrapText="1" readingOrder="1"/>
    </xf>
    <xf numFmtId="0" fontId="0" fillId="0" borderId="17" xfId="0" applyBorder="1" applyAlignment="1">
      <alignment horizontal="center" vertical="center"/>
    </xf>
    <xf numFmtId="0" fontId="30" fillId="0" borderId="17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34" fillId="0" borderId="17" xfId="0" applyFont="1" applyBorder="1" applyAlignment="1">
      <alignment vertical="center" wrapText="1" readingOrder="1"/>
    </xf>
    <xf numFmtId="0" fontId="30" fillId="0" borderId="17" xfId="0" applyFont="1" applyBorder="1" applyAlignment="1">
      <alignment horizontal="left" vertical="center" readingOrder="1"/>
    </xf>
    <xf numFmtId="0" fontId="30" fillId="0" borderId="17" xfId="0" applyFont="1" applyBorder="1" applyAlignment="1">
      <alignment horizontal="left" vertical="center" wrapText="1" readingOrder="1"/>
    </xf>
    <xf numFmtId="0" fontId="35" fillId="0" borderId="17" xfId="0" applyFont="1" applyBorder="1" applyAlignment="1">
      <alignment vertical="center" wrapText="1" readingOrder="1"/>
    </xf>
    <xf numFmtId="0" fontId="34" fillId="0" borderId="17" xfId="0" applyFont="1" applyBorder="1" applyAlignment="1">
      <alignment horizontal="left" vertical="center" readingOrder="1"/>
    </xf>
    <xf numFmtId="0" fontId="34" fillId="0" borderId="17" xfId="0" applyFont="1" applyBorder="1" applyAlignment="1">
      <alignment vertical="center"/>
    </xf>
    <xf numFmtId="0" fontId="30" fillId="0" borderId="17" xfId="0" applyFont="1" applyBorder="1" applyAlignment="1" applyProtection="1">
      <alignment horizontal="left" vertical="center" readingOrder="1"/>
      <protection locked="0"/>
    </xf>
    <xf numFmtId="0" fontId="37" fillId="0" borderId="17" xfId="0" applyFont="1" applyBorder="1" applyAlignment="1">
      <alignment wrapText="1" readingOrder="1"/>
    </xf>
    <xf numFmtId="0" fontId="36" fillId="0" borderId="17" xfId="0" applyFont="1" applyBorder="1" applyAlignment="1">
      <alignment wrapText="1"/>
    </xf>
    <xf numFmtId="0" fontId="33" fillId="0" borderId="17" xfId="0" applyFont="1" applyBorder="1"/>
    <xf numFmtId="0" fontId="30" fillId="0" borderId="0" xfId="0" applyFont="1" applyAlignment="1" applyProtection="1">
      <alignment vertical="center"/>
      <protection locked="0"/>
    </xf>
    <xf numFmtId="0" fontId="30" fillId="0" borderId="18" xfId="0" applyFont="1" applyBorder="1" applyAlignment="1">
      <alignment vertical="center" wrapText="1" readingOrder="1"/>
    </xf>
    <xf numFmtId="0" fontId="36" fillId="0" borderId="17" xfId="0" applyFont="1" applyBorder="1" applyAlignment="1">
      <alignment vertical="center" wrapText="1"/>
    </xf>
    <xf numFmtId="0" fontId="37" fillId="0" borderId="17" xfId="0" applyFont="1" applyBorder="1" applyAlignment="1">
      <alignment vertical="center" readingOrder="1"/>
    </xf>
    <xf numFmtId="0" fontId="30" fillId="0" borderId="17" xfId="0" applyFont="1" applyBorder="1" applyAlignment="1">
      <alignment horizontal="center" vertical="center" wrapText="1" readingOrder="1"/>
    </xf>
    <xf numFmtId="0" fontId="25" fillId="5" borderId="20" xfId="0" applyFont="1" applyFill="1" applyBorder="1" applyAlignment="1">
      <alignment horizontal="center" vertical="center" wrapText="1"/>
    </xf>
    <xf numFmtId="0" fontId="25" fillId="5" borderId="23" xfId="0" applyFont="1" applyFill="1" applyBorder="1" applyAlignment="1">
      <alignment horizontal="center" vertical="center" wrapText="1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5" fillId="5" borderId="19" xfId="0" applyFont="1" applyFill="1" applyBorder="1" applyAlignment="1">
      <alignment horizontal="center" vertical="center" wrapText="1"/>
    </xf>
    <xf numFmtId="0" fontId="30" fillId="0" borderId="17" xfId="0" applyFont="1" applyBorder="1" applyAlignment="1" applyProtection="1">
      <alignment vertical="center" wrapText="1"/>
      <protection locked="0"/>
    </xf>
    <xf numFmtId="0" fontId="32" fillId="0" borderId="18" xfId="0" applyFont="1" applyBorder="1" applyAlignment="1">
      <alignment horizontal="left" vertical="center"/>
    </xf>
    <xf numFmtId="0" fontId="30" fillId="0" borderId="24" xfId="0" applyFont="1" applyBorder="1" applyAlignment="1" applyProtection="1">
      <alignment vertical="center"/>
      <protection locked="0"/>
    </xf>
    <xf numFmtId="0" fontId="30" fillId="6" borderId="17" xfId="0" applyFont="1" applyFill="1" applyBorder="1" applyAlignment="1" applyProtection="1">
      <alignment vertical="center"/>
      <protection locked="0"/>
    </xf>
    <xf numFmtId="0" fontId="31" fillId="6" borderId="17" xfId="0" applyFont="1" applyFill="1" applyBorder="1" applyAlignment="1" applyProtection="1">
      <alignment vertical="center"/>
      <protection locked="0"/>
    </xf>
    <xf numFmtId="0" fontId="30" fillId="6" borderId="17" xfId="0" applyFont="1" applyFill="1" applyBorder="1" applyAlignment="1">
      <alignment vertical="center" wrapText="1" readingOrder="1"/>
    </xf>
    <xf numFmtId="0" fontId="30" fillId="6" borderId="17" xfId="0" applyFont="1" applyFill="1" applyBorder="1" applyAlignment="1" applyProtection="1">
      <alignment horizontal="left" vertical="center" readingOrder="1"/>
      <protection locked="0"/>
    </xf>
    <xf numFmtId="0" fontId="32" fillId="6" borderId="17" xfId="0" applyFont="1" applyFill="1" applyBorder="1" applyAlignment="1">
      <alignment horizontal="left" vertical="center"/>
    </xf>
    <xf numFmtId="0" fontId="37" fillId="6" borderId="17" xfId="0" applyFont="1" applyFill="1" applyBorder="1" applyAlignment="1">
      <alignment wrapText="1" readingOrder="1"/>
    </xf>
    <xf numFmtId="0" fontId="36" fillId="6" borderId="17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8" fillId="14" borderId="17" xfId="0" applyFont="1" applyFill="1" applyBorder="1" applyAlignment="1">
      <alignment horizontal="left"/>
    </xf>
    <xf numFmtId="0" fontId="38" fillId="14" borderId="25" xfId="0" applyFont="1" applyFill="1" applyBorder="1" applyAlignment="1">
      <alignment horizontal="center" vertical="center"/>
    </xf>
    <xf numFmtId="0" fontId="38" fillId="14" borderId="22" xfId="0" applyFont="1" applyFill="1" applyBorder="1" applyAlignment="1">
      <alignment horizontal="center" vertical="center"/>
    </xf>
    <xf numFmtId="0" fontId="38" fillId="11" borderId="22" xfId="0" applyFont="1" applyFill="1" applyBorder="1" applyAlignment="1">
      <alignment horizontal="center" vertical="center"/>
    </xf>
    <xf numFmtId="0" fontId="38" fillId="14" borderId="18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 applyAlignment="1">
      <alignment horizontal="left"/>
    </xf>
    <xf numFmtId="22" fontId="0" fillId="0" borderId="26" xfId="0" applyNumberFormat="1" applyBorder="1"/>
    <xf numFmtId="0" fontId="0" fillId="0" borderId="26" xfId="0" applyBorder="1"/>
    <xf numFmtId="0" fontId="0" fillId="0" borderId="27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38" fillId="14" borderId="17" xfId="0" applyFont="1" applyFill="1" applyBorder="1" applyAlignment="1">
      <alignment vertical="center"/>
    </xf>
    <xf numFmtId="0" fontId="38" fillId="14" borderId="26" xfId="0" applyFont="1" applyFill="1" applyBorder="1" applyAlignment="1">
      <alignment horizontal="center" vertical="center"/>
    </xf>
    <xf numFmtId="0" fontId="38" fillId="14" borderId="27" xfId="0" applyFon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 wrapText="1"/>
    </xf>
    <xf numFmtId="0" fontId="0" fillId="0" borderId="25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5" fillId="5" borderId="27" xfId="0" applyFont="1" applyFill="1" applyBorder="1" applyAlignment="1">
      <alignment horizontal="center" vertical="center" wrapText="1"/>
    </xf>
    <xf numFmtId="0" fontId="25" fillId="5" borderId="24" xfId="0" applyFont="1" applyFill="1" applyBorder="1" applyAlignment="1">
      <alignment horizontal="center" vertical="center" wrapText="1"/>
    </xf>
    <xf numFmtId="0" fontId="25" fillId="5" borderId="25" xfId="0" applyFont="1" applyFill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/>
    </xf>
    <xf numFmtId="0" fontId="40" fillId="0" borderId="17" xfId="0" applyFont="1" applyBorder="1" applyAlignment="1">
      <alignment horizontal="left" vertical="center"/>
    </xf>
    <xf numFmtId="0" fontId="40" fillId="0" borderId="17" xfId="0" applyFont="1" applyBorder="1" applyAlignment="1">
      <alignment horizontal="left" vertical="center" wrapText="1"/>
    </xf>
    <xf numFmtId="0" fontId="40" fillId="0" borderId="21" xfId="0" applyFont="1" applyBorder="1" applyAlignment="1">
      <alignment horizontal="left" vertical="center"/>
    </xf>
    <xf numFmtId="0" fontId="40" fillId="0" borderId="18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19" xfId="0" applyFont="1" applyBorder="1" applyAlignment="1">
      <alignment horizontal="left" vertical="center"/>
    </xf>
    <xf numFmtId="0" fontId="40" fillId="0" borderId="19" xfId="0" applyFont="1" applyBorder="1" applyAlignment="1">
      <alignment horizontal="left" vertical="center" wrapText="1"/>
    </xf>
    <xf numFmtId="0" fontId="40" fillId="0" borderId="20" xfId="0" applyFont="1" applyBorder="1" applyAlignment="1">
      <alignment horizontal="left" vertical="center"/>
    </xf>
    <xf numFmtId="0" fontId="41" fillId="15" borderId="0" xfId="0" applyFont="1" applyFill="1"/>
    <xf numFmtId="0" fontId="37" fillId="0" borderId="0" xfId="0" applyFont="1"/>
    <xf numFmtId="0" fontId="37" fillId="0" borderId="0" xfId="0" applyFont="1" applyAlignment="1">
      <alignment wrapText="1"/>
    </xf>
    <xf numFmtId="0" fontId="37" fillId="0" borderId="0" xfId="0" applyFont="1" applyAlignment="1">
      <alignment horizontal="left" vertical="center"/>
    </xf>
    <xf numFmtId="0" fontId="38" fillId="14" borderId="31" xfId="0" applyFont="1" applyFill="1" applyBorder="1" applyAlignment="1">
      <alignment horizontal="center" vertical="center"/>
    </xf>
    <xf numFmtId="0" fontId="37" fillId="0" borderId="31" xfId="0" applyFont="1" applyBorder="1" applyAlignment="1">
      <alignment horizontal="left" vertical="center"/>
    </xf>
    <xf numFmtId="0" fontId="37" fillId="0" borderId="32" xfId="0" applyFont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37" fillId="0" borderId="3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37" fillId="0" borderId="31" xfId="0" applyFont="1" applyBorder="1" applyAlignment="1">
      <alignment horizontal="left" wrapText="1"/>
    </xf>
    <xf numFmtId="0" fontId="37" fillId="0" borderId="32" xfId="0" applyFont="1" applyBorder="1" applyAlignment="1">
      <alignment horizontal="left"/>
    </xf>
    <xf numFmtId="0" fontId="38" fillId="14" borderId="31" xfId="0" applyFont="1" applyFill="1" applyBorder="1"/>
    <xf numFmtId="0" fontId="38" fillId="14" borderId="33" xfId="0" applyFont="1" applyFill="1" applyBorder="1"/>
    <xf numFmtId="0" fontId="38" fillId="14" borderId="21" xfId="0" applyFont="1" applyFill="1" applyBorder="1" applyAlignment="1">
      <alignment horizontal="center" vertical="center"/>
    </xf>
    <xf numFmtId="0" fontId="38" fillId="14" borderId="19" xfId="0" applyFont="1" applyFill="1" applyBorder="1" applyAlignment="1">
      <alignment horizontal="left"/>
    </xf>
    <xf numFmtId="0" fontId="0" fillId="0" borderId="21" xfId="0" applyBorder="1"/>
    <xf numFmtId="22" fontId="0" fillId="0" borderId="22" xfId="0" applyNumberFormat="1" applyBorder="1"/>
    <xf numFmtId="0" fontId="0" fillId="0" borderId="18" xfId="0" applyBorder="1"/>
    <xf numFmtId="0" fontId="38" fillId="14" borderId="20" xfId="0" applyFont="1" applyFill="1" applyBorder="1" applyAlignment="1">
      <alignment horizontal="center" vertical="center"/>
    </xf>
    <xf numFmtId="0" fontId="38" fillId="14" borderId="28" xfId="0" applyFont="1" applyFill="1" applyBorder="1" applyAlignment="1">
      <alignment horizontal="center" vertical="center"/>
    </xf>
    <xf numFmtId="0" fontId="38" fillId="14" borderId="28" xfId="0" applyFont="1" applyFill="1" applyBorder="1"/>
    <xf numFmtId="0" fontId="38" fillId="14" borderId="29" xfId="0" applyFont="1" applyFill="1" applyBorder="1"/>
    <xf numFmtId="0" fontId="0" fillId="0" borderId="20" xfId="0" applyBorder="1"/>
    <xf numFmtId="0" fontId="0" fillId="0" borderId="28" xfId="0" applyBorder="1" applyAlignment="1">
      <alignment horizontal="left"/>
    </xf>
    <xf numFmtId="22" fontId="0" fillId="0" borderId="28" xfId="0" applyNumberFormat="1" applyBorder="1"/>
    <xf numFmtId="0" fontId="0" fillId="0" borderId="28" xfId="0" applyBorder="1"/>
    <xf numFmtId="0" fontId="0" fillId="0" borderId="29" xfId="0" applyBorder="1"/>
    <xf numFmtId="0" fontId="38" fillId="14" borderId="19" xfId="0" applyFont="1" applyFill="1" applyBorder="1" applyAlignment="1">
      <alignment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5" borderId="0" xfId="0" applyFill="1" applyAlignment="1">
      <alignment horizontal="left"/>
    </xf>
    <xf numFmtId="3" fontId="0" fillId="0" borderId="31" xfId="0" applyNumberFormat="1" applyBorder="1" applyAlignment="1">
      <alignment horizontal="left" vertical="center"/>
    </xf>
    <xf numFmtId="0" fontId="38" fillId="14" borderId="0" xfId="0" applyFont="1" applyFill="1" applyAlignment="1">
      <alignment horizontal="center" vertical="center"/>
    </xf>
    <xf numFmtId="0" fontId="0" fillId="16" borderId="26" xfId="0" applyFill="1" applyBorder="1"/>
    <xf numFmtId="0" fontId="0" fillId="16" borderId="22" xfId="0" applyFill="1" applyBorder="1" applyAlignment="1">
      <alignment horizontal="left"/>
    </xf>
    <xf numFmtId="0" fontId="0" fillId="16" borderId="26" xfId="0" applyFill="1" applyBorder="1" applyAlignment="1">
      <alignment horizontal="left"/>
    </xf>
    <xf numFmtId="2" fontId="0" fillId="0" borderId="0" xfId="0" applyNumberFormat="1" applyAlignment="1">
      <alignment horizontal="left" vertical="center"/>
    </xf>
    <xf numFmtId="0" fontId="42" fillId="15" borderId="0" xfId="0" applyFont="1" applyFill="1"/>
    <xf numFmtId="0" fontId="36" fillId="0" borderId="0" xfId="0" applyFont="1"/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wrapText="1"/>
    </xf>
    <xf numFmtId="0" fontId="38" fillId="0" borderId="0" xfId="0" applyFont="1"/>
    <xf numFmtId="0" fontId="36" fillId="0" borderId="31" xfId="0" applyFont="1" applyBorder="1" applyAlignment="1">
      <alignment horizontal="left"/>
    </xf>
    <xf numFmtId="0" fontId="36" fillId="0" borderId="31" xfId="0" applyFont="1" applyBorder="1" applyAlignment="1">
      <alignment horizontal="left" vertical="center"/>
    </xf>
    <xf numFmtId="0" fontId="36" fillId="0" borderId="31" xfId="0" applyFont="1" applyBorder="1" applyAlignment="1">
      <alignment horizontal="left" wrapText="1"/>
    </xf>
    <xf numFmtId="0" fontId="36" fillId="0" borderId="32" xfId="0" applyFont="1" applyBorder="1" applyAlignment="1">
      <alignment horizontal="left"/>
    </xf>
    <xf numFmtId="0" fontId="36" fillId="0" borderId="32" xfId="0" applyFont="1" applyBorder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4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3" fontId="0" fillId="5" borderId="0" xfId="0" applyNumberFormat="1" applyFill="1" applyAlignment="1">
      <alignment horizontal="left" vertical="center"/>
    </xf>
    <xf numFmtId="2" fontId="0" fillId="5" borderId="0" xfId="0" applyNumberFormat="1" applyFill="1" applyAlignment="1">
      <alignment horizontal="left" vertical="center"/>
    </xf>
    <xf numFmtId="0" fontId="0" fillId="5" borderId="27" xfId="0" applyFill="1" applyBorder="1"/>
    <xf numFmtId="0" fontId="0" fillId="5" borderId="27" xfId="0" applyFill="1" applyBorder="1" applyAlignment="1">
      <alignment horizontal="left"/>
    </xf>
    <xf numFmtId="49" fontId="40" fillId="0" borderId="21" xfId="0" applyNumberFormat="1" applyFont="1" applyBorder="1" applyAlignment="1">
      <alignment horizontal="left" vertical="center"/>
    </xf>
    <xf numFmtId="3" fontId="0" fillId="0" borderId="0" xfId="0" quotePrefix="1" applyNumberFormat="1" applyAlignment="1">
      <alignment horizontal="left"/>
    </xf>
    <xf numFmtId="0" fontId="0" fillId="2" borderId="27" xfId="0" applyFill="1" applyBorder="1"/>
    <xf numFmtId="0" fontId="0" fillId="2" borderId="27" xfId="0" applyFill="1" applyBorder="1" applyAlignment="1">
      <alignment horizontal="left"/>
    </xf>
    <xf numFmtId="0" fontId="0" fillId="0" borderId="17" xfId="0" applyBorder="1" applyAlignment="1">
      <alignment horizontal="left" vertical="center" wrapText="1"/>
    </xf>
    <xf numFmtId="0" fontId="38" fillId="14" borderId="29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43" fillId="0" borderId="23" xfId="0" applyFont="1" applyBorder="1" applyAlignment="1">
      <alignment horizontal="left" vertical="center"/>
    </xf>
    <xf numFmtId="0" fontId="0" fillId="0" borderId="18" xfId="0" applyBorder="1" applyAlignment="1">
      <alignment horizontal="left"/>
    </xf>
    <xf numFmtId="3" fontId="34" fillId="5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8" fillId="14" borderId="34" xfId="0" applyFont="1" applyFill="1" applyBorder="1" applyAlignment="1">
      <alignment horizontal="center" vertical="center"/>
    </xf>
    <xf numFmtId="2" fontId="0" fillId="0" borderId="31" xfId="0" applyNumberFormat="1" applyBorder="1" applyAlignment="1">
      <alignment horizontal="left" vertical="center"/>
    </xf>
    <xf numFmtId="14" fontId="0" fillId="5" borderId="0" xfId="0" applyNumberFormat="1" applyFill="1" applyAlignment="1">
      <alignment horizontal="left"/>
    </xf>
    <xf numFmtId="0" fontId="34" fillId="0" borderId="0" xfId="0" applyFont="1" applyAlignment="1">
      <alignment horizontal="left" vertical="center"/>
    </xf>
    <xf numFmtId="0" fontId="0" fillId="0" borderId="27" xfId="0" applyBorder="1" applyAlignment="1">
      <alignment horizontal="left"/>
    </xf>
    <xf numFmtId="0" fontId="36" fillId="0" borderId="0" xfId="0" applyFont="1" applyAlignment="1">
      <alignment horizontal="left"/>
    </xf>
    <xf numFmtId="0" fontId="30" fillId="6" borderId="0" xfId="0" applyFont="1" applyFill="1" applyAlignment="1" applyProtection="1">
      <alignment vertical="center"/>
      <protection locked="0"/>
    </xf>
    <xf numFmtId="0" fontId="30" fillId="0" borderId="0" xfId="0" applyFont="1" applyAlignment="1">
      <alignment vertical="center" wrapText="1" readingOrder="1"/>
    </xf>
    <xf numFmtId="0" fontId="0" fillId="0" borderId="21" xfId="0" applyBorder="1" applyAlignment="1">
      <alignment horizontal="left" vertical="center" wrapText="1"/>
    </xf>
    <xf numFmtId="0" fontId="30" fillId="0" borderId="17" xfId="0" applyFont="1" applyBorder="1"/>
    <xf numFmtId="0" fontId="30" fillId="6" borderId="17" xfId="0" applyFont="1" applyFill="1" applyBorder="1"/>
    <xf numFmtId="0" fontId="30" fillId="0" borderId="21" xfId="0" applyFont="1" applyBorder="1" applyAlignment="1" applyProtection="1">
      <alignment vertical="center"/>
      <protection locked="0"/>
    </xf>
    <xf numFmtId="0" fontId="34" fillId="0" borderId="21" xfId="0" applyFont="1" applyBorder="1" applyAlignment="1">
      <alignment vertical="center"/>
    </xf>
    <xf numFmtId="0" fontId="30" fillId="0" borderId="21" xfId="0" applyFont="1" applyBorder="1" applyAlignment="1" applyProtection="1">
      <alignment vertical="center" wrapText="1"/>
      <protection locked="0"/>
    </xf>
    <xf numFmtId="0" fontId="30" fillId="6" borderId="21" xfId="0" applyFont="1" applyFill="1" applyBorder="1" applyAlignment="1" applyProtection="1">
      <alignment vertical="center"/>
      <protection locked="0"/>
    </xf>
    <xf numFmtId="0" fontId="30" fillId="0" borderId="17" xfId="0" applyFont="1" applyBorder="1" applyAlignment="1">
      <alignment vertical="center"/>
    </xf>
    <xf numFmtId="0" fontId="30" fillId="0" borderId="17" xfId="0" applyFont="1" applyBorder="1" applyAlignment="1">
      <alignment wrapText="1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23" xfId="0" applyBorder="1" applyAlignment="1">
      <alignment vertical="center" wrapText="1"/>
    </xf>
    <xf numFmtId="0" fontId="44" fillId="0" borderId="17" xfId="0" applyFon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12" borderId="21" xfId="0" applyFont="1" applyFill="1" applyBorder="1" applyAlignment="1" applyProtection="1">
      <alignment horizontal="center" vertical="center" wrapText="1"/>
      <protection locked="0"/>
    </xf>
    <xf numFmtId="0" fontId="24" fillId="12" borderId="22" xfId="0" applyFont="1" applyFill="1" applyBorder="1" applyAlignment="1" applyProtection="1">
      <alignment horizontal="center" vertical="center" wrapText="1"/>
      <protection locked="0"/>
    </xf>
    <xf numFmtId="0" fontId="24" fillId="12" borderId="18" xfId="0" applyFont="1" applyFill="1" applyBorder="1" applyAlignment="1" applyProtection="1">
      <alignment horizontal="center" vertical="center" wrapText="1"/>
      <protection locked="0"/>
    </xf>
    <xf numFmtId="0" fontId="24" fillId="12" borderId="21" xfId="0" applyFont="1" applyFill="1" applyBorder="1" applyAlignment="1" applyProtection="1">
      <alignment horizontal="center" vertical="center" wrapText="1" readingOrder="1"/>
      <protection locked="0"/>
    </xf>
    <xf numFmtId="0" fontId="24" fillId="12" borderId="22" xfId="0" applyFont="1" applyFill="1" applyBorder="1" applyAlignment="1" applyProtection="1">
      <alignment horizontal="center" vertical="center" wrapText="1" readingOrder="1"/>
      <protection locked="0"/>
    </xf>
    <xf numFmtId="0" fontId="24" fillId="12" borderId="18" xfId="0" applyFont="1" applyFill="1" applyBorder="1" applyAlignment="1" applyProtection="1">
      <alignment horizontal="center" vertical="center" wrapText="1" readingOrder="1"/>
      <protection locked="0"/>
    </xf>
    <xf numFmtId="0" fontId="24" fillId="3" borderId="21" xfId="0" applyFont="1" applyFill="1" applyBorder="1" applyAlignment="1" applyProtection="1">
      <alignment horizontal="center" vertical="center" wrapText="1" readingOrder="1"/>
      <protection locked="0"/>
    </xf>
    <xf numFmtId="0" fontId="24" fillId="3" borderId="22" xfId="0" applyFont="1" applyFill="1" applyBorder="1" applyAlignment="1" applyProtection="1">
      <alignment horizontal="center" vertical="center" wrapText="1" readingOrder="1"/>
      <protection locked="0"/>
    </xf>
    <xf numFmtId="0" fontId="24" fillId="3" borderId="18" xfId="0" applyFont="1" applyFill="1" applyBorder="1" applyAlignment="1" applyProtection="1">
      <alignment horizontal="center" vertical="center" wrapText="1" readingOrder="1"/>
      <protection locked="0"/>
    </xf>
    <xf numFmtId="0" fontId="24" fillId="13" borderId="21" xfId="0" applyFont="1" applyFill="1" applyBorder="1" applyAlignment="1" applyProtection="1">
      <alignment horizontal="center" vertical="center" wrapText="1" readingOrder="1"/>
      <protection locked="0"/>
    </xf>
    <xf numFmtId="0" fontId="24" fillId="13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21" xfId="0" applyFont="1" applyFill="1" applyBorder="1" applyAlignment="1" applyProtection="1">
      <alignment horizontal="center" vertical="center" wrapText="1" readingOrder="1"/>
      <protection locked="0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18" xfId="0" applyFont="1" applyFill="1" applyBorder="1" applyAlignment="1" applyProtection="1">
      <alignment horizontal="center" vertical="center" wrapText="1" readingOrder="1"/>
      <protection locked="0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 applyProtection="1">
      <alignment vertical="center" wrapText="1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6" borderId="17" xfId="0" applyFont="1" applyFill="1" applyBorder="1" applyAlignment="1" applyProtection="1">
      <alignment vertical="center"/>
      <protection locked="0"/>
    </xf>
    <xf numFmtId="0" fontId="1" fillId="6" borderId="17" xfId="0" applyFont="1" applyFill="1" applyBorder="1" applyAlignment="1" applyProtection="1">
      <alignment horizontal="center" vertical="center"/>
      <protection locked="0"/>
    </xf>
    <xf numFmtId="0" fontId="1" fillId="6" borderId="17" xfId="0" applyFont="1" applyFill="1" applyBorder="1" applyAlignment="1" applyProtection="1">
      <alignment vertical="center" wrapText="1"/>
      <protection locked="0"/>
    </xf>
    <xf numFmtId="0" fontId="1" fillId="6" borderId="18" xfId="0" applyFont="1" applyFill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24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6" borderId="17" xfId="0" applyFont="1" applyFill="1" applyBorder="1" applyAlignment="1">
      <alignment vertical="center"/>
    </xf>
    <xf numFmtId="0" fontId="1" fillId="0" borderId="19" xfId="0" applyFont="1" applyBorder="1" applyAlignment="1" applyProtection="1">
      <alignment horizontal="center"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436"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center" vertical="center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>
          <fgColor indexed="64"/>
          <bgColor rgb="FFFF0000"/>
        </patternFill>
      </fill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 patternType="solid">
          <bgColor theme="5" tint="0.79998168889431442"/>
        </patternFill>
      </fill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left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2864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864" y="358571"/>
          <a:ext cx="1063066" cy="17767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238125</xdr:rowOff>
    </xdr:from>
    <xdr:to>
      <xdr:col>1</xdr:col>
      <xdr:colOff>596341</xdr:colOff>
      <xdr:row>0</xdr:row>
      <xdr:rowOff>415800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F258C-7194-4CA8-B251-692AD9710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238125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69F83-49D9-4E0F-8BC7-AD5F1296502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5473E-DC38-4BEC-803F-EF681FC60CFD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A7A07-46FE-40C3-B241-C4A13D0AE549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56CBC-1834-4822-9F3D-9A3E8395853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1C2CF-1A7C-45DB-A83F-AA6683C05021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B0A15-1415-47B5-9FED-57994CC636A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6538F-0E10-492C-A75E-2C8AED44B062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C872B-E3B9-43F8-804A-E468B7C67BA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730E7-7A5D-4FFD-A679-DB6E71039F0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AD5A4-B8B9-4ED5-B591-D049B9E5008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USERS/c699248/LOCALS~1/Temp/Temporary%20Directory%201%20for%20Mov%20impostos%20diferidos_consol_SGPS_DEZ11.zip/movimento%20impostos_350.xls?AFAE4419" TargetMode="External"/><Relationship Id="rId1" Type="http://schemas.openxmlformats.org/officeDocument/2006/relationships/externalLinkPath" Target="file:///\\AFAE4419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ztorres/Local%20Settings/Temporary%20Internet%20Files/OLK19E/5221%20Carteira%20de%20Titulos%20_%2031.12.2004.xls?D175459A" TargetMode="External"/><Relationship Id="rId1" Type="http://schemas.openxmlformats.org/officeDocument/2006/relationships/externalLinkPath" Target="file:///\\D175459A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mmelancia/Desktop/Juros%20a%20receber/5520%20An&#225;lise%20da%20Carteira%20Pr&#243;pria%20de%20T&#237;tulos%20a%2031-12-2004_BSP.xls?390E1D60" TargetMode="External"/><Relationship Id="rId1" Type="http://schemas.openxmlformats.org/officeDocument/2006/relationships/externalLinkPath" Target="file:///\\390E1D60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E3DF868-E69A-428D-BF38-EFF7E4AF9970}">
    <nsvFilter filterId="{00000000-0009-0000-0100-000002000000}" ref="B7:AA227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27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434" tableBorderDxfId="435" totalsRowBorderDxfId="433">
  <autoFilter ref="B5:D40" xr:uid="{00000000-0009-0000-0100-000001000000}"/>
  <sortState xmlns:xlrd2="http://schemas.microsoft.com/office/spreadsheetml/2017/richdata2" ref="B6:D40">
    <sortCondition ref="B5:B40"/>
  </sortState>
  <tableColumns count="3">
    <tableColumn id="1" xr3:uid="{00000000-0010-0000-0000-000001000000}" name="Schema" dataDxfId="432"/>
    <tableColumn id="2" xr3:uid="{00000000-0010-0000-0000-000002000000}" name="Tabela " dataDxfId="431"/>
    <tableColumn id="3" xr3:uid="{00000000-0010-0000-0000-000003000000}" name="Descrição" dataDxfId="43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AA227" totalsRowShown="0" headerRowDxfId="429" dataDxfId="428" tableBorderDxfId="427">
  <autoFilter ref="B7:AA227" xr:uid="{00000000-0009-0000-0100-000002000000}">
    <filterColumn colId="2">
      <filters>
        <filter val="collateral_mapping"/>
      </filters>
    </filterColumn>
  </autoFilter>
  <sortState xmlns:xlrd2="http://schemas.microsoft.com/office/spreadsheetml/2017/richdata2" ref="B8:AA227">
    <sortCondition ref="D7:D227"/>
  </sortState>
  <tableColumns count="26">
    <tableColumn id="1" xr3:uid="{00000000-0010-0000-0100-000001000000}" name="NOME BD" dataDxfId="426"/>
    <tableColumn id="2" xr3:uid="{00000000-0010-0000-0100-000002000000}" name="NOME TABELA" dataDxfId="425"/>
    <tableColumn id="21" xr3:uid="{00000000-0010-0000-0100-000015000000}" name="NOME FÍSICO TABELA" dataDxfId="424"/>
    <tableColumn id="23" xr3:uid="{00000000-0010-0000-0100-000017000000}" name="NÍVEL TABELA" dataDxfId="423"/>
    <tableColumn id="3" xr3:uid="{00000000-0010-0000-0100-000003000000}" name="NOME CAMPO" dataDxfId="422"/>
    <tableColumn id="22" xr3:uid="{00000000-0010-0000-0100-000016000000}" name="NOME FÍSICO CAMPO" dataDxfId="421"/>
    <tableColumn id="26" xr3:uid="{00000000-0010-0000-0100-00001A000000}" name="BLOCO" dataDxfId="420"/>
    <tableColumn id="4" xr3:uid="{00000000-0010-0000-0100-000004000000}" name="ORDEM" dataDxfId="419"/>
    <tableColumn id="5" xr3:uid="{00000000-0010-0000-0100-000005000000}" name="FORMATO" dataDxfId="418"/>
    <tableColumn id="6" xr3:uid="{00000000-0010-0000-0100-000006000000}" name="COMP_ CAMPO" dataDxfId="417"/>
    <tableColumn id="7" xr3:uid="{00000000-0010-0000-0100-000007000000}" name="NUM_ DECIMAIS" dataDxfId="416"/>
    <tableColumn id="8" xr3:uid="{00000000-0010-0000-0100-000008000000}" name="DESCRIÇÃO FUNCIONAL (ENG)" dataDxfId="415"/>
    <tableColumn id="9" xr3:uid="{00000000-0010-0000-0100-000009000000}" name="DESCRIÇÃO FUNCIONAL (PT)" dataDxfId="414"/>
    <tableColumn id="10" xr3:uid="{00000000-0010-0000-0100-00000A000000}" name="CHAVE PRIMÁRIA" dataDxfId="413"/>
    <tableColumn id="11" xr3:uid="{00000000-0010-0000-0100-00000B000000}" name="DADOS REFERÊNCIA" dataDxfId="412"/>
    <tableColumn id="24" xr3:uid="{4AA3B4D5-192F-46A8-B370-145304F61042}" name="NOME TABELA ONEFCC" dataDxfId="411"/>
    <tableColumn id="12" xr3:uid="{15A2D2E7-9D51-442C-92CE-AAB877F380B1}" name="NOME CAMPO ONEFCC" dataDxfId="410"/>
    <tableColumn id="13" xr3:uid="{00000000-0010-0000-0100-00000D000000}" name="NOME BD CURATED" dataDxfId="409"/>
    <tableColumn id="14" xr3:uid="{00000000-0010-0000-0100-00000E000000}" name="NOME FISICO TABELA CURATED" dataDxfId="408"/>
    <tableColumn id="15" xr3:uid="{00000000-0010-0000-0100-00000F000000}" name="NOME FISICO CAMPO CURATED" dataDxfId="407"/>
    <tableColumn id="16" xr3:uid="{00000000-0010-0000-0100-000010000000}" name="CODIÇÃO CURATED - CDM" dataDxfId="406"/>
    <tableColumn id="25" xr3:uid="{68F54BBD-D3D6-499A-95D7-C0A3DA0BB53A}" name="TABELA / FICHEIRO2" dataDxfId="405"/>
    <tableColumn id="27" xr3:uid="{909DF339-6018-4944-9F90-074A7AB27D4F}" name="ID APLICAÇÂO TÉCNICA" dataDxfId="404"/>
    <tableColumn id="28" xr3:uid="{04CD09AA-9296-48ED-B463-4AF736887C01}" name="NOME FISICO TABELA FONTE" dataDxfId="403"/>
    <tableColumn id="17" xr3:uid="{00000000-0010-0000-0100-000011000000}" name="NOME FISICO CAMPO FONTE" dataDxfId="402"/>
    <tableColumn id="18" xr3:uid="{00000000-0010-0000-0100-000012000000}" name="VALOR MANUAL FONTE" dataDxfId="40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152A82-2A18-4E35-8A78-0A1D79030577}" name="Table26" displayName="Table26" ref="B2:E23" totalsRowShown="0" headerRowDxfId="399" dataDxfId="398" headerRowBorderDxfId="396" tableBorderDxfId="397" totalsRowBorderDxfId="395">
  <autoFilter ref="B2:E23" xr:uid="{0A152A82-2A18-4E35-8A78-0A1D79030577}"/>
  <tableColumns count="4">
    <tableColumn id="1" xr3:uid="{AB31879B-16CE-4B10-8246-1C48BEDCC457}" name="ID" dataDxfId="394"/>
    <tableColumn id="2" xr3:uid="{C7154058-D7E4-463B-B32E-7FC3DE8C7D0E}" name="Case Test" dataDxfId="393"/>
    <tableColumn id="3" xr3:uid="{B27B7C49-2E5F-4217-8E10-3DF6857E9781}" name="Description" dataDxfId="392"/>
    <tableColumn id="4" xr3:uid="{C73435C5-A394-43B8-8D5E-05AF28E5E34B}" name="Observation" dataDxfId="39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5451F5-7E20-4F89-AE88-2E9FFE2887BA}" name="Table15192425" displayName="Table15192425" ref="B29:F41" totalsRowShown="0" headerRowDxfId="390" dataDxfId="389" headerRowBorderDxfId="387" tableBorderDxfId="388">
  <autoFilter ref="B29:F41" xr:uid="{6C5451F5-7E20-4F89-AE88-2E9FFE2887BA}"/>
  <sortState xmlns:xlrd2="http://schemas.microsoft.com/office/spreadsheetml/2017/richdata2" ref="B30:F38">
    <sortCondition ref="B29:B38"/>
  </sortState>
  <tableColumns count="5">
    <tableColumn id="1" xr3:uid="{A744E5BE-689B-4E25-8089-7418433B193E}" name="Test ID" dataDxfId="386"/>
    <tableColumn id="2" xr3:uid="{6BC40F11-60F9-48F5-BEBB-B11E9662B5DF}" name="Field" dataDxfId="385"/>
    <tableColumn id="3" xr3:uid="{EBDA3D57-175D-487D-B317-F3377CC5E2B4}" name="Justification" dataDxfId="384"/>
    <tableColumn id="4" xr3:uid="{D1DE2B52-7E22-4683-B2BE-96C6DBDFA5F1}" name="Number of Occurences" dataDxfId="383"/>
    <tableColumn id="5" xr3:uid="{28D9D289-3ACD-4114-80D7-A7138DBE6DAF}" name="Justification State" dataDxfId="382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1B68AC-5400-4940-8A77-E82D488C4580}" name="Table162326" displayName="Table162326" ref="B2:AW21" totalsRowShown="0" headerRowDxfId="381" dataDxfId="380">
  <autoFilter ref="B2:AW21" xr:uid="{721B68AC-5400-4940-8A77-E82D488C4580}"/>
  <tableColumns count="48">
    <tableColumn id="1" xr3:uid="{D18A11CA-6BD9-4E90-9363-7F1ABD26F022}" name="Case_Test" dataDxfId="379"/>
    <tableColumn id="2" xr3:uid="{F411F83B-1A24-4A74-BAD3-119928AA5A5A}" name="test_id" dataDxfId="378"/>
    <tableColumn id="3" xr3:uid="{1226F21B-EE48-4075-861D-12A61E174B42}" name="test_timestamp" dataDxfId="377"/>
    <tableColumn id="4" xr3:uid="{3C839BA0-86B5-4EC4-AFD7-00489911FCAB}" name="query_driver_data_date_part" dataDxfId="376"/>
    <tableColumn id="5" xr3:uid="{650297C7-9AED-4C3E-A9B5-6C413A9AECB2}" name="test_number" dataDxfId="375"/>
    <tableColumn id="6" xr3:uid="{7B952BC8-9AA5-4458-9EAF-20A7A10D1754}" name="score" dataDxfId="374"/>
    <tableColumn id="7" xr3:uid="{60FF7F8E-9D1A-4E1A-BEC1-265C14242C81}" name="general_result" dataDxfId="373"/>
    <tableColumn id="8" xr3:uid="{47B897AC-555C-4FDB-B1FB-8D5AF41363D1}" name="bank_id" dataDxfId="372"/>
    <tableColumn id="9" xr3:uid="{A14EB0C7-5A9D-407B-ABBE-32862B8D80D5}" name="branch_code" dataDxfId="371"/>
    <tableColumn id="10" xr3:uid="{5FF28E48-638B-4A76-80A2-339B4BA7DFF0}" name="contract_id" dataDxfId="370"/>
    <tableColumn id="11" xr3:uid="{C6A417EE-DDC4-4679-85A8-5676BC9E8F3C}" name="reference_code" dataDxfId="369"/>
    <tableColumn id="12" xr3:uid="{B2291EDC-6018-4C77-8EED-E549276B85DE}" name="guarantee_bank_id" dataDxfId="368"/>
    <tableColumn id="13" xr3:uid="{674E97D4-004C-4B46-8182-F2C0A50991B8}" name="guarantee_branch_code" dataDxfId="367"/>
    <tableColumn id="14" xr3:uid="{F127DC6A-6D2E-462B-9845-522C73B82DE3}" name="guarantee_account_id" dataDxfId="366"/>
    <tableColumn id="15" xr3:uid="{6B0BAC0A-90D6-4011-8F4E-A1FBF04FBD59}" name="guarantee_reference_code" dataDxfId="365"/>
    <tableColumn id="16" xr3:uid="{6BB91DC5-6827-46D3-9323-D962E080687B}" name="collateral_bank_id" dataDxfId="364"/>
    <tableColumn id="17" xr3:uid="{A852E8CF-367D-4F02-9438-C7168E9001AB}" name="collateral_branch_code" dataDxfId="363"/>
    <tableColumn id="18" xr3:uid="{9BAC8C1B-5DE8-4341-ABC3-AB47E3ECF4D5}" name="collateral_contract_id" dataDxfId="362"/>
    <tableColumn id="19" xr3:uid="{12A73B0E-4891-4DA1-B2BB-985A2762D691}" name="collateral_reference_code" dataDxfId="361"/>
    <tableColumn id="20" xr3:uid="{79E7FC4B-AFAA-4444-AC40-A074A6BFFAA7}" name="instrument_type_code" dataDxfId="360"/>
    <tableColumn id="21" xr3:uid="{E32F662E-0EFD-46A7-B1BA-84E0BF1870A6}" name="guarantor_party_id" dataDxfId="359"/>
    <tableColumn id="22" xr3:uid="{4DEF2AF1-D9E5-4AFA-932B-D63E3E1128ED}" name="assignor_party_id" dataDxfId="358"/>
    <tableColumn id="23" xr3:uid="{E4858441-EB30-4DA9-81F8-F3D804D3FAE0}" name="collateral_type_code" dataDxfId="357"/>
    <tableColumn id="24" xr3:uid="{124F21F2-99B2-4680-A7D2-AD116EFFEA5F}" name="collateral_purpose_code" dataDxfId="356"/>
    <tableColumn id="25" xr3:uid="{DF944480-F7F5-4EA4-BDD4-C93DAD871F91}" name="collateral_last_appraisal_date" dataDxfId="355"/>
    <tableColumn id="26" xr3:uid="{A90C0F7A-6964-4803-B87F-8077DFEF28CD}" name="collateral_appraisal_amount" dataDxfId="354"/>
    <tableColumn id="27" xr3:uid="{82CC0B4F-C414-4EE6-A415-EF0452B0E337}" name="guarantee_category_code" dataDxfId="353"/>
    <tableColumn id="28" xr3:uid="{038562B1-F65B-44B6-B3E2-24A800980F1C}" name="collateral_code" dataDxfId="352"/>
    <tableColumn id="29" xr3:uid="{31974BB6-E574-4612-A4B6-B0CEF983804F}" name="reported_collateral_code" dataDxfId="351"/>
    <tableColumn id="30" xr3:uid="{0F1E3D4D-DD24-4DA1-AED5-AC91ACD3AACF}" name="collateral_init_appraisal_date" dataDxfId="350"/>
    <tableColumn id="31" xr3:uid="{FB4CE48A-3711-4809-9640-357D1BE51554}" name="guarantee_init_appraisal_date" dataDxfId="349"/>
    <tableColumn id="32" xr3:uid="{5F3BA3CC-148F-442E-9A4A-E19D45BBA395}" name="collat_ini_appraisal_amnt_alloc" dataDxfId="348"/>
    <tableColumn id="33" xr3:uid="{290A3C97-E0E5-4809-A701-D32B34B4A901}" name="guarant_ini_appraisal_amnt_alloc" dataDxfId="347"/>
    <tableColumn id="34" xr3:uid="{31AFD109-DB4D-41DB-9AE7-8957BF44F9B0}" name="responsibility_gross_amount" dataDxfId="346"/>
    <tableColumn id="35" xr3:uid="{BC286983-0703-4279-BE0F-595B8030979E}" name="responsibility_original_amount" dataDxfId="345"/>
    <tableColumn id="36" xr3:uid="{91D7DB72-16C9-4F26-95F0-3305BBD8043E}" name="total_responsibility_amount" dataDxfId="344"/>
    <tableColumn id="37" xr3:uid="{0854DFEC-12C0-4BDD-8098-29D73CEE24DD}" name="breakdown_pct" dataDxfId="343"/>
    <tableColumn id="38" xr3:uid="{A39CAD1B-C026-47C6-94A5-0FF9AA09DBB7}" name="appraisal_amount_allocated" dataDxfId="342"/>
    <tableColumn id="39" xr3:uid="{0B09FD38-28C4-4635-85BF-80D816F7109E}" name="collateral_coverage_pct" dataDxfId="341"/>
    <tableColumn id="48" xr3:uid="{BA9D4B9F-8A08-4A6E-A508-3E96BED7D606}" name="contract_unique_id" dataDxfId="340"/>
    <tableColumn id="47" xr3:uid="{92123A1D-626B-4323-BEAB-8D782B7A55B3}" name="guarantee_ini_coverage_pct" dataDxfId="339"/>
    <tableColumn id="46" xr3:uid="{24447152-F619-45AE-B41F-313693D3A0EF}" name="collateral_ini_coverage_pct" dataDxfId="338"/>
    <tableColumn id="45" xr3:uid="{DF9309A0-2B76-4EDF-BBCF-1A29803B28C3}" name="acquisition_price" dataDxfId="337"/>
    <tableColumn id="44" xr3:uid="{DECD6171-6240-474F-A26C-29381E41C3E7}" name="acquisition_date" dataDxfId="336"/>
    <tableColumn id="43" xr3:uid="{10F7570F-34FE-4389-8454-9807E5D29C73}" name="source_acquisition_price" dataDxfId="335"/>
    <tableColumn id="40" xr3:uid="{F4D2334F-199B-4B07-8EB0-D267627D3B58}" name="source_code" dataDxfId="334"/>
    <tableColumn id="41" xr3:uid="{9BF9AA70-1F30-4A5F-9556-F1D66C9D6BB7}" name="data_date_part" dataDxfId="333"/>
    <tableColumn id="42" xr3:uid="{5313B302-BC03-4922-9547-783A3D4918C0}" name="data_timestamp_part" dataDxfId="332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FCFF29-D86A-4556-898E-9EBE12006799}" name="Table151924257" displayName="Table151924257" ref="B29:F49" totalsRowShown="0" headerRowDxfId="331" dataDxfId="330" headerRowBorderDxfId="328" tableBorderDxfId="329">
  <autoFilter ref="B29:F49" xr:uid="{6C5451F5-7E20-4F89-AE88-2E9FFE2887BA}"/>
  <tableColumns count="5">
    <tableColumn id="1" xr3:uid="{A66871FB-CE14-40C3-B2C1-957D7D2E3F47}" name="Test ID" dataDxfId="327"/>
    <tableColumn id="2" xr3:uid="{98E5B9BF-3FF0-49AE-853C-55647B994854}" name="Field" dataDxfId="326"/>
    <tableColumn id="3" xr3:uid="{433D633C-E77D-473E-A7E3-BD02E086ADEB}" name="Justification" dataDxfId="325"/>
    <tableColumn id="4" xr3:uid="{23C2287E-6724-4904-B8D7-7277AA055BD8}" name="Number of Occurences" dataDxfId="324"/>
    <tableColumn id="5" xr3:uid="{EB401402-A5D2-404B-A858-D78CD7E711BE}" name="Justification State" dataDxfId="323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8BABEE-2941-4DEA-BC12-183B8BDE792E}" name="Table1623269" displayName="Table1623269" ref="B2:AO21" totalsRowShown="0" headerRowDxfId="322" dataDxfId="321">
  <autoFilter ref="B2:AO21" xr:uid="{721B68AC-5400-4940-8A77-E82D488C4580}"/>
  <tableColumns count="40">
    <tableColumn id="1" xr3:uid="{401EAE47-BDBC-4928-8D24-E25D13ABDC26}" name="Case_Test"/>
    <tableColumn id="2" xr3:uid="{2398C98B-1DEA-499D-89BC-97412E39A582}" name="test_id" dataDxfId="320"/>
    <tableColumn id="3" xr3:uid="{5FEFB2D7-49A0-422C-AB23-3A09626012B2}" name="test_timestamp" dataDxfId="319"/>
    <tableColumn id="4" xr3:uid="{2B57268A-B976-4FBE-A407-D16FEF83738A}" name="query_driver_data_date_part" dataDxfId="318"/>
    <tableColumn id="5" xr3:uid="{E84D11BB-5272-412A-B011-250A6582280F}" name="test_number" dataDxfId="317"/>
    <tableColumn id="6" xr3:uid="{DBB2FC61-C1B4-4A0F-830A-9B6D439102C5}" name="score" dataDxfId="316"/>
    <tableColumn id="7" xr3:uid="{B795D425-0893-4592-B15B-D8CA5B054F93}" name="general_result" dataDxfId="315"/>
    <tableColumn id="8" xr3:uid="{72261605-0473-4509-BA28-693BD2D62AED}" name="collateral_bank_id" dataDxfId="314"/>
    <tableColumn id="9" xr3:uid="{83FD053A-2721-4664-A997-8D1B46D293BC}" name="collateral_contract_id" dataDxfId="313"/>
    <tableColumn id="10" xr3:uid="{40ED7BE0-1665-484E-B9CB-5E68CA01F24D}" name="collateral_branch_code" dataDxfId="312"/>
    <tableColumn id="11" xr3:uid="{867AF97E-6DDC-47BD-ABDF-CAE5CE7BA5C9}" name="collateral_reference_code" dataDxfId="311"/>
    <tableColumn id="38" xr3:uid="{8F8F02F5-D329-4668-BEA7-709CD8DED4AD}" name="collateral_code" dataDxfId="310"/>
    <tableColumn id="12" xr3:uid="{B102DFFB-221D-45E9-9188-0D360B829F79}" name="construction_completed_pct" dataDxfId="309"/>
    <tableColumn id="13" xr3:uid="{EC41F822-B98E-46C4-9D56-7623F309605A}" name="collateral_type_code" dataDxfId="308"/>
    <tableColumn id="14" xr3:uid="{0EDF0138-A8C5-4F68-9A89-5AECE9BB06C0}" name="collateral_purpose_code" dataDxfId="307"/>
    <tableColumn id="15" xr3:uid="{580C873A-70D4-4B74-BC3E-B5B69AD6D741}" name="collateral_lifetime_code" dataDxfId="306"/>
    <tableColumn id="40" xr3:uid="{DE584EB0-571E-4770-AED3-AB31278B6A75}" name="fraction_code" dataDxfId="305"/>
    <tableColumn id="39" xr3:uid="{3D1CA8B3-B97F-43E5-92C7-2A9E08DE6450}" name="appraisal_motive_code" dataDxfId="304"/>
    <tableColumn id="16" xr3:uid="{2240208A-0C16-49D2-9C29-3A4A52921D81}" name="usage_permit_start_date" dataDxfId="303"/>
    <tableColumn id="17" xr3:uid="{201C8D56-A7AC-4CFD-9E75-7AF2A288C697}" name="last_appraisal_date" dataDxfId="302"/>
    <tableColumn id="18" xr3:uid="{A4EF6E0F-679E-414E-AA29-4A442F7304D2}" name="last_appraisal_amount" dataDxfId="301"/>
    <tableColumn id="19" xr3:uid="{522C03A2-28DE-41A0-8BBB-51ADC6AF837C}" name="conservatory_reg_file_id" dataDxfId="300"/>
    <tableColumn id="20" xr3:uid="{50FA683E-CAAF-4A95-843E-B9027E39C28B}" name="cadastral_register_code" dataDxfId="299"/>
    <tableColumn id="21" xr3:uid="{F2D9C867-92DE-4038-91E0-B661988F11C2}" name="current_construction_pct" dataDxfId="298"/>
    <tableColumn id="22" xr3:uid="{F35E7705-65B3-4FB7-8827-990D9890FDE7}" name="net_appraisal_amount" dataDxfId="297"/>
    <tableColumn id="23" xr3:uid="{7F2FAA07-CCCA-49AB-B66C-EC61D8EC5A72}" name="address_code" dataDxfId="296"/>
    <tableColumn id="24" xr3:uid="{2490D0DC-D9B4-47AE-8BB2-D367D528D7DC}" name="country_code" dataDxfId="295"/>
    <tableColumn id="25" xr3:uid="{E8ED210F-4307-4CF6-A5B9-E9842940B25F}" name="district_municip_parish_code" dataDxfId="294"/>
    <tableColumn id="26" xr3:uid="{B3CD1821-7A8E-448A-9F51-E7321A9918BA}" name="locality" dataDxfId="293"/>
    <tableColumn id="27" xr3:uid="{142C5EBF-9511-4A2A-96EB-042E22717F2C}" name="urbanization" dataDxfId="292"/>
    <tableColumn id="28" xr3:uid="{B5EA6EE4-98AB-44A5-B6F2-2D718261B368}" name="property_number" dataDxfId="291"/>
    <tableColumn id="29" xr3:uid="{1FAE9A82-9239-4257-8096-B684A11C347B}" name="property_lot" dataDxfId="290"/>
    <tableColumn id="30" xr3:uid="{B5C29A81-63C5-49F3-9026-D52A43B3A64E}" name="floor_number" dataDxfId="289"/>
    <tableColumn id="31" xr3:uid="{FF829998-1A3F-4059-8338-AE302F1DDCE3}" name="postal_code" dataDxfId="288"/>
    <tableColumn id="32" xr3:uid="{8F584EF5-2B50-42C7-BB2D-A12C498770D9}" name="address" dataDxfId="287"/>
    <tableColumn id="33" xr3:uid="{D1F6144C-264D-41D5-A27A-14663E2E678F}" name="appraisal_type_code" dataDxfId="286"/>
    <tableColumn id="34" xr3:uid="{08CCA9EA-527A-4776-847F-FF08485ED848}" name="collateral_fast_sale_amount" dataDxfId="285"/>
    <tableColumn id="41" xr3:uid="{EF2BD7FF-315E-4209-8B5E-D4ED3A9C177C}" name="collateral_holder" dataDxfId="284"/>
    <tableColumn id="35" xr3:uid="{8CD577CC-DEAC-400F-BD78-D9D7E29F23F0}" name="data_date_part" dataDxfId="283"/>
    <tableColumn id="36" xr3:uid="{3F18C7D1-FD18-4B5B-BDE9-04B4AB5013D6}" name="data_timestamp_part" dataDxfId="282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02F685-C78D-4259-81E7-32F72482FE41}" name="Table7" displayName="Table7" ref="B29:F30" totalsRowShown="0" headerRowDxfId="281" dataDxfId="280" headerRowBorderDxfId="278" tableBorderDxfId="279">
  <autoFilter ref="B29:F30" xr:uid="{A502F685-C78D-4259-81E7-32F72482FE41}"/>
  <tableColumns count="5">
    <tableColumn id="1" xr3:uid="{7D20A316-5614-4EF8-A11E-A619A48D20FC}" name="Test ID" dataDxfId="277"/>
    <tableColumn id="2" xr3:uid="{0D4342B2-47AA-4BCF-B006-FBE717BC1F04}" name="Field" dataDxfId="276"/>
    <tableColumn id="3" xr3:uid="{41F5886E-87A6-483E-BB4F-4FCBF070D553}" name="Justification" dataDxfId="275"/>
    <tableColumn id="4" xr3:uid="{79842D9D-8B00-43A1-AA5E-F0740C4D6B91}" name="Number of Occurences" dataDxfId="274"/>
    <tableColumn id="5" xr3:uid="{A7CD87BE-9751-40F3-A29E-DA68F8E8B468}" name="Justification State" dataDxfId="273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1B9E6A-B431-4B14-B963-85C2B7053126}" name="Table9" displayName="Table9" ref="B2:P20" totalsRowShown="0" dataDxfId="272" tableBorderDxfId="271">
  <autoFilter ref="B2:P20" xr:uid="{B81B9E6A-B431-4B14-B963-85C2B7053126}"/>
  <tableColumns count="15">
    <tableColumn id="1" xr3:uid="{CBF5C539-7794-4E42-A1CE-8CF2A279D579}" name="Case_Test" dataDxfId="270"/>
    <tableColumn id="2" xr3:uid="{132EE442-A1FD-4276-8821-E341F4BFD8C3}" name="test_id" dataDxfId="269"/>
    <tableColumn id="3" xr3:uid="{A618A3D8-F814-42E8-BD26-55C2D57327D9}" name="test_timestamp" dataDxfId="268"/>
    <tableColumn id="4" xr3:uid="{754BEE56-DC21-4B4C-8B1C-ECF6BD8EE5F2}" name="query_driver_data_date_part" dataDxfId="267"/>
    <tableColumn id="5" xr3:uid="{8755E2C1-3EBA-47C6-92A9-6CF8398E44BD}" name="test_number" dataDxfId="266"/>
    <tableColumn id="6" xr3:uid="{87EED0CD-505D-420E-9306-4E11E377ADC5}" name="score" dataDxfId="265"/>
    <tableColumn id="7" xr3:uid="{D0284C36-6635-4773-BB22-ED5717FC0328}" name="general_result" dataDxfId="264"/>
    <tableColumn id="8" xr3:uid="{4F804957-FC89-404B-B194-C4EEC99598C0}" name="collateral_bank_id" dataDxfId="263"/>
    <tableColumn id="9" xr3:uid="{10B0A967-F275-4ABF-BF16-AA2DA544D532}" name="collateral_branch_code" dataDxfId="262"/>
    <tableColumn id="10" xr3:uid="{D56244A6-D512-41A4-A985-6605353AE37B}" name="collateral_contract_id" dataDxfId="261"/>
    <tableColumn id="11" xr3:uid="{7CCE06B8-A653-4445-8C2C-4B21F2292778}" name="collateral_reference_code" dataDxfId="260"/>
    <tableColumn id="12" xr3:uid="{2C788D44-BB42-476E-AAC5-2E949BD4CA3D}" name="collateral_code" dataDxfId="259"/>
    <tableColumn id="13" xr3:uid="{91A22622-0CC2-471B-A7DF-350AF91FD2FC}" name="collateral_holder" dataDxfId="258"/>
    <tableColumn id="14" xr3:uid="{0FB1DD63-729C-4A20-BA8D-34F70B0E3E34}" name="data_date_part" dataDxfId="257"/>
    <tableColumn id="15" xr3:uid="{2997B0B3-F491-4A77-8032-5DDC39B4C24A}" name="data_timestamp_part" dataDxfId="256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978999-783A-4E06-B5AE-A963D24C82D0}" name="Table15192425717" displayName="Table15192425717" ref="B29:F34" totalsRowShown="0" headerRowDxfId="255" headerRowBorderDxfId="253" tableBorderDxfId="254">
  <autoFilter ref="B29:F34" xr:uid="{6C5451F5-7E20-4F89-AE88-2E9FFE2887BA}"/>
  <tableColumns count="5">
    <tableColumn id="1" xr3:uid="{10678F64-9465-4FD1-82C4-723C62E6EF4B}" name="Test ID" dataDxfId="252"/>
    <tableColumn id="2" xr3:uid="{DA98FF46-4C2E-41BE-883D-997E756AB64D}" name="Field" dataDxfId="251"/>
    <tableColumn id="3" xr3:uid="{7A0F5FEF-3D8D-4D07-9B4A-8BBF3F132612}" name="Justification" dataDxfId="250"/>
    <tableColumn id="4" xr3:uid="{45D6294A-8DEB-407F-BCC9-04203BE5239D}" name="Number of Occurences" dataDxfId="249"/>
    <tableColumn id="5" xr3:uid="{9B4EE177-FA86-468E-AFF4-65B757A3E054}" name="Justification State" dataDxfId="248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52122B6-CC41-496D-A1AA-2FF6EAA6C02F}" name="Table162326918" displayName="Table162326918" ref="B2:AD21" totalsRowShown="0" headerRowDxfId="247" dataDxfId="246">
  <autoFilter ref="B2:AD21" xr:uid="{721B68AC-5400-4940-8A77-E82D488C4580}"/>
  <tableColumns count="29">
    <tableColumn id="1" xr3:uid="{95E3D19B-A0F3-4DE3-B9B2-9E172FC66298}" name="Case_Test"/>
    <tableColumn id="2" xr3:uid="{A4F94E56-9A0F-4D8A-9F15-44C6BDE2376C}" name="test_id" dataDxfId="245"/>
    <tableColumn id="3" xr3:uid="{246EA136-C05E-4F48-8C66-699040465D66}" name="test_timestamp" dataDxfId="244"/>
    <tableColumn id="4" xr3:uid="{A9053D28-CE67-4517-8E2F-A01295AD2825}" name="query_driver_data_date_part" dataDxfId="243"/>
    <tableColumn id="5" xr3:uid="{D03E0903-AB10-4831-B2BE-43688030BD77}" name="test_number" dataDxfId="242"/>
    <tableColumn id="6" xr3:uid="{B5897B55-CC6C-4383-9D35-DD5F038F1354}" name="score" dataDxfId="241"/>
    <tableColumn id="7" xr3:uid="{785AE726-0525-41E1-9C15-AEF7059A86B8}" name="general_result" dataDxfId="240"/>
    <tableColumn id="8" xr3:uid="{297E641A-42A5-4380-AD97-41C28F3C3B0E}" name="collateral_bank_id" dataDxfId="239"/>
    <tableColumn id="9" xr3:uid="{CB539DFD-5719-4C8D-8D27-EAF0DC12150F}" name="collateral_branch_code" dataDxfId="238"/>
    <tableColumn id="10" xr3:uid="{05E112AF-AA75-4E4E-A874-B384F097BB81}" name="collateral_contract_id" dataDxfId="237"/>
    <tableColumn id="11" xr3:uid="{50144784-BD9B-47FA-B912-B78F3771F0AB}" name="collateral_reference_code" dataDxfId="236"/>
    <tableColumn id="41" xr3:uid="{998BBBD8-E89F-40BB-8432-E93583327795}" name="appraisal_date" dataDxfId="235"/>
    <tableColumn id="12" xr3:uid="{A4C39909-ED4D-43D8-8570-9A9CA061D208}" name="guarantee_bank_id" dataDxfId="234"/>
    <tableColumn id="13" xr3:uid="{B99D93A3-E6ED-49DB-8A33-61FCDBB8487F}" name="guarantee_branch_code" dataDxfId="233"/>
    <tableColumn id="14" xr3:uid="{4F9643B2-81FF-4CD6-87AF-D1A4A94D4CC9}" name="guarantee_account_id" dataDxfId="232"/>
    <tableColumn id="15" xr3:uid="{65B64A1D-4BC7-4A29-8A61-D2AEACBBD0C4}" name="guarantee_reference_code" dataDxfId="231"/>
    <tableColumn id="43" xr3:uid="{08CED9A4-4822-47AB-BE51-9934EC89155B}" name="collateral_lifetime_code" dataDxfId="230"/>
    <tableColumn id="42" xr3:uid="{1EDB3211-CE65-4071-B4BF-315C707F0DC6}" name="appraisal_amount" dataDxfId="229"/>
    <tableColumn id="16" xr3:uid="{B03F9A3C-5BA0-415E-8BE3-19200AAFD7A9}" name="collateral_current_market_amount" dataDxfId="228"/>
    <tableColumn id="17" xr3:uid="{BCC19523-93D9-4DEE-9E68-412122B1735A}" name="appraisal_type_code" dataDxfId="227"/>
    <tableColumn id="18" xr3:uid="{E71D3909-B181-4354-8C31-9BF7B6036C56}" name="appraisal_origin_type_code" dataDxfId="226"/>
    <tableColumn id="19" xr3:uid="{1F4BDCA6-0AA2-4BC5-8FE8-BAD3FCBF199A}" name="reassessment_type_code" dataDxfId="225"/>
    <tableColumn id="20" xr3:uid="{865A27CE-F692-4384-A80E-5A492F957EB1}" name="appraiser_code" dataDxfId="224"/>
    <tableColumn id="21" xr3:uid="{A9EE51EA-F956-4A3A-A92A-004F98FDCB5B}" name="reassessment_ind" dataDxfId="223"/>
    <tableColumn id="22" xr3:uid="{8CA494CD-68DA-4F18-9845-915F4A4FC4BC}" name="reassessment_coeficient_val" dataDxfId="222"/>
    <tableColumn id="23" xr3:uid="{C7707705-9E8E-4DE1-BDF8-E3641735D0E5}" name="property_price_index_val" dataDxfId="221"/>
    <tableColumn id="24" xr3:uid="{F75139D0-8360-4E40-BCBE-A8D17A79CBD0}" name="source_code" dataDxfId="220"/>
    <tableColumn id="25" xr3:uid="{E8EACB13-356F-44EB-9ACE-30B8391DC01A}" name="data_date_part" dataDxfId="219"/>
    <tableColumn id="26" xr3:uid="{135FB08C-C038-46D7-B5AC-AAA0C27170C6}" name="data_timestamp_part" dataDxfId="218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DFA6DA-9FE7-4777-A0B0-DA91465E05F7}" name="Table711" displayName="Table711" ref="B28:F29" totalsRowShown="0" headerRowDxfId="217" dataDxfId="216" headerRowBorderDxfId="214" tableBorderDxfId="215">
  <autoFilter ref="B28:F29" xr:uid="{A502F685-C78D-4259-81E7-32F72482FE41}"/>
  <sortState xmlns:xlrd2="http://schemas.microsoft.com/office/spreadsheetml/2017/richdata2" ref="B29:F29">
    <sortCondition descending="1" ref="B28:B29"/>
  </sortState>
  <tableColumns count="5">
    <tableColumn id="1" xr3:uid="{07BF16BB-F911-4D7D-A69B-6E501D242BAC}" name="Test ID" dataDxfId="213"/>
    <tableColumn id="2" xr3:uid="{D5DAC124-B53F-471C-B872-0DE6B3022495}" name="Field" dataDxfId="212"/>
    <tableColumn id="3" xr3:uid="{D817B484-6A7D-4C0C-BBF6-FC3496A1C083}" name="Justification" dataDxfId="211"/>
    <tableColumn id="4" xr3:uid="{1625C01B-6DEE-49DD-8CCC-6B42A00851EB}" name="Number of Occurences" dataDxfId="210"/>
    <tableColumn id="5" xr3:uid="{02BA373F-8E6A-4A6F-A7C1-401FB7EB1C71}" name="Justification State" dataDxfId="209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387BA4-524E-4639-8B9C-8EBAB8502EFA}" name="Table912" displayName="Table912" ref="B2:W20" totalsRowShown="0" dataDxfId="208" tableBorderDxfId="207">
  <autoFilter ref="B2:W20" xr:uid="{B81B9E6A-B431-4B14-B963-85C2B7053126}"/>
  <tableColumns count="22">
    <tableColumn id="1" xr3:uid="{2B21FF2B-312D-41F7-92BE-5DFA96AEC153}" name="Case_Test" dataDxfId="206"/>
    <tableColumn id="2" xr3:uid="{145F5169-9256-424D-AF33-488DA732A67B}" name="test_id" dataDxfId="205"/>
    <tableColumn id="3" xr3:uid="{1172942C-7F5E-4BA8-8DDB-2038F089DCD6}" name="test_timestamp" dataDxfId="204"/>
    <tableColumn id="4" xr3:uid="{7AB3B4C0-B9FE-4FDE-8FF7-84C4E5D8444C}" name="query_driver_data_date_part" dataDxfId="203"/>
    <tableColumn id="5" xr3:uid="{2DE09BB3-E0B5-410A-94CA-6ABC814AB42E}" name="test_number" dataDxfId="202"/>
    <tableColumn id="6" xr3:uid="{2F0F2657-EC5D-4829-8DFC-C747298C177F}" name="score" dataDxfId="201"/>
    <tableColumn id="7" xr3:uid="{8927A781-AA8D-405B-A392-A6E36EBC9FD2}" name="general_result" dataDxfId="200"/>
    <tableColumn id="8" xr3:uid="{67B1EA6B-D56D-40A6-817C-3C171FCC78BD}" name="guarantee_bank_id" dataDxfId="199"/>
    <tableColumn id="9" xr3:uid="{7701C52E-D3A6-4C9D-948A-A9B41B98C27A}" name="guarantee_branch_code" dataDxfId="198"/>
    <tableColumn id="10" xr3:uid="{7B25635A-B423-41FE-9143-2E121536839F}" name="guarantee_account_id" dataDxfId="197"/>
    <tableColumn id="11" xr3:uid="{06F9EAB1-7D93-4FF7-B38F-8151302CFD5C}" name="guarantee_reference_code" dataDxfId="196"/>
    <tableColumn id="12" xr3:uid="{C4AECEE4-6A07-467E-96B5-AB64C16E1C98}" name="guarantee_product_id" dataDxfId="195"/>
    <tableColumn id="13" xr3:uid="{27FEB075-0269-4D3F-9D61-F7F5CA23EF41}" name="guarantee_subproduct_id" dataDxfId="194"/>
    <tableColumn id="14" xr3:uid="{324CB8F8-B361-4438-AD5F-09A5F2C145C5}" name="guarantee_type_code" dataDxfId="193"/>
    <tableColumn id="15" xr3:uid="{181471AA-D2E8-4517-B826-0CB664999D6E}" name="guarantee_code" dataDxfId="192"/>
    <tableColumn id="16" xr3:uid="{D13E9FE8-E539-4431-AF49-2F99C6860734}" name="guarantee_campaign_code" dataDxfId="191"/>
    <tableColumn id="17" xr3:uid="{9D7CA954-6EA5-4378-8A78-C9F372169B00}" name="currency_code" dataDxfId="190"/>
    <tableColumn id="18" xr3:uid="{DBA0175F-5A6F-4A61-957A-17DF20C0BD9B}" name="guarantee_start_date" dataDxfId="189"/>
    <tableColumn id="19" xr3:uid="{C3CD9801-BCF2-44B4-9062-2E33200DE07B}" name="guarantee_due_date" dataDxfId="188"/>
    <tableColumn id="20" xr3:uid="{E0F93442-8421-4394-8DBA-731CFF5371EE}" name="source_code" dataDxfId="187"/>
    <tableColumn id="21" xr3:uid="{BE02FF6C-E48C-43D8-8291-6F34003D60C6}" name="data_date_part" dataDxfId="186"/>
    <tableColumn id="22" xr3:uid="{6FFE6704-E59A-41D6-A0EC-986AB0615CB1}" name="data_timestamp_part" dataDxfId="185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15F3E06-16A2-4202-AF93-51E6EB92519B}" name="Table71113" displayName="Table71113" ref="B29:F33" totalsRowShown="0" headerRowDxfId="184" headerRowBorderDxfId="182" tableBorderDxfId="183">
  <autoFilter ref="B29:F33" xr:uid="{A502F685-C78D-4259-81E7-32F72482FE41}"/>
  <tableColumns count="5">
    <tableColumn id="1" xr3:uid="{1343286B-9528-492A-A6A6-5856CF07BF17}" name="Test ID" dataDxfId="181"/>
    <tableColumn id="2" xr3:uid="{8C2577C1-A9C0-48F0-8599-A88622E4F802}" name="Field" dataDxfId="180"/>
    <tableColumn id="3" xr3:uid="{227692C6-024F-47AE-B0C9-A9DE32C56440}" name="Justification" dataDxfId="179"/>
    <tableColumn id="4" xr3:uid="{12C0DEED-2E05-4E5C-9C85-58B584382EB6}" name="Number of Occurences" dataDxfId="178"/>
    <tableColumn id="5" xr3:uid="{AC616077-6B7E-4819-B390-B4CCF96A2886}" name="Justification State" dataDxfId="177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91287A7-59F0-47F2-A042-F2BC242B26C7}" name="Table91214" displayName="Table91214" ref="B2:AG20" totalsRowShown="0" dataDxfId="176" tableBorderDxfId="175">
  <autoFilter ref="B2:AG20" xr:uid="{B81B9E6A-B431-4B14-B963-85C2B7053126}"/>
  <tableColumns count="32">
    <tableColumn id="1" xr3:uid="{4F2C310F-29F3-46E9-8417-9934BB2395F8}" name="Case_Test" dataDxfId="174"/>
    <tableColumn id="2" xr3:uid="{1E8DFEDA-11E6-42A3-95A1-567D7CC9E9E2}" name="test_id" dataDxfId="173"/>
    <tableColumn id="3" xr3:uid="{61EA262E-B26B-43A6-ACFE-C2CC822D78B6}" name="test_timestamp" dataDxfId="172"/>
    <tableColumn id="4" xr3:uid="{33024A11-6318-4781-94AF-170EAE7B6B9B}" name="query_driver_data_date_part" dataDxfId="171"/>
    <tableColumn id="5" xr3:uid="{6582A322-A6C4-4FC1-9BD4-B0493B4DD5D0}" name="test_number" dataDxfId="170"/>
    <tableColumn id="6" xr3:uid="{03C62578-03E7-414F-91F6-A143A3343F9A}" name="score" dataDxfId="169"/>
    <tableColumn id="7" xr3:uid="{E0595C98-64A0-415E-AEDA-76EBDBAED269}" name="general_result" dataDxfId="168"/>
    <tableColumn id="8" xr3:uid="{F06EA219-9682-4D77-B8D5-D17D925DEF35}" name="guarantee_bank_id" dataDxfId="167"/>
    <tableColumn id="9" xr3:uid="{1F40DCF6-E4CF-4E8B-A964-5F1E3820BF9A}" name="guarantee_branch_code" dataDxfId="166"/>
    <tableColumn id="10" xr3:uid="{C355EF43-3375-44CD-BDF7-6276963B7833}" name="guarantee_account_id" dataDxfId="165"/>
    <tableColumn id="11" xr3:uid="{96B67009-7D39-418C-B47C-7A5FA4454161}" name="guarantee_reference_code" dataDxfId="164"/>
    <tableColumn id="12" xr3:uid="{2BA1DE08-4D8C-43A5-83FB-6D3412BB117B}" name="collateral_bank_id" dataDxfId="163"/>
    <tableColumn id="13" xr3:uid="{C89EE450-2B48-4731-A2CF-380EACAD8081}" name="collateral_branch_code" dataDxfId="162"/>
    <tableColumn id="14" xr3:uid="{1A8E6FF3-7A84-47A7-915E-774AE3D4F0C9}" name="collateral_contract_id" dataDxfId="161"/>
    <tableColumn id="15" xr3:uid="{C5AEDC99-252B-42A5-B48C-0FAFFCC51818}" name="collateral_reference_code" dataDxfId="160"/>
    <tableColumn id="16" xr3:uid="{9AA0913E-41E8-4214-9DBD-FD2AA1A158C6}" name="reported_collateral_code" dataDxfId="159"/>
    <tableColumn id="17" xr3:uid="{E8F9D3D8-0786-4529-A1F8-92F23AD0B41A}" name="instrument_type_code" dataDxfId="158"/>
    <tableColumn id="18" xr3:uid="{B8852131-8BCC-4087-B71A-50EFDEF51BAD}" name="security_custodian_code" dataDxfId="157"/>
    <tableColumn id="19" xr3:uid="{B0894314-2AA5-4D07-89A2-26AF4D494B8D}" name="security_typology_code" dataDxfId="156"/>
    <tableColumn id="20" xr3:uid="{4A790E63-B58C-4538-955A-AB81F3F2F44F}" name="participation_units_number" dataDxfId="155"/>
    <tableColumn id="21" xr3:uid="{F37F031A-F215-4362-94EC-D235BAFD5EFF}" name="captive_amount" dataDxfId="154"/>
    <tableColumn id="22" xr3:uid="{F0486BC1-BDEA-424E-9921-275DC5F21ED1}" name="captive_original_amount" dataDxfId="153"/>
    <tableColumn id="23" xr3:uid="{4CDE93C9-9D56-41C4-AB61-38F45A5C07A8}" name="insurance_company_code" dataDxfId="152"/>
    <tableColumn id="24" xr3:uid="{A136A26A-C11B-43DB-8207-CD238375EBF5}" name="insurance_policy_code" dataDxfId="151"/>
    <tableColumn id="25" xr3:uid="{04311664-C0B4-4576-8992-A60DF0D36A66}" name="insurance_coverage_rate" dataDxfId="150"/>
    <tableColumn id="26" xr3:uid="{6DCC1934-6B49-4FF0-A1C0-D112A7E0C6BE}" name="captive_id" dataDxfId="149"/>
    <tableColumn id="27" xr3:uid="{12262662-1B6C-4608-9EBE-3854D54C822D}" name="relation_start_date" dataDxfId="148"/>
    <tableColumn id="28" xr3:uid="{1486D06C-8B04-4392-9E8E-62C4CAAA6DDD}" name="effective_relation_end_date" dataDxfId="147"/>
    <tableColumn id="29" xr3:uid="{BDB00BDD-832E-43C8-8D9D-F25A9D93F4B1}" name="established_relation_end_date" dataDxfId="146"/>
    <tableColumn id="30" xr3:uid="{EFBF62B6-4B9D-4DF3-9A47-2C1B2EFCA907}" name="source_code" dataDxfId="145"/>
    <tableColumn id="31" xr3:uid="{EA7396E3-ABC9-4ACB-8921-55044C5E0280}" name="data_date_part" dataDxfId="144"/>
    <tableColumn id="32" xr3:uid="{662B12B4-46E7-40C2-902D-C87C791823CC}" name="data_timestamp_part" dataDxfId="143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604B5E-E097-4C5A-AE53-F8C0AE7615C5}" name="Table7111315" displayName="Table7111315" ref="B28:F29" totalsRowShown="0" headerRowDxfId="142" headerRowBorderDxfId="140" tableBorderDxfId="141">
  <autoFilter ref="B28:F29" xr:uid="{A502F685-C78D-4259-81E7-32F72482FE41}"/>
  <sortState xmlns:xlrd2="http://schemas.microsoft.com/office/spreadsheetml/2017/richdata2" ref="B29:F33">
    <sortCondition descending="1" ref="B28:B33"/>
  </sortState>
  <tableColumns count="5">
    <tableColumn id="1" xr3:uid="{CD0F53E7-B8DD-4629-AEA4-A42935CECDC5}" name="Test ID" dataDxfId="139"/>
    <tableColumn id="2" xr3:uid="{8176E500-9719-411A-9292-40AC160D546E}" name="Field" dataDxfId="138"/>
    <tableColumn id="3" xr3:uid="{2B288578-143D-467D-91E0-57D38C905B61}" name="Justification" dataDxfId="137"/>
    <tableColumn id="4" xr3:uid="{83505E01-8CED-4C4B-8466-D396A7F9F739}" name="Number of Occurences" dataDxfId="136"/>
    <tableColumn id="5" xr3:uid="{8AEEA32A-6BA1-4069-8154-4B5566992D37}" name="Justification State" dataDxfId="135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40A7123-9A19-4850-B515-236588542BDE}" name="Table9121416" displayName="Table9121416" ref="B2:AD20" totalsRowShown="0" dataDxfId="134" tableBorderDxfId="133">
  <autoFilter ref="B2:AD20" xr:uid="{B81B9E6A-B431-4B14-B963-85C2B7053126}"/>
  <tableColumns count="29">
    <tableColumn id="1" xr3:uid="{1F7B179B-8EF4-4266-A914-4CD868730DF0}" name="Case_Test" dataDxfId="132"/>
    <tableColumn id="2" xr3:uid="{9F38D491-5C91-4542-B503-C82D9EACA496}" name="test_id" dataDxfId="131"/>
    <tableColumn id="3" xr3:uid="{A5886733-1790-44A8-8FA7-F4CEA900B926}" name="test_timestamp" dataDxfId="130"/>
    <tableColumn id="4" xr3:uid="{8A258E0B-D3AC-4610-A04D-9455A1C7B5FA}" name="query_driver_data_date_part" dataDxfId="129"/>
    <tableColumn id="5" xr3:uid="{F081415A-55D4-4B10-8A5C-3CA59492BFB5}" name="test_number" dataDxfId="128"/>
    <tableColumn id="6" xr3:uid="{1186038A-26C1-497A-9A07-942780EFA951}" name="score" dataDxfId="127"/>
    <tableColumn id="7" xr3:uid="{5D088138-99D4-4D0E-B7CA-21C7D206520E}" name="general_result" dataDxfId="126"/>
    <tableColumn id="8" xr3:uid="{82112CE3-59B8-4E05-9DE5-D63E9289B775}" name="guarantee_bank_id" dataDxfId="125"/>
    <tableColumn id="9" xr3:uid="{7A1E23C7-E315-49FA-970E-650808CA5C1C}" name="guarantee_branch_code" dataDxfId="124"/>
    <tableColumn id="10" xr3:uid="{076C60E0-CEC8-4723-A78D-743113C12943}" name="guarantee_account_id" dataDxfId="123"/>
    <tableColumn id="11" xr3:uid="{E967FBED-2C37-46EE-97BB-C0A6D23C9613}" name="guarantee_reference_code" dataDxfId="122"/>
    <tableColumn id="12" xr3:uid="{442FCB7E-E1E9-4C3A-BEC1-AF5718CB8E75}" name="collateral_bank_id" dataDxfId="121"/>
    <tableColumn id="13" xr3:uid="{D3FCE9AD-E47F-4CBF-B16A-6906811CF35A}" name="collateral_branch_code" dataDxfId="120"/>
    <tableColumn id="14" xr3:uid="{4A5F090D-5980-411F-A02D-319DC87411CF}" name="collateral_contract_id" dataDxfId="119"/>
    <tableColumn id="15" xr3:uid="{5A08F31E-A7DC-46FC-B931-45F9F6C36730}" name="collateral_reference_code" dataDxfId="118"/>
    <tableColumn id="16" xr3:uid="{CC4ECB06-599E-46D6-8002-AD6900E7A2F8}" name="guarantor_party_id" dataDxfId="117"/>
    <tableColumn id="17" xr3:uid="{9A6392B8-8482-47DC-9181-A7F07BAF948F}" name="assignor_party_id" dataDxfId="116"/>
    <tableColumn id="18" xr3:uid="{42D1FD1D-F328-4997-A53F-C2A4254AFB0D}" name="intervening_type_code" dataDxfId="115"/>
    <tableColumn id="19" xr3:uid="{DCDC9ABB-B4A3-4801-9CC0-1DBBBE7A3E43}" name="comfort_letter_level_code" dataDxfId="114"/>
    <tableColumn id="20" xr3:uid="{D8FDF217-5EB0-495F-9FEC-C972D691E32D}" name="reported_collateral_code" dataDxfId="113"/>
    <tableColumn id="21" xr3:uid="{AF790700-EA11-496C-AA77-DF29BD26AB81}" name="appraisal_type_code" dataDxfId="112"/>
    <tableColumn id="22" xr3:uid="{E87F16E2-9E76-4365-BFB6-B8C3677C4C84}" name="relation_start_date" dataDxfId="111"/>
    <tableColumn id="23" xr3:uid="{C4000E11-06C2-4290-B88C-F97A72710F17}" name="effective_relation_end_date" dataDxfId="110"/>
    <tableColumn id="24" xr3:uid="{DDB2DF6E-A47B-478B-8860-E2C8A7177EE2}" name="established_relation_end_date" dataDxfId="109"/>
    <tableColumn id="25" xr3:uid="{2D39ECB2-7192-4BF8-ABCC-8921C9A73A21}" name="coverage_pct" dataDxfId="108"/>
    <tableColumn id="33" xr3:uid="{DFCAC90D-AE13-49E2-9E30-FF78AE4D7D76}" name="intervention_order_num" dataDxfId="107"/>
    <tableColumn id="34" xr3:uid="{70BE2F5A-9449-4CC9-97E9-6E33FE7A595E}" name="source_code" dataDxfId="106"/>
    <tableColumn id="35" xr3:uid="{7CBC49D2-1AA4-4139-A33F-0B99624C7498}" name="data_date_part" dataDxfId="105"/>
    <tableColumn id="36" xr3:uid="{78F0ECB0-8FB7-47B9-8E82-B6CF55837708}" name="data_timestamp_part" dataDxfId="104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2700677-B181-4618-95B5-24A23FD20068}" name="Table711131519" displayName="Table711131519" ref="B29:F30" totalsRowShown="0" headerRowDxfId="103" dataDxfId="102" headerRowBorderDxfId="100" tableBorderDxfId="101">
  <autoFilter ref="B29:F30" xr:uid="{A502F685-C78D-4259-81E7-32F72482FE41}"/>
  <tableColumns count="5">
    <tableColumn id="1" xr3:uid="{891ACBE4-33AA-4CC4-B4C1-D53BA5B4E994}" name="Test ID" dataDxfId="99"/>
    <tableColumn id="2" xr3:uid="{C14AA2E6-0BB5-4BEB-B670-F358FFF6C921}" name="Field" dataDxfId="98"/>
    <tableColumn id="3" xr3:uid="{62DCD1F9-9576-49C1-9B28-568DF561B627}" name="Justification" dataDxfId="97"/>
    <tableColumn id="4" xr3:uid="{A3505919-9400-40FD-929C-7C396D452F64}" name="Number of Occurences" dataDxfId="96"/>
    <tableColumn id="5" xr3:uid="{A3588733-94F2-429F-9374-9422CAD80CB8}" name="Justification State" dataDxfId="95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D1D7DF4-8E52-4057-B204-535EE9256850}" name="Table912141620" displayName="Table912141620" ref="B2:Y20" totalsRowShown="0" dataDxfId="94" tableBorderDxfId="93">
  <autoFilter ref="B2:Y20" xr:uid="{B81B9E6A-B431-4B14-B963-85C2B7053126}"/>
  <tableColumns count="24">
    <tableColumn id="1" xr3:uid="{C6902C32-CC3A-4EAC-BF61-30A66C9201E9}" name="Case_Test" dataDxfId="92"/>
    <tableColumn id="2" xr3:uid="{01DB401F-2769-483D-A444-F1CCAF52A803}" name="test_id" dataDxfId="91"/>
    <tableColumn id="3" xr3:uid="{FD89A6AE-2368-4D47-8E6D-9B73618F31C6}" name="test_timestamp" dataDxfId="90"/>
    <tableColumn id="4" xr3:uid="{A170A622-A96F-4982-84D0-9C1A7D0CC109}" name="query_driver_data_date_part" dataDxfId="89"/>
    <tableColumn id="5" xr3:uid="{218CE1FF-2E41-4D91-B42E-7A143A21E5CF}" name="test_number" dataDxfId="88"/>
    <tableColumn id="6" xr3:uid="{BDB0F154-B6CD-4A54-8E9A-8F0DC735A3A9}" name="score" dataDxfId="87"/>
    <tableColumn id="7" xr3:uid="{5C42E1DB-E5F0-4578-9FDF-81337F51530E}" name="general_result" dataDxfId="86"/>
    <tableColumn id="8" xr3:uid="{D0E213E2-D905-4F88-9C5F-44C195EAFDF2}" name="guarantee_bank_id" dataDxfId="85"/>
    <tableColumn id="9" xr3:uid="{E3A02E40-A058-40F0-87CE-C787733BCCFA}" name="guarantee_branch_code" dataDxfId="84"/>
    <tableColumn id="10" xr3:uid="{821CFE13-4478-4FE7-A038-2703E4ECB7A7}" name="guarantee_account_id" dataDxfId="83"/>
    <tableColumn id="11" xr3:uid="{89E7E581-2366-47B6-9105-6BDEEBF67160}" name="guarantee_reference_code" dataDxfId="82"/>
    <tableColumn id="12" xr3:uid="{61D6BBEB-346F-46BC-B5E9-1F2AB8F2A644}" name="collateral_bank_id" dataDxfId="81"/>
    <tableColumn id="13" xr3:uid="{E0F5AE31-01F1-46F0-8D5C-16C00DC4869A}" name="collateral_branch_code" dataDxfId="80"/>
    <tableColumn id="14" xr3:uid="{3285D4FD-7C5D-48EC-BD4D-AE902636C180}" name="collateral_contract_id" dataDxfId="79"/>
    <tableColumn id="15" xr3:uid="{AC05D249-4FBE-48DB-9AE3-302A69946286}" name="collateral_reference_code" dataDxfId="78"/>
    <tableColumn id="16" xr3:uid="{2E4D7885-752A-4972-8552-A4DAAF6BDA08}" name="collateral_oblig_status_code" dataDxfId="77"/>
    <tableColumn id="17" xr3:uid="{34304CC1-D462-4FAA-BF97-6767D251643E}" name="reported_collateral_code" dataDxfId="76"/>
    <tableColumn id="18" xr3:uid="{5AF067E1-1A47-4684-9CAB-9EFB0ACADF69}" name="intervening_type_code" dataDxfId="75"/>
    <tableColumn id="19" xr3:uid="{9E7E9E23-7839-4652-9383-E3DAB19FE77C}" name="comfort_letter_level_code" dataDxfId="74"/>
    <tableColumn id="20" xr3:uid="{0845D0CE-FAB9-47A9-A753-173D23FFF99B}" name="reported_collateral_code2" dataDxfId="73"/>
    <tableColumn id="21" xr3:uid="{F58945FF-B57E-41E6-8F14-A1E2A254A53B}" name="coverage_pct" dataDxfId="72"/>
    <tableColumn id="22" xr3:uid="{63CFC998-328A-4886-8A24-29368CFBF9C7}" name="source_code" dataDxfId="71"/>
    <tableColumn id="23" xr3:uid="{22D27A25-D4A4-4745-AFBE-2CDE0CF867D9}" name="data_date_part" dataDxfId="70"/>
    <tableColumn id="24" xr3:uid="{BB29AB19-9F12-4B1C-BB88-2D7198201C19}" name="data_timestamp_part" dataDxfId="69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68825D9-A5A6-48BC-8A3A-F7130F764F53}" name="Table71113151921" displayName="Table71113151921" ref="B28:F52" totalsRowShown="0" headerRowDxfId="68" headerRowBorderDxfId="66" tableBorderDxfId="67">
  <autoFilter ref="B28:F52" xr:uid="{A502F685-C78D-4259-81E7-32F72482FE41}"/>
  <tableColumns count="5">
    <tableColumn id="1" xr3:uid="{5896BCB2-B856-4878-A7A6-E3AAFE947B7A}" name="Test ID" dataDxfId="65"/>
    <tableColumn id="2" xr3:uid="{01EE0DFA-6236-413E-BEE3-06B649950D7E}" name="Field" dataDxfId="64"/>
    <tableColumn id="3" xr3:uid="{4AE8095C-A2DC-4F0F-A3FF-6A375A81B0E4}" name="Justification" dataDxfId="63"/>
    <tableColumn id="4" xr3:uid="{E11206FB-E8AB-4D63-A8CE-971609CD2547}" name="Number of Occurences" dataDxfId="62"/>
    <tableColumn id="5" xr3:uid="{A020CC12-7E21-4DBF-8B79-87E37839FEFF}" name="Justification State" dataDxfId="61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529DB3E-4661-4458-889A-97BEBE99A802}" name="Table91214162022" displayName="Table91214162022" ref="B2:W20" totalsRowShown="0" dataDxfId="60" tableBorderDxfId="59">
  <autoFilter ref="B2:W20" xr:uid="{B81B9E6A-B431-4B14-B963-85C2B7053126}"/>
  <tableColumns count="22">
    <tableColumn id="1" xr3:uid="{BFF6F4CC-119F-483E-9078-A825D1A984F5}" name="Case_Test" dataDxfId="58"/>
    <tableColumn id="2" xr3:uid="{3EAAF346-D726-4FA7-AD09-4DE7CF109931}" name="test_id" dataDxfId="57"/>
    <tableColumn id="3" xr3:uid="{BCA1B9E0-F3AD-48B6-9CCE-8ED1E467D6ED}" name="test_timestamp" dataDxfId="56"/>
    <tableColumn id="4" xr3:uid="{A15E840E-4F3C-4718-8640-971440C2EC06}" name="query_driver_data_date_part" dataDxfId="55"/>
    <tableColumn id="5" xr3:uid="{E95CE563-A84A-46B0-8315-2836D5013F03}" name="test_number" dataDxfId="54"/>
    <tableColumn id="6" xr3:uid="{822EF151-FECF-4FCE-9053-DBDBDB8456DF}" name="score" dataDxfId="53"/>
    <tableColumn id="7" xr3:uid="{1D35F26B-3667-498F-8FFF-D06F24300BEE}" name="general_result" dataDxfId="52"/>
    <tableColumn id="8" xr3:uid="{AA68E1AE-2590-4C83-B229-8B9872B2C24F}" name="collateral_code" dataDxfId="51"/>
    <tableColumn id="9" xr3:uid="{31642E6B-AE97-444B-8E18-FB78E7053576}" name="desc" dataDxfId="50"/>
    <tableColumn id="10" xr3:uid="{5C5CEA25-B52B-4CEE-BAA7-E84DAB7D7F31}" name="collateral_type_code" dataDxfId="49"/>
    <tableColumn id="11" xr3:uid="{5588F519-ED03-448E-AEA0-E5B2E6ADA379}" name="collateral_purpose_code" dataDxfId="48"/>
    <tableColumn id="12" xr3:uid="{A278EB46-32F4-4B72-A399-D8DE75C8871C}" name="reported_collateral_code" dataDxfId="47"/>
    <tableColumn id="13" xr3:uid="{84B71782-E0C9-4B08-83F5-AE5C541593C9}" name="appraisal_motive_code" dataDxfId="46"/>
    <tableColumn id="14" xr3:uid="{E7A5BEFD-8B62-4899-BE64-FBF78ABF71FA}" name="coverage_pct" dataDxfId="45"/>
    <tableColumn id="15" xr3:uid="{F08CA88B-57BD-439A-8DC2-2B2ADD321264}" name="instrument_type_code" dataDxfId="44"/>
    <tableColumn id="16" xr3:uid="{6B7518A4-694E-41B7-AA06-FE5506292F34}" name="insurance_policy_code" dataDxfId="43"/>
    <tableColumn id="17" xr3:uid="{8E505557-24FA-4033-8709-2E9E209EAD4B}" name="security_typology_code" dataDxfId="42"/>
    <tableColumn id="18" xr3:uid="{3A023DE8-963D-40F9-B4D4-20080D3DD56F}" name="guarantor_party_id" dataDxfId="41"/>
    <tableColumn id="19" xr3:uid="{8E2D67FF-1C19-4B65-9110-99F33F2477E6}" name="counterparty_id" dataDxfId="40"/>
    <tableColumn id="20" xr3:uid="{F17F9FEC-269F-41F7-B787-AA4BD5B289BE}" name="security_quote_ind" dataDxfId="39"/>
    <tableColumn id="21" xr3:uid="{E5AA73C0-8991-4072-A28A-9A3F4E08B075}" name="data_date_part" dataDxfId="38"/>
    <tableColumn id="22" xr3:uid="{CAC77619-D416-4712-B46F-4B4301CDEDB5}" name="data_timestamp_part" dataDxfId="37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9F2CC55-452F-46C6-BEC0-557CBDCABFB5}" name="Table7111315192123" displayName="Table7111315192123" ref="B28:F34" totalsRowShown="0" headerRowDxfId="36" headerRowBorderDxfId="34" tableBorderDxfId="35">
  <autoFilter ref="B28:F34" xr:uid="{A502F685-C78D-4259-81E7-32F72482FE41}"/>
  <tableColumns count="5">
    <tableColumn id="1" xr3:uid="{AC74E268-CF29-44F1-917F-7B4A0D0156E6}" name="Test ID" dataDxfId="33"/>
    <tableColumn id="2" xr3:uid="{7735D9BF-809C-4BA7-9CC7-DED7E915F99E}" name="Field" dataDxfId="32"/>
    <tableColumn id="3" xr3:uid="{BF7F4140-7A76-487C-A790-9A12FB35D3AC}" name="Justification" dataDxfId="31"/>
    <tableColumn id="4" xr3:uid="{E456D461-A515-46AC-B4D0-34685ADB281E}" name="Number of Occurences" dataDxfId="30"/>
    <tableColumn id="5" xr3:uid="{FCBC7676-407B-45AE-AAD3-9D0B11476B9B}" name="Justification State" dataDxfId="29"/>
  </tableColumns>
  <tableStyleInfo name="TableStyleLight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7416CB9-908C-4022-B6F9-53A7137992EA}" name="Table9121416202224" displayName="Table9121416202224" ref="B2:AB20" totalsRowShown="0" dataDxfId="28" tableBorderDxfId="27">
  <autoFilter ref="B2:AB20" xr:uid="{B81B9E6A-B431-4B14-B963-85C2B7053126}"/>
  <tableColumns count="27">
    <tableColumn id="1" xr3:uid="{800CF200-3B56-4D4E-8D15-EDD227C61DCA}" name="Case_Test" dataDxfId="26"/>
    <tableColumn id="2" xr3:uid="{4A05A5AF-FAEE-4F91-9579-82723EED1765}" name="test_id" dataDxfId="25"/>
    <tableColumn id="3" xr3:uid="{4AA31A77-70F8-467A-B6CC-681E6C762FAC}" name="test_timestamp" dataDxfId="24"/>
    <tableColumn id="4" xr3:uid="{B73DCD6A-F8CF-4633-B01E-DB4680190089}" name="query_driver_data_date_part" dataDxfId="23"/>
    <tableColumn id="5" xr3:uid="{5A650BE9-24D5-46A9-93BF-903622ECF9DD}" name="test_number" dataDxfId="22"/>
    <tableColumn id="6" xr3:uid="{975FDAAD-6C9F-454E-A11C-3351E1416CA7}" name="score" dataDxfId="21"/>
    <tableColumn id="7" xr3:uid="{93C3A3C0-7842-4F4D-9189-2FBF5CDD9AEF}" name="general_result" dataDxfId="20"/>
    <tableColumn id="8" xr3:uid="{DF549C07-6BAB-4DAA-B3E9-47728BC7A4A9}" name="bank_id" dataDxfId="19"/>
    <tableColumn id="9" xr3:uid="{B520522A-FDB6-407E-90AB-2F25F6B81F6D}" name="branch_code" dataDxfId="18"/>
    <tableColumn id="10" xr3:uid="{6DCA8C1E-9507-43A3-A853-5B6FE2A52D5F}" name="contract_id" dataDxfId="17"/>
    <tableColumn id="11" xr3:uid="{914FED8E-0A93-432B-9EAA-6DDD5550785D}" name="reference_code" dataDxfId="16"/>
    <tableColumn id="12" xr3:uid="{F67966D7-8D2E-4522-9AF1-3FD0F918516F}" name="guarantee_bank_id" dataDxfId="15"/>
    <tableColumn id="13" xr3:uid="{05BC2819-1962-4BB9-97A1-D76556C3090A}" name="guarantee_branch_code" dataDxfId="14"/>
    <tableColumn id="14" xr3:uid="{8A93CFAC-7C34-40AA-BCCE-4AAD283E8303}" name="guarantee_account_id" dataDxfId="13"/>
    <tableColumn id="15" xr3:uid="{6DB28FC9-2037-46D0-AEDE-FE72C79E143E}" name="guarantee_reference_code" dataDxfId="12"/>
    <tableColumn id="16" xr3:uid="{3E82D537-C70E-484D-9BE0-7EEC18DE07E3}" name="individual_occupation_cat_code" dataDxfId="11"/>
    <tableColumn id="17" xr3:uid="{718B4D2F-0636-43C1-A6D5-B6195C03F390}" name="product_id" dataDxfId="10"/>
    <tableColumn id="18" xr3:uid="{C575E3A4-C92B-4198-907A-52B4E2CFB60D}" name="subproduct_id" dataDxfId="9"/>
    <tableColumn id="19" xr3:uid="{7B9D3CE4-7BC3-4A83-8BA6-E1F3EB8585BB}" name="purpose_code" dataDxfId="8"/>
    <tableColumn id="22" xr3:uid="{94916B4E-EA42-4348-96A4-85989AF7959E}" name="relation_start_date" dataDxfId="7"/>
    <tableColumn id="23" xr3:uid="{16688CA3-9DF0-499D-BAA1-C66EF9215AAB}" name="effective_relation_end_date" dataDxfId="6"/>
    <tableColumn id="24" xr3:uid="{CD381433-8ED2-461E-956D-C1D04488B51B}" name="established_relation_end_date" dataDxfId="5"/>
    <tableColumn id="28" xr3:uid="{DC518C2D-EE25-44C3-9A3B-98EC618C2347}" name="margin_call_pct" dataDxfId="4"/>
    <tableColumn id="29" xr3:uid="{F41ECBD9-B803-471F-899B-8A251FDE91BA}" name="stop_loss_pct" dataDxfId="3"/>
    <tableColumn id="25" xr3:uid="{C3C020FB-FEAE-46BB-87D4-1B01E0E0C322}" name="source_code" dataDxfId="2"/>
    <tableColumn id="26" xr3:uid="{17F8D41E-5949-442A-9217-21F1B7826198}" name="data_date_part" dataDxfId="1"/>
    <tableColumn id="27" xr3:uid="{E9038407-855E-4CB5-B374-E704143452EC}" name="data_timestamp_par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3" sqref="B3"/>
    </sheetView>
  </sheetViews>
  <sheetFormatPr defaultColWidth="9.42578125" defaultRowHeight="12.75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30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5.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7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7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2" workbookViewId="0">
      <selection activeCell="B6" sqref="B6"/>
    </sheetView>
  </sheetViews>
  <sheetFormatPr defaultColWidth="0" defaultRowHeight="15"/>
  <cols>
    <col min="1" max="1" width="8.85546875" style="4" customWidth="1"/>
    <col min="2" max="2" width="37.42578125" bestFit="1" customWidth="1"/>
    <col min="3" max="3" width="30.7109375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.7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66" t="s">
        <v>1</v>
      </c>
      <c r="C5" s="67" t="s">
        <v>2</v>
      </c>
      <c r="D5" s="68" t="s">
        <v>3</v>
      </c>
      <c r="E5" s="21"/>
    </row>
    <row r="6" spans="1:5">
      <c r="A6" s="21"/>
      <c r="B6" s="64"/>
      <c r="C6" s="51"/>
      <c r="D6" s="65"/>
      <c r="E6" s="21"/>
    </row>
    <row r="7" spans="1:5">
      <c r="A7" s="21"/>
      <c r="B7" s="64"/>
      <c r="C7" s="51"/>
      <c r="D7" s="65"/>
      <c r="E7" s="21"/>
    </row>
    <row r="8" spans="1:5">
      <c r="A8" s="21"/>
      <c r="B8" s="64"/>
      <c r="C8" s="51"/>
      <c r="D8" s="65"/>
      <c r="E8" s="21"/>
    </row>
    <row r="9" spans="1:5">
      <c r="A9" s="21"/>
      <c r="B9" s="64"/>
      <c r="C9" s="51"/>
      <c r="D9" s="65"/>
      <c r="E9" s="21"/>
    </row>
    <row r="10" spans="1:5">
      <c r="A10" s="21"/>
      <c r="B10" s="64"/>
      <c r="C10" s="51"/>
      <c r="D10" s="65"/>
      <c r="E10" s="21"/>
    </row>
    <row r="11" spans="1:5">
      <c r="B11" s="64"/>
      <c r="C11" s="51"/>
      <c r="D11" s="65"/>
    </row>
    <row r="12" spans="1:5">
      <c r="B12" s="64"/>
      <c r="C12" s="51"/>
      <c r="D12" s="65"/>
    </row>
    <row r="13" spans="1:5">
      <c r="B13" s="64"/>
      <c r="C13" s="51"/>
      <c r="D13" s="65"/>
    </row>
    <row r="14" spans="1:5" s="4" customFormat="1">
      <c r="B14" s="64"/>
      <c r="C14" s="51"/>
      <c r="D14" s="65"/>
    </row>
    <row r="15" spans="1:5" s="4" customFormat="1">
      <c r="B15" s="64"/>
      <c r="C15" s="51"/>
      <c r="D15" s="65"/>
    </row>
    <row r="16" spans="1:5" s="4" customFormat="1">
      <c r="B16" s="64"/>
      <c r="C16" s="51"/>
      <c r="D16" s="65"/>
    </row>
    <row r="17" spans="2:4" s="4" customFormat="1">
      <c r="B17" s="64"/>
      <c r="C17" s="51"/>
      <c r="D17" s="65"/>
    </row>
    <row r="18" spans="2:4" s="4" customFormat="1">
      <c r="B18" s="64"/>
      <c r="C18" s="51"/>
      <c r="D18" s="65"/>
    </row>
    <row r="19" spans="2:4" s="4" customFormat="1">
      <c r="B19" s="64"/>
      <c r="C19" s="51"/>
      <c r="D19" s="65"/>
    </row>
    <row r="20" spans="2:4" s="4" customFormat="1">
      <c r="B20" s="64"/>
      <c r="C20" s="51"/>
      <c r="D20" s="65"/>
    </row>
    <row r="21" spans="2:4" s="4" customFormat="1">
      <c r="B21" s="64"/>
      <c r="C21" s="51"/>
      <c r="D21" s="65"/>
    </row>
    <row r="22" spans="2:4" s="4" customFormat="1">
      <c r="B22" s="64"/>
      <c r="C22" s="51"/>
      <c r="D22" s="65"/>
    </row>
    <row r="23" spans="2:4" s="4" customFormat="1">
      <c r="B23" s="64"/>
      <c r="C23" s="51"/>
      <c r="D23" s="65"/>
    </row>
    <row r="24" spans="2:4" s="4" customFormat="1">
      <c r="B24" s="64"/>
      <c r="C24" s="51"/>
      <c r="D24" s="65"/>
    </row>
    <row r="25" spans="2:4" s="4" customFormat="1">
      <c r="B25" s="64"/>
      <c r="C25" s="51"/>
      <c r="D25" s="65"/>
    </row>
    <row r="26" spans="2:4" s="4" customFormat="1">
      <c r="B26" s="64"/>
      <c r="C26" s="51"/>
      <c r="D26" s="65"/>
    </row>
    <row r="27" spans="2:4" s="4" customFormat="1">
      <c r="B27" s="64"/>
      <c r="C27" s="51"/>
      <c r="D27" s="65"/>
    </row>
    <row r="28" spans="2:4" s="4" customFormat="1">
      <c r="B28" s="64"/>
      <c r="C28" s="51"/>
      <c r="D28" s="65"/>
    </row>
    <row r="29" spans="2:4" s="4" customFormat="1">
      <c r="B29" s="64"/>
      <c r="C29" s="51"/>
      <c r="D29" s="65"/>
    </row>
    <row r="30" spans="2:4" s="4" customFormat="1">
      <c r="B30" s="64"/>
      <c r="C30" s="51"/>
      <c r="D30" s="65"/>
    </row>
    <row r="31" spans="2:4" s="4" customFormat="1">
      <c r="B31" s="64"/>
      <c r="C31" s="51"/>
      <c r="D31" s="65"/>
    </row>
    <row r="32" spans="2:4" s="4" customFormat="1">
      <c r="B32" s="64"/>
      <c r="C32" s="51"/>
      <c r="D32" s="65"/>
    </row>
    <row r="33" spans="2:4" s="4" customFormat="1">
      <c r="B33" s="64"/>
      <c r="C33" s="51"/>
      <c r="D33" s="65"/>
    </row>
    <row r="34" spans="2:4" s="4" customFormat="1">
      <c r="B34" s="64"/>
      <c r="C34" s="51"/>
      <c r="D34" s="65"/>
    </row>
    <row r="35" spans="2:4" s="4" customFormat="1">
      <c r="B35" s="64"/>
      <c r="C35" s="51"/>
      <c r="D35" s="65"/>
    </row>
    <row r="36" spans="2:4" s="4" customFormat="1">
      <c r="B36" s="64"/>
      <c r="C36" s="51"/>
      <c r="D36" s="65"/>
    </row>
    <row r="37" spans="2:4" s="4" customFormat="1">
      <c r="B37" s="64"/>
      <c r="C37" s="51"/>
      <c r="D37" s="65"/>
    </row>
    <row r="38" spans="2:4" s="4" customFormat="1">
      <c r="B38" s="64"/>
      <c r="C38" s="51"/>
      <c r="D38" s="65"/>
    </row>
    <row r="39" spans="2:4" s="4" customFormat="1">
      <c r="B39" s="64"/>
      <c r="C39" s="51"/>
      <c r="D39" s="65"/>
    </row>
    <row r="40" spans="2:4" s="4" customFormat="1">
      <c r="B40" s="69"/>
      <c r="C40" s="70"/>
      <c r="D40" s="71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4</v>
      </c>
      <c r="E1" s="23"/>
      <c r="F1" s="23"/>
      <c r="G1" s="23"/>
      <c r="H1" s="23" t="s">
        <v>5</v>
      </c>
      <c r="I1" s="34"/>
      <c r="J1" s="23"/>
      <c r="K1" s="23"/>
      <c r="L1" s="23"/>
      <c r="M1" s="23"/>
      <c r="N1" s="23" t="s">
        <v>6</v>
      </c>
      <c r="O1" s="23"/>
      <c r="P1" s="23"/>
      <c r="Q1" s="23"/>
    </row>
    <row r="2" spans="2:17">
      <c r="B2" s="23" t="s">
        <v>7</v>
      </c>
      <c r="C2" s="23" t="s">
        <v>8</v>
      </c>
      <c r="D2" s="23" t="s">
        <v>9</v>
      </c>
      <c r="E2" s="23">
        <v>1</v>
      </c>
      <c r="F2" s="23">
        <v>500</v>
      </c>
      <c r="G2" s="23">
        <v>500</v>
      </c>
      <c r="H2" s="23"/>
      <c r="I2" s="34"/>
      <c r="J2" s="23" t="s">
        <v>8</v>
      </c>
      <c r="K2" s="23">
        <v>1</v>
      </c>
      <c r="L2" s="23">
        <v>500</v>
      </c>
      <c r="M2" s="23">
        <v>500</v>
      </c>
      <c r="N2" s="23"/>
      <c r="O2" s="23"/>
      <c r="P2" s="23" t="s">
        <v>10</v>
      </c>
      <c r="Q2" s="23" t="s">
        <v>9</v>
      </c>
    </row>
    <row r="3" spans="2:17">
      <c r="B3" s="23" t="s">
        <v>11</v>
      </c>
      <c r="C3" s="23" t="s">
        <v>8</v>
      </c>
      <c r="D3" s="23">
        <v>25</v>
      </c>
      <c r="E3" s="23">
        <v>25</v>
      </c>
      <c r="F3" s="23">
        <v>29</v>
      </c>
      <c r="G3" s="23">
        <v>5</v>
      </c>
      <c r="H3" s="23" t="s">
        <v>12</v>
      </c>
      <c r="I3" s="34"/>
      <c r="J3" s="23" t="s">
        <v>8</v>
      </c>
      <c r="K3" s="23">
        <v>224</v>
      </c>
      <c r="L3" s="23">
        <v>228</v>
      </c>
      <c r="M3" s="23">
        <v>5</v>
      </c>
      <c r="N3" s="23" t="s">
        <v>13</v>
      </c>
      <c r="O3" s="23"/>
      <c r="P3" s="23" t="s">
        <v>14</v>
      </c>
      <c r="Q3" s="23" t="s">
        <v>15</v>
      </c>
    </row>
    <row r="4" spans="2:17">
      <c r="B4" s="23" t="s">
        <v>16</v>
      </c>
      <c r="C4" s="23" t="s">
        <v>8</v>
      </c>
      <c r="D4" s="23">
        <v>26</v>
      </c>
      <c r="E4" s="23">
        <v>69</v>
      </c>
      <c r="F4" s="23">
        <v>73</v>
      </c>
      <c r="G4" s="23">
        <v>5</v>
      </c>
      <c r="H4" s="23" t="s">
        <v>17</v>
      </c>
      <c r="I4" s="34"/>
      <c r="J4" s="23" t="s">
        <v>8</v>
      </c>
      <c r="K4" s="23">
        <v>241</v>
      </c>
      <c r="L4" s="23">
        <v>246</v>
      </c>
      <c r="M4" s="23">
        <v>6</v>
      </c>
      <c r="N4" s="23" t="s">
        <v>18</v>
      </c>
      <c r="O4" s="23"/>
      <c r="P4" s="23" t="s">
        <v>19</v>
      </c>
      <c r="Q4" s="23" t="s">
        <v>15</v>
      </c>
    </row>
    <row r="5" spans="2:17">
      <c r="B5" s="23" t="s">
        <v>20</v>
      </c>
      <c r="C5" s="23" t="s">
        <v>8</v>
      </c>
      <c r="D5" s="23">
        <v>26</v>
      </c>
      <c r="E5" s="23">
        <v>74</v>
      </c>
      <c r="F5" s="23">
        <v>78</v>
      </c>
      <c r="G5" s="23">
        <v>5</v>
      </c>
      <c r="H5" s="23" t="s">
        <v>21</v>
      </c>
      <c r="I5" s="34"/>
      <c r="J5" s="23" t="s">
        <v>8</v>
      </c>
      <c r="K5" s="23">
        <v>241</v>
      </c>
      <c r="L5" s="23">
        <v>246</v>
      </c>
      <c r="M5" s="23">
        <v>6</v>
      </c>
      <c r="N5" s="23" t="s">
        <v>18</v>
      </c>
      <c r="O5" s="23"/>
      <c r="P5" s="23" t="s">
        <v>19</v>
      </c>
      <c r="Q5" s="23" t="s">
        <v>22</v>
      </c>
    </row>
    <row r="6" spans="2:17">
      <c r="B6" s="23" t="s">
        <v>23</v>
      </c>
      <c r="C6" s="23" t="s">
        <v>8</v>
      </c>
      <c r="D6" s="23">
        <v>532</v>
      </c>
      <c r="E6" s="23">
        <v>79</v>
      </c>
      <c r="F6" s="23">
        <v>83</v>
      </c>
      <c r="G6" s="23">
        <v>5</v>
      </c>
      <c r="H6" s="23" t="s">
        <v>24</v>
      </c>
      <c r="I6" s="34"/>
      <c r="J6" s="23" t="s">
        <v>8</v>
      </c>
      <c r="K6" s="23">
        <v>247</v>
      </c>
      <c r="L6" s="23">
        <v>247</v>
      </c>
      <c r="M6" s="23">
        <v>1</v>
      </c>
      <c r="N6" s="23" t="s">
        <v>25</v>
      </c>
      <c r="O6" s="23" t="s">
        <v>26</v>
      </c>
      <c r="P6" s="23" t="s">
        <v>27</v>
      </c>
      <c r="Q6" s="23" t="s">
        <v>22</v>
      </c>
    </row>
    <row r="7" spans="2:17">
      <c r="B7" s="23" t="s">
        <v>28</v>
      </c>
      <c r="C7" s="23" t="s">
        <v>8</v>
      </c>
      <c r="D7" s="23">
        <v>27</v>
      </c>
      <c r="E7" s="23">
        <v>85</v>
      </c>
      <c r="F7" s="23">
        <v>89</v>
      </c>
      <c r="G7" s="23">
        <v>5</v>
      </c>
      <c r="H7" s="23" t="s">
        <v>29</v>
      </c>
      <c r="I7" s="34"/>
      <c r="J7" s="23" t="s">
        <v>8</v>
      </c>
      <c r="K7" s="23">
        <v>248</v>
      </c>
      <c r="L7" s="23">
        <v>248</v>
      </c>
      <c r="M7" s="23">
        <v>1</v>
      </c>
      <c r="N7" s="23" t="s">
        <v>30</v>
      </c>
      <c r="O7" s="23"/>
      <c r="P7" s="23" t="s">
        <v>31</v>
      </c>
      <c r="Q7" s="23" t="s">
        <v>15</v>
      </c>
    </row>
    <row r="8" spans="2:17">
      <c r="B8" s="23" t="s">
        <v>32</v>
      </c>
      <c r="C8" s="23" t="s">
        <v>8</v>
      </c>
      <c r="D8" s="23">
        <v>28</v>
      </c>
      <c r="E8" s="23">
        <v>90</v>
      </c>
      <c r="F8" s="23">
        <v>94</v>
      </c>
      <c r="G8" s="23">
        <v>5</v>
      </c>
      <c r="H8" s="23" t="s">
        <v>33</v>
      </c>
      <c r="I8" s="34"/>
      <c r="J8" s="23" t="s">
        <v>8</v>
      </c>
      <c r="K8" s="23">
        <v>249</v>
      </c>
      <c r="L8" s="23">
        <v>249</v>
      </c>
      <c r="M8" s="23">
        <v>1</v>
      </c>
      <c r="N8" s="23" t="s">
        <v>34</v>
      </c>
      <c r="O8" s="23"/>
      <c r="P8" s="23" t="s">
        <v>35</v>
      </c>
      <c r="Q8" s="23" t="s">
        <v>15</v>
      </c>
    </row>
    <row r="9" spans="2:17">
      <c r="B9" s="23" t="s">
        <v>36</v>
      </c>
      <c r="C9" s="23" t="s">
        <v>8</v>
      </c>
      <c r="D9" s="23">
        <v>29</v>
      </c>
      <c r="E9" s="23">
        <v>95</v>
      </c>
      <c r="F9" s="23">
        <v>99</v>
      </c>
      <c r="G9" s="23">
        <v>5</v>
      </c>
      <c r="H9" s="23" t="s">
        <v>37</v>
      </c>
      <c r="I9" s="34"/>
      <c r="J9" s="23" t="s">
        <v>8</v>
      </c>
      <c r="K9" s="23">
        <v>250</v>
      </c>
      <c r="L9" s="23">
        <v>254</v>
      </c>
      <c r="M9" s="23">
        <v>5</v>
      </c>
      <c r="N9" s="23" t="s">
        <v>38</v>
      </c>
      <c r="O9" s="23"/>
      <c r="P9" s="23" t="s">
        <v>39</v>
      </c>
      <c r="Q9" s="23" t="s">
        <v>15</v>
      </c>
    </row>
    <row r="10" spans="2:17">
      <c r="B10" s="23" t="s">
        <v>40</v>
      </c>
      <c r="C10" s="23" t="s">
        <v>8</v>
      </c>
      <c r="D10" s="23">
        <v>30</v>
      </c>
      <c r="E10" s="23">
        <v>152</v>
      </c>
      <c r="F10" s="23">
        <v>156</v>
      </c>
      <c r="G10" s="23">
        <v>5</v>
      </c>
      <c r="H10" s="23" t="s">
        <v>41</v>
      </c>
      <c r="I10" s="34"/>
      <c r="J10" s="23" t="s">
        <v>8</v>
      </c>
      <c r="K10" s="23">
        <v>255</v>
      </c>
      <c r="L10" s="23">
        <v>256</v>
      </c>
      <c r="M10" s="23">
        <v>2</v>
      </c>
      <c r="N10" s="23" t="s">
        <v>42</v>
      </c>
      <c r="O10" s="23" t="s">
        <v>43</v>
      </c>
      <c r="P10" s="23" t="s">
        <v>44</v>
      </c>
      <c r="Q10" s="23" t="s">
        <v>15</v>
      </c>
    </row>
    <row r="11" spans="2:17">
      <c r="B11" s="26" t="s">
        <v>45</v>
      </c>
      <c r="C11" s="26" t="s">
        <v>46</v>
      </c>
      <c r="D11" s="26" t="s">
        <v>9</v>
      </c>
      <c r="E11" s="26">
        <v>1</v>
      </c>
      <c r="F11" s="26">
        <v>500</v>
      </c>
      <c r="G11" s="26">
        <v>500</v>
      </c>
      <c r="H11" s="26"/>
      <c r="I11" s="36"/>
      <c r="J11" s="26" t="s">
        <v>46</v>
      </c>
      <c r="K11" s="26">
        <v>1</v>
      </c>
      <c r="L11" s="26">
        <v>500</v>
      </c>
      <c r="M11" s="26">
        <v>500</v>
      </c>
      <c r="N11" s="26"/>
      <c r="O11" s="26"/>
      <c r="P11" s="26" t="s">
        <v>10</v>
      </c>
      <c r="Q11" s="26" t="s">
        <v>9</v>
      </c>
    </row>
    <row r="12" spans="2:17">
      <c r="B12" s="26" t="s">
        <v>47</v>
      </c>
      <c r="C12" s="26" t="s">
        <v>46</v>
      </c>
      <c r="D12" s="26" t="s">
        <v>9</v>
      </c>
      <c r="E12" s="26">
        <v>501</v>
      </c>
      <c r="F12" s="26">
        <v>999</v>
      </c>
      <c r="G12" s="26">
        <v>500</v>
      </c>
      <c r="H12" s="26"/>
      <c r="I12" s="36"/>
      <c r="J12" s="26" t="s">
        <v>46</v>
      </c>
      <c r="K12" s="26">
        <v>501</v>
      </c>
      <c r="L12" s="26">
        <v>999</v>
      </c>
      <c r="M12" s="26">
        <v>500</v>
      </c>
      <c r="N12" s="26"/>
      <c r="O12" s="26"/>
      <c r="P12" s="26" t="s">
        <v>10</v>
      </c>
      <c r="Q12" s="26" t="s">
        <v>9</v>
      </c>
    </row>
    <row r="13" spans="2:17">
      <c r="B13" s="26" t="s">
        <v>48</v>
      </c>
      <c r="C13" s="26" t="s">
        <v>46</v>
      </c>
      <c r="D13" s="26">
        <v>508</v>
      </c>
      <c r="E13" s="26">
        <v>39</v>
      </c>
      <c r="F13" s="26">
        <v>43</v>
      </c>
      <c r="G13" s="26">
        <v>5</v>
      </c>
      <c r="H13" s="26" t="s">
        <v>49</v>
      </c>
      <c r="I13" s="36"/>
      <c r="J13" s="26" t="s">
        <v>46</v>
      </c>
      <c r="K13" s="26">
        <v>474</v>
      </c>
      <c r="L13" s="26">
        <v>477</v>
      </c>
      <c r="M13" s="26">
        <v>4</v>
      </c>
      <c r="N13" s="26" t="s">
        <v>50</v>
      </c>
      <c r="O13" s="26"/>
      <c r="P13" s="26" t="s">
        <v>51</v>
      </c>
      <c r="Q13" s="26" t="s">
        <v>22</v>
      </c>
    </row>
    <row r="14" spans="2:17">
      <c r="B14" s="26" t="s">
        <v>52</v>
      </c>
      <c r="C14" s="26" t="s">
        <v>46</v>
      </c>
      <c r="D14" s="26">
        <v>20</v>
      </c>
      <c r="E14" s="26">
        <v>86</v>
      </c>
      <c r="F14" s="26">
        <v>90</v>
      </c>
      <c r="G14" s="26">
        <v>5</v>
      </c>
      <c r="H14" s="26" t="s">
        <v>53</v>
      </c>
      <c r="I14" s="36"/>
      <c r="J14" s="26" t="s">
        <v>46</v>
      </c>
      <c r="K14" s="26">
        <v>478</v>
      </c>
      <c r="L14" s="26">
        <v>482</v>
      </c>
      <c r="M14" s="26">
        <v>5</v>
      </c>
      <c r="N14" s="26" t="s">
        <v>54</v>
      </c>
      <c r="O14" s="26"/>
      <c r="P14" s="26" t="s">
        <v>55</v>
      </c>
      <c r="Q14" s="26" t="s">
        <v>15</v>
      </c>
    </row>
    <row r="15" spans="2:17">
      <c r="B15" s="26" t="s">
        <v>56</v>
      </c>
      <c r="C15" s="26" t="s">
        <v>46</v>
      </c>
      <c r="D15" s="26">
        <v>32</v>
      </c>
      <c r="E15" s="26">
        <v>91</v>
      </c>
      <c r="F15" s="26">
        <v>95</v>
      </c>
      <c r="G15" s="26">
        <v>5</v>
      </c>
      <c r="H15" s="26" t="s">
        <v>57</v>
      </c>
      <c r="I15" s="36"/>
      <c r="J15" s="26" t="s">
        <v>46</v>
      </c>
      <c r="K15" s="26">
        <v>483</v>
      </c>
      <c r="L15" s="26">
        <v>487</v>
      </c>
      <c r="M15" s="26">
        <v>5</v>
      </c>
      <c r="N15" s="26" t="s">
        <v>58</v>
      </c>
      <c r="O15" s="26"/>
      <c r="P15" s="26" t="s">
        <v>59</v>
      </c>
      <c r="Q15" s="26" t="s">
        <v>15</v>
      </c>
    </row>
    <row r="16" spans="2:17">
      <c r="B16" s="26" t="s">
        <v>60</v>
      </c>
      <c r="C16" s="26" t="s">
        <v>46</v>
      </c>
      <c r="D16" s="26">
        <v>13</v>
      </c>
      <c r="E16" s="26">
        <v>96</v>
      </c>
      <c r="F16" s="26">
        <v>100</v>
      </c>
      <c r="G16" s="26">
        <v>5</v>
      </c>
      <c r="H16" s="26" t="s">
        <v>61</v>
      </c>
      <c r="I16" s="36"/>
      <c r="J16" s="26" t="s">
        <v>46</v>
      </c>
      <c r="K16" s="26">
        <v>488</v>
      </c>
      <c r="L16" s="26">
        <v>492</v>
      </c>
      <c r="M16" s="26">
        <v>5</v>
      </c>
      <c r="N16" s="26" t="s">
        <v>62</v>
      </c>
      <c r="O16" s="26"/>
      <c r="P16" s="26" t="s">
        <v>63</v>
      </c>
      <c r="Q16" s="26" t="s">
        <v>15</v>
      </c>
    </row>
    <row r="17" spans="2:17">
      <c r="B17" s="26" t="s">
        <v>64</v>
      </c>
      <c r="C17" s="26" t="s">
        <v>46</v>
      </c>
      <c r="D17" s="26">
        <v>503</v>
      </c>
      <c r="E17" s="26">
        <v>119</v>
      </c>
      <c r="F17" s="26">
        <v>123</v>
      </c>
      <c r="G17" s="26">
        <v>5</v>
      </c>
      <c r="H17" s="26" t="s">
        <v>65</v>
      </c>
      <c r="I17" s="36"/>
      <c r="J17" s="26" t="s">
        <v>46</v>
      </c>
      <c r="K17" s="26">
        <v>493</v>
      </c>
      <c r="L17" s="26">
        <v>497</v>
      </c>
      <c r="M17" s="26">
        <v>5</v>
      </c>
      <c r="N17" s="26" t="s">
        <v>66</v>
      </c>
      <c r="O17" s="26"/>
      <c r="P17" s="26" t="s">
        <v>67</v>
      </c>
      <c r="Q17" s="26" t="s">
        <v>22</v>
      </c>
    </row>
    <row r="18" spans="2:17">
      <c r="B18" s="26" t="s">
        <v>68</v>
      </c>
      <c r="C18" s="26" t="s">
        <v>46</v>
      </c>
      <c r="D18" s="26">
        <v>2</v>
      </c>
      <c r="E18" s="26">
        <v>124</v>
      </c>
      <c r="F18" s="26">
        <v>128</v>
      </c>
      <c r="G18" s="26">
        <v>5</v>
      </c>
      <c r="H18" s="26" t="s">
        <v>69</v>
      </c>
      <c r="I18" s="36"/>
      <c r="J18" s="26" t="s">
        <v>46</v>
      </c>
      <c r="K18" s="26">
        <v>498</v>
      </c>
      <c r="L18" s="26">
        <v>500</v>
      </c>
      <c r="M18" s="26">
        <v>3</v>
      </c>
      <c r="N18" s="26" t="s">
        <v>70</v>
      </c>
      <c r="O18" s="26"/>
      <c r="P18" s="26" t="s">
        <v>71</v>
      </c>
      <c r="Q18" s="26" t="s">
        <v>15</v>
      </c>
    </row>
    <row r="19" spans="2:17">
      <c r="B19" s="26" t="s">
        <v>72</v>
      </c>
      <c r="C19" s="26" t="s">
        <v>46</v>
      </c>
      <c r="D19" s="26">
        <v>6</v>
      </c>
      <c r="E19" s="26">
        <v>146</v>
      </c>
      <c r="F19" s="26">
        <v>148</v>
      </c>
      <c r="G19" s="26">
        <v>3</v>
      </c>
      <c r="H19" s="26" t="s">
        <v>73</v>
      </c>
      <c r="I19" s="36"/>
      <c r="J19" s="26" t="s">
        <v>46</v>
      </c>
      <c r="K19" s="26">
        <v>501</v>
      </c>
      <c r="L19" s="26">
        <v>503</v>
      </c>
      <c r="M19" s="26">
        <v>3</v>
      </c>
      <c r="N19" s="26" t="s">
        <v>74</v>
      </c>
      <c r="O19" s="26"/>
      <c r="P19" s="26" t="s">
        <v>75</v>
      </c>
      <c r="Q19" s="26" t="s">
        <v>15</v>
      </c>
    </row>
    <row r="20" spans="2:17">
      <c r="B20" s="26" t="s">
        <v>76</v>
      </c>
      <c r="C20" s="26" t="s">
        <v>46</v>
      </c>
      <c r="D20" s="26">
        <v>40</v>
      </c>
      <c r="E20" s="26">
        <v>199</v>
      </c>
      <c r="F20" s="26">
        <v>203</v>
      </c>
      <c r="G20" s="26">
        <v>5</v>
      </c>
      <c r="H20" s="26" t="s">
        <v>77</v>
      </c>
      <c r="I20" s="36"/>
      <c r="J20" s="26" t="s">
        <v>46</v>
      </c>
      <c r="K20" s="26">
        <v>504</v>
      </c>
      <c r="L20" s="26">
        <v>508</v>
      </c>
      <c r="M20" s="26">
        <v>5</v>
      </c>
      <c r="N20" s="26" t="s">
        <v>78</v>
      </c>
      <c r="O20" s="26"/>
      <c r="P20" s="26" t="s">
        <v>79</v>
      </c>
      <c r="Q20" s="26" t="s">
        <v>15</v>
      </c>
    </row>
    <row r="21" spans="2:17">
      <c r="B21" s="26" t="s">
        <v>80</v>
      </c>
      <c r="C21" s="26" t="s">
        <v>46</v>
      </c>
      <c r="D21" s="26">
        <v>47</v>
      </c>
      <c r="E21" s="26">
        <v>253</v>
      </c>
      <c r="F21" s="26">
        <v>257</v>
      </c>
      <c r="G21" s="26">
        <v>5</v>
      </c>
      <c r="H21" s="26" t="s">
        <v>81</v>
      </c>
      <c r="I21" s="36"/>
      <c r="J21" s="26" t="s">
        <v>46</v>
      </c>
      <c r="K21" s="26">
        <v>509</v>
      </c>
      <c r="L21" s="26">
        <v>513</v>
      </c>
      <c r="M21" s="26">
        <v>5</v>
      </c>
      <c r="N21" s="26" t="s">
        <v>82</v>
      </c>
      <c r="O21" s="26"/>
      <c r="P21" s="26" t="s">
        <v>83</v>
      </c>
      <c r="Q21" s="26" t="s">
        <v>15</v>
      </c>
    </row>
    <row r="22" spans="2:17">
      <c r="B22" s="26" t="s">
        <v>84</v>
      </c>
      <c r="C22" s="26" t="s">
        <v>46</v>
      </c>
      <c r="D22" s="26">
        <v>49</v>
      </c>
      <c r="E22" s="26">
        <v>258</v>
      </c>
      <c r="F22" s="26">
        <v>262</v>
      </c>
      <c r="G22" s="26">
        <v>5</v>
      </c>
      <c r="H22" s="26" t="s">
        <v>85</v>
      </c>
      <c r="I22" s="36"/>
      <c r="J22" s="26" t="s">
        <v>46</v>
      </c>
      <c r="K22" s="26">
        <v>514</v>
      </c>
      <c r="L22" s="26">
        <v>517</v>
      </c>
      <c r="M22" s="26">
        <v>4</v>
      </c>
      <c r="N22" s="26" t="s">
        <v>86</v>
      </c>
      <c r="O22" s="26"/>
      <c r="P22" s="26" t="s">
        <v>87</v>
      </c>
      <c r="Q22" s="26" t="s">
        <v>15</v>
      </c>
    </row>
    <row r="23" spans="2:17">
      <c r="B23" s="26" t="s">
        <v>88</v>
      </c>
      <c r="C23" s="26" t="s">
        <v>46</v>
      </c>
      <c r="D23" s="26">
        <v>50</v>
      </c>
      <c r="E23" s="26">
        <v>280</v>
      </c>
      <c r="F23" s="26">
        <v>284</v>
      </c>
      <c r="G23" s="26">
        <v>5</v>
      </c>
      <c r="H23" s="26" t="s">
        <v>89</v>
      </c>
      <c r="I23" s="36"/>
      <c r="J23" s="26" t="s">
        <v>46</v>
      </c>
      <c r="K23" s="26">
        <v>518</v>
      </c>
      <c r="L23" s="26">
        <v>522</v>
      </c>
      <c r="M23" s="26">
        <v>5</v>
      </c>
      <c r="N23" s="26" t="s">
        <v>90</v>
      </c>
      <c r="O23" s="26"/>
      <c r="P23" s="26" t="s">
        <v>91</v>
      </c>
      <c r="Q23" s="26" t="s">
        <v>15</v>
      </c>
    </row>
    <row r="24" spans="2:17">
      <c r="B24" s="26" t="s">
        <v>92</v>
      </c>
      <c r="C24" s="26" t="s">
        <v>46</v>
      </c>
      <c r="D24" s="26">
        <v>8</v>
      </c>
      <c r="E24" s="26">
        <v>285</v>
      </c>
      <c r="F24" s="26">
        <v>289</v>
      </c>
      <c r="G24" s="26">
        <v>5</v>
      </c>
      <c r="H24" s="26" t="s">
        <v>93</v>
      </c>
      <c r="I24" s="36"/>
      <c r="J24" s="26" t="s">
        <v>46</v>
      </c>
      <c r="K24" s="26">
        <v>523</v>
      </c>
      <c r="L24" s="26">
        <v>523</v>
      </c>
      <c r="M24" s="26">
        <v>1</v>
      </c>
      <c r="N24" s="26" t="s">
        <v>94</v>
      </c>
      <c r="O24" s="26"/>
      <c r="P24" s="26" t="s">
        <v>95</v>
      </c>
      <c r="Q24" s="26" t="s">
        <v>15</v>
      </c>
    </row>
    <row r="25" spans="2:17">
      <c r="B25" s="26" t="s">
        <v>96</v>
      </c>
      <c r="C25" s="26" t="s">
        <v>46</v>
      </c>
      <c r="D25" s="26">
        <v>101</v>
      </c>
      <c r="E25" s="26">
        <v>589</v>
      </c>
      <c r="F25" s="26">
        <v>593</v>
      </c>
      <c r="G25" s="26">
        <v>5</v>
      </c>
      <c r="H25" s="26" t="s">
        <v>97</v>
      </c>
      <c r="I25" s="36"/>
      <c r="J25" s="26" t="s">
        <v>46</v>
      </c>
      <c r="K25" s="26">
        <v>594</v>
      </c>
      <c r="L25" s="26">
        <v>599</v>
      </c>
      <c r="M25" s="26">
        <v>6</v>
      </c>
      <c r="N25" s="26" t="s">
        <v>18</v>
      </c>
      <c r="O25" s="26"/>
      <c r="P25" s="26" t="s">
        <v>98</v>
      </c>
      <c r="Q25" s="26" t="s">
        <v>15</v>
      </c>
    </row>
    <row r="26" spans="2:17">
      <c r="B26" s="23" t="s">
        <v>99</v>
      </c>
      <c r="C26" s="23" t="s">
        <v>100</v>
      </c>
      <c r="D26" s="23" t="s">
        <v>9</v>
      </c>
      <c r="E26" s="23">
        <v>1</v>
      </c>
      <c r="F26" s="23">
        <v>500</v>
      </c>
      <c r="G26" s="23">
        <v>500</v>
      </c>
      <c r="H26" s="23"/>
      <c r="I26" s="34"/>
      <c r="J26" s="23" t="s">
        <v>100</v>
      </c>
      <c r="K26" s="23">
        <v>1</v>
      </c>
      <c r="L26" s="23">
        <v>500</v>
      </c>
      <c r="M26" s="23">
        <v>500</v>
      </c>
      <c r="N26" s="23"/>
      <c r="O26" s="23"/>
      <c r="P26" s="23" t="s">
        <v>10</v>
      </c>
      <c r="Q26" s="23" t="s">
        <v>9</v>
      </c>
    </row>
    <row r="27" spans="2:17">
      <c r="B27" s="23" t="s">
        <v>101</v>
      </c>
      <c r="C27" s="23" t="s">
        <v>100</v>
      </c>
      <c r="D27" s="23">
        <v>26</v>
      </c>
      <c r="E27" s="23">
        <v>169</v>
      </c>
      <c r="F27" s="23">
        <v>173</v>
      </c>
      <c r="G27" s="23">
        <v>5</v>
      </c>
      <c r="H27" s="23" t="s">
        <v>17</v>
      </c>
      <c r="I27" s="34"/>
      <c r="J27" s="23" t="s">
        <v>100</v>
      </c>
      <c r="K27" s="23">
        <v>175</v>
      </c>
      <c r="L27" s="23">
        <v>180</v>
      </c>
      <c r="M27" s="23">
        <v>6</v>
      </c>
      <c r="N27" s="23" t="s">
        <v>18</v>
      </c>
      <c r="O27" s="23"/>
      <c r="P27" s="23" t="s">
        <v>19</v>
      </c>
      <c r="Q27" s="23" t="s">
        <v>15</v>
      </c>
    </row>
    <row r="28" spans="2:17" ht="45">
      <c r="B28" s="23" t="s">
        <v>102</v>
      </c>
      <c r="C28" s="23" t="s">
        <v>100</v>
      </c>
      <c r="D28" s="23">
        <v>81</v>
      </c>
      <c r="E28" s="23">
        <v>147</v>
      </c>
      <c r="F28" s="23">
        <v>151</v>
      </c>
      <c r="G28" s="23">
        <v>5</v>
      </c>
      <c r="H28" s="23" t="s">
        <v>103</v>
      </c>
      <c r="I28" s="34"/>
      <c r="J28" s="23" t="s">
        <v>100</v>
      </c>
      <c r="K28" s="23">
        <v>169</v>
      </c>
      <c r="L28" s="23">
        <v>180</v>
      </c>
      <c r="M28" s="23">
        <v>12</v>
      </c>
      <c r="N28" s="34" t="s">
        <v>104</v>
      </c>
      <c r="O28" s="23"/>
      <c r="P28" s="23" t="s">
        <v>105</v>
      </c>
      <c r="Q28" s="23" t="s">
        <v>15</v>
      </c>
    </row>
    <row r="31" spans="2:17">
      <c r="B31" s="23" t="s">
        <v>106</v>
      </c>
      <c r="C31" s="23" t="s">
        <v>107</v>
      </c>
      <c r="D31" s="23" t="s">
        <v>9</v>
      </c>
      <c r="E31" s="23">
        <v>1</v>
      </c>
      <c r="F31" s="23">
        <v>500</v>
      </c>
      <c r="G31" s="23">
        <v>500</v>
      </c>
      <c r="H31" s="23"/>
      <c r="I31" s="34"/>
      <c r="J31" s="23" t="s">
        <v>107</v>
      </c>
      <c r="K31" s="23">
        <v>1</v>
      </c>
      <c r="L31" s="23">
        <v>500</v>
      </c>
      <c r="M31" s="23">
        <v>500</v>
      </c>
      <c r="N31" s="23"/>
      <c r="O31" s="23"/>
      <c r="P31" s="23" t="s">
        <v>10</v>
      </c>
      <c r="Q31" s="23" t="s">
        <v>9</v>
      </c>
    </row>
    <row r="32" spans="2:17">
      <c r="B32" s="23" t="s">
        <v>108</v>
      </c>
      <c r="C32" s="23" t="s">
        <v>107</v>
      </c>
      <c r="D32" s="23" t="s">
        <v>9</v>
      </c>
      <c r="E32" s="23">
        <v>501</v>
      </c>
      <c r="F32" s="23">
        <v>500</v>
      </c>
      <c r="G32" s="23">
        <v>500</v>
      </c>
      <c r="H32" s="23"/>
      <c r="I32" s="34"/>
      <c r="J32" s="23" t="s">
        <v>107</v>
      </c>
      <c r="K32" s="23">
        <v>501</v>
      </c>
      <c r="L32" s="23">
        <v>500</v>
      </c>
      <c r="M32" s="23">
        <v>500</v>
      </c>
      <c r="N32" s="23"/>
      <c r="O32" s="23"/>
      <c r="P32" s="23" t="s">
        <v>10</v>
      </c>
      <c r="Q32" s="23" t="s">
        <v>9</v>
      </c>
    </row>
    <row r="33" spans="2:17">
      <c r="B33" s="23" t="s">
        <v>109</v>
      </c>
      <c r="C33" s="23" t="s">
        <v>107</v>
      </c>
      <c r="D33" s="23">
        <v>159</v>
      </c>
      <c r="E33" s="23">
        <v>25</v>
      </c>
      <c r="F33" s="23">
        <v>29</v>
      </c>
      <c r="G33" s="23">
        <v>5</v>
      </c>
      <c r="H33" s="23" t="s">
        <v>110</v>
      </c>
      <c r="I33" s="34"/>
      <c r="J33" s="23" t="s">
        <v>107</v>
      </c>
      <c r="K33" s="23">
        <v>501</v>
      </c>
      <c r="L33" s="23">
        <v>505</v>
      </c>
      <c r="M33" s="23">
        <v>5</v>
      </c>
      <c r="N33" s="23" t="s">
        <v>111</v>
      </c>
      <c r="O33" s="23"/>
      <c r="P33" s="23" t="s">
        <v>112</v>
      </c>
      <c r="Q33" s="23" t="s">
        <v>15</v>
      </c>
    </row>
    <row r="34" spans="2:17">
      <c r="B34" s="23" t="s">
        <v>113</v>
      </c>
      <c r="C34" s="23" t="s">
        <v>107</v>
      </c>
      <c r="D34" s="23">
        <v>160</v>
      </c>
      <c r="E34" s="23">
        <v>220</v>
      </c>
      <c r="F34" s="23">
        <v>224</v>
      </c>
      <c r="G34" s="23">
        <v>5</v>
      </c>
      <c r="H34" s="23" t="s">
        <v>114</v>
      </c>
      <c r="I34" s="34"/>
      <c r="J34" s="23" t="s">
        <v>107</v>
      </c>
      <c r="K34" s="23">
        <v>506</v>
      </c>
      <c r="L34" s="23">
        <v>510</v>
      </c>
      <c r="M34" s="23">
        <v>5</v>
      </c>
      <c r="N34" s="23" t="s">
        <v>115</v>
      </c>
      <c r="O34" s="23"/>
      <c r="P34" s="23" t="s">
        <v>116</v>
      </c>
      <c r="Q34" s="23" t="s">
        <v>15</v>
      </c>
    </row>
    <row r="35" spans="2:17">
      <c r="B35" s="23" t="s">
        <v>117</v>
      </c>
      <c r="C35" s="23" t="s">
        <v>107</v>
      </c>
      <c r="D35" s="23">
        <v>124</v>
      </c>
      <c r="E35" s="23">
        <v>327</v>
      </c>
      <c r="F35" s="23">
        <v>331</v>
      </c>
      <c r="G35" s="23">
        <v>5</v>
      </c>
      <c r="H35" s="23" t="s">
        <v>118</v>
      </c>
      <c r="I35" s="34"/>
      <c r="J35" s="23" t="s">
        <v>107</v>
      </c>
      <c r="K35" s="23">
        <v>511</v>
      </c>
      <c r="L35" s="23">
        <v>515</v>
      </c>
      <c r="M35" s="23">
        <v>5</v>
      </c>
      <c r="N35" s="23" t="s">
        <v>119</v>
      </c>
      <c r="O35" s="23"/>
      <c r="P35" s="23" t="s">
        <v>120</v>
      </c>
      <c r="Q35" s="23" t="s">
        <v>15</v>
      </c>
    </row>
    <row r="36" spans="2:17">
      <c r="B36" s="23" t="s">
        <v>121</v>
      </c>
      <c r="C36" s="23" t="s">
        <v>122</v>
      </c>
      <c r="D36" s="23" t="s">
        <v>9</v>
      </c>
      <c r="E36" s="23">
        <v>1</v>
      </c>
      <c r="F36" s="23">
        <v>250</v>
      </c>
      <c r="G36" s="23">
        <v>250</v>
      </c>
      <c r="H36" s="23" t="s">
        <v>123</v>
      </c>
      <c r="I36" s="34"/>
      <c r="J36" s="23" t="s">
        <v>122</v>
      </c>
      <c r="K36" s="23">
        <v>1</v>
      </c>
      <c r="L36" s="23">
        <v>250</v>
      </c>
      <c r="M36" s="23">
        <v>250</v>
      </c>
      <c r="N36" s="23"/>
      <c r="O36" s="23"/>
      <c r="P36" s="23" t="s">
        <v>10</v>
      </c>
      <c r="Q36" s="23" t="s">
        <v>9</v>
      </c>
    </row>
    <row r="37" spans="2:17">
      <c r="B37" s="23" t="s">
        <v>124</v>
      </c>
      <c r="C37" s="23" t="s">
        <v>122</v>
      </c>
      <c r="D37" s="23">
        <v>161</v>
      </c>
      <c r="E37" s="23">
        <v>35</v>
      </c>
      <c r="F37" s="23">
        <v>39</v>
      </c>
      <c r="G37" s="23">
        <v>5</v>
      </c>
      <c r="H37" s="23" t="s">
        <v>125</v>
      </c>
      <c r="I37" s="34"/>
      <c r="J37" s="23" t="s">
        <v>122</v>
      </c>
      <c r="K37" s="23">
        <v>129</v>
      </c>
      <c r="L37" s="23">
        <v>133</v>
      </c>
      <c r="M37" s="23">
        <v>5</v>
      </c>
      <c r="N37" s="23" t="s">
        <v>126</v>
      </c>
      <c r="O37" s="23"/>
      <c r="P37" s="23" t="s">
        <v>127</v>
      </c>
      <c r="Q37" s="23" t="s">
        <v>22</v>
      </c>
    </row>
    <row r="38" spans="2:17">
      <c r="B38" s="23" t="s">
        <v>128</v>
      </c>
      <c r="C38" s="23" t="s">
        <v>122</v>
      </c>
      <c r="D38" s="23">
        <v>161</v>
      </c>
      <c r="E38" s="23">
        <v>40</v>
      </c>
      <c r="F38" s="23">
        <v>44</v>
      </c>
      <c r="G38" s="23">
        <v>5</v>
      </c>
      <c r="H38" s="23" t="s">
        <v>129</v>
      </c>
      <c r="I38" s="34"/>
      <c r="J38" s="23" t="s">
        <v>122</v>
      </c>
      <c r="K38" s="23">
        <v>129</v>
      </c>
      <c r="L38" s="23">
        <v>133</v>
      </c>
      <c r="M38" s="23">
        <v>5</v>
      </c>
      <c r="N38" s="23" t="s">
        <v>126</v>
      </c>
      <c r="O38" s="23"/>
      <c r="P38" s="23" t="s">
        <v>127</v>
      </c>
      <c r="Q38" s="23" t="s">
        <v>15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130</v>
      </c>
      <c r="C43" t="s">
        <v>123</v>
      </c>
      <c r="E43">
        <v>1</v>
      </c>
      <c r="F43" t="s">
        <v>9</v>
      </c>
      <c r="G43">
        <v>500</v>
      </c>
      <c r="K43">
        <v>1</v>
      </c>
      <c r="L43" t="s">
        <v>9</v>
      </c>
      <c r="M43">
        <v>500</v>
      </c>
      <c r="P43" t="s">
        <v>10</v>
      </c>
      <c r="Q43" t="s">
        <v>9</v>
      </c>
    </row>
    <row r="44" spans="2:17">
      <c r="B44" t="s">
        <v>131</v>
      </c>
      <c r="C44" t="s">
        <v>132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133</v>
      </c>
      <c r="P44" t="s">
        <v>134</v>
      </c>
      <c r="Q44" t="s">
        <v>22</v>
      </c>
    </row>
    <row r="45" spans="2:17">
      <c r="B45" t="s">
        <v>135</v>
      </c>
      <c r="C45" t="s">
        <v>136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133</v>
      </c>
      <c r="P45" t="s">
        <v>134</v>
      </c>
      <c r="Q45" t="s">
        <v>15</v>
      </c>
    </row>
    <row r="48" spans="2:17">
      <c r="B48" t="s">
        <v>137</v>
      </c>
      <c r="C48" t="s">
        <v>138</v>
      </c>
      <c r="D48" t="s">
        <v>9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10</v>
      </c>
    </row>
    <row r="49" spans="2:17">
      <c r="B49" t="s">
        <v>139</v>
      </c>
      <c r="C49" t="s">
        <v>138</v>
      </c>
      <c r="D49">
        <v>1</v>
      </c>
      <c r="E49">
        <v>1</v>
      </c>
      <c r="F49">
        <v>5</v>
      </c>
      <c r="G49">
        <v>5</v>
      </c>
      <c r="H49" t="s">
        <v>140</v>
      </c>
      <c r="K49">
        <v>160</v>
      </c>
      <c r="L49">
        <v>161</v>
      </c>
      <c r="M49">
        <v>2</v>
      </c>
      <c r="N49" t="s">
        <v>141</v>
      </c>
      <c r="P49" t="s">
        <v>142</v>
      </c>
      <c r="Q49" t="s">
        <v>15</v>
      </c>
    </row>
    <row r="50" spans="2:17">
      <c r="B50" t="s">
        <v>143</v>
      </c>
      <c r="C50" t="s">
        <v>138</v>
      </c>
      <c r="D50">
        <v>12</v>
      </c>
      <c r="E50">
        <v>57</v>
      </c>
      <c r="F50">
        <v>61</v>
      </c>
      <c r="G50">
        <v>5</v>
      </c>
      <c r="H50" t="s">
        <v>144</v>
      </c>
      <c r="K50">
        <v>182</v>
      </c>
      <c r="L50">
        <v>185</v>
      </c>
      <c r="M50">
        <v>4</v>
      </c>
      <c r="N50" t="s">
        <v>145</v>
      </c>
      <c r="P50" t="s">
        <v>146</v>
      </c>
      <c r="Q50" t="s">
        <v>15</v>
      </c>
    </row>
    <row r="51" spans="2:17">
      <c r="B51" t="s">
        <v>147</v>
      </c>
      <c r="C51" t="s">
        <v>138</v>
      </c>
      <c r="D51">
        <v>12</v>
      </c>
      <c r="E51">
        <v>62</v>
      </c>
      <c r="F51">
        <v>66</v>
      </c>
      <c r="G51">
        <v>5</v>
      </c>
      <c r="H51" t="s">
        <v>148</v>
      </c>
      <c r="K51">
        <v>182</v>
      </c>
      <c r="L51">
        <v>185</v>
      </c>
      <c r="M51">
        <v>4</v>
      </c>
      <c r="N51" t="s">
        <v>145</v>
      </c>
      <c r="P51" t="s">
        <v>146</v>
      </c>
      <c r="Q51" t="s">
        <v>22</v>
      </c>
    </row>
    <row r="55" spans="2:17">
      <c r="B55" t="s">
        <v>149</v>
      </c>
      <c r="C55" t="s">
        <v>140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141</v>
      </c>
      <c r="P55" t="s">
        <v>142</v>
      </c>
    </row>
    <row r="56" spans="2:17">
      <c r="B56" t="s">
        <v>150</v>
      </c>
      <c r="C56" t="s">
        <v>151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152</v>
      </c>
      <c r="P56" t="s">
        <v>153</v>
      </c>
    </row>
    <row r="57" spans="2:17">
      <c r="B57" t="s">
        <v>154</v>
      </c>
      <c r="C57" t="s">
        <v>155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156</v>
      </c>
      <c r="P57" t="s">
        <v>157</v>
      </c>
    </row>
    <row r="58" spans="2:17">
      <c r="B58" t="s">
        <v>158</v>
      </c>
      <c r="C58" t="s">
        <v>159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160</v>
      </c>
      <c r="P58" t="s">
        <v>157</v>
      </c>
    </row>
    <row r="59" spans="2:17">
      <c r="B59" t="s">
        <v>161</v>
      </c>
      <c r="C59" t="s">
        <v>162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163</v>
      </c>
      <c r="P59" t="s">
        <v>157</v>
      </c>
    </row>
    <row r="62" spans="2:17">
      <c r="B62" t="s">
        <v>164</v>
      </c>
      <c r="C62" t="s">
        <v>140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141</v>
      </c>
      <c r="P62" t="s">
        <v>142</v>
      </c>
    </row>
    <row r="63" spans="2:17">
      <c r="B63" t="s">
        <v>165</v>
      </c>
      <c r="C63" t="s">
        <v>166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167</v>
      </c>
      <c r="P63" t="s">
        <v>168</v>
      </c>
    </row>
    <row r="65" spans="2:16">
      <c r="B65" t="s">
        <v>169</v>
      </c>
      <c r="C65" t="s">
        <v>123</v>
      </c>
      <c r="D65" t="s">
        <v>9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10</v>
      </c>
    </row>
    <row r="66" spans="2:16">
      <c r="B66" t="s">
        <v>170</v>
      </c>
      <c r="C66" t="s">
        <v>140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141</v>
      </c>
      <c r="P66" t="s">
        <v>142</v>
      </c>
    </row>
    <row r="67" spans="2:16">
      <c r="B67" t="s">
        <v>171</v>
      </c>
      <c r="C67" t="s">
        <v>155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156</v>
      </c>
      <c r="P67" t="s">
        <v>157</v>
      </c>
    </row>
    <row r="68" spans="2:16">
      <c r="B68" t="s">
        <v>172</v>
      </c>
      <c r="C68" t="s">
        <v>159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160</v>
      </c>
      <c r="P68" t="s">
        <v>157</v>
      </c>
    </row>
    <row r="69" spans="2:16">
      <c r="B69" t="s">
        <v>173</v>
      </c>
      <c r="C69" t="s">
        <v>162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163</v>
      </c>
      <c r="P69" t="s">
        <v>174</v>
      </c>
    </row>
    <row r="76" spans="2:16">
      <c r="B76" t="s">
        <v>175</v>
      </c>
      <c r="C76" t="s">
        <v>176</v>
      </c>
    </row>
    <row r="77" spans="2:16">
      <c r="B77" t="s">
        <v>177</v>
      </c>
      <c r="C77" t="s">
        <v>178</v>
      </c>
    </row>
    <row r="78" spans="2:16">
      <c r="B78" t="s">
        <v>179</v>
      </c>
      <c r="C78" t="s">
        <v>180</v>
      </c>
    </row>
    <row r="82" spans="2:5">
      <c r="B82" t="s">
        <v>181</v>
      </c>
      <c r="C82" t="s">
        <v>182</v>
      </c>
      <c r="D82" t="s">
        <v>183</v>
      </c>
      <c r="E82" t="s">
        <v>184</v>
      </c>
    </row>
    <row r="83" spans="2:5">
      <c r="C83" t="s">
        <v>185</v>
      </c>
      <c r="D83" t="s">
        <v>186</v>
      </c>
    </row>
    <row r="85" spans="2:5">
      <c r="B85" t="s">
        <v>187</v>
      </c>
      <c r="C85" t="s">
        <v>188</v>
      </c>
      <c r="D85" t="s">
        <v>189</v>
      </c>
    </row>
    <row r="86" spans="2:5">
      <c r="C86" t="s">
        <v>190</v>
      </c>
      <c r="D86" t="s">
        <v>191</v>
      </c>
      <c r="E86" t="s">
        <v>192</v>
      </c>
    </row>
    <row r="88" spans="2:5">
      <c r="B88" t="s">
        <v>193</v>
      </c>
      <c r="E88" t="s">
        <v>180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194</v>
      </c>
    </row>
    <row r="2" spans="1:5">
      <c r="A2">
        <v>5</v>
      </c>
      <c r="B2" t="s">
        <v>9</v>
      </c>
      <c r="C2" s="37" t="s">
        <v>195</v>
      </c>
      <c r="D2" s="37" t="s">
        <v>196</v>
      </c>
    </row>
    <row r="3" spans="1:5">
      <c r="A3">
        <v>9</v>
      </c>
      <c r="B3" t="s">
        <v>9</v>
      </c>
      <c r="C3" s="37" t="s">
        <v>197</v>
      </c>
      <c r="D3" s="37" t="s">
        <v>198</v>
      </c>
    </row>
    <row r="4" spans="1:5">
      <c r="A4">
        <v>13</v>
      </c>
      <c r="B4" t="s">
        <v>9</v>
      </c>
      <c r="C4" s="37" t="s">
        <v>199</v>
      </c>
      <c r="D4" s="37" t="s">
        <v>200</v>
      </c>
    </row>
    <row r="5" spans="1:5">
      <c r="A5">
        <v>17</v>
      </c>
      <c r="B5" t="s">
        <v>9</v>
      </c>
      <c r="C5" s="37" t="s">
        <v>201</v>
      </c>
      <c r="D5" s="37" t="s">
        <v>202</v>
      </c>
    </row>
    <row r="6" spans="1:5">
      <c r="A6">
        <v>21</v>
      </c>
      <c r="B6" t="s">
        <v>9</v>
      </c>
      <c r="C6" s="37" t="s">
        <v>203</v>
      </c>
      <c r="D6" s="37" t="s">
        <v>204</v>
      </c>
    </row>
    <row r="7" spans="1:5">
      <c r="A7">
        <v>25</v>
      </c>
      <c r="B7" t="s">
        <v>9</v>
      </c>
      <c r="C7" s="37" t="s">
        <v>205</v>
      </c>
      <c r="D7" s="37" t="s">
        <v>206</v>
      </c>
    </row>
    <row r="8" spans="1:5">
      <c r="A8">
        <v>29</v>
      </c>
      <c r="B8" t="s">
        <v>9</v>
      </c>
      <c r="C8" s="37" t="s">
        <v>207</v>
      </c>
      <c r="D8" s="37" t="s">
        <v>208</v>
      </c>
    </row>
    <row r="9" spans="1:5">
      <c r="A9">
        <v>33</v>
      </c>
      <c r="B9" t="s">
        <v>9</v>
      </c>
      <c r="C9" s="37" t="s">
        <v>209</v>
      </c>
      <c r="D9" s="37" t="s">
        <v>210</v>
      </c>
    </row>
    <row r="10" spans="1:5">
      <c r="A10">
        <v>37</v>
      </c>
      <c r="B10" t="s">
        <v>9</v>
      </c>
      <c r="C10" s="37" t="s">
        <v>211</v>
      </c>
      <c r="D10" s="37" t="s">
        <v>212</v>
      </c>
    </row>
    <row r="11" spans="1:5">
      <c r="A11">
        <v>41</v>
      </c>
      <c r="B11" t="s">
        <v>9</v>
      </c>
      <c r="C11" s="37" t="s">
        <v>213</v>
      </c>
      <c r="D11" s="37" t="s">
        <v>214</v>
      </c>
    </row>
    <row r="12" spans="1:5">
      <c r="A12">
        <v>45</v>
      </c>
      <c r="B12" t="s">
        <v>9</v>
      </c>
      <c r="C12" s="37" t="s">
        <v>215</v>
      </c>
      <c r="D12" s="37" t="s">
        <v>216</v>
      </c>
    </row>
    <row r="13" spans="1:5">
      <c r="A13">
        <v>49</v>
      </c>
      <c r="B13" t="s">
        <v>9</v>
      </c>
      <c r="C13" s="37" t="s">
        <v>217</v>
      </c>
      <c r="D13" s="37" t="s">
        <v>218</v>
      </c>
    </row>
    <row r="14" spans="1:5">
      <c r="A14">
        <v>56</v>
      </c>
      <c r="B14" t="s">
        <v>9</v>
      </c>
      <c r="C14" s="37" t="s">
        <v>219</v>
      </c>
      <c r="D14" s="37" t="s">
        <v>220</v>
      </c>
    </row>
    <row r="15" spans="1:5">
      <c r="A15">
        <v>60</v>
      </c>
      <c r="B15" t="s">
        <v>9</v>
      </c>
      <c r="C15" s="37" t="s">
        <v>221</v>
      </c>
      <c r="D15" s="37" t="s">
        <v>222</v>
      </c>
    </row>
    <row r="16" spans="1:5">
      <c r="A16">
        <v>64</v>
      </c>
      <c r="B16" t="s">
        <v>9</v>
      </c>
      <c r="C16" s="37" t="s">
        <v>223</v>
      </c>
      <c r="D16" s="37" t="s">
        <v>224</v>
      </c>
    </row>
    <row r="17" spans="1:4">
      <c r="A17">
        <v>68</v>
      </c>
      <c r="B17" t="s">
        <v>9</v>
      </c>
      <c r="C17" s="37" t="s">
        <v>225</v>
      </c>
      <c r="D17" s="37" t="s">
        <v>226</v>
      </c>
    </row>
    <row r="18" spans="1:4">
      <c r="A18">
        <v>72</v>
      </c>
      <c r="B18" t="s">
        <v>9</v>
      </c>
      <c r="C18" s="37" t="s">
        <v>227</v>
      </c>
      <c r="D18" s="37" t="s">
        <v>228</v>
      </c>
    </row>
    <row r="19" spans="1:4">
      <c r="A19">
        <v>73</v>
      </c>
      <c r="B19" t="s">
        <v>9</v>
      </c>
      <c r="C19" s="37" t="s">
        <v>9</v>
      </c>
      <c r="D19" s="37" t="s">
        <v>229</v>
      </c>
    </row>
    <row r="20" spans="1:4">
      <c r="A20">
        <v>74</v>
      </c>
      <c r="B20" t="s">
        <v>9</v>
      </c>
      <c r="D20" s="37" t="s">
        <v>230</v>
      </c>
    </row>
    <row r="21" spans="1:4">
      <c r="A21">
        <v>75</v>
      </c>
      <c r="B21" t="s">
        <v>9</v>
      </c>
      <c r="D21" s="37" t="s">
        <v>231</v>
      </c>
    </row>
    <row r="22" spans="1:4">
      <c r="A22">
        <v>79</v>
      </c>
      <c r="B22" t="s">
        <v>9</v>
      </c>
      <c r="C22" s="37" t="s">
        <v>232</v>
      </c>
      <c r="D22" s="37" t="s">
        <v>233</v>
      </c>
    </row>
    <row r="23" spans="1:4">
      <c r="A23">
        <v>83</v>
      </c>
      <c r="B23" t="s">
        <v>9</v>
      </c>
      <c r="C23" s="37" t="s">
        <v>234</v>
      </c>
      <c r="D23" s="37" t="s">
        <v>235</v>
      </c>
    </row>
    <row r="24" spans="1:4">
      <c r="A24">
        <v>87</v>
      </c>
      <c r="B24" t="s">
        <v>9</v>
      </c>
      <c r="C24" s="37" t="s">
        <v>236</v>
      </c>
      <c r="D24" s="37" t="s">
        <v>237</v>
      </c>
    </row>
    <row r="25" spans="1:4">
      <c r="A25">
        <v>91</v>
      </c>
      <c r="B25" t="s">
        <v>9</v>
      </c>
      <c r="C25" s="37" t="s">
        <v>238</v>
      </c>
      <c r="D25" s="37" t="s">
        <v>239</v>
      </c>
    </row>
    <row r="26" spans="1:4">
      <c r="A26">
        <v>95</v>
      </c>
      <c r="B26" t="s">
        <v>9</v>
      </c>
      <c r="C26" s="37" t="s">
        <v>240</v>
      </c>
      <c r="D26" s="37" t="s">
        <v>241</v>
      </c>
    </row>
    <row r="27" spans="1:4">
      <c r="A27">
        <v>96</v>
      </c>
      <c r="B27" t="s">
        <v>9</v>
      </c>
      <c r="C27" s="37" t="s">
        <v>9</v>
      </c>
      <c r="D27" s="37" t="s">
        <v>242</v>
      </c>
    </row>
    <row r="28" spans="1:4">
      <c r="A28">
        <v>97</v>
      </c>
      <c r="B28" t="s">
        <v>9</v>
      </c>
      <c r="D28" s="37" t="s">
        <v>243</v>
      </c>
    </row>
    <row r="29" spans="1:4">
      <c r="A29">
        <v>98</v>
      </c>
      <c r="B29" t="s">
        <v>9</v>
      </c>
      <c r="D29" s="37" t="s">
        <v>244</v>
      </c>
    </row>
    <row r="30" spans="1:4">
      <c r="A30">
        <v>99</v>
      </c>
      <c r="B30" t="s">
        <v>9</v>
      </c>
      <c r="D30" s="37" t="s">
        <v>245</v>
      </c>
    </row>
    <row r="31" spans="1:4">
      <c r="A31">
        <v>100</v>
      </c>
      <c r="B31" t="s">
        <v>9</v>
      </c>
      <c r="D31" s="37" t="s">
        <v>246</v>
      </c>
    </row>
    <row r="32" spans="1:4">
      <c r="A32">
        <v>101</v>
      </c>
      <c r="B32" t="s">
        <v>9</v>
      </c>
      <c r="D32" s="37" t="s">
        <v>247</v>
      </c>
    </row>
    <row r="33" spans="1:4">
      <c r="A33">
        <v>102</v>
      </c>
      <c r="B33" t="s">
        <v>9</v>
      </c>
      <c r="D33" s="37" t="s">
        <v>248</v>
      </c>
    </row>
    <row r="34" spans="1:4">
      <c r="A34">
        <v>103</v>
      </c>
      <c r="B34" t="s">
        <v>9</v>
      </c>
      <c r="D34" s="37" t="s">
        <v>249</v>
      </c>
    </row>
    <row r="35" spans="1:4">
      <c r="A35">
        <v>104</v>
      </c>
      <c r="B35" t="s">
        <v>9</v>
      </c>
      <c r="D35" s="37" t="s">
        <v>250</v>
      </c>
    </row>
    <row r="36" spans="1:4">
      <c r="A36">
        <v>105</v>
      </c>
      <c r="B36" t="s">
        <v>9</v>
      </c>
      <c r="D36" s="37" t="s">
        <v>251</v>
      </c>
    </row>
    <row r="37" spans="1:4">
      <c r="A37">
        <v>112</v>
      </c>
      <c r="B37" t="s">
        <v>9</v>
      </c>
      <c r="C37" s="37" t="s">
        <v>252</v>
      </c>
      <c r="D37" s="37" t="s">
        <v>253</v>
      </c>
    </row>
    <row r="38" spans="1:4">
      <c r="A38">
        <v>116</v>
      </c>
      <c r="B38" t="s">
        <v>9</v>
      </c>
      <c r="C38" s="37" t="s">
        <v>254</v>
      </c>
      <c r="D38" s="37" t="s">
        <v>255</v>
      </c>
    </row>
    <row r="39" spans="1:4">
      <c r="A39">
        <v>117</v>
      </c>
      <c r="B39" t="s">
        <v>9</v>
      </c>
      <c r="C39" s="37" t="s">
        <v>9</v>
      </c>
      <c r="D39" s="37" t="s">
        <v>256</v>
      </c>
    </row>
    <row r="40" spans="1:4">
      <c r="A40">
        <v>118</v>
      </c>
      <c r="B40" t="s">
        <v>9</v>
      </c>
      <c r="D40" s="37" t="s">
        <v>257</v>
      </c>
    </row>
    <row r="41" spans="1:4">
      <c r="A41">
        <v>119</v>
      </c>
      <c r="B41" t="s">
        <v>9</v>
      </c>
      <c r="D41" s="37" t="s">
        <v>258</v>
      </c>
    </row>
    <row r="42" spans="1:4">
      <c r="A42">
        <v>120</v>
      </c>
      <c r="B42" t="s">
        <v>9</v>
      </c>
      <c r="D42" s="37" t="s">
        <v>259</v>
      </c>
    </row>
    <row r="43" spans="1:4">
      <c r="A43">
        <v>121</v>
      </c>
      <c r="B43" t="s">
        <v>9</v>
      </c>
      <c r="D43" s="37" t="s">
        <v>260</v>
      </c>
    </row>
    <row r="44" spans="1:4">
      <c r="A44">
        <v>122</v>
      </c>
      <c r="B44" t="s">
        <v>9</v>
      </c>
      <c r="D44" s="37" t="s">
        <v>261</v>
      </c>
    </row>
    <row r="45" spans="1:4">
      <c r="A45">
        <v>123</v>
      </c>
      <c r="B45" t="s">
        <v>9</v>
      </c>
      <c r="D45" s="37" t="s">
        <v>262</v>
      </c>
    </row>
    <row r="46" spans="1:4">
      <c r="A46">
        <v>124</v>
      </c>
      <c r="B46" t="s">
        <v>9</v>
      </c>
      <c r="D46" s="37" t="s">
        <v>263</v>
      </c>
    </row>
    <row r="47" spans="1:4">
      <c r="A47">
        <v>125</v>
      </c>
      <c r="B47" t="s">
        <v>9</v>
      </c>
      <c r="D47" s="37" t="s">
        <v>264</v>
      </c>
    </row>
    <row r="48" spans="1:4">
      <c r="A48">
        <v>129</v>
      </c>
      <c r="B48" t="s">
        <v>9</v>
      </c>
      <c r="C48" s="37" t="s">
        <v>265</v>
      </c>
      <c r="D48" s="37" t="s">
        <v>266</v>
      </c>
    </row>
    <row r="49" spans="1:4">
      <c r="A49">
        <v>130</v>
      </c>
      <c r="B49" t="s">
        <v>9</v>
      </c>
      <c r="C49" s="37" t="s">
        <v>9</v>
      </c>
      <c r="D49" s="37" t="s">
        <v>267</v>
      </c>
    </row>
    <row r="50" spans="1:4">
      <c r="A50">
        <v>134</v>
      </c>
      <c r="B50" t="s">
        <v>9</v>
      </c>
      <c r="C50" s="37" t="s">
        <v>268</v>
      </c>
      <c r="D50" s="37" t="s">
        <v>269</v>
      </c>
    </row>
    <row r="51" spans="1:4">
      <c r="A51">
        <v>138</v>
      </c>
      <c r="B51" t="s">
        <v>9</v>
      </c>
      <c r="C51" s="37" t="s">
        <v>270</v>
      </c>
      <c r="D51" s="37" t="s">
        <v>271</v>
      </c>
    </row>
    <row r="52" spans="1:4">
      <c r="A52">
        <v>142</v>
      </c>
      <c r="B52" t="s">
        <v>9</v>
      </c>
      <c r="C52" s="37" t="s">
        <v>272</v>
      </c>
      <c r="D52" s="37" t="s">
        <v>273</v>
      </c>
    </row>
    <row r="53" spans="1:4">
      <c r="A53">
        <v>146</v>
      </c>
      <c r="B53" t="s">
        <v>9</v>
      </c>
      <c r="C53" s="37" t="s">
        <v>274</v>
      </c>
      <c r="D53" s="37" t="s">
        <v>275</v>
      </c>
    </row>
    <row r="54" spans="1:4">
      <c r="A54">
        <v>150</v>
      </c>
      <c r="B54" t="s">
        <v>9</v>
      </c>
      <c r="C54" s="37" t="s">
        <v>276</v>
      </c>
      <c r="D54" s="37" t="s">
        <v>277</v>
      </c>
    </row>
    <row r="55" spans="1:4">
      <c r="A55">
        <v>154</v>
      </c>
      <c r="B55" t="s">
        <v>9</v>
      </c>
      <c r="C55" s="37" t="s">
        <v>278</v>
      </c>
      <c r="D55" s="37" t="s">
        <v>279</v>
      </c>
    </row>
    <row r="56" spans="1:4">
      <c r="A56">
        <v>158</v>
      </c>
      <c r="B56" t="s">
        <v>9</v>
      </c>
      <c r="C56" s="37" t="s">
        <v>280</v>
      </c>
      <c r="D56" s="37" t="s">
        <v>281</v>
      </c>
    </row>
    <row r="57" spans="1:4">
      <c r="A57">
        <v>159</v>
      </c>
      <c r="B57" t="s">
        <v>9</v>
      </c>
      <c r="C57" s="37" t="s">
        <v>9</v>
      </c>
      <c r="D57" s="37" t="s">
        <v>282</v>
      </c>
    </row>
    <row r="58" spans="1:4">
      <c r="A58">
        <v>166</v>
      </c>
      <c r="B58" t="s">
        <v>9</v>
      </c>
      <c r="C58" s="37" t="s">
        <v>283</v>
      </c>
      <c r="D58" s="37" t="s">
        <v>284</v>
      </c>
    </row>
    <row r="59" spans="1:4">
      <c r="A59">
        <v>167</v>
      </c>
      <c r="B59" t="s">
        <v>9</v>
      </c>
      <c r="C59" s="37" t="s">
        <v>9</v>
      </c>
      <c r="D59" s="37" t="s">
        <v>285</v>
      </c>
    </row>
    <row r="60" spans="1:4">
      <c r="A60">
        <v>171</v>
      </c>
      <c r="B60" t="s">
        <v>9</v>
      </c>
      <c r="C60" s="37" t="s">
        <v>286</v>
      </c>
      <c r="D60" s="37" t="s">
        <v>287</v>
      </c>
    </row>
    <row r="61" spans="1:4">
      <c r="A61">
        <v>172</v>
      </c>
      <c r="B61" t="s">
        <v>9</v>
      </c>
      <c r="C61" s="37" t="s">
        <v>9</v>
      </c>
      <c r="D61" s="37" t="s">
        <v>288</v>
      </c>
    </row>
    <row r="62" spans="1:4">
      <c r="A62">
        <v>173</v>
      </c>
      <c r="B62" t="s">
        <v>9</v>
      </c>
      <c r="D62" s="37" t="s">
        <v>289</v>
      </c>
    </row>
    <row r="63" spans="1:4">
      <c r="A63">
        <v>177</v>
      </c>
      <c r="B63" t="s">
        <v>9</v>
      </c>
      <c r="C63" s="37" t="s">
        <v>290</v>
      </c>
      <c r="D63" s="37" t="s">
        <v>291</v>
      </c>
    </row>
    <row r="64" spans="1:4">
      <c r="A64">
        <v>178</v>
      </c>
      <c r="B64" t="s">
        <v>9</v>
      </c>
      <c r="C64" s="37" t="s">
        <v>9</v>
      </c>
      <c r="D64" s="37" t="s">
        <v>292</v>
      </c>
    </row>
    <row r="65" spans="1:4">
      <c r="A65">
        <v>182</v>
      </c>
      <c r="B65" t="s">
        <v>9</v>
      </c>
      <c r="C65" s="37" t="s">
        <v>293</v>
      </c>
      <c r="D65" s="37" t="s">
        <v>294</v>
      </c>
    </row>
    <row r="66" spans="1:4">
      <c r="A66">
        <v>183</v>
      </c>
      <c r="B66" t="s">
        <v>9</v>
      </c>
      <c r="C66" s="37" t="s">
        <v>9</v>
      </c>
      <c r="D66" s="37" t="s">
        <v>295</v>
      </c>
    </row>
    <row r="67" spans="1:4">
      <c r="A67">
        <v>184</v>
      </c>
      <c r="B67" t="s">
        <v>9</v>
      </c>
      <c r="D67" s="37" t="s">
        <v>296</v>
      </c>
    </row>
    <row r="68" spans="1:4">
      <c r="A68">
        <v>185</v>
      </c>
      <c r="B68" t="s">
        <v>9</v>
      </c>
      <c r="D68" s="37" t="s">
        <v>297</v>
      </c>
    </row>
    <row r="69" spans="1:4">
      <c r="A69">
        <v>186</v>
      </c>
      <c r="B69" t="s">
        <v>9</v>
      </c>
      <c r="D69" s="37" t="s">
        <v>298</v>
      </c>
    </row>
    <row r="70" spans="1:4">
      <c r="A70">
        <v>190</v>
      </c>
      <c r="B70" t="s">
        <v>9</v>
      </c>
      <c r="C70" s="37" t="s">
        <v>299</v>
      </c>
      <c r="D70" s="37" t="s">
        <v>300</v>
      </c>
    </row>
    <row r="71" spans="1:4">
      <c r="A71">
        <v>191</v>
      </c>
      <c r="B71" t="s">
        <v>9</v>
      </c>
      <c r="C71" s="37" t="s">
        <v>9</v>
      </c>
      <c r="D71" s="37" t="s">
        <v>301</v>
      </c>
    </row>
    <row r="72" spans="1:4">
      <c r="A72">
        <v>192</v>
      </c>
      <c r="B72" t="s">
        <v>9</v>
      </c>
      <c r="D72" s="37" t="s">
        <v>302</v>
      </c>
    </row>
    <row r="73" spans="1:4">
      <c r="A73">
        <v>196</v>
      </c>
      <c r="B73" t="s">
        <v>9</v>
      </c>
      <c r="C73" s="37" t="s">
        <v>303</v>
      </c>
      <c r="D73" s="37" t="s">
        <v>304</v>
      </c>
    </row>
    <row r="74" spans="1:4">
      <c r="A74">
        <v>197</v>
      </c>
      <c r="B74" t="s">
        <v>9</v>
      </c>
      <c r="C74" s="37" t="s">
        <v>9</v>
      </c>
      <c r="D74" s="37" t="s">
        <v>305</v>
      </c>
    </row>
    <row r="75" spans="1:4">
      <c r="A75">
        <v>198</v>
      </c>
      <c r="B75" t="s">
        <v>9</v>
      </c>
      <c r="D75" s="37" t="s">
        <v>306</v>
      </c>
    </row>
    <row r="76" spans="1:4">
      <c r="A76">
        <v>202</v>
      </c>
      <c r="B76" t="s">
        <v>9</v>
      </c>
      <c r="C76" s="37" t="s">
        <v>307</v>
      </c>
      <c r="D76" s="37" t="s">
        <v>308</v>
      </c>
    </row>
    <row r="77" spans="1:4">
      <c r="A77">
        <v>203</v>
      </c>
      <c r="B77" t="s">
        <v>9</v>
      </c>
      <c r="C77" s="37" t="s">
        <v>9</v>
      </c>
      <c r="D77" s="37" t="s">
        <v>309</v>
      </c>
    </row>
    <row r="78" spans="1:4">
      <c r="A78">
        <v>207</v>
      </c>
      <c r="B78" t="s">
        <v>9</v>
      </c>
      <c r="C78" s="37" t="s">
        <v>310</v>
      </c>
      <c r="D78" s="37" t="s">
        <v>311</v>
      </c>
    </row>
    <row r="79" spans="1:4">
      <c r="A79">
        <v>208</v>
      </c>
      <c r="B79" t="s">
        <v>9</v>
      </c>
      <c r="C79" s="37" t="s">
        <v>9</v>
      </c>
      <c r="D79" s="37" t="s">
        <v>312</v>
      </c>
    </row>
    <row r="80" spans="1:4">
      <c r="A80">
        <v>209</v>
      </c>
      <c r="B80" t="s">
        <v>9</v>
      </c>
      <c r="D80" s="37" t="s">
        <v>313</v>
      </c>
    </row>
    <row r="81" spans="1:4">
      <c r="A81">
        <v>210</v>
      </c>
      <c r="B81" t="s">
        <v>9</v>
      </c>
      <c r="D81" s="37" t="s">
        <v>314</v>
      </c>
    </row>
    <row r="82" spans="1:4">
      <c r="A82">
        <v>211</v>
      </c>
      <c r="B82" t="s">
        <v>9</v>
      </c>
      <c r="D82" s="37" t="s">
        <v>315</v>
      </c>
    </row>
    <row r="83" spans="1:4">
      <c r="A83">
        <v>212</v>
      </c>
      <c r="B83" t="s">
        <v>9</v>
      </c>
      <c r="D83" s="37" t="s">
        <v>316</v>
      </c>
    </row>
    <row r="84" spans="1:4">
      <c r="A84">
        <v>213</v>
      </c>
      <c r="B84" t="s">
        <v>9</v>
      </c>
      <c r="D84" s="37" t="s">
        <v>317</v>
      </c>
    </row>
    <row r="85" spans="1:4">
      <c r="A85">
        <v>214</v>
      </c>
      <c r="B85" t="s">
        <v>9</v>
      </c>
      <c r="D85" s="37" t="s">
        <v>318</v>
      </c>
    </row>
    <row r="86" spans="1:4">
      <c r="A86">
        <v>215</v>
      </c>
      <c r="B86" t="s">
        <v>9</v>
      </c>
    </row>
    <row r="87" spans="1:4">
      <c r="A87">
        <v>216</v>
      </c>
      <c r="B87" t="s">
        <v>9</v>
      </c>
    </row>
    <row r="88" spans="1:4">
      <c r="A88">
        <v>217</v>
      </c>
      <c r="B88" t="s">
        <v>9</v>
      </c>
      <c r="C88" s="37" t="s">
        <v>9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 ht="30">
      <c r="A2" s="24" t="s">
        <v>319</v>
      </c>
      <c r="B2" s="24" t="s">
        <v>123</v>
      </c>
      <c r="C2" s="24" t="s">
        <v>9</v>
      </c>
      <c r="D2" s="24">
        <v>1</v>
      </c>
      <c r="E2" s="24" t="s">
        <v>9</v>
      </c>
      <c r="F2" s="24">
        <v>732</v>
      </c>
      <c r="I2">
        <v>1</v>
      </c>
      <c r="J2" t="s">
        <v>9</v>
      </c>
      <c r="K2">
        <v>732</v>
      </c>
      <c r="L2" t="s">
        <v>10</v>
      </c>
      <c r="M2" t="s">
        <v>9</v>
      </c>
    </row>
    <row r="3" spans="1:13">
      <c r="A3" s="24" t="s">
        <v>320</v>
      </c>
      <c r="B3" s="24" t="s">
        <v>321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142</v>
      </c>
      <c r="M3" t="s">
        <v>15</v>
      </c>
    </row>
    <row r="4" spans="1:13">
      <c r="A4" s="24" t="s">
        <v>322</v>
      </c>
      <c r="B4" s="24" t="s">
        <v>323</v>
      </c>
      <c r="C4" s="24">
        <v>3</v>
      </c>
      <c r="D4" s="24">
        <v>314</v>
      </c>
      <c r="E4" s="24">
        <v>318</v>
      </c>
      <c r="F4" s="24">
        <v>5</v>
      </c>
      <c r="H4" t="s">
        <v>70</v>
      </c>
      <c r="I4">
        <v>724</v>
      </c>
      <c r="J4">
        <v>726</v>
      </c>
      <c r="K4">
        <v>3</v>
      </c>
      <c r="L4" t="s">
        <v>71</v>
      </c>
      <c r="M4" t="s">
        <v>15</v>
      </c>
    </row>
    <row r="5" spans="1:13">
      <c r="A5" s="24" t="s">
        <v>324</v>
      </c>
      <c r="B5" s="24" t="s">
        <v>325</v>
      </c>
      <c r="C5" s="24">
        <v>112</v>
      </c>
      <c r="D5" s="24">
        <v>358</v>
      </c>
      <c r="E5" s="24">
        <v>362</v>
      </c>
      <c r="F5" s="24">
        <v>5</v>
      </c>
      <c r="H5" t="s">
        <v>326</v>
      </c>
      <c r="I5">
        <v>727</v>
      </c>
      <c r="J5">
        <v>727</v>
      </c>
      <c r="K5">
        <v>1</v>
      </c>
      <c r="L5" t="s">
        <v>327</v>
      </c>
      <c r="M5" t="s">
        <v>15</v>
      </c>
    </row>
    <row r="6" spans="1:13">
      <c r="A6" s="24" t="s">
        <v>328</v>
      </c>
      <c r="B6" s="24" t="s">
        <v>329</v>
      </c>
      <c r="C6" s="24">
        <v>113</v>
      </c>
      <c r="D6" s="24">
        <v>492</v>
      </c>
      <c r="E6" s="24">
        <v>496</v>
      </c>
      <c r="F6" s="24">
        <v>5</v>
      </c>
      <c r="H6" t="s">
        <v>330</v>
      </c>
      <c r="I6">
        <v>728</v>
      </c>
      <c r="J6">
        <v>729</v>
      </c>
      <c r="K6">
        <v>2</v>
      </c>
      <c r="L6" t="s">
        <v>331</v>
      </c>
      <c r="M6" t="s">
        <v>15</v>
      </c>
    </row>
    <row r="7" spans="1:13">
      <c r="A7" s="24" t="s">
        <v>332</v>
      </c>
      <c r="B7" s="24" t="s">
        <v>333</v>
      </c>
      <c r="C7" s="24">
        <v>6</v>
      </c>
      <c r="D7" s="24">
        <v>598</v>
      </c>
      <c r="E7" s="24">
        <v>602</v>
      </c>
      <c r="F7" s="24">
        <v>3</v>
      </c>
      <c r="H7" t="s">
        <v>334</v>
      </c>
      <c r="I7">
        <v>730</v>
      </c>
      <c r="J7">
        <v>732</v>
      </c>
      <c r="K7">
        <v>3</v>
      </c>
      <c r="L7" t="s">
        <v>335</v>
      </c>
      <c r="M7" t="s">
        <v>15</v>
      </c>
    </row>
    <row r="9" spans="1:13">
      <c r="D9" t="s">
        <v>336</v>
      </c>
    </row>
    <row r="10" spans="1:13">
      <c r="A10" s="31" t="s">
        <v>337</v>
      </c>
      <c r="B10" s="43" t="s">
        <v>338</v>
      </c>
      <c r="C10" t="s">
        <v>338</v>
      </c>
      <c r="D10" t="s">
        <v>339</v>
      </c>
      <c r="E10" t="s">
        <v>340</v>
      </c>
    </row>
    <row r="11" spans="1:13">
      <c r="A11" s="31" t="s">
        <v>341</v>
      </c>
      <c r="B11" t="s">
        <v>342</v>
      </c>
      <c r="C11" t="s">
        <v>343</v>
      </c>
      <c r="D11" t="s">
        <v>321</v>
      </c>
      <c r="E11" t="s">
        <v>344</v>
      </c>
    </row>
    <row r="12" spans="1:13">
      <c r="A12" s="31" t="s">
        <v>345</v>
      </c>
      <c r="B12" t="s">
        <v>346</v>
      </c>
      <c r="C12" t="s">
        <v>347</v>
      </c>
      <c r="D12" t="s">
        <v>348</v>
      </c>
      <c r="E12" s="50" t="s">
        <v>349</v>
      </c>
    </row>
    <row r="13" spans="1:13">
      <c r="A13" s="31" t="s">
        <v>350</v>
      </c>
      <c r="B13" t="s">
        <v>351</v>
      </c>
      <c r="C13" t="s">
        <v>330</v>
      </c>
      <c r="D13" t="s">
        <v>352</v>
      </c>
      <c r="E13" s="49" t="s">
        <v>353</v>
      </c>
    </row>
    <row r="14" spans="1:13">
      <c r="A14" s="29" t="s">
        <v>354</v>
      </c>
      <c r="B14" t="s">
        <v>326</v>
      </c>
      <c r="C14" t="s">
        <v>326</v>
      </c>
      <c r="D14" t="s">
        <v>355</v>
      </c>
      <c r="E14" s="35" t="s">
        <v>356</v>
      </c>
    </row>
    <row r="15" spans="1:13">
      <c r="A15" s="29" t="s">
        <v>357</v>
      </c>
      <c r="B15" t="s">
        <v>358</v>
      </c>
      <c r="C15" t="s">
        <v>359</v>
      </c>
      <c r="D15" t="s">
        <v>360</v>
      </c>
      <c r="E15" s="35" t="s">
        <v>361</v>
      </c>
    </row>
    <row r="16" spans="1:13">
      <c r="A16" s="32" t="s">
        <v>362</v>
      </c>
      <c r="B16" t="s">
        <v>363</v>
      </c>
      <c r="C16" t="s">
        <v>364</v>
      </c>
      <c r="D16" t="s">
        <v>365</v>
      </c>
      <c r="E16" s="45" t="s">
        <v>366</v>
      </c>
      <c r="F16" s="45" t="s">
        <v>367</v>
      </c>
      <c r="G16" s="45"/>
    </row>
    <row r="17" spans="1:8">
      <c r="A17" s="29" t="s">
        <v>368</v>
      </c>
      <c r="B17" t="s">
        <v>369</v>
      </c>
      <c r="C17" t="s">
        <v>369</v>
      </c>
      <c r="D17" t="s">
        <v>323</v>
      </c>
      <c r="E17" s="35" t="s">
        <v>370</v>
      </c>
    </row>
    <row r="18" spans="1:8">
      <c r="A18" s="29" t="s">
        <v>371</v>
      </c>
      <c r="B18" t="s">
        <v>372</v>
      </c>
      <c r="C18" t="s">
        <v>373</v>
      </c>
      <c r="D18" t="s">
        <v>374</v>
      </c>
      <c r="E18" s="35" t="s">
        <v>375</v>
      </c>
    </row>
    <row r="19" spans="1:8">
      <c r="A19" s="29" t="s">
        <v>376</v>
      </c>
      <c r="B19" t="s">
        <v>377</v>
      </c>
      <c r="C19" t="s">
        <v>378</v>
      </c>
      <c r="D19" t="s">
        <v>379</v>
      </c>
      <c r="E19" s="47" t="s">
        <v>380</v>
      </c>
    </row>
    <row r="20" spans="1:8">
      <c r="A20" s="29" t="s">
        <v>381</v>
      </c>
      <c r="B20" t="s">
        <v>382</v>
      </c>
      <c r="C20" t="s">
        <v>383</v>
      </c>
      <c r="D20" t="s">
        <v>384</v>
      </c>
      <c r="E20" s="47" t="s">
        <v>385</v>
      </c>
      <c r="H20" t="s">
        <v>386</v>
      </c>
    </row>
    <row r="21" spans="1:8">
      <c r="A21" s="29" t="s">
        <v>387</v>
      </c>
      <c r="B21" t="s">
        <v>388</v>
      </c>
      <c r="C21" t="s">
        <v>389</v>
      </c>
      <c r="D21" t="s">
        <v>390</v>
      </c>
      <c r="E21" s="47" t="s">
        <v>391</v>
      </c>
      <c r="G21">
        <v>6</v>
      </c>
    </row>
    <row r="22" spans="1:8">
      <c r="A22" s="29" t="s">
        <v>392</v>
      </c>
      <c r="B22" t="s">
        <v>393</v>
      </c>
      <c r="C22" t="s">
        <v>394</v>
      </c>
      <c r="D22" t="s">
        <v>395</v>
      </c>
      <c r="E22" s="47" t="s">
        <v>396</v>
      </c>
      <c r="G22">
        <v>10</v>
      </c>
    </row>
    <row r="23" spans="1:8">
      <c r="A23" s="32" t="s">
        <v>397</v>
      </c>
      <c r="B23" t="s">
        <v>398</v>
      </c>
      <c r="C23" t="s">
        <v>399</v>
      </c>
      <c r="D23" t="s">
        <v>400</v>
      </c>
      <c r="G23">
        <v>3</v>
      </c>
    </row>
    <row r="24" spans="1:8">
      <c r="A24" s="29" t="s">
        <v>401</v>
      </c>
      <c r="B24" t="s">
        <v>402</v>
      </c>
      <c r="C24" s="49" t="s">
        <v>403</v>
      </c>
      <c r="D24" t="s">
        <v>325</v>
      </c>
      <c r="E24" s="35" t="s">
        <v>404</v>
      </c>
      <c r="G24">
        <v>2</v>
      </c>
    </row>
    <row r="25" spans="1:8">
      <c r="A25" s="29" t="s">
        <v>405</v>
      </c>
      <c r="B25" t="s">
        <v>406</v>
      </c>
      <c r="C25" t="s">
        <v>407</v>
      </c>
      <c r="D25" t="s">
        <v>408</v>
      </c>
      <c r="E25" s="35" t="s">
        <v>409</v>
      </c>
      <c r="G25">
        <v>1</v>
      </c>
    </row>
    <row r="26" spans="1:8">
      <c r="A26" s="29" t="s">
        <v>410</v>
      </c>
      <c r="B26" s="48" t="s">
        <v>411</v>
      </c>
      <c r="C26" s="45" t="s">
        <v>412</v>
      </c>
      <c r="D26" t="s">
        <v>413</v>
      </c>
      <c r="E26" s="47" t="s">
        <v>414</v>
      </c>
      <c r="G26">
        <v>2</v>
      </c>
    </row>
    <row r="27" spans="1:8">
      <c r="A27" s="29" t="s">
        <v>415</v>
      </c>
      <c r="B27" t="s">
        <v>416</v>
      </c>
      <c r="C27" s="45" t="s">
        <v>417</v>
      </c>
      <c r="D27" t="s">
        <v>418</v>
      </c>
      <c r="E27" s="47" t="s">
        <v>419</v>
      </c>
      <c r="G27">
        <v>10</v>
      </c>
    </row>
    <row r="28" spans="1:8">
      <c r="A28" s="31" t="s">
        <v>420</v>
      </c>
      <c r="B28" t="s">
        <v>421</v>
      </c>
      <c r="C28" s="45" t="s">
        <v>422</v>
      </c>
      <c r="D28" t="s">
        <v>423</v>
      </c>
      <c r="E28" t="s">
        <v>424</v>
      </c>
      <c r="G28">
        <v>4</v>
      </c>
    </row>
    <row r="29" spans="1:8">
      <c r="A29" s="29" t="s">
        <v>425</v>
      </c>
      <c r="B29" t="s">
        <v>426</v>
      </c>
      <c r="C29" t="s">
        <v>427</v>
      </c>
      <c r="D29" t="s">
        <v>428</v>
      </c>
      <c r="E29" s="35" t="s">
        <v>429</v>
      </c>
      <c r="G29">
        <v>11</v>
      </c>
    </row>
    <row r="30" spans="1:8">
      <c r="A30" s="29" t="s">
        <v>430</v>
      </c>
      <c r="B30" t="s">
        <v>431</v>
      </c>
      <c r="C30" s="45" t="s">
        <v>432</v>
      </c>
      <c r="D30" t="s">
        <v>433</v>
      </c>
      <c r="E30" s="47" t="s">
        <v>434</v>
      </c>
      <c r="G30">
        <v>10</v>
      </c>
    </row>
    <row r="31" spans="1:8">
      <c r="A31" s="32" t="s">
        <v>435</v>
      </c>
      <c r="B31" t="s">
        <v>436</v>
      </c>
      <c r="C31" t="s">
        <v>437</v>
      </c>
      <c r="D31" t="s">
        <v>438</v>
      </c>
      <c r="E31" s="45" t="s">
        <v>439</v>
      </c>
      <c r="G31">
        <v>5</v>
      </c>
    </row>
    <row r="32" spans="1:8">
      <c r="A32" s="32" t="s">
        <v>440</v>
      </c>
      <c r="B32" s="44" t="s">
        <v>441</v>
      </c>
      <c r="C32" t="s">
        <v>442</v>
      </c>
      <c r="D32" t="s">
        <v>443</v>
      </c>
      <c r="E32" s="45" t="s">
        <v>444</v>
      </c>
      <c r="G32">
        <v>4</v>
      </c>
    </row>
    <row r="33" spans="1:7">
      <c r="A33" s="29" t="s">
        <v>445</v>
      </c>
      <c r="B33" t="s">
        <v>446</v>
      </c>
      <c r="C33" t="s">
        <v>447</v>
      </c>
      <c r="D33" t="s">
        <v>329</v>
      </c>
      <c r="E33" s="35" t="s">
        <v>448</v>
      </c>
      <c r="G33">
        <v>9</v>
      </c>
    </row>
    <row r="34" spans="1:7">
      <c r="A34" s="29" t="s">
        <v>449</v>
      </c>
      <c r="B34" t="s">
        <v>450</v>
      </c>
      <c r="C34" t="s">
        <v>451</v>
      </c>
      <c r="D34" t="s">
        <v>452</v>
      </c>
      <c r="E34" s="35" t="s">
        <v>453</v>
      </c>
      <c r="G34">
        <v>4</v>
      </c>
    </row>
    <row r="35" spans="1:7">
      <c r="A35" s="31" t="s">
        <v>454</v>
      </c>
      <c r="C35" s="45" t="s">
        <v>326</v>
      </c>
      <c r="D35" t="s">
        <v>455</v>
      </c>
      <c r="E35" t="s">
        <v>456</v>
      </c>
      <c r="G35">
        <v>5</v>
      </c>
    </row>
    <row r="36" spans="1:7">
      <c r="A36" s="31" t="s">
        <v>457</v>
      </c>
      <c r="C36" s="45" t="s">
        <v>330</v>
      </c>
      <c r="D36" t="s">
        <v>458</v>
      </c>
      <c r="E36" t="s">
        <v>459</v>
      </c>
      <c r="G36">
        <v>7</v>
      </c>
    </row>
    <row r="37" spans="1:7">
      <c r="A37" s="29" t="s">
        <v>460</v>
      </c>
      <c r="C37" s="45" t="s">
        <v>461</v>
      </c>
      <c r="D37" t="s">
        <v>462</v>
      </c>
      <c r="E37" s="35" t="s">
        <v>463</v>
      </c>
      <c r="G37">
        <v>6</v>
      </c>
    </row>
    <row r="38" spans="1:7">
      <c r="A38" s="31" t="s">
        <v>464</v>
      </c>
      <c r="C38" t="s">
        <v>369</v>
      </c>
      <c r="D38" t="s">
        <v>465</v>
      </c>
      <c r="E38" t="s">
        <v>466</v>
      </c>
      <c r="G38">
        <v>10</v>
      </c>
    </row>
    <row r="39" spans="1:7">
      <c r="A39" s="29" t="s">
        <v>467</v>
      </c>
      <c r="C39" t="s">
        <v>373</v>
      </c>
      <c r="D39" t="s">
        <v>333</v>
      </c>
      <c r="E39" s="35" t="s">
        <v>468</v>
      </c>
      <c r="G39">
        <v>17</v>
      </c>
    </row>
    <row r="40" spans="1:7">
      <c r="A40" s="29" t="s">
        <v>469</v>
      </c>
      <c r="C40" t="s">
        <v>378</v>
      </c>
      <c r="D40" t="s">
        <v>470</v>
      </c>
      <c r="E40" s="35" t="s">
        <v>471</v>
      </c>
      <c r="G40">
        <v>17</v>
      </c>
    </row>
    <row r="41" spans="1:7">
      <c r="A41" s="29" t="s">
        <v>472</v>
      </c>
      <c r="C41" t="s">
        <v>383</v>
      </c>
      <c r="D41" t="s">
        <v>472</v>
      </c>
      <c r="E41" s="47" t="s">
        <v>473</v>
      </c>
      <c r="G41">
        <v>10</v>
      </c>
    </row>
    <row r="42" spans="1:7">
      <c r="A42" s="29" t="s">
        <v>474</v>
      </c>
      <c r="C42" s="46" t="s">
        <v>475</v>
      </c>
      <c r="D42" t="s">
        <v>476</v>
      </c>
      <c r="E42" s="47" t="s">
        <v>477</v>
      </c>
      <c r="G42">
        <v>1</v>
      </c>
    </row>
    <row r="43" spans="1:7">
      <c r="A43" s="29" t="s">
        <v>478</v>
      </c>
      <c r="C43" s="46" t="s">
        <v>479</v>
      </c>
      <c r="D43" t="s">
        <v>480</v>
      </c>
      <c r="E43" s="35" t="s">
        <v>481</v>
      </c>
      <c r="G43">
        <v>4</v>
      </c>
    </row>
    <row r="44" spans="1:7">
      <c r="A44" s="29" t="s">
        <v>482</v>
      </c>
      <c r="C44" s="46" t="s">
        <v>483</v>
      </c>
      <c r="D44" t="s">
        <v>484</v>
      </c>
      <c r="E44" s="47" t="s">
        <v>485</v>
      </c>
      <c r="G44">
        <v>50</v>
      </c>
    </row>
    <row r="45" spans="1:7">
      <c r="A45" s="29" t="s">
        <v>486</v>
      </c>
      <c r="D45" t="s">
        <v>487</v>
      </c>
      <c r="E45" s="47" t="s">
        <v>488</v>
      </c>
      <c r="G45">
        <v>10</v>
      </c>
    </row>
    <row r="46" spans="1:7">
      <c r="A46" s="31"/>
      <c r="C46" t="s">
        <v>489</v>
      </c>
      <c r="D46" t="s">
        <v>490</v>
      </c>
      <c r="E46" s="50" t="s">
        <v>491</v>
      </c>
      <c r="G46">
        <v>1</v>
      </c>
    </row>
    <row r="47" spans="1:7">
      <c r="A47" s="31"/>
      <c r="C47" t="s">
        <v>492</v>
      </c>
      <c r="D47" t="s">
        <v>493</v>
      </c>
      <c r="E47" s="49" t="s">
        <v>494</v>
      </c>
      <c r="G47">
        <v>2</v>
      </c>
    </row>
    <row r="48" spans="1:7">
      <c r="A48" s="31"/>
      <c r="C48" t="s">
        <v>495</v>
      </c>
      <c r="D48" t="s">
        <v>496</v>
      </c>
      <c r="E48" t="s">
        <v>497</v>
      </c>
      <c r="G48">
        <v>3</v>
      </c>
    </row>
    <row r="49" spans="1:8">
      <c r="A49" s="31"/>
      <c r="C49" t="s">
        <v>498</v>
      </c>
      <c r="D49" t="s">
        <v>499</v>
      </c>
      <c r="E49" t="s">
        <v>500</v>
      </c>
      <c r="G49">
        <v>15</v>
      </c>
    </row>
    <row r="50" spans="1:8">
      <c r="A50" s="31" t="s">
        <v>501</v>
      </c>
      <c r="C50" t="s">
        <v>502</v>
      </c>
      <c r="D50" t="s">
        <v>503</v>
      </c>
      <c r="E50" s="45" t="s">
        <v>504</v>
      </c>
      <c r="G50">
        <v>10</v>
      </c>
    </row>
    <row r="51" spans="1:8">
      <c r="C51" t="s">
        <v>505</v>
      </c>
      <c r="E51" s="45" t="s">
        <v>506</v>
      </c>
      <c r="G51">
        <v>5</v>
      </c>
    </row>
    <row r="52" spans="1:8">
      <c r="C52" t="s">
        <v>507</v>
      </c>
      <c r="E52" s="45" t="s">
        <v>508</v>
      </c>
      <c r="G52">
        <v>4</v>
      </c>
    </row>
    <row r="53" spans="1:8">
      <c r="C53" t="s">
        <v>509</v>
      </c>
      <c r="E53" s="45" t="s">
        <v>510</v>
      </c>
      <c r="G53">
        <v>11</v>
      </c>
    </row>
    <row r="54" spans="1:8">
      <c r="C54" s="49" t="s">
        <v>511</v>
      </c>
      <c r="E54" s="45" t="s">
        <v>512</v>
      </c>
      <c r="G54">
        <v>2</v>
      </c>
      <c r="H54">
        <f>SUM(G21:G54)</f>
        <v>271</v>
      </c>
    </row>
    <row r="55" spans="1:8">
      <c r="C55" s="49" t="s">
        <v>513</v>
      </c>
      <c r="E55" s="45" t="s">
        <v>514</v>
      </c>
    </row>
    <row r="56" spans="1:8">
      <c r="C56" t="s">
        <v>515</v>
      </c>
      <c r="E56" s="45" t="s">
        <v>516</v>
      </c>
    </row>
    <row r="57" spans="1:8">
      <c r="C57" t="s">
        <v>517</v>
      </c>
    </row>
    <row r="58" spans="1:8">
      <c r="C58" t="s">
        <v>518</v>
      </c>
    </row>
    <row r="59" spans="1:8">
      <c r="C59" t="s">
        <v>519</v>
      </c>
    </row>
    <row r="61" spans="1:8">
      <c r="B61" t="s">
        <v>520</v>
      </c>
      <c r="C61" s="45" t="s">
        <v>521</v>
      </c>
    </row>
    <row r="62" spans="1:8">
      <c r="C62" s="45" t="s">
        <v>522</v>
      </c>
    </row>
    <row r="63" spans="1:8">
      <c r="C63" s="45" t="s">
        <v>70</v>
      </c>
    </row>
    <row r="64" spans="1:8">
      <c r="C64" s="45" t="s">
        <v>334</v>
      </c>
    </row>
    <row r="65" spans="2:3">
      <c r="C65" t="s">
        <v>523</v>
      </c>
    </row>
    <row r="66" spans="2:3">
      <c r="C66" t="s">
        <v>524</v>
      </c>
    </row>
    <row r="67" spans="2:3">
      <c r="C67" s="45" t="s">
        <v>525</v>
      </c>
    </row>
    <row r="68" spans="2:3">
      <c r="C68" t="s">
        <v>348</v>
      </c>
    </row>
    <row r="70" spans="2:3">
      <c r="B70" t="s">
        <v>526</v>
      </c>
      <c r="C70" s="50" t="s">
        <v>527</v>
      </c>
    </row>
    <row r="71" spans="2:3">
      <c r="C71" s="50" t="s">
        <v>348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528</v>
      </c>
      <c r="B1" s="40" t="s">
        <v>529</v>
      </c>
      <c r="C1" s="34" t="s">
        <v>530</v>
      </c>
      <c r="D1" s="34" t="s">
        <v>531</v>
      </c>
      <c r="E1" s="34" t="s">
        <v>532</v>
      </c>
      <c r="F1" s="34" t="s">
        <v>531</v>
      </c>
    </row>
    <row r="2" spans="1:7" ht="30">
      <c r="A2" s="241" t="s">
        <v>533</v>
      </c>
      <c r="B2" s="39" t="s">
        <v>534</v>
      </c>
      <c r="C2" s="30"/>
      <c r="D2" s="41"/>
      <c r="E2" s="30" t="s">
        <v>535</v>
      </c>
      <c r="F2" s="41" t="s">
        <v>536</v>
      </c>
    </row>
    <row r="3" spans="1:7" ht="30">
      <c r="A3" s="242"/>
      <c r="B3" s="40" t="s">
        <v>537</v>
      </c>
      <c r="C3" s="34" t="s">
        <v>538</v>
      </c>
      <c r="D3" s="34" t="s">
        <v>539</v>
      </c>
      <c r="E3" s="34" t="s">
        <v>540</v>
      </c>
      <c r="F3" s="34" t="s">
        <v>536</v>
      </c>
    </row>
    <row r="4" spans="1:7" ht="30">
      <c r="A4" s="243"/>
      <c r="B4" s="24" t="s">
        <v>541</v>
      </c>
      <c r="C4" s="34" t="s">
        <v>542</v>
      </c>
      <c r="D4" s="34"/>
      <c r="E4" s="34" t="s">
        <v>543</v>
      </c>
      <c r="F4" s="34" t="s">
        <v>536</v>
      </c>
    </row>
    <row r="5" spans="1:7" ht="30">
      <c r="A5" s="34" t="s">
        <v>544</v>
      </c>
      <c r="B5" s="28" t="s">
        <v>545</v>
      </c>
      <c r="C5" s="28" t="s">
        <v>546</v>
      </c>
      <c r="D5" s="34" t="s">
        <v>547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30">
      <c r="A7" s="34"/>
      <c r="B7" s="28"/>
      <c r="C7" s="28" t="s">
        <v>548</v>
      </c>
      <c r="D7" s="34"/>
      <c r="E7" s="34"/>
      <c r="F7" s="34"/>
      <c r="G7" s="34" t="s">
        <v>549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550</v>
      </c>
      <c r="B9" s="34"/>
      <c r="C9" s="34" t="s">
        <v>551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552</v>
      </c>
      <c r="B11" s="34"/>
      <c r="C11" s="34" t="s">
        <v>553</v>
      </c>
      <c r="D11" s="34"/>
      <c r="E11" s="34"/>
      <c r="F11" s="34"/>
    </row>
    <row r="12" spans="1:7">
      <c r="A12" s="34" t="s">
        <v>552</v>
      </c>
      <c r="B12" s="34"/>
      <c r="C12" s="34" t="s">
        <v>554</v>
      </c>
      <c r="D12" s="34"/>
      <c r="E12" s="34"/>
      <c r="F12" s="34"/>
    </row>
    <row r="13" spans="1:7">
      <c r="A13" s="34" t="s">
        <v>552</v>
      </c>
      <c r="B13" s="34" t="s">
        <v>555</v>
      </c>
      <c r="C13" s="34" t="s">
        <v>556</v>
      </c>
      <c r="D13" s="34"/>
      <c r="E13" s="34" t="s">
        <v>557</v>
      </c>
      <c r="F13" s="34"/>
    </row>
    <row r="14" spans="1:7">
      <c r="A14" s="34" t="s">
        <v>552</v>
      </c>
      <c r="B14" s="34" t="s">
        <v>558</v>
      </c>
      <c r="C14" s="34" t="s">
        <v>559</v>
      </c>
      <c r="D14" s="34"/>
      <c r="E14" s="34" t="s">
        <v>560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241" t="s">
        <v>561</v>
      </c>
      <c r="B16" s="241" t="s">
        <v>562</v>
      </c>
      <c r="C16" s="34" t="s">
        <v>563</v>
      </c>
      <c r="D16" s="34" t="s">
        <v>179</v>
      </c>
      <c r="E16" s="34" t="s">
        <v>564</v>
      </c>
      <c r="F16" s="34"/>
    </row>
    <row r="17" spans="1:6">
      <c r="A17" s="242"/>
      <c r="B17" s="242"/>
      <c r="C17" s="34" t="s">
        <v>565</v>
      </c>
      <c r="D17" s="34" t="s">
        <v>179</v>
      </c>
      <c r="E17" s="34" t="s">
        <v>566</v>
      </c>
      <c r="F17" s="34"/>
    </row>
    <row r="18" spans="1:6">
      <c r="A18" s="242"/>
      <c r="B18" s="242"/>
      <c r="C18" s="34" t="s">
        <v>567</v>
      </c>
      <c r="D18" s="34" t="s">
        <v>179</v>
      </c>
      <c r="E18" s="34" t="s">
        <v>568</v>
      </c>
      <c r="F18" s="34"/>
    </row>
    <row r="19" spans="1:6">
      <c r="A19" s="243"/>
      <c r="B19" s="243"/>
      <c r="C19" s="34" t="s">
        <v>569</v>
      </c>
      <c r="D19" s="34" t="s">
        <v>179</v>
      </c>
      <c r="E19" s="34" t="s">
        <v>570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30">
      <c r="A21" s="34" t="s">
        <v>571</v>
      </c>
      <c r="B21" s="34" t="s">
        <v>572</v>
      </c>
      <c r="C21" s="34" t="s">
        <v>573</v>
      </c>
      <c r="D21" s="34" t="s">
        <v>574</v>
      </c>
      <c r="E21" s="34" t="s">
        <v>575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528</v>
      </c>
      <c r="B1" s="25" t="s">
        <v>529</v>
      </c>
      <c r="C1" s="23" t="s">
        <v>530</v>
      </c>
      <c r="D1" s="23" t="s">
        <v>531</v>
      </c>
      <c r="E1" s="23" t="s">
        <v>532</v>
      </c>
      <c r="F1" s="23" t="s">
        <v>531</v>
      </c>
    </row>
    <row r="2" spans="1:6">
      <c r="A2" s="244" t="s">
        <v>533</v>
      </c>
      <c r="B2" s="38" t="s">
        <v>534</v>
      </c>
      <c r="C2" s="28"/>
      <c r="D2" s="23"/>
      <c r="E2" s="28" t="s">
        <v>535</v>
      </c>
      <c r="F2" s="23" t="s">
        <v>536</v>
      </c>
    </row>
    <row r="3" spans="1:6">
      <c r="A3" s="245"/>
      <c r="B3" s="25" t="s">
        <v>537</v>
      </c>
      <c r="C3" s="23" t="s">
        <v>538</v>
      </c>
      <c r="D3" s="23" t="s">
        <v>539</v>
      </c>
      <c r="E3" s="23" t="s">
        <v>540</v>
      </c>
      <c r="F3" s="23" t="s">
        <v>536</v>
      </c>
    </row>
    <row r="4" spans="1:6">
      <c r="A4" s="246"/>
      <c r="B4" t="s">
        <v>541</v>
      </c>
      <c r="C4" s="34" t="s">
        <v>542</v>
      </c>
      <c r="D4" s="23"/>
      <c r="E4" s="34" t="s">
        <v>543</v>
      </c>
      <c r="F4" s="23" t="s">
        <v>536</v>
      </c>
    </row>
    <row r="5" spans="1:6">
      <c r="A5" s="23"/>
      <c r="B5" s="25"/>
      <c r="C5" s="23"/>
      <c r="D5" s="23"/>
      <c r="E5" s="23"/>
      <c r="F5" s="23"/>
    </row>
    <row r="6" spans="1:6">
      <c r="A6" s="247" t="s">
        <v>576</v>
      </c>
      <c r="B6" s="23"/>
      <c r="C6" s="23" t="s">
        <v>577</v>
      </c>
      <c r="D6" s="23"/>
      <c r="E6" s="23" t="s">
        <v>578</v>
      </c>
      <c r="F6" s="25"/>
    </row>
    <row r="7" spans="1:6">
      <c r="A7" s="247"/>
      <c r="B7" s="23"/>
      <c r="C7" s="23" t="s">
        <v>579</v>
      </c>
      <c r="D7" s="23"/>
      <c r="E7" s="23" t="s">
        <v>580</v>
      </c>
      <c r="F7" s="25"/>
    </row>
    <row r="8" spans="1:6">
      <c r="A8" s="247"/>
      <c r="B8" s="23"/>
      <c r="C8" s="23" t="s">
        <v>581</v>
      </c>
      <c r="D8" s="23"/>
      <c r="E8" s="23" t="s">
        <v>582</v>
      </c>
    </row>
    <row r="9" spans="1:6">
      <c r="A9" s="247"/>
      <c r="B9" s="23"/>
      <c r="C9" s="23" t="s">
        <v>583</v>
      </c>
      <c r="D9" s="23"/>
      <c r="E9" s="23" t="s">
        <v>584</v>
      </c>
    </row>
    <row r="10" spans="1:6">
      <c r="A10" s="247"/>
      <c r="B10" s="23"/>
      <c r="C10" s="23" t="s">
        <v>585</v>
      </c>
      <c r="D10" s="23"/>
      <c r="E10" s="23" t="s">
        <v>586</v>
      </c>
    </row>
    <row r="11" spans="1:6">
      <c r="A11" s="247"/>
      <c r="B11" s="23"/>
      <c r="C11" s="23" t="s">
        <v>587</v>
      </c>
      <c r="D11" s="23"/>
      <c r="E11" s="23" t="s">
        <v>588</v>
      </c>
    </row>
    <row r="12" spans="1:6">
      <c r="A12" s="247"/>
      <c r="B12" s="23"/>
      <c r="C12" s="23" t="s">
        <v>589</v>
      </c>
      <c r="D12" s="23"/>
      <c r="E12" s="23" t="s">
        <v>590</v>
      </c>
    </row>
    <row r="13" spans="1:6">
      <c r="A13" s="247"/>
      <c r="B13" s="23"/>
      <c r="C13" s="23" t="s">
        <v>591</v>
      </c>
      <c r="D13" s="23"/>
      <c r="E13" s="23" t="s">
        <v>592</v>
      </c>
    </row>
    <row r="14" spans="1:6">
      <c r="A14" s="247"/>
      <c r="B14" s="23"/>
      <c r="C14" s="23" t="s">
        <v>593</v>
      </c>
      <c r="D14" s="23"/>
      <c r="E14" s="23" t="s">
        <v>594</v>
      </c>
    </row>
    <row r="15" spans="1:6">
      <c r="A15" s="247"/>
      <c r="B15" s="23"/>
      <c r="C15" s="23" t="s">
        <v>595</v>
      </c>
      <c r="D15" s="23"/>
      <c r="E15" s="23" t="s">
        <v>596</v>
      </c>
    </row>
    <row r="16" spans="1:6">
      <c r="A16" s="247"/>
      <c r="B16" s="23"/>
      <c r="C16" s="23" t="s">
        <v>597</v>
      </c>
      <c r="D16" s="23"/>
      <c r="E16" s="23" t="s">
        <v>598</v>
      </c>
    </row>
    <row r="17" spans="1:5">
      <c r="A17" s="247"/>
      <c r="B17" s="23"/>
      <c r="C17" s="23" t="s">
        <v>599</v>
      </c>
      <c r="D17" s="23"/>
      <c r="E17" s="23" t="s">
        <v>600</v>
      </c>
    </row>
    <row r="18" spans="1:5">
      <c r="A18" s="247"/>
      <c r="B18" s="23"/>
      <c r="C18" s="23" t="s">
        <v>601</v>
      </c>
      <c r="D18" s="23"/>
      <c r="E18" s="23" t="s">
        <v>602</v>
      </c>
    </row>
    <row r="19" spans="1:5">
      <c r="A19" s="247"/>
      <c r="B19" s="23"/>
      <c r="C19" s="23" t="s">
        <v>603</v>
      </c>
      <c r="D19" s="23"/>
      <c r="E19" s="23" t="s">
        <v>604</v>
      </c>
    </row>
    <row r="20" spans="1:5">
      <c r="A20" s="244" t="s">
        <v>605</v>
      </c>
      <c r="B20" s="23"/>
      <c r="C20" s="23" t="s">
        <v>606</v>
      </c>
      <c r="D20" s="23"/>
      <c r="E20" s="23" t="s">
        <v>607</v>
      </c>
    </row>
    <row r="21" spans="1:5">
      <c r="A21" s="245"/>
      <c r="B21" s="23"/>
      <c r="C21" s="23" t="s">
        <v>608</v>
      </c>
      <c r="D21" s="23"/>
      <c r="E21" s="23" t="s">
        <v>609</v>
      </c>
    </row>
    <row r="22" spans="1:5">
      <c r="A22" s="245"/>
      <c r="B22" s="23"/>
      <c r="C22" s="23" t="s">
        <v>610</v>
      </c>
      <c r="D22" s="23"/>
      <c r="E22" s="23" t="s">
        <v>611</v>
      </c>
    </row>
    <row r="23" spans="1:5">
      <c r="A23" s="245"/>
      <c r="B23" s="23"/>
      <c r="C23" s="23" t="s">
        <v>612</v>
      </c>
      <c r="D23" s="23"/>
      <c r="E23" s="23" t="s">
        <v>613</v>
      </c>
    </row>
    <row r="24" spans="1:5">
      <c r="A24" s="245"/>
      <c r="B24" s="23"/>
      <c r="C24" s="23" t="s">
        <v>614</v>
      </c>
      <c r="D24" s="23"/>
      <c r="E24" s="23" t="s">
        <v>615</v>
      </c>
    </row>
    <row r="25" spans="1:5">
      <c r="A25" s="245"/>
      <c r="B25" s="23"/>
      <c r="C25" s="23" t="s">
        <v>616</v>
      </c>
      <c r="D25" s="23"/>
      <c r="E25" s="23" t="s">
        <v>617</v>
      </c>
    </row>
    <row r="26" spans="1:5">
      <c r="A26" s="245"/>
      <c r="B26" s="23"/>
      <c r="C26" s="23" t="s">
        <v>618</v>
      </c>
      <c r="D26" s="23"/>
      <c r="E26" s="23" t="s">
        <v>619</v>
      </c>
    </row>
    <row r="27" spans="1:5">
      <c r="A27" s="245"/>
      <c r="B27" s="23"/>
      <c r="C27" s="23" t="s">
        <v>620</v>
      </c>
      <c r="D27" s="23"/>
      <c r="E27" s="23" t="s">
        <v>621</v>
      </c>
    </row>
    <row r="28" spans="1:5">
      <c r="A28" s="245"/>
      <c r="B28" s="23"/>
      <c r="C28" s="23" t="s">
        <v>622</v>
      </c>
      <c r="D28" s="23"/>
      <c r="E28" s="23" t="s">
        <v>623</v>
      </c>
    </row>
    <row r="29" spans="1:5">
      <c r="A29" s="245"/>
      <c r="B29" s="23"/>
      <c r="C29" s="23" t="s">
        <v>624</v>
      </c>
      <c r="D29" s="23"/>
      <c r="E29" s="23" t="s">
        <v>625</v>
      </c>
    </row>
    <row r="30" spans="1:5">
      <c r="A30" s="246"/>
      <c r="B30" s="23"/>
      <c r="C30" s="23" t="s">
        <v>626</v>
      </c>
      <c r="D30" s="23"/>
      <c r="E30" s="23" t="s">
        <v>627</v>
      </c>
    </row>
    <row r="31" spans="1:5">
      <c r="A31" s="23"/>
      <c r="B31" s="23"/>
      <c r="C31" s="23" t="s">
        <v>628</v>
      </c>
      <c r="D31" s="23"/>
      <c r="E31" s="23" t="s">
        <v>629</v>
      </c>
    </row>
    <row r="32" spans="1:5">
      <c r="A32" s="23"/>
      <c r="B32" s="23"/>
      <c r="C32" s="23" t="s">
        <v>630</v>
      </c>
      <c r="D32" s="23"/>
      <c r="E32" s="23" t="s">
        <v>631</v>
      </c>
    </row>
    <row r="33" spans="1:5">
      <c r="A33" s="23"/>
      <c r="B33" s="23"/>
      <c r="C33" s="23" t="s">
        <v>632</v>
      </c>
      <c r="D33" s="23"/>
      <c r="E33" s="23" t="s">
        <v>633</v>
      </c>
    </row>
    <row r="34" spans="1:5">
      <c r="A34" s="23"/>
      <c r="B34" s="23"/>
      <c r="C34" s="23" t="s">
        <v>634</v>
      </c>
      <c r="D34" s="23"/>
      <c r="E34" s="23" t="s">
        <v>635</v>
      </c>
    </row>
    <row r="35" spans="1:5">
      <c r="A35" s="23"/>
      <c r="B35" s="23"/>
      <c r="C35" s="23" t="s">
        <v>636</v>
      </c>
      <c r="D35" s="23"/>
      <c r="E35" s="23" t="s">
        <v>637</v>
      </c>
    </row>
    <row r="36" spans="1:5">
      <c r="A36" s="23"/>
      <c r="B36" s="23"/>
      <c r="C36" s="23" t="s">
        <v>638</v>
      </c>
      <c r="D36" s="23"/>
      <c r="E36" s="23" t="s">
        <v>639</v>
      </c>
    </row>
    <row r="37" spans="1:5">
      <c r="A37" s="23"/>
      <c r="B37" s="23"/>
      <c r="C37" s="23" t="s">
        <v>640</v>
      </c>
      <c r="D37" s="23"/>
      <c r="E37" s="23" t="s">
        <v>641</v>
      </c>
    </row>
    <row r="38" spans="1:5">
      <c r="A38" s="23"/>
      <c r="B38" s="23"/>
      <c r="C38" s="23" t="s">
        <v>642</v>
      </c>
      <c r="D38" s="23"/>
      <c r="E38" s="23" t="s">
        <v>643</v>
      </c>
    </row>
    <row r="39" spans="1:5">
      <c r="A39" s="23"/>
      <c r="B39" s="23"/>
      <c r="C39" s="23" t="s">
        <v>644</v>
      </c>
      <c r="D39" s="23"/>
      <c r="E39" s="23" t="s">
        <v>645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548</v>
      </c>
      <c r="D41" s="23"/>
      <c r="E41" s="23" t="s">
        <v>549</v>
      </c>
    </row>
    <row r="42" spans="1:5">
      <c r="A42" s="23"/>
      <c r="B42" s="23"/>
      <c r="C42" s="23"/>
      <c r="D42" s="23"/>
      <c r="E42" s="23"/>
    </row>
    <row r="43" spans="1:5">
      <c r="A43" s="23" t="s">
        <v>646</v>
      </c>
      <c r="B43" s="23"/>
      <c r="C43" s="23" t="s">
        <v>647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550</v>
      </c>
      <c r="B45" s="23"/>
      <c r="C45" s="23" t="s">
        <v>551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AA227"/>
  <sheetViews>
    <sheetView showGridLines="0" tabSelected="1" topLeftCell="A33" zoomScaleNormal="100" workbookViewId="0">
      <selection activeCell="F36" sqref="F36:AA37"/>
    </sheetView>
  </sheetViews>
  <sheetFormatPr defaultColWidth="8.5703125" defaultRowHeight="15" customHeight="1"/>
  <cols>
    <col min="1" max="1" width="3.140625" style="27" customWidth="1"/>
    <col min="2" max="2" width="37.140625" style="54" customWidth="1"/>
    <col min="3" max="3" width="43.28515625" style="33" bestFit="1" customWidth="1"/>
    <col min="4" max="4" width="46.7109375" style="33" bestFit="1" customWidth="1"/>
    <col min="5" max="5" width="14.85546875" style="33" customWidth="1"/>
    <col min="6" max="6" width="47.42578125" style="52" bestFit="1" customWidth="1"/>
    <col min="7" max="7" width="35.7109375" style="33" customWidth="1"/>
    <col min="8" max="8" width="33.7109375" style="52" customWidth="1"/>
    <col min="9" max="9" width="9.28515625" style="55" customWidth="1"/>
    <col min="10" max="10" width="11.85546875" style="52" customWidth="1"/>
    <col min="11" max="11" width="15.42578125" style="53" customWidth="1"/>
    <col min="12" max="12" width="16.140625" style="53" customWidth="1"/>
    <col min="13" max="13" width="45.28515625" style="54" customWidth="1"/>
    <col min="14" max="14" width="41.7109375" style="55" customWidth="1"/>
    <col min="15" max="15" width="17.140625" style="33" customWidth="1"/>
    <col min="16" max="16" width="57.42578125" style="55" customWidth="1"/>
    <col min="17" max="17" width="31.85546875" style="33" customWidth="1"/>
    <col min="18" max="18" width="29.28515625" style="33" customWidth="1"/>
    <col min="19" max="19" width="44.7109375" style="33" customWidth="1"/>
    <col min="20" max="20" width="38.85546875" style="53" customWidth="1"/>
    <col min="21" max="21" width="36.85546875" style="53" customWidth="1"/>
    <col min="22" max="22" width="108.7109375" style="53" customWidth="1"/>
    <col min="23" max="23" width="49" style="53" customWidth="1"/>
    <col min="24" max="24" width="21.5703125" style="33" customWidth="1"/>
    <col min="25" max="25" width="27.28515625" customWidth="1"/>
    <col min="26" max="26" width="50.5703125" customWidth="1"/>
    <col min="27" max="27" width="32.42578125" customWidth="1"/>
  </cols>
  <sheetData>
    <row r="1" spans="1:27" s="33" customFormat="1">
      <c r="A1" s="27"/>
      <c r="B1" s="54"/>
      <c r="F1" s="52"/>
      <c r="H1" s="52"/>
      <c r="I1" s="55"/>
      <c r="J1" s="52"/>
      <c r="K1" s="53"/>
      <c r="L1" s="53"/>
      <c r="M1" s="54"/>
      <c r="N1" s="55"/>
      <c r="P1" s="55"/>
      <c r="T1" s="53"/>
      <c r="U1" s="53"/>
      <c r="V1" s="53"/>
      <c r="W1" s="53"/>
    </row>
    <row r="2" spans="1:27" s="33" customFormat="1">
      <c r="A2" s="27"/>
      <c r="B2" s="54"/>
      <c r="F2" s="52"/>
      <c r="H2" s="52"/>
      <c r="I2" s="55"/>
      <c r="J2" s="52"/>
      <c r="K2" s="53"/>
      <c r="L2" s="53"/>
      <c r="M2" s="54"/>
      <c r="N2" s="55"/>
      <c r="P2" s="55"/>
      <c r="S2"/>
      <c r="T2"/>
      <c r="U2" s="53"/>
      <c r="V2" s="53"/>
      <c r="W2" s="53"/>
    </row>
    <row r="3" spans="1:27" s="33" customFormat="1">
      <c r="A3" s="58"/>
      <c r="B3" s="59"/>
      <c r="C3" s="60"/>
      <c r="D3" s="60"/>
      <c r="E3" s="60"/>
      <c r="F3" s="61"/>
      <c r="G3" s="60"/>
      <c r="H3" s="61"/>
      <c r="I3" s="63"/>
      <c r="J3" s="61"/>
      <c r="K3" s="62"/>
      <c r="L3" s="62"/>
      <c r="M3" s="59"/>
      <c r="N3" s="63"/>
      <c r="O3" s="60"/>
      <c r="P3" s="63"/>
      <c r="Q3" s="60"/>
      <c r="S3"/>
      <c r="T3"/>
      <c r="U3" s="62"/>
      <c r="V3" s="62"/>
      <c r="W3" s="62"/>
    </row>
    <row r="4" spans="1:27" s="33" customFormat="1">
      <c r="A4" s="27"/>
      <c r="B4" s="54"/>
      <c r="F4" s="52"/>
      <c r="H4" s="52"/>
      <c r="I4" s="55"/>
      <c r="J4" s="52"/>
      <c r="K4" s="53"/>
      <c r="L4" s="53"/>
      <c r="M4" s="54"/>
      <c r="N4" s="55"/>
      <c r="P4" s="55"/>
      <c r="T4" s="53"/>
      <c r="U4" s="53"/>
      <c r="V4" s="53"/>
      <c r="W4" s="53"/>
    </row>
    <row r="5" spans="1:27" s="52" customFormat="1" ht="21" customHeight="1">
      <c r="B5" s="254" t="s">
        <v>648</v>
      </c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6"/>
      <c r="Q5" s="257" t="s">
        <v>649</v>
      </c>
      <c r="R5" s="258"/>
      <c r="S5" s="259" t="s">
        <v>650</v>
      </c>
      <c r="T5" s="260"/>
      <c r="U5" s="260"/>
      <c r="V5" s="260"/>
      <c r="W5" s="260"/>
      <c r="X5" s="248" t="s">
        <v>651</v>
      </c>
      <c r="Y5" s="249"/>
      <c r="Z5" s="249"/>
      <c r="AA5" s="250"/>
    </row>
    <row r="6" spans="1:27" s="33" customFormat="1" ht="14.45" customHeight="1">
      <c r="A6" s="27"/>
      <c r="B6" s="254" t="s">
        <v>652</v>
      </c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6"/>
      <c r="Q6" s="257" t="s">
        <v>653</v>
      </c>
      <c r="R6" s="258"/>
      <c r="S6" s="259" t="s">
        <v>654</v>
      </c>
      <c r="T6" s="260"/>
      <c r="U6" s="260"/>
      <c r="V6" s="261"/>
      <c r="W6" s="98" t="s">
        <v>655</v>
      </c>
      <c r="X6" s="251" t="s">
        <v>656</v>
      </c>
      <c r="Y6" s="252"/>
      <c r="Z6" s="252"/>
      <c r="AA6" s="253"/>
    </row>
    <row r="7" spans="1:27" s="54" customFormat="1" ht="23.1" customHeight="1">
      <c r="B7" s="96" t="s">
        <v>657</v>
      </c>
      <c r="C7" s="96" t="s">
        <v>658</v>
      </c>
      <c r="D7" s="96" t="s">
        <v>659</v>
      </c>
      <c r="E7" s="56" t="s">
        <v>660</v>
      </c>
      <c r="F7" s="96" t="s">
        <v>661</v>
      </c>
      <c r="G7" s="96" t="s">
        <v>662</v>
      </c>
      <c r="H7" s="96" t="s">
        <v>663</v>
      </c>
      <c r="I7" s="96" t="s">
        <v>664</v>
      </c>
      <c r="J7" s="96" t="s">
        <v>665</v>
      </c>
      <c r="K7" s="96" t="s">
        <v>666</v>
      </c>
      <c r="L7" s="96" t="s">
        <v>667</v>
      </c>
      <c r="M7" s="96" t="s">
        <v>668</v>
      </c>
      <c r="N7" s="96" t="s">
        <v>669</v>
      </c>
      <c r="O7" s="96" t="s">
        <v>670</v>
      </c>
      <c r="P7" s="96" t="s">
        <v>671</v>
      </c>
      <c r="Q7" s="97" t="s">
        <v>672</v>
      </c>
      <c r="R7" s="97" t="s">
        <v>673</v>
      </c>
      <c r="S7" s="96" t="s">
        <v>674</v>
      </c>
      <c r="T7" s="96" t="s">
        <v>675</v>
      </c>
      <c r="U7" s="96" t="s">
        <v>676</v>
      </c>
      <c r="V7" s="96" t="s">
        <v>677</v>
      </c>
      <c r="W7" s="96" t="s">
        <v>678</v>
      </c>
      <c r="X7" s="96" t="s">
        <v>679</v>
      </c>
      <c r="Y7" s="96" t="s">
        <v>680</v>
      </c>
      <c r="Z7" s="96" t="s">
        <v>681</v>
      </c>
      <c r="AA7" s="99" t="s">
        <v>682</v>
      </c>
    </row>
    <row r="8" spans="1:27" s="33" customFormat="1" ht="36.75" customHeight="1">
      <c r="A8" s="27"/>
      <c r="B8" s="262" t="s">
        <v>683</v>
      </c>
      <c r="C8" s="262" t="s">
        <v>684</v>
      </c>
      <c r="D8" s="262" t="s">
        <v>685</v>
      </c>
      <c r="E8" s="263">
        <v>0</v>
      </c>
      <c r="F8" s="264" t="s">
        <v>686</v>
      </c>
      <c r="G8" s="262" t="s">
        <v>687</v>
      </c>
      <c r="H8" s="262" t="s">
        <v>688</v>
      </c>
      <c r="I8" s="263">
        <v>1</v>
      </c>
      <c r="J8" s="262" t="s">
        <v>689</v>
      </c>
      <c r="K8" s="263">
        <v>20</v>
      </c>
      <c r="L8" s="263"/>
      <c r="M8" s="265" t="s">
        <v>690</v>
      </c>
      <c r="N8" s="77" t="s">
        <v>691</v>
      </c>
      <c r="O8" s="263" t="s">
        <v>692</v>
      </c>
      <c r="P8" s="262"/>
      <c r="Q8" s="262"/>
      <c r="R8" s="262"/>
      <c r="S8" s="102" t="s">
        <v>693</v>
      </c>
      <c r="T8" s="102" t="s">
        <v>694</v>
      </c>
      <c r="U8" s="72" t="s">
        <v>695</v>
      </c>
      <c r="V8" s="262" t="s">
        <v>696</v>
      </c>
      <c r="W8" s="262"/>
      <c r="X8" s="262" t="s">
        <v>697</v>
      </c>
      <c r="Y8" s="102" t="s">
        <v>694</v>
      </c>
      <c r="Z8" s="72" t="s">
        <v>695</v>
      </c>
      <c r="AA8" s="262"/>
    </row>
    <row r="9" spans="1:27" ht="36.75" customHeight="1">
      <c r="B9" s="262" t="s">
        <v>683</v>
      </c>
      <c r="C9" s="262" t="s">
        <v>684</v>
      </c>
      <c r="D9" s="262" t="s">
        <v>685</v>
      </c>
      <c r="E9" s="263">
        <v>0</v>
      </c>
      <c r="F9" s="262" t="s">
        <v>698</v>
      </c>
      <c r="G9" s="262" t="s">
        <v>699</v>
      </c>
      <c r="H9" s="262" t="s">
        <v>700</v>
      </c>
      <c r="I9" s="263">
        <v>2</v>
      </c>
      <c r="J9" s="262" t="s">
        <v>689</v>
      </c>
      <c r="K9" s="263">
        <v>100</v>
      </c>
      <c r="L9" s="263"/>
      <c r="M9" s="265" t="s">
        <v>701</v>
      </c>
      <c r="N9" s="82" t="s">
        <v>702</v>
      </c>
      <c r="O9" s="263" t="s">
        <v>692</v>
      </c>
      <c r="P9" s="262"/>
      <c r="Q9" s="262"/>
      <c r="R9" s="262"/>
      <c r="S9" s="102" t="s">
        <v>693</v>
      </c>
      <c r="T9" s="72" t="s">
        <v>694</v>
      </c>
      <c r="U9" s="72" t="s">
        <v>703</v>
      </c>
      <c r="V9" s="262" t="s">
        <v>704</v>
      </c>
      <c r="W9" s="262"/>
      <c r="X9" s="262" t="s">
        <v>697</v>
      </c>
      <c r="Y9" s="72" t="s">
        <v>694</v>
      </c>
      <c r="Z9" s="72" t="s">
        <v>703</v>
      </c>
      <c r="AA9" s="262"/>
    </row>
    <row r="10" spans="1:27" ht="36.75" customHeight="1">
      <c r="B10" s="262" t="s">
        <v>683</v>
      </c>
      <c r="C10" s="262" t="s">
        <v>684</v>
      </c>
      <c r="D10" s="262" t="s">
        <v>685</v>
      </c>
      <c r="E10" s="263">
        <v>0</v>
      </c>
      <c r="F10" s="262" t="s">
        <v>705</v>
      </c>
      <c r="G10" s="262" t="s">
        <v>706</v>
      </c>
      <c r="H10" s="262" t="s">
        <v>707</v>
      </c>
      <c r="I10" s="263">
        <v>3</v>
      </c>
      <c r="J10" s="262" t="s">
        <v>689</v>
      </c>
      <c r="K10" s="263">
        <v>100</v>
      </c>
      <c r="L10" s="263"/>
      <c r="M10" s="265" t="s">
        <v>708</v>
      </c>
      <c r="N10" s="77" t="s">
        <v>709</v>
      </c>
      <c r="O10" s="263" t="s">
        <v>692</v>
      </c>
      <c r="P10" s="265" t="s">
        <v>710</v>
      </c>
      <c r="Q10" s="265"/>
      <c r="R10" s="265"/>
      <c r="S10" s="102" t="s">
        <v>693</v>
      </c>
      <c r="T10" s="72" t="s">
        <v>694</v>
      </c>
      <c r="U10" s="72" t="s">
        <v>711</v>
      </c>
      <c r="V10" s="262" t="s">
        <v>712</v>
      </c>
      <c r="W10" s="262"/>
      <c r="X10" s="262" t="s">
        <v>697</v>
      </c>
      <c r="Y10" s="72" t="s">
        <v>694</v>
      </c>
      <c r="Z10" s="72" t="s">
        <v>711</v>
      </c>
      <c r="AA10" s="262"/>
    </row>
    <row r="11" spans="1:27" ht="36.75" customHeight="1">
      <c r="B11" s="262" t="s">
        <v>683</v>
      </c>
      <c r="C11" s="262" t="s">
        <v>684</v>
      </c>
      <c r="D11" s="262" t="s">
        <v>685</v>
      </c>
      <c r="E11" s="263">
        <v>0</v>
      </c>
      <c r="F11" s="262" t="s">
        <v>713</v>
      </c>
      <c r="G11" s="262" t="s">
        <v>714</v>
      </c>
      <c r="H11" s="262" t="s">
        <v>715</v>
      </c>
      <c r="I11" s="263">
        <v>4</v>
      </c>
      <c r="J11" s="262" t="s">
        <v>689</v>
      </c>
      <c r="K11" s="263">
        <v>100</v>
      </c>
      <c r="L11" s="263"/>
      <c r="M11" s="265" t="s">
        <v>716</v>
      </c>
      <c r="N11" s="82" t="s">
        <v>717</v>
      </c>
      <c r="O11" s="263" t="s">
        <v>692</v>
      </c>
      <c r="P11" s="265" t="s">
        <v>718</v>
      </c>
      <c r="Q11" s="265"/>
      <c r="R11" s="265"/>
      <c r="S11" s="102" t="s">
        <v>693</v>
      </c>
      <c r="T11" s="72" t="s">
        <v>694</v>
      </c>
      <c r="U11" s="72" t="s">
        <v>719</v>
      </c>
      <c r="V11" s="262" t="s">
        <v>720</v>
      </c>
      <c r="W11" s="262"/>
      <c r="X11" s="262" t="s">
        <v>697</v>
      </c>
      <c r="Y11" s="72" t="s">
        <v>694</v>
      </c>
      <c r="Z11" s="72" t="s">
        <v>719</v>
      </c>
      <c r="AA11" s="262"/>
    </row>
    <row r="12" spans="1:27" ht="36.75" customHeight="1">
      <c r="B12" s="262" t="s">
        <v>683</v>
      </c>
      <c r="C12" s="262" t="s">
        <v>684</v>
      </c>
      <c r="D12" s="262" t="s">
        <v>685</v>
      </c>
      <c r="E12" s="263">
        <v>0</v>
      </c>
      <c r="F12" s="264" t="s">
        <v>721</v>
      </c>
      <c r="G12" s="262" t="s">
        <v>722</v>
      </c>
      <c r="H12" s="262" t="s">
        <v>688</v>
      </c>
      <c r="I12" s="263">
        <v>5</v>
      </c>
      <c r="J12" s="262" t="s">
        <v>689</v>
      </c>
      <c r="K12" s="263">
        <v>250</v>
      </c>
      <c r="L12" s="263"/>
      <c r="M12" s="265" t="s">
        <v>723</v>
      </c>
      <c r="N12" s="77" t="s">
        <v>724</v>
      </c>
      <c r="O12" s="263" t="s">
        <v>692</v>
      </c>
      <c r="P12" s="262"/>
      <c r="Q12" s="262"/>
      <c r="R12" s="262"/>
      <c r="S12" s="102" t="s">
        <v>693</v>
      </c>
      <c r="T12" s="72" t="s">
        <v>694</v>
      </c>
      <c r="U12" s="72" t="s">
        <v>725</v>
      </c>
      <c r="V12" s="262" t="s">
        <v>726</v>
      </c>
      <c r="W12" s="262"/>
      <c r="X12" s="262" t="s">
        <v>697</v>
      </c>
      <c r="Y12" s="72" t="s">
        <v>694</v>
      </c>
      <c r="Z12" s="72" t="s">
        <v>725</v>
      </c>
      <c r="AA12" s="262"/>
    </row>
    <row r="13" spans="1:27" ht="36.75" customHeight="1">
      <c r="B13" s="262" t="s">
        <v>683</v>
      </c>
      <c r="C13" s="262" t="s">
        <v>684</v>
      </c>
      <c r="D13" s="262" t="s">
        <v>685</v>
      </c>
      <c r="E13" s="263">
        <v>0</v>
      </c>
      <c r="F13" s="262" t="s">
        <v>727</v>
      </c>
      <c r="G13" s="262" t="s">
        <v>728</v>
      </c>
      <c r="H13" s="262" t="s">
        <v>715</v>
      </c>
      <c r="I13" s="263">
        <v>6</v>
      </c>
      <c r="J13" s="262" t="s">
        <v>689</v>
      </c>
      <c r="K13" s="263">
        <v>100</v>
      </c>
      <c r="L13" s="263"/>
      <c r="M13" s="265" t="s">
        <v>729</v>
      </c>
      <c r="N13" s="82" t="s">
        <v>730</v>
      </c>
      <c r="O13" s="263" t="s">
        <v>692</v>
      </c>
      <c r="P13" s="265" t="s">
        <v>731</v>
      </c>
      <c r="Q13" s="265"/>
      <c r="R13" s="265"/>
      <c r="S13" s="102" t="s">
        <v>693</v>
      </c>
      <c r="T13" s="72" t="s">
        <v>694</v>
      </c>
      <c r="U13" s="72" t="s">
        <v>732</v>
      </c>
      <c r="V13" s="262" t="s">
        <v>733</v>
      </c>
      <c r="W13" s="262"/>
      <c r="X13" s="262" t="s">
        <v>697</v>
      </c>
      <c r="Y13" s="72" t="s">
        <v>694</v>
      </c>
      <c r="Z13" s="72" t="s">
        <v>732</v>
      </c>
      <c r="AA13" s="262"/>
    </row>
    <row r="14" spans="1:27" ht="36.75" customHeight="1">
      <c r="B14" s="262" t="s">
        <v>683</v>
      </c>
      <c r="C14" s="262" t="s">
        <v>684</v>
      </c>
      <c r="D14" s="262" t="s">
        <v>685</v>
      </c>
      <c r="E14" s="263">
        <v>0</v>
      </c>
      <c r="F14" s="262" t="s">
        <v>734</v>
      </c>
      <c r="G14" s="262" t="s">
        <v>735</v>
      </c>
      <c r="H14" s="262" t="s">
        <v>736</v>
      </c>
      <c r="I14" s="263">
        <v>7</v>
      </c>
      <c r="J14" s="262" t="s">
        <v>689</v>
      </c>
      <c r="K14" s="263">
        <v>20</v>
      </c>
      <c r="L14" s="263"/>
      <c r="M14" s="265" t="s">
        <v>737</v>
      </c>
      <c r="N14" s="77" t="s">
        <v>738</v>
      </c>
      <c r="O14" s="263" t="s">
        <v>692</v>
      </c>
      <c r="P14" s="262"/>
      <c r="Q14" s="262"/>
      <c r="R14" s="262"/>
      <c r="S14" s="102" t="s">
        <v>693</v>
      </c>
      <c r="T14" s="72" t="s">
        <v>694</v>
      </c>
      <c r="U14" s="72" t="s">
        <v>739</v>
      </c>
      <c r="V14" s="262" t="s">
        <v>740</v>
      </c>
      <c r="W14" s="262"/>
      <c r="X14" s="262" t="s">
        <v>697</v>
      </c>
      <c r="Y14" s="72" t="s">
        <v>694</v>
      </c>
      <c r="Z14" s="72" t="s">
        <v>739</v>
      </c>
      <c r="AA14" s="262"/>
    </row>
    <row r="15" spans="1:27" ht="36.75" customHeight="1">
      <c r="B15" s="262" t="s">
        <v>683</v>
      </c>
      <c r="C15" s="262" t="s">
        <v>684</v>
      </c>
      <c r="D15" s="262" t="s">
        <v>685</v>
      </c>
      <c r="E15" s="263">
        <v>0</v>
      </c>
      <c r="F15" s="262" t="s">
        <v>741</v>
      </c>
      <c r="G15" s="262" t="s">
        <v>742</v>
      </c>
      <c r="H15" s="262" t="s">
        <v>743</v>
      </c>
      <c r="I15" s="263">
        <v>8</v>
      </c>
      <c r="J15" s="262" t="s">
        <v>689</v>
      </c>
      <c r="K15" s="263">
        <v>20</v>
      </c>
      <c r="L15" s="263"/>
      <c r="M15" s="265" t="s">
        <v>744</v>
      </c>
      <c r="N15" s="82" t="s">
        <v>745</v>
      </c>
      <c r="O15" s="263" t="s">
        <v>692</v>
      </c>
      <c r="P15" s="265" t="s">
        <v>746</v>
      </c>
      <c r="Q15" s="265"/>
      <c r="R15" s="265"/>
      <c r="S15" s="102" t="s">
        <v>693</v>
      </c>
      <c r="T15" s="72" t="s">
        <v>694</v>
      </c>
      <c r="U15" s="72" t="s">
        <v>747</v>
      </c>
      <c r="V15" s="262" t="s">
        <v>748</v>
      </c>
      <c r="W15" s="262"/>
      <c r="X15" s="262" t="s">
        <v>697</v>
      </c>
      <c r="Y15" s="72" t="s">
        <v>694</v>
      </c>
      <c r="Z15" s="72" t="s">
        <v>747</v>
      </c>
      <c r="AA15" s="262"/>
    </row>
    <row r="16" spans="1:27" ht="36.75" customHeight="1">
      <c r="B16" s="262" t="s">
        <v>683</v>
      </c>
      <c r="C16" s="262" t="s">
        <v>684</v>
      </c>
      <c r="D16" s="262" t="s">
        <v>685</v>
      </c>
      <c r="E16" s="263">
        <v>0</v>
      </c>
      <c r="F16" s="262" t="s">
        <v>749</v>
      </c>
      <c r="G16" s="262" t="s">
        <v>750</v>
      </c>
      <c r="H16" s="262" t="s">
        <v>751</v>
      </c>
      <c r="I16" s="263">
        <v>9</v>
      </c>
      <c r="J16" s="262" t="s">
        <v>689</v>
      </c>
      <c r="K16" s="263">
        <v>20</v>
      </c>
      <c r="L16" s="263"/>
      <c r="M16" s="265" t="s">
        <v>752</v>
      </c>
      <c r="N16" s="77" t="s">
        <v>753</v>
      </c>
      <c r="O16" s="95" t="s">
        <v>692</v>
      </c>
      <c r="P16" s="262"/>
      <c r="Q16" s="262"/>
      <c r="R16" s="262"/>
      <c r="S16" s="102" t="s">
        <v>693</v>
      </c>
      <c r="T16" s="72" t="s">
        <v>694</v>
      </c>
      <c r="U16" s="72" t="s">
        <v>754</v>
      </c>
      <c r="V16" s="262" t="s">
        <v>755</v>
      </c>
      <c r="W16" s="262"/>
      <c r="X16" s="262" t="s">
        <v>697</v>
      </c>
      <c r="Y16" s="72" t="s">
        <v>694</v>
      </c>
      <c r="Z16" s="72" t="s">
        <v>754</v>
      </c>
      <c r="AA16" s="262"/>
    </row>
    <row r="17" spans="2:27" ht="36.75" customHeight="1">
      <c r="B17" s="262" t="s">
        <v>683</v>
      </c>
      <c r="C17" s="262" t="s">
        <v>684</v>
      </c>
      <c r="D17" s="262" t="s">
        <v>685</v>
      </c>
      <c r="E17" s="263">
        <v>0</v>
      </c>
      <c r="F17" s="262" t="s">
        <v>756</v>
      </c>
      <c r="G17" s="262" t="s">
        <v>757</v>
      </c>
      <c r="H17" s="262" t="s">
        <v>743</v>
      </c>
      <c r="I17" s="263">
        <v>10</v>
      </c>
      <c r="J17" s="262" t="s">
        <v>689</v>
      </c>
      <c r="K17" s="263">
        <v>20</v>
      </c>
      <c r="L17" s="263"/>
      <c r="M17" s="265" t="s">
        <v>758</v>
      </c>
      <c r="N17" s="82" t="s">
        <v>759</v>
      </c>
      <c r="O17" s="263" t="s">
        <v>692</v>
      </c>
      <c r="P17" s="265" t="s">
        <v>760</v>
      </c>
      <c r="Q17" s="265"/>
      <c r="R17" s="265"/>
      <c r="S17" s="102" t="s">
        <v>693</v>
      </c>
      <c r="T17" s="72" t="s">
        <v>694</v>
      </c>
      <c r="U17" s="72" t="s">
        <v>761</v>
      </c>
      <c r="V17" s="262" t="s">
        <v>762</v>
      </c>
      <c r="W17" s="262"/>
      <c r="X17" s="262" t="s">
        <v>697</v>
      </c>
      <c r="Y17" s="72" t="s">
        <v>694</v>
      </c>
      <c r="Z17" s="72" t="s">
        <v>761</v>
      </c>
      <c r="AA17" s="262"/>
    </row>
    <row r="18" spans="2:27" ht="36.75" customHeight="1">
      <c r="B18" s="262" t="s">
        <v>683</v>
      </c>
      <c r="C18" s="262" t="s">
        <v>684</v>
      </c>
      <c r="D18" s="262" t="s">
        <v>685</v>
      </c>
      <c r="E18" s="263">
        <v>0</v>
      </c>
      <c r="F18" s="262" t="s">
        <v>763</v>
      </c>
      <c r="G18" s="262" t="s">
        <v>764</v>
      </c>
      <c r="H18" s="262" t="s">
        <v>765</v>
      </c>
      <c r="I18" s="263">
        <v>11</v>
      </c>
      <c r="J18" s="262" t="s">
        <v>689</v>
      </c>
      <c r="K18" s="263">
        <v>11</v>
      </c>
      <c r="L18" s="263"/>
      <c r="M18" s="265" t="s">
        <v>766</v>
      </c>
      <c r="N18" s="77" t="s">
        <v>767</v>
      </c>
      <c r="O18" s="95" t="s">
        <v>692</v>
      </c>
      <c r="P18" s="262"/>
      <c r="Q18" s="262"/>
      <c r="R18" s="262"/>
      <c r="S18" s="102" t="s">
        <v>693</v>
      </c>
      <c r="T18" s="72" t="s">
        <v>694</v>
      </c>
      <c r="U18" s="72" t="s">
        <v>451</v>
      </c>
      <c r="V18" s="262" t="s">
        <v>768</v>
      </c>
      <c r="W18" s="262"/>
      <c r="X18" s="262" t="s">
        <v>697</v>
      </c>
      <c r="Y18" s="72" t="s">
        <v>694</v>
      </c>
      <c r="Z18" s="72" t="s">
        <v>451</v>
      </c>
      <c r="AA18" s="262"/>
    </row>
    <row r="19" spans="2:27" ht="36.75" customHeight="1">
      <c r="B19" s="262" t="s">
        <v>683</v>
      </c>
      <c r="C19" s="262" t="s">
        <v>684</v>
      </c>
      <c r="D19" s="262" t="s">
        <v>685</v>
      </c>
      <c r="E19" s="263">
        <v>0</v>
      </c>
      <c r="F19" s="262" t="s">
        <v>769</v>
      </c>
      <c r="G19" s="262" t="s">
        <v>770</v>
      </c>
      <c r="H19" s="262" t="s">
        <v>765</v>
      </c>
      <c r="I19" s="263">
        <v>12</v>
      </c>
      <c r="J19" s="262" t="s">
        <v>689</v>
      </c>
      <c r="K19" s="263">
        <v>100</v>
      </c>
      <c r="L19" s="263"/>
      <c r="M19" s="265" t="s">
        <v>771</v>
      </c>
      <c r="N19" s="82" t="s">
        <v>772</v>
      </c>
      <c r="O19" s="263" t="s">
        <v>692</v>
      </c>
      <c r="P19" s="262"/>
      <c r="Q19" s="262"/>
      <c r="R19" s="262"/>
      <c r="S19" s="102" t="s">
        <v>693</v>
      </c>
      <c r="T19" s="72" t="s">
        <v>694</v>
      </c>
      <c r="U19" s="72" t="s">
        <v>773</v>
      </c>
      <c r="V19" s="262" t="s">
        <v>774</v>
      </c>
      <c r="W19" s="262"/>
      <c r="X19" s="262" t="s">
        <v>697</v>
      </c>
      <c r="Y19" s="72" t="s">
        <v>694</v>
      </c>
      <c r="Z19" s="72" t="s">
        <v>773</v>
      </c>
      <c r="AA19" s="262"/>
    </row>
    <row r="20" spans="2:27" ht="36.75" customHeight="1">
      <c r="B20" s="262" t="s">
        <v>683</v>
      </c>
      <c r="C20" s="262" t="s">
        <v>684</v>
      </c>
      <c r="D20" s="262" t="s">
        <v>685</v>
      </c>
      <c r="E20" s="263">
        <v>0</v>
      </c>
      <c r="F20" s="262" t="s">
        <v>775</v>
      </c>
      <c r="G20" s="262" t="s">
        <v>776</v>
      </c>
      <c r="H20" s="262" t="s">
        <v>777</v>
      </c>
      <c r="I20" s="263">
        <v>13</v>
      </c>
      <c r="J20" s="262" t="s">
        <v>689</v>
      </c>
      <c r="K20" s="263">
        <v>20</v>
      </c>
      <c r="L20" s="263"/>
      <c r="M20" s="265" t="s">
        <v>778</v>
      </c>
      <c r="N20" s="77" t="s">
        <v>779</v>
      </c>
      <c r="O20" s="263" t="s">
        <v>692</v>
      </c>
      <c r="P20" s="262"/>
      <c r="Q20" s="262"/>
      <c r="R20" s="262"/>
      <c r="S20" s="102" t="s">
        <v>693</v>
      </c>
      <c r="T20" s="72" t="s">
        <v>694</v>
      </c>
      <c r="U20" s="72" t="s">
        <v>780</v>
      </c>
      <c r="V20" s="262" t="s">
        <v>781</v>
      </c>
      <c r="W20" s="262"/>
      <c r="X20" s="262" t="s">
        <v>697</v>
      </c>
      <c r="Y20" s="72" t="s">
        <v>694</v>
      </c>
      <c r="Z20" s="72" t="s">
        <v>780</v>
      </c>
      <c r="AA20" s="262"/>
    </row>
    <row r="21" spans="2:27" ht="36.75" customHeight="1">
      <c r="B21" s="262" t="s">
        <v>683</v>
      </c>
      <c r="C21" s="262" t="s">
        <v>684</v>
      </c>
      <c r="D21" s="262" t="s">
        <v>685</v>
      </c>
      <c r="E21" s="263">
        <v>0</v>
      </c>
      <c r="F21" s="77" t="s">
        <v>782</v>
      </c>
      <c r="G21" s="262" t="s">
        <v>783</v>
      </c>
      <c r="H21" s="262" t="s">
        <v>784</v>
      </c>
      <c r="I21" s="263">
        <v>14</v>
      </c>
      <c r="J21" s="262" t="s">
        <v>689</v>
      </c>
      <c r="K21" s="263">
        <v>10</v>
      </c>
      <c r="L21" s="263"/>
      <c r="M21" s="265" t="s">
        <v>785</v>
      </c>
      <c r="N21" s="82" t="s">
        <v>786</v>
      </c>
      <c r="O21" s="263" t="s">
        <v>692</v>
      </c>
      <c r="P21" s="262"/>
      <c r="Q21" s="262"/>
      <c r="R21" s="262"/>
      <c r="S21" s="102" t="s">
        <v>693</v>
      </c>
      <c r="T21" s="72" t="s">
        <v>694</v>
      </c>
      <c r="U21" s="72" t="s">
        <v>787</v>
      </c>
      <c r="V21" s="262" t="s">
        <v>788</v>
      </c>
      <c r="W21" s="262"/>
      <c r="X21" s="262" t="s">
        <v>697</v>
      </c>
      <c r="Y21" s="72" t="s">
        <v>694</v>
      </c>
      <c r="Z21" s="72" t="s">
        <v>787</v>
      </c>
      <c r="AA21" s="262"/>
    </row>
    <row r="22" spans="2:27" ht="36.75" customHeight="1">
      <c r="B22" s="262" t="s">
        <v>683</v>
      </c>
      <c r="C22" s="262" t="s">
        <v>684</v>
      </c>
      <c r="D22" s="262" t="s">
        <v>685</v>
      </c>
      <c r="E22" s="263">
        <v>0</v>
      </c>
      <c r="F22" s="77" t="s">
        <v>789</v>
      </c>
      <c r="G22" s="262" t="s">
        <v>790</v>
      </c>
      <c r="H22" s="262" t="s">
        <v>791</v>
      </c>
      <c r="I22" s="263">
        <v>15</v>
      </c>
      <c r="J22" s="262" t="s">
        <v>792</v>
      </c>
      <c r="K22" s="263">
        <v>23</v>
      </c>
      <c r="L22" s="263"/>
      <c r="M22" s="265" t="s">
        <v>793</v>
      </c>
      <c r="N22" s="262" t="s">
        <v>794</v>
      </c>
      <c r="O22" s="263"/>
      <c r="P22" s="262"/>
      <c r="Q22" s="262"/>
      <c r="R22" s="262"/>
      <c r="S22" s="73"/>
      <c r="T22" s="72"/>
      <c r="U22" s="262"/>
      <c r="V22" s="266" t="s">
        <v>795</v>
      </c>
      <c r="W22" s="262"/>
      <c r="X22" s="262"/>
      <c r="Y22" s="262"/>
      <c r="Z22" s="262"/>
      <c r="AA22" s="262"/>
    </row>
    <row r="23" spans="2:27" ht="36.75" hidden="1" customHeight="1">
      <c r="B23" s="262" t="s">
        <v>683</v>
      </c>
      <c r="C23" s="262" t="s">
        <v>796</v>
      </c>
      <c r="D23" s="262" t="s">
        <v>797</v>
      </c>
      <c r="E23" s="263">
        <v>0</v>
      </c>
      <c r="F23" s="77" t="s">
        <v>798</v>
      </c>
      <c r="G23" s="262" t="s">
        <v>799</v>
      </c>
      <c r="H23" s="262" t="s">
        <v>800</v>
      </c>
      <c r="I23" s="263">
        <v>1</v>
      </c>
      <c r="J23" s="262" t="s">
        <v>689</v>
      </c>
      <c r="K23" s="263">
        <v>2</v>
      </c>
      <c r="L23" s="263"/>
      <c r="M23" s="74" t="s">
        <v>801</v>
      </c>
      <c r="N23" s="79" t="s">
        <v>802</v>
      </c>
      <c r="O23" s="263" t="s">
        <v>692</v>
      </c>
      <c r="P23" s="262"/>
      <c r="Q23" s="262"/>
      <c r="R23" s="262"/>
      <c r="S23" s="72" t="s">
        <v>693</v>
      </c>
      <c r="T23" s="72" t="s">
        <v>803</v>
      </c>
      <c r="U23" s="230" t="s">
        <v>804</v>
      </c>
      <c r="V23" s="228" t="s">
        <v>805</v>
      </c>
      <c r="W23" s="267"/>
      <c r="X23" s="262" t="s">
        <v>697</v>
      </c>
      <c r="Y23" s="72" t="s">
        <v>803</v>
      </c>
      <c r="Z23" s="72" t="s">
        <v>804</v>
      </c>
      <c r="AA23" s="262"/>
    </row>
    <row r="24" spans="2:27" ht="36.75" hidden="1" customHeight="1">
      <c r="B24" s="262" t="s">
        <v>683</v>
      </c>
      <c r="C24" s="262" t="s">
        <v>796</v>
      </c>
      <c r="D24" s="262" t="s">
        <v>797</v>
      </c>
      <c r="E24" s="263">
        <v>0</v>
      </c>
      <c r="F24" s="77" t="s">
        <v>806</v>
      </c>
      <c r="G24" s="262" t="s">
        <v>807</v>
      </c>
      <c r="H24" s="262" t="s">
        <v>808</v>
      </c>
      <c r="I24" s="263">
        <v>2</v>
      </c>
      <c r="J24" s="262" t="s">
        <v>689</v>
      </c>
      <c r="K24" s="263">
        <v>20</v>
      </c>
      <c r="L24" s="263"/>
      <c r="M24" s="265" t="s">
        <v>809</v>
      </c>
      <c r="N24" s="85" t="s">
        <v>810</v>
      </c>
      <c r="O24" s="263" t="s">
        <v>692</v>
      </c>
      <c r="P24" s="265" t="s">
        <v>811</v>
      </c>
      <c r="Q24" s="265"/>
      <c r="R24" s="265"/>
      <c r="S24" s="72" t="s">
        <v>693</v>
      </c>
      <c r="T24" s="72" t="s">
        <v>803</v>
      </c>
      <c r="U24" s="231" t="s">
        <v>812</v>
      </c>
      <c r="V24" s="228" t="s">
        <v>813</v>
      </c>
      <c r="W24" s="267"/>
      <c r="X24" s="262" t="s">
        <v>697</v>
      </c>
      <c r="Y24" s="72" t="s">
        <v>803</v>
      </c>
      <c r="Z24" s="86" t="s">
        <v>812</v>
      </c>
      <c r="AA24" s="262"/>
    </row>
    <row r="25" spans="2:27" ht="36.75" hidden="1" customHeight="1">
      <c r="B25" s="262" t="s">
        <v>683</v>
      </c>
      <c r="C25" s="262" t="s">
        <v>796</v>
      </c>
      <c r="D25" s="262" t="s">
        <v>797</v>
      </c>
      <c r="E25" s="263">
        <v>0</v>
      </c>
      <c r="F25" s="77" t="s">
        <v>814</v>
      </c>
      <c r="G25" s="262" t="s">
        <v>815</v>
      </c>
      <c r="H25" s="262" t="s">
        <v>800</v>
      </c>
      <c r="I25" s="263">
        <v>3</v>
      </c>
      <c r="J25" s="262" t="s">
        <v>689</v>
      </c>
      <c r="K25" s="263">
        <v>30</v>
      </c>
      <c r="L25" s="263"/>
      <c r="M25" s="265" t="s">
        <v>816</v>
      </c>
      <c r="N25" s="82" t="s">
        <v>817</v>
      </c>
      <c r="O25" s="263" t="s">
        <v>692</v>
      </c>
      <c r="P25" s="262"/>
      <c r="Q25" s="262"/>
      <c r="R25" s="262"/>
      <c r="S25" s="72" t="s">
        <v>693</v>
      </c>
      <c r="T25" s="72" t="s">
        <v>803</v>
      </c>
      <c r="U25" s="232" t="s">
        <v>818</v>
      </c>
      <c r="V25" s="228" t="s">
        <v>819</v>
      </c>
      <c r="W25" s="267"/>
      <c r="X25" s="262" t="s">
        <v>697</v>
      </c>
      <c r="Y25" s="72" t="s">
        <v>803</v>
      </c>
      <c r="Z25" s="100" t="s">
        <v>818</v>
      </c>
      <c r="AA25" s="262"/>
    </row>
    <row r="26" spans="2:27" ht="36.75" hidden="1" customHeight="1">
      <c r="B26" s="262" t="s">
        <v>683</v>
      </c>
      <c r="C26" s="262" t="s">
        <v>796</v>
      </c>
      <c r="D26" s="262" t="s">
        <v>797</v>
      </c>
      <c r="E26" s="263">
        <v>0</v>
      </c>
      <c r="F26" s="77" t="s">
        <v>820</v>
      </c>
      <c r="G26" s="262" t="s">
        <v>821</v>
      </c>
      <c r="H26" s="262" t="s">
        <v>822</v>
      </c>
      <c r="I26" s="263">
        <v>4</v>
      </c>
      <c r="J26" s="262" t="s">
        <v>689</v>
      </c>
      <c r="K26" s="263">
        <v>20</v>
      </c>
      <c r="L26" s="263"/>
      <c r="M26" s="265" t="s">
        <v>823</v>
      </c>
      <c r="N26" s="82" t="s">
        <v>824</v>
      </c>
      <c r="O26" s="263" t="s">
        <v>692</v>
      </c>
      <c r="P26" s="262"/>
      <c r="Q26" s="262"/>
      <c r="R26" s="262"/>
      <c r="S26" s="72" t="s">
        <v>693</v>
      </c>
      <c r="T26" s="72" t="s">
        <v>803</v>
      </c>
      <c r="U26" s="230" t="s">
        <v>825</v>
      </c>
      <c r="V26" s="228" t="s">
        <v>826</v>
      </c>
      <c r="W26" s="267"/>
      <c r="X26" s="262" t="s">
        <v>697</v>
      </c>
      <c r="Y26" s="72" t="s">
        <v>803</v>
      </c>
      <c r="Z26" s="72" t="s">
        <v>825</v>
      </c>
      <c r="AA26" s="262"/>
    </row>
    <row r="27" spans="2:27" ht="36.75" hidden="1" customHeight="1">
      <c r="B27" s="262" t="s">
        <v>683</v>
      </c>
      <c r="C27" s="262" t="s">
        <v>796</v>
      </c>
      <c r="D27" s="262" t="s">
        <v>797</v>
      </c>
      <c r="E27" s="263">
        <v>0</v>
      </c>
      <c r="F27" s="77" t="s">
        <v>827</v>
      </c>
      <c r="G27" s="262" t="s">
        <v>828</v>
      </c>
      <c r="H27" s="262" t="s">
        <v>800</v>
      </c>
      <c r="I27" s="263">
        <v>5</v>
      </c>
      <c r="J27" s="262" t="s">
        <v>689</v>
      </c>
      <c r="K27" s="263">
        <v>2</v>
      </c>
      <c r="L27" s="263"/>
      <c r="M27" s="74" t="s">
        <v>829</v>
      </c>
      <c r="N27" s="82" t="s">
        <v>830</v>
      </c>
      <c r="O27" s="263" t="s">
        <v>692</v>
      </c>
      <c r="P27" s="262"/>
      <c r="Q27" s="262"/>
      <c r="R27" s="262"/>
      <c r="S27" s="72" t="s">
        <v>693</v>
      </c>
      <c r="T27" s="72" t="s">
        <v>803</v>
      </c>
      <c r="U27" s="230" t="s">
        <v>141</v>
      </c>
      <c r="V27" s="228" t="s">
        <v>831</v>
      </c>
      <c r="W27" s="267"/>
      <c r="X27" s="262" t="s">
        <v>697</v>
      </c>
      <c r="Y27" s="72" t="s">
        <v>803</v>
      </c>
      <c r="Z27" s="72" t="s">
        <v>141</v>
      </c>
      <c r="AA27" s="262"/>
    </row>
    <row r="28" spans="2:27" ht="36.75" hidden="1" customHeight="1">
      <c r="B28" s="262" t="s">
        <v>683</v>
      </c>
      <c r="C28" s="262" t="s">
        <v>796</v>
      </c>
      <c r="D28" s="262" t="s">
        <v>797</v>
      </c>
      <c r="E28" s="263">
        <v>0</v>
      </c>
      <c r="F28" s="77" t="s">
        <v>832</v>
      </c>
      <c r="G28" s="262" t="s">
        <v>833</v>
      </c>
      <c r="H28" s="262" t="s">
        <v>808</v>
      </c>
      <c r="I28" s="263">
        <v>6</v>
      </c>
      <c r="J28" s="262" t="s">
        <v>689</v>
      </c>
      <c r="K28" s="263">
        <v>20</v>
      </c>
      <c r="L28" s="263"/>
      <c r="M28" s="265" t="s">
        <v>834</v>
      </c>
      <c r="N28" s="82" t="s">
        <v>835</v>
      </c>
      <c r="O28" s="263" t="s">
        <v>692</v>
      </c>
      <c r="P28" s="265" t="s">
        <v>811</v>
      </c>
      <c r="Q28" s="265"/>
      <c r="R28" s="265"/>
      <c r="S28" s="72" t="s">
        <v>693</v>
      </c>
      <c r="T28" s="72" t="s">
        <v>803</v>
      </c>
      <c r="U28" s="230" t="s">
        <v>836</v>
      </c>
      <c r="V28" s="228" t="s">
        <v>837</v>
      </c>
      <c r="W28" s="267"/>
      <c r="X28" s="262" t="s">
        <v>697</v>
      </c>
      <c r="Y28" s="72" t="s">
        <v>803</v>
      </c>
      <c r="Z28" s="72" t="s">
        <v>836</v>
      </c>
      <c r="AA28" s="262"/>
    </row>
    <row r="29" spans="2:27" ht="36.75" hidden="1" customHeight="1">
      <c r="B29" s="262" t="s">
        <v>683</v>
      </c>
      <c r="C29" s="262" t="s">
        <v>796</v>
      </c>
      <c r="D29" s="262" t="s">
        <v>797</v>
      </c>
      <c r="E29" s="263">
        <v>0</v>
      </c>
      <c r="F29" s="77" t="s">
        <v>838</v>
      </c>
      <c r="G29" s="262" t="s">
        <v>839</v>
      </c>
      <c r="H29" s="262" t="s">
        <v>800</v>
      </c>
      <c r="I29" s="263">
        <v>7</v>
      </c>
      <c r="J29" s="262" t="s">
        <v>689</v>
      </c>
      <c r="K29" s="263">
        <v>11</v>
      </c>
      <c r="L29" s="263"/>
      <c r="M29" s="265" t="s">
        <v>840</v>
      </c>
      <c r="N29" s="82" t="s">
        <v>841</v>
      </c>
      <c r="O29" s="263" t="s">
        <v>692</v>
      </c>
      <c r="P29" s="262"/>
      <c r="Q29" s="262"/>
      <c r="R29" s="262"/>
      <c r="S29" s="72" t="s">
        <v>693</v>
      </c>
      <c r="T29" s="72" t="s">
        <v>803</v>
      </c>
      <c r="U29" s="230" t="s">
        <v>842</v>
      </c>
      <c r="V29" s="228" t="s">
        <v>843</v>
      </c>
      <c r="W29" s="267"/>
      <c r="X29" s="262" t="s">
        <v>697</v>
      </c>
      <c r="Y29" s="72" t="s">
        <v>803</v>
      </c>
      <c r="Z29" s="72" t="s">
        <v>842</v>
      </c>
      <c r="AA29" s="262"/>
    </row>
    <row r="30" spans="2:27" ht="36.75" hidden="1" customHeight="1">
      <c r="B30" s="262" t="s">
        <v>683</v>
      </c>
      <c r="C30" s="262" t="s">
        <v>796</v>
      </c>
      <c r="D30" s="262" t="s">
        <v>797</v>
      </c>
      <c r="E30" s="263">
        <v>0</v>
      </c>
      <c r="F30" s="81" t="s">
        <v>844</v>
      </c>
      <c r="G30" s="75" t="s">
        <v>845</v>
      </c>
      <c r="H30" s="262" t="s">
        <v>808</v>
      </c>
      <c r="I30" s="78">
        <v>8</v>
      </c>
      <c r="J30" s="75" t="s">
        <v>689</v>
      </c>
      <c r="K30" s="78">
        <v>20</v>
      </c>
      <c r="L30" s="78"/>
      <c r="M30" s="74" t="s">
        <v>846</v>
      </c>
      <c r="N30" s="82" t="s">
        <v>847</v>
      </c>
      <c r="O30" s="263" t="s">
        <v>692</v>
      </c>
      <c r="P30" s="262"/>
      <c r="Q30" s="262"/>
      <c r="R30" s="262"/>
      <c r="S30" s="72" t="s">
        <v>693</v>
      </c>
      <c r="T30" s="72" t="s">
        <v>803</v>
      </c>
      <c r="U30" s="230" t="s">
        <v>848</v>
      </c>
      <c r="V30" s="228" t="s">
        <v>849</v>
      </c>
      <c r="W30" s="267"/>
      <c r="X30" s="262" t="s">
        <v>697</v>
      </c>
      <c r="Y30" s="72" t="s">
        <v>803</v>
      </c>
      <c r="Z30" s="72" t="s">
        <v>848</v>
      </c>
      <c r="AA30" s="262"/>
    </row>
    <row r="31" spans="2:27" ht="36.75" hidden="1" customHeight="1">
      <c r="B31" s="262" t="s">
        <v>683</v>
      </c>
      <c r="C31" s="262" t="s">
        <v>796</v>
      </c>
      <c r="D31" s="262" t="s">
        <v>797</v>
      </c>
      <c r="E31" s="263">
        <v>0</v>
      </c>
      <c r="F31" s="262" t="s">
        <v>850</v>
      </c>
      <c r="G31" s="262" t="s">
        <v>851</v>
      </c>
      <c r="H31" s="262" t="s">
        <v>852</v>
      </c>
      <c r="I31" s="263">
        <v>9</v>
      </c>
      <c r="J31" s="262" t="s">
        <v>689</v>
      </c>
      <c r="K31" s="263">
        <v>2</v>
      </c>
      <c r="L31" s="263"/>
      <c r="M31" s="74" t="s">
        <v>853</v>
      </c>
      <c r="N31" s="82" t="s">
        <v>854</v>
      </c>
      <c r="O31" s="263" t="s">
        <v>692</v>
      </c>
      <c r="P31" s="262"/>
      <c r="Q31" s="262"/>
      <c r="R31" s="262"/>
      <c r="S31" s="72" t="s">
        <v>693</v>
      </c>
      <c r="T31" s="72" t="s">
        <v>803</v>
      </c>
      <c r="U31" s="230" t="s">
        <v>855</v>
      </c>
      <c r="V31" s="228" t="s">
        <v>856</v>
      </c>
      <c r="W31" s="267"/>
      <c r="X31" s="262" t="s">
        <v>697</v>
      </c>
      <c r="Y31" s="72" t="s">
        <v>803</v>
      </c>
      <c r="Z31" s="72" t="s">
        <v>855</v>
      </c>
      <c r="AA31" s="262"/>
    </row>
    <row r="32" spans="2:27" ht="36.75" hidden="1" customHeight="1">
      <c r="B32" s="262" t="s">
        <v>683</v>
      </c>
      <c r="C32" s="262" t="s">
        <v>796</v>
      </c>
      <c r="D32" s="262" t="s">
        <v>797</v>
      </c>
      <c r="E32" s="263">
        <v>0</v>
      </c>
      <c r="F32" s="262" t="s">
        <v>857</v>
      </c>
      <c r="G32" s="262" t="s">
        <v>858</v>
      </c>
      <c r="H32" s="262" t="s">
        <v>859</v>
      </c>
      <c r="I32" s="263">
        <v>10</v>
      </c>
      <c r="J32" s="262" t="s">
        <v>689</v>
      </c>
      <c r="K32" s="263">
        <v>20</v>
      </c>
      <c r="L32" s="263"/>
      <c r="M32" s="265" t="s">
        <v>860</v>
      </c>
      <c r="N32" s="82" t="s">
        <v>861</v>
      </c>
      <c r="O32" s="263" t="s">
        <v>692</v>
      </c>
      <c r="P32" s="265" t="s">
        <v>811</v>
      </c>
      <c r="Q32" s="265"/>
      <c r="R32" s="265"/>
      <c r="S32" s="72" t="s">
        <v>693</v>
      </c>
      <c r="T32" s="72" t="s">
        <v>803</v>
      </c>
      <c r="U32" s="230" t="s">
        <v>369</v>
      </c>
      <c r="V32" s="228" t="s">
        <v>862</v>
      </c>
      <c r="W32" s="267"/>
      <c r="X32" s="262" t="s">
        <v>697</v>
      </c>
      <c r="Y32" s="72" t="s">
        <v>803</v>
      </c>
      <c r="Z32" s="72" t="s">
        <v>369</v>
      </c>
      <c r="AA32" s="262"/>
    </row>
    <row r="33" spans="2:27" ht="36.75" hidden="1" customHeight="1">
      <c r="B33" s="262" t="s">
        <v>683</v>
      </c>
      <c r="C33" s="262" t="s">
        <v>796</v>
      </c>
      <c r="D33" s="262" t="s">
        <v>797</v>
      </c>
      <c r="E33" s="263">
        <v>0</v>
      </c>
      <c r="F33" s="262" t="s">
        <v>863</v>
      </c>
      <c r="G33" s="262" t="s">
        <v>864</v>
      </c>
      <c r="H33" s="262" t="s">
        <v>852</v>
      </c>
      <c r="I33" s="263">
        <v>11</v>
      </c>
      <c r="J33" s="262" t="s">
        <v>689</v>
      </c>
      <c r="K33" s="263">
        <v>30</v>
      </c>
      <c r="L33" s="263"/>
      <c r="M33" s="265" t="s">
        <v>865</v>
      </c>
      <c r="N33" s="82" t="s">
        <v>866</v>
      </c>
      <c r="O33" s="263" t="s">
        <v>692</v>
      </c>
      <c r="P33" s="262"/>
      <c r="Q33" s="262"/>
      <c r="R33" s="262"/>
      <c r="S33" s="72" t="s">
        <v>693</v>
      </c>
      <c r="T33" s="72" t="s">
        <v>803</v>
      </c>
      <c r="U33" s="230" t="s">
        <v>867</v>
      </c>
      <c r="V33" s="228" t="s">
        <v>868</v>
      </c>
      <c r="W33" s="267"/>
      <c r="X33" s="262" t="s">
        <v>697</v>
      </c>
      <c r="Y33" s="72" t="s">
        <v>803</v>
      </c>
      <c r="Z33" s="72" t="s">
        <v>867</v>
      </c>
      <c r="AA33" s="262"/>
    </row>
    <row r="34" spans="2:27" ht="36.75" hidden="1" customHeight="1">
      <c r="B34" s="262" t="s">
        <v>683</v>
      </c>
      <c r="C34" s="262" t="s">
        <v>796</v>
      </c>
      <c r="D34" s="262" t="s">
        <v>797</v>
      </c>
      <c r="E34" s="263">
        <v>0</v>
      </c>
      <c r="F34" s="262" t="s">
        <v>869</v>
      </c>
      <c r="G34" s="262" t="s">
        <v>870</v>
      </c>
      <c r="H34" s="262" t="s">
        <v>859</v>
      </c>
      <c r="I34" s="263">
        <v>12</v>
      </c>
      <c r="J34" s="262" t="s">
        <v>689</v>
      </c>
      <c r="K34" s="263">
        <v>20</v>
      </c>
      <c r="L34" s="263"/>
      <c r="M34" s="265" t="s">
        <v>871</v>
      </c>
      <c r="N34" s="82" t="s">
        <v>872</v>
      </c>
      <c r="O34" s="263" t="s">
        <v>692</v>
      </c>
      <c r="P34" s="262"/>
      <c r="Q34" s="262"/>
      <c r="R34" s="262"/>
      <c r="S34" s="72" t="s">
        <v>693</v>
      </c>
      <c r="T34" s="72" t="s">
        <v>803</v>
      </c>
      <c r="U34" s="230" t="s">
        <v>873</v>
      </c>
      <c r="V34" s="228" t="s">
        <v>874</v>
      </c>
      <c r="W34" s="267"/>
      <c r="X34" s="262" t="s">
        <v>697</v>
      </c>
      <c r="Y34" s="72" t="s">
        <v>803</v>
      </c>
      <c r="Z34" s="72" t="s">
        <v>873</v>
      </c>
      <c r="AA34" s="262"/>
    </row>
    <row r="35" spans="2:27" ht="36.75" hidden="1" customHeight="1">
      <c r="B35" s="262" t="s">
        <v>683</v>
      </c>
      <c r="C35" s="262" t="s">
        <v>796</v>
      </c>
      <c r="D35" s="262" t="s">
        <v>797</v>
      </c>
      <c r="E35" s="263">
        <v>0</v>
      </c>
      <c r="F35" s="262" t="s">
        <v>741</v>
      </c>
      <c r="G35" s="262" t="s">
        <v>742</v>
      </c>
      <c r="H35" s="262" t="s">
        <v>743</v>
      </c>
      <c r="I35" s="263">
        <v>13</v>
      </c>
      <c r="J35" s="262" t="s">
        <v>689</v>
      </c>
      <c r="K35" s="263">
        <v>20</v>
      </c>
      <c r="L35" s="263"/>
      <c r="M35" s="265" t="s">
        <v>744</v>
      </c>
      <c r="N35" s="82" t="s">
        <v>875</v>
      </c>
      <c r="O35" s="263"/>
      <c r="P35" s="265" t="s">
        <v>746</v>
      </c>
      <c r="Q35" s="265"/>
      <c r="R35" s="265"/>
      <c r="S35" s="72" t="s">
        <v>693</v>
      </c>
      <c r="T35" s="72" t="s">
        <v>803</v>
      </c>
      <c r="U35" s="230" t="s">
        <v>747</v>
      </c>
      <c r="V35" s="100" t="s">
        <v>876</v>
      </c>
      <c r="W35" s="267"/>
      <c r="X35" s="262" t="s">
        <v>697</v>
      </c>
      <c r="Y35" s="72" t="s">
        <v>803</v>
      </c>
      <c r="Z35" s="72" t="s">
        <v>747</v>
      </c>
      <c r="AA35" s="262"/>
    </row>
    <row r="36" spans="2:27" ht="36.75" hidden="1" customHeight="1">
      <c r="B36" s="262" t="s">
        <v>683</v>
      </c>
      <c r="C36" s="262" t="s">
        <v>796</v>
      </c>
      <c r="D36" s="262" t="s">
        <v>797</v>
      </c>
      <c r="E36" s="263">
        <v>0</v>
      </c>
      <c r="F36" s="262" t="s">
        <v>877</v>
      </c>
      <c r="G36" s="262" t="s">
        <v>764</v>
      </c>
      <c r="H36" s="262" t="s">
        <v>765</v>
      </c>
      <c r="I36" s="263">
        <v>14</v>
      </c>
      <c r="J36" s="262" t="s">
        <v>689</v>
      </c>
      <c r="K36" s="263">
        <v>10</v>
      </c>
      <c r="L36" s="263"/>
      <c r="M36" s="265" t="s">
        <v>766</v>
      </c>
      <c r="N36" s="82" t="s">
        <v>767</v>
      </c>
      <c r="O36" s="263"/>
      <c r="P36" s="262"/>
      <c r="Q36" s="262"/>
      <c r="R36" s="262"/>
      <c r="S36" s="72" t="s">
        <v>693</v>
      </c>
      <c r="T36" s="72" t="s">
        <v>803</v>
      </c>
      <c r="U36" s="230" t="s">
        <v>878</v>
      </c>
      <c r="V36" s="235" t="s">
        <v>879</v>
      </c>
      <c r="W36" s="267"/>
      <c r="X36" s="262" t="s">
        <v>697</v>
      </c>
      <c r="Y36" s="72" t="s">
        <v>803</v>
      </c>
      <c r="Z36" s="72" t="s">
        <v>878</v>
      </c>
      <c r="AA36" s="262"/>
    </row>
    <row r="37" spans="2:27" ht="36.75" hidden="1" customHeight="1">
      <c r="B37" s="262" t="s">
        <v>683</v>
      </c>
      <c r="C37" s="262" t="s">
        <v>796</v>
      </c>
      <c r="D37" s="262" t="s">
        <v>797</v>
      </c>
      <c r="E37" s="263">
        <v>0</v>
      </c>
      <c r="F37" s="262" t="s">
        <v>880</v>
      </c>
      <c r="G37" s="262" t="s">
        <v>881</v>
      </c>
      <c r="H37" s="262" t="s">
        <v>765</v>
      </c>
      <c r="I37" s="263">
        <v>15</v>
      </c>
      <c r="J37" s="262" t="s">
        <v>689</v>
      </c>
      <c r="K37" s="263">
        <v>10</v>
      </c>
      <c r="L37" s="263"/>
      <c r="M37" s="265" t="s">
        <v>882</v>
      </c>
      <c r="N37" s="82" t="s">
        <v>883</v>
      </c>
      <c r="O37" s="263"/>
      <c r="P37" s="262"/>
      <c r="Q37" s="262"/>
      <c r="R37" s="262"/>
      <c r="S37" s="72" t="s">
        <v>693</v>
      </c>
      <c r="T37" s="72" t="s">
        <v>803</v>
      </c>
      <c r="U37" s="230" t="s">
        <v>884</v>
      </c>
      <c r="V37" s="235" t="s">
        <v>885</v>
      </c>
      <c r="W37" s="267"/>
      <c r="X37" s="262" t="s">
        <v>697</v>
      </c>
      <c r="Y37" s="72" t="s">
        <v>803</v>
      </c>
      <c r="Z37" s="72" t="s">
        <v>884</v>
      </c>
      <c r="AA37" s="262"/>
    </row>
    <row r="38" spans="2:27" ht="36.75" hidden="1" customHeight="1">
      <c r="B38" s="262" t="s">
        <v>683</v>
      </c>
      <c r="C38" s="262" t="s">
        <v>796</v>
      </c>
      <c r="D38" s="262" t="s">
        <v>797</v>
      </c>
      <c r="E38" s="263">
        <v>0</v>
      </c>
      <c r="F38" s="262" t="s">
        <v>705</v>
      </c>
      <c r="G38" s="262" t="s">
        <v>706</v>
      </c>
      <c r="H38" s="262" t="s">
        <v>707</v>
      </c>
      <c r="I38" s="263">
        <v>16</v>
      </c>
      <c r="J38" s="262" t="s">
        <v>689</v>
      </c>
      <c r="K38" s="263">
        <v>20</v>
      </c>
      <c r="L38" s="263"/>
      <c r="M38" s="265" t="s">
        <v>886</v>
      </c>
      <c r="N38" s="82" t="s">
        <v>709</v>
      </c>
      <c r="O38" s="263"/>
      <c r="P38" s="265" t="s">
        <v>710</v>
      </c>
      <c r="Q38" s="265"/>
      <c r="R38" s="265"/>
      <c r="S38" s="72" t="s">
        <v>693</v>
      </c>
      <c r="T38" s="72" t="s">
        <v>803</v>
      </c>
      <c r="U38" s="230" t="s">
        <v>711</v>
      </c>
      <c r="V38" s="100" t="s">
        <v>887</v>
      </c>
      <c r="W38" s="267"/>
      <c r="X38" s="262" t="s">
        <v>697</v>
      </c>
      <c r="Y38" s="72" t="s">
        <v>803</v>
      </c>
      <c r="Z38" s="72" t="s">
        <v>711</v>
      </c>
      <c r="AA38" s="262"/>
    </row>
    <row r="39" spans="2:27" ht="36.75" hidden="1" customHeight="1">
      <c r="B39" s="262" t="s">
        <v>683</v>
      </c>
      <c r="C39" s="262" t="s">
        <v>796</v>
      </c>
      <c r="D39" s="262" t="s">
        <v>797</v>
      </c>
      <c r="E39" s="263">
        <v>0</v>
      </c>
      <c r="F39" s="262" t="s">
        <v>713</v>
      </c>
      <c r="G39" s="262" t="s">
        <v>714</v>
      </c>
      <c r="H39" s="262" t="s">
        <v>707</v>
      </c>
      <c r="I39" s="263">
        <v>17</v>
      </c>
      <c r="J39" s="262" t="s">
        <v>689</v>
      </c>
      <c r="K39" s="263">
        <v>20</v>
      </c>
      <c r="L39" s="263"/>
      <c r="M39" s="265" t="s">
        <v>888</v>
      </c>
      <c r="N39" s="82" t="s">
        <v>717</v>
      </c>
      <c r="O39" s="263"/>
      <c r="P39" s="265" t="s">
        <v>718</v>
      </c>
      <c r="Q39" s="265"/>
      <c r="R39" s="265"/>
      <c r="S39" s="72" t="s">
        <v>693</v>
      </c>
      <c r="T39" s="72" t="s">
        <v>803</v>
      </c>
      <c r="U39" s="230" t="s">
        <v>719</v>
      </c>
      <c r="V39" s="100" t="s">
        <v>889</v>
      </c>
      <c r="W39" s="267"/>
      <c r="X39" s="262" t="s">
        <v>697</v>
      </c>
      <c r="Y39" s="72" t="s">
        <v>803</v>
      </c>
      <c r="Z39" s="72" t="s">
        <v>719</v>
      </c>
      <c r="AA39" s="262"/>
    </row>
    <row r="40" spans="2:27" ht="36.75" hidden="1" customHeight="1">
      <c r="B40" s="262" t="s">
        <v>683</v>
      </c>
      <c r="C40" s="262" t="s">
        <v>796</v>
      </c>
      <c r="D40" s="262" t="s">
        <v>797</v>
      </c>
      <c r="E40" s="263">
        <v>0</v>
      </c>
      <c r="F40" s="262" t="s">
        <v>890</v>
      </c>
      <c r="G40" s="262" t="s">
        <v>891</v>
      </c>
      <c r="H40" s="262" t="s">
        <v>892</v>
      </c>
      <c r="I40" s="263">
        <v>18</v>
      </c>
      <c r="J40" s="262" t="s">
        <v>689</v>
      </c>
      <c r="K40" s="263">
        <v>10</v>
      </c>
      <c r="L40" s="263"/>
      <c r="M40" s="265" t="s">
        <v>893</v>
      </c>
      <c r="N40" s="82" t="s">
        <v>894</v>
      </c>
      <c r="O40" s="263"/>
      <c r="P40" s="262"/>
      <c r="Q40" s="262"/>
      <c r="R40" s="262"/>
      <c r="S40" s="72" t="s">
        <v>693</v>
      </c>
      <c r="T40" s="72" t="s">
        <v>803</v>
      </c>
      <c r="U40" s="230" t="s">
        <v>895</v>
      </c>
      <c r="V40" s="228" t="s">
        <v>896</v>
      </c>
      <c r="W40" s="267"/>
      <c r="X40" s="262" t="s">
        <v>697</v>
      </c>
      <c r="Y40" s="72" t="s">
        <v>803</v>
      </c>
      <c r="Z40" s="72" t="s">
        <v>895</v>
      </c>
      <c r="AA40" s="262"/>
    </row>
    <row r="41" spans="2:27" ht="36.75" hidden="1" customHeight="1">
      <c r="B41" s="262" t="s">
        <v>683</v>
      </c>
      <c r="C41" s="262" t="s">
        <v>796</v>
      </c>
      <c r="D41" s="262" t="s">
        <v>797</v>
      </c>
      <c r="E41" s="263">
        <v>0</v>
      </c>
      <c r="F41" s="262" t="s">
        <v>897</v>
      </c>
      <c r="G41" s="262" t="s">
        <v>898</v>
      </c>
      <c r="H41" s="262" t="s">
        <v>899</v>
      </c>
      <c r="I41" s="263">
        <v>19</v>
      </c>
      <c r="J41" s="262" t="s">
        <v>689</v>
      </c>
      <c r="K41" s="263">
        <v>23</v>
      </c>
      <c r="L41" s="263">
        <v>6</v>
      </c>
      <c r="M41" s="265" t="s">
        <v>900</v>
      </c>
      <c r="N41" s="82" t="s">
        <v>901</v>
      </c>
      <c r="O41" s="263"/>
      <c r="P41" s="262"/>
      <c r="Q41" s="262"/>
      <c r="R41" s="262"/>
      <c r="S41" s="72" t="s">
        <v>693</v>
      </c>
      <c r="T41" s="72" t="s">
        <v>803</v>
      </c>
      <c r="U41" s="230" t="s">
        <v>902</v>
      </c>
      <c r="V41" s="228" t="s">
        <v>903</v>
      </c>
      <c r="W41" s="267"/>
      <c r="X41" s="262" t="s">
        <v>697</v>
      </c>
      <c r="Y41" s="72" t="s">
        <v>803</v>
      </c>
      <c r="Z41" s="72" t="s">
        <v>902</v>
      </c>
      <c r="AA41" s="262"/>
    </row>
    <row r="42" spans="2:27" ht="36.75" hidden="1" customHeight="1">
      <c r="B42" s="262" t="s">
        <v>683</v>
      </c>
      <c r="C42" s="262" t="s">
        <v>796</v>
      </c>
      <c r="D42" s="262" t="s">
        <v>797</v>
      </c>
      <c r="E42" s="263">
        <v>0</v>
      </c>
      <c r="F42" s="77" t="s">
        <v>904</v>
      </c>
      <c r="G42" s="262" t="s">
        <v>905</v>
      </c>
      <c r="H42" s="262" t="s">
        <v>688</v>
      </c>
      <c r="I42" s="263">
        <v>20</v>
      </c>
      <c r="J42" s="262" t="s">
        <v>689</v>
      </c>
      <c r="K42" s="263">
        <v>20</v>
      </c>
      <c r="L42" s="263"/>
      <c r="M42" s="265" t="s">
        <v>906</v>
      </c>
      <c r="N42" s="82" t="s">
        <v>907</v>
      </c>
      <c r="O42" s="263"/>
      <c r="P42" s="265" t="s">
        <v>908</v>
      </c>
      <c r="Q42" s="265"/>
      <c r="R42" s="265"/>
      <c r="S42" s="72" t="s">
        <v>693</v>
      </c>
      <c r="T42" s="72" t="s">
        <v>803</v>
      </c>
      <c r="U42" s="230" t="s">
        <v>909</v>
      </c>
      <c r="V42" s="228" t="s">
        <v>910</v>
      </c>
      <c r="W42" s="267"/>
      <c r="X42" s="262" t="s">
        <v>697</v>
      </c>
      <c r="Y42" s="72" t="s">
        <v>803</v>
      </c>
      <c r="Z42" s="72" t="s">
        <v>909</v>
      </c>
      <c r="AA42" s="262"/>
    </row>
    <row r="43" spans="2:27" ht="36.75" hidden="1" customHeight="1">
      <c r="B43" s="262" t="s">
        <v>683</v>
      </c>
      <c r="C43" s="262" t="s">
        <v>796</v>
      </c>
      <c r="D43" s="262" t="s">
        <v>797</v>
      </c>
      <c r="E43" s="263">
        <v>0</v>
      </c>
      <c r="F43" s="264" t="s">
        <v>686</v>
      </c>
      <c r="G43" s="262" t="s">
        <v>687</v>
      </c>
      <c r="H43" s="262" t="s">
        <v>688</v>
      </c>
      <c r="I43" s="263">
        <v>21</v>
      </c>
      <c r="J43" s="262" t="s">
        <v>689</v>
      </c>
      <c r="K43" s="263">
        <v>20</v>
      </c>
      <c r="L43" s="263"/>
      <c r="M43" s="265" t="s">
        <v>690</v>
      </c>
      <c r="N43" s="262" t="s">
        <v>691</v>
      </c>
      <c r="O43" s="263"/>
      <c r="P43" s="262"/>
      <c r="Q43" s="262"/>
      <c r="R43" s="262"/>
      <c r="S43" s="72" t="s">
        <v>693</v>
      </c>
      <c r="T43" s="72" t="s">
        <v>803</v>
      </c>
      <c r="U43" s="230" t="s">
        <v>695</v>
      </c>
      <c r="V43" s="235" t="s">
        <v>911</v>
      </c>
      <c r="W43" s="267"/>
      <c r="X43" s="262" t="s">
        <v>697</v>
      </c>
      <c r="Y43" s="72" t="s">
        <v>803</v>
      </c>
      <c r="Z43" s="72" t="s">
        <v>695</v>
      </c>
      <c r="AA43" s="262"/>
    </row>
    <row r="44" spans="2:27" ht="36.75" hidden="1" customHeight="1">
      <c r="B44" s="262" t="s">
        <v>683</v>
      </c>
      <c r="C44" s="262" t="s">
        <v>796</v>
      </c>
      <c r="D44" s="262" t="s">
        <v>797</v>
      </c>
      <c r="E44" s="263">
        <v>0</v>
      </c>
      <c r="F44" s="264" t="s">
        <v>721</v>
      </c>
      <c r="G44" s="262" t="s">
        <v>722</v>
      </c>
      <c r="H44" s="262" t="s">
        <v>688</v>
      </c>
      <c r="I44" s="263">
        <v>22</v>
      </c>
      <c r="J44" s="262" t="s">
        <v>689</v>
      </c>
      <c r="K44" s="263">
        <v>20</v>
      </c>
      <c r="L44" s="263"/>
      <c r="M44" s="265" t="s">
        <v>723</v>
      </c>
      <c r="N44" s="262" t="s">
        <v>724</v>
      </c>
      <c r="O44" s="263"/>
      <c r="P44" s="262"/>
      <c r="Q44" s="262"/>
      <c r="R44" s="262"/>
      <c r="S44" s="72" t="s">
        <v>693</v>
      </c>
      <c r="T44" s="72" t="s">
        <v>803</v>
      </c>
      <c r="U44" s="230" t="s">
        <v>725</v>
      </c>
      <c r="V44" s="234" t="s">
        <v>912</v>
      </c>
      <c r="W44" s="267"/>
      <c r="X44" s="262" t="s">
        <v>697</v>
      </c>
      <c r="Y44" s="72" t="s">
        <v>803</v>
      </c>
      <c r="Z44" s="72" t="s">
        <v>725</v>
      </c>
      <c r="AA44" s="262"/>
    </row>
    <row r="45" spans="2:27" ht="36.75" hidden="1" customHeight="1">
      <c r="B45" s="262" t="s">
        <v>683</v>
      </c>
      <c r="C45" s="262" t="s">
        <v>796</v>
      </c>
      <c r="D45" s="262" t="s">
        <v>797</v>
      </c>
      <c r="E45" s="263">
        <v>0</v>
      </c>
      <c r="F45" s="262" t="s">
        <v>913</v>
      </c>
      <c r="G45" s="262" t="s">
        <v>914</v>
      </c>
      <c r="H45" s="262" t="s">
        <v>915</v>
      </c>
      <c r="I45" s="263">
        <v>23</v>
      </c>
      <c r="J45" s="262" t="s">
        <v>689</v>
      </c>
      <c r="K45" s="263">
        <v>10</v>
      </c>
      <c r="L45" s="263"/>
      <c r="M45" s="265" t="s">
        <v>916</v>
      </c>
      <c r="N45" s="87" t="s">
        <v>917</v>
      </c>
      <c r="O45" s="263"/>
      <c r="P45" s="262"/>
      <c r="Q45" s="262"/>
      <c r="R45" s="262"/>
      <c r="S45" s="72" t="s">
        <v>693</v>
      </c>
      <c r="T45" s="72" t="s">
        <v>803</v>
      </c>
      <c r="U45" s="230" t="s">
        <v>918</v>
      </c>
      <c r="V45" s="228" t="s">
        <v>919</v>
      </c>
      <c r="W45" s="267"/>
      <c r="X45" s="262" t="s">
        <v>697</v>
      </c>
      <c r="Y45" s="72" t="s">
        <v>803</v>
      </c>
      <c r="Z45" s="72" t="s">
        <v>918</v>
      </c>
      <c r="AA45" s="262"/>
    </row>
    <row r="46" spans="2:27" ht="36.75" hidden="1" customHeight="1">
      <c r="B46" s="262" t="s">
        <v>683</v>
      </c>
      <c r="C46" s="262" t="s">
        <v>796</v>
      </c>
      <c r="D46" s="262" t="s">
        <v>797</v>
      </c>
      <c r="E46" s="263">
        <v>0</v>
      </c>
      <c r="F46" s="262" t="s">
        <v>920</v>
      </c>
      <c r="G46" s="262" t="s">
        <v>921</v>
      </c>
      <c r="H46" s="262" t="s">
        <v>915</v>
      </c>
      <c r="I46" s="263">
        <v>24</v>
      </c>
      <c r="J46" s="262" t="s">
        <v>689</v>
      </c>
      <c r="K46" s="263">
        <v>10</v>
      </c>
      <c r="L46" s="263"/>
      <c r="M46" s="265" t="s">
        <v>922</v>
      </c>
      <c r="N46" s="87" t="s">
        <v>923</v>
      </c>
      <c r="O46" s="263"/>
      <c r="P46" s="262"/>
      <c r="Q46" s="262"/>
      <c r="R46" s="262"/>
      <c r="S46" s="72" t="s">
        <v>693</v>
      </c>
      <c r="T46" s="72" t="s">
        <v>803</v>
      </c>
      <c r="U46" s="230" t="s">
        <v>924</v>
      </c>
      <c r="V46" s="228" t="s">
        <v>925</v>
      </c>
      <c r="W46" s="267"/>
      <c r="X46" s="262" t="s">
        <v>697</v>
      </c>
      <c r="Y46" s="72" t="s">
        <v>803</v>
      </c>
      <c r="Z46" s="72" t="s">
        <v>924</v>
      </c>
      <c r="AA46" s="262"/>
    </row>
    <row r="47" spans="2:27" ht="36.75" hidden="1" customHeight="1">
      <c r="B47" s="262" t="s">
        <v>683</v>
      </c>
      <c r="C47" s="262" t="s">
        <v>796</v>
      </c>
      <c r="D47" s="262" t="s">
        <v>797</v>
      </c>
      <c r="E47" s="263">
        <v>0</v>
      </c>
      <c r="F47" s="262" t="s">
        <v>926</v>
      </c>
      <c r="G47" s="262" t="s">
        <v>927</v>
      </c>
      <c r="H47" s="262" t="s">
        <v>928</v>
      </c>
      <c r="I47" s="263">
        <v>25</v>
      </c>
      <c r="J47" s="262" t="s">
        <v>689</v>
      </c>
      <c r="K47" s="263">
        <v>23</v>
      </c>
      <c r="L47" s="263">
        <v>6</v>
      </c>
      <c r="M47" s="265" t="s">
        <v>929</v>
      </c>
      <c r="N47" s="87" t="s">
        <v>930</v>
      </c>
      <c r="O47" s="263"/>
      <c r="P47" s="262"/>
      <c r="Q47" s="262"/>
      <c r="R47" s="262"/>
      <c r="S47" s="72" t="s">
        <v>693</v>
      </c>
      <c r="T47" s="72" t="s">
        <v>803</v>
      </c>
      <c r="U47" s="230" t="s">
        <v>931</v>
      </c>
      <c r="V47" s="228" t="s">
        <v>932</v>
      </c>
      <c r="W47" s="267"/>
      <c r="X47" s="262" t="s">
        <v>697</v>
      </c>
      <c r="Y47" s="72" t="s">
        <v>803</v>
      </c>
      <c r="Z47" s="72" t="s">
        <v>931</v>
      </c>
      <c r="AA47" s="262"/>
    </row>
    <row r="48" spans="2:27" ht="36.75" hidden="1" customHeight="1">
      <c r="B48" s="262" t="s">
        <v>683</v>
      </c>
      <c r="C48" s="262" t="s">
        <v>796</v>
      </c>
      <c r="D48" s="262" t="s">
        <v>797</v>
      </c>
      <c r="E48" s="263">
        <v>0</v>
      </c>
      <c r="F48" s="262" t="s">
        <v>933</v>
      </c>
      <c r="G48" s="262" t="s">
        <v>934</v>
      </c>
      <c r="H48" s="262" t="s">
        <v>928</v>
      </c>
      <c r="I48" s="263">
        <v>26</v>
      </c>
      <c r="J48" s="262" t="s">
        <v>689</v>
      </c>
      <c r="K48" s="263">
        <v>23</v>
      </c>
      <c r="L48" s="263">
        <v>6</v>
      </c>
      <c r="M48" s="265" t="s">
        <v>935</v>
      </c>
      <c r="N48" s="87" t="s">
        <v>936</v>
      </c>
      <c r="O48" s="263"/>
      <c r="P48" s="262"/>
      <c r="Q48" s="262"/>
      <c r="R48" s="262"/>
      <c r="S48" s="72" t="s">
        <v>693</v>
      </c>
      <c r="T48" s="72" t="s">
        <v>803</v>
      </c>
      <c r="U48" s="230" t="s">
        <v>937</v>
      </c>
      <c r="V48" s="228" t="s">
        <v>938</v>
      </c>
      <c r="W48" s="267"/>
      <c r="X48" s="262" t="s">
        <v>697</v>
      </c>
      <c r="Y48" s="72" t="s">
        <v>803</v>
      </c>
      <c r="Z48" s="72" t="s">
        <v>937</v>
      </c>
      <c r="AA48" s="262"/>
    </row>
    <row r="49" spans="2:27" ht="36.75" hidden="1" customHeight="1">
      <c r="B49" s="262" t="s">
        <v>683</v>
      </c>
      <c r="C49" s="262" t="s">
        <v>796</v>
      </c>
      <c r="D49" s="262" t="s">
        <v>797</v>
      </c>
      <c r="E49" s="263">
        <v>0</v>
      </c>
      <c r="F49" s="262" t="s">
        <v>939</v>
      </c>
      <c r="G49" s="262" t="s">
        <v>940</v>
      </c>
      <c r="H49" s="262" t="s">
        <v>928</v>
      </c>
      <c r="I49" s="263">
        <v>27</v>
      </c>
      <c r="J49" s="262" t="s">
        <v>689</v>
      </c>
      <c r="K49" s="263">
        <v>23</v>
      </c>
      <c r="L49" s="263">
        <v>6</v>
      </c>
      <c r="M49" s="265" t="s">
        <v>941</v>
      </c>
      <c r="N49" s="82" t="s">
        <v>942</v>
      </c>
      <c r="O49" s="263"/>
      <c r="P49" s="262"/>
      <c r="Q49" s="262"/>
      <c r="R49" s="262"/>
      <c r="S49" s="72" t="s">
        <v>693</v>
      </c>
      <c r="T49" s="72" t="s">
        <v>803</v>
      </c>
      <c r="U49" s="230" t="s">
        <v>943</v>
      </c>
      <c r="V49" s="228" t="s">
        <v>944</v>
      </c>
      <c r="W49" s="267"/>
      <c r="X49" s="262" t="s">
        <v>697</v>
      </c>
      <c r="Y49" s="72" t="s">
        <v>803</v>
      </c>
      <c r="Z49" s="72" t="s">
        <v>943</v>
      </c>
      <c r="AA49" s="262"/>
    </row>
    <row r="50" spans="2:27" ht="36.75" hidden="1" customHeight="1">
      <c r="B50" s="262" t="s">
        <v>683</v>
      </c>
      <c r="C50" s="262" t="s">
        <v>796</v>
      </c>
      <c r="D50" s="262" t="s">
        <v>797</v>
      </c>
      <c r="E50" s="263">
        <v>0</v>
      </c>
      <c r="F50" s="262" t="s">
        <v>945</v>
      </c>
      <c r="G50" s="262" t="s">
        <v>946</v>
      </c>
      <c r="H50" s="262" t="s">
        <v>928</v>
      </c>
      <c r="I50" s="263">
        <v>28</v>
      </c>
      <c r="J50" s="262" t="s">
        <v>689</v>
      </c>
      <c r="K50" s="263">
        <v>23</v>
      </c>
      <c r="L50" s="263">
        <v>6</v>
      </c>
      <c r="M50" s="265" t="s">
        <v>947</v>
      </c>
      <c r="N50" s="87" t="s">
        <v>948</v>
      </c>
      <c r="O50" s="263"/>
      <c r="P50" s="262"/>
      <c r="Q50" s="262"/>
      <c r="R50" s="262"/>
      <c r="S50" s="72" t="s">
        <v>693</v>
      </c>
      <c r="T50" s="72" t="s">
        <v>803</v>
      </c>
      <c r="U50" s="230" t="s">
        <v>949</v>
      </c>
      <c r="V50" s="228" t="s">
        <v>950</v>
      </c>
      <c r="W50" s="267"/>
      <c r="X50" s="262" t="s">
        <v>697</v>
      </c>
      <c r="Y50" s="72" t="s">
        <v>803</v>
      </c>
      <c r="Z50" s="72" t="s">
        <v>949</v>
      </c>
      <c r="AA50" s="262"/>
    </row>
    <row r="51" spans="2:27" ht="36.75" hidden="1" customHeight="1">
      <c r="B51" s="262" t="s">
        <v>683</v>
      </c>
      <c r="C51" s="262" t="s">
        <v>796</v>
      </c>
      <c r="D51" s="262" t="s">
        <v>797</v>
      </c>
      <c r="E51" s="263">
        <v>0</v>
      </c>
      <c r="F51" s="262" t="s">
        <v>951</v>
      </c>
      <c r="G51" s="262" t="s">
        <v>952</v>
      </c>
      <c r="H51" s="262" t="s">
        <v>928</v>
      </c>
      <c r="I51" s="263">
        <v>29</v>
      </c>
      <c r="J51" s="262" t="s">
        <v>689</v>
      </c>
      <c r="K51" s="263">
        <v>23</v>
      </c>
      <c r="L51" s="263">
        <v>6</v>
      </c>
      <c r="M51" s="265" t="s">
        <v>953</v>
      </c>
      <c r="N51" s="82" t="s">
        <v>954</v>
      </c>
      <c r="O51" s="263"/>
      <c r="P51" s="262"/>
      <c r="Q51" s="262"/>
      <c r="R51" s="262"/>
      <c r="S51" s="72" t="s">
        <v>693</v>
      </c>
      <c r="T51" s="72" t="s">
        <v>803</v>
      </c>
      <c r="U51" s="230" t="s">
        <v>955</v>
      </c>
      <c r="V51" s="228" t="s">
        <v>956</v>
      </c>
      <c r="W51" s="268"/>
      <c r="X51" s="262" t="s">
        <v>697</v>
      </c>
      <c r="Y51" s="72" t="s">
        <v>803</v>
      </c>
      <c r="Z51" s="72" t="s">
        <v>955</v>
      </c>
      <c r="AA51" s="262"/>
    </row>
    <row r="52" spans="2:27" ht="36.75" hidden="1" customHeight="1">
      <c r="B52" s="262" t="s">
        <v>683</v>
      </c>
      <c r="C52" s="262" t="s">
        <v>796</v>
      </c>
      <c r="D52" s="262" t="s">
        <v>797</v>
      </c>
      <c r="E52" s="263">
        <v>0</v>
      </c>
      <c r="F52" s="262" t="s">
        <v>957</v>
      </c>
      <c r="G52" s="262" t="s">
        <v>958</v>
      </c>
      <c r="H52" s="262" t="s">
        <v>928</v>
      </c>
      <c r="I52" s="263">
        <v>30</v>
      </c>
      <c r="J52" s="262" t="s">
        <v>689</v>
      </c>
      <c r="K52" s="263">
        <v>23</v>
      </c>
      <c r="L52" s="263">
        <v>6</v>
      </c>
      <c r="M52" s="265" t="s">
        <v>959</v>
      </c>
      <c r="N52" s="82" t="s">
        <v>960</v>
      </c>
      <c r="O52" s="263"/>
      <c r="P52" s="262"/>
      <c r="Q52" s="262"/>
      <c r="R52" s="262"/>
      <c r="S52" s="72" t="s">
        <v>693</v>
      </c>
      <c r="T52" s="72" t="s">
        <v>803</v>
      </c>
      <c r="U52" s="230" t="s">
        <v>961</v>
      </c>
      <c r="V52" s="228" t="s">
        <v>962</v>
      </c>
      <c r="W52" s="267"/>
      <c r="X52" s="262" t="s">
        <v>697</v>
      </c>
      <c r="Y52" s="72" t="s">
        <v>803</v>
      </c>
      <c r="Z52" s="72" t="s">
        <v>961</v>
      </c>
      <c r="AA52" s="262"/>
    </row>
    <row r="53" spans="2:27" ht="36.75" hidden="1" customHeight="1">
      <c r="B53" s="262" t="s">
        <v>683</v>
      </c>
      <c r="C53" s="262" t="s">
        <v>796</v>
      </c>
      <c r="D53" s="262" t="s">
        <v>797</v>
      </c>
      <c r="E53" s="263">
        <v>0</v>
      </c>
      <c r="F53" s="262" t="s">
        <v>963</v>
      </c>
      <c r="G53" s="262" t="s">
        <v>964</v>
      </c>
      <c r="H53" s="262" t="s">
        <v>928</v>
      </c>
      <c r="I53" s="263">
        <v>31</v>
      </c>
      <c r="J53" s="262" t="s">
        <v>689</v>
      </c>
      <c r="K53" s="263">
        <v>23</v>
      </c>
      <c r="L53" s="263">
        <v>6</v>
      </c>
      <c r="M53" s="265" t="s">
        <v>965</v>
      </c>
      <c r="N53" s="82" t="s">
        <v>966</v>
      </c>
      <c r="O53" s="263"/>
      <c r="P53" s="262"/>
      <c r="Q53" s="262"/>
      <c r="R53" s="262"/>
      <c r="S53" s="72" t="s">
        <v>693</v>
      </c>
      <c r="T53" s="72" t="s">
        <v>803</v>
      </c>
      <c r="U53" s="230" t="s">
        <v>967</v>
      </c>
      <c r="V53" s="228" t="s">
        <v>968</v>
      </c>
      <c r="W53" s="267"/>
      <c r="X53" s="262" t="s">
        <v>697</v>
      </c>
      <c r="Y53" s="72" t="s">
        <v>803</v>
      </c>
      <c r="Z53" s="72" t="s">
        <v>967</v>
      </c>
      <c r="AA53" s="262"/>
    </row>
    <row r="54" spans="2:27" ht="36.75" hidden="1" customHeight="1">
      <c r="B54" s="262" t="s">
        <v>683</v>
      </c>
      <c r="C54" s="262" t="s">
        <v>796</v>
      </c>
      <c r="D54" s="262" t="s">
        <v>797</v>
      </c>
      <c r="E54" s="263">
        <v>0</v>
      </c>
      <c r="F54" s="262" t="s">
        <v>969</v>
      </c>
      <c r="G54" s="262" t="s">
        <v>970</v>
      </c>
      <c r="H54" s="262" t="s">
        <v>928</v>
      </c>
      <c r="I54" s="263">
        <v>32</v>
      </c>
      <c r="J54" s="262" t="s">
        <v>689</v>
      </c>
      <c r="K54" s="263">
        <v>23</v>
      </c>
      <c r="L54" s="263">
        <v>6</v>
      </c>
      <c r="M54" s="265" t="s">
        <v>971</v>
      </c>
      <c r="N54" s="82" t="s">
        <v>972</v>
      </c>
      <c r="O54" s="263"/>
      <c r="P54" s="262"/>
      <c r="Q54" s="262"/>
      <c r="R54" s="262"/>
      <c r="S54" s="72" t="s">
        <v>693</v>
      </c>
      <c r="T54" s="72" t="s">
        <v>803</v>
      </c>
      <c r="U54" s="230" t="s">
        <v>973</v>
      </c>
      <c r="V54" s="228" t="s">
        <v>974</v>
      </c>
      <c r="W54" s="267"/>
      <c r="X54" s="262" t="s">
        <v>697</v>
      </c>
      <c r="Y54" s="72" t="s">
        <v>803</v>
      </c>
      <c r="Z54" s="72" t="s">
        <v>973</v>
      </c>
      <c r="AA54" s="262"/>
    </row>
    <row r="55" spans="2:27" ht="36.75" hidden="1" customHeight="1">
      <c r="B55" s="269" t="s">
        <v>683</v>
      </c>
      <c r="C55" s="269" t="s">
        <v>796</v>
      </c>
      <c r="D55" s="269" t="s">
        <v>797</v>
      </c>
      <c r="E55" s="270">
        <v>0</v>
      </c>
      <c r="F55" s="269" t="s">
        <v>975</v>
      </c>
      <c r="G55" s="269" t="s">
        <v>976</v>
      </c>
      <c r="H55" s="269" t="s">
        <v>928</v>
      </c>
      <c r="I55" s="270">
        <v>33</v>
      </c>
      <c r="J55" s="269" t="s">
        <v>689</v>
      </c>
      <c r="K55" s="270">
        <v>30</v>
      </c>
      <c r="L55" s="270"/>
      <c r="M55" s="271" t="s">
        <v>977</v>
      </c>
      <c r="N55" s="271" t="s">
        <v>978</v>
      </c>
      <c r="O55" s="270"/>
      <c r="P55" s="269"/>
      <c r="Q55" s="269"/>
      <c r="R55" s="269"/>
      <c r="S55" s="103" t="s">
        <v>693</v>
      </c>
      <c r="T55" s="103" t="s">
        <v>803</v>
      </c>
      <c r="U55" s="233" t="s">
        <v>979</v>
      </c>
      <c r="V55" s="229"/>
      <c r="W55" s="272"/>
      <c r="X55" s="269" t="s">
        <v>697</v>
      </c>
      <c r="Y55" s="103" t="s">
        <v>803</v>
      </c>
      <c r="Z55" s="103" t="s">
        <v>979</v>
      </c>
      <c r="AA55" s="269"/>
    </row>
    <row r="56" spans="2:27" ht="36.75" hidden="1" customHeight="1">
      <c r="B56" s="269" t="s">
        <v>683</v>
      </c>
      <c r="C56" s="269" t="s">
        <v>796</v>
      </c>
      <c r="D56" s="269" t="s">
        <v>797</v>
      </c>
      <c r="E56" s="270">
        <v>0</v>
      </c>
      <c r="F56" s="269" t="s">
        <v>980</v>
      </c>
      <c r="G56" s="269" t="s">
        <v>981</v>
      </c>
      <c r="H56" s="269" t="s">
        <v>928</v>
      </c>
      <c r="I56" s="270">
        <v>34</v>
      </c>
      <c r="J56" s="269" t="s">
        <v>689</v>
      </c>
      <c r="K56" s="270">
        <v>23</v>
      </c>
      <c r="L56" s="270">
        <v>6</v>
      </c>
      <c r="M56" s="271" t="s">
        <v>982</v>
      </c>
      <c r="N56" s="271" t="s">
        <v>983</v>
      </c>
      <c r="O56" s="270"/>
      <c r="P56" s="269"/>
      <c r="Q56" s="269"/>
      <c r="R56" s="269"/>
      <c r="S56" s="103" t="s">
        <v>693</v>
      </c>
      <c r="T56" s="103" t="s">
        <v>803</v>
      </c>
      <c r="U56" s="233" t="s">
        <v>984</v>
      </c>
      <c r="V56" s="229"/>
      <c r="W56" s="272"/>
      <c r="X56" s="269" t="s">
        <v>697</v>
      </c>
      <c r="Y56" s="103" t="s">
        <v>803</v>
      </c>
      <c r="Z56" s="103" t="s">
        <v>984</v>
      </c>
      <c r="AA56" s="269"/>
    </row>
    <row r="57" spans="2:27" ht="36.75" hidden="1" customHeight="1">
      <c r="B57" s="269" t="s">
        <v>683</v>
      </c>
      <c r="C57" s="269" t="s">
        <v>796</v>
      </c>
      <c r="D57" s="269" t="s">
        <v>797</v>
      </c>
      <c r="E57" s="270">
        <v>0</v>
      </c>
      <c r="F57" s="269" t="s">
        <v>985</v>
      </c>
      <c r="G57" s="269" t="s">
        <v>986</v>
      </c>
      <c r="H57" s="269" t="s">
        <v>928</v>
      </c>
      <c r="I57" s="270">
        <v>35</v>
      </c>
      <c r="J57" s="269" t="s">
        <v>689</v>
      </c>
      <c r="K57" s="270">
        <v>23</v>
      </c>
      <c r="L57" s="270">
        <v>6</v>
      </c>
      <c r="M57" s="271" t="s">
        <v>985</v>
      </c>
      <c r="N57" s="271" t="s">
        <v>987</v>
      </c>
      <c r="O57" s="270"/>
      <c r="P57" s="269"/>
      <c r="Q57" s="269"/>
      <c r="R57" s="269"/>
      <c r="S57" s="103" t="s">
        <v>693</v>
      </c>
      <c r="T57" s="103" t="s">
        <v>803</v>
      </c>
      <c r="U57" s="233" t="s">
        <v>988</v>
      </c>
      <c r="V57" s="229"/>
      <c r="W57" s="272"/>
      <c r="X57" s="269" t="s">
        <v>697</v>
      </c>
      <c r="Y57" s="103" t="s">
        <v>803</v>
      </c>
      <c r="Z57" s="103" t="s">
        <v>988</v>
      </c>
      <c r="AA57" s="269"/>
    </row>
    <row r="58" spans="2:27" ht="36.75" hidden="1" customHeight="1">
      <c r="B58" s="269" t="s">
        <v>683</v>
      </c>
      <c r="C58" s="269" t="s">
        <v>796</v>
      </c>
      <c r="D58" s="269" t="s">
        <v>797</v>
      </c>
      <c r="E58" s="270">
        <v>0</v>
      </c>
      <c r="F58" s="269" t="s">
        <v>989</v>
      </c>
      <c r="G58" s="269" t="s">
        <v>990</v>
      </c>
      <c r="H58" s="269" t="s">
        <v>928</v>
      </c>
      <c r="I58" s="270">
        <v>36</v>
      </c>
      <c r="J58" s="269" t="s">
        <v>689</v>
      </c>
      <c r="K58" s="270">
        <v>23</v>
      </c>
      <c r="L58" s="270">
        <v>6</v>
      </c>
      <c r="M58" s="271" t="s">
        <v>991</v>
      </c>
      <c r="N58" s="271" t="s">
        <v>992</v>
      </c>
      <c r="O58" s="270"/>
      <c r="P58" s="269"/>
      <c r="Q58" s="269"/>
      <c r="R58" s="269"/>
      <c r="S58" s="103" t="s">
        <v>693</v>
      </c>
      <c r="T58" s="103" t="s">
        <v>803</v>
      </c>
      <c r="U58" s="233" t="s">
        <v>993</v>
      </c>
      <c r="V58" s="229"/>
      <c r="W58" s="272"/>
      <c r="X58" s="269" t="s">
        <v>697</v>
      </c>
      <c r="Y58" s="103" t="s">
        <v>803</v>
      </c>
      <c r="Z58" s="103" t="s">
        <v>993</v>
      </c>
      <c r="AA58" s="269"/>
    </row>
    <row r="59" spans="2:27" ht="36.75" hidden="1" customHeight="1">
      <c r="B59" s="269" t="s">
        <v>683</v>
      </c>
      <c r="C59" s="269" t="s">
        <v>796</v>
      </c>
      <c r="D59" s="269" t="s">
        <v>797</v>
      </c>
      <c r="E59" s="270">
        <v>0</v>
      </c>
      <c r="F59" s="269" t="s">
        <v>994</v>
      </c>
      <c r="G59" s="269" t="s">
        <v>995</v>
      </c>
      <c r="H59" s="269" t="s">
        <v>928</v>
      </c>
      <c r="I59" s="270">
        <v>37</v>
      </c>
      <c r="J59" s="269" t="s">
        <v>689</v>
      </c>
      <c r="K59" s="270">
        <v>10</v>
      </c>
      <c r="L59" s="270"/>
      <c r="M59" s="271" t="s">
        <v>996</v>
      </c>
      <c r="N59" s="271" t="s">
        <v>997</v>
      </c>
      <c r="O59" s="270"/>
      <c r="P59" s="269"/>
      <c r="Q59" s="269"/>
      <c r="R59" s="269"/>
      <c r="S59" s="103" t="s">
        <v>693</v>
      </c>
      <c r="T59" s="103" t="s">
        <v>803</v>
      </c>
      <c r="U59" s="233" t="s">
        <v>998</v>
      </c>
      <c r="V59" s="229"/>
      <c r="W59" s="272"/>
      <c r="X59" s="269" t="s">
        <v>697</v>
      </c>
      <c r="Y59" s="103" t="s">
        <v>803</v>
      </c>
      <c r="Z59" s="103" t="s">
        <v>998</v>
      </c>
      <c r="AA59" s="269"/>
    </row>
    <row r="60" spans="2:27" ht="36.75" hidden="1" customHeight="1">
      <c r="B60" s="269" t="s">
        <v>683</v>
      </c>
      <c r="C60" s="269" t="s">
        <v>796</v>
      </c>
      <c r="D60" s="269" t="s">
        <v>797</v>
      </c>
      <c r="E60" s="270">
        <v>0</v>
      </c>
      <c r="F60" s="269" t="s">
        <v>999</v>
      </c>
      <c r="G60" s="269" t="s">
        <v>1000</v>
      </c>
      <c r="H60" s="269" t="s">
        <v>928</v>
      </c>
      <c r="I60" s="270">
        <v>38</v>
      </c>
      <c r="J60" s="269" t="s">
        <v>689</v>
      </c>
      <c r="K60" s="270">
        <v>20</v>
      </c>
      <c r="L60" s="270"/>
      <c r="M60" s="271" t="s">
        <v>1001</v>
      </c>
      <c r="N60" s="271" t="s">
        <v>1002</v>
      </c>
      <c r="O60" s="270"/>
      <c r="P60" s="269"/>
      <c r="Q60" s="269"/>
      <c r="R60" s="269"/>
      <c r="S60" s="103" t="s">
        <v>693</v>
      </c>
      <c r="T60" s="103" t="s">
        <v>803</v>
      </c>
      <c r="U60" s="233" t="s">
        <v>1003</v>
      </c>
      <c r="V60" s="229"/>
      <c r="W60" s="272"/>
      <c r="X60" s="269" t="s">
        <v>697</v>
      </c>
      <c r="Y60" s="103" t="s">
        <v>803</v>
      </c>
      <c r="Z60" s="103" t="s">
        <v>1003</v>
      </c>
      <c r="AA60" s="269"/>
    </row>
    <row r="61" spans="2:27" ht="36.75" hidden="1" customHeight="1">
      <c r="B61" s="262" t="s">
        <v>683</v>
      </c>
      <c r="C61" s="262" t="s">
        <v>796</v>
      </c>
      <c r="D61" s="262" t="s">
        <v>797</v>
      </c>
      <c r="E61" s="263">
        <v>0</v>
      </c>
      <c r="F61" s="262" t="s">
        <v>1004</v>
      </c>
      <c r="G61" s="262" t="s">
        <v>1005</v>
      </c>
      <c r="H61" s="262" t="s">
        <v>1006</v>
      </c>
      <c r="I61" s="263">
        <v>39</v>
      </c>
      <c r="J61" s="262" t="s">
        <v>689</v>
      </c>
      <c r="K61" s="263">
        <v>3</v>
      </c>
      <c r="L61" s="263"/>
      <c r="M61" s="265" t="s">
        <v>1007</v>
      </c>
      <c r="N61" s="77" t="s">
        <v>1008</v>
      </c>
      <c r="O61" s="263"/>
      <c r="P61" s="265" t="s">
        <v>1009</v>
      </c>
      <c r="Q61" s="265"/>
      <c r="R61" s="265"/>
      <c r="S61" s="72" t="s">
        <v>693</v>
      </c>
      <c r="T61" s="72" t="s">
        <v>803</v>
      </c>
      <c r="U61" s="230" t="s">
        <v>1010</v>
      </c>
      <c r="V61" s="228" t="s">
        <v>1011</v>
      </c>
      <c r="W61" s="267"/>
      <c r="X61" s="262" t="s">
        <v>697</v>
      </c>
      <c r="Y61" s="72" t="s">
        <v>803</v>
      </c>
      <c r="Z61" s="72" t="s">
        <v>1010</v>
      </c>
      <c r="AA61" s="262"/>
    </row>
    <row r="62" spans="2:27" ht="36.75" hidden="1" customHeight="1">
      <c r="B62" s="262" t="s">
        <v>683</v>
      </c>
      <c r="C62" s="262" t="s">
        <v>796</v>
      </c>
      <c r="D62" s="262" t="s">
        <v>797</v>
      </c>
      <c r="E62" s="263">
        <v>0</v>
      </c>
      <c r="F62" s="77" t="s">
        <v>782</v>
      </c>
      <c r="G62" s="262" t="s">
        <v>783</v>
      </c>
      <c r="H62" s="76" t="s">
        <v>784</v>
      </c>
      <c r="I62" s="263">
        <v>40</v>
      </c>
      <c r="J62" s="262" t="s">
        <v>689</v>
      </c>
      <c r="K62" s="263">
        <v>10</v>
      </c>
      <c r="L62" s="263"/>
      <c r="M62" s="265" t="s">
        <v>785</v>
      </c>
      <c r="N62" s="82" t="s">
        <v>786</v>
      </c>
      <c r="O62" s="263" t="s">
        <v>692</v>
      </c>
      <c r="P62" s="262"/>
      <c r="Q62" s="262"/>
      <c r="R62" s="262"/>
      <c r="S62" s="72" t="s">
        <v>693</v>
      </c>
      <c r="T62" s="72" t="s">
        <v>803</v>
      </c>
      <c r="U62" s="230" t="s">
        <v>787</v>
      </c>
      <c r="V62" s="228" t="s">
        <v>1012</v>
      </c>
      <c r="W62" s="267"/>
      <c r="X62" s="262" t="s">
        <v>697</v>
      </c>
      <c r="Y62" s="72" t="s">
        <v>803</v>
      </c>
      <c r="Z62" s="72" t="s">
        <v>787</v>
      </c>
      <c r="AA62" s="262"/>
    </row>
    <row r="63" spans="2:27" ht="36.75" hidden="1" customHeight="1">
      <c r="B63" s="262" t="s">
        <v>683</v>
      </c>
      <c r="C63" s="262" t="s">
        <v>796</v>
      </c>
      <c r="D63" s="262" t="s">
        <v>797</v>
      </c>
      <c r="E63" s="263">
        <v>0</v>
      </c>
      <c r="F63" s="262" t="s">
        <v>789</v>
      </c>
      <c r="G63" s="262" t="s">
        <v>790</v>
      </c>
      <c r="H63" s="76" t="s">
        <v>791</v>
      </c>
      <c r="I63" s="263">
        <v>41</v>
      </c>
      <c r="J63" s="262" t="s">
        <v>792</v>
      </c>
      <c r="K63" s="263">
        <v>23</v>
      </c>
      <c r="L63" s="263"/>
      <c r="M63" s="265" t="s">
        <v>793</v>
      </c>
      <c r="N63" s="262" t="s">
        <v>794</v>
      </c>
      <c r="O63" s="263"/>
      <c r="P63" s="262"/>
      <c r="Q63" s="262"/>
      <c r="R63" s="262"/>
      <c r="S63" s="72" t="s">
        <v>693</v>
      </c>
      <c r="T63" s="72" t="s">
        <v>803</v>
      </c>
      <c r="U63" s="273"/>
      <c r="V63" s="228" t="s">
        <v>1013</v>
      </c>
      <c r="W63" s="267"/>
      <c r="X63" s="262"/>
      <c r="Y63" s="262"/>
      <c r="Z63" s="262"/>
      <c r="AA63" s="262"/>
    </row>
    <row r="64" spans="2:27" ht="36.75" hidden="1" customHeight="1">
      <c r="B64" s="262" t="s">
        <v>683</v>
      </c>
      <c r="C64" s="262" t="s">
        <v>1014</v>
      </c>
      <c r="D64" s="262" t="s">
        <v>1015</v>
      </c>
      <c r="E64" s="263">
        <v>0</v>
      </c>
      <c r="F64" s="262" t="s">
        <v>850</v>
      </c>
      <c r="G64" s="262" t="s">
        <v>851</v>
      </c>
      <c r="H64" s="262" t="s">
        <v>800</v>
      </c>
      <c r="I64" s="263">
        <v>1</v>
      </c>
      <c r="J64" s="262" t="s">
        <v>689</v>
      </c>
      <c r="K64" s="263">
        <v>2</v>
      </c>
      <c r="L64" s="263"/>
      <c r="M64" s="74" t="s">
        <v>1016</v>
      </c>
      <c r="N64" s="77" t="s">
        <v>854</v>
      </c>
      <c r="O64" s="263" t="s">
        <v>692</v>
      </c>
      <c r="P64" s="262"/>
      <c r="Q64" s="262"/>
      <c r="R64" s="262"/>
      <c r="S64" s="72" t="s">
        <v>1017</v>
      </c>
      <c r="T64" s="72" t="s">
        <v>1018</v>
      </c>
      <c r="U64" s="72" t="s">
        <v>855</v>
      </c>
      <c r="V64" s="274" t="s">
        <v>1019</v>
      </c>
      <c r="W64" s="262"/>
      <c r="X64" s="262" t="s">
        <v>697</v>
      </c>
      <c r="Y64" s="72" t="s">
        <v>1018</v>
      </c>
      <c r="Z64" s="72" t="s">
        <v>855</v>
      </c>
      <c r="AA64" s="262"/>
    </row>
    <row r="65" spans="2:27" ht="36.75" hidden="1" customHeight="1">
      <c r="B65" s="262" t="s">
        <v>683</v>
      </c>
      <c r="C65" s="262" t="s">
        <v>1014</v>
      </c>
      <c r="D65" s="262" t="s">
        <v>1015</v>
      </c>
      <c r="E65" s="263">
        <v>0</v>
      </c>
      <c r="F65" s="262" t="s">
        <v>1020</v>
      </c>
      <c r="G65" s="262" t="s">
        <v>858</v>
      </c>
      <c r="H65" s="262" t="s">
        <v>808</v>
      </c>
      <c r="I65" s="263">
        <v>2</v>
      </c>
      <c r="J65" s="262" t="s">
        <v>689</v>
      </c>
      <c r="K65" s="263">
        <v>20</v>
      </c>
      <c r="L65" s="263"/>
      <c r="M65" s="265" t="s">
        <v>1021</v>
      </c>
      <c r="N65" s="77" t="s">
        <v>861</v>
      </c>
      <c r="O65" s="263" t="s">
        <v>692</v>
      </c>
      <c r="P65" s="265" t="s">
        <v>811</v>
      </c>
      <c r="Q65" s="262"/>
      <c r="R65" s="262"/>
      <c r="S65" s="72" t="s">
        <v>1017</v>
      </c>
      <c r="T65" s="72" t="s">
        <v>1018</v>
      </c>
      <c r="U65" s="72" t="s">
        <v>369</v>
      </c>
      <c r="V65" s="262" t="s">
        <v>1022</v>
      </c>
      <c r="W65" s="262"/>
      <c r="X65" s="262" t="s">
        <v>697</v>
      </c>
      <c r="Y65" s="72" t="s">
        <v>1018</v>
      </c>
      <c r="Z65" s="72" t="s">
        <v>369</v>
      </c>
      <c r="AA65" s="262"/>
    </row>
    <row r="66" spans="2:27" ht="36.75" hidden="1" customHeight="1">
      <c r="B66" s="262" t="s">
        <v>683</v>
      </c>
      <c r="C66" s="262" t="s">
        <v>1014</v>
      </c>
      <c r="D66" s="262" t="s">
        <v>1015</v>
      </c>
      <c r="E66" s="263">
        <v>0</v>
      </c>
      <c r="F66" s="262" t="s">
        <v>863</v>
      </c>
      <c r="G66" s="262" t="s">
        <v>864</v>
      </c>
      <c r="H66" s="262" t="s">
        <v>800</v>
      </c>
      <c r="I66" s="263">
        <v>3</v>
      </c>
      <c r="J66" s="262" t="s">
        <v>689</v>
      </c>
      <c r="K66" s="263">
        <v>30</v>
      </c>
      <c r="L66" s="263"/>
      <c r="M66" s="265" t="s">
        <v>865</v>
      </c>
      <c r="N66" s="77" t="s">
        <v>1023</v>
      </c>
      <c r="O66" s="263" t="s">
        <v>692</v>
      </c>
      <c r="P66" s="262"/>
      <c r="Q66" s="262"/>
      <c r="R66" s="262"/>
      <c r="S66" s="72" t="s">
        <v>1017</v>
      </c>
      <c r="T66" s="72" t="s">
        <v>1018</v>
      </c>
      <c r="U66" s="72" t="s">
        <v>867</v>
      </c>
      <c r="V66" s="262" t="s">
        <v>1024</v>
      </c>
      <c r="W66" s="262"/>
      <c r="X66" s="262" t="s">
        <v>697</v>
      </c>
      <c r="Y66" s="72" t="s">
        <v>1018</v>
      </c>
      <c r="Z66" s="72" t="s">
        <v>867</v>
      </c>
      <c r="AA66" s="262"/>
    </row>
    <row r="67" spans="2:27" ht="36.75" hidden="1" customHeight="1">
      <c r="B67" s="262" t="s">
        <v>683</v>
      </c>
      <c r="C67" s="262" t="s">
        <v>1014</v>
      </c>
      <c r="D67" s="262" t="s">
        <v>1015</v>
      </c>
      <c r="E67" s="263">
        <v>0</v>
      </c>
      <c r="F67" s="262" t="s">
        <v>1025</v>
      </c>
      <c r="G67" s="262" t="s">
        <v>870</v>
      </c>
      <c r="H67" s="262" t="s">
        <v>808</v>
      </c>
      <c r="I67" s="263">
        <v>4</v>
      </c>
      <c r="J67" s="262" t="s">
        <v>689</v>
      </c>
      <c r="K67" s="263">
        <v>20</v>
      </c>
      <c r="L67" s="263"/>
      <c r="M67" s="265" t="s">
        <v>871</v>
      </c>
      <c r="N67" s="77" t="s">
        <v>1026</v>
      </c>
      <c r="O67" s="263" t="s">
        <v>692</v>
      </c>
      <c r="P67" s="262"/>
      <c r="Q67" s="262"/>
      <c r="R67" s="262"/>
      <c r="S67" s="72" t="s">
        <v>1017</v>
      </c>
      <c r="T67" s="72" t="s">
        <v>1018</v>
      </c>
      <c r="U67" s="72" t="s">
        <v>873</v>
      </c>
      <c r="V67" s="262" t="s">
        <v>1027</v>
      </c>
      <c r="W67" s="262"/>
      <c r="X67" s="262" t="s">
        <v>697</v>
      </c>
      <c r="Y67" s="72" t="s">
        <v>1018</v>
      </c>
      <c r="Z67" s="72" t="s">
        <v>873</v>
      </c>
      <c r="AA67" s="262"/>
    </row>
    <row r="68" spans="2:27" ht="36.75" hidden="1" customHeight="1">
      <c r="B68" s="262" t="s">
        <v>683</v>
      </c>
      <c r="C68" s="262" t="s">
        <v>1014</v>
      </c>
      <c r="D68" s="262" t="s">
        <v>1015</v>
      </c>
      <c r="E68" s="263">
        <v>0</v>
      </c>
      <c r="F68" s="264" t="s">
        <v>686</v>
      </c>
      <c r="G68" s="262" t="s">
        <v>687</v>
      </c>
      <c r="H68" s="262" t="s">
        <v>688</v>
      </c>
      <c r="I68" s="263">
        <v>5</v>
      </c>
      <c r="J68" s="262" t="s">
        <v>689</v>
      </c>
      <c r="K68" s="263">
        <v>20</v>
      </c>
      <c r="L68" s="263"/>
      <c r="M68" s="265" t="s">
        <v>690</v>
      </c>
      <c r="N68" s="77" t="s">
        <v>691</v>
      </c>
      <c r="O68" s="263"/>
      <c r="P68" s="262"/>
      <c r="Q68" s="262"/>
      <c r="R68" s="262"/>
      <c r="S68" s="72" t="s">
        <v>1017</v>
      </c>
      <c r="T68" s="72" t="s">
        <v>1018</v>
      </c>
      <c r="U68" s="72" t="s">
        <v>695</v>
      </c>
      <c r="V68" s="262" t="s">
        <v>1028</v>
      </c>
      <c r="W68" s="262"/>
      <c r="X68" s="262" t="s">
        <v>697</v>
      </c>
      <c r="Y68" s="72" t="s">
        <v>1018</v>
      </c>
      <c r="Z68" s="72" t="s">
        <v>695</v>
      </c>
      <c r="AA68" s="262"/>
    </row>
    <row r="69" spans="2:27" ht="36.75" hidden="1" customHeight="1">
      <c r="B69" s="262" t="s">
        <v>683</v>
      </c>
      <c r="C69" s="262" t="s">
        <v>1014</v>
      </c>
      <c r="D69" s="262" t="s">
        <v>1015</v>
      </c>
      <c r="E69" s="263">
        <v>0</v>
      </c>
      <c r="F69" s="88" t="s">
        <v>1025</v>
      </c>
      <c r="G69" s="262" t="s">
        <v>1029</v>
      </c>
      <c r="H69" s="262" t="s">
        <v>808</v>
      </c>
      <c r="I69" s="263">
        <v>6</v>
      </c>
      <c r="J69" s="262" t="s">
        <v>689</v>
      </c>
      <c r="K69" s="263">
        <v>20</v>
      </c>
      <c r="L69" s="263"/>
      <c r="M69" s="89" t="s">
        <v>871</v>
      </c>
      <c r="N69" s="88" t="s">
        <v>1026</v>
      </c>
      <c r="O69" s="263"/>
      <c r="P69" s="262"/>
      <c r="Q69" s="262"/>
      <c r="R69" s="262"/>
      <c r="S69" s="72" t="s">
        <v>1017</v>
      </c>
      <c r="T69" s="72" t="s">
        <v>1018</v>
      </c>
      <c r="U69" s="72" t="s">
        <v>1030</v>
      </c>
      <c r="V69" s="262" t="s">
        <v>1031</v>
      </c>
      <c r="W69" s="262"/>
      <c r="X69" s="262" t="s">
        <v>697</v>
      </c>
      <c r="Y69" s="72" t="s">
        <v>1018</v>
      </c>
      <c r="Z69" s="72" t="s">
        <v>1030</v>
      </c>
      <c r="AA69" s="262"/>
    </row>
    <row r="70" spans="2:27" ht="36.75" hidden="1" customHeight="1">
      <c r="B70" s="262" t="s">
        <v>683</v>
      </c>
      <c r="C70" s="262" t="s">
        <v>1014</v>
      </c>
      <c r="D70" s="262" t="s">
        <v>1015</v>
      </c>
      <c r="E70" s="263">
        <v>0</v>
      </c>
      <c r="F70" s="88" t="s">
        <v>782</v>
      </c>
      <c r="G70" s="262" t="s">
        <v>783</v>
      </c>
      <c r="H70" s="262" t="s">
        <v>784</v>
      </c>
      <c r="I70" s="263">
        <v>7</v>
      </c>
      <c r="J70" s="262" t="s">
        <v>689</v>
      </c>
      <c r="K70" s="263">
        <v>10</v>
      </c>
      <c r="L70" s="263"/>
      <c r="M70" s="93" t="s">
        <v>785</v>
      </c>
      <c r="N70" s="94" t="s">
        <v>786</v>
      </c>
      <c r="O70" s="263" t="s">
        <v>692</v>
      </c>
      <c r="P70" s="262"/>
      <c r="Q70" s="262"/>
      <c r="R70" s="262"/>
      <c r="S70" s="72" t="s">
        <v>1017</v>
      </c>
      <c r="T70" s="72" t="s">
        <v>1018</v>
      </c>
      <c r="U70" s="72" t="s">
        <v>787</v>
      </c>
      <c r="V70" s="262" t="s">
        <v>1032</v>
      </c>
      <c r="W70" s="262"/>
      <c r="X70" s="262" t="s">
        <v>697</v>
      </c>
      <c r="Y70" s="72" t="s">
        <v>1018</v>
      </c>
      <c r="Z70" s="72" t="s">
        <v>787</v>
      </c>
      <c r="AA70" s="262"/>
    </row>
    <row r="71" spans="2:27" ht="36.75" hidden="1" customHeight="1">
      <c r="B71" s="262" t="s">
        <v>683</v>
      </c>
      <c r="C71" s="262" t="s">
        <v>1014</v>
      </c>
      <c r="D71" s="262" t="s">
        <v>1015</v>
      </c>
      <c r="E71" s="263">
        <v>0</v>
      </c>
      <c r="F71" s="77" t="s">
        <v>789</v>
      </c>
      <c r="G71" s="262" t="s">
        <v>790</v>
      </c>
      <c r="H71" s="76" t="s">
        <v>791</v>
      </c>
      <c r="I71" s="263">
        <v>8</v>
      </c>
      <c r="J71" s="262" t="s">
        <v>792</v>
      </c>
      <c r="K71" s="263">
        <v>23</v>
      </c>
      <c r="L71" s="263"/>
      <c r="M71" s="265" t="s">
        <v>793</v>
      </c>
      <c r="N71" s="262" t="s">
        <v>794</v>
      </c>
      <c r="O71" s="263"/>
      <c r="P71" s="262"/>
      <c r="Q71" s="262"/>
      <c r="R71" s="262"/>
      <c r="S71" s="72" t="s">
        <v>1017</v>
      </c>
      <c r="T71" s="72" t="s">
        <v>1018</v>
      </c>
      <c r="U71" s="262"/>
      <c r="V71" s="262" t="s">
        <v>795</v>
      </c>
      <c r="W71" s="262"/>
      <c r="X71" s="262"/>
      <c r="Y71" s="262"/>
      <c r="Z71" s="262"/>
      <c r="AA71" s="262"/>
    </row>
    <row r="72" spans="2:27" ht="36.75" hidden="1" customHeight="1">
      <c r="B72" s="262" t="s">
        <v>683</v>
      </c>
      <c r="C72" s="262" t="s">
        <v>1033</v>
      </c>
      <c r="D72" s="262" t="s">
        <v>1034</v>
      </c>
      <c r="E72" s="263">
        <v>0</v>
      </c>
      <c r="F72" s="77" t="s">
        <v>827</v>
      </c>
      <c r="G72" s="262" t="s">
        <v>828</v>
      </c>
      <c r="H72" s="262" t="s">
        <v>800</v>
      </c>
      <c r="I72" s="263">
        <v>1</v>
      </c>
      <c r="J72" s="262" t="s">
        <v>689</v>
      </c>
      <c r="K72" s="263">
        <v>2</v>
      </c>
      <c r="L72" s="263"/>
      <c r="M72" s="74" t="s">
        <v>829</v>
      </c>
      <c r="N72" s="77" t="s">
        <v>830</v>
      </c>
      <c r="O72" s="263" t="s">
        <v>692</v>
      </c>
      <c r="P72" s="262"/>
      <c r="Q72" s="262"/>
      <c r="R72" s="262"/>
      <c r="S72" s="72" t="s">
        <v>693</v>
      </c>
      <c r="T72" s="72" t="s">
        <v>1035</v>
      </c>
      <c r="U72" s="77" t="s">
        <v>141</v>
      </c>
      <c r="V72" s="262" t="s">
        <v>1036</v>
      </c>
      <c r="W72" s="262"/>
      <c r="X72" s="262" t="s">
        <v>697</v>
      </c>
      <c r="Y72" s="72" t="s">
        <v>1035</v>
      </c>
      <c r="Z72" s="77" t="s">
        <v>141</v>
      </c>
      <c r="AA72" s="262"/>
    </row>
    <row r="73" spans="2:27" ht="36.75" hidden="1" customHeight="1">
      <c r="B73" s="262" t="s">
        <v>683</v>
      </c>
      <c r="C73" s="262" t="s">
        <v>1033</v>
      </c>
      <c r="D73" s="262" t="s">
        <v>1034</v>
      </c>
      <c r="E73" s="263">
        <v>0</v>
      </c>
      <c r="F73" s="77" t="s">
        <v>832</v>
      </c>
      <c r="G73" s="262" t="s">
        <v>833</v>
      </c>
      <c r="H73" s="262" t="s">
        <v>808</v>
      </c>
      <c r="I73" s="263">
        <v>2</v>
      </c>
      <c r="J73" s="262" t="s">
        <v>689</v>
      </c>
      <c r="K73" s="263">
        <v>20</v>
      </c>
      <c r="L73" s="263"/>
      <c r="M73" s="265" t="s">
        <v>834</v>
      </c>
      <c r="N73" s="77" t="s">
        <v>1037</v>
      </c>
      <c r="O73" s="263" t="s">
        <v>692</v>
      </c>
      <c r="P73" s="265" t="s">
        <v>811</v>
      </c>
      <c r="Q73" s="265"/>
      <c r="R73" s="265"/>
      <c r="S73" s="72" t="s">
        <v>693</v>
      </c>
      <c r="T73" s="72" t="s">
        <v>1035</v>
      </c>
      <c r="U73" s="77" t="s">
        <v>836</v>
      </c>
      <c r="V73" s="262" t="s">
        <v>1038</v>
      </c>
      <c r="W73" s="262"/>
      <c r="X73" s="262" t="s">
        <v>697</v>
      </c>
      <c r="Y73" s="72" t="s">
        <v>1035</v>
      </c>
      <c r="Z73" s="77" t="s">
        <v>836</v>
      </c>
      <c r="AA73" s="262"/>
    </row>
    <row r="74" spans="2:27" ht="36.75" hidden="1" customHeight="1">
      <c r="B74" s="262" t="s">
        <v>683</v>
      </c>
      <c r="C74" s="262" t="s">
        <v>1033</v>
      </c>
      <c r="D74" s="262" t="s">
        <v>1034</v>
      </c>
      <c r="E74" s="263">
        <v>0</v>
      </c>
      <c r="F74" s="77" t="s">
        <v>838</v>
      </c>
      <c r="G74" s="262" t="s">
        <v>839</v>
      </c>
      <c r="H74" s="262" t="s">
        <v>800</v>
      </c>
      <c r="I74" s="263">
        <v>3</v>
      </c>
      <c r="J74" s="262" t="s">
        <v>689</v>
      </c>
      <c r="K74" s="263">
        <v>11</v>
      </c>
      <c r="L74" s="263"/>
      <c r="M74" s="265" t="s">
        <v>840</v>
      </c>
      <c r="N74" s="77" t="s">
        <v>1039</v>
      </c>
      <c r="O74" s="263" t="s">
        <v>692</v>
      </c>
      <c r="P74" s="262"/>
      <c r="Q74" s="262"/>
      <c r="R74" s="262"/>
      <c r="S74" s="72" t="s">
        <v>693</v>
      </c>
      <c r="T74" s="72" t="s">
        <v>1035</v>
      </c>
      <c r="U74" s="77" t="s">
        <v>842</v>
      </c>
      <c r="V74" s="262" t="s">
        <v>1040</v>
      </c>
      <c r="W74" s="262"/>
      <c r="X74" s="262" t="s">
        <v>697</v>
      </c>
      <c r="Y74" s="72" t="s">
        <v>1035</v>
      </c>
      <c r="Z74" s="77" t="s">
        <v>842</v>
      </c>
      <c r="AA74" s="262"/>
    </row>
    <row r="75" spans="2:27" ht="36.75" hidden="1" customHeight="1">
      <c r="B75" s="262" t="s">
        <v>683</v>
      </c>
      <c r="C75" s="262" t="s">
        <v>1033</v>
      </c>
      <c r="D75" s="262" t="s">
        <v>1034</v>
      </c>
      <c r="E75" s="263">
        <v>0</v>
      </c>
      <c r="F75" s="77" t="s">
        <v>844</v>
      </c>
      <c r="G75" s="262" t="s">
        <v>845</v>
      </c>
      <c r="H75" s="262" t="s">
        <v>808</v>
      </c>
      <c r="I75" s="263">
        <v>4</v>
      </c>
      <c r="J75" s="262" t="s">
        <v>689</v>
      </c>
      <c r="K75" s="263">
        <v>20</v>
      </c>
      <c r="L75" s="263"/>
      <c r="M75" s="265" t="s">
        <v>846</v>
      </c>
      <c r="N75" s="77" t="s">
        <v>1041</v>
      </c>
      <c r="O75" s="263" t="s">
        <v>692</v>
      </c>
      <c r="P75" s="262"/>
      <c r="Q75" s="262"/>
      <c r="R75" s="262"/>
      <c r="S75" s="72" t="s">
        <v>693</v>
      </c>
      <c r="T75" s="72" t="s">
        <v>1035</v>
      </c>
      <c r="U75" s="77" t="s">
        <v>848</v>
      </c>
      <c r="V75" s="262" t="s">
        <v>1042</v>
      </c>
      <c r="W75" s="262"/>
      <c r="X75" s="262" t="s">
        <v>697</v>
      </c>
      <c r="Y75" s="72" t="s">
        <v>1035</v>
      </c>
      <c r="Z75" s="77" t="s">
        <v>848</v>
      </c>
      <c r="AA75" s="262"/>
    </row>
    <row r="76" spans="2:27" ht="36.75" hidden="1" customHeight="1">
      <c r="B76" s="262" t="s">
        <v>683</v>
      </c>
      <c r="C76" s="262" t="s">
        <v>1033</v>
      </c>
      <c r="D76" s="262" t="s">
        <v>1034</v>
      </c>
      <c r="E76" s="263">
        <v>0</v>
      </c>
      <c r="F76" s="77" t="s">
        <v>1043</v>
      </c>
      <c r="G76" s="262" t="s">
        <v>1044</v>
      </c>
      <c r="H76" s="262" t="s">
        <v>1045</v>
      </c>
      <c r="I76" s="263">
        <v>5</v>
      </c>
      <c r="J76" s="262" t="s">
        <v>689</v>
      </c>
      <c r="K76" s="263">
        <v>20</v>
      </c>
      <c r="L76" s="263"/>
      <c r="M76" s="74" t="s">
        <v>1046</v>
      </c>
      <c r="N76" s="77" t="s">
        <v>1047</v>
      </c>
      <c r="O76" s="263"/>
      <c r="P76" s="262"/>
      <c r="Q76" s="262"/>
      <c r="R76" s="262"/>
      <c r="S76" s="72" t="s">
        <v>693</v>
      </c>
      <c r="T76" s="72" t="s">
        <v>1035</v>
      </c>
      <c r="U76" s="77" t="s">
        <v>1048</v>
      </c>
      <c r="V76" s="262" t="s">
        <v>1049</v>
      </c>
      <c r="W76" s="262"/>
      <c r="X76" s="262" t="s">
        <v>697</v>
      </c>
      <c r="Y76" s="72" t="s">
        <v>1035</v>
      </c>
      <c r="Z76" s="77" t="s">
        <v>1048</v>
      </c>
      <c r="AA76" s="262"/>
    </row>
    <row r="77" spans="2:27" ht="36.75" hidden="1" customHeight="1">
      <c r="B77" s="262" t="s">
        <v>683</v>
      </c>
      <c r="C77" s="262" t="s">
        <v>1033</v>
      </c>
      <c r="D77" s="262" t="s">
        <v>1034</v>
      </c>
      <c r="E77" s="263">
        <v>0</v>
      </c>
      <c r="F77" s="77" t="s">
        <v>1050</v>
      </c>
      <c r="G77" s="262" t="s">
        <v>1051</v>
      </c>
      <c r="H77" s="262" t="s">
        <v>1045</v>
      </c>
      <c r="I77" s="263">
        <v>6</v>
      </c>
      <c r="J77" s="262" t="s">
        <v>689</v>
      </c>
      <c r="K77" s="263">
        <v>20</v>
      </c>
      <c r="L77" s="263"/>
      <c r="M77" s="74" t="s">
        <v>1052</v>
      </c>
      <c r="N77" s="77" t="s">
        <v>1053</v>
      </c>
      <c r="O77" s="263"/>
      <c r="P77" s="262"/>
      <c r="Q77" s="262"/>
      <c r="R77" s="262"/>
      <c r="S77" s="72" t="s">
        <v>693</v>
      </c>
      <c r="T77" s="72" t="s">
        <v>1035</v>
      </c>
      <c r="U77" s="77" t="s">
        <v>1054</v>
      </c>
      <c r="V77" s="262" t="s">
        <v>1055</v>
      </c>
      <c r="W77" s="262"/>
      <c r="X77" s="262" t="s">
        <v>697</v>
      </c>
      <c r="Y77" s="72" t="s">
        <v>1035</v>
      </c>
      <c r="Z77" s="77" t="s">
        <v>1054</v>
      </c>
      <c r="AA77" s="262"/>
    </row>
    <row r="78" spans="2:27" ht="36.75" hidden="1" customHeight="1">
      <c r="B78" s="262" t="s">
        <v>683</v>
      </c>
      <c r="C78" s="262" t="s">
        <v>1033</v>
      </c>
      <c r="D78" s="262" t="s">
        <v>1034</v>
      </c>
      <c r="E78" s="263">
        <v>0</v>
      </c>
      <c r="F78" s="77" t="s">
        <v>1056</v>
      </c>
      <c r="G78" s="262" t="s">
        <v>1057</v>
      </c>
      <c r="H78" s="262" t="s">
        <v>688</v>
      </c>
      <c r="I78" s="263">
        <v>7</v>
      </c>
      <c r="J78" s="262" t="s">
        <v>689</v>
      </c>
      <c r="K78" s="263">
        <v>20</v>
      </c>
      <c r="L78" s="263"/>
      <c r="M78" s="265" t="s">
        <v>1058</v>
      </c>
      <c r="N78" s="77" t="s">
        <v>1059</v>
      </c>
      <c r="O78" s="263"/>
      <c r="P78" s="265" t="s">
        <v>1060</v>
      </c>
      <c r="Q78" s="265"/>
      <c r="R78" s="265"/>
      <c r="S78" s="72" t="s">
        <v>693</v>
      </c>
      <c r="T78" s="72" t="s">
        <v>1035</v>
      </c>
      <c r="U78" s="77" t="s">
        <v>34</v>
      </c>
      <c r="V78" s="265" t="s">
        <v>1061</v>
      </c>
      <c r="W78" s="262"/>
      <c r="X78" s="262" t="s">
        <v>697</v>
      </c>
      <c r="Y78" s="72" t="s">
        <v>1035</v>
      </c>
      <c r="Z78" s="77" t="s">
        <v>34</v>
      </c>
      <c r="AA78" s="262"/>
    </row>
    <row r="79" spans="2:27" ht="36.75" hidden="1" customHeight="1">
      <c r="B79" s="262" t="s">
        <v>683</v>
      </c>
      <c r="C79" s="262" t="s">
        <v>1033</v>
      </c>
      <c r="D79" s="262" t="s">
        <v>1034</v>
      </c>
      <c r="E79" s="263">
        <v>0</v>
      </c>
      <c r="F79" s="77" t="s">
        <v>1062</v>
      </c>
      <c r="G79" s="262" t="s">
        <v>1063</v>
      </c>
      <c r="H79" s="262" t="s">
        <v>688</v>
      </c>
      <c r="I79" s="263">
        <v>8</v>
      </c>
      <c r="J79" s="262" t="s">
        <v>689</v>
      </c>
      <c r="K79" s="263">
        <v>20</v>
      </c>
      <c r="L79" s="263"/>
      <c r="M79" s="265" t="s">
        <v>1064</v>
      </c>
      <c r="N79" s="77" t="s">
        <v>1065</v>
      </c>
      <c r="O79" s="263"/>
      <c r="P79" s="262"/>
      <c r="Q79" s="262"/>
      <c r="R79" s="262"/>
      <c r="S79" s="72" t="s">
        <v>693</v>
      </c>
      <c r="T79" s="72" t="s">
        <v>1035</v>
      </c>
      <c r="U79" s="77" t="s">
        <v>18</v>
      </c>
      <c r="V79" s="262" t="s">
        <v>1066</v>
      </c>
      <c r="W79" s="262"/>
      <c r="X79" s="262" t="s">
        <v>697</v>
      </c>
      <c r="Y79" s="72" t="s">
        <v>1035</v>
      </c>
      <c r="Z79" s="77" t="s">
        <v>18</v>
      </c>
      <c r="AA79" s="262"/>
    </row>
    <row r="80" spans="2:27" ht="36.75" hidden="1" customHeight="1">
      <c r="B80" s="262" t="s">
        <v>683</v>
      </c>
      <c r="C80" s="262" t="s">
        <v>1033</v>
      </c>
      <c r="D80" s="262" t="s">
        <v>1034</v>
      </c>
      <c r="E80" s="263">
        <v>0</v>
      </c>
      <c r="F80" s="77" t="s">
        <v>1067</v>
      </c>
      <c r="G80" s="262" t="s">
        <v>1068</v>
      </c>
      <c r="H80" s="262" t="s">
        <v>688</v>
      </c>
      <c r="I80" s="263">
        <v>9</v>
      </c>
      <c r="J80" s="262" t="s">
        <v>689</v>
      </c>
      <c r="K80" s="263">
        <v>20</v>
      </c>
      <c r="L80" s="263"/>
      <c r="M80" s="265" t="s">
        <v>1069</v>
      </c>
      <c r="N80" s="77" t="s">
        <v>1070</v>
      </c>
      <c r="O80" s="263"/>
      <c r="P80" s="265" t="s">
        <v>1071</v>
      </c>
      <c r="Q80" s="265"/>
      <c r="R80" s="265"/>
      <c r="S80" s="72" t="s">
        <v>693</v>
      </c>
      <c r="T80" s="72" t="s">
        <v>1035</v>
      </c>
      <c r="U80" s="77" t="s">
        <v>1072</v>
      </c>
      <c r="V80" s="265" t="s">
        <v>1073</v>
      </c>
      <c r="W80" s="262"/>
      <c r="X80" s="262" t="s">
        <v>697</v>
      </c>
      <c r="Y80" s="72" t="s">
        <v>1035</v>
      </c>
      <c r="Z80" s="77" t="s">
        <v>1072</v>
      </c>
      <c r="AA80" s="262"/>
    </row>
    <row r="81" spans="2:27" ht="36.75" hidden="1" customHeight="1">
      <c r="B81" s="262" t="s">
        <v>683</v>
      </c>
      <c r="C81" s="262" t="s">
        <v>1033</v>
      </c>
      <c r="D81" s="262" t="s">
        <v>1034</v>
      </c>
      <c r="E81" s="263">
        <v>0</v>
      </c>
      <c r="F81" s="77" t="s">
        <v>1074</v>
      </c>
      <c r="G81" s="262" t="s">
        <v>1075</v>
      </c>
      <c r="H81" s="262" t="s">
        <v>688</v>
      </c>
      <c r="I81" s="263">
        <v>10</v>
      </c>
      <c r="J81" s="262" t="s">
        <v>689</v>
      </c>
      <c r="K81" s="263">
        <v>20</v>
      </c>
      <c r="L81" s="263"/>
      <c r="M81" s="265" t="s">
        <v>1076</v>
      </c>
      <c r="N81" s="77" t="s">
        <v>1077</v>
      </c>
      <c r="O81" s="263"/>
      <c r="P81" s="265" t="s">
        <v>1078</v>
      </c>
      <c r="Q81" s="265"/>
      <c r="R81" s="265"/>
      <c r="S81" s="72" t="s">
        <v>693</v>
      </c>
      <c r="T81" s="72" t="s">
        <v>1035</v>
      </c>
      <c r="U81" s="77" t="s">
        <v>334</v>
      </c>
      <c r="V81" s="262" t="s">
        <v>1079</v>
      </c>
      <c r="W81" s="262"/>
      <c r="X81" s="262" t="s">
        <v>697</v>
      </c>
      <c r="Y81" s="72" t="s">
        <v>1035</v>
      </c>
      <c r="Z81" s="77" t="s">
        <v>334</v>
      </c>
      <c r="AA81" s="262"/>
    </row>
    <row r="82" spans="2:27" ht="36.75" hidden="1" customHeight="1">
      <c r="B82" s="262" t="s">
        <v>683</v>
      </c>
      <c r="C82" s="262" t="s">
        <v>1033</v>
      </c>
      <c r="D82" s="262" t="s">
        <v>1034</v>
      </c>
      <c r="E82" s="263">
        <v>0</v>
      </c>
      <c r="F82" s="77" t="s">
        <v>1080</v>
      </c>
      <c r="G82" s="262" t="s">
        <v>1081</v>
      </c>
      <c r="H82" s="262" t="s">
        <v>915</v>
      </c>
      <c r="I82" s="263">
        <v>11</v>
      </c>
      <c r="J82" s="262" t="s">
        <v>689</v>
      </c>
      <c r="K82" s="78">
        <v>10</v>
      </c>
      <c r="L82" s="263"/>
      <c r="M82" s="265" t="s">
        <v>1082</v>
      </c>
      <c r="N82" s="77" t="s">
        <v>1083</v>
      </c>
      <c r="O82" s="263"/>
      <c r="P82" s="262"/>
      <c r="Q82" s="262"/>
      <c r="R82" s="262"/>
      <c r="S82" s="72" t="s">
        <v>693</v>
      </c>
      <c r="T82" s="72" t="s">
        <v>1035</v>
      </c>
      <c r="U82" s="77" t="s">
        <v>1084</v>
      </c>
      <c r="V82" s="262" t="s">
        <v>1085</v>
      </c>
      <c r="W82" s="262"/>
      <c r="X82" s="262" t="s">
        <v>697</v>
      </c>
      <c r="Y82" s="72" t="s">
        <v>1035</v>
      </c>
      <c r="Z82" s="77" t="s">
        <v>1084</v>
      </c>
      <c r="AA82" s="262"/>
    </row>
    <row r="83" spans="2:27" ht="36.75" hidden="1" customHeight="1">
      <c r="B83" s="262" t="s">
        <v>683</v>
      </c>
      <c r="C83" s="262" t="s">
        <v>1033</v>
      </c>
      <c r="D83" s="262" t="s">
        <v>1034</v>
      </c>
      <c r="E83" s="263">
        <v>0</v>
      </c>
      <c r="F83" s="77" t="s">
        <v>1086</v>
      </c>
      <c r="G83" s="262" t="s">
        <v>1087</v>
      </c>
      <c r="H83" s="262" t="s">
        <v>915</v>
      </c>
      <c r="I83" s="263">
        <v>12</v>
      </c>
      <c r="J83" s="262" t="s">
        <v>689</v>
      </c>
      <c r="K83" s="78">
        <v>10</v>
      </c>
      <c r="L83" s="263"/>
      <c r="M83" s="265" t="s">
        <v>1088</v>
      </c>
      <c r="N83" s="77" t="s">
        <v>1089</v>
      </c>
      <c r="O83" s="263"/>
      <c r="P83" s="262"/>
      <c r="Q83" s="262"/>
      <c r="R83" s="262"/>
      <c r="S83" s="72" t="s">
        <v>693</v>
      </c>
      <c r="T83" s="72" t="s">
        <v>1035</v>
      </c>
      <c r="U83" s="77" t="s">
        <v>1090</v>
      </c>
      <c r="V83" s="262" t="s">
        <v>1091</v>
      </c>
      <c r="W83" s="262"/>
      <c r="X83" s="262" t="s">
        <v>697</v>
      </c>
      <c r="Y83" s="72" t="s">
        <v>1035</v>
      </c>
      <c r="Z83" s="77" t="s">
        <v>1090</v>
      </c>
      <c r="AA83" s="262"/>
    </row>
    <row r="84" spans="2:27" ht="36.75" hidden="1" customHeight="1">
      <c r="B84" s="262" t="s">
        <v>683</v>
      </c>
      <c r="C84" s="262" t="s">
        <v>1033</v>
      </c>
      <c r="D84" s="262" t="s">
        <v>1034</v>
      </c>
      <c r="E84" s="263">
        <v>0</v>
      </c>
      <c r="F84" s="262" t="s">
        <v>1004</v>
      </c>
      <c r="G84" s="262" t="s">
        <v>1005</v>
      </c>
      <c r="H84" s="262" t="s">
        <v>1006</v>
      </c>
      <c r="I84" s="263">
        <v>13</v>
      </c>
      <c r="J84" s="262" t="s">
        <v>689</v>
      </c>
      <c r="K84" s="263">
        <v>3</v>
      </c>
      <c r="L84" s="263"/>
      <c r="M84" s="265" t="s">
        <v>1007</v>
      </c>
      <c r="N84" s="77" t="s">
        <v>1008</v>
      </c>
      <c r="O84" s="263"/>
      <c r="P84" s="265" t="s">
        <v>1009</v>
      </c>
      <c r="Q84" s="265"/>
      <c r="R84" s="265"/>
      <c r="S84" s="72" t="s">
        <v>693</v>
      </c>
      <c r="T84" s="72" t="s">
        <v>1035</v>
      </c>
      <c r="U84" s="77" t="s">
        <v>1010</v>
      </c>
      <c r="V84" s="262" t="s">
        <v>1092</v>
      </c>
      <c r="W84" s="262"/>
      <c r="X84" s="262" t="s">
        <v>697</v>
      </c>
      <c r="Y84" s="72" t="s">
        <v>1035</v>
      </c>
      <c r="Z84" s="77" t="s">
        <v>1010</v>
      </c>
      <c r="AA84" s="262"/>
    </row>
    <row r="85" spans="2:27" ht="36.75" hidden="1" customHeight="1">
      <c r="B85" s="262" t="s">
        <v>683</v>
      </c>
      <c r="C85" s="262" t="s">
        <v>1033</v>
      </c>
      <c r="D85" s="262" t="s">
        <v>1034</v>
      </c>
      <c r="E85" s="263">
        <v>0</v>
      </c>
      <c r="F85" s="77" t="s">
        <v>782</v>
      </c>
      <c r="G85" s="262" t="s">
        <v>783</v>
      </c>
      <c r="H85" s="76" t="s">
        <v>784</v>
      </c>
      <c r="I85" s="263">
        <v>14</v>
      </c>
      <c r="J85" s="262" t="s">
        <v>689</v>
      </c>
      <c r="K85" s="263">
        <v>10</v>
      </c>
      <c r="L85" s="263"/>
      <c r="M85" s="265" t="s">
        <v>785</v>
      </c>
      <c r="N85" s="77" t="s">
        <v>786</v>
      </c>
      <c r="O85" s="263" t="s">
        <v>692</v>
      </c>
      <c r="P85" s="262"/>
      <c r="Q85" s="262"/>
      <c r="R85" s="262"/>
      <c r="S85" s="72" t="s">
        <v>693</v>
      </c>
      <c r="T85" s="72" t="s">
        <v>1035</v>
      </c>
      <c r="U85" s="77" t="s">
        <v>787</v>
      </c>
      <c r="V85" s="262" t="s">
        <v>1093</v>
      </c>
      <c r="W85" s="262"/>
      <c r="X85" s="262" t="s">
        <v>697</v>
      </c>
      <c r="Y85" s="72" t="s">
        <v>1035</v>
      </c>
      <c r="Z85" s="77" t="s">
        <v>787</v>
      </c>
      <c r="AA85" s="262"/>
    </row>
    <row r="86" spans="2:27" ht="36.75" hidden="1" customHeight="1">
      <c r="B86" s="262" t="s">
        <v>683</v>
      </c>
      <c r="C86" s="262" t="s">
        <v>1033</v>
      </c>
      <c r="D86" s="262" t="s">
        <v>1034</v>
      </c>
      <c r="E86" s="263">
        <v>0</v>
      </c>
      <c r="F86" s="77" t="s">
        <v>789</v>
      </c>
      <c r="G86" s="262" t="s">
        <v>790</v>
      </c>
      <c r="H86" s="76" t="s">
        <v>791</v>
      </c>
      <c r="I86" s="263">
        <v>15</v>
      </c>
      <c r="J86" s="262" t="s">
        <v>792</v>
      </c>
      <c r="K86" s="263">
        <v>23</v>
      </c>
      <c r="L86" s="263"/>
      <c r="M86" s="265" t="s">
        <v>793</v>
      </c>
      <c r="N86" s="262" t="s">
        <v>794</v>
      </c>
      <c r="O86" s="263"/>
      <c r="P86" s="262"/>
      <c r="Q86" s="262"/>
      <c r="R86" s="262"/>
      <c r="S86" s="72" t="s">
        <v>693</v>
      </c>
      <c r="T86" s="72" t="s">
        <v>1035</v>
      </c>
      <c r="U86" s="262"/>
      <c r="V86" s="262" t="s">
        <v>795</v>
      </c>
      <c r="W86" s="262"/>
      <c r="X86" s="262"/>
      <c r="Y86" s="262"/>
      <c r="Z86" s="262"/>
      <c r="AA86" s="262"/>
    </row>
    <row r="87" spans="2:27" ht="36.75" hidden="1" customHeight="1">
      <c r="B87" s="262" t="s">
        <v>683</v>
      </c>
      <c r="C87" s="262" t="s">
        <v>1094</v>
      </c>
      <c r="D87" s="262" t="s">
        <v>1095</v>
      </c>
      <c r="E87" s="263">
        <v>0</v>
      </c>
      <c r="F87" s="77" t="s">
        <v>827</v>
      </c>
      <c r="G87" s="262" t="s">
        <v>828</v>
      </c>
      <c r="H87" s="262" t="s">
        <v>800</v>
      </c>
      <c r="I87" s="263">
        <v>1</v>
      </c>
      <c r="J87" s="262" t="s">
        <v>689</v>
      </c>
      <c r="K87" s="263">
        <v>2</v>
      </c>
      <c r="L87" s="263"/>
      <c r="M87" s="74" t="s">
        <v>829</v>
      </c>
      <c r="N87" s="77" t="s">
        <v>830</v>
      </c>
      <c r="O87" s="263" t="s">
        <v>692</v>
      </c>
      <c r="P87" s="262"/>
      <c r="Q87" s="262"/>
      <c r="R87" s="262"/>
      <c r="S87" s="72" t="s">
        <v>693</v>
      </c>
      <c r="T87" s="72" t="s">
        <v>1096</v>
      </c>
      <c r="U87" s="77" t="s">
        <v>141</v>
      </c>
      <c r="V87" s="262" t="s">
        <v>1097</v>
      </c>
      <c r="W87" s="262"/>
      <c r="X87" s="262" t="s">
        <v>697</v>
      </c>
      <c r="Y87" s="72" t="s">
        <v>1096</v>
      </c>
      <c r="Z87" s="77" t="s">
        <v>141</v>
      </c>
      <c r="AA87" s="262"/>
    </row>
    <row r="88" spans="2:27" ht="36.75" hidden="1" customHeight="1">
      <c r="B88" s="262" t="s">
        <v>683</v>
      </c>
      <c r="C88" s="262" t="s">
        <v>1094</v>
      </c>
      <c r="D88" s="262" t="s">
        <v>1095</v>
      </c>
      <c r="E88" s="263">
        <v>0</v>
      </c>
      <c r="F88" s="77" t="s">
        <v>832</v>
      </c>
      <c r="G88" s="262" t="s">
        <v>833</v>
      </c>
      <c r="H88" s="262" t="s">
        <v>808</v>
      </c>
      <c r="I88" s="263">
        <v>2</v>
      </c>
      <c r="J88" s="262" t="s">
        <v>689</v>
      </c>
      <c r="K88" s="263">
        <v>20</v>
      </c>
      <c r="L88" s="263"/>
      <c r="M88" s="265" t="s">
        <v>834</v>
      </c>
      <c r="N88" s="77" t="s">
        <v>1037</v>
      </c>
      <c r="O88" s="263" t="s">
        <v>692</v>
      </c>
      <c r="P88" s="265" t="s">
        <v>811</v>
      </c>
      <c r="Q88" s="265"/>
      <c r="R88" s="265"/>
      <c r="S88" s="72" t="s">
        <v>693</v>
      </c>
      <c r="T88" s="72" t="s">
        <v>1096</v>
      </c>
      <c r="U88" s="77" t="s">
        <v>836</v>
      </c>
      <c r="V88" s="262" t="s">
        <v>1098</v>
      </c>
      <c r="W88" s="262"/>
      <c r="X88" s="262" t="s">
        <v>697</v>
      </c>
      <c r="Y88" s="72" t="s">
        <v>1096</v>
      </c>
      <c r="Z88" s="77" t="s">
        <v>836</v>
      </c>
      <c r="AA88" s="262"/>
    </row>
    <row r="89" spans="2:27" ht="36.75" hidden="1" customHeight="1">
      <c r="B89" s="262" t="s">
        <v>683</v>
      </c>
      <c r="C89" s="262" t="s">
        <v>1094</v>
      </c>
      <c r="D89" s="262" t="s">
        <v>1095</v>
      </c>
      <c r="E89" s="263">
        <v>0</v>
      </c>
      <c r="F89" s="77" t="s">
        <v>838</v>
      </c>
      <c r="G89" s="262" t="s">
        <v>839</v>
      </c>
      <c r="H89" s="262" t="s">
        <v>800</v>
      </c>
      <c r="I89" s="263">
        <v>3</v>
      </c>
      <c r="J89" s="262" t="s">
        <v>689</v>
      </c>
      <c r="K89" s="263">
        <v>11</v>
      </c>
      <c r="L89" s="263"/>
      <c r="M89" s="265" t="s">
        <v>840</v>
      </c>
      <c r="N89" s="77" t="s">
        <v>1039</v>
      </c>
      <c r="O89" s="263" t="s">
        <v>692</v>
      </c>
      <c r="P89" s="262"/>
      <c r="Q89" s="262"/>
      <c r="R89" s="262"/>
      <c r="S89" s="72" t="s">
        <v>693</v>
      </c>
      <c r="T89" s="72" t="s">
        <v>1096</v>
      </c>
      <c r="U89" s="77" t="s">
        <v>842</v>
      </c>
      <c r="V89" s="262" t="s">
        <v>1099</v>
      </c>
      <c r="W89" s="262"/>
      <c r="X89" s="262" t="s">
        <v>697</v>
      </c>
      <c r="Y89" s="72" t="s">
        <v>1096</v>
      </c>
      <c r="Z89" s="77" t="s">
        <v>842</v>
      </c>
      <c r="AA89" s="262"/>
    </row>
    <row r="90" spans="2:27" ht="36.75" hidden="1" customHeight="1">
      <c r="B90" s="262" t="s">
        <v>683</v>
      </c>
      <c r="C90" s="262" t="s">
        <v>1094</v>
      </c>
      <c r="D90" s="262" t="s">
        <v>1095</v>
      </c>
      <c r="E90" s="263">
        <v>0</v>
      </c>
      <c r="F90" s="77" t="s">
        <v>844</v>
      </c>
      <c r="G90" s="262" t="s">
        <v>845</v>
      </c>
      <c r="H90" s="262" t="s">
        <v>808</v>
      </c>
      <c r="I90" s="263">
        <v>4</v>
      </c>
      <c r="J90" s="262" t="s">
        <v>689</v>
      </c>
      <c r="K90" s="263">
        <v>20</v>
      </c>
      <c r="L90" s="263"/>
      <c r="M90" s="265" t="s">
        <v>846</v>
      </c>
      <c r="N90" s="77" t="s">
        <v>1041</v>
      </c>
      <c r="O90" s="263" t="s">
        <v>692</v>
      </c>
      <c r="P90" s="262"/>
      <c r="Q90" s="262"/>
      <c r="R90" s="262"/>
      <c r="S90" s="72" t="s">
        <v>693</v>
      </c>
      <c r="T90" s="72" t="s">
        <v>1096</v>
      </c>
      <c r="U90" s="77" t="s">
        <v>848</v>
      </c>
      <c r="V90" s="262" t="s">
        <v>1100</v>
      </c>
      <c r="W90" s="262"/>
      <c r="X90" s="262" t="s">
        <v>697</v>
      </c>
      <c r="Y90" s="72" t="s">
        <v>1096</v>
      </c>
      <c r="Z90" s="77" t="s">
        <v>848</v>
      </c>
      <c r="AA90" s="262"/>
    </row>
    <row r="91" spans="2:27" ht="36.75" hidden="1" customHeight="1">
      <c r="B91" s="262" t="s">
        <v>683</v>
      </c>
      <c r="C91" s="262" t="s">
        <v>1094</v>
      </c>
      <c r="D91" s="262" t="s">
        <v>1095</v>
      </c>
      <c r="E91" s="263">
        <v>0</v>
      </c>
      <c r="F91" s="262" t="s">
        <v>850</v>
      </c>
      <c r="G91" s="262" t="s">
        <v>851</v>
      </c>
      <c r="H91" s="262" t="s">
        <v>800</v>
      </c>
      <c r="I91" s="263">
        <v>5</v>
      </c>
      <c r="J91" s="262" t="s">
        <v>689</v>
      </c>
      <c r="K91" s="263">
        <v>2</v>
      </c>
      <c r="L91" s="263"/>
      <c r="M91" s="74" t="s">
        <v>1016</v>
      </c>
      <c r="N91" s="77" t="s">
        <v>1101</v>
      </c>
      <c r="O91" s="263" t="s">
        <v>692</v>
      </c>
      <c r="P91" s="262"/>
      <c r="Q91" s="262"/>
      <c r="R91" s="262"/>
      <c r="S91" s="72" t="s">
        <v>693</v>
      </c>
      <c r="T91" s="72" t="s">
        <v>1096</v>
      </c>
      <c r="U91" s="77" t="s">
        <v>855</v>
      </c>
      <c r="V91" s="262" t="s">
        <v>1102</v>
      </c>
      <c r="W91" s="262"/>
      <c r="X91" s="262" t="s">
        <v>697</v>
      </c>
      <c r="Y91" s="72" t="s">
        <v>1096</v>
      </c>
      <c r="Z91" s="77" t="s">
        <v>855</v>
      </c>
      <c r="AA91" s="262"/>
    </row>
    <row r="92" spans="2:27" ht="36.75" hidden="1" customHeight="1">
      <c r="B92" s="262" t="s">
        <v>683</v>
      </c>
      <c r="C92" s="262" t="s">
        <v>1094</v>
      </c>
      <c r="D92" s="262" t="s">
        <v>1095</v>
      </c>
      <c r="E92" s="263">
        <v>0</v>
      </c>
      <c r="F92" s="262" t="s">
        <v>857</v>
      </c>
      <c r="G92" s="262" t="s">
        <v>858</v>
      </c>
      <c r="H92" s="262" t="s">
        <v>808</v>
      </c>
      <c r="I92" s="263">
        <v>6</v>
      </c>
      <c r="J92" s="262" t="s">
        <v>689</v>
      </c>
      <c r="K92" s="263">
        <v>20</v>
      </c>
      <c r="L92" s="263"/>
      <c r="M92" s="265" t="s">
        <v>1021</v>
      </c>
      <c r="N92" s="77" t="s">
        <v>1103</v>
      </c>
      <c r="O92" s="263" t="s">
        <v>692</v>
      </c>
      <c r="P92" s="265" t="s">
        <v>811</v>
      </c>
      <c r="Q92" s="265"/>
      <c r="R92" s="265"/>
      <c r="S92" s="72" t="s">
        <v>693</v>
      </c>
      <c r="T92" s="72" t="s">
        <v>1096</v>
      </c>
      <c r="U92" s="77" t="s">
        <v>369</v>
      </c>
      <c r="V92" s="262" t="s">
        <v>1104</v>
      </c>
      <c r="W92" s="84"/>
      <c r="X92" s="262" t="s">
        <v>697</v>
      </c>
      <c r="Y92" s="72" t="s">
        <v>1096</v>
      </c>
      <c r="Z92" s="77" t="s">
        <v>369</v>
      </c>
      <c r="AA92" s="262"/>
    </row>
    <row r="93" spans="2:27" ht="36.75" hidden="1" customHeight="1">
      <c r="B93" s="262" t="s">
        <v>683</v>
      </c>
      <c r="C93" s="262" t="s">
        <v>1094</v>
      </c>
      <c r="D93" s="262" t="s">
        <v>1095</v>
      </c>
      <c r="E93" s="263">
        <v>0</v>
      </c>
      <c r="F93" s="262" t="s">
        <v>863</v>
      </c>
      <c r="G93" s="262" t="s">
        <v>864</v>
      </c>
      <c r="H93" s="262" t="s">
        <v>800</v>
      </c>
      <c r="I93" s="263">
        <v>7</v>
      </c>
      <c r="J93" s="262" t="s">
        <v>689</v>
      </c>
      <c r="K93" s="263">
        <v>30</v>
      </c>
      <c r="L93" s="263"/>
      <c r="M93" s="265" t="s">
        <v>865</v>
      </c>
      <c r="N93" s="77" t="s">
        <v>1105</v>
      </c>
      <c r="O93" s="263" t="s">
        <v>692</v>
      </c>
      <c r="P93" s="262"/>
      <c r="Q93" s="262"/>
      <c r="R93" s="262"/>
      <c r="S93" s="72" t="s">
        <v>693</v>
      </c>
      <c r="T93" s="72" t="s">
        <v>1096</v>
      </c>
      <c r="U93" s="72" t="s">
        <v>867</v>
      </c>
      <c r="V93" s="262" t="s">
        <v>1106</v>
      </c>
      <c r="W93" s="262"/>
      <c r="X93" s="262" t="s">
        <v>697</v>
      </c>
      <c r="Y93" s="72" t="s">
        <v>1096</v>
      </c>
      <c r="Z93" s="72" t="s">
        <v>867</v>
      </c>
      <c r="AA93" s="262"/>
    </row>
    <row r="94" spans="2:27" ht="36.75" hidden="1" customHeight="1">
      <c r="B94" s="262" t="s">
        <v>683</v>
      </c>
      <c r="C94" s="262" t="s">
        <v>1094</v>
      </c>
      <c r="D94" s="262" t="s">
        <v>1095</v>
      </c>
      <c r="E94" s="263">
        <v>0</v>
      </c>
      <c r="F94" s="262" t="s">
        <v>869</v>
      </c>
      <c r="G94" s="262" t="s">
        <v>870</v>
      </c>
      <c r="H94" s="262" t="s">
        <v>808</v>
      </c>
      <c r="I94" s="263">
        <v>8</v>
      </c>
      <c r="J94" s="262" t="s">
        <v>689</v>
      </c>
      <c r="K94" s="263">
        <v>20</v>
      </c>
      <c r="L94" s="263"/>
      <c r="M94" s="265" t="s">
        <v>871</v>
      </c>
      <c r="N94" s="77" t="s">
        <v>1107</v>
      </c>
      <c r="O94" s="263" t="s">
        <v>692</v>
      </c>
      <c r="P94" s="262"/>
      <c r="Q94" s="262"/>
      <c r="R94" s="262"/>
      <c r="S94" s="72" t="s">
        <v>693</v>
      </c>
      <c r="T94" s="72" t="s">
        <v>1096</v>
      </c>
      <c r="U94" s="77" t="s">
        <v>873</v>
      </c>
      <c r="V94" s="262" t="s">
        <v>1108</v>
      </c>
      <c r="W94" s="262"/>
      <c r="X94" s="262" t="s">
        <v>697</v>
      </c>
      <c r="Y94" s="72" t="s">
        <v>1096</v>
      </c>
      <c r="Z94" s="77" t="s">
        <v>873</v>
      </c>
      <c r="AA94" s="262"/>
    </row>
    <row r="95" spans="2:27" ht="36.75" hidden="1" customHeight="1">
      <c r="B95" s="262" t="s">
        <v>683</v>
      </c>
      <c r="C95" s="262" t="s">
        <v>1094</v>
      </c>
      <c r="D95" s="262" t="s">
        <v>1095</v>
      </c>
      <c r="E95" s="263">
        <v>0</v>
      </c>
      <c r="F95" s="264" t="s">
        <v>721</v>
      </c>
      <c r="G95" s="262" t="s">
        <v>722</v>
      </c>
      <c r="H95" s="262" t="s">
        <v>688</v>
      </c>
      <c r="I95" s="263">
        <v>9</v>
      </c>
      <c r="J95" s="262" t="s">
        <v>689</v>
      </c>
      <c r="K95" s="263">
        <v>20</v>
      </c>
      <c r="L95" s="263"/>
      <c r="M95" s="265" t="s">
        <v>723</v>
      </c>
      <c r="N95" s="87" t="s">
        <v>1109</v>
      </c>
      <c r="O95" s="263"/>
      <c r="P95" s="262"/>
      <c r="Q95" s="262"/>
      <c r="R95" s="262"/>
      <c r="S95" s="72" t="s">
        <v>693</v>
      </c>
      <c r="T95" s="72" t="s">
        <v>1096</v>
      </c>
      <c r="U95" s="72" t="s">
        <v>725</v>
      </c>
      <c r="V95" s="262" t="s">
        <v>1110</v>
      </c>
      <c r="W95" s="262"/>
      <c r="X95" s="262" t="s">
        <v>697</v>
      </c>
      <c r="Y95" s="72" t="s">
        <v>1096</v>
      </c>
      <c r="Z95" s="72" t="s">
        <v>725</v>
      </c>
      <c r="AA95" s="262"/>
    </row>
    <row r="96" spans="2:27" ht="36.75" hidden="1" customHeight="1">
      <c r="B96" s="262" t="s">
        <v>683</v>
      </c>
      <c r="C96" s="262" t="s">
        <v>1094</v>
      </c>
      <c r="D96" s="262" t="s">
        <v>1095</v>
      </c>
      <c r="E96" s="263">
        <v>0</v>
      </c>
      <c r="F96" s="262" t="s">
        <v>741</v>
      </c>
      <c r="G96" s="262" t="s">
        <v>742</v>
      </c>
      <c r="H96" s="262" t="s">
        <v>743</v>
      </c>
      <c r="I96" s="263">
        <v>10</v>
      </c>
      <c r="J96" s="262" t="s">
        <v>689</v>
      </c>
      <c r="K96" s="263">
        <v>20</v>
      </c>
      <c r="L96" s="263"/>
      <c r="M96" s="265" t="s">
        <v>744</v>
      </c>
      <c r="N96" s="77" t="s">
        <v>745</v>
      </c>
      <c r="O96" s="263"/>
      <c r="P96" s="265" t="s">
        <v>746</v>
      </c>
      <c r="Q96" s="265"/>
      <c r="R96" s="265"/>
      <c r="S96" s="72" t="s">
        <v>693</v>
      </c>
      <c r="T96" s="72" t="s">
        <v>1096</v>
      </c>
      <c r="U96" s="77" t="s">
        <v>747</v>
      </c>
      <c r="V96" s="262" t="s">
        <v>1111</v>
      </c>
      <c r="W96" s="262"/>
      <c r="X96" s="262" t="s">
        <v>697</v>
      </c>
      <c r="Y96" s="72" t="s">
        <v>1096</v>
      </c>
      <c r="Z96" s="77" t="s">
        <v>747</v>
      </c>
      <c r="AA96" s="262"/>
    </row>
    <row r="97" spans="2:27" ht="36.75" hidden="1" customHeight="1">
      <c r="B97" s="262" t="s">
        <v>683</v>
      </c>
      <c r="C97" s="262" t="s">
        <v>1094</v>
      </c>
      <c r="D97" s="262" t="s">
        <v>1095</v>
      </c>
      <c r="E97" s="263">
        <v>0</v>
      </c>
      <c r="F97" s="262" t="s">
        <v>1112</v>
      </c>
      <c r="G97" s="262" t="s">
        <v>1113</v>
      </c>
      <c r="H97" s="262" t="s">
        <v>1114</v>
      </c>
      <c r="I97" s="263">
        <v>11</v>
      </c>
      <c r="J97" s="262" t="s">
        <v>689</v>
      </c>
      <c r="K97" s="263">
        <v>20</v>
      </c>
      <c r="L97" s="263"/>
      <c r="M97" s="265" t="s">
        <v>1115</v>
      </c>
      <c r="N97" s="77" t="s">
        <v>1116</v>
      </c>
      <c r="O97" s="263"/>
      <c r="P97" s="262"/>
      <c r="Q97" s="262"/>
      <c r="R97" s="262"/>
      <c r="S97" s="72" t="s">
        <v>693</v>
      </c>
      <c r="T97" s="72" t="s">
        <v>1096</v>
      </c>
      <c r="U97" s="77" t="s">
        <v>1117</v>
      </c>
      <c r="V97" s="265" t="s">
        <v>1118</v>
      </c>
      <c r="W97" s="262"/>
      <c r="X97" s="262" t="s">
        <v>697</v>
      </c>
      <c r="Y97" s="72" t="s">
        <v>1096</v>
      </c>
      <c r="Z97" s="77" t="s">
        <v>1117</v>
      </c>
      <c r="AA97" s="262"/>
    </row>
    <row r="98" spans="2:27" ht="36.75" hidden="1" customHeight="1">
      <c r="B98" s="262" t="s">
        <v>683</v>
      </c>
      <c r="C98" s="262" t="s">
        <v>1094</v>
      </c>
      <c r="D98" s="262" t="s">
        <v>1095</v>
      </c>
      <c r="E98" s="263">
        <v>0</v>
      </c>
      <c r="F98" s="262" t="s">
        <v>756</v>
      </c>
      <c r="G98" s="262" t="s">
        <v>757</v>
      </c>
      <c r="H98" s="262" t="s">
        <v>743</v>
      </c>
      <c r="I98" s="263">
        <v>12</v>
      </c>
      <c r="J98" s="262" t="s">
        <v>689</v>
      </c>
      <c r="K98" s="263">
        <v>20</v>
      </c>
      <c r="L98" s="263"/>
      <c r="M98" s="265" t="s">
        <v>758</v>
      </c>
      <c r="N98" s="262" t="s">
        <v>1119</v>
      </c>
      <c r="O98" s="263"/>
      <c r="P98" s="265" t="s">
        <v>760</v>
      </c>
      <c r="Q98" s="265"/>
      <c r="R98" s="265"/>
      <c r="S98" s="72" t="s">
        <v>693</v>
      </c>
      <c r="T98" s="72" t="s">
        <v>1096</v>
      </c>
      <c r="U98" s="72" t="s">
        <v>761</v>
      </c>
      <c r="V98" s="265" t="s">
        <v>1120</v>
      </c>
      <c r="W98" s="262"/>
      <c r="X98" s="262" t="s">
        <v>697</v>
      </c>
      <c r="Y98" s="72" t="s">
        <v>1096</v>
      </c>
      <c r="Z98" s="72" t="s">
        <v>761</v>
      </c>
      <c r="AA98" s="262"/>
    </row>
    <row r="99" spans="2:27" ht="36.75" hidden="1" customHeight="1">
      <c r="B99" s="262" t="s">
        <v>683</v>
      </c>
      <c r="C99" s="262" t="s">
        <v>1094</v>
      </c>
      <c r="D99" s="262" t="s">
        <v>1095</v>
      </c>
      <c r="E99" s="263">
        <v>0</v>
      </c>
      <c r="F99" s="262" t="s">
        <v>1121</v>
      </c>
      <c r="G99" s="262" t="s">
        <v>1122</v>
      </c>
      <c r="H99" s="262" t="s">
        <v>1123</v>
      </c>
      <c r="I99" s="275">
        <v>13</v>
      </c>
      <c r="J99" s="262" t="s">
        <v>689</v>
      </c>
      <c r="K99" s="263"/>
      <c r="L99" s="263"/>
      <c r="M99" s="265" t="s">
        <v>1124</v>
      </c>
      <c r="N99" s="77" t="s">
        <v>1125</v>
      </c>
      <c r="O99" s="263"/>
      <c r="P99" s="262"/>
      <c r="Q99" s="262"/>
      <c r="R99" s="262"/>
      <c r="S99" s="72" t="s">
        <v>693</v>
      </c>
      <c r="T99" s="72" t="s">
        <v>1096</v>
      </c>
      <c r="U99" s="77" t="s">
        <v>1126</v>
      </c>
      <c r="V99" s="262" t="s">
        <v>1127</v>
      </c>
      <c r="W99" s="262"/>
      <c r="X99" s="262" t="s">
        <v>697</v>
      </c>
      <c r="Y99" s="72" t="s">
        <v>1096</v>
      </c>
      <c r="Z99" s="77" t="s">
        <v>1126</v>
      </c>
      <c r="AA99" s="262"/>
    </row>
    <row r="100" spans="2:27" ht="36.75" hidden="1" customHeight="1">
      <c r="B100" s="262" t="s">
        <v>683</v>
      </c>
      <c r="C100" s="262" t="s">
        <v>1094</v>
      </c>
      <c r="D100" s="262" t="s">
        <v>1095</v>
      </c>
      <c r="E100" s="263">
        <v>0</v>
      </c>
      <c r="F100" s="262" t="s">
        <v>1128</v>
      </c>
      <c r="G100" s="262" t="s">
        <v>1129</v>
      </c>
      <c r="H100" s="262" t="s">
        <v>1123</v>
      </c>
      <c r="I100" s="263">
        <v>14</v>
      </c>
      <c r="J100" s="262" t="s">
        <v>689</v>
      </c>
      <c r="K100" s="263">
        <v>23</v>
      </c>
      <c r="L100" s="263">
        <v>6</v>
      </c>
      <c r="M100" s="265" t="s">
        <v>1130</v>
      </c>
      <c r="N100" s="77" t="s">
        <v>1131</v>
      </c>
      <c r="O100" s="263"/>
      <c r="P100" s="262"/>
      <c r="Q100" s="262"/>
      <c r="R100" s="262"/>
      <c r="S100" s="72" t="s">
        <v>693</v>
      </c>
      <c r="T100" s="72" t="s">
        <v>1096</v>
      </c>
      <c r="U100" s="77" t="s">
        <v>1132</v>
      </c>
      <c r="V100" s="262" t="s">
        <v>1133</v>
      </c>
      <c r="W100" s="262"/>
      <c r="X100" s="262" t="s">
        <v>697</v>
      </c>
      <c r="Y100" s="72" t="s">
        <v>1096</v>
      </c>
      <c r="Z100" s="77" t="s">
        <v>1132</v>
      </c>
      <c r="AA100" s="262"/>
    </row>
    <row r="101" spans="2:27" ht="36.75" hidden="1" customHeight="1">
      <c r="B101" s="262" t="s">
        <v>683</v>
      </c>
      <c r="C101" s="262" t="s">
        <v>1094</v>
      </c>
      <c r="D101" s="262" t="s">
        <v>1095</v>
      </c>
      <c r="E101" s="263">
        <v>0</v>
      </c>
      <c r="F101" s="262" t="s">
        <v>1134</v>
      </c>
      <c r="G101" s="262" t="s">
        <v>1135</v>
      </c>
      <c r="H101" s="262" t="s">
        <v>1123</v>
      </c>
      <c r="I101" s="263">
        <v>15</v>
      </c>
      <c r="J101" s="262" t="s">
        <v>689</v>
      </c>
      <c r="K101" s="263">
        <v>23</v>
      </c>
      <c r="L101" s="263">
        <v>6</v>
      </c>
      <c r="M101" s="265" t="s">
        <v>1136</v>
      </c>
      <c r="N101" s="77" t="s">
        <v>1137</v>
      </c>
      <c r="O101" s="263"/>
      <c r="P101" s="262"/>
      <c r="Q101" s="262"/>
      <c r="R101" s="262"/>
      <c r="S101" s="72" t="s">
        <v>693</v>
      </c>
      <c r="T101" s="72" t="s">
        <v>1096</v>
      </c>
      <c r="U101" s="77" t="s">
        <v>1138</v>
      </c>
      <c r="V101" s="262" t="s">
        <v>1139</v>
      </c>
      <c r="W101" s="262"/>
      <c r="X101" s="262" t="s">
        <v>697</v>
      </c>
      <c r="Y101" s="72" t="s">
        <v>1096</v>
      </c>
      <c r="Z101" s="77" t="s">
        <v>1138</v>
      </c>
      <c r="AA101" s="262"/>
    </row>
    <row r="102" spans="2:27" ht="36.75" hidden="1" customHeight="1">
      <c r="B102" s="262" t="s">
        <v>683</v>
      </c>
      <c r="C102" s="262" t="s">
        <v>1094</v>
      </c>
      <c r="D102" s="262" t="s">
        <v>1095</v>
      </c>
      <c r="E102" s="263">
        <v>0</v>
      </c>
      <c r="F102" s="262" t="s">
        <v>1140</v>
      </c>
      <c r="G102" s="262" t="s">
        <v>1141</v>
      </c>
      <c r="H102" s="262" t="s">
        <v>1142</v>
      </c>
      <c r="I102" s="263">
        <v>16</v>
      </c>
      <c r="J102" s="262" t="s">
        <v>689</v>
      </c>
      <c r="K102" s="263">
        <v>20</v>
      </c>
      <c r="L102" s="263"/>
      <c r="M102" s="265" t="s">
        <v>1143</v>
      </c>
      <c r="N102" s="77" t="s">
        <v>1144</v>
      </c>
      <c r="O102" s="263"/>
      <c r="P102" s="262"/>
      <c r="Q102" s="262"/>
      <c r="R102" s="262"/>
      <c r="S102" s="72" t="s">
        <v>693</v>
      </c>
      <c r="T102" s="72" t="s">
        <v>1096</v>
      </c>
      <c r="U102" s="77" t="s">
        <v>1145</v>
      </c>
      <c r="V102" s="265" t="s">
        <v>1146</v>
      </c>
      <c r="W102" s="262"/>
      <c r="X102" s="262" t="s">
        <v>697</v>
      </c>
      <c r="Y102" s="72" t="s">
        <v>1096</v>
      </c>
      <c r="Z102" s="77" t="s">
        <v>1145</v>
      </c>
      <c r="AA102" s="262"/>
    </row>
    <row r="103" spans="2:27" ht="36.75" hidden="1" customHeight="1">
      <c r="B103" s="262" t="s">
        <v>683</v>
      </c>
      <c r="C103" s="262" t="s">
        <v>1094</v>
      </c>
      <c r="D103" s="262" t="s">
        <v>1095</v>
      </c>
      <c r="E103" s="263">
        <v>0</v>
      </c>
      <c r="F103" s="262" t="s">
        <v>749</v>
      </c>
      <c r="G103" s="262" t="s">
        <v>750</v>
      </c>
      <c r="H103" s="262" t="s">
        <v>751</v>
      </c>
      <c r="I103" s="263">
        <v>17</v>
      </c>
      <c r="J103" s="262" t="s">
        <v>689</v>
      </c>
      <c r="K103" s="263">
        <v>20</v>
      </c>
      <c r="L103" s="263"/>
      <c r="M103" s="265" t="s">
        <v>752</v>
      </c>
      <c r="N103" s="77" t="s">
        <v>1147</v>
      </c>
      <c r="O103" s="263"/>
      <c r="P103" s="262"/>
      <c r="Q103" s="262"/>
      <c r="R103" s="262"/>
      <c r="S103" s="72" t="s">
        <v>693</v>
      </c>
      <c r="T103" s="72" t="s">
        <v>1096</v>
      </c>
      <c r="U103" s="77" t="s">
        <v>754</v>
      </c>
      <c r="V103" s="265" t="s">
        <v>1148</v>
      </c>
      <c r="W103" s="262"/>
      <c r="X103" s="262" t="s">
        <v>697</v>
      </c>
      <c r="Y103" s="72" t="s">
        <v>1096</v>
      </c>
      <c r="Z103" s="77" t="s">
        <v>754</v>
      </c>
      <c r="AA103" s="262"/>
    </row>
    <row r="104" spans="2:27" ht="36.75" hidden="1" customHeight="1">
      <c r="B104" s="262" t="s">
        <v>683</v>
      </c>
      <c r="C104" s="262" t="s">
        <v>1094</v>
      </c>
      <c r="D104" s="262" t="s">
        <v>1095</v>
      </c>
      <c r="E104" s="263">
        <v>0</v>
      </c>
      <c r="F104" s="262" t="s">
        <v>1149</v>
      </c>
      <c r="G104" s="262" t="s">
        <v>1150</v>
      </c>
      <c r="H104" s="262" t="s">
        <v>1151</v>
      </c>
      <c r="I104" s="263">
        <v>18</v>
      </c>
      <c r="J104" s="262" t="s">
        <v>689</v>
      </c>
      <c r="K104" s="263">
        <v>23</v>
      </c>
      <c r="L104" s="263">
        <v>6</v>
      </c>
      <c r="M104" s="265" t="s">
        <v>1152</v>
      </c>
      <c r="N104" s="77" t="s">
        <v>1153</v>
      </c>
      <c r="O104" s="263"/>
      <c r="P104" s="262"/>
      <c r="Q104" s="262"/>
      <c r="R104" s="262"/>
      <c r="S104" s="72" t="s">
        <v>693</v>
      </c>
      <c r="T104" s="72" t="s">
        <v>1096</v>
      </c>
      <c r="U104" s="77" t="s">
        <v>1154</v>
      </c>
      <c r="V104" s="262" t="s">
        <v>1155</v>
      </c>
      <c r="W104" s="262"/>
      <c r="X104" s="262" t="s">
        <v>697</v>
      </c>
      <c r="Y104" s="72" t="s">
        <v>1096</v>
      </c>
      <c r="Z104" s="77" t="s">
        <v>1154</v>
      </c>
      <c r="AA104" s="262"/>
    </row>
    <row r="105" spans="2:27" ht="36.75" hidden="1" customHeight="1">
      <c r="B105" s="262" t="s">
        <v>683</v>
      </c>
      <c r="C105" s="262" t="s">
        <v>1094</v>
      </c>
      <c r="D105" s="262" t="s">
        <v>1095</v>
      </c>
      <c r="E105" s="263">
        <v>0</v>
      </c>
      <c r="F105" s="262" t="s">
        <v>1156</v>
      </c>
      <c r="G105" s="262" t="s">
        <v>1157</v>
      </c>
      <c r="H105" s="262" t="s">
        <v>1158</v>
      </c>
      <c r="I105" s="263">
        <v>19</v>
      </c>
      <c r="J105" s="262" t="s">
        <v>689</v>
      </c>
      <c r="K105" s="263">
        <v>20</v>
      </c>
      <c r="L105" s="263"/>
      <c r="M105" s="265" t="s">
        <v>1159</v>
      </c>
      <c r="N105" s="77" t="s">
        <v>1160</v>
      </c>
      <c r="O105" s="263"/>
      <c r="P105" s="262"/>
      <c r="Q105" s="262"/>
      <c r="R105" s="262"/>
      <c r="S105" s="72" t="s">
        <v>693</v>
      </c>
      <c r="T105" s="72" t="s">
        <v>1096</v>
      </c>
      <c r="U105" s="77" t="s">
        <v>1161</v>
      </c>
      <c r="V105" s="262" t="s">
        <v>1162</v>
      </c>
      <c r="W105" s="262"/>
      <c r="X105" s="262" t="s">
        <v>697</v>
      </c>
      <c r="Y105" s="72" t="s">
        <v>1096</v>
      </c>
      <c r="Z105" s="77" t="s">
        <v>1161</v>
      </c>
      <c r="AA105" s="262"/>
    </row>
    <row r="106" spans="2:27" ht="36.75" hidden="1" customHeight="1">
      <c r="B106" s="269" t="s">
        <v>683</v>
      </c>
      <c r="C106" s="269" t="s">
        <v>1094</v>
      </c>
      <c r="D106" s="269" t="s">
        <v>1095</v>
      </c>
      <c r="E106" s="270">
        <v>0</v>
      </c>
      <c r="F106" s="269" t="s">
        <v>1163</v>
      </c>
      <c r="G106" s="269" t="s">
        <v>1164</v>
      </c>
      <c r="H106" s="269" t="s">
        <v>1165</v>
      </c>
      <c r="I106" s="270">
        <v>20</v>
      </c>
      <c r="J106" s="269" t="s">
        <v>689</v>
      </c>
      <c r="K106" s="270">
        <v>10</v>
      </c>
      <c r="L106" s="270"/>
      <c r="M106" s="271" t="s">
        <v>1166</v>
      </c>
      <c r="N106" s="269" t="s">
        <v>1167</v>
      </c>
      <c r="O106" s="270"/>
      <c r="P106" s="269"/>
      <c r="Q106" s="269"/>
      <c r="R106" s="269"/>
      <c r="S106" s="104"/>
      <c r="T106" s="103" t="s">
        <v>1096</v>
      </c>
      <c r="U106" s="103" t="s">
        <v>1168</v>
      </c>
      <c r="V106" s="269"/>
      <c r="W106" s="269"/>
      <c r="X106" s="269" t="s">
        <v>697</v>
      </c>
      <c r="Y106" s="103" t="s">
        <v>1096</v>
      </c>
      <c r="Z106" s="103" t="s">
        <v>1168</v>
      </c>
      <c r="AA106" s="269"/>
    </row>
    <row r="107" spans="2:27" ht="36.75" hidden="1" customHeight="1">
      <c r="B107" s="269" t="s">
        <v>683</v>
      </c>
      <c r="C107" s="269" t="s">
        <v>1094</v>
      </c>
      <c r="D107" s="269" t="s">
        <v>1095</v>
      </c>
      <c r="E107" s="270">
        <v>0</v>
      </c>
      <c r="F107" s="269" t="s">
        <v>1169</v>
      </c>
      <c r="G107" s="269" t="s">
        <v>1170</v>
      </c>
      <c r="H107" s="269" t="s">
        <v>1171</v>
      </c>
      <c r="I107" s="270">
        <v>21</v>
      </c>
      <c r="J107" s="269" t="s">
        <v>689</v>
      </c>
      <c r="K107" s="270">
        <v>10</v>
      </c>
      <c r="L107" s="270"/>
      <c r="M107" s="271" t="s">
        <v>1172</v>
      </c>
      <c r="N107" s="269" t="s">
        <v>1173</v>
      </c>
      <c r="O107" s="270"/>
      <c r="P107" s="269"/>
      <c r="Q107" s="269"/>
      <c r="R107" s="269"/>
      <c r="S107" s="104"/>
      <c r="T107" s="103" t="s">
        <v>1096</v>
      </c>
      <c r="U107" s="103" t="s">
        <v>1174</v>
      </c>
      <c r="V107" s="269"/>
      <c r="W107" s="269"/>
      <c r="X107" s="269" t="s">
        <v>697</v>
      </c>
      <c r="Y107" s="103" t="s">
        <v>1096</v>
      </c>
      <c r="Z107" s="103" t="s">
        <v>1174</v>
      </c>
      <c r="AA107" s="269"/>
    </row>
    <row r="108" spans="2:27" ht="36.75" hidden="1" customHeight="1">
      <c r="B108" s="269" t="s">
        <v>683</v>
      </c>
      <c r="C108" s="269" t="s">
        <v>1094</v>
      </c>
      <c r="D108" s="269" t="s">
        <v>1095</v>
      </c>
      <c r="E108" s="270">
        <v>0</v>
      </c>
      <c r="F108" s="269" t="s">
        <v>1175</v>
      </c>
      <c r="G108" s="269" t="s">
        <v>1176</v>
      </c>
      <c r="H108" s="269" t="s">
        <v>1165</v>
      </c>
      <c r="I108" s="270">
        <v>22</v>
      </c>
      <c r="J108" s="269" t="s">
        <v>689</v>
      </c>
      <c r="K108" s="270">
        <v>10</v>
      </c>
      <c r="L108" s="270"/>
      <c r="M108" s="271" t="s">
        <v>1177</v>
      </c>
      <c r="N108" s="269" t="s">
        <v>1178</v>
      </c>
      <c r="O108" s="270"/>
      <c r="P108" s="269"/>
      <c r="Q108" s="269"/>
      <c r="R108" s="269"/>
      <c r="S108" s="104"/>
      <c r="T108" s="103" t="s">
        <v>1096</v>
      </c>
      <c r="U108" s="103" t="s">
        <v>1179</v>
      </c>
      <c r="V108" s="269"/>
      <c r="W108" s="269"/>
      <c r="X108" s="269" t="s">
        <v>697</v>
      </c>
      <c r="Y108" s="103" t="s">
        <v>1096</v>
      </c>
      <c r="Z108" s="103" t="s">
        <v>1179</v>
      </c>
      <c r="AA108" s="269"/>
    </row>
    <row r="109" spans="2:27" ht="36.75" hidden="1" customHeight="1">
      <c r="B109" s="262" t="s">
        <v>683</v>
      </c>
      <c r="C109" s="262" t="s">
        <v>1094</v>
      </c>
      <c r="D109" s="262" t="s">
        <v>1095</v>
      </c>
      <c r="E109" s="263">
        <v>0</v>
      </c>
      <c r="F109" s="262" t="s">
        <v>1004</v>
      </c>
      <c r="G109" s="262" t="s">
        <v>1005</v>
      </c>
      <c r="H109" s="262" t="s">
        <v>1006</v>
      </c>
      <c r="I109" s="263">
        <v>23</v>
      </c>
      <c r="J109" s="262" t="s">
        <v>689</v>
      </c>
      <c r="K109" s="263">
        <v>3</v>
      </c>
      <c r="L109" s="263"/>
      <c r="M109" s="265" t="s">
        <v>1007</v>
      </c>
      <c r="N109" s="77" t="s">
        <v>1008</v>
      </c>
      <c r="O109" s="263"/>
      <c r="P109" s="265" t="s">
        <v>1009</v>
      </c>
      <c r="Q109" s="265"/>
      <c r="R109" s="265"/>
      <c r="S109" s="72" t="s">
        <v>693</v>
      </c>
      <c r="T109" s="72" t="s">
        <v>1096</v>
      </c>
      <c r="U109" s="77" t="s">
        <v>1010</v>
      </c>
      <c r="V109" s="262" t="s">
        <v>1180</v>
      </c>
      <c r="W109" s="262"/>
      <c r="X109" s="262" t="s">
        <v>697</v>
      </c>
      <c r="Y109" s="72" t="s">
        <v>1096</v>
      </c>
      <c r="Z109" s="77" t="s">
        <v>1010</v>
      </c>
      <c r="AA109" s="262"/>
    </row>
    <row r="110" spans="2:27" ht="36.75" hidden="1" customHeight="1">
      <c r="B110" s="262" t="s">
        <v>683</v>
      </c>
      <c r="C110" s="262" t="s">
        <v>1094</v>
      </c>
      <c r="D110" s="262" t="s">
        <v>1095</v>
      </c>
      <c r="E110" s="263">
        <v>0</v>
      </c>
      <c r="F110" s="77" t="s">
        <v>782</v>
      </c>
      <c r="G110" s="262" t="s">
        <v>783</v>
      </c>
      <c r="H110" s="76" t="s">
        <v>784</v>
      </c>
      <c r="I110" s="263">
        <v>24</v>
      </c>
      <c r="J110" s="262" t="s">
        <v>689</v>
      </c>
      <c r="K110" s="263">
        <v>10</v>
      </c>
      <c r="L110" s="263"/>
      <c r="M110" s="265" t="s">
        <v>785</v>
      </c>
      <c r="N110" s="77" t="s">
        <v>786</v>
      </c>
      <c r="O110" s="263" t="s">
        <v>692</v>
      </c>
      <c r="P110" s="262"/>
      <c r="Q110" s="262"/>
      <c r="R110" s="262"/>
      <c r="S110" s="72" t="s">
        <v>693</v>
      </c>
      <c r="T110" s="72" t="s">
        <v>1096</v>
      </c>
      <c r="U110" s="77" t="s">
        <v>787</v>
      </c>
      <c r="V110" s="262" t="s">
        <v>1181</v>
      </c>
      <c r="W110" s="262"/>
      <c r="X110" s="262" t="s">
        <v>697</v>
      </c>
      <c r="Y110" s="72" t="s">
        <v>1096</v>
      </c>
      <c r="Z110" s="77" t="s">
        <v>787</v>
      </c>
      <c r="AA110" s="262"/>
    </row>
    <row r="111" spans="2:27" ht="36.75" hidden="1" customHeight="1">
      <c r="B111" s="262" t="s">
        <v>683</v>
      </c>
      <c r="C111" s="262" t="s">
        <v>1094</v>
      </c>
      <c r="D111" s="262" t="s">
        <v>1095</v>
      </c>
      <c r="E111" s="263">
        <v>0</v>
      </c>
      <c r="F111" s="77" t="s">
        <v>789</v>
      </c>
      <c r="G111" s="262" t="s">
        <v>790</v>
      </c>
      <c r="H111" s="76" t="s">
        <v>791</v>
      </c>
      <c r="I111" s="263">
        <v>25</v>
      </c>
      <c r="J111" s="262" t="s">
        <v>792</v>
      </c>
      <c r="K111" s="263">
        <v>23</v>
      </c>
      <c r="L111" s="263"/>
      <c r="M111" s="265" t="s">
        <v>793</v>
      </c>
      <c r="N111" s="262" t="s">
        <v>794</v>
      </c>
      <c r="O111" s="263"/>
      <c r="P111" s="262"/>
      <c r="Q111" s="262"/>
      <c r="R111" s="262"/>
      <c r="S111" s="72" t="s">
        <v>693</v>
      </c>
      <c r="T111" s="72" t="s">
        <v>1096</v>
      </c>
      <c r="U111" s="262"/>
      <c r="V111" s="262" t="s">
        <v>795</v>
      </c>
      <c r="W111" s="262"/>
      <c r="X111" s="262"/>
      <c r="Y111" s="262"/>
      <c r="Z111" s="262"/>
      <c r="AA111" s="262"/>
    </row>
    <row r="112" spans="2:27" ht="36.75" hidden="1" customHeight="1">
      <c r="B112" s="262" t="s">
        <v>683</v>
      </c>
      <c r="C112" s="262" t="s">
        <v>1182</v>
      </c>
      <c r="D112" s="262" t="s">
        <v>1183</v>
      </c>
      <c r="E112" s="263">
        <v>0</v>
      </c>
      <c r="F112" s="77" t="s">
        <v>827</v>
      </c>
      <c r="G112" s="262" t="s">
        <v>828</v>
      </c>
      <c r="H112" s="262" t="s">
        <v>800</v>
      </c>
      <c r="I112" s="263">
        <v>1</v>
      </c>
      <c r="J112" s="262" t="s">
        <v>689</v>
      </c>
      <c r="K112" s="263">
        <v>2</v>
      </c>
      <c r="L112" s="263"/>
      <c r="M112" s="74" t="s">
        <v>829</v>
      </c>
      <c r="N112" s="77" t="s">
        <v>830</v>
      </c>
      <c r="O112" s="263" t="s">
        <v>692</v>
      </c>
      <c r="P112" s="262"/>
      <c r="Q112" s="262"/>
      <c r="R112" s="262"/>
      <c r="S112" s="72" t="s">
        <v>693</v>
      </c>
      <c r="T112" s="72" t="s">
        <v>1184</v>
      </c>
      <c r="U112" s="77" t="s">
        <v>141</v>
      </c>
      <c r="V112" s="262" t="s">
        <v>1185</v>
      </c>
      <c r="W112" s="262"/>
      <c r="X112" s="262" t="s">
        <v>697</v>
      </c>
      <c r="Y112" s="72" t="s">
        <v>1184</v>
      </c>
      <c r="Z112" s="77" t="s">
        <v>141</v>
      </c>
      <c r="AA112" s="262"/>
    </row>
    <row r="113" spans="2:27" ht="36.75" hidden="1" customHeight="1">
      <c r="B113" s="262" t="s">
        <v>683</v>
      </c>
      <c r="C113" s="262" t="s">
        <v>1182</v>
      </c>
      <c r="D113" s="262" t="s">
        <v>1183</v>
      </c>
      <c r="E113" s="263">
        <v>0</v>
      </c>
      <c r="F113" s="77" t="s">
        <v>832</v>
      </c>
      <c r="G113" s="262" t="s">
        <v>833</v>
      </c>
      <c r="H113" s="262" t="s">
        <v>808</v>
      </c>
      <c r="I113" s="263">
        <v>2</v>
      </c>
      <c r="J113" s="262" t="s">
        <v>689</v>
      </c>
      <c r="K113" s="263">
        <v>20</v>
      </c>
      <c r="L113" s="263"/>
      <c r="M113" s="265" t="s">
        <v>834</v>
      </c>
      <c r="N113" s="77" t="s">
        <v>1037</v>
      </c>
      <c r="O113" s="263" t="s">
        <v>692</v>
      </c>
      <c r="P113" s="265" t="s">
        <v>811</v>
      </c>
      <c r="Q113" s="265"/>
      <c r="R113" s="265"/>
      <c r="S113" s="72" t="s">
        <v>693</v>
      </c>
      <c r="T113" s="72" t="s">
        <v>1184</v>
      </c>
      <c r="U113" s="77" t="s">
        <v>836</v>
      </c>
      <c r="V113" s="262" t="s">
        <v>1186</v>
      </c>
      <c r="W113" s="262"/>
      <c r="X113" s="262" t="s">
        <v>697</v>
      </c>
      <c r="Y113" s="72" t="s">
        <v>1184</v>
      </c>
      <c r="Z113" s="77" t="s">
        <v>836</v>
      </c>
      <c r="AA113" s="262"/>
    </row>
    <row r="114" spans="2:27" ht="36.75" hidden="1" customHeight="1">
      <c r="B114" s="262" t="s">
        <v>683</v>
      </c>
      <c r="C114" s="262" t="s">
        <v>1182</v>
      </c>
      <c r="D114" s="262" t="s">
        <v>1183</v>
      </c>
      <c r="E114" s="263">
        <v>0</v>
      </c>
      <c r="F114" s="77" t="s">
        <v>838</v>
      </c>
      <c r="G114" s="262" t="s">
        <v>839</v>
      </c>
      <c r="H114" s="262" t="s">
        <v>800</v>
      </c>
      <c r="I114" s="263">
        <v>3</v>
      </c>
      <c r="J114" s="262" t="s">
        <v>689</v>
      </c>
      <c r="K114" s="263">
        <v>11</v>
      </c>
      <c r="L114" s="263"/>
      <c r="M114" s="265" t="s">
        <v>840</v>
      </c>
      <c r="N114" s="77" t="s">
        <v>1039</v>
      </c>
      <c r="O114" s="263" t="s">
        <v>692</v>
      </c>
      <c r="P114" s="262"/>
      <c r="Q114" s="262"/>
      <c r="R114" s="262"/>
      <c r="S114" s="72" t="s">
        <v>693</v>
      </c>
      <c r="T114" s="72" t="s">
        <v>1184</v>
      </c>
      <c r="U114" s="77" t="s">
        <v>842</v>
      </c>
      <c r="V114" s="262" t="s">
        <v>1187</v>
      </c>
      <c r="W114" s="262"/>
      <c r="X114" s="262" t="s">
        <v>697</v>
      </c>
      <c r="Y114" s="72" t="s">
        <v>1184</v>
      </c>
      <c r="Z114" s="77" t="s">
        <v>842</v>
      </c>
      <c r="AA114" s="262"/>
    </row>
    <row r="115" spans="2:27" ht="36.75" hidden="1" customHeight="1">
      <c r="B115" s="262" t="s">
        <v>683</v>
      </c>
      <c r="C115" s="262" t="s">
        <v>1182</v>
      </c>
      <c r="D115" s="262" t="s">
        <v>1183</v>
      </c>
      <c r="E115" s="263">
        <v>0</v>
      </c>
      <c r="F115" s="77" t="s">
        <v>844</v>
      </c>
      <c r="G115" s="262" t="s">
        <v>845</v>
      </c>
      <c r="H115" s="262" t="s">
        <v>808</v>
      </c>
      <c r="I115" s="263">
        <v>4</v>
      </c>
      <c r="J115" s="262" t="s">
        <v>689</v>
      </c>
      <c r="K115" s="263">
        <v>20</v>
      </c>
      <c r="L115" s="263"/>
      <c r="M115" s="265" t="s">
        <v>846</v>
      </c>
      <c r="N115" s="77" t="s">
        <v>1041</v>
      </c>
      <c r="O115" s="263" t="s">
        <v>692</v>
      </c>
      <c r="P115" s="262"/>
      <c r="Q115" s="262"/>
      <c r="R115" s="262"/>
      <c r="S115" s="72" t="s">
        <v>693</v>
      </c>
      <c r="T115" s="72" t="s">
        <v>1184</v>
      </c>
      <c r="U115" s="77" t="s">
        <v>848</v>
      </c>
      <c r="V115" s="262" t="s">
        <v>1188</v>
      </c>
      <c r="W115" s="262"/>
      <c r="X115" s="262" t="s">
        <v>697</v>
      </c>
      <c r="Y115" s="72" t="s">
        <v>1184</v>
      </c>
      <c r="Z115" s="77" t="s">
        <v>848</v>
      </c>
      <c r="AA115" s="262"/>
    </row>
    <row r="116" spans="2:27" ht="36.75" hidden="1" customHeight="1">
      <c r="B116" s="262" t="s">
        <v>683</v>
      </c>
      <c r="C116" s="262" t="s">
        <v>1182</v>
      </c>
      <c r="D116" s="262" t="s">
        <v>1183</v>
      </c>
      <c r="E116" s="263">
        <v>0</v>
      </c>
      <c r="F116" s="262" t="s">
        <v>850</v>
      </c>
      <c r="G116" s="262" t="s">
        <v>851</v>
      </c>
      <c r="H116" s="262" t="s">
        <v>800</v>
      </c>
      <c r="I116" s="263">
        <v>5</v>
      </c>
      <c r="J116" s="262" t="s">
        <v>689</v>
      </c>
      <c r="K116" s="263">
        <v>2</v>
      </c>
      <c r="L116" s="263"/>
      <c r="M116" s="74" t="s">
        <v>1189</v>
      </c>
      <c r="N116" s="77" t="s">
        <v>1190</v>
      </c>
      <c r="O116" s="263" t="s">
        <v>692</v>
      </c>
      <c r="P116" s="262"/>
      <c r="Q116" s="262"/>
      <c r="R116" s="262"/>
      <c r="S116" s="72" t="s">
        <v>693</v>
      </c>
      <c r="T116" s="72" t="s">
        <v>1184</v>
      </c>
      <c r="U116" s="77" t="s">
        <v>855</v>
      </c>
      <c r="V116" s="262" t="s">
        <v>1191</v>
      </c>
      <c r="W116" s="262"/>
      <c r="X116" s="262" t="s">
        <v>697</v>
      </c>
      <c r="Y116" s="72" t="s">
        <v>1184</v>
      </c>
      <c r="Z116" s="77" t="s">
        <v>855</v>
      </c>
      <c r="AA116" s="262"/>
    </row>
    <row r="117" spans="2:27" ht="36.75" hidden="1" customHeight="1">
      <c r="B117" s="262" t="s">
        <v>683</v>
      </c>
      <c r="C117" s="262" t="s">
        <v>1182</v>
      </c>
      <c r="D117" s="262" t="s">
        <v>1183</v>
      </c>
      <c r="E117" s="263">
        <v>0</v>
      </c>
      <c r="F117" s="262" t="s">
        <v>857</v>
      </c>
      <c r="G117" s="262" t="s">
        <v>858</v>
      </c>
      <c r="H117" s="262" t="s">
        <v>808</v>
      </c>
      <c r="I117" s="263">
        <v>6</v>
      </c>
      <c r="J117" s="262" t="s">
        <v>689</v>
      </c>
      <c r="K117" s="263">
        <v>20</v>
      </c>
      <c r="L117" s="263"/>
      <c r="M117" s="265" t="s">
        <v>1021</v>
      </c>
      <c r="N117" s="77" t="s">
        <v>1192</v>
      </c>
      <c r="O117" s="263" t="s">
        <v>692</v>
      </c>
      <c r="P117" s="265" t="s">
        <v>811</v>
      </c>
      <c r="Q117" s="265"/>
      <c r="R117" s="265"/>
      <c r="S117" s="72" t="s">
        <v>693</v>
      </c>
      <c r="T117" s="72" t="s">
        <v>1184</v>
      </c>
      <c r="U117" s="77" t="s">
        <v>369</v>
      </c>
      <c r="V117" s="262" t="s">
        <v>1193</v>
      </c>
      <c r="W117" s="262"/>
      <c r="X117" s="262" t="s">
        <v>697</v>
      </c>
      <c r="Y117" s="72" t="s">
        <v>1184</v>
      </c>
      <c r="Z117" s="77" t="s">
        <v>369</v>
      </c>
      <c r="AA117" s="262"/>
    </row>
    <row r="118" spans="2:27" ht="36.75" hidden="1" customHeight="1">
      <c r="B118" s="262" t="s">
        <v>683</v>
      </c>
      <c r="C118" s="262" t="s">
        <v>1182</v>
      </c>
      <c r="D118" s="262" t="s">
        <v>1183</v>
      </c>
      <c r="E118" s="263">
        <v>0</v>
      </c>
      <c r="F118" s="262" t="s">
        <v>863</v>
      </c>
      <c r="G118" s="262" t="s">
        <v>864</v>
      </c>
      <c r="H118" s="262" t="s">
        <v>800</v>
      </c>
      <c r="I118" s="263">
        <v>7</v>
      </c>
      <c r="J118" s="262" t="s">
        <v>689</v>
      </c>
      <c r="K118" s="263">
        <v>30</v>
      </c>
      <c r="L118" s="263"/>
      <c r="M118" s="265" t="s">
        <v>865</v>
      </c>
      <c r="N118" s="77" t="s">
        <v>1194</v>
      </c>
      <c r="O118" s="263" t="s">
        <v>692</v>
      </c>
      <c r="P118" s="262"/>
      <c r="Q118" s="262"/>
      <c r="R118" s="262"/>
      <c r="S118" s="72" t="s">
        <v>693</v>
      </c>
      <c r="T118" s="72" t="s">
        <v>1184</v>
      </c>
      <c r="U118" s="72" t="s">
        <v>867</v>
      </c>
      <c r="V118" s="262" t="s">
        <v>1195</v>
      </c>
      <c r="W118" s="262"/>
      <c r="X118" s="262" t="s">
        <v>697</v>
      </c>
      <c r="Y118" s="72" t="s">
        <v>1184</v>
      </c>
      <c r="Z118" s="72" t="s">
        <v>867</v>
      </c>
      <c r="AA118" s="262"/>
    </row>
    <row r="119" spans="2:27" ht="36.75" hidden="1" customHeight="1">
      <c r="B119" s="262" t="s">
        <v>683</v>
      </c>
      <c r="C119" s="262" t="s">
        <v>1182</v>
      </c>
      <c r="D119" s="262" t="s">
        <v>1183</v>
      </c>
      <c r="E119" s="263">
        <v>0</v>
      </c>
      <c r="F119" s="262" t="s">
        <v>869</v>
      </c>
      <c r="G119" s="262" t="s">
        <v>870</v>
      </c>
      <c r="H119" s="262" t="s">
        <v>808</v>
      </c>
      <c r="I119" s="263">
        <v>8</v>
      </c>
      <c r="J119" s="262" t="s">
        <v>689</v>
      </c>
      <c r="K119" s="263">
        <v>20</v>
      </c>
      <c r="L119" s="263"/>
      <c r="M119" s="265" t="s">
        <v>871</v>
      </c>
      <c r="N119" s="77" t="s">
        <v>1196</v>
      </c>
      <c r="O119" s="263" t="s">
        <v>692</v>
      </c>
      <c r="P119" s="262"/>
      <c r="Q119" s="262"/>
      <c r="R119" s="262"/>
      <c r="S119" s="72" t="s">
        <v>693</v>
      </c>
      <c r="T119" s="72" t="s">
        <v>1184</v>
      </c>
      <c r="U119" s="77" t="s">
        <v>873</v>
      </c>
      <c r="V119" s="262" t="s">
        <v>1197</v>
      </c>
      <c r="W119" s="262"/>
      <c r="X119" s="262" t="s">
        <v>697</v>
      </c>
      <c r="Y119" s="72" t="s">
        <v>1184</v>
      </c>
      <c r="Z119" s="77" t="s">
        <v>873</v>
      </c>
      <c r="AA119" s="262"/>
    </row>
    <row r="120" spans="2:27" ht="36.75" hidden="1" customHeight="1">
      <c r="B120" s="262" t="s">
        <v>683</v>
      </c>
      <c r="C120" s="262" t="s">
        <v>1182</v>
      </c>
      <c r="D120" s="262" t="s">
        <v>1183</v>
      </c>
      <c r="E120" s="263">
        <v>0</v>
      </c>
      <c r="F120" s="262" t="s">
        <v>763</v>
      </c>
      <c r="G120" s="262" t="s">
        <v>764</v>
      </c>
      <c r="H120" s="262" t="s">
        <v>765</v>
      </c>
      <c r="I120" s="263">
        <v>9</v>
      </c>
      <c r="J120" s="262" t="s">
        <v>689</v>
      </c>
      <c r="K120" s="263">
        <v>10</v>
      </c>
      <c r="L120" s="263"/>
      <c r="M120" s="265" t="s">
        <v>766</v>
      </c>
      <c r="N120" s="77" t="s">
        <v>767</v>
      </c>
      <c r="O120" s="263" t="s">
        <v>692</v>
      </c>
      <c r="P120" s="262"/>
      <c r="Q120" s="262"/>
      <c r="R120" s="262"/>
      <c r="S120" s="72" t="s">
        <v>693</v>
      </c>
      <c r="T120" s="72" t="s">
        <v>1184</v>
      </c>
      <c r="U120" s="77" t="s">
        <v>451</v>
      </c>
      <c r="V120" s="262" t="s">
        <v>1198</v>
      </c>
      <c r="W120" s="262"/>
      <c r="X120" s="262" t="s">
        <v>697</v>
      </c>
      <c r="Y120" s="72" t="s">
        <v>1184</v>
      </c>
      <c r="Z120" s="77" t="s">
        <v>451</v>
      </c>
      <c r="AA120" s="262"/>
    </row>
    <row r="121" spans="2:27" ht="36.75" hidden="1" customHeight="1">
      <c r="B121" s="269" t="s">
        <v>683</v>
      </c>
      <c r="C121" s="269" t="s">
        <v>1182</v>
      </c>
      <c r="D121" s="269" t="s">
        <v>1183</v>
      </c>
      <c r="E121" s="270">
        <v>0</v>
      </c>
      <c r="F121" s="269" t="s">
        <v>880</v>
      </c>
      <c r="G121" s="269" t="s">
        <v>881</v>
      </c>
      <c r="H121" s="269" t="s">
        <v>765</v>
      </c>
      <c r="I121" s="270">
        <v>10</v>
      </c>
      <c r="J121" s="269" t="s">
        <v>689</v>
      </c>
      <c r="K121" s="270">
        <v>10</v>
      </c>
      <c r="L121" s="270"/>
      <c r="M121" s="271" t="s">
        <v>882</v>
      </c>
      <c r="N121" s="105" t="s">
        <v>883</v>
      </c>
      <c r="O121" s="270"/>
      <c r="P121" s="269"/>
      <c r="Q121" s="269"/>
      <c r="R121" s="269"/>
      <c r="S121" s="104"/>
      <c r="T121" s="103" t="s">
        <v>1184</v>
      </c>
      <c r="U121" s="105" t="s">
        <v>884</v>
      </c>
      <c r="V121" s="269"/>
      <c r="W121" s="269"/>
      <c r="X121" s="269" t="s">
        <v>697</v>
      </c>
      <c r="Y121" s="103" t="s">
        <v>1184</v>
      </c>
      <c r="Z121" s="105" t="s">
        <v>884</v>
      </c>
      <c r="AA121" s="269"/>
    </row>
    <row r="122" spans="2:27" ht="36.75" hidden="1" customHeight="1">
      <c r="B122" s="262" t="s">
        <v>683</v>
      </c>
      <c r="C122" s="262" t="s">
        <v>1182</v>
      </c>
      <c r="D122" s="262" t="s">
        <v>1183</v>
      </c>
      <c r="E122" s="263">
        <v>0</v>
      </c>
      <c r="F122" s="262" t="s">
        <v>1199</v>
      </c>
      <c r="G122" s="262" t="s">
        <v>1200</v>
      </c>
      <c r="H122" s="262" t="s">
        <v>1201</v>
      </c>
      <c r="I122" s="263">
        <v>11</v>
      </c>
      <c r="J122" s="262" t="s">
        <v>689</v>
      </c>
      <c r="K122" s="263">
        <v>20</v>
      </c>
      <c r="L122" s="263"/>
      <c r="M122" s="265" t="s">
        <v>1202</v>
      </c>
      <c r="N122" s="77" t="s">
        <v>1203</v>
      </c>
      <c r="O122" s="263"/>
      <c r="P122" s="265" t="s">
        <v>1204</v>
      </c>
      <c r="Q122" s="265"/>
      <c r="R122" s="265"/>
      <c r="S122" s="72" t="s">
        <v>693</v>
      </c>
      <c r="T122" s="72" t="s">
        <v>1184</v>
      </c>
      <c r="U122" s="77" t="s">
        <v>1205</v>
      </c>
      <c r="V122" s="262" t="s">
        <v>1206</v>
      </c>
      <c r="W122" s="262"/>
      <c r="X122" s="262" t="s">
        <v>697</v>
      </c>
      <c r="Y122" s="72" t="s">
        <v>1184</v>
      </c>
      <c r="Z122" s="77" t="s">
        <v>1205</v>
      </c>
      <c r="AA122" s="262"/>
    </row>
    <row r="123" spans="2:27" ht="36.75" hidden="1" customHeight="1">
      <c r="B123" s="262" t="s">
        <v>683</v>
      </c>
      <c r="C123" s="262" t="s">
        <v>1182</v>
      </c>
      <c r="D123" s="262" t="s">
        <v>1183</v>
      </c>
      <c r="E123" s="263">
        <v>0</v>
      </c>
      <c r="F123" s="262" t="s">
        <v>1207</v>
      </c>
      <c r="G123" s="262" t="s">
        <v>1208</v>
      </c>
      <c r="H123" s="262" t="s">
        <v>1201</v>
      </c>
      <c r="I123" s="263">
        <v>12</v>
      </c>
      <c r="J123" s="262" t="s">
        <v>689</v>
      </c>
      <c r="K123" s="263">
        <v>20</v>
      </c>
      <c r="L123" s="263"/>
      <c r="M123" s="265" t="s">
        <v>1209</v>
      </c>
      <c r="N123" s="77" t="s">
        <v>1210</v>
      </c>
      <c r="O123" s="263"/>
      <c r="P123" s="265" t="s">
        <v>1211</v>
      </c>
      <c r="Q123" s="265"/>
      <c r="R123" s="265"/>
      <c r="S123" s="72" t="s">
        <v>693</v>
      </c>
      <c r="T123" s="72" t="s">
        <v>1184</v>
      </c>
      <c r="U123" s="77" t="s">
        <v>42</v>
      </c>
      <c r="V123" s="265" t="s">
        <v>1212</v>
      </c>
      <c r="W123" s="262"/>
      <c r="X123" s="262" t="s">
        <v>697</v>
      </c>
      <c r="Y123" s="72" t="s">
        <v>1184</v>
      </c>
      <c r="Z123" s="77" t="s">
        <v>42</v>
      </c>
      <c r="AA123" s="262"/>
    </row>
    <row r="124" spans="2:27" ht="36.75" hidden="1" customHeight="1">
      <c r="B124" s="262" t="s">
        <v>683</v>
      </c>
      <c r="C124" s="262" t="s">
        <v>1182</v>
      </c>
      <c r="D124" s="262" t="s">
        <v>1183</v>
      </c>
      <c r="E124" s="263">
        <v>0</v>
      </c>
      <c r="F124" s="264" t="s">
        <v>721</v>
      </c>
      <c r="G124" s="262" t="s">
        <v>722</v>
      </c>
      <c r="H124" s="262" t="s">
        <v>1045</v>
      </c>
      <c r="I124" s="263">
        <v>13</v>
      </c>
      <c r="J124" s="262" t="s">
        <v>689</v>
      </c>
      <c r="K124" s="263">
        <v>20</v>
      </c>
      <c r="L124" s="263"/>
      <c r="M124" s="265" t="s">
        <v>723</v>
      </c>
      <c r="N124" s="77" t="s">
        <v>1213</v>
      </c>
      <c r="O124" s="263"/>
      <c r="P124" s="262"/>
      <c r="Q124" s="262"/>
      <c r="R124" s="262"/>
      <c r="S124" s="72" t="s">
        <v>693</v>
      </c>
      <c r="T124" s="72" t="s">
        <v>1184</v>
      </c>
      <c r="U124" s="77" t="s">
        <v>725</v>
      </c>
      <c r="V124" s="265" t="s">
        <v>1214</v>
      </c>
      <c r="W124" s="262"/>
      <c r="X124" s="262" t="s">
        <v>697</v>
      </c>
      <c r="Y124" s="72" t="s">
        <v>1184</v>
      </c>
      <c r="Z124" s="77" t="s">
        <v>725</v>
      </c>
      <c r="AA124" s="262"/>
    </row>
    <row r="125" spans="2:27" ht="36.75" hidden="1" customHeight="1">
      <c r="B125" s="262" t="s">
        <v>683</v>
      </c>
      <c r="C125" s="262" t="s">
        <v>1182</v>
      </c>
      <c r="D125" s="262" t="s">
        <v>1183</v>
      </c>
      <c r="E125" s="263">
        <v>0</v>
      </c>
      <c r="F125" s="262" t="s">
        <v>1215</v>
      </c>
      <c r="G125" s="262" t="s">
        <v>1216</v>
      </c>
      <c r="H125" s="262" t="s">
        <v>688</v>
      </c>
      <c r="I125" s="263">
        <v>14</v>
      </c>
      <c r="J125" s="262" t="s">
        <v>689</v>
      </c>
      <c r="K125" s="263">
        <v>20</v>
      </c>
      <c r="L125" s="263"/>
      <c r="M125" s="265" t="s">
        <v>1217</v>
      </c>
      <c r="N125" s="77" t="s">
        <v>1218</v>
      </c>
      <c r="O125" s="263"/>
      <c r="P125" s="265" t="s">
        <v>1219</v>
      </c>
      <c r="Q125" s="265"/>
      <c r="R125" s="265"/>
      <c r="S125" s="72" t="s">
        <v>693</v>
      </c>
      <c r="T125" s="72" t="s">
        <v>1184</v>
      </c>
      <c r="U125" s="77" t="s">
        <v>1220</v>
      </c>
      <c r="V125" s="265" t="s">
        <v>1221</v>
      </c>
      <c r="W125" s="262"/>
      <c r="X125" s="262" t="s">
        <v>697</v>
      </c>
      <c r="Y125" s="72" t="s">
        <v>1184</v>
      </c>
      <c r="Z125" s="77" t="s">
        <v>1220</v>
      </c>
      <c r="AA125" s="262"/>
    </row>
    <row r="126" spans="2:27" ht="36.75" hidden="1" customHeight="1">
      <c r="B126" s="269" t="s">
        <v>683</v>
      </c>
      <c r="C126" s="269" t="s">
        <v>1182</v>
      </c>
      <c r="D126" s="269" t="s">
        <v>1183</v>
      </c>
      <c r="E126" s="270">
        <v>0</v>
      </c>
      <c r="F126" s="269" t="s">
        <v>1163</v>
      </c>
      <c r="G126" s="269" t="s">
        <v>1164</v>
      </c>
      <c r="H126" s="269" t="s">
        <v>915</v>
      </c>
      <c r="I126" s="270">
        <v>15</v>
      </c>
      <c r="J126" s="269" t="s">
        <v>689</v>
      </c>
      <c r="K126" s="270">
        <v>10</v>
      </c>
      <c r="L126" s="270"/>
      <c r="M126" s="271" t="s">
        <v>1222</v>
      </c>
      <c r="N126" s="269" t="s">
        <v>1167</v>
      </c>
      <c r="O126" s="270"/>
      <c r="P126" s="269"/>
      <c r="Q126" s="269"/>
      <c r="R126" s="269"/>
      <c r="S126" s="104"/>
      <c r="T126" s="103" t="s">
        <v>1184</v>
      </c>
      <c r="U126" s="269" t="s">
        <v>1168</v>
      </c>
      <c r="V126" s="269"/>
      <c r="W126" s="269"/>
      <c r="X126" s="269" t="s">
        <v>697</v>
      </c>
      <c r="Y126" s="103" t="s">
        <v>1184</v>
      </c>
      <c r="Z126" s="269" t="s">
        <v>1168</v>
      </c>
      <c r="AA126" s="269"/>
    </row>
    <row r="127" spans="2:27" ht="36.75" hidden="1" customHeight="1">
      <c r="B127" s="269" t="s">
        <v>683</v>
      </c>
      <c r="C127" s="269" t="s">
        <v>1182</v>
      </c>
      <c r="D127" s="269" t="s">
        <v>1183</v>
      </c>
      <c r="E127" s="270">
        <v>0</v>
      </c>
      <c r="F127" s="269" t="s">
        <v>1169</v>
      </c>
      <c r="G127" s="269" t="s">
        <v>1170</v>
      </c>
      <c r="H127" s="269" t="s">
        <v>915</v>
      </c>
      <c r="I127" s="270">
        <v>16</v>
      </c>
      <c r="J127" s="269" t="s">
        <v>689</v>
      </c>
      <c r="K127" s="270">
        <v>10</v>
      </c>
      <c r="L127" s="270"/>
      <c r="M127" s="271" t="s">
        <v>1223</v>
      </c>
      <c r="N127" s="269" t="s">
        <v>1173</v>
      </c>
      <c r="O127" s="270"/>
      <c r="P127" s="269"/>
      <c r="Q127" s="269"/>
      <c r="R127" s="269"/>
      <c r="S127" s="104"/>
      <c r="T127" s="103" t="s">
        <v>1184</v>
      </c>
      <c r="U127" s="103" t="s">
        <v>1174</v>
      </c>
      <c r="V127" s="269"/>
      <c r="W127" s="269"/>
      <c r="X127" s="269" t="s">
        <v>697</v>
      </c>
      <c r="Y127" s="103" t="s">
        <v>1184</v>
      </c>
      <c r="Z127" s="103" t="s">
        <v>1174</v>
      </c>
      <c r="AA127" s="269"/>
    </row>
    <row r="128" spans="2:27" ht="36.75" hidden="1" customHeight="1">
      <c r="B128" s="269" t="s">
        <v>683</v>
      </c>
      <c r="C128" s="269" t="s">
        <v>1182</v>
      </c>
      <c r="D128" s="269" t="s">
        <v>1183</v>
      </c>
      <c r="E128" s="270">
        <v>0</v>
      </c>
      <c r="F128" s="269" t="s">
        <v>1175</v>
      </c>
      <c r="G128" s="269" t="s">
        <v>1176</v>
      </c>
      <c r="H128" s="269" t="s">
        <v>915</v>
      </c>
      <c r="I128" s="270">
        <v>17</v>
      </c>
      <c r="J128" s="269" t="s">
        <v>689</v>
      </c>
      <c r="K128" s="270">
        <v>10</v>
      </c>
      <c r="L128" s="270"/>
      <c r="M128" s="271" t="s">
        <v>1224</v>
      </c>
      <c r="N128" s="106" t="s">
        <v>1178</v>
      </c>
      <c r="O128" s="270"/>
      <c r="P128" s="269"/>
      <c r="Q128" s="269"/>
      <c r="R128" s="269"/>
      <c r="S128" s="104"/>
      <c r="T128" s="103" t="s">
        <v>1184</v>
      </c>
      <c r="U128" s="103" t="s">
        <v>1179</v>
      </c>
      <c r="V128" s="269"/>
      <c r="W128" s="269"/>
      <c r="X128" s="269" t="s">
        <v>697</v>
      </c>
      <c r="Y128" s="103" t="s">
        <v>1184</v>
      </c>
      <c r="Z128" s="103" t="s">
        <v>1179</v>
      </c>
      <c r="AA128" s="269"/>
    </row>
    <row r="129" spans="2:27" ht="36.75" hidden="1" customHeight="1">
      <c r="B129" s="262" t="s">
        <v>683</v>
      </c>
      <c r="C129" s="262" t="s">
        <v>1182</v>
      </c>
      <c r="D129" s="262" t="s">
        <v>1183</v>
      </c>
      <c r="E129" s="263">
        <v>0</v>
      </c>
      <c r="F129" s="262" t="s">
        <v>1225</v>
      </c>
      <c r="G129" s="262" t="s">
        <v>735</v>
      </c>
      <c r="H129" s="262" t="s">
        <v>928</v>
      </c>
      <c r="I129" s="263">
        <v>18</v>
      </c>
      <c r="J129" s="262" t="s">
        <v>689</v>
      </c>
      <c r="K129" s="263">
        <v>23</v>
      </c>
      <c r="L129" s="263">
        <v>6</v>
      </c>
      <c r="M129" s="265" t="s">
        <v>1226</v>
      </c>
      <c r="N129" s="87" t="s">
        <v>1227</v>
      </c>
      <c r="O129" s="263"/>
      <c r="P129" s="262"/>
      <c r="Q129" s="262"/>
      <c r="R129" s="262"/>
      <c r="S129" s="72" t="s">
        <v>693</v>
      </c>
      <c r="T129" s="72" t="s">
        <v>1184</v>
      </c>
      <c r="U129" s="72" t="s">
        <v>1228</v>
      </c>
      <c r="V129" s="262" t="s">
        <v>1229</v>
      </c>
      <c r="W129" s="262"/>
      <c r="X129" s="262" t="s">
        <v>697</v>
      </c>
      <c r="Y129" s="72" t="s">
        <v>1184</v>
      </c>
      <c r="Z129" s="72" t="s">
        <v>1228</v>
      </c>
      <c r="AA129" s="262"/>
    </row>
    <row r="130" spans="2:27" ht="36.75" hidden="1" customHeight="1">
      <c r="B130" s="262" t="s">
        <v>683</v>
      </c>
      <c r="C130" s="262" t="s">
        <v>1182</v>
      </c>
      <c r="D130" s="262" t="s">
        <v>1183</v>
      </c>
      <c r="E130" s="263">
        <v>0</v>
      </c>
      <c r="F130" s="262" t="s">
        <v>1230</v>
      </c>
      <c r="G130" s="262" t="s">
        <v>1231</v>
      </c>
      <c r="H130" s="262" t="s">
        <v>1232</v>
      </c>
      <c r="I130" s="263">
        <v>19</v>
      </c>
      <c r="J130" s="262" t="s">
        <v>689</v>
      </c>
      <c r="K130" s="263"/>
      <c r="L130" s="263"/>
      <c r="M130" s="265" t="s">
        <v>1233</v>
      </c>
      <c r="N130" s="77" t="s">
        <v>1234</v>
      </c>
      <c r="O130" s="263"/>
      <c r="P130" s="262"/>
      <c r="Q130" s="262"/>
      <c r="R130" s="262"/>
      <c r="S130" s="72" t="s">
        <v>693</v>
      </c>
      <c r="T130" s="72" t="s">
        <v>1184</v>
      </c>
      <c r="U130" s="77" t="s">
        <v>1235</v>
      </c>
      <c r="V130" s="262" t="s">
        <v>1236</v>
      </c>
      <c r="W130" s="262"/>
      <c r="X130" s="262" t="s">
        <v>697</v>
      </c>
      <c r="Y130" s="72" t="s">
        <v>1184</v>
      </c>
      <c r="Z130" s="77" t="s">
        <v>1235</v>
      </c>
      <c r="AA130" s="262"/>
    </row>
    <row r="131" spans="2:27" ht="36.75" hidden="1" customHeight="1">
      <c r="B131" s="262" t="s">
        <v>683</v>
      </c>
      <c r="C131" s="262" t="s">
        <v>1182</v>
      </c>
      <c r="D131" s="262" t="s">
        <v>1183</v>
      </c>
      <c r="E131" s="263">
        <v>0</v>
      </c>
      <c r="F131" s="262" t="s">
        <v>1004</v>
      </c>
      <c r="G131" s="262" t="s">
        <v>1005</v>
      </c>
      <c r="H131" s="262" t="s">
        <v>1006</v>
      </c>
      <c r="I131" s="263">
        <v>20</v>
      </c>
      <c r="J131" s="262" t="s">
        <v>689</v>
      </c>
      <c r="K131" s="263">
        <v>3</v>
      </c>
      <c r="L131" s="263"/>
      <c r="M131" s="265" t="s">
        <v>1007</v>
      </c>
      <c r="N131" s="77" t="s">
        <v>1008</v>
      </c>
      <c r="O131" s="263"/>
      <c r="P131" s="265" t="s">
        <v>1009</v>
      </c>
      <c r="Q131" s="265"/>
      <c r="R131" s="265"/>
      <c r="S131" s="72" t="s">
        <v>693</v>
      </c>
      <c r="T131" s="72" t="s">
        <v>1184</v>
      </c>
      <c r="U131" s="77" t="s">
        <v>1010</v>
      </c>
      <c r="V131" s="262" t="s">
        <v>1237</v>
      </c>
      <c r="W131" s="262"/>
      <c r="X131" s="262" t="s">
        <v>697</v>
      </c>
      <c r="Y131" s="72" t="s">
        <v>1184</v>
      </c>
      <c r="Z131" s="77" t="s">
        <v>1010</v>
      </c>
      <c r="AA131" s="262"/>
    </row>
    <row r="132" spans="2:27" ht="36.75" hidden="1" customHeight="1">
      <c r="B132" s="262" t="s">
        <v>683</v>
      </c>
      <c r="C132" s="262" t="s">
        <v>1182</v>
      </c>
      <c r="D132" s="262" t="s">
        <v>1183</v>
      </c>
      <c r="E132" s="263">
        <v>0</v>
      </c>
      <c r="F132" s="77" t="s">
        <v>782</v>
      </c>
      <c r="G132" s="262" t="s">
        <v>783</v>
      </c>
      <c r="H132" s="76" t="s">
        <v>784</v>
      </c>
      <c r="I132" s="263">
        <v>21</v>
      </c>
      <c r="J132" s="262" t="s">
        <v>689</v>
      </c>
      <c r="K132" s="263">
        <v>10</v>
      </c>
      <c r="L132" s="263"/>
      <c r="M132" s="265" t="s">
        <v>785</v>
      </c>
      <c r="N132" s="92" t="s">
        <v>786</v>
      </c>
      <c r="O132" s="263" t="s">
        <v>692</v>
      </c>
      <c r="P132" s="262"/>
      <c r="Q132" s="262"/>
      <c r="R132" s="262"/>
      <c r="S132" s="72" t="s">
        <v>693</v>
      </c>
      <c r="T132" s="72" t="s">
        <v>1184</v>
      </c>
      <c r="U132" s="77" t="s">
        <v>787</v>
      </c>
      <c r="V132" s="262" t="s">
        <v>1238</v>
      </c>
      <c r="W132" s="262"/>
      <c r="X132" s="262" t="s">
        <v>697</v>
      </c>
      <c r="Y132" s="72" t="s">
        <v>1184</v>
      </c>
      <c r="Z132" s="77" t="s">
        <v>787</v>
      </c>
      <c r="AA132" s="262"/>
    </row>
    <row r="133" spans="2:27" ht="36.75" hidden="1" customHeight="1">
      <c r="B133" s="262" t="s">
        <v>683</v>
      </c>
      <c r="C133" s="262" t="s">
        <v>1182</v>
      </c>
      <c r="D133" s="262" t="s">
        <v>1183</v>
      </c>
      <c r="E133" s="263">
        <v>0</v>
      </c>
      <c r="F133" s="77" t="s">
        <v>789</v>
      </c>
      <c r="G133" s="262" t="s">
        <v>790</v>
      </c>
      <c r="H133" s="76" t="s">
        <v>791</v>
      </c>
      <c r="I133" s="263">
        <v>22</v>
      </c>
      <c r="J133" s="262" t="s">
        <v>792</v>
      </c>
      <c r="K133" s="263">
        <v>23</v>
      </c>
      <c r="L133" s="263"/>
      <c r="M133" s="265" t="s">
        <v>793</v>
      </c>
      <c r="N133" s="267" t="s">
        <v>794</v>
      </c>
      <c r="O133" s="263"/>
      <c r="P133" s="262"/>
      <c r="Q133" s="262"/>
      <c r="R133" s="262"/>
      <c r="S133" s="72" t="s">
        <v>693</v>
      </c>
      <c r="T133" s="72" t="s">
        <v>1184</v>
      </c>
      <c r="U133" s="262"/>
      <c r="V133" s="262" t="s">
        <v>795</v>
      </c>
      <c r="W133" s="262"/>
      <c r="X133" s="262"/>
      <c r="Y133" s="262"/>
      <c r="Z133" s="262"/>
      <c r="AA133" s="262"/>
    </row>
    <row r="134" spans="2:27" ht="36.75" hidden="1" customHeight="1">
      <c r="B134" s="262" t="s">
        <v>683</v>
      </c>
      <c r="C134" s="262" t="s">
        <v>1239</v>
      </c>
      <c r="D134" s="262" t="s">
        <v>1240</v>
      </c>
      <c r="E134" s="263">
        <v>0</v>
      </c>
      <c r="F134" s="77" t="s">
        <v>827</v>
      </c>
      <c r="G134" s="262" t="s">
        <v>828</v>
      </c>
      <c r="H134" s="262" t="s">
        <v>800</v>
      </c>
      <c r="I134" s="263">
        <v>1</v>
      </c>
      <c r="J134" s="262" t="s">
        <v>689</v>
      </c>
      <c r="K134" s="263">
        <v>2</v>
      </c>
      <c r="L134" s="263"/>
      <c r="M134" s="74" t="s">
        <v>829</v>
      </c>
      <c r="N134" s="82" t="s">
        <v>830</v>
      </c>
      <c r="O134" s="263" t="s">
        <v>692</v>
      </c>
      <c r="P134" s="262"/>
      <c r="Q134" s="262"/>
      <c r="R134" s="262"/>
      <c r="S134" s="72" t="s">
        <v>693</v>
      </c>
      <c r="T134" s="72" t="s">
        <v>1241</v>
      </c>
      <c r="U134" s="83" t="s">
        <v>141</v>
      </c>
      <c r="V134" s="262" t="s">
        <v>1242</v>
      </c>
      <c r="W134" s="262"/>
      <c r="X134" s="262" t="s">
        <v>697</v>
      </c>
      <c r="Y134" s="72" t="s">
        <v>1241</v>
      </c>
      <c r="Z134" s="83" t="s">
        <v>141</v>
      </c>
      <c r="AA134" s="262"/>
    </row>
    <row r="135" spans="2:27" ht="36.75" hidden="1" customHeight="1">
      <c r="B135" s="262" t="s">
        <v>683</v>
      </c>
      <c r="C135" s="262" t="s">
        <v>1239</v>
      </c>
      <c r="D135" s="262" t="s">
        <v>1240</v>
      </c>
      <c r="E135" s="263">
        <v>0</v>
      </c>
      <c r="F135" s="77" t="s">
        <v>832</v>
      </c>
      <c r="G135" s="262" t="s">
        <v>833</v>
      </c>
      <c r="H135" s="262" t="s">
        <v>808</v>
      </c>
      <c r="I135" s="263">
        <v>2</v>
      </c>
      <c r="J135" s="262" t="s">
        <v>689</v>
      </c>
      <c r="K135" s="263">
        <v>20</v>
      </c>
      <c r="L135" s="263"/>
      <c r="M135" s="265" t="s">
        <v>834</v>
      </c>
      <c r="N135" s="82" t="s">
        <v>1037</v>
      </c>
      <c r="O135" s="263" t="s">
        <v>692</v>
      </c>
      <c r="P135" s="265" t="s">
        <v>811</v>
      </c>
      <c r="Q135" s="265"/>
      <c r="R135" s="265"/>
      <c r="S135" s="72" t="s">
        <v>693</v>
      </c>
      <c r="T135" s="72" t="s">
        <v>1241</v>
      </c>
      <c r="U135" s="83" t="s">
        <v>836</v>
      </c>
      <c r="V135" s="262" t="s">
        <v>1243</v>
      </c>
      <c r="W135" s="262"/>
      <c r="X135" s="262" t="s">
        <v>697</v>
      </c>
      <c r="Y135" s="72" t="s">
        <v>1241</v>
      </c>
      <c r="Z135" s="83" t="s">
        <v>836</v>
      </c>
      <c r="AA135" s="262"/>
    </row>
    <row r="136" spans="2:27" ht="36.75" hidden="1" customHeight="1">
      <c r="B136" s="262" t="s">
        <v>683</v>
      </c>
      <c r="C136" s="262" t="s">
        <v>1239</v>
      </c>
      <c r="D136" s="262" t="s">
        <v>1240</v>
      </c>
      <c r="E136" s="263">
        <v>0</v>
      </c>
      <c r="F136" s="77" t="s">
        <v>838</v>
      </c>
      <c r="G136" s="262" t="s">
        <v>839</v>
      </c>
      <c r="H136" s="262" t="s">
        <v>800</v>
      </c>
      <c r="I136" s="263">
        <v>3</v>
      </c>
      <c r="J136" s="262" t="s">
        <v>689</v>
      </c>
      <c r="K136" s="263">
        <v>11</v>
      </c>
      <c r="L136" s="263"/>
      <c r="M136" s="265" t="s">
        <v>840</v>
      </c>
      <c r="N136" s="82" t="s">
        <v>1039</v>
      </c>
      <c r="O136" s="263" t="s">
        <v>692</v>
      </c>
      <c r="P136" s="262"/>
      <c r="Q136" s="262"/>
      <c r="R136" s="262"/>
      <c r="S136" s="72" t="s">
        <v>693</v>
      </c>
      <c r="T136" s="72" t="s">
        <v>1241</v>
      </c>
      <c r="U136" s="83" t="s">
        <v>842</v>
      </c>
      <c r="V136" s="262" t="s">
        <v>1244</v>
      </c>
      <c r="W136" s="262"/>
      <c r="X136" s="262" t="s">
        <v>697</v>
      </c>
      <c r="Y136" s="72" t="s">
        <v>1241</v>
      </c>
      <c r="Z136" s="83" t="s">
        <v>842</v>
      </c>
      <c r="AA136" s="262"/>
    </row>
    <row r="137" spans="2:27" ht="36.75" hidden="1" customHeight="1">
      <c r="B137" s="262" t="s">
        <v>683</v>
      </c>
      <c r="C137" s="262" t="s">
        <v>1239</v>
      </c>
      <c r="D137" s="262" t="s">
        <v>1240</v>
      </c>
      <c r="E137" s="263">
        <v>0</v>
      </c>
      <c r="F137" s="77" t="s">
        <v>844</v>
      </c>
      <c r="G137" s="262" t="s">
        <v>845</v>
      </c>
      <c r="H137" s="262" t="s">
        <v>808</v>
      </c>
      <c r="I137" s="263">
        <v>4</v>
      </c>
      <c r="J137" s="262" t="s">
        <v>689</v>
      </c>
      <c r="K137" s="263">
        <v>20</v>
      </c>
      <c r="L137" s="263"/>
      <c r="M137" s="265" t="s">
        <v>846</v>
      </c>
      <c r="N137" s="82" t="s">
        <v>1041</v>
      </c>
      <c r="O137" s="263" t="s">
        <v>692</v>
      </c>
      <c r="P137" s="262"/>
      <c r="Q137" s="262"/>
      <c r="R137" s="262"/>
      <c r="S137" s="72" t="s">
        <v>693</v>
      </c>
      <c r="T137" s="72" t="s">
        <v>1241</v>
      </c>
      <c r="U137" s="83" t="s">
        <v>848</v>
      </c>
      <c r="V137" s="262" t="s">
        <v>1245</v>
      </c>
      <c r="W137" s="262"/>
      <c r="X137" s="262" t="s">
        <v>697</v>
      </c>
      <c r="Y137" s="72" t="s">
        <v>1241</v>
      </c>
      <c r="Z137" s="83" t="s">
        <v>848</v>
      </c>
      <c r="AA137" s="262"/>
    </row>
    <row r="138" spans="2:27" ht="36.75" hidden="1" customHeight="1">
      <c r="B138" s="262" t="s">
        <v>683</v>
      </c>
      <c r="C138" s="262" t="s">
        <v>1239</v>
      </c>
      <c r="D138" s="262" t="s">
        <v>1240</v>
      </c>
      <c r="E138" s="263">
        <v>0</v>
      </c>
      <c r="F138" s="262" t="s">
        <v>850</v>
      </c>
      <c r="G138" s="262" t="s">
        <v>851</v>
      </c>
      <c r="H138" s="262" t="s">
        <v>800</v>
      </c>
      <c r="I138" s="263">
        <v>5</v>
      </c>
      <c r="J138" s="262" t="s">
        <v>689</v>
      </c>
      <c r="K138" s="263">
        <v>2</v>
      </c>
      <c r="L138" s="263"/>
      <c r="M138" s="74" t="s">
        <v>1246</v>
      </c>
      <c r="N138" s="82" t="s">
        <v>1247</v>
      </c>
      <c r="O138" s="263" t="s">
        <v>692</v>
      </c>
      <c r="P138" s="262"/>
      <c r="Q138" s="262"/>
      <c r="R138" s="262"/>
      <c r="S138" s="72" t="s">
        <v>693</v>
      </c>
      <c r="T138" s="72" t="s">
        <v>1241</v>
      </c>
      <c r="U138" s="77" t="s">
        <v>855</v>
      </c>
      <c r="V138" s="262" t="s">
        <v>1248</v>
      </c>
      <c r="W138" s="262"/>
      <c r="X138" s="262" t="s">
        <v>697</v>
      </c>
      <c r="Y138" s="72" t="s">
        <v>1241</v>
      </c>
      <c r="Z138" s="77" t="s">
        <v>855</v>
      </c>
      <c r="AA138" s="262"/>
    </row>
    <row r="139" spans="2:27" ht="36.75" hidden="1" customHeight="1">
      <c r="B139" s="262" t="s">
        <v>683</v>
      </c>
      <c r="C139" s="262" t="s">
        <v>1239</v>
      </c>
      <c r="D139" s="262" t="s">
        <v>1240</v>
      </c>
      <c r="E139" s="263">
        <v>0</v>
      </c>
      <c r="F139" s="262" t="s">
        <v>857</v>
      </c>
      <c r="G139" s="262" t="s">
        <v>858</v>
      </c>
      <c r="H139" s="262" t="s">
        <v>808</v>
      </c>
      <c r="I139" s="263">
        <v>6</v>
      </c>
      <c r="J139" s="262" t="s">
        <v>689</v>
      </c>
      <c r="K139" s="263">
        <v>20</v>
      </c>
      <c r="L139" s="263"/>
      <c r="M139" s="265" t="s">
        <v>1021</v>
      </c>
      <c r="N139" s="82" t="s">
        <v>1249</v>
      </c>
      <c r="O139" s="263" t="s">
        <v>692</v>
      </c>
      <c r="P139" s="265" t="s">
        <v>811</v>
      </c>
      <c r="Q139" s="265"/>
      <c r="R139" s="265"/>
      <c r="S139" s="72" t="s">
        <v>693</v>
      </c>
      <c r="T139" s="72" t="s">
        <v>1241</v>
      </c>
      <c r="U139" s="77" t="s">
        <v>369</v>
      </c>
      <c r="V139" s="262" t="s">
        <v>1250</v>
      </c>
      <c r="W139" s="262"/>
      <c r="X139" s="262" t="s">
        <v>697</v>
      </c>
      <c r="Y139" s="72" t="s">
        <v>1241</v>
      </c>
      <c r="Z139" s="77" t="s">
        <v>369</v>
      </c>
      <c r="AA139" s="262"/>
    </row>
    <row r="140" spans="2:27" ht="36.75" hidden="1" customHeight="1">
      <c r="B140" s="262" t="s">
        <v>683</v>
      </c>
      <c r="C140" s="262" t="s">
        <v>1239</v>
      </c>
      <c r="D140" s="262" t="s">
        <v>1240</v>
      </c>
      <c r="E140" s="263">
        <v>0</v>
      </c>
      <c r="F140" s="262" t="s">
        <v>863</v>
      </c>
      <c r="G140" s="262" t="s">
        <v>864</v>
      </c>
      <c r="H140" s="262" t="s">
        <v>800</v>
      </c>
      <c r="I140" s="263">
        <v>7</v>
      </c>
      <c r="J140" s="262" t="s">
        <v>689</v>
      </c>
      <c r="K140" s="263">
        <v>30</v>
      </c>
      <c r="L140" s="263"/>
      <c r="M140" s="265" t="s">
        <v>865</v>
      </c>
      <c r="N140" s="82" t="s">
        <v>1251</v>
      </c>
      <c r="O140" s="263" t="s">
        <v>692</v>
      </c>
      <c r="P140" s="262"/>
      <c r="Q140" s="262"/>
      <c r="R140" s="262"/>
      <c r="S140" s="72" t="s">
        <v>693</v>
      </c>
      <c r="T140" s="72" t="s">
        <v>1241</v>
      </c>
      <c r="U140" s="72" t="s">
        <v>867</v>
      </c>
      <c r="V140" s="262" t="s">
        <v>1252</v>
      </c>
      <c r="W140" s="262"/>
      <c r="X140" s="262" t="s">
        <v>697</v>
      </c>
      <c r="Y140" s="72" t="s">
        <v>1241</v>
      </c>
      <c r="Z140" s="72" t="s">
        <v>867</v>
      </c>
      <c r="AA140" s="262"/>
    </row>
    <row r="141" spans="2:27" ht="36.75" hidden="1" customHeight="1">
      <c r="B141" s="262" t="s">
        <v>683</v>
      </c>
      <c r="C141" s="262" t="s">
        <v>1239</v>
      </c>
      <c r="D141" s="262" t="s">
        <v>1240</v>
      </c>
      <c r="E141" s="263">
        <v>0</v>
      </c>
      <c r="F141" s="262" t="s">
        <v>869</v>
      </c>
      <c r="G141" s="262" t="s">
        <v>870</v>
      </c>
      <c r="H141" s="262" t="s">
        <v>859</v>
      </c>
      <c r="I141" s="263">
        <v>8</v>
      </c>
      <c r="J141" s="262" t="s">
        <v>689</v>
      </c>
      <c r="K141" s="263">
        <v>20</v>
      </c>
      <c r="L141" s="263"/>
      <c r="M141" s="265" t="s">
        <v>871</v>
      </c>
      <c r="N141" s="82" t="s">
        <v>1253</v>
      </c>
      <c r="O141" s="263" t="s">
        <v>692</v>
      </c>
      <c r="P141" s="262"/>
      <c r="Q141" s="262"/>
      <c r="R141" s="262"/>
      <c r="S141" s="72" t="s">
        <v>693</v>
      </c>
      <c r="T141" s="72" t="s">
        <v>1241</v>
      </c>
      <c r="U141" s="77" t="s">
        <v>873</v>
      </c>
      <c r="V141" s="262" t="s">
        <v>1254</v>
      </c>
      <c r="W141" s="262"/>
      <c r="X141" s="262" t="s">
        <v>697</v>
      </c>
      <c r="Y141" s="72" t="s">
        <v>1241</v>
      </c>
      <c r="Z141" s="77" t="s">
        <v>873</v>
      </c>
      <c r="AA141" s="262"/>
    </row>
    <row r="142" spans="2:27" ht="36.75" hidden="1" customHeight="1">
      <c r="B142" s="262" t="s">
        <v>683</v>
      </c>
      <c r="C142" s="262" t="s">
        <v>1239</v>
      </c>
      <c r="D142" s="262" t="s">
        <v>1240</v>
      </c>
      <c r="E142" s="263">
        <v>0</v>
      </c>
      <c r="F142" s="262" t="s">
        <v>1255</v>
      </c>
      <c r="G142" s="262" t="s">
        <v>1256</v>
      </c>
      <c r="H142" s="262" t="s">
        <v>707</v>
      </c>
      <c r="I142" s="263">
        <v>9</v>
      </c>
      <c r="J142" s="262" t="s">
        <v>689</v>
      </c>
      <c r="K142" s="263">
        <v>20</v>
      </c>
      <c r="L142" s="263"/>
      <c r="M142" s="265" t="s">
        <v>1257</v>
      </c>
      <c r="N142" s="77" t="s">
        <v>1258</v>
      </c>
      <c r="O142" s="263"/>
      <c r="P142" s="265" t="s">
        <v>1259</v>
      </c>
      <c r="Q142" s="265"/>
      <c r="R142" s="265"/>
      <c r="S142" s="72" t="s">
        <v>693</v>
      </c>
      <c r="T142" s="72" t="s">
        <v>1241</v>
      </c>
      <c r="U142" s="77" t="s">
        <v>1260</v>
      </c>
      <c r="V142" s="265" t="s">
        <v>1261</v>
      </c>
      <c r="W142" s="262"/>
      <c r="X142" s="262" t="s">
        <v>697</v>
      </c>
      <c r="Y142" s="72" t="s">
        <v>1241</v>
      </c>
      <c r="Z142" s="77" t="s">
        <v>1260</v>
      </c>
      <c r="AA142" s="262"/>
    </row>
    <row r="143" spans="2:27" ht="36.75" hidden="1" customHeight="1">
      <c r="B143" s="262" t="s">
        <v>683</v>
      </c>
      <c r="C143" s="262" t="s">
        <v>1239</v>
      </c>
      <c r="D143" s="262" t="s">
        <v>1240</v>
      </c>
      <c r="E143" s="263">
        <v>0</v>
      </c>
      <c r="F143" s="264" t="s">
        <v>721</v>
      </c>
      <c r="G143" s="262" t="s">
        <v>722</v>
      </c>
      <c r="H143" s="262" t="s">
        <v>688</v>
      </c>
      <c r="I143" s="263">
        <v>10</v>
      </c>
      <c r="J143" s="262" t="s">
        <v>689</v>
      </c>
      <c r="K143" s="263">
        <v>20</v>
      </c>
      <c r="L143" s="263"/>
      <c r="M143" s="265" t="s">
        <v>723</v>
      </c>
      <c r="N143" s="82" t="s">
        <v>1262</v>
      </c>
      <c r="O143" s="263"/>
      <c r="P143" s="262"/>
      <c r="Q143" s="262"/>
      <c r="R143" s="262"/>
      <c r="S143" s="72" t="s">
        <v>693</v>
      </c>
      <c r="T143" s="72" t="s">
        <v>1241</v>
      </c>
      <c r="U143" s="77" t="s">
        <v>725</v>
      </c>
      <c r="V143" s="262" t="s">
        <v>1263</v>
      </c>
      <c r="W143" s="262"/>
      <c r="X143" s="262" t="s">
        <v>697</v>
      </c>
      <c r="Y143" s="72" t="s">
        <v>1241</v>
      </c>
      <c r="Z143" s="77" t="s">
        <v>725</v>
      </c>
      <c r="AA143" s="262"/>
    </row>
    <row r="144" spans="2:27" ht="36.75" hidden="1" customHeight="1">
      <c r="B144" s="269" t="s">
        <v>683</v>
      </c>
      <c r="C144" s="269" t="s">
        <v>1239</v>
      </c>
      <c r="D144" s="269" t="s">
        <v>1240</v>
      </c>
      <c r="E144" s="270">
        <v>0</v>
      </c>
      <c r="F144" s="269" t="s">
        <v>1163</v>
      </c>
      <c r="G144" s="269" t="s">
        <v>1164</v>
      </c>
      <c r="H144" s="269" t="s">
        <v>915</v>
      </c>
      <c r="I144" s="270">
        <v>11</v>
      </c>
      <c r="J144" s="269" t="s">
        <v>689</v>
      </c>
      <c r="K144" s="270">
        <v>10</v>
      </c>
      <c r="L144" s="270"/>
      <c r="M144" s="271" t="s">
        <v>1264</v>
      </c>
      <c r="N144" s="106" t="s">
        <v>1265</v>
      </c>
      <c r="O144" s="270"/>
      <c r="P144" s="269"/>
      <c r="Q144" s="269"/>
      <c r="R144" s="269"/>
      <c r="S144" s="104"/>
      <c r="T144" s="103" t="s">
        <v>1241</v>
      </c>
      <c r="U144" s="103" t="s">
        <v>1168</v>
      </c>
      <c r="V144" s="269"/>
      <c r="W144" s="269"/>
      <c r="X144" s="269" t="s">
        <v>697</v>
      </c>
      <c r="Y144" s="103" t="s">
        <v>1241</v>
      </c>
      <c r="Z144" s="103" t="s">
        <v>1168</v>
      </c>
      <c r="AA144" s="269"/>
    </row>
    <row r="145" spans="2:27" ht="36.75" hidden="1" customHeight="1">
      <c r="B145" s="269" t="s">
        <v>683</v>
      </c>
      <c r="C145" s="269" t="s">
        <v>1239</v>
      </c>
      <c r="D145" s="269" t="s">
        <v>1240</v>
      </c>
      <c r="E145" s="270">
        <v>0</v>
      </c>
      <c r="F145" s="276" t="s">
        <v>1169</v>
      </c>
      <c r="G145" s="269" t="s">
        <v>1170</v>
      </c>
      <c r="H145" s="269" t="s">
        <v>915</v>
      </c>
      <c r="I145" s="270">
        <v>12</v>
      </c>
      <c r="J145" s="269" t="s">
        <v>689</v>
      </c>
      <c r="K145" s="270">
        <v>10</v>
      </c>
      <c r="L145" s="270"/>
      <c r="M145" s="271" t="s">
        <v>1266</v>
      </c>
      <c r="N145" s="269" t="s">
        <v>1267</v>
      </c>
      <c r="O145" s="270"/>
      <c r="P145" s="269"/>
      <c r="Q145" s="269"/>
      <c r="R145" s="269"/>
      <c r="S145" s="104"/>
      <c r="T145" s="103" t="s">
        <v>1241</v>
      </c>
      <c r="U145" s="103" t="s">
        <v>1174</v>
      </c>
      <c r="V145" s="269"/>
      <c r="W145" s="269"/>
      <c r="X145" s="269" t="s">
        <v>697</v>
      </c>
      <c r="Y145" s="103" t="s">
        <v>1241</v>
      </c>
      <c r="Z145" s="103" t="s">
        <v>1174</v>
      </c>
      <c r="AA145" s="269"/>
    </row>
    <row r="146" spans="2:27" ht="36.75" hidden="1" customHeight="1">
      <c r="B146" s="269" t="s">
        <v>683</v>
      </c>
      <c r="C146" s="269" t="s">
        <v>1239</v>
      </c>
      <c r="D146" s="269" t="s">
        <v>1240</v>
      </c>
      <c r="E146" s="270">
        <v>0</v>
      </c>
      <c r="F146" s="276" t="s">
        <v>1175</v>
      </c>
      <c r="G146" s="269" t="s">
        <v>1176</v>
      </c>
      <c r="H146" s="269" t="s">
        <v>915</v>
      </c>
      <c r="I146" s="270">
        <v>13</v>
      </c>
      <c r="J146" s="269" t="s">
        <v>689</v>
      </c>
      <c r="K146" s="270">
        <v>10</v>
      </c>
      <c r="L146" s="270"/>
      <c r="M146" s="271" t="s">
        <v>1268</v>
      </c>
      <c r="N146" s="269" t="s">
        <v>1178</v>
      </c>
      <c r="O146" s="270"/>
      <c r="P146" s="269"/>
      <c r="Q146" s="269"/>
      <c r="R146" s="269"/>
      <c r="S146" s="104"/>
      <c r="T146" s="103" t="s">
        <v>1241</v>
      </c>
      <c r="U146" s="103" t="s">
        <v>1179</v>
      </c>
      <c r="V146" s="269"/>
      <c r="W146" s="269"/>
      <c r="X146" s="269" t="s">
        <v>697</v>
      </c>
      <c r="Y146" s="103" t="s">
        <v>1241</v>
      </c>
      <c r="Z146" s="103" t="s">
        <v>1179</v>
      </c>
      <c r="AA146" s="269"/>
    </row>
    <row r="147" spans="2:27" ht="36.75" hidden="1" customHeight="1">
      <c r="B147" s="262" t="s">
        <v>683</v>
      </c>
      <c r="C147" s="262" t="s">
        <v>1239</v>
      </c>
      <c r="D147" s="262" t="s">
        <v>1240</v>
      </c>
      <c r="E147" s="263">
        <v>0</v>
      </c>
      <c r="F147" s="262" t="s">
        <v>1225</v>
      </c>
      <c r="G147" s="262" t="s">
        <v>735</v>
      </c>
      <c r="H147" s="262" t="s">
        <v>928</v>
      </c>
      <c r="I147" s="263">
        <v>14</v>
      </c>
      <c r="J147" s="262" t="s">
        <v>689</v>
      </c>
      <c r="K147" s="263">
        <v>23</v>
      </c>
      <c r="L147" s="263">
        <v>6</v>
      </c>
      <c r="M147" s="265" t="s">
        <v>1269</v>
      </c>
      <c r="N147" s="82" t="s">
        <v>1227</v>
      </c>
      <c r="O147" s="263"/>
      <c r="P147" s="262"/>
      <c r="Q147" s="262"/>
      <c r="R147" s="262"/>
      <c r="S147" s="72" t="s">
        <v>693</v>
      </c>
      <c r="T147" s="72" t="s">
        <v>1241</v>
      </c>
      <c r="U147" s="77" t="s">
        <v>1228</v>
      </c>
      <c r="V147" s="262" t="s">
        <v>1270</v>
      </c>
      <c r="W147" s="262"/>
      <c r="X147" s="262" t="s">
        <v>697</v>
      </c>
      <c r="Y147" s="72" t="s">
        <v>1241</v>
      </c>
      <c r="Z147" s="77" t="s">
        <v>1228</v>
      </c>
      <c r="AA147" s="262"/>
    </row>
    <row r="148" spans="2:27" ht="36.75" hidden="1" customHeight="1">
      <c r="B148" s="262" t="s">
        <v>683</v>
      </c>
      <c r="C148" s="262" t="s">
        <v>1239</v>
      </c>
      <c r="D148" s="262" t="s">
        <v>1240</v>
      </c>
      <c r="E148" s="263">
        <v>0</v>
      </c>
      <c r="F148" s="262" t="s">
        <v>1004</v>
      </c>
      <c r="G148" s="262" t="s">
        <v>1005</v>
      </c>
      <c r="H148" s="262" t="s">
        <v>1006</v>
      </c>
      <c r="I148" s="263">
        <v>15</v>
      </c>
      <c r="J148" s="262" t="s">
        <v>689</v>
      </c>
      <c r="K148" s="263">
        <v>3</v>
      </c>
      <c r="L148" s="263"/>
      <c r="M148" s="265" t="s">
        <v>1007</v>
      </c>
      <c r="N148" s="82" t="s">
        <v>1271</v>
      </c>
      <c r="O148" s="263"/>
      <c r="P148" s="265" t="s">
        <v>1009</v>
      </c>
      <c r="Q148" s="265"/>
      <c r="R148" s="265"/>
      <c r="S148" s="72" t="s">
        <v>693</v>
      </c>
      <c r="T148" s="72" t="s">
        <v>1241</v>
      </c>
      <c r="U148" s="77" t="s">
        <v>1010</v>
      </c>
      <c r="V148" s="262" t="s">
        <v>1272</v>
      </c>
      <c r="W148" s="262"/>
      <c r="X148" s="262" t="s">
        <v>697</v>
      </c>
      <c r="Y148" s="72" t="s">
        <v>1241</v>
      </c>
      <c r="Z148" s="77" t="s">
        <v>1010</v>
      </c>
      <c r="AA148" s="262"/>
    </row>
    <row r="149" spans="2:27" ht="36.75" hidden="1" customHeight="1">
      <c r="B149" s="262" t="s">
        <v>683</v>
      </c>
      <c r="C149" s="262" t="s">
        <v>1239</v>
      </c>
      <c r="D149" s="262" t="s">
        <v>1240</v>
      </c>
      <c r="E149" s="263">
        <v>0</v>
      </c>
      <c r="F149" s="77" t="s">
        <v>782</v>
      </c>
      <c r="G149" s="262" t="s">
        <v>783</v>
      </c>
      <c r="H149" s="76" t="s">
        <v>784</v>
      </c>
      <c r="I149" s="263">
        <v>16</v>
      </c>
      <c r="J149" s="262" t="s">
        <v>689</v>
      </c>
      <c r="K149" s="263">
        <v>10</v>
      </c>
      <c r="L149" s="263"/>
      <c r="M149" s="265" t="s">
        <v>785</v>
      </c>
      <c r="N149" s="82" t="s">
        <v>786</v>
      </c>
      <c r="O149" s="263" t="s">
        <v>692</v>
      </c>
      <c r="P149" s="262"/>
      <c r="Q149" s="262"/>
      <c r="R149" s="262"/>
      <c r="S149" s="72" t="s">
        <v>693</v>
      </c>
      <c r="T149" s="72" t="s">
        <v>1241</v>
      </c>
      <c r="U149" s="77" t="s">
        <v>787</v>
      </c>
      <c r="V149" s="262" t="s">
        <v>1273</v>
      </c>
      <c r="W149" s="262"/>
      <c r="X149" s="262" t="s">
        <v>697</v>
      </c>
      <c r="Y149" s="72" t="s">
        <v>1241</v>
      </c>
      <c r="Z149" s="77" t="s">
        <v>787</v>
      </c>
      <c r="AA149" s="262"/>
    </row>
    <row r="150" spans="2:27" ht="36.75" hidden="1" customHeight="1">
      <c r="B150" s="262" t="s">
        <v>683</v>
      </c>
      <c r="C150" s="262" t="s">
        <v>1239</v>
      </c>
      <c r="D150" s="262" t="s">
        <v>1240</v>
      </c>
      <c r="E150" s="263">
        <v>0</v>
      </c>
      <c r="F150" s="77" t="s">
        <v>789</v>
      </c>
      <c r="G150" s="262" t="s">
        <v>790</v>
      </c>
      <c r="H150" s="76" t="s">
        <v>791</v>
      </c>
      <c r="I150" s="263">
        <v>17</v>
      </c>
      <c r="J150" s="262" t="s">
        <v>792</v>
      </c>
      <c r="K150" s="263">
        <v>23</v>
      </c>
      <c r="L150" s="263"/>
      <c r="M150" s="265" t="s">
        <v>793</v>
      </c>
      <c r="N150" s="262" t="s">
        <v>794</v>
      </c>
      <c r="O150" s="263"/>
      <c r="P150" s="262"/>
      <c r="Q150" s="262"/>
      <c r="R150" s="262"/>
      <c r="S150" s="72" t="s">
        <v>693</v>
      </c>
      <c r="T150" s="72" t="s">
        <v>1241</v>
      </c>
      <c r="U150" s="262"/>
      <c r="V150" s="262" t="s">
        <v>795</v>
      </c>
      <c r="W150" s="262"/>
      <c r="X150" s="262"/>
      <c r="Y150" s="262"/>
      <c r="Z150" s="262"/>
      <c r="AA150" s="262"/>
    </row>
    <row r="151" spans="2:27" ht="36.75" hidden="1" customHeight="1">
      <c r="B151" s="262" t="s">
        <v>683</v>
      </c>
      <c r="C151" s="262" t="s">
        <v>1274</v>
      </c>
      <c r="D151" s="262" t="s">
        <v>1275</v>
      </c>
      <c r="E151" s="263">
        <v>0</v>
      </c>
      <c r="F151" s="77" t="s">
        <v>782</v>
      </c>
      <c r="G151" s="262" t="s">
        <v>783</v>
      </c>
      <c r="H151" s="262" t="s">
        <v>784</v>
      </c>
      <c r="I151" s="263">
        <v>21</v>
      </c>
      <c r="J151" s="262" t="s">
        <v>689</v>
      </c>
      <c r="K151" s="263">
        <v>10</v>
      </c>
      <c r="L151" s="263"/>
      <c r="M151" s="265" t="s">
        <v>785</v>
      </c>
      <c r="N151" s="82" t="s">
        <v>786</v>
      </c>
      <c r="O151" s="263" t="s">
        <v>692</v>
      </c>
      <c r="P151" s="262"/>
      <c r="Q151" s="262"/>
      <c r="R151" s="262"/>
      <c r="S151" s="72"/>
      <c r="T151" s="90"/>
      <c r="U151" s="262"/>
      <c r="V151" s="262"/>
      <c r="W151" s="262"/>
      <c r="X151" s="262" t="s">
        <v>697</v>
      </c>
      <c r="Y151" s="262"/>
      <c r="Z151" s="262"/>
      <c r="AA151" s="262"/>
    </row>
    <row r="152" spans="2:27" ht="36.75" hidden="1" customHeight="1">
      <c r="B152" s="262" t="s">
        <v>683</v>
      </c>
      <c r="C152" s="262" t="s">
        <v>1274</v>
      </c>
      <c r="D152" s="262" t="s">
        <v>1275</v>
      </c>
      <c r="E152" s="263">
        <v>0</v>
      </c>
      <c r="F152" s="77" t="s">
        <v>789</v>
      </c>
      <c r="G152" s="262" t="s">
        <v>790</v>
      </c>
      <c r="H152" s="262" t="s">
        <v>791</v>
      </c>
      <c r="I152" s="263">
        <v>22</v>
      </c>
      <c r="J152" s="262" t="s">
        <v>792</v>
      </c>
      <c r="K152" s="263">
        <v>23</v>
      </c>
      <c r="L152" s="263"/>
      <c r="M152" s="265" t="s">
        <v>793</v>
      </c>
      <c r="N152" s="262" t="s">
        <v>794</v>
      </c>
      <c r="O152" s="263"/>
      <c r="P152" s="262"/>
      <c r="Q152" s="262"/>
      <c r="R152" s="262"/>
      <c r="S152" s="73"/>
      <c r="T152" s="72"/>
      <c r="U152" s="262"/>
      <c r="V152" s="262"/>
      <c r="W152" s="262"/>
      <c r="X152" s="262" t="s">
        <v>697</v>
      </c>
      <c r="Y152" s="262"/>
      <c r="Z152" s="262"/>
      <c r="AA152" s="262"/>
    </row>
    <row r="153" spans="2:27" ht="36.75" hidden="1" customHeight="1">
      <c r="B153" s="262" t="s">
        <v>683</v>
      </c>
      <c r="C153" s="262" t="s">
        <v>1276</v>
      </c>
      <c r="D153" s="262" t="s">
        <v>1277</v>
      </c>
      <c r="E153" s="263">
        <v>0</v>
      </c>
      <c r="F153" s="262" t="s">
        <v>850</v>
      </c>
      <c r="G153" s="262" t="s">
        <v>851</v>
      </c>
      <c r="H153" s="262" t="s">
        <v>800</v>
      </c>
      <c r="I153" s="263">
        <v>1</v>
      </c>
      <c r="J153" s="262" t="s">
        <v>689</v>
      </c>
      <c r="K153" s="263">
        <v>2</v>
      </c>
      <c r="L153" s="263"/>
      <c r="M153" s="74" t="s">
        <v>1246</v>
      </c>
      <c r="N153" s="82" t="s">
        <v>854</v>
      </c>
      <c r="O153" s="263" t="s">
        <v>692</v>
      </c>
      <c r="P153" s="262"/>
      <c r="Q153" s="262"/>
      <c r="R153" s="262"/>
      <c r="S153" s="72" t="s">
        <v>1017</v>
      </c>
      <c r="T153" s="72" t="s">
        <v>1278</v>
      </c>
      <c r="U153" s="72" t="s">
        <v>855</v>
      </c>
      <c r="V153" s="262" t="s">
        <v>1279</v>
      </c>
      <c r="W153" s="262"/>
      <c r="X153" s="262" t="s">
        <v>697</v>
      </c>
      <c r="Y153" s="72" t="s">
        <v>1278</v>
      </c>
      <c r="Z153" s="72" t="s">
        <v>855</v>
      </c>
      <c r="AA153" s="262"/>
    </row>
    <row r="154" spans="2:27" ht="36.75" hidden="1" customHeight="1">
      <c r="B154" s="262" t="s">
        <v>683</v>
      </c>
      <c r="C154" s="262" t="s">
        <v>1276</v>
      </c>
      <c r="D154" s="262" t="s">
        <v>1277</v>
      </c>
      <c r="E154" s="263">
        <v>0</v>
      </c>
      <c r="F154" s="262" t="s">
        <v>857</v>
      </c>
      <c r="G154" s="262" t="s">
        <v>858</v>
      </c>
      <c r="H154" s="262" t="s">
        <v>808</v>
      </c>
      <c r="I154" s="263">
        <v>2</v>
      </c>
      <c r="J154" s="262" t="s">
        <v>689</v>
      </c>
      <c r="K154" s="263">
        <v>20</v>
      </c>
      <c r="L154" s="263"/>
      <c r="M154" s="265" t="s">
        <v>1021</v>
      </c>
      <c r="N154" s="82" t="s">
        <v>1249</v>
      </c>
      <c r="O154" s="263" t="s">
        <v>692</v>
      </c>
      <c r="P154" s="265" t="s">
        <v>811</v>
      </c>
      <c r="Q154" s="265"/>
      <c r="R154" s="265"/>
      <c r="S154" s="72" t="s">
        <v>1017</v>
      </c>
      <c r="T154" s="72" t="s">
        <v>1278</v>
      </c>
      <c r="U154" s="72" t="s">
        <v>369</v>
      </c>
      <c r="V154" s="262" t="s">
        <v>1280</v>
      </c>
      <c r="W154" s="262"/>
      <c r="X154" s="262" t="s">
        <v>697</v>
      </c>
      <c r="Y154" s="72" t="s">
        <v>1278</v>
      </c>
      <c r="Z154" s="72" t="s">
        <v>369</v>
      </c>
      <c r="AA154" s="262"/>
    </row>
    <row r="155" spans="2:27" ht="36.75" hidden="1" customHeight="1">
      <c r="B155" s="262" t="s">
        <v>683</v>
      </c>
      <c r="C155" s="262" t="s">
        <v>1276</v>
      </c>
      <c r="D155" s="262" t="s">
        <v>1277</v>
      </c>
      <c r="E155" s="263">
        <v>0</v>
      </c>
      <c r="F155" s="262" t="s">
        <v>863</v>
      </c>
      <c r="G155" s="262" t="s">
        <v>864</v>
      </c>
      <c r="H155" s="262" t="s">
        <v>800</v>
      </c>
      <c r="I155" s="263">
        <v>3</v>
      </c>
      <c r="J155" s="262" t="s">
        <v>689</v>
      </c>
      <c r="K155" s="263">
        <v>30</v>
      </c>
      <c r="L155" s="263"/>
      <c r="M155" s="265" t="s">
        <v>865</v>
      </c>
      <c r="N155" s="82" t="s">
        <v>1251</v>
      </c>
      <c r="O155" s="263" t="s">
        <v>692</v>
      </c>
      <c r="P155" s="262"/>
      <c r="Q155" s="262"/>
      <c r="R155" s="262"/>
      <c r="S155" s="72" t="s">
        <v>1017</v>
      </c>
      <c r="T155" s="72" t="s">
        <v>1278</v>
      </c>
      <c r="U155" s="72" t="s">
        <v>867</v>
      </c>
      <c r="V155" s="262" t="s">
        <v>1281</v>
      </c>
      <c r="W155" s="262"/>
      <c r="X155" s="262" t="s">
        <v>697</v>
      </c>
      <c r="Y155" s="72" t="s">
        <v>1278</v>
      </c>
      <c r="Z155" s="72" t="s">
        <v>867</v>
      </c>
      <c r="AA155" s="262"/>
    </row>
    <row r="156" spans="2:27" ht="36.75" hidden="1" customHeight="1">
      <c r="B156" s="262" t="s">
        <v>683</v>
      </c>
      <c r="C156" s="262" t="s">
        <v>1276</v>
      </c>
      <c r="D156" s="262" t="s">
        <v>1277</v>
      </c>
      <c r="E156" s="263">
        <v>0</v>
      </c>
      <c r="F156" s="262" t="s">
        <v>869</v>
      </c>
      <c r="G156" s="262" t="s">
        <v>870</v>
      </c>
      <c r="H156" s="262" t="s">
        <v>859</v>
      </c>
      <c r="I156" s="263">
        <v>4</v>
      </c>
      <c r="J156" s="262" t="s">
        <v>689</v>
      </c>
      <c r="K156" s="263">
        <v>20</v>
      </c>
      <c r="L156" s="263"/>
      <c r="M156" s="265" t="s">
        <v>871</v>
      </c>
      <c r="N156" s="82" t="s">
        <v>1253</v>
      </c>
      <c r="O156" s="263" t="s">
        <v>692</v>
      </c>
      <c r="P156" s="262"/>
      <c r="Q156" s="262"/>
      <c r="R156" s="262"/>
      <c r="S156" s="72" t="s">
        <v>1017</v>
      </c>
      <c r="T156" s="72" t="s">
        <v>1278</v>
      </c>
      <c r="U156" s="72" t="s">
        <v>873</v>
      </c>
      <c r="V156" s="262" t="s">
        <v>1282</v>
      </c>
      <c r="W156" s="262"/>
      <c r="X156" s="262" t="s">
        <v>697</v>
      </c>
      <c r="Y156" s="72" t="s">
        <v>1278</v>
      </c>
      <c r="Z156" s="72" t="s">
        <v>873</v>
      </c>
      <c r="AA156" s="262"/>
    </row>
    <row r="157" spans="2:27" ht="36.75" hidden="1" customHeight="1">
      <c r="B157" s="262" t="s">
        <v>683</v>
      </c>
      <c r="C157" s="262" t="s">
        <v>1276</v>
      </c>
      <c r="D157" s="262" t="s">
        <v>1277</v>
      </c>
      <c r="E157" s="263">
        <v>0</v>
      </c>
      <c r="F157" s="262" t="s">
        <v>1283</v>
      </c>
      <c r="G157" s="262" t="s">
        <v>1284</v>
      </c>
      <c r="H157" s="262" t="s">
        <v>784</v>
      </c>
      <c r="I157" s="263">
        <v>5</v>
      </c>
      <c r="J157" s="262" t="s">
        <v>689</v>
      </c>
      <c r="K157" s="263">
        <v>10</v>
      </c>
      <c r="L157" s="263"/>
      <c r="M157" s="265" t="s">
        <v>1285</v>
      </c>
      <c r="N157" s="82" t="s">
        <v>1286</v>
      </c>
      <c r="O157" s="263"/>
      <c r="P157" s="262"/>
      <c r="Q157" s="262"/>
      <c r="R157" s="262"/>
      <c r="S157" s="72" t="s">
        <v>1017</v>
      </c>
      <c r="T157" s="72" t="s">
        <v>1278</v>
      </c>
      <c r="U157" s="72" t="s">
        <v>1287</v>
      </c>
      <c r="V157" s="262" t="s">
        <v>1288</v>
      </c>
      <c r="W157" s="262"/>
      <c r="X157" s="262" t="s">
        <v>697</v>
      </c>
      <c r="Y157" s="72" t="s">
        <v>1278</v>
      </c>
      <c r="Z157" s="72" t="s">
        <v>1287</v>
      </c>
      <c r="AA157" s="262"/>
    </row>
    <row r="158" spans="2:27" ht="36.75" hidden="1" customHeight="1">
      <c r="B158" s="262" t="s">
        <v>683</v>
      </c>
      <c r="C158" s="262" t="s">
        <v>1276</v>
      </c>
      <c r="D158" s="262" t="s">
        <v>1277</v>
      </c>
      <c r="E158" s="263">
        <v>0</v>
      </c>
      <c r="F158" s="77" t="s">
        <v>827</v>
      </c>
      <c r="G158" s="262" t="s">
        <v>828</v>
      </c>
      <c r="H158" s="262" t="s">
        <v>1289</v>
      </c>
      <c r="I158" s="263">
        <v>6</v>
      </c>
      <c r="J158" s="262" t="s">
        <v>689</v>
      </c>
      <c r="K158" s="263">
        <v>2</v>
      </c>
      <c r="L158" s="263"/>
      <c r="M158" s="74" t="s">
        <v>829</v>
      </c>
      <c r="N158" s="82" t="s">
        <v>830</v>
      </c>
      <c r="O158" s="263"/>
      <c r="P158" s="262"/>
      <c r="Q158" s="262"/>
      <c r="R158" s="262"/>
      <c r="S158" s="72" t="s">
        <v>1017</v>
      </c>
      <c r="T158" s="72" t="s">
        <v>1278</v>
      </c>
      <c r="U158" s="72" t="s">
        <v>141</v>
      </c>
      <c r="V158" s="262" t="s">
        <v>1290</v>
      </c>
      <c r="W158" s="262"/>
      <c r="X158" s="262" t="s">
        <v>697</v>
      </c>
      <c r="Y158" s="72" t="s">
        <v>1278</v>
      </c>
      <c r="Z158" s="72" t="s">
        <v>141</v>
      </c>
      <c r="AA158" s="262"/>
    </row>
    <row r="159" spans="2:27" ht="36.75" hidden="1" customHeight="1">
      <c r="B159" s="262" t="s">
        <v>683</v>
      </c>
      <c r="C159" s="262" t="s">
        <v>1276</v>
      </c>
      <c r="D159" s="262" t="s">
        <v>1277</v>
      </c>
      <c r="E159" s="263">
        <v>0</v>
      </c>
      <c r="F159" s="77" t="s">
        <v>832</v>
      </c>
      <c r="G159" s="262" t="s">
        <v>833</v>
      </c>
      <c r="H159" s="262" t="s">
        <v>1291</v>
      </c>
      <c r="I159" s="263">
        <v>7</v>
      </c>
      <c r="J159" s="262" t="s">
        <v>689</v>
      </c>
      <c r="K159" s="263">
        <v>20</v>
      </c>
      <c r="L159" s="263"/>
      <c r="M159" s="265" t="s">
        <v>834</v>
      </c>
      <c r="N159" s="82" t="s">
        <v>1037</v>
      </c>
      <c r="O159" s="263"/>
      <c r="P159" s="265" t="s">
        <v>811</v>
      </c>
      <c r="Q159" s="265"/>
      <c r="R159" s="265"/>
      <c r="S159" s="72" t="s">
        <v>1017</v>
      </c>
      <c r="T159" s="72" t="s">
        <v>1278</v>
      </c>
      <c r="U159" s="72" t="s">
        <v>836</v>
      </c>
      <c r="V159" s="262" t="s">
        <v>1292</v>
      </c>
      <c r="W159" s="262"/>
      <c r="X159" s="262" t="s">
        <v>697</v>
      </c>
      <c r="Y159" s="72" t="s">
        <v>1278</v>
      </c>
      <c r="Z159" s="72" t="s">
        <v>836</v>
      </c>
      <c r="AA159" s="262"/>
    </row>
    <row r="160" spans="2:27" ht="36.75" hidden="1" customHeight="1">
      <c r="B160" s="262" t="s">
        <v>683</v>
      </c>
      <c r="C160" s="262" t="s">
        <v>1276</v>
      </c>
      <c r="D160" s="262" t="s">
        <v>1277</v>
      </c>
      <c r="E160" s="263">
        <v>0</v>
      </c>
      <c r="F160" s="77" t="s">
        <v>838</v>
      </c>
      <c r="G160" s="262" t="s">
        <v>839</v>
      </c>
      <c r="H160" s="262" t="s">
        <v>1289</v>
      </c>
      <c r="I160" s="263">
        <v>8</v>
      </c>
      <c r="J160" s="262" t="s">
        <v>689</v>
      </c>
      <c r="K160" s="263">
        <v>11</v>
      </c>
      <c r="L160" s="263"/>
      <c r="M160" s="265" t="s">
        <v>840</v>
      </c>
      <c r="N160" s="82" t="s">
        <v>1039</v>
      </c>
      <c r="O160" s="263"/>
      <c r="P160" s="262"/>
      <c r="Q160" s="262"/>
      <c r="R160" s="262"/>
      <c r="S160" s="72" t="s">
        <v>1017</v>
      </c>
      <c r="T160" s="72" t="s">
        <v>1278</v>
      </c>
      <c r="U160" s="72" t="s">
        <v>842</v>
      </c>
      <c r="V160" s="262" t="s">
        <v>1293</v>
      </c>
      <c r="W160" s="262"/>
      <c r="X160" s="262" t="s">
        <v>697</v>
      </c>
      <c r="Y160" s="72" t="s">
        <v>1278</v>
      </c>
      <c r="Z160" s="72" t="s">
        <v>842</v>
      </c>
      <c r="AA160" s="262"/>
    </row>
    <row r="161" spans="2:27" ht="36.75" hidden="1" customHeight="1">
      <c r="B161" s="262" t="s">
        <v>683</v>
      </c>
      <c r="C161" s="262" t="s">
        <v>1276</v>
      </c>
      <c r="D161" s="262" t="s">
        <v>1277</v>
      </c>
      <c r="E161" s="263">
        <v>0</v>
      </c>
      <c r="F161" s="77" t="s">
        <v>844</v>
      </c>
      <c r="G161" s="262" t="s">
        <v>845</v>
      </c>
      <c r="H161" s="262" t="s">
        <v>1291</v>
      </c>
      <c r="I161" s="263">
        <v>9</v>
      </c>
      <c r="J161" s="262" t="s">
        <v>689</v>
      </c>
      <c r="K161" s="263">
        <v>20</v>
      </c>
      <c r="L161" s="263"/>
      <c r="M161" s="265" t="s">
        <v>846</v>
      </c>
      <c r="N161" s="82" t="s">
        <v>1041</v>
      </c>
      <c r="O161" s="263"/>
      <c r="P161" s="262"/>
      <c r="Q161" s="262"/>
      <c r="R161" s="262"/>
      <c r="S161" s="72" t="s">
        <v>1017</v>
      </c>
      <c r="T161" s="72" t="s">
        <v>1278</v>
      </c>
      <c r="U161" s="72" t="s">
        <v>848</v>
      </c>
      <c r="V161" s="262" t="s">
        <v>1294</v>
      </c>
      <c r="W161" s="262"/>
      <c r="X161" s="262" t="s">
        <v>697</v>
      </c>
      <c r="Y161" s="72" t="s">
        <v>1278</v>
      </c>
      <c r="Z161" s="72" t="s">
        <v>848</v>
      </c>
      <c r="AA161" s="262"/>
    </row>
    <row r="162" spans="2:27" ht="36.75" hidden="1" customHeight="1">
      <c r="B162" s="262" t="s">
        <v>683</v>
      </c>
      <c r="C162" s="262" t="s">
        <v>1276</v>
      </c>
      <c r="D162" s="262" t="s">
        <v>1277</v>
      </c>
      <c r="E162" s="263">
        <v>0</v>
      </c>
      <c r="F162" s="262" t="s">
        <v>1295</v>
      </c>
      <c r="G162" s="262" t="s">
        <v>1296</v>
      </c>
      <c r="H162" s="262" t="s">
        <v>1297</v>
      </c>
      <c r="I162" s="263">
        <v>10</v>
      </c>
      <c r="J162" s="262" t="s">
        <v>689</v>
      </c>
      <c r="K162" s="263">
        <v>20</v>
      </c>
      <c r="L162" s="263"/>
      <c r="M162" s="265" t="s">
        <v>1298</v>
      </c>
      <c r="N162" s="82" t="s">
        <v>1299</v>
      </c>
      <c r="O162" s="263"/>
      <c r="P162" s="265" t="s">
        <v>1300</v>
      </c>
      <c r="Q162" s="265"/>
      <c r="R162" s="265"/>
      <c r="S162" s="72" t="s">
        <v>1017</v>
      </c>
      <c r="T162" s="72" t="s">
        <v>1278</v>
      </c>
      <c r="U162" s="72" t="s">
        <v>1301</v>
      </c>
      <c r="V162" s="265" t="s">
        <v>1302</v>
      </c>
      <c r="W162" s="262"/>
      <c r="X162" s="262" t="s">
        <v>697</v>
      </c>
      <c r="Y162" s="72" t="s">
        <v>1278</v>
      </c>
      <c r="Z162" s="72" t="s">
        <v>1301</v>
      </c>
      <c r="AA162" s="262"/>
    </row>
    <row r="163" spans="2:27" ht="36.75" hidden="1" customHeight="1">
      <c r="B163" s="262" t="s">
        <v>683</v>
      </c>
      <c r="C163" s="262" t="s">
        <v>1276</v>
      </c>
      <c r="D163" s="262" t="s">
        <v>1277</v>
      </c>
      <c r="E163" s="263">
        <v>0</v>
      </c>
      <c r="F163" s="262" t="s">
        <v>897</v>
      </c>
      <c r="G163" s="262" t="s">
        <v>1303</v>
      </c>
      <c r="H163" s="262" t="s">
        <v>899</v>
      </c>
      <c r="I163" s="263">
        <v>11</v>
      </c>
      <c r="J163" s="262" t="s">
        <v>689</v>
      </c>
      <c r="K163" s="263">
        <v>23</v>
      </c>
      <c r="L163" s="263">
        <v>6</v>
      </c>
      <c r="M163" s="265" t="s">
        <v>1304</v>
      </c>
      <c r="N163" s="82" t="s">
        <v>1305</v>
      </c>
      <c r="O163" s="263"/>
      <c r="P163" s="262"/>
      <c r="Q163" s="262"/>
      <c r="R163" s="262"/>
      <c r="S163" s="72" t="s">
        <v>1017</v>
      </c>
      <c r="T163" s="72" t="s">
        <v>1278</v>
      </c>
      <c r="U163" s="72" t="s">
        <v>902</v>
      </c>
      <c r="V163" s="262" t="s">
        <v>1306</v>
      </c>
      <c r="W163" s="262"/>
      <c r="X163" s="262" t="s">
        <v>697</v>
      </c>
      <c r="Y163" s="72" t="s">
        <v>1278</v>
      </c>
      <c r="Z163" s="72" t="s">
        <v>902</v>
      </c>
      <c r="AA163" s="262"/>
    </row>
    <row r="164" spans="2:27" ht="36.75" hidden="1" customHeight="1">
      <c r="B164" s="262" t="s">
        <v>683</v>
      </c>
      <c r="C164" s="262" t="s">
        <v>1276</v>
      </c>
      <c r="D164" s="262" t="s">
        <v>1277</v>
      </c>
      <c r="E164" s="263">
        <v>0</v>
      </c>
      <c r="F164" s="262" t="s">
        <v>1307</v>
      </c>
      <c r="G164" s="262" t="s">
        <v>1308</v>
      </c>
      <c r="H164" s="262" t="s">
        <v>899</v>
      </c>
      <c r="I164" s="263">
        <v>12</v>
      </c>
      <c r="J164" s="262" t="s">
        <v>689</v>
      </c>
      <c r="K164" s="263">
        <v>23</v>
      </c>
      <c r="L164" s="263">
        <v>6</v>
      </c>
      <c r="M164" s="265" t="s">
        <v>1309</v>
      </c>
      <c r="N164" s="82" t="s">
        <v>1310</v>
      </c>
      <c r="O164" s="263"/>
      <c r="P164" s="262"/>
      <c r="Q164" s="262"/>
      <c r="R164" s="262"/>
      <c r="S164" s="72" t="s">
        <v>1017</v>
      </c>
      <c r="T164" s="72" t="s">
        <v>1278</v>
      </c>
      <c r="U164" s="72" t="s">
        <v>1311</v>
      </c>
      <c r="V164" s="265" t="s">
        <v>1312</v>
      </c>
      <c r="W164" s="262"/>
      <c r="X164" s="262" t="s">
        <v>697</v>
      </c>
      <c r="Y164" s="72" t="s">
        <v>1278</v>
      </c>
      <c r="Z164" s="72" t="s">
        <v>1311</v>
      </c>
      <c r="AA164" s="262"/>
    </row>
    <row r="165" spans="2:27" ht="36.75" hidden="1" customHeight="1">
      <c r="B165" s="262" t="s">
        <v>683</v>
      </c>
      <c r="C165" s="262" t="s">
        <v>1276</v>
      </c>
      <c r="D165" s="262" t="s">
        <v>1277</v>
      </c>
      <c r="E165" s="263">
        <v>0</v>
      </c>
      <c r="F165" s="262" t="s">
        <v>1313</v>
      </c>
      <c r="G165" s="262" t="s">
        <v>1216</v>
      </c>
      <c r="H165" s="262" t="s">
        <v>1314</v>
      </c>
      <c r="I165" s="263">
        <v>13</v>
      </c>
      <c r="J165" s="262" t="s">
        <v>689</v>
      </c>
      <c r="K165" s="263">
        <v>20</v>
      </c>
      <c r="L165" s="263"/>
      <c r="M165" s="265" t="s">
        <v>1315</v>
      </c>
      <c r="N165" s="101" t="s">
        <v>1316</v>
      </c>
      <c r="O165" s="263"/>
      <c r="P165" s="265" t="s">
        <v>1219</v>
      </c>
      <c r="Q165" s="265"/>
      <c r="R165" s="265"/>
      <c r="S165" s="72" t="s">
        <v>1017</v>
      </c>
      <c r="T165" s="72" t="s">
        <v>1278</v>
      </c>
      <c r="U165" s="72" t="s">
        <v>1317</v>
      </c>
      <c r="V165" s="265" t="s">
        <v>1318</v>
      </c>
      <c r="W165" s="262"/>
      <c r="X165" s="262" t="s">
        <v>697</v>
      </c>
      <c r="Y165" s="72" t="s">
        <v>1278</v>
      </c>
      <c r="Z165" s="72" t="s">
        <v>1317</v>
      </c>
      <c r="AA165" s="262"/>
    </row>
    <row r="166" spans="2:27" ht="36.75" hidden="1" customHeight="1">
      <c r="B166" s="262" t="s">
        <v>683</v>
      </c>
      <c r="C166" s="262" t="s">
        <v>1276</v>
      </c>
      <c r="D166" s="262" t="s">
        <v>1277</v>
      </c>
      <c r="E166" s="263">
        <v>0</v>
      </c>
      <c r="F166" s="262" t="s">
        <v>1319</v>
      </c>
      <c r="G166" s="262" t="s">
        <v>1320</v>
      </c>
      <c r="H166" s="262" t="s">
        <v>1314</v>
      </c>
      <c r="I166" s="263">
        <v>14</v>
      </c>
      <c r="J166" s="262" t="s">
        <v>689</v>
      </c>
      <c r="K166" s="263">
        <v>20</v>
      </c>
      <c r="L166" s="263"/>
      <c r="M166" s="265" t="s">
        <v>1321</v>
      </c>
      <c r="N166" s="82" t="s">
        <v>1322</v>
      </c>
      <c r="O166" s="263"/>
      <c r="P166" s="265" t="s">
        <v>1323</v>
      </c>
      <c r="Q166" s="265"/>
      <c r="R166" s="265"/>
      <c r="S166" s="72" t="s">
        <v>1017</v>
      </c>
      <c r="T166" s="72" t="s">
        <v>1278</v>
      </c>
      <c r="U166" s="72" t="s">
        <v>1324</v>
      </c>
      <c r="V166" s="262" t="s">
        <v>1325</v>
      </c>
      <c r="W166" s="262"/>
      <c r="X166" s="262" t="s">
        <v>697</v>
      </c>
      <c r="Y166" s="72" t="s">
        <v>1278</v>
      </c>
      <c r="Z166" s="72" t="s">
        <v>1324</v>
      </c>
      <c r="AA166" s="262"/>
    </row>
    <row r="167" spans="2:27" ht="36.75" hidden="1" customHeight="1">
      <c r="B167" s="262" t="s">
        <v>683</v>
      </c>
      <c r="C167" s="262" t="s">
        <v>1276</v>
      </c>
      <c r="D167" s="262" t="s">
        <v>1277</v>
      </c>
      <c r="E167" s="263">
        <v>0</v>
      </c>
      <c r="F167" s="262" t="s">
        <v>1326</v>
      </c>
      <c r="G167" s="262" t="s">
        <v>1327</v>
      </c>
      <c r="H167" s="262" t="s">
        <v>1314</v>
      </c>
      <c r="I167" s="263">
        <v>15</v>
      </c>
      <c r="J167" s="262" t="s">
        <v>689</v>
      </c>
      <c r="K167" s="263">
        <v>20</v>
      </c>
      <c r="L167" s="263"/>
      <c r="M167" s="265" t="s">
        <v>1328</v>
      </c>
      <c r="N167" s="82" t="s">
        <v>1329</v>
      </c>
      <c r="O167" s="263"/>
      <c r="P167" s="265" t="s">
        <v>1330</v>
      </c>
      <c r="Q167" s="265"/>
      <c r="R167" s="265"/>
      <c r="S167" s="72" t="s">
        <v>1017</v>
      </c>
      <c r="T167" s="72" t="s">
        <v>1278</v>
      </c>
      <c r="U167" s="72" t="s">
        <v>1331</v>
      </c>
      <c r="V167" s="265" t="s">
        <v>1332</v>
      </c>
      <c r="W167" s="262"/>
      <c r="X167" s="262" t="s">
        <v>697</v>
      </c>
      <c r="Y167" s="72" t="s">
        <v>1278</v>
      </c>
      <c r="Z167" s="72" t="s">
        <v>1331</v>
      </c>
      <c r="AA167" s="262"/>
    </row>
    <row r="168" spans="2:27" ht="36.75" hidden="1" customHeight="1">
      <c r="B168" s="262" t="s">
        <v>683</v>
      </c>
      <c r="C168" s="262" t="s">
        <v>1276</v>
      </c>
      <c r="D168" s="262" t="s">
        <v>1277</v>
      </c>
      <c r="E168" s="263">
        <v>0</v>
      </c>
      <c r="F168" s="262" t="s">
        <v>1333</v>
      </c>
      <c r="G168" s="262" t="s">
        <v>1334</v>
      </c>
      <c r="H168" s="262" t="s">
        <v>1314</v>
      </c>
      <c r="I168" s="263">
        <v>16</v>
      </c>
      <c r="J168" s="262" t="s">
        <v>689</v>
      </c>
      <c r="K168" s="263">
        <v>20</v>
      </c>
      <c r="L168" s="263"/>
      <c r="M168" s="265" t="s">
        <v>1335</v>
      </c>
      <c r="N168" s="82" t="s">
        <v>1336</v>
      </c>
      <c r="O168" s="263"/>
      <c r="P168" s="265" t="s">
        <v>1219</v>
      </c>
      <c r="Q168" s="265"/>
      <c r="R168" s="265"/>
      <c r="S168" s="72" t="s">
        <v>1017</v>
      </c>
      <c r="T168" s="72" t="s">
        <v>1278</v>
      </c>
      <c r="U168" s="72" t="s">
        <v>1337</v>
      </c>
      <c r="V168" s="265" t="s">
        <v>1338</v>
      </c>
      <c r="W168" s="262"/>
      <c r="X168" s="262" t="s">
        <v>697</v>
      </c>
      <c r="Y168" s="72" t="s">
        <v>1278</v>
      </c>
      <c r="Z168" s="72" t="s">
        <v>1337</v>
      </c>
      <c r="AA168" s="262"/>
    </row>
    <row r="169" spans="2:27" ht="36.75" hidden="1" customHeight="1">
      <c r="B169" s="262" t="s">
        <v>683</v>
      </c>
      <c r="C169" s="262" t="s">
        <v>1276</v>
      </c>
      <c r="D169" s="262" t="s">
        <v>1277</v>
      </c>
      <c r="E169" s="263">
        <v>0</v>
      </c>
      <c r="F169" s="262" t="s">
        <v>1339</v>
      </c>
      <c r="G169" s="262" t="s">
        <v>1340</v>
      </c>
      <c r="H169" s="262" t="s">
        <v>1341</v>
      </c>
      <c r="I169" s="263">
        <v>17</v>
      </c>
      <c r="J169" s="262" t="s">
        <v>689</v>
      </c>
      <c r="K169" s="263">
        <v>4</v>
      </c>
      <c r="L169" s="263"/>
      <c r="M169" s="265" t="s">
        <v>1342</v>
      </c>
      <c r="N169" s="82" t="s">
        <v>1343</v>
      </c>
      <c r="O169" s="263"/>
      <c r="P169" s="262"/>
      <c r="Q169" s="262"/>
      <c r="R169" s="262"/>
      <c r="S169" s="72" t="s">
        <v>1017</v>
      </c>
      <c r="T169" s="72" t="s">
        <v>1278</v>
      </c>
      <c r="U169" s="72" t="s">
        <v>1344</v>
      </c>
      <c r="V169" s="265" t="s">
        <v>1345</v>
      </c>
      <c r="W169" s="262"/>
      <c r="X169" s="262" t="s">
        <v>697</v>
      </c>
      <c r="Y169" s="72" t="s">
        <v>1278</v>
      </c>
      <c r="Z169" s="72" t="s">
        <v>1344</v>
      </c>
      <c r="AA169" s="262"/>
    </row>
    <row r="170" spans="2:27" ht="36.75" hidden="1" customHeight="1">
      <c r="B170" s="262" t="s">
        <v>683</v>
      </c>
      <c r="C170" s="262" t="s">
        <v>1276</v>
      </c>
      <c r="D170" s="262" t="s">
        <v>1277</v>
      </c>
      <c r="E170" s="263">
        <v>0</v>
      </c>
      <c r="F170" s="262" t="s">
        <v>1346</v>
      </c>
      <c r="G170" s="262" t="s">
        <v>1347</v>
      </c>
      <c r="H170" s="262" t="s">
        <v>1348</v>
      </c>
      <c r="I170" s="263">
        <v>18</v>
      </c>
      <c r="J170" s="262" t="s">
        <v>689</v>
      </c>
      <c r="K170" s="263">
        <v>23</v>
      </c>
      <c r="L170" s="263">
        <v>6</v>
      </c>
      <c r="M170" s="265" t="s">
        <v>1349</v>
      </c>
      <c r="N170" s="82" t="s">
        <v>1350</v>
      </c>
      <c r="O170" s="263"/>
      <c r="P170" s="262"/>
      <c r="Q170" s="262"/>
      <c r="R170" s="262"/>
      <c r="S170" s="72" t="s">
        <v>1017</v>
      </c>
      <c r="T170" s="72" t="s">
        <v>1278</v>
      </c>
      <c r="U170" s="72" t="s">
        <v>1351</v>
      </c>
      <c r="V170" s="265" t="s">
        <v>1352</v>
      </c>
      <c r="W170" s="262"/>
      <c r="X170" s="262" t="s">
        <v>697</v>
      </c>
      <c r="Y170" s="72" t="s">
        <v>1278</v>
      </c>
      <c r="Z170" s="72" t="s">
        <v>1351</v>
      </c>
      <c r="AA170" s="262"/>
    </row>
    <row r="171" spans="2:27" ht="36.75" hidden="1" customHeight="1">
      <c r="B171" s="262" t="s">
        <v>683</v>
      </c>
      <c r="C171" s="262" t="s">
        <v>1276</v>
      </c>
      <c r="D171" s="262" t="s">
        <v>1277</v>
      </c>
      <c r="E171" s="263">
        <v>0</v>
      </c>
      <c r="F171" s="262" t="s">
        <v>1353</v>
      </c>
      <c r="G171" s="262" t="s">
        <v>1354</v>
      </c>
      <c r="H171" s="262" t="s">
        <v>1355</v>
      </c>
      <c r="I171" s="263">
        <v>19</v>
      </c>
      <c r="J171" s="262" t="s">
        <v>689</v>
      </c>
      <c r="K171" s="263">
        <v>20</v>
      </c>
      <c r="L171" s="263"/>
      <c r="M171" s="265" t="s">
        <v>1356</v>
      </c>
      <c r="N171" s="82" t="s">
        <v>1357</v>
      </c>
      <c r="O171" s="263"/>
      <c r="P171" s="262"/>
      <c r="Q171" s="262"/>
      <c r="R171" s="262"/>
      <c r="S171" s="72" t="s">
        <v>1017</v>
      </c>
      <c r="T171" s="72" t="s">
        <v>1278</v>
      </c>
      <c r="U171" s="72" t="s">
        <v>1358</v>
      </c>
      <c r="V171" s="265" t="s">
        <v>1359</v>
      </c>
      <c r="W171" s="262"/>
      <c r="X171" s="262" t="s">
        <v>697</v>
      </c>
      <c r="Y171" s="72" t="s">
        <v>1278</v>
      </c>
      <c r="Z171" s="72" t="s">
        <v>1358</v>
      </c>
      <c r="AA171" s="262"/>
    </row>
    <row r="172" spans="2:27" ht="36.75" hidden="1" customHeight="1">
      <c r="B172" s="262" t="s">
        <v>683</v>
      </c>
      <c r="C172" s="262" t="s">
        <v>1276</v>
      </c>
      <c r="D172" s="262" t="s">
        <v>1277</v>
      </c>
      <c r="E172" s="263">
        <v>0</v>
      </c>
      <c r="F172" s="262" t="s">
        <v>1004</v>
      </c>
      <c r="G172" s="262" t="s">
        <v>1005</v>
      </c>
      <c r="H172" s="262" t="s">
        <v>1006</v>
      </c>
      <c r="I172" s="263">
        <v>20</v>
      </c>
      <c r="J172" s="262" t="s">
        <v>689</v>
      </c>
      <c r="K172" s="263">
        <v>3</v>
      </c>
      <c r="L172" s="263"/>
      <c r="M172" s="265" t="s">
        <v>1007</v>
      </c>
      <c r="N172" s="77" t="s">
        <v>1008</v>
      </c>
      <c r="O172" s="263"/>
      <c r="P172" s="265" t="s">
        <v>1009</v>
      </c>
      <c r="Q172" s="265"/>
      <c r="R172" s="265"/>
      <c r="S172" s="72" t="s">
        <v>1017</v>
      </c>
      <c r="T172" s="72" t="s">
        <v>1278</v>
      </c>
      <c r="U172" s="72" t="s">
        <v>1010</v>
      </c>
      <c r="V172" s="262" t="s">
        <v>1360</v>
      </c>
      <c r="W172" s="262"/>
      <c r="X172" s="262" t="s">
        <v>697</v>
      </c>
      <c r="Y172" s="72" t="s">
        <v>1278</v>
      </c>
      <c r="Z172" s="72" t="s">
        <v>1010</v>
      </c>
      <c r="AA172" s="262"/>
    </row>
    <row r="173" spans="2:27" ht="36.75" hidden="1" customHeight="1">
      <c r="B173" s="262" t="s">
        <v>683</v>
      </c>
      <c r="C173" s="262" t="s">
        <v>1276</v>
      </c>
      <c r="D173" s="262" t="s">
        <v>1277</v>
      </c>
      <c r="E173" s="263">
        <v>0</v>
      </c>
      <c r="F173" s="77" t="s">
        <v>782</v>
      </c>
      <c r="G173" s="262" t="s">
        <v>783</v>
      </c>
      <c r="H173" s="262" t="s">
        <v>784</v>
      </c>
      <c r="I173" s="263">
        <v>21</v>
      </c>
      <c r="J173" s="262" t="s">
        <v>689</v>
      </c>
      <c r="K173" s="263">
        <v>10</v>
      </c>
      <c r="L173" s="263"/>
      <c r="M173" s="265" t="s">
        <v>785</v>
      </c>
      <c r="N173" s="82" t="s">
        <v>786</v>
      </c>
      <c r="O173" s="263" t="s">
        <v>692</v>
      </c>
      <c r="P173" s="262"/>
      <c r="Q173" s="262"/>
      <c r="R173" s="262"/>
      <c r="S173" s="72" t="s">
        <v>1017</v>
      </c>
      <c r="T173" s="72" t="s">
        <v>1278</v>
      </c>
      <c r="U173" s="72" t="s">
        <v>787</v>
      </c>
      <c r="V173" s="262" t="s">
        <v>1361</v>
      </c>
      <c r="W173" s="262"/>
      <c r="X173" s="262" t="s">
        <v>697</v>
      </c>
      <c r="Y173" s="72" t="s">
        <v>1278</v>
      </c>
      <c r="Z173" s="72" t="s">
        <v>787</v>
      </c>
      <c r="AA173" s="262"/>
    </row>
    <row r="174" spans="2:27" ht="36.75" hidden="1" customHeight="1">
      <c r="B174" s="262" t="s">
        <v>683</v>
      </c>
      <c r="C174" s="262" t="s">
        <v>1276</v>
      </c>
      <c r="D174" s="262" t="s">
        <v>1277</v>
      </c>
      <c r="E174" s="263">
        <v>0</v>
      </c>
      <c r="F174" s="77" t="s">
        <v>789</v>
      </c>
      <c r="G174" s="262" t="s">
        <v>790</v>
      </c>
      <c r="H174" s="262" t="s">
        <v>791</v>
      </c>
      <c r="I174" s="263">
        <v>22</v>
      </c>
      <c r="J174" s="262" t="s">
        <v>792</v>
      </c>
      <c r="K174" s="263">
        <v>23</v>
      </c>
      <c r="L174" s="263"/>
      <c r="M174" s="265" t="s">
        <v>793</v>
      </c>
      <c r="N174" s="262" t="s">
        <v>794</v>
      </c>
      <c r="O174" s="263"/>
      <c r="P174" s="262"/>
      <c r="Q174" s="262"/>
      <c r="R174" s="262"/>
      <c r="S174" s="72" t="s">
        <v>1017</v>
      </c>
      <c r="T174" s="72" t="s">
        <v>1278</v>
      </c>
      <c r="U174" s="262"/>
      <c r="V174" s="262" t="s">
        <v>795</v>
      </c>
      <c r="W174" s="262"/>
      <c r="X174" s="262"/>
      <c r="Y174" s="262"/>
      <c r="Z174" s="262"/>
      <c r="AA174" s="262"/>
    </row>
    <row r="175" spans="2:27" ht="36.75" hidden="1" customHeight="1">
      <c r="B175" s="262" t="s">
        <v>683</v>
      </c>
      <c r="C175" s="262" t="s">
        <v>1362</v>
      </c>
      <c r="D175" s="262" t="s">
        <v>1363</v>
      </c>
      <c r="E175" s="263">
        <v>0</v>
      </c>
      <c r="F175" s="262" t="s">
        <v>850</v>
      </c>
      <c r="G175" s="262" t="s">
        <v>851</v>
      </c>
      <c r="H175" s="262" t="s">
        <v>800</v>
      </c>
      <c r="I175" s="263">
        <v>1</v>
      </c>
      <c r="J175" s="262" t="s">
        <v>689</v>
      </c>
      <c r="K175" s="263">
        <v>2</v>
      </c>
      <c r="L175" s="263"/>
      <c r="M175" s="74" t="s">
        <v>1246</v>
      </c>
      <c r="N175" s="82" t="s">
        <v>1247</v>
      </c>
      <c r="O175" s="263" t="s">
        <v>692</v>
      </c>
      <c r="P175" s="262"/>
      <c r="Q175" s="262"/>
      <c r="R175" s="262"/>
      <c r="S175" s="72" t="s">
        <v>693</v>
      </c>
      <c r="T175" s="72" t="s">
        <v>1364</v>
      </c>
      <c r="U175" s="77" t="s">
        <v>855</v>
      </c>
      <c r="V175" s="262" t="s">
        <v>1365</v>
      </c>
      <c r="W175" s="262"/>
      <c r="X175" s="262" t="s">
        <v>697</v>
      </c>
      <c r="Y175" s="72" t="s">
        <v>1364</v>
      </c>
      <c r="Z175" s="77" t="s">
        <v>855</v>
      </c>
      <c r="AA175" s="262"/>
    </row>
    <row r="176" spans="2:27" ht="36.75" hidden="1" customHeight="1">
      <c r="B176" s="262" t="s">
        <v>683</v>
      </c>
      <c r="C176" s="262" t="s">
        <v>1362</v>
      </c>
      <c r="D176" s="262" t="s">
        <v>1363</v>
      </c>
      <c r="E176" s="263">
        <v>0</v>
      </c>
      <c r="F176" s="262" t="s">
        <v>863</v>
      </c>
      <c r="G176" s="262" t="s">
        <v>864</v>
      </c>
      <c r="H176" s="262" t="s">
        <v>800</v>
      </c>
      <c r="I176" s="263">
        <v>2</v>
      </c>
      <c r="J176" s="262" t="s">
        <v>689</v>
      </c>
      <c r="K176" s="263">
        <v>30</v>
      </c>
      <c r="L176" s="263"/>
      <c r="M176" s="265" t="s">
        <v>865</v>
      </c>
      <c r="N176" s="82" t="s">
        <v>1251</v>
      </c>
      <c r="O176" s="263" t="s">
        <v>692</v>
      </c>
      <c r="P176" s="262"/>
      <c r="Q176" s="262"/>
      <c r="R176" s="262"/>
      <c r="S176" s="72" t="s">
        <v>693</v>
      </c>
      <c r="T176" s="72" t="s">
        <v>1364</v>
      </c>
      <c r="U176" s="72" t="s">
        <v>867</v>
      </c>
      <c r="V176" s="262" t="s">
        <v>1366</v>
      </c>
      <c r="W176" s="262"/>
      <c r="X176" s="262" t="s">
        <v>697</v>
      </c>
      <c r="Y176" s="72" t="s">
        <v>1364</v>
      </c>
      <c r="Z176" s="72" t="s">
        <v>867</v>
      </c>
      <c r="AA176" s="262"/>
    </row>
    <row r="177" spans="2:27" ht="36.75" hidden="1" customHeight="1">
      <c r="B177" s="262" t="s">
        <v>683</v>
      </c>
      <c r="C177" s="262" t="s">
        <v>1362</v>
      </c>
      <c r="D177" s="262" t="s">
        <v>1363</v>
      </c>
      <c r="E177" s="263">
        <v>0</v>
      </c>
      <c r="F177" s="262" t="s">
        <v>857</v>
      </c>
      <c r="G177" s="262" t="s">
        <v>858</v>
      </c>
      <c r="H177" s="262" t="s">
        <v>808</v>
      </c>
      <c r="I177" s="263">
        <v>3</v>
      </c>
      <c r="J177" s="262" t="s">
        <v>689</v>
      </c>
      <c r="K177" s="263">
        <v>20</v>
      </c>
      <c r="L177" s="263"/>
      <c r="M177" s="265" t="s">
        <v>1021</v>
      </c>
      <c r="N177" s="82" t="s">
        <v>1249</v>
      </c>
      <c r="O177" s="263" t="s">
        <v>692</v>
      </c>
      <c r="P177" s="265" t="s">
        <v>811</v>
      </c>
      <c r="Q177" s="265"/>
      <c r="R177" s="265"/>
      <c r="S177" s="72" t="s">
        <v>693</v>
      </c>
      <c r="T177" s="72" t="s">
        <v>1364</v>
      </c>
      <c r="U177" s="77" t="s">
        <v>369</v>
      </c>
      <c r="V177" s="262" t="s">
        <v>1367</v>
      </c>
      <c r="W177" s="262"/>
      <c r="X177" s="262" t="s">
        <v>697</v>
      </c>
      <c r="Y177" s="72" t="s">
        <v>1364</v>
      </c>
      <c r="Z177" s="77" t="s">
        <v>369</v>
      </c>
      <c r="AA177" s="262"/>
    </row>
    <row r="178" spans="2:27" ht="36.75" hidden="1" customHeight="1">
      <c r="B178" s="262" t="s">
        <v>683</v>
      </c>
      <c r="C178" s="262" t="s">
        <v>1362</v>
      </c>
      <c r="D178" s="262" t="s">
        <v>1363</v>
      </c>
      <c r="E178" s="263">
        <v>0</v>
      </c>
      <c r="F178" s="262" t="s">
        <v>869</v>
      </c>
      <c r="G178" s="262" t="s">
        <v>870</v>
      </c>
      <c r="H178" s="262" t="s">
        <v>859</v>
      </c>
      <c r="I178" s="263">
        <v>4</v>
      </c>
      <c r="J178" s="262" t="s">
        <v>689</v>
      </c>
      <c r="K178" s="263">
        <v>20</v>
      </c>
      <c r="L178" s="263"/>
      <c r="M178" s="265" t="s">
        <v>871</v>
      </c>
      <c r="N178" s="82" t="s">
        <v>1253</v>
      </c>
      <c r="O178" s="263" t="s">
        <v>692</v>
      </c>
      <c r="P178" s="262"/>
      <c r="Q178" s="262"/>
      <c r="R178" s="262"/>
      <c r="S178" s="72" t="s">
        <v>693</v>
      </c>
      <c r="T178" s="72" t="s">
        <v>1364</v>
      </c>
      <c r="U178" s="77" t="s">
        <v>873</v>
      </c>
      <c r="V178" s="262" t="s">
        <v>1368</v>
      </c>
      <c r="W178" s="262"/>
      <c r="X178" s="262" t="s">
        <v>697</v>
      </c>
      <c r="Y178" s="72" t="s">
        <v>1364</v>
      </c>
      <c r="Z178" s="77" t="s">
        <v>873</v>
      </c>
      <c r="AA178" s="262"/>
    </row>
    <row r="179" spans="2:27" ht="36.75" hidden="1" customHeight="1">
      <c r="B179" s="269" t="s">
        <v>683</v>
      </c>
      <c r="C179" s="269" t="s">
        <v>1362</v>
      </c>
      <c r="D179" s="269" t="s">
        <v>1363</v>
      </c>
      <c r="E179" s="270">
        <v>0</v>
      </c>
      <c r="F179" s="276" t="s">
        <v>686</v>
      </c>
      <c r="G179" s="269" t="s">
        <v>687</v>
      </c>
      <c r="H179" s="269" t="s">
        <v>688</v>
      </c>
      <c r="I179" s="270">
        <v>5</v>
      </c>
      <c r="J179" s="269" t="s">
        <v>689</v>
      </c>
      <c r="K179" s="270">
        <v>20</v>
      </c>
      <c r="L179" s="270"/>
      <c r="M179" s="271" t="s">
        <v>690</v>
      </c>
      <c r="N179" s="105" t="s">
        <v>691</v>
      </c>
      <c r="O179" s="270"/>
      <c r="P179" s="269"/>
      <c r="Q179" s="269"/>
      <c r="R179" s="269"/>
      <c r="S179" s="104"/>
      <c r="T179" s="103" t="s">
        <v>1364</v>
      </c>
      <c r="U179" s="105" t="s">
        <v>695</v>
      </c>
      <c r="V179" s="269"/>
      <c r="W179" s="269"/>
      <c r="X179" s="269" t="s">
        <v>697</v>
      </c>
      <c r="Y179" s="103" t="s">
        <v>1364</v>
      </c>
      <c r="Z179" s="105" t="s">
        <v>695</v>
      </c>
      <c r="AA179" s="269"/>
    </row>
    <row r="180" spans="2:27" ht="36.75" hidden="1" customHeight="1">
      <c r="B180" s="262" t="s">
        <v>683</v>
      </c>
      <c r="C180" s="262" t="s">
        <v>1362</v>
      </c>
      <c r="D180" s="262" t="s">
        <v>1363</v>
      </c>
      <c r="E180" s="263">
        <v>0</v>
      </c>
      <c r="F180" s="262" t="s">
        <v>1369</v>
      </c>
      <c r="G180" s="262" t="s">
        <v>1370</v>
      </c>
      <c r="H180" s="262" t="s">
        <v>928</v>
      </c>
      <c r="I180" s="263">
        <v>6</v>
      </c>
      <c r="J180" s="262" t="s">
        <v>689</v>
      </c>
      <c r="K180" s="263">
        <v>23</v>
      </c>
      <c r="L180" s="263">
        <v>6</v>
      </c>
      <c r="M180" s="265" t="s">
        <v>1369</v>
      </c>
      <c r="N180" s="80" t="s">
        <v>1371</v>
      </c>
      <c r="O180" s="263"/>
      <c r="P180" s="262"/>
      <c r="Q180" s="262"/>
      <c r="R180" s="262"/>
      <c r="S180" s="72" t="s">
        <v>693</v>
      </c>
      <c r="T180" s="72" t="s">
        <v>1364</v>
      </c>
      <c r="U180" s="72" t="s">
        <v>1372</v>
      </c>
      <c r="V180" s="262" t="s">
        <v>1373</v>
      </c>
      <c r="W180" s="262"/>
      <c r="X180" s="262" t="s">
        <v>697</v>
      </c>
      <c r="Y180" s="72" t="s">
        <v>1364</v>
      </c>
      <c r="Z180" s="72" t="s">
        <v>1372</v>
      </c>
      <c r="AA180" s="262"/>
    </row>
    <row r="181" spans="2:27" ht="36.75" hidden="1" customHeight="1">
      <c r="B181" s="262" t="s">
        <v>683</v>
      </c>
      <c r="C181" s="262" t="s">
        <v>1362</v>
      </c>
      <c r="D181" s="262" t="s">
        <v>1363</v>
      </c>
      <c r="E181" s="263">
        <v>0</v>
      </c>
      <c r="F181" s="262" t="s">
        <v>705</v>
      </c>
      <c r="G181" s="262" t="s">
        <v>706</v>
      </c>
      <c r="H181" s="262" t="s">
        <v>707</v>
      </c>
      <c r="I181" s="263">
        <v>7</v>
      </c>
      <c r="J181" s="262" t="s">
        <v>689</v>
      </c>
      <c r="K181" s="263">
        <v>20</v>
      </c>
      <c r="L181" s="263"/>
      <c r="M181" s="265" t="s">
        <v>886</v>
      </c>
      <c r="N181" s="77" t="s">
        <v>709</v>
      </c>
      <c r="O181" s="263"/>
      <c r="P181" s="265" t="s">
        <v>710</v>
      </c>
      <c r="Q181" s="265"/>
      <c r="R181" s="265"/>
      <c r="S181" s="72" t="s">
        <v>693</v>
      </c>
      <c r="T181" s="72" t="s">
        <v>1364</v>
      </c>
      <c r="U181" s="77" t="s">
        <v>711</v>
      </c>
      <c r="V181" s="262" t="s">
        <v>1374</v>
      </c>
      <c r="W181" s="262"/>
      <c r="X181" s="262" t="s">
        <v>697</v>
      </c>
      <c r="Y181" s="72" t="s">
        <v>1364</v>
      </c>
      <c r="Z181" s="77" t="s">
        <v>711</v>
      </c>
      <c r="AA181" s="262"/>
    </row>
    <row r="182" spans="2:27" ht="36.75" hidden="1" customHeight="1">
      <c r="B182" s="262" t="s">
        <v>683</v>
      </c>
      <c r="C182" s="262" t="s">
        <v>1362</v>
      </c>
      <c r="D182" s="262" t="s">
        <v>1363</v>
      </c>
      <c r="E182" s="263">
        <v>0</v>
      </c>
      <c r="F182" s="262" t="s">
        <v>713</v>
      </c>
      <c r="G182" s="262" t="s">
        <v>714</v>
      </c>
      <c r="H182" s="262" t="s">
        <v>707</v>
      </c>
      <c r="I182" s="263">
        <v>8</v>
      </c>
      <c r="J182" s="262" t="s">
        <v>689</v>
      </c>
      <c r="K182" s="263">
        <v>20</v>
      </c>
      <c r="L182" s="263"/>
      <c r="M182" s="265" t="s">
        <v>888</v>
      </c>
      <c r="N182" s="77" t="s">
        <v>717</v>
      </c>
      <c r="O182" s="263"/>
      <c r="P182" s="265" t="s">
        <v>718</v>
      </c>
      <c r="Q182" s="265"/>
      <c r="R182" s="265"/>
      <c r="S182" s="72" t="s">
        <v>693</v>
      </c>
      <c r="T182" s="72" t="s">
        <v>1364</v>
      </c>
      <c r="U182" s="77" t="s">
        <v>719</v>
      </c>
      <c r="V182" s="262" t="s">
        <v>1375</v>
      </c>
      <c r="W182" s="262"/>
      <c r="X182" s="262" t="s">
        <v>697</v>
      </c>
      <c r="Y182" s="72" t="s">
        <v>1364</v>
      </c>
      <c r="Z182" s="77" t="s">
        <v>719</v>
      </c>
      <c r="AA182" s="262"/>
    </row>
    <row r="183" spans="2:27" ht="36.75" hidden="1" customHeight="1">
      <c r="B183" s="262" t="s">
        <v>683</v>
      </c>
      <c r="C183" s="262" t="s">
        <v>1362</v>
      </c>
      <c r="D183" s="262" t="s">
        <v>1363</v>
      </c>
      <c r="E183" s="263">
        <v>0</v>
      </c>
      <c r="F183" s="262" t="s">
        <v>1295</v>
      </c>
      <c r="G183" s="262" t="s">
        <v>1296</v>
      </c>
      <c r="H183" s="262" t="s">
        <v>707</v>
      </c>
      <c r="I183" s="263">
        <v>9</v>
      </c>
      <c r="J183" s="262" t="s">
        <v>689</v>
      </c>
      <c r="K183" s="263">
        <v>20</v>
      </c>
      <c r="L183" s="263"/>
      <c r="M183" s="265" t="s">
        <v>1298</v>
      </c>
      <c r="N183" s="77" t="s">
        <v>1376</v>
      </c>
      <c r="O183" s="263"/>
      <c r="P183" s="265" t="s">
        <v>1300</v>
      </c>
      <c r="Q183" s="265"/>
      <c r="R183" s="265"/>
      <c r="S183" s="72" t="s">
        <v>693</v>
      </c>
      <c r="T183" s="72" t="s">
        <v>1364</v>
      </c>
      <c r="U183" s="77" t="s">
        <v>1301</v>
      </c>
      <c r="V183" s="262" t="s">
        <v>1377</v>
      </c>
      <c r="W183" s="262"/>
      <c r="X183" s="262" t="s">
        <v>697</v>
      </c>
      <c r="Y183" s="72" t="s">
        <v>1364</v>
      </c>
      <c r="Z183" s="77" t="s">
        <v>1301</v>
      </c>
      <c r="AA183" s="262"/>
    </row>
    <row r="184" spans="2:27" ht="36.75" hidden="1" customHeight="1">
      <c r="B184" s="269" t="s">
        <v>683</v>
      </c>
      <c r="C184" s="269" t="s">
        <v>1362</v>
      </c>
      <c r="D184" s="269" t="s">
        <v>1363</v>
      </c>
      <c r="E184" s="270">
        <v>0</v>
      </c>
      <c r="F184" s="269" t="s">
        <v>1378</v>
      </c>
      <c r="G184" s="269" t="s">
        <v>1379</v>
      </c>
      <c r="H184" s="269" t="s">
        <v>1380</v>
      </c>
      <c r="I184" s="270">
        <v>10</v>
      </c>
      <c r="J184" s="269" t="s">
        <v>689</v>
      </c>
      <c r="K184" s="270">
        <v>10</v>
      </c>
      <c r="L184" s="270"/>
      <c r="M184" s="271" t="s">
        <v>1381</v>
      </c>
      <c r="N184" s="269" t="s">
        <v>1382</v>
      </c>
      <c r="O184" s="270"/>
      <c r="P184" s="269"/>
      <c r="Q184" s="269"/>
      <c r="R184" s="269"/>
      <c r="S184" s="104"/>
      <c r="T184" s="103" t="s">
        <v>1364</v>
      </c>
      <c r="U184" s="103" t="s">
        <v>1383</v>
      </c>
      <c r="V184" s="269"/>
      <c r="W184" s="269"/>
      <c r="X184" s="269" t="s">
        <v>697</v>
      </c>
      <c r="Y184" s="103" t="s">
        <v>1364</v>
      </c>
      <c r="Z184" s="103" t="s">
        <v>1383</v>
      </c>
      <c r="AA184" s="269"/>
    </row>
    <row r="185" spans="2:27" ht="36.75" hidden="1" customHeight="1">
      <c r="B185" s="269" t="s">
        <v>683</v>
      </c>
      <c r="C185" s="269" t="s">
        <v>1362</v>
      </c>
      <c r="D185" s="269" t="s">
        <v>1363</v>
      </c>
      <c r="E185" s="270">
        <v>0</v>
      </c>
      <c r="F185" s="269" t="s">
        <v>727</v>
      </c>
      <c r="G185" s="269" t="s">
        <v>728</v>
      </c>
      <c r="H185" s="269" t="s">
        <v>707</v>
      </c>
      <c r="I185" s="270">
        <v>11</v>
      </c>
      <c r="J185" s="269" t="s">
        <v>689</v>
      </c>
      <c r="K185" s="270">
        <v>20</v>
      </c>
      <c r="L185" s="270"/>
      <c r="M185" s="271" t="s">
        <v>729</v>
      </c>
      <c r="N185" s="107" t="s">
        <v>1384</v>
      </c>
      <c r="O185" s="270"/>
      <c r="P185" s="271" t="s">
        <v>731</v>
      </c>
      <c r="Q185" s="271"/>
      <c r="R185" s="271"/>
      <c r="S185" s="104"/>
      <c r="T185" s="103" t="s">
        <v>1364</v>
      </c>
      <c r="U185" s="103" t="s">
        <v>732</v>
      </c>
      <c r="V185" s="269"/>
      <c r="W185" s="269"/>
      <c r="X185" s="269" t="s">
        <v>697</v>
      </c>
      <c r="Y185" s="103" t="s">
        <v>1364</v>
      </c>
      <c r="Z185" s="103" t="s">
        <v>732</v>
      </c>
      <c r="AA185" s="269"/>
    </row>
    <row r="186" spans="2:27" ht="36.75" hidden="1" customHeight="1">
      <c r="B186" s="262" t="s">
        <v>683</v>
      </c>
      <c r="C186" s="262" t="s">
        <v>1362</v>
      </c>
      <c r="D186" s="262" t="s">
        <v>1363</v>
      </c>
      <c r="E186" s="263">
        <v>0</v>
      </c>
      <c r="F186" s="262" t="s">
        <v>1385</v>
      </c>
      <c r="G186" s="262" t="s">
        <v>1386</v>
      </c>
      <c r="H186" s="262" t="s">
        <v>1387</v>
      </c>
      <c r="I186" s="263">
        <v>12</v>
      </c>
      <c r="J186" s="262" t="s">
        <v>689</v>
      </c>
      <c r="K186" s="263">
        <v>10</v>
      </c>
      <c r="L186" s="263"/>
      <c r="M186" s="265" t="s">
        <v>1388</v>
      </c>
      <c r="N186" s="80" t="s">
        <v>1389</v>
      </c>
      <c r="O186" s="263"/>
      <c r="P186" s="262"/>
      <c r="Q186" s="262"/>
      <c r="R186" s="262"/>
      <c r="S186" s="72" t="s">
        <v>693</v>
      </c>
      <c r="T186" s="72" t="s">
        <v>1364</v>
      </c>
      <c r="U186" s="72" t="s">
        <v>1390</v>
      </c>
      <c r="V186" s="262" t="s">
        <v>1391</v>
      </c>
      <c r="W186" s="262"/>
      <c r="X186" s="262" t="s">
        <v>697</v>
      </c>
      <c r="Y186" s="72" t="s">
        <v>1364</v>
      </c>
      <c r="Z186" s="72" t="s">
        <v>1390</v>
      </c>
      <c r="AA186" s="262"/>
    </row>
    <row r="187" spans="2:27" ht="36.75" hidden="1" customHeight="1">
      <c r="B187" s="262" t="s">
        <v>683</v>
      </c>
      <c r="C187" s="262" t="s">
        <v>1362</v>
      </c>
      <c r="D187" s="262" t="s">
        <v>1363</v>
      </c>
      <c r="E187" s="263">
        <v>0</v>
      </c>
      <c r="F187" s="262" t="s">
        <v>1392</v>
      </c>
      <c r="G187" s="262" t="s">
        <v>1393</v>
      </c>
      <c r="H187" s="262" t="s">
        <v>1387</v>
      </c>
      <c r="I187" s="263">
        <v>13</v>
      </c>
      <c r="J187" s="262" t="s">
        <v>689</v>
      </c>
      <c r="K187" s="263">
        <v>10</v>
      </c>
      <c r="L187" s="263"/>
      <c r="M187" s="265" t="s">
        <v>1394</v>
      </c>
      <c r="N187" s="77" t="s">
        <v>1395</v>
      </c>
      <c r="O187" s="263"/>
      <c r="P187" s="262"/>
      <c r="Q187" s="262"/>
      <c r="R187" s="262"/>
      <c r="S187" s="72" t="s">
        <v>693</v>
      </c>
      <c r="T187" s="72" t="s">
        <v>1364</v>
      </c>
      <c r="U187" s="77" t="s">
        <v>1287</v>
      </c>
      <c r="V187" s="262" t="s">
        <v>1396</v>
      </c>
      <c r="W187" s="262"/>
      <c r="X187" s="262" t="s">
        <v>697</v>
      </c>
      <c r="Y187" s="72" t="s">
        <v>1364</v>
      </c>
      <c r="Z187" s="77" t="s">
        <v>1287</v>
      </c>
      <c r="AA187" s="262"/>
    </row>
    <row r="188" spans="2:27" ht="36.75" hidden="1" customHeight="1">
      <c r="B188" s="262" t="s">
        <v>683</v>
      </c>
      <c r="C188" s="262" t="s">
        <v>1362</v>
      </c>
      <c r="D188" s="262" t="s">
        <v>1363</v>
      </c>
      <c r="E188" s="263">
        <v>0</v>
      </c>
      <c r="F188" s="262" t="s">
        <v>1397</v>
      </c>
      <c r="G188" s="262" t="s">
        <v>1398</v>
      </c>
      <c r="H188" s="262" t="s">
        <v>1399</v>
      </c>
      <c r="I188" s="263">
        <v>14</v>
      </c>
      <c r="J188" s="262" t="s">
        <v>689</v>
      </c>
      <c r="K188" s="263">
        <v>23</v>
      </c>
      <c r="L188" s="263">
        <v>6</v>
      </c>
      <c r="M188" s="265" t="s">
        <v>1400</v>
      </c>
      <c r="N188" s="77" t="s">
        <v>1401</v>
      </c>
      <c r="O188" s="263"/>
      <c r="P188" s="262"/>
      <c r="Q188" s="262"/>
      <c r="R188" s="262"/>
      <c r="S188" s="72" t="s">
        <v>693</v>
      </c>
      <c r="T188" s="72" t="s">
        <v>1364</v>
      </c>
      <c r="U188" s="77" t="s">
        <v>902</v>
      </c>
      <c r="V188" s="262" t="s">
        <v>1402</v>
      </c>
      <c r="W188" s="262"/>
      <c r="X188" s="262" t="s">
        <v>697</v>
      </c>
      <c r="Y188" s="72" t="s">
        <v>1364</v>
      </c>
      <c r="Z188" s="77" t="s">
        <v>902</v>
      </c>
      <c r="AA188" s="262"/>
    </row>
    <row r="189" spans="2:27" ht="36.75" hidden="1" customHeight="1">
      <c r="B189" s="262" t="s">
        <v>683</v>
      </c>
      <c r="C189" s="262" t="s">
        <v>1362</v>
      </c>
      <c r="D189" s="262" t="s">
        <v>1363</v>
      </c>
      <c r="E189" s="263">
        <v>0</v>
      </c>
      <c r="F189" s="262" t="s">
        <v>1403</v>
      </c>
      <c r="G189" s="262" t="s">
        <v>1404</v>
      </c>
      <c r="H189" s="262" t="s">
        <v>1399</v>
      </c>
      <c r="I189" s="263">
        <v>15</v>
      </c>
      <c r="J189" s="262" t="s">
        <v>689</v>
      </c>
      <c r="K189" s="263"/>
      <c r="L189" s="263"/>
      <c r="M189" s="265" t="s">
        <v>1405</v>
      </c>
      <c r="N189" s="80" t="s">
        <v>1406</v>
      </c>
      <c r="O189" s="263"/>
      <c r="P189" s="262"/>
      <c r="Q189" s="262"/>
      <c r="R189" s="262"/>
      <c r="S189" s="72" t="s">
        <v>693</v>
      </c>
      <c r="T189" s="72" t="s">
        <v>1364</v>
      </c>
      <c r="U189" s="72" t="s">
        <v>1407</v>
      </c>
      <c r="V189" s="262" t="s">
        <v>1408</v>
      </c>
      <c r="W189" s="262"/>
      <c r="X189" s="262" t="s">
        <v>697</v>
      </c>
      <c r="Y189" s="72" t="s">
        <v>1364</v>
      </c>
      <c r="Z189" s="72" t="s">
        <v>1407</v>
      </c>
      <c r="AA189" s="262"/>
    </row>
    <row r="190" spans="2:27" ht="36.75" hidden="1" customHeight="1">
      <c r="B190" s="262" t="s">
        <v>683</v>
      </c>
      <c r="C190" s="262" t="s">
        <v>1362</v>
      </c>
      <c r="D190" s="262" t="s">
        <v>1363</v>
      </c>
      <c r="E190" s="263">
        <v>0</v>
      </c>
      <c r="F190" s="262" t="s">
        <v>1409</v>
      </c>
      <c r="G190" s="262" t="s">
        <v>1410</v>
      </c>
      <c r="H190" s="262" t="s">
        <v>1411</v>
      </c>
      <c r="I190" s="263">
        <v>16</v>
      </c>
      <c r="J190" s="262" t="s">
        <v>689</v>
      </c>
      <c r="K190" s="263"/>
      <c r="L190" s="263"/>
      <c r="M190" s="265" t="s">
        <v>1412</v>
      </c>
      <c r="N190" s="77" t="s">
        <v>1413</v>
      </c>
      <c r="O190" s="263"/>
      <c r="P190" s="265" t="s">
        <v>1414</v>
      </c>
      <c r="Q190" s="265"/>
      <c r="R190" s="265"/>
      <c r="S190" s="72" t="s">
        <v>693</v>
      </c>
      <c r="T190" s="72" t="s">
        <v>1364</v>
      </c>
      <c r="U190" s="77" t="s">
        <v>1415</v>
      </c>
      <c r="V190" s="262" t="s">
        <v>1416</v>
      </c>
      <c r="W190" s="262"/>
      <c r="X190" s="262" t="s">
        <v>697</v>
      </c>
      <c r="Y190" s="72" t="s">
        <v>1364</v>
      </c>
      <c r="Z190" s="77" t="s">
        <v>1415</v>
      </c>
      <c r="AA190" s="262"/>
    </row>
    <row r="191" spans="2:27" ht="36.75" hidden="1" customHeight="1">
      <c r="B191" s="262" t="s">
        <v>683</v>
      </c>
      <c r="C191" s="262" t="s">
        <v>1362</v>
      </c>
      <c r="D191" s="262" t="s">
        <v>1363</v>
      </c>
      <c r="E191" s="263">
        <v>0</v>
      </c>
      <c r="F191" s="262" t="s">
        <v>1417</v>
      </c>
      <c r="G191" s="262" t="s">
        <v>1418</v>
      </c>
      <c r="H191" s="262" t="s">
        <v>1399</v>
      </c>
      <c r="I191" s="263">
        <v>17</v>
      </c>
      <c r="J191" s="262" t="s">
        <v>689</v>
      </c>
      <c r="K191" s="263">
        <v>23</v>
      </c>
      <c r="L191" s="263">
        <v>6</v>
      </c>
      <c r="M191" s="265" t="s">
        <v>1419</v>
      </c>
      <c r="N191" s="77" t="s">
        <v>738</v>
      </c>
      <c r="O191" s="263"/>
      <c r="P191" s="262"/>
      <c r="Q191" s="262"/>
      <c r="R191" s="262"/>
      <c r="S191" s="72" t="s">
        <v>693</v>
      </c>
      <c r="T191" s="72" t="s">
        <v>1364</v>
      </c>
      <c r="U191" s="77" t="s">
        <v>1420</v>
      </c>
      <c r="V191" s="262" t="s">
        <v>1421</v>
      </c>
      <c r="W191" s="262"/>
      <c r="X191" s="262" t="s">
        <v>697</v>
      </c>
      <c r="Y191" s="72" t="s">
        <v>1364</v>
      </c>
      <c r="Z191" s="77" t="s">
        <v>1420</v>
      </c>
      <c r="AA191" s="262"/>
    </row>
    <row r="192" spans="2:27" ht="36.75" hidden="1" customHeight="1">
      <c r="B192" s="262" t="s">
        <v>683</v>
      </c>
      <c r="C192" s="262" t="s">
        <v>1362</v>
      </c>
      <c r="D192" s="262" t="s">
        <v>1363</v>
      </c>
      <c r="E192" s="263">
        <v>0</v>
      </c>
      <c r="F192" s="262" t="s">
        <v>1422</v>
      </c>
      <c r="G192" s="262" t="s">
        <v>1423</v>
      </c>
      <c r="H192" s="262" t="s">
        <v>1399</v>
      </c>
      <c r="I192" s="263">
        <v>18</v>
      </c>
      <c r="J192" s="262" t="s">
        <v>689</v>
      </c>
      <c r="K192" s="263">
        <v>23</v>
      </c>
      <c r="L192" s="263">
        <v>6</v>
      </c>
      <c r="M192" s="265" t="s">
        <v>1424</v>
      </c>
      <c r="N192" s="77" t="s">
        <v>1425</v>
      </c>
      <c r="O192" s="263"/>
      <c r="P192" s="262"/>
      <c r="Q192" s="262"/>
      <c r="R192" s="262"/>
      <c r="S192" s="72" t="s">
        <v>693</v>
      </c>
      <c r="T192" s="72" t="s">
        <v>1364</v>
      </c>
      <c r="U192" s="77" t="s">
        <v>1426</v>
      </c>
      <c r="V192" s="262" t="s">
        <v>1427</v>
      </c>
      <c r="W192" s="262"/>
      <c r="X192" s="262" t="s">
        <v>697</v>
      </c>
      <c r="Y192" s="72" t="s">
        <v>1364</v>
      </c>
      <c r="Z192" s="77" t="s">
        <v>1426</v>
      </c>
      <c r="AA192" s="262"/>
    </row>
    <row r="193" spans="2:27" ht="36.75" hidden="1" customHeight="1">
      <c r="B193" s="262" t="s">
        <v>683</v>
      </c>
      <c r="C193" s="262" t="s">
        <v>1362</v>
      </c>
      <c r="D193" s="262" t="s">
        <v>1363</v>
      </c>
      <c r="E193" s="263">
        <v>0</v>
      </c>
      <c r="F193" s="262" t="s">
        <v>1428</v>
      </c>
      <c r="G193" s="262" t="s">
        <v>1429</v>
      </c>
      <c r="H193" s="262" t="s">
        <v>1430</v>
      </c>
      <c r="I193" s="263">
        <v>19</v>
      </c>
      <c r="J193" s="262" t="s">
        <v>689</v>
      </c>
      <c r="K193" s="263">
        <v>20</v>
      </c>
      <c r="L193" s="263"/>
      <c r="M193" s="265" t="s">
        <v>1431</v>
      </c>
      <c r="N193" s="77" t="s">
        <v>1432</v>
      </c>
      <c r="O193" s="263"/>
      <c r="P193" s="265" t="s">
        <v>1433</v>
      </c>
      <c r="Q193" s="265"/>
      <c r="R193" s="265"/>
      <c r="S193" s="72" t="s">
        <v>693</v>
      </c>
      <c r="T193" s="72" t="s">
        <v>1364</v>
      </c>
      <c r="U193" s="77" t="s">
        <v>1434</v>
      </c>
      <c r="V193" s="262" t="s">
        <v>1435</v>
      </c>
      <c r="W193" s="262"/>
      <c r="X193" s="262" t="s">
        <v>697</v>
      </c>
      <c r="Y193" s="72" t="s">
        <v>1364</v>
      </c>
      <c r="Z193" s="77" t="s">
        <v>1434</v>
      </c>
      <c r="AA193" s="262"/>
    </row>
    <row r="194" spans="2:27" ht="36.75" hidden="1" customHeight="1">
      <c r="B194" s="262" t="s">
        <v>683</v>
      </c>
      <c r="C194" s="262" t="s">
        <v>1362</v>
      </c>
      <c r="D194" s="262" t="s">
        <v>1363</v>
      </c>
      <c r="E194" s="263">
        <v>0</v>
      </c>
      <c r="F194" s="262" t="s">
        <v>1436</v>
      </c>
      <c r="G194" s="262" t="s">
        <v>1437</v>
      </c>
      <c r="H194" s="262" t="s">
        <v>1430</v>
      </c>
      <c r="I194" s="263">
        <v>20</v>
      </c>
      <c r="J194" s="262" t="s">
        <v>689</v>
      </c>
      <c r="K194" s="263">
        <v>20</v>
      </c>
      <c r="L194" s="263"/>
      <c r="M194" s="265" t="s">
        <v>1438</v>
      </c>
      <c r="N194" s="77" t="s">
        <v>1439</v>
      </c>
      <c r="O194" s="263"/>
      <c r="P194" s="265" t="s">
        <v>1440</v>
      </c>
      <c r="Q194" s="265"/>
      <c r="R194" s="265"/>
      <c r="S194" s="72" t="s">
        <v>693</v>
      </c>
      <c r="T194" s="72" t="s">
        <v>1364</v>
      </c>
      <c r="U194" s="77" t="s">
        <v>70</v>
      </c>
      <c r="V194" s="262" t="s">
        <v>1441</v>
      </c>
      <c r="W194" s="262"/>
      <c r="X194" s="262" t="s">
        <v>697</v>
      </c>
      <c r="Y194" s="72" t="s">
        <v>1364</v>
      </c>
      <c r="Z194" s="77" t="s">
        <v>70</v>
      </c>
      <c r="AA194" s="262"/>
    </row>
    <row r="195" spans="2:27" ht="36.75" hidden="1" customHeight="1">
      <c r="B195" s="262" t="s">
        <v>683</v>
      </c>
      <c r="C195" s="262" t="s">
        <v>1362</v>
      </c>
      <c r="D195" s="262" t="s">
        <v>1363</v>
      </c>
      <c r="E195" s="263">
        <v>0</v>
      </c>
      <c r="F195" s="262" t="s">
        <v>1442</v>
      </c>
      <c r="G195" s="262" t="s">
        <v>1443</v>
      </c>
      <c r="H195" s="262" t="s">
        <v>1430</v>
      </c>
      <c r="I195" s="263">
        <v>21</v>
      </c>
      <c r="J195" s="262" t="s">
        <v>689</v>
      </c>
      <c r="K195" s="263">
        <v>20</v>
      </c>
      <c r="L195" s="263"/>
      <c r="M195" s="265" t="s">
        <v>1444</v>
      </c>
      <c r="N195" s="77" t="s">
        <v>1445</v>
      </c>
      <c r="O195" s="263"/>
      <c r="P195" s="265" t="s">
        <v>1446</v>
      </c>
      <c r="Q195" s="265"/>
      <c r="R195" s="265"/>
      <c r="S195" s="72" t="s">
        <v>693</v>
      </c>
      <c r="T195" s="72" t="s">
        <v>1364</v>
      </c>
      <c r="U195" s="77" t="s">
        <v>411</v>
      </c>
      <c r="V195" s="262" t="s">
        <v>1447</v>
      </c>
      <c r="W195" s="262"/>
      <c r="X195" s="262" t="s">
        <v>697</v>
      </c>
      <c r="Y195" s="72" t="s">
        <v>1364</v>
      </c>
      <c r="Z195" s="77" t="s">
        <v>411</v>
      </c>
      <c r="AA195" s="262"/>
    </row>
    <row r="196" spans="2:27" ht="36.75" hidden="1" customHeight="1">
      <c r="B196" s="262" t="s">
        <v>683</v>
      </c>
      <c r="C196" s="262" t="s">
        <v>1362</v>
      </c>
      <c r="D196" s="262" t="s">
        <v>1363</v>
      </c>
      <c r="E196" s="263">
        <v>0</v>
      </c>
      <c r="F196" s="262" t="s">
        <v>1448</v>
      </c>
      <c r="G196" s="262" t="s">
        <v>1449</v>
      </c>
      <c r="H196" s="262" t="s">
        <v>1450</v>
      </c>
      <c r="I196" s="263">
        <v>22</v>
      </c>
      <c r="J196" s="262" t="s">
        <v>689</v>
      </c>
      <c r="K196" s="263"/>
      <c r="L196" s="263"/>
      <c r="M196" s="265" t="s">
        <v>1451</v>
      </c>
      <c r="N196" s="77" t="s">
        <v>1452</v>
      </c>
      <c r="O196" s="263"/>
      <c r="P196" s="262"/>
      <c r="Q196" s="262"/>
      <c r="R196" s="262"/>
      <c r="S196" s="72" t="s">
        <v>693</v>
      </c>
      <c r="T196" s="72" t="s">
        <v>1364</v>
      </c>
      <c r="U196" s="77" t="s">
        <v>1453</v>
      </c>
      <c r="V196" s="262" t="s">
        <v>1454</v>
      </c>
      <c r="W196" s="262"/>
      <c r="X196" s="262" t="s">
        <v>697</v>
      </c>
      <c r="Y196" s="72" t="s">
        <v>1364</v>
      </c>
      <c r="Z196" s="77" t="s">
        <v>1453</v>
      </c>
      <c r="AA196" s="262"/>
    </row>
    <row r="197" spans="2:27" ht="36.75" hidden="1" customHeight="1">
      <c r="B197" s="262" t="s">
        <v>683</v>
      </c>
      <c r="C197" s="262" t="s">
        <v>1362</v>
      </c>
      <c r="D197" s="262" t="s">
        <v>1363</v>
      </c>
      <c r="E197" s="263">
        <v>0</v>
      </c>
      <c r="F197" s="262" t="s">
        <v>1455</v>
      </c>
      <c r="G197" s="262" t="s">
        <v>1456</v>
      </c>
      <c r="H197" s="262" t="s">
        <v>1450</v>
      </c>
      <c r="I197" s="263">
        <v>23</v>
      </c>
      <c r="J197" s="262" t="s">
        <v>689</v>
      </c>
      <c r="K197" s="263"/>
      <c r="L197" s="263"/>
      <c r="M197" s="265" t="s">
        <v>1457</v>
      </c>
      <c r="N197" s="77" t="s">
        <v>1458</v>
      </c>
      <c r="O197" s="263"/>
      <c r="P197" s="262"/>
      <c r="Q197" s="262"/>
      <c r="R197" s="262"/>
      <c r="S197" s="72" t="s">
        <v>693</v>
      </c>
      <c r="T197" s="72" t="s">
        <v>1364</v>
      </c>
      <c r="U197" s="77" t="s">
        <v>1459</v>
      </c>
      <c r="V197" s="262" t="s">
        <v>1460</v>
      </c>
      <c r="W197" s="262"/>
      <c r="X197" s="262" t="s">
        <v>697</v>
      </c>
      <c r="Y197" s="72" t="s">
        <v>1364</v>
      </c>
      <c r="Z197" s="77" t="s">
        <v>1459</v>
      </c>
      <c r="AA197" s="262"/>
    </row>
    <row r="198" spans="2:27" ht="36.75" hidden="1" customHeight="1">
      <c r="B198" s="262" t="s">
        <v>683</v>
      </c>
      <c r="C198" s="262" t="s">
        <v>1362</v>
      </c>
      <c r="D198" s="262" t="s">
        <v>1363</v>
      </c>
      <c r="E198" s="263">
        <v>0</v>
      </c>
      <c r="F198" s="262" t="s">
        <v>1461</v>
      </c>
      <c r="G198" s="262" t="s">
        <v>1462</v>
      </c>
      <c r="H198" s="262" t="s">
        <v>1450</v>
      </c>
      <c r="I198" s="263">
        <v>24</v>
      </c>
      <c r="J198" s="262" t="s">
        <v>689</v>
      </c>
      <c r="K198" s="263"/>
      <c r="L198" s="263"/>
      <c r="M198" s="265" t="s">
        <v>1463</v>
      </c>
      <c r="N198" s="77" t="s">
        <v>1464</v>
      </c>
      <c r="O198" s="263"/>
      <c r="P198" s="262"/>
      <c r="Q198" s="262"/>
      <c r="R198" s="262"/>
      <c r="S198" s="72" t="s">
        <v>693</v>
      </c>
      <c r="T198" s="72" t="s">
        <v>1364</v>
      </c>
      <c r="U198" s="77" t="s">
        <v>1465</v>
      </c>
      <c r="V198" s="262" t="s">
        <v>1466</v>
      </c>
      <c r="W198" s="262"/>
      <c r="X198" s="262" t="s">
        <v>697</v>
      </c>
      <c r="Y198" s="72" t="s">
        <v>1364</v>
      </c>
      <c r="Z198" s="77" t="s">
        <v>1465</v>
      </c>
      <c r="AA198" s="262"/>
    </row>
    <row r="199" spans="2:27" ht="36.75" hidden="1" customHeight="1">
      <c r="B199" s="262" t="s">
        <v>683</v>
      </c>
      <c r="C199" s="262" t="s">
        <v>1362</v>
      </c>
      <c r="D199" s="262" t="s">
        <v>1363</v>
      </c>
      <c r="E199" s="263">
        <v>0</v>
      </c>
      <c r="F199" s="262" t="s">
        <v>1467</v>
      </c>
      <c r="G199" s="262" t="s">
        <v>1468</v>
      </c>
      <c r="H199" s="262" t="s">
        <v>1450</v>
      </c>
      <c r="I199" s="263">
        <v>25</v>
      </c>
      <c r="J199" s="262" t="s">
        <v>689</v>
      </c>
      <c r="K199" s="263"/>
      <c r="L199" s="263"/>
      <c r="M199" s="265" t="s">
        <v>1469</v>
      </c>
      <c r="N199" s="77" t="s">
        <v>1470</v>
      </c>
      <c r="O199" s="263"/>
      <c r="P199" s="262"/>
      <c r="Q199" s="262"/>
      <c r="R199" s="262"/>
      <c r="S199" s="72" t="s">
        <v>693</v>
      </c>
      <c r="T199" s="72" t="s">
        <v>1364</v>
      </c>
      <c r="U199" s="79" t="s">
        <v>1471</v>
      </c>
      <c r="V199" s="262" t="s">
        <v>1472</v>
      </c>
      <c r="W199" s="262"/>
      <c r="X199" s="262" t="s">
        <v>697</v>
      </c>
      <c r="Y199" s="72" t="s">
        <v>1364</v>
      </c>
      <c r="Z199" s="79" t="s">
        <v>1471</v>
      </c>
      <c r="AA199" s="262"/>
    </row>
    <row r="200" spans="2:27" ht="36.75" hidden="1" customHeight="1">
      <c r="B200" s="262" t="s">
        <v>683</v>
      </c>
      <c r="C200" s="262" t="s">
        <v>1362</v>
      </c>
      <c r="D200" s="262" t="s">
        <v>1363</v>
      </c>
      <c r="E200" s="263">
        <v>0</v>
      </c>
      <c r="F200" s="262" t="s">
        <v>1473</v>
      </c>
      <c r="G200" s="262" t="s">
        <v>1474</v>
      </c>
      <c r="H200" s="262" t="s">
        <v>1450</v>
      </c>
      <c r="I200" s="263">
        <v>26</v>
      </c>
      <c r="J200" s="262" t="s">
        <v>689</v>
      </c>
      <c r="K200" s="263"/>
      <c r="L200" s="263"/>
      <c r="M200" s="265" t="s">
        <v>1475</v>
      </c>
      <c r="N200" s="77" t="s">
        <v>1476</v>
      </c>
      <c r="O200" s="263"/>
      <c r="P200" s="262"/>
      <c r="Q200" s="262"/>
      <c r="R200" s="262"/>
      <c r="S200" s="72" t="s">
        <v>693</v>
      </c>
      <c r="T200" s="72" t="s">
        <v>1364</v>
      </c>
      <c r="U200" s="77" t="s">
        <v>1477</v>
      </c>
      <c r="V200" s="262" t="s">
        <v>1478</v>
      </c>
      <c r="W200" s="262"/>
      <c r="X200" s="262" t="s">
        <v>697</v>
      </c>
      <c r="Y200" s="72" t="s">
        <v>1364</v>
      </c>
      <c r="Z200" s="77" t="s">
        <v>1477</v>
      </c>
      <c r="AA200" s="262"/>
    </row>
    <row r="201" spans="2:27" ht="36.75" hidden="1" customHeight="1">
      <c r="B201" s="262" t="s">
        <v>683</v>
      </c>
      <c r="C201" s="262" t="s">
        <v>1362</v>
      </c>
      <c r="D201" s="262" t="s">
        <v>1363</v>
      </c>
      <c r="E201" s="263">
        <v>0</v>
      </c>
      <c r="F201" s="262" t="s">
        <v>1479</v>
      </c>
      <c r="G201" s="262" t="s">
        <v>1480</v>
      </c>
      <c r="H201" s="262" t="s">
        <v>1450</v>
      </c>
      <c r="I201" s="263">
        <v>27</v>
      </c>
      <c r="J201" s="262" t="s">
        <v>689</v>
      </c>
      <c r="K201" s="263">
        <v>20</v>
      </c>
      <c r="L201" s="263"/>
      <c r="M201" s="265" t="s">
        <v>1481</v>
      </c>
      <c r="N201" s="77" t="s">
        <v>1482</v>
      </c>
      <c r="O201" s="263"/>
      <c r="P201" s="262"/>
      <c r="Q201" s="262"/>
      <c r="R201" s="262"/>
      <c r="S201" s="72" t="s">
        <v>693</v>
      </c>
      <c r="T201" s="72" t="s">
        <v>1364</v>
      </c>
      <c r="U201" s="79" t="s">
        <v>407</v>
      </c>
      <c r="V201" s="262" t="s">
        <v>1483</v>
      </c>
      <c r="W201" s="262"/>
      <c r="X201" s="262" t="s">
        <v>697</v>
      </c>
      <c r="Y201" s="72" t="s">
        <v>1364</v>
      </c>
      <c r="Z201" s="79" t="s">
        <v>407</v>
      </c>
      <c r="AA201" s="262"/>
    </row>
    <row r="202" spans="2:27" ht="36.75" hidden="1" customHeight="1">
      <c r="B202" s="262" t="s">
        <v>683</v>
      </c>
      <c r="C202" s="262" t="s">
        <v>1362</v>
      </c>
      <c r="D202" s="262" t="s">
        <v>1363</v>
      </c>
      <c r="E202" s="263">
        <v>0</v>
      </c>
      <c r="F202" s="262" t="s">
        <v>1484</v>
      </c>
      <c r="G202" s="262" t="s">
        <v>1485</v>
      </c>
      <c r="H202" s="262" t="s">
        <v>1450</v>
      </c>
      <c r="I202" s="263">
        <v>28</v>
      </c>
      <c r="J202" s="262" t="s">
        <v>689</v>
      </c>
      <c r="K202" s="263"/>
      <c r="L202" s="263"/>
      <c r="M202" s="265" t="s">
        <v>1486</v>
      </c>
      <c r="N202" s="77" t="s">
        <v>1487</v>
      </c>
      <c r="O202" s="263"/>
      <c r="P202" s="262"/>
      <c r="Q202" s="262"/>
      <c r="R202" s="262"/>
      <c r="S202" s="72" t="s">
        <v>693</v>
      </c>
      <c r="T202" s="72" t="s">
        <v>1364</v>
      </c>
      <c r="U202" s="77" t="s">
        <v>1488</v>
      </c>
      <c r="V202" s="262" t="s">
        <v>1489</v>
      </c>
      <c r="W202" s="262"/>
      <c r="X202" s="262" t="s">
        <v>697</v>
      </c>
      <c r="Y202" s="72" t="s">
        <v>1364</v>
      </c>
      <c r="Z202" s="77" t="s">
        <v>1488</v>
      </c>
      <c r="AA202" s="262"/>
    </row>
    <row r="203" spans="2:27" ht="36.75" hidden="1" customHeight="1">
      <c r="B203" s="262" t="s">
        <v>683</v>
      </c>
      <c r="C203" s="262" t="s">
        <v>1362</v>
      </c>
      <c r="D203" s="262" t="s">
        <v>1363</v>
      </c>
      <c r="E203" s="263">
        <v>0</v>
      </c>
      <c r="F203" s="262" t="s">
        <v>1215</v>
      </c>
      <c r="G203" s="262" t="s">
        <v>1216</v>
      </c>
      <c r="H203" s="262" t="s">
        <v>1314</v>
      </c>
      <c r="I203" s="263">
        <v>29</v>
      </c>
      <c r="J203" s="262" t="s">
        <v>689</v>
      </c>
      <c r="K203" s="263">
        <v>20</v>
      </c>
      <c r="L203" s="263"/>
      <c r="M203" s="265" t="s">
        <v>1315</v>
      </c>
      <c r="N203" s="80" t="s">
        <v>1316</v>
      </c>
      <c r="O203" s="263"/>
      <c r="P203" s="265" t="s">
        <v>1219</v>
      </c>
      <c r="Q203" s="265"/>
      <c r="R203" s="265"/>
      <c r="S203" s="72" t="s">
        <v>693</v>
      </c>
      <c r="T203" s="72" t="s">
        <v>1364</v>
      </c>
      <c r="U203" s="77" t="s">
        <v>1317</v>
      </c>
      <c r="V203" s="262" t="s">
        <v>1490</v>
      </c>
      <c r="W203" s="262"/>
      <c r="X203" s="262" t="s">
        <v>697</v>
      </c>
      <c r="Y203" s="72" t="s">
        <v>1364</v>
      </c>
      <c r="Z203" s="77" t="s">
        <v>1317</v>
      </c>
      <c r="AA203" s="262"/>
    </row>
    <row r="204" spans="2:27" ht="36.75" hidden="1" customHeight="1">
      <c r="B204" s="262" t="s">
        <v>683</v>
      </c>
      <c r="C204" s="262" t="s">
        <v>1362</v>
      </c>
      <c r="D204" s="262" t="s">
        <v>1363</v>
      </c>
      <c r="E204" s="263">
        <v>0</v>
      </c>
      <c r="F204" s="262" t="s">
        <v>1491</v>
      </c>
      <c r="G204" s="262" t="s">
        <v>1492</v>
      </c>
      <c r="H204" s="262" t="s">
        <v>1493</v>
      </c>
      <c r="I204" s="263">
        <v>30</v>
      </c>
      <c r="J204" s="262" t="s">
        <v>689</v>
      </c>
      <c r="K204" s="263">
        <v>23</v>
      </c>
      <c r="L204" s="277">
        <v>6</v>
      </c>
      <c r="M204" s="265" t="s">
        <v>1494</v>
      </c>
      <c r="N204" s="80" t="s">
        <v>1495</v>
      </c>
      <c r="O204" s="277"/>
      <c r="P204" s="266"/>
      <c r="Q204" s="266"/>
      <c r="R204" s="266"/>
      <c r="S204" s="72" t="s">
        <v>693</v>
      </c>
      <c r="T204" s="72" t="s">
        <v>1364</v>
      </c>
      <c r="U204" s="72" t="s">
        <v>1496</v>
      </c>
      <c r="V204" s="262" t="s">
        <v>1497</v>
      </c>
      <c r="W204" s="266"/>
      <c r="X204" s="262" t="s">
        <v>697</v>
      </c>
      <c r="Y204" s="72" t="s">
        <v>1364</v>
      </c>
      <c r="Z204" s="72" t="s">
        <v>1496</v>
      </c>
      <c r="AA204" s="266"/>
    </row>
    <row r="205" spans="2:27" ht="36.75" hidden="1" customHeight="1">
      <c r="B205" s="269" t="s">
        <v>683</v>
      </c>
      <c r="C205" s="269" t="s">
        <v>1362</v>
      </c>
      <c r="D205" s="269" t="s">
        <v>1363</v>
      </c>
      <c r="E205" s="270">
        <v>0</v>
      </c>
      <c r="F205" s="108" t="s">
        <v>1025</v>
      </c>
      <c r="G205" s="269" t="s">
        <v>1029</v>
      </c>
      <c r="H205" s="269" t="s">
        <v>808</v>
      </c>
      <c r="I205" s="270">
        <v>31</v>
      </c>
      <c r="J205" s="269" t="s">
        <v>689</v>
      </c>
      <c r="K205" s="270">
        <v>20</v>
      </c>
      <c r="L205" s="270"/>
      <c r="M205" s="109" t="s">
        <v>871</v>
      </c>
      <c r="N205" s="108" t="s">
        <v>1026</v>
      </c>
      <c r="O205" s="270"/>
      <c r="P205" s="269"/>
      <c r="Q205" s="269"/>
      <c r="R205" s="269"/>
      <c r="S205" s="104"/>
      <c r="T205" s="103" t="s">
        <v>1364</v>
      </c>
      <c r="U205" s="103" t="s">
        <v>1030</v>
      </c>
      <c r="V205" s="269"/>
      <c r="W205" s="269"/>
      <c r="X205" s="269" t="s">
        <v>697</v>
      </c>
      <c r="Y205" s="103" t="s">
        <v>1364</v>
      </c>
      <c r="Z205" s="103" t="s">
        <v>1030</v>
      </c>
      <c r="AA205" s="269"/>
    </row>
    <row r="206" spans="2:27" ht="36.75" hidden="1" customHeight="1">
      <c r="B206" s="262" t="s">
        <v>683</v>
      </c>
      <c r="C206" s="262" t="s">
        <v>1362</v>
      </c>
      <c r="D206" s="262" t="s">
        <v>1363</v>
      </c>
      <c r="E206" s="263">
        <v>0</v>
      </c>
      <c r="F206" s="77" t="s">
        <v>782</v>
      </c>
      <c r="G206" s="262" t="s">
        <v>783</v>
      </c>
      <c r="H206" s="76" t="s">
        <v>784</v>
      </c>
      <c r="I206" s="263">
        <v>32</v>
      </c>
      <c r="J206" s="262" t="s">
        <v>689</v>
      </c>
      <c r="K206" s="263">
        <v>10</v>
      </c>
      <c r="L206" s="263"/>
      <c r="M206" s="265" t="s">
        <v>785</v>
      </c>
      <c r="N206" s="77" t="s">
        <v>786</v>
      </c>
      <c r="O206" s="263" t="s">
        <v>692</v>
      </c>
      <c r="P206" s="262"/>
      <c r="Q206" s="262"/>
      <c r="R206" s="262"/>
      <c r="S206" s="72" t="s">
        <v>693</v>
      </c>
      <c r="T206" s="72" t="s">
        <v>1364</v>
      </c>
      <c r="U206" s="91" t="s">
        <v>787</v>
      </c>
      <c r="V206" s="262" t="s">
        <v>1498</v>
      </c>
      <c r="W206" s="262"/>
      <c r="X206" s="262" t="s">
        <v>697</v>
      </c>
      <c r="Y206" s="72" t="s">
        <v>1364</v>
      </c>
      <c r="Z206" s="91" t="s">
        <v>787</v>
      </c>
      <c r="AA206" s="262"/>
    </row>
    <row r="207" spans="2:27" ht="36.75" hidden="1" customHeight="1">
      <c r="B207" s="262" t="s">
        <v>683</v>
      </c>
      <c r="C207" s="262" t="s">
        <v>1362</v>
      </c>
      <c r="D207" s="262" t="s">
        <v>1363</v>
      </c>
      <c r="E207" s="263">
        <v>0</v>
      </c>
      <c r="F207" s="77" t="s">
        <v>789</v>
      </c>
      <c r="G207" s="262" t="s">
        <v>790</v>
      </c>
      <c r="H207" s="76" t="s">
        <v>791</v>
      </c>
      <c r="I207" s="263">
        <v>33</v>
      </c>
      <c r="J207" s="262" t="s">
        <v>792</v>
      </c>
      <c r="K207" s="263">
        <v>23</v>
      </c>
      <c r="L207" s="263"/>
      <c r="M207" s="265" t="s">
        <v>793</v>
      </c>
      <c r="N207" s="262" t="s">
        <v>794</v>
      </c>
      <c r="O207" s="263"/>
      <c r="P207" s="262"/>
      <c r="Q207" s="262"/>
      <c r="R207" s="262"/>
      <c r="S207" s="72" t="s">
        <v>693</v>
      </c>
      <c r="T207" s="72" t="s">
        <v>1364</v>
      </c>
      <c r="U207" s="262"/>
      <c r="V207" s="262" t="s">
        <v>795</v>
      </c>
      <c r="W207" s="262"/>
      <c r="X207" s="262"/>
      <c r="Y207" s="262"/>
      <c r="Z207" s="262"/>
      <c r="AA207" s="262"/>
    </row>
    <row r="208" spans="2:27" ht="36.75" hidden="1" customHeight="1">
      <c r="B208" s="262" t="s">
        <v>683</v>
      </c>
      <c r="C208" s="264" t="s">
        <v>1499</v>
      </c>
      <c r="D208" s="262" t="s">
        <v>1500</v>
      </c>
      <c r="E208" s="263">
        <v>0</v>
      </c>
      <c r="F208" s="77" t="s">
        <v>798</v>
      </c>
      <c r="G208" s="262" t="s">
        <v>799</v>
      </c>
      <c r="H208" s="264" t="s">
        <v>800</v>
      </c>
      <c r="I208" s="263">
        <v>1</v>
      </c>
      <c r="J208" s="262" t="s">
        <v>689</v>
      </c>
      <c r="K208" s="263">
        <v>2</v>
      </c>
      <c r="L208" s="263"/>
      <c r="M208" s="74" t="s">
        <v>801</v>
      </c>
      <c r="N208" s="77" t="s">
        <v>802</v>
      </c>
      <c r="O208" s="263" t="s">
        <v>692</v>
      </c>
      <c r="P208" s="262"/>
      <c r="Q208" s="262"/>
      <c r="R208" s="262"/>
      <c r="S208" s="72" t="s">
        <v>693</v>
      </c>
      <c r="T208" s="72" t="s">
        <v>1501</v>
      </c>
      <c r="U208" s="226" t="s">
        <v>804</v>
      </c>
      <c r="V208" s="262" t="s">
        <v>1502</v>
      </c>
      <c r="W208" s="262"/>
      <c r="X208" s="262" t="s">
        <v>697</v>
      </c>
      <c r="Y208" s="72" t="s">
        <v>1501</v>
      </c>
      <c r="Z208" s="226" t="s">
        <v>804</v>
      </c>
      <c r="AA208" s="262"/>
    </row>
    <row r="209" spans="2:27" ht="36.75" hidden="1" customHeight="1">
      <c r="B209" s="262" t="s">
        <v>683</v>
      </c>
      <c r="C209" s="264" t="s">
        <v>1499</v>
      </c>
      <c r="D209" s="262" t="s">
        <v>1500</v>
      </c>
      <c r="E209" s="263">
        <v>0</v>
      </c>
      <c r="F209" s="77" t="s">
        <v>806</v>
      </c>
      <c r="G209" s="262" t="s">
        <v>807</v>
      </c>
      <c r="H209" s="262" t="s">
        <v>808</v>
      </c>
      <c r="I209" s="263">
        <v>2</v>
      </c>
      <c r="J209" s="262" t="s">
        <v>689</v>
      </c>
      <c r="K209" s="263">
        <v>20</v>
      </c>
      <c r="L209" s="263"/>
      <c r="M209" s="265" t="s">
        <v>809</v>
      </c>
      <c r="N209" s="77" t="s">
        <v>1503</v>
      </c>
      <c r="O209" s="263" t="s">
        <v>692</v>
      </c>
      <c r="P209" s="265" t="s">
        <v>811</v>
      </c>
      <c r="Q209" s="265"/>
      <c r="R209" s="265"/>
      <c r="S209" s="72" t="s">
        <v>693</v>
      </c>
      <c r="T209" s="72" t="s">
        <v>1501</v>
      </c>
      <c r="U209" s="226" t="s">
        <v>812</v>
      </c>
      <c r="V209" s="262" t="s">
        <v>1504</v>
      </c>
      <c r="W209" s="262"/>
      <c r="X209" s="262" t="s">
        <v>697</v>
      </c>
      <c r="Y209" s="72" t="s">
        <v>1501</v>
      </c>
      <c r="Z209" s="226" t="s">
        <v>812</v>
      </c>
      <c r="AA209" s="262"/>
    </row>
    <row r="210" spans="2:27" ht="36.75" hidden="1" customHeight="1">
      <c r="B210" s="262" t="s">
        <v>683</v>
      </c>
      <c r="C210" s="264" t="s">
        <v>1499</v>
      </c>
      <c r="D210" s="262" t="s">
        <v>1500</v>
      </c>
      <c r="E210" s="263">
        <v>0</v>
      </c>
      <c r="F210" s="77" t="s">
        <v>814</v>
      </c>
      <c r="G210" s="262" t="s">
        <v>815</v>
      </c>
      <c r="H210" s="262" t="s">
        <v>800</v>
      </c>
      <c r="I210" s="263">
        <v>3</v>
      </c>
      <c r="J210" s="262" t="s">
        <v>689</v>
      </c>
      <c r="K210" s="263">
        <v>30</v>
      </c>
      <c r="L210" s="263"/>
      <c r="M210" s="265" t="s">
        <v>816</v>
      </c>
      <c r="N210" s="77" t="s">
        <v>1505</v>
      </c>
      <c r="O210" s="263" t="s">
        <v>692</v>
      </c>
      <c r="P210" s="262"/>
      <c r="Q210" s="262"/>
      <c r="R210" s="262"/>
      <c r="S210" s="72" t="s">
        <v>693</v>
      </c>
      <c r="T210" s="72" t="s">
        <v>1501</v>
      </c>
      <c r="U210" s="100" t="s">
        <v>818</v>
      </c>
      <c r="V210" s="262" t="s">
        <v>1506</v>
      </c>
      <c r="W210" s="262"/>
      <c r="X210" s="262" t="s">
        <v>697</v>
      </c>
      <c r="Y210" s="72" t="s">
        <v>1501</v>
      </c>
      <c r="Z210" s="100" t="s">
        <v>818</v>
      </c>
      <c r="AA210" s="262"/>
    </row>
    <row r="211" spans="2:27" ht="36.75" hidden="1" customHeight="1">
      <c r="B211" s="262" t="s">
        <v>683</v>
      </c>
      <c r="C211" s="264" t="s">
        <v>1499</v>
      </c>
      <c r="D211" s="262" t="s">
        <v>1500</v>
      </c>
      <c r="E211" s="263">
        <v>0</v>
      </c>
      <c r="F211" s="77" t="s">
        <v>820</v>
      </c>
      <c r="G211" s="262" t="s">
        <v>821</v>
      </c>
      <c r="H211" s="262" t="s">
        <v>822</v>
      </c>
      <c r="I211" s="263">
        <v>4</v>
      </c>
      <c r="J211" s="262" t="s">
        <v>689</v>
      </c>
      <c r="K211" s="263">
        <v>20</v>
      </c>
      <c r="L211" s="263"/>
      <c r="M211" s="265" t="s">
        <v>823</v>
      </c>
      <c r="N211" s="77" t="s">
        <v>1507</v>
      </c>
      <c r="O211" s="263" t="s">
        <v>692</v>
      </c>
      <c r="P211" s="262"/>
      <c r="Q211" s="262"/>
      <c r="R211" s="262"/>
      <c r="S211" s="72" t="s">
        <v>693</v>
      </c>
      <c r="T211" s="72" t="s">
        <v>1501</v>
      </c>
      <c r="U211" s="226" t="s">
        <v>825</v>
      </c>
      <c r="V211" s="262" t="s">
        <v>1508</v>
      </c>
      <c r="W211" s="262"/>
      <c r="X211" s="262" t="s">
        <v>697</v>
      </c>
      <c r="Y211" s="72" t="s">
        <v>1501</v>
      </c>
      <c r="Z211" s="226" t="s">
        <v>825</v>
      </c>
      <c r="AA211" s="262"/>
    </row>
    <row r="212" spans="2:27" ht="36.75" hidden="1" customHeight="1">
      <c r="B212" s="262" t="s">
        <v>683</v>
      </c>
      <c r="C212" s="264" t="s">
        <v>1499</v>
      </c>
      <c r="D212" s="262" t="s">
        <v>1500</v>
      </c>
      <c r="E212" s="263">
        <v>0</v>
      </c>
      <c r="F212" s="77" t="s">
        <v>827</v>
      </c>
      <c r="G212" s="262" t="s">
        <v>828</v>
      </c>
      <c r="H212" s="262" t="s">
        <v>800</v>
      </c>
      <c r="I212" s="263">
        <v>5</v>
      </c>
      <c r="J212" s="262" t="s">
        <v>689</v>
      </c>
      <c r="K212" s="263">
        <v>2</v>
      </c>
      <c r="L212" s="263"/>
      <c r="M212" s="74" t="s">
        <v>829</v>
      </c>
      <c r="N212" s="77" t="s">
        <v>830</v>
      </c>
      <c r="O212" s="263" t="s">
        <v>692</v>
      </c>
      <c r="P212" s="262"/>
      <c r="Q212" s="262"/>
      <c r="R212" s="262"/>
      <c r="S212" s="72" t="s">
        <v>693</v>
      </c>
      <c r="T212" s="72" t="s">
        <v>1501</v>
      </c>
      <c r="U212" s="226" t="s">
        <v>141</v>
      </c>
      <c r="V212" s="262" t="s">
        <v>1509</v>
      </c>
      <c r="W212" s="262"/>
      <c r="X212" s="262" t="s">
        <v>697</v>
      </c>
      <c r="Y212" s="72" t="s">
        <v>1501</v>
      </c>
      <c r="Z212" s="226" t="s">
        <v>141</v>
      </c>
      <c r="AA212" s="262"/>
    </row>
    <row r="213" spans="2:27" ht="36.75" hidden="1" customHeight="1">
      <c r="B213" s="262" t="s">
        <v>683</v>
      </c>
      <c r="C213" s="264" t="s">
        <v>1499</v>
      </c>
      <c r="D213" s="262" t="s">
        <v>1500</v>
      </c>
      <c r="E213" s="263">
        <v>0</v>
      </c>
      <c r="F213" s="77" t="s">
        <v>832</v>
      </c>
      <c r="G213" s="262" t="s">
        <v>833</v>
      </c>
      <c r="H213" s="262" t="s">
        <v>808</v>
      </c>
      <c r="I213" s="263">
        <v>6</v>
      </c>
      <c r="J213" s="262" t="s">
        <v>689</v>
      </c>
      <c r="K213" s="263">
        <v>20</v>
      </c>
      <c r="L213" s="263"/>
      <c r="M213" s="265" t="s">
        <v>834</v>
      </c>
      <c r="N213" s="77" t="s">
        <v>1037</v>
      </c>
      <c r="O213" s="263" t="s">
        <v>692</v>
      </c>
      <c r="P213" s="265" t="s">
        <v>811</v>
      </c>
      <c r="Q213" s="265"/>
      <c r="R213" s="265"/>
      <c r="S213" s="72" t="s">
        <v>693</v>
      </c>
      <c r="T213" s="72" t="s">
        <v>1501</v>
      </c>
      <c r="U213" s="226" t="s">
        <v>836</v>
      </c>
      <c r="V213" s="262" t="s">
        <v>1510</v>
      </c>
      <c r="W213" s="262"/>
      <c r="X213" s="262" t="s">
        <v>697</v>
      </c>
      <c r="Y213" s="72" t="s">
        <v>1501</v>
      </c>
      <c r="Z213" s="226" t="s">
        <v>836</v>
      </c>
      <c r="AA213" s="262"/>
    </row>
    <row r="214" spans="2:27" ht="36.75" hidden="1" customHeight="1">
      <c r="B214" s="262" t="s">
        <v>683</v>
      </c>
      <c r="C214" s="264" t="s">
        <v>1499</v>
      </c>
      <c r="D214" s="262" t="s">
        <v>1500</v>
      </c>
      <c r="E214" s="263">
        <v>0</v>
      </c>
      <c r="F214" s="77" t="s">
        <v>838</v>
      </c>
      <c r="G214" s="262" t="s">
        <v>839</v>
      </c>
      <c r="H214" s="262" t="s">
        <v>800</v>
      </c>
      <c r="I214" s="263">
        <v>7</v>
      </c>
      <c r="J214" s="262" t="s">
        <v>689</v>
      </c>
      <c r="K214" s="263">
        <v>11</v>
      </c>
      <c r="L214" s="263"/>
      <c r="M214" s="265" t="s">
        <v>840</v>
      </c>
      <c r="N214" s="77" t="s">
        <v>1511</v>
      </c>
      <c r="O214" s="263" t="s">
        <v>692</v>
      </c>
      <c r="P214" s="262"/>
      <c r="Q214" s="262"/>
      <c r="R214" s="262"/>
      <c r="S214" s="72" t="s">
        <v>693</v>
      </c>
      <c r="T214" s="72" t="s">
        <v>1501</v>
      </c>
      <c r="U214" s="226" t="s">
        <v>842</v>
      </c>
      <c r="V214" s="262" t="s">
        <v>1512</v>
      </c>
      <c r="W214" s="262"/>
      <c r="X214" s="262" t="s">
        <v>697</v>
      </c>
      <c r="Y214" s="72" t="s">
        <v>1501</v>
      </c>
      <c r="Z214" s="226" t="s">
        <v>842</v>
      </c>
      <c r="AA214" s="262"/>
    </row>
    <row r="215" spans="2:27" ht="36.75" hidden="1" customHeight="1">
      <c r="B215" s="262" t="s">
        <v>683</v>
      </c>
      <c r="C215" s="264" t="s">
        <v>1499</v>
      </c>
      <c r="D215" s="262" t="s">
        <v>1500</v>
      </c>
      <c r="E215" s="263">
        <v>0</v>
      </c>
      <c r="F215" s="77" t="s">
        <v>844</v>
      </c>
      <c r="G215" s="262" t="s">
        <v>845</v>
      </c>
      <c r="H215" s="262" t="s">
        <v>808</v>
      </c>
      <c r="I215" s="263">
        <v>8</v>
      </c>
      <c r="J215" s="262" t="s">
        <v>689</v>
      </c>
      <c r="K215" s="263">
        <v>20</v>
      </c>
      <c r="L215" s="263"/>
      <c r="M215" s="265" t="s">
        <v>846</v>
      </c>
      <c r="N215" s="77" t="s">
        <v>1041</v>
      </c>
      <c r="O215" s="263" t="s">
        <v>692</v>
      </c>
      <c r="P215" s="262"/>
      <c r="Q215" s="262"/>
      <c r="R215" s="262"/>
      <c r="S215" s="72" t="s">
        <v>693</v>
      </c>
      <c r="T215" s="72" t="s">
        <v>1501</v>
      </c>
      <c r="U215" s="226" t="s">
        <v>848</v>
      </c>
      <c r="V215" s="262" t="s">
        <v>1513</v>
      </c>
      <c r="W215" s="262"/>
      <c r="X215" s="262" t="s">
        <v>697</v>
      </c>
      <c r="Y215" s="72" t="s">
        <v>1501</v>
      </c>
      <c r="Z215" s="226" t="s">
        <v>848</v>
      </c>
      <c r="AA215" s="262"/>
    </row>
    <row r="216" spans="2:27" ht="36.75" hidden="1" customHeight="1">
      <c r="B216" s="262" t="s">
        <v>683</v>
      </c>
      <c r="C216" s="264" t="s">
        <v>1499</v>
      </c>
      <c r="D216" s="262" t="s">
        <v>1500</v>
      </c>
      <c r="E216" s="263">
        <v>0</v>
      </c>
      <c r="F216" s="77" t="s">
        <v>1514</v>
      </c>
      <c r="G216" s="262" t="s">
        <v>1515</v>
      </c>
      <c r="H216" s="262" t="s">
        <v>1516</v>
      </c>
      <c r="I216" s="263">
        <v>9</v>
      </c>
      <c r="J216" s="262" t="s">
        <v>689</v>
      </c>
      <c r="K216" s="263">
        <v>20</v>
      </c>
      <c r="L216" s="263"/>
      <c r="M216" s="265" t="s">
        <v>1517</v>
      </c>
      <c r="N216" s="77" t="s">
        <v>1518</v>
      </c>
      <c r="O216" s="263"/>
      <c r="P216" s="265" t="s">
        <v>1519</v>
      </c>
      <c r="Q216" s="265"/>
      <c r="R216" s="265"/>
      <c r="S216" s="72" t="s">
        <v>693</v>
      </c>
      <c r="T216" s="72" t="s">
        <v>1501</v>
      </c>
      <c r="U216" s="226" t="s">
        <v>1520</v>
      </c>
      <c r="V216" s="265" t="s">
        <v>1521</v>
      </c>
      <c r="W216" s="262"/>
      <c r="X216" s="262" t="s">
        <v>697</v>
      </c>
      <c r="Y216" s="72" t="s">
        <v>1501</v>
      </c>
      <c r="Z216" s="226" t="s">
        <v>1520</v>
      </c>
      <c r="AA216" s="262"/>
    </row>
    <row r="217" spans="2:27" ht="36.75" hidden="1" customHeight="1">
      <c r="B217" s="262" t="s">
        <v>683</v>
      </c>
      <c r="C217" s="264" t="s">
        <v>1499</v>
      </c>
      <c r="D217" s="262" t="s">
        <v>1500</v>
      </c>
      <c r="E217" s="263">
        <v>0</v>
      </c>
      <c r="F217" s="77" t="s">
        <v>1043</v>
      </c>
      <c r="G217" s="262" t="s">
        <v>1522</v>
      </c>
      <c r="H217" s="75" t="s">
        <v>1523</v>
      </c>
      <c r="I217" s="263">
        <v>10</v>
      </c>
      <c r="J217" s="262" t="s">
        <v>689</v>
      </c>
      <c r="K217" s="263">
        <v>20</v>
      </c>
      <c r="L217" s="263"/>
      <c r="M217" s="74" t="s">
        <v>1046</v>
      </c>
      <c r="N217" s="77" t="s">
        <v>1524</v>
      </c>
      <c r="O217" s="263"/>
      <c r="P217" s="262"/>
      <c r="Q217" s="262"/>
      <c r="R217" s="262"/>
      <c r="S217" s="72" t="s">
        <v>693</v>
      </c>
      <c r="T217" s="72" t="s">
        <v>1501</v>
      </c>
      <c r="U217" s="226" t="s">
        <v>1525</v>
      </c>
      <c r="V217" s="262" t="s">
        <v>1526</v>
      </c>
      <c r="W217" s="262"/>
      <c r="X217" s="262" t="s">
        <v>697</v>
      </c>
      <c r="Y217" s="72" t="s">
        <v>1501</v>
      </c>
      <c r="Z217" s="226" t="s">
        <v>1525</v>
      </c>
      <c r="AA217" s="262"/>
    </row>
    <row r="218" spans="2:27" ht="36.75" hidden="1" customHeight="1">
      <c r="B218" s="262" t="s">
        <v>683</v>
      </c>
      <c r="C218" s="264" t="s">
        <v>1499</v>
      </c>
      <c r="D218" s="262" t="s">
        <v>1500</v>
      </c>
      <c r="E218" s="263">
        <v>0</v>
      </c>
      <c r="F218" s="77" t="s">
        <v>1050</v>
      </c>
      <c r="G218" s="262" t="s">
        <v>1527</v>
      </c>
      <c r="H218" s="75" t="s">
        <v>1523</v>
      </c>
      <c r="I218" s="263">
        <v>11</v>
      </c>
      <c r="J218" s="262" t="s">
        <v>689</v>
      </c>
      <c r="K218" s="263">
        <v>20</v>
      </c>
      <c r="L218" s="263"/>
      <c r="M218" s="74" t="s">
        <v>1052</v>
      </c>
      <c r="N218" s="77" t="s">
        <v>1528</v>
      </c>
      <c r="O218" s="263"/>
      <c r="P218" s="262"/>
      <c r="Q218" s="262"/>
      <c r="R218" s="262"/>
      <c r="S218" s="72" t="s">
        <v>693</v>
      </c>
      <c r="T218" s="72" t="s">
        <v>1501</v>
      </c>
      <c r="U218" s="226" t="s">
        <v>1529</v>
      </c>
      <c r="V218" s="262" t="s">
        <v>1530</v>
      </c>
      <c r="W218" s="262"/>
      <c r="X218" s="262" t="s">
        <v>697</v>
      </c>
      <c r="Y218" s="72" t="s">
        <v>1501</v>
      </c>
      <c r="Z218" s="226" t="s">
        <v>1529</v>
      </c>
      <c r="AA218" s="262"/>
    </row>
    <row r="219" spans="2:27" ht="36.75" hidden="1" customHeight="1">
      <c r="B219" s="262" t="s">
        <v>683</v>
      </c>
      <c r="C219" s="264" t="s">
        <v>1499</v>
      </c>
      <c r="D219" s="262" t="s">
        <v>1500</v>
      </c>
      <c r="E219" s="263">
        <v>0</v>
      </c>
      <c r="F219" s="77" t="s">
        <v>1531</v>
      </c>
      <c r="G219" s="262" t="s">
        <v>1532</v>
      </c>
      <c r="H219" s="262" t="s">
        <v>1533</v>
      </c>
      <c r="I219" s="263">
        <v>12</v>
      </c>
      <c r="J219" s="262" t="s">
        <v>689</v>
      </c>
      <c r="K219" s="263">
        <v>20</v>
      </c>
      <c r="L219" s="263"/>
      <c r="M219" s="265" t="s">
        <v>1534</v>
      </c>
      <c r="N219" s="77" t="s">
        <v>1535</v>
      </c>
      <c r="O219" s="263"/>
      <c r="P219" s="265" t="s">
        <v>1536</v>
      </c>
      <c r="Q219" s="265"/>
      <c r="R219" s="265"/>
      <c r="S219" s="72" t="s">
        <v>693</v>
      </c>
      <c r="T219" s="72" t="s">
        <v>1501</v>
      </c>
      <c r="U219" s="226" t="s">
        <v>1537</v>
      </c>
      <c r="V219" s="265" t="s">
        <v>1538</v>
      </c>
      <c r="W219" s="262"/>
      <c r="X219" s="262" t="s">
        <v>697</v>
      </c>
      <c r="Y219" s="72" t="s">
        <v>1501</v>
      </c>
      <c r="Z219" s="226" t="s">
        <v>1537</v>
      </c>
      <c r="AA219" s="262"/>
    </row>
    <row r="220" spans="2:27" ht="36.75" hidden="1" customHeight="1">
      <c r="B220" s="269" t="s">
        <v>683</v>
      </c>
      <c r="C220" s="269" t="s">
        <v>1499</v>
      </c>
      <c r="D220" s="269" t="s">
        <v>1500</v>
      </c>
      <c r="E220" s="270">
        <v>0</v>
      </c>
      <c r="F220" s="276" t="s">
        <v>1163</v>
      </c>
      <c r="G220" s="269" t="s">
        <v>1164</v>
      </c>
      <c r="H220" s="269" t="s">
        <v>915</v>
      </c>
      <c r="I220" s="270">
        <v>13</v>
      </c>
      <c r="J220" s="269" t="s">
        <v>689</v>
      </c>
      <c r="K220" s="270">
        <v>10</v>
      </c>
      <c r="L220" s="270"/>
      <c r="M220" s="271" t="s">
        <v>1539</v>
      </c>
      <c r="N220" s="269" t="s">
        <v>1265</v>
      </c>
      <c r="O220" s="270"/>
      <c r="P220" s="269"/>
      <c r="Q220" s="269"/>
      <c r="R220" s="269"/>
      <c r="S220" s="104"/>
      <c r="T220" s="103" t="s">
        <v>1501</v>
      </c>
      <c r="U220" s="225" t="s">
        <v>1168</v>
      </c>
      <c r="V220" s="269"/>
      <c r="W220" s="269"/>
      <c r="X220" s="269" t="s">
        <v>697</v>
      </c>
      <c r="Y220" s="103" t="s">
        <v>1501</v>
      </c>
      <c r="Z220" s="225" t="s">
        <v>1168</v>
      </c>
      <c r="AA220" s="269"/>
    </row>
    <row r="221" spans="2:27" ht="36.75" hidden="1" customHeight="1">
      <c r="B221" s="269" t="s">
        <v>683</v>
      </c>
      <c r="C221" s="269" t="s">
        <v>1499</v>
      </c>
      <c r="D221" s="269" t="s">
        <v>1500</v>
      </c>
      <c r="E221" s="270">
        <v>0</v>
      </c>
      <c r="F221" s="276" t="s">
        <v>1169</v>
      </c>
      <c r="G221" s="269" t="s">
        <v>1170</v>
      </c>
      <c r="H221" s="269" t="s">
        <v>915</v>
      </c>
      <c r="I221" s="270">
        <v>14</v>
      </c>
      <c r="J221" s="269" t="s">
        <v>689</v>
      </c>
      <c r="K221" s="270">
        <v>10</v>
      </c>
      <c r="L221" s="270"/>
      <c r="M221" s="271" t="s">
        <v>1540</v>
      </c>
      <c r="N221" s="269" t="s">
        <v>1173</v>
      </c>
      <c r="O221" s="270"/>
      <c r="P221" s="269"/>
      <c r="Q221" s="269"/>
      <c r="R221" s="269"/>
      <c r="S221" s="104"/>
      <c r="T221" s="103" t="s">
        <v>1501</v>
      </c>
      <c r="U221" s="225" t="s">
        <v>1174</v>
      </c>
      <c r="V221" s="269"/>
      <c r="W221" s="269"/>
      <c r="X221" s="269" t="s">
        <v>697</v>
      </c>
      <c r="Y221" s="103" t="s">
        <v>1501</v>
      </c>
      <c r="Z221" s="225" t="s">
        <v>1174</v>
      </c>
      <c r="AA221" s="269"/>
    </row>
    <row r="222" spans="2:27" ht="36.75" hidden="1" customHeight="1">
      <c r="B222" s="269" t="s">
        <v>683</v>
      </c>
      <c r="C222" s="269" t="s">
        <v>1499</v>
      </c>
      <c r="D222" s="269" t="s">
        <v>1500</v>
      </c>
      <c r="E222" s="270">
        <v>0</v>
      </c>
      <c r="F222" s="276" t="s">
        <v>1175</v>
      </c>
      <c r="G222" s="269" t="s">
        <v>1176</v>
      </c>
      <c r="H222" s="269" t="s">
        <v>915</v>
      </c>
      <c r="I222" s="270">
        <v>15</v>
      </c>
      <c r="J222" s="269" t="s">
        <v>689</v>
      </c>
      <c r="K222" s="270">
        <v>10</v>
      </c>
      <c r="L222" s="270"/>
      <c r="M222" s="271" t="s">
        <v>1541</v>
      </c>
      <c r="N222" s="269" t="s">
        <v>1178</v>
      </c>
      <c r="O222" s="270"/>
      <c r="P222" s="269"/>
      <c r="Q222" s="269"/>
      <c r="R222" s="269"/>
      <c r="S222" s="104"/>
      <c r="T222" s="103" t="s">
        <v>1501</v>
      </c>
      <c r="U222" s="225" t="s">
        <v>1179</v>
      </c>
      <c r="V222" s="269"/>
      <c r="W222" s="269"/>
      <c r="X222" s="269" t="s">
        <v>697</v>
      </c>
      <c r="Y222" s="103" t="s">
        <v>1501</v>
      </c>
      <c r="Z222" s="225" t="s">
        <v>1179</v>
      </c>
      <c r="AA222" s="269"/>
    </row>
    <row r="223" spans="2:27" ht="36.75" hidden="1" customHeight="1">
      <c r="B223" s="262" t="s">
        <v>683</v>
      </c>
      <c r="C223" s="264" t="s">
        <v>1499</v>
      </c>
      <c r="D223" s="262" t="s">
        <v>1500</v>
      </c>
      <c r="E223" s="263">
        <v>0</v>
      </c>
      <c r="F223" s="77" t="s">
        <v>1542</v>
      </c>
      <c r="G223" s="262" t="s">
        <v>1543</v>
      </c>
      <c r="H223" s="262" t="s">
        <v>928</v>
      </c>
      <c r="I223" s="263">
        <v>16</v>
      </c>
      <c r="J223" s="262" t="s">
        <v>689</v>
      </c>
      <c r="K223" s="263">
        <v>23</v>
      </c>
      <c r="L223" s="263">
        <v>6</v>
      </c>
      <c r="M223" s="265" t="s">
        <v>1544</v>
      </c>
      <c r="N223" s="77" t="s">
        <v>1545</v>
      </c>
      <c r="O223" s="263"/>
      <c r="P223" s="262"/>
      <c r="Q223" s="262"/>
      <c r="R223" s="262"/>
      <c r="S223" s="72" t="s">
        <v>693</v>
      </c>
      <c r="T223" s="72" t="s">
        <v>1501</v>
      </c>
      <c r="U223" s="226" t="s">
        <v>1546</v>
      </c>
      <c r="V223" s="265" t="s">
        <v>1547</v>
      </c>
      <c r="W223" s="262"/>
      <c r="X223" s="262" t="s">
        <v>697</v>
      </c>
      <c r="Y223" s="72" t="s">
        <v>1501</v>
      </c>
      <c r="Z223" s="226" t="s">
        <v>1546</v>
      </c>
      <c r="AA223" s="262"/>
    </row>
    <row r="224" spans="2:27" ht="36.75" hidden="1" customHeight="1">
      <c r="B224" s="262" t="s">
        <v>683</v>
      </c>
      <c r="C224" s="264" t="s">
        <v>1499</v>
      </c>
      <c r="D224" s="262" t="s">
        <v>1500</v>
      </c>
      <c r="E224" s="263">
        <v>0</v>
      </c>
      <c r="F224" s="77" t="s">
        <v>1548</v>
      </c>
      <c r="G224" s="262" t="s">
        <v>1549</v>
      </c>
      <c r="H224" s="262" t="s">
        <v>928</v>
      </c>
      <c r="I224" s="263">
        <v>17</v>
      </c>
      <c r="J224" s="262" t="s">
        <v>689</v>
      </c>
      <c r="K224" s="263">
        <v>23</v>
      </c>
      <c r="L224" s="263">
        <v>6</v>
      </c>
      <c r="M224" s="265" t="s">
        <v>1550</v>
      </c>
      <c r="N224" s="77" t="s">
        <v>1551</v>
      </c>
      <c r="O224" s="263"/>
      <c r="P224" s="262"/>
      <c r="Q224" s="262"/>
      <c r="R224" s="262"/>
      <c r="S224" s="72" t="s">
        <v>693</v>
      </c>
      <c r="T224" s="72" t="s">
        <v>1501</v>
      </c>
      <c r="U224" s="226" t="s">
        <v>1552</v>
      </c>
      <c r="V224" s="262" t="s">
        <v>1553</v>
      </c>
      <c r="W224" s="262"/>
      <c r="X224" s="262" t="s">
        <v>697</v>
      </c>
      <c r="Y224" s="72" t="s">
        <v>1501</v>
      </c>
      <c r="Z224" s="226" t="s">
        <v>1552</v>
      </c>
      <c r="AA224" s="262"/>
    </row>
    <row r="225" spans="2:27" ht="36.75" hidden="1" customHeight="1">
      <c r="B225" s="262" t="s">
        <v>683</v>
      </c>
      <c r="C225" s="264" t="s">
        <v>1499</v>
      </c>
      <c r="D225" s="262" t="s">
        <v>1500</v>
      </c>
      <c r="E225" s="263">
        <v>0</v>
      </c>
      <c r="F225" s="262" t="s">
        <v>1004</v>
      </c>
      <c r="G225" s="262" t="s">
        <v>1005</v>
      </c>
      <c r="H225" s="262" t="s">
        <v>1006</v>
      </c>
      <c r="I225" s="263">
        <v>18</v>
      </c>
      <c r="J225" s="262" t="s">
        <v>689</v>
      </c>
      <c r="K225" s="263">
        <v>3</v>
      </c>
      <c r="L225" s="263"/>
      <c r="M225" s="74" t="s">
        <v>1007</v>
      </c>
      <c r="N225" s="77" t="s">
        <v>1554</v>
      </c>
      <c r="O225" s="263"/>
      <c r="P225" s="265" t="s">
        <v>1009</v>
      </c>
      <c r="Q225" s="265"/>
      <c r="R225" s="265"/>
      <c r="S225" s="72" t="s">
        <v>693</v>
      </c>
      <c r="T225" s="72" t="s">
        <v>1501</v>
      </c>
      <c r="U225" s="226" t="s">
        <v>1010</v>
      </c>
      <c r="V225" s="265" t="s">
        <v>1555</v>
      </c>
      <c r="W225" s="262"/>
      <c r="X225" s="262" t="s">
        <v>697</v>
      </c>
      <c r="Y225" s="72" t="s">
        <v>1501</v>
      </c>
      <c r="Z225" s="226" t="s">
        <v>1010</v>
      </c>
      <c r="AA225" s="262"/>
    </row>
    <row r="226" spans="2:27" ht="36.75" hidden="1" customHeight="1">
      <c r="B226" s="262" t="s">
        <v>683</v>
      </c>
      <c r="C226" s="264" t="s">
        <v>1499</v>
      </c>
      <c r="D226" s="262" t="s">
        <v>1500</v>
      </c>
      <c r="E226" s="263">
        <v>0</v>
      </c>
      <c r="F226" s="77" t="s">
        <v>782</v>
      </c>
      <c r="G226" s="262" t="s">
        <v>783</v>
      </c>
      <c r="H226" s="76" t="s">
        <v>784</v>
      </c>
      <c r="I226" s="263">
        <v>19</v>
      </c>
      <c r="J226" s="262" t="s">
        <v>689</v>
      </c>
      <c r="K226" s="78">
        <v>10</v>
      </c>
      <c r="L226" s="277"/>
      <c r="M226" s="265" t="s">
        <v>785</v>
      </c>
      <c r="N226" s="77" t="s">
        <v>786</v>
      </c>
      <c r="O226" s="263" t="s">
        <v>692</v>
      </c>
      <c r="P226" s="262"/>
      <c r="Q226" s="262"/>
      <c r="R226" s="262"/>
      <c r="S226" s="72" t="s">
        <v>693</v>
      </c>
      <c r="T226" s="72" t="s">
        <v>1501</v>
      </c>
      <c r="U226" s="226" t="s">
        <v>787</v>
      </c>
      <c r="V226" s="262" t="s">
        <v>1556</v>
      </c>
      <c r="W226" s="262"/>
      <c r="X226" s="262" t="s">
        <v>697</v>
      </c>
      <c r="Y226" s="72" t="s">
        <v>1501</v>
      </c>
      <c r="Z226" s="226" t="s">
        <v>787</v>
      </c>
      <c r="AA226" s="262"/>
    </row>
    <row r="227" spans="2:27" ht="36.75" hidden="1" customHeight="1">
      <c r="B227" s="262" t="s">
        <v>683</v>
      </c>
      <c r="C227" s="264" t="s">
        <v>1499</v>
      </c>
      <c r="D227" s="262" t="s">
        <v>1500</v>
      </c>
      <c r="E227" s="263">
        <v>0</v>
      </c>
      <c r="F227" s="77" t="s">
        <v>789</v>
      </c>
      <c r="G227" s="262" t="s">
        <v>790</v>
      </c>
      <c r="H227" s="76" t="s">
        <v>791</v>
      </c>
      <c r="I227" s="263">
        <v>20</v>
      </c>
      <c r="J227" s="75" t="s">
        <v>792</v>
      </c>
      <c r="K227" s="78">
        <v>23</v>
      </c>
      <c r="L227" s="263"/>
      <c r="M227" s="265" t="s">
        <v>793</v>
      </c>
      <c r="N227" s="262" t="s">
        <v>794</v>
      </c>
      <c r="O227" s="263"/>
      <c r="P227" s="262"/>
      <c r="Q227" s="262"/>
      <c r="R227" s="262"/>
      <c r="S227" s="72" t="s">
        <v>693</v>
      </c>
      <c r="T227" s="72" t="s">
        <v>1501</v>
      </c>
      <c r="U227" s="262"/>
      <c r="V227" s="262" t="s">
        <v>795</v>
      </c>
      <c r="W227" s="262"/>
      <c r="X227" s="262"/>
      <c r="Y227" s="262"/>
      <c r="Z227" s="262"/>
      <c r="AA227" s="262"/>
    </row>
  </sheetData>
  <sortState xmlns:xlrd2="http://schemas.microsoft.com/office/spreadsheetml/2017/richdata2" ref="B8:Y348">
    <sortCondition ref="C8:C348"/>
    <sortCondition ref="G8:G348"/>
  </sortState>
  <mergeCells count="8">
    <mergeCell ref="X5:AA5"/>
    <mergeCell ref="X6:AA6"/>
    <mergeCell ref="B5:P5"/>
    <mergeCell ref="B6:P6"/>
    <mergeCell ref="Q5:R5"/>
    <mergeCell ref="Q6:R6"/>
    <mergeCell ref="S5:W5"/>
    <mergeCell ref="S6:V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1509-D0DF-4D5C-901E-8A263D050746}">
  <sheetPr>
    <tabColor theme="9" tint="-0.499984740745262"/>
  </sheetPr>
  <dimension ref="B1:E23"/>
  <sheetViews>
    <sheetView showGridLines="0" topLeftCell="A15" workbookViewId="0">
      <selection activeCell="J19" sqref="J19"/>
    </sheetView>
  </sheetViews>
  <sheetFormatPr defaultRowHeight="15"/>
  <cols>
    <col min="2" max="2" width="14" style="110" customWidth="1"/>
    <col min="3" max="3" width="35.42578125" customWidth="1"/>
    <col min="4" max="4" width="40.140625" style="24" customWidth="1"/>
    <col min="5" max="5" width="58.7109375" bestFit="1" customWidth="1"/>
  </cols>
  <sheetData>
    <row r="1" spans="2:5" ht="45.75" customHeight="1"/>
    <row r="2" spans="2:5" ht="39.75" customHeight="1">
      <c r="B2" s="135" t="s">
        <v>1557</v>
      </c>
      <c r="C2" s="136" t="s">
        <v>1558</v>
      </c>
      <c r="D2" s="136" t="s">
        <v>698</v>
      </c>
      <c r="E2" s="137" t="s">
        <v>1559</v>
      </c>
    </row>
    <row r="3" spans="2:5" ht="39.75" customHeight="1">
      <c r="B3" s="138">
        <v>1</v>
      </c>
      <c r="C3" s="139" t="s">
        <v>1560</v>
      </c>
      <c r="D3" s="140" t="s">
        <v>1561</v>
      </c>
      <c r="E3" s="141"/>
    </row>
    <row r="4" spans="2:5" ht="39.75" customHeight="1">
      <c r="B4" s="138">
        <v>2</v>
      </c>
      <c r="C4" s="139" t="s">
        <v>1562</v>
      </c>
      <c r="D4" s="140" t="s">
        <v>1563</v>
      </c>
      <c r="E4" s="141"/>
    </row>
    <row r="5" spans="2:5" ht="39.75" customHeight="1">
      <c r="B5" s="138">
        <v>3</v>
      </c>
      <c r="C5" s="139" t="s">
        <v>1564</v>
      </c>
      <c r="D5" s="140" t="s">
        <v>1565</v>
      </c>
      <c r="E5" s="141"/>
    </row>
    <row r="6" spans="2:5" ht="39.75" customHeight="1">
      <c r="B6" s="138">
        <v>4</v>
      </c>
      <c r="C6" s="140" t="s">
        <v>1566</v>
      </c>
      <c r="D6" s="140" t="s">
        <v>1567</v>
      </c>
      <c r="E6" s="141"/>
    </row>
    <row r="7" spans="2:5" ht="39.75" customHeight="1">
      <c r="B7" s="142">
        <v>5</v>
      </c>
      <c r="C7" s="140" t="s">
        <v>1568</v>
      </c>
      <c r="D7" s="140" t="s">
        <v>1567</v>
      </c>
      <c r="E7" s="141"/>
    </row>
    <row r="8" spans="2:5" ht="39.75" customHeight="1">
      <c r="B8" s="142">
        <v>6</v>
      </c>
      <c r="C8" s="140" t="s">
        <v>1569</v>
      </c>
      <c r="D8" s="140" t="s">
        <v>1570</v>
      </c>
      <c r="E8" s="205" t="s">
        <v>1571</v>
      </c>
    </row>
    <row r="9" spans="2:5" ht="39.75" customHeight="1">
      <c r="B9" s="142">
        <v>7</v>
      </c>
      <c r="C9" s="139" t="s">
        <v>1572</v>
      </c>
      <c r="D9" s="140" t="s">
        <v>1573</v>
      </c>
      <c r="E9" s="141" t="s">
        <v>1574</v>
      </c>
    </row>
    <row r="10" spans="2:5" ht="39.75" customHeight="1">
      <c r="B10" s="138">
        <v>8</v>
      </c>
      <c r="C10" s="139" t="s">
        <v>1575</v>
      </c>
      <c r="D10" s="140" t="s">
        <v>1576</v>
      </c>
      <c r="E10" s="141"/>
    </row>
    <row r="11" spans="2:5" ht="39.75" customHeight="1">
      <c r="B11" s="142">
        <v>9</v>
      </c>
      <c r="C11" s="139" t="s">
        <v>1577</v>
      </c>
      <c r="D11" s="140" t="s">
        <v>1578</v>
      </c>
      <c r="E11" s="141"/>
    </row>
    <row r="12" spans="2:5" ht="39.75" customHeight="1">
      <c r="B12" s="138">
        <v>10</v>
      </c>
      <c r="C12" s="140" t="s">
        <v>1579</v>
      </c>
      <c r="D12" s="140" t="s">
        <v>1580</v>
      </c>
      <c r="E12" s="141"/>
    </row>
    <row r="13" spans="2:5" ht="39.75" customHeight="1">
      <c r="B13" s="142">
        <v>11</v>
      </c>
      <c r="C13" s="139" t="s">
        <v>1581</v>
      </c>
      <c r="D13" s="140" t="s">
        <v>1582</v>
      </c>
      <c r="E13" s="141"/>
    </row>
    <row r="14" spans="2:5" ht="39.75" customHeight="1">
      <c r="B14" s="142">
        <v>12</v>
      </c>
      <c r="C14" s="139" t="s">
        <v>1583</v>
      </c>
      <c r="D14" s="140" t="s">
        <v>1584</v>
      </c>
      <c r="E14" s="141"/>
    </row>
    <row r="15" spans="2:5" ht="39.75" customHeight="1">
      <c r="B15" s="142">
        <v>13</v>
      </c>
      <c r="C15" s="139" t="s">
        <v>1585</v>
      </c>
      <c r="D15" s="140" t="s">
        <v>1586</v>
      </c>
      <c r="E15" s="141"/>
    </row>
    <row r="16" spans="2:5" ht="39.75" customHeight="1">
      <c r="B16" s="143">
        <v>14</v>
      </c>
      <c r="C16" s="144" t="s">
        <v>1587</v>
      </c>
      <c r="D16" s="140" t="s">
        <v>1588</v>
      </c>
      <c r="E16" s="141"/>
    </row>
    <row r="17" spans="2:5" ht="39.75" customHeight="1">
      <c r="B17" s="142">
        <v>15</v>
      </c>
      <c r="C17" s="139" t="s">
        <v>1589</v>
      </c>
      <c r="D17" s="140" t="s">
        <v>1590</v>
      </c>
      <c r="E17" s="141"/>
    </row>
    <row r="18" spans="2:5" ht="39.75" customHeight="1">
      <c r="B18" s="142">
        <v>16</v>
      </c>
      <c r="C18" s="139" t="s">
        <v>1591</v>
      </c>
      <c r="D18" s="140" t="s">
        <v>1592</v>
      </c>
      <c r="E18" s="141"/>
    </row>
    <row r="19" spans="2:5" ht="39.75" customHeight="1">
      <c r="B19" s="142">
        <v>17</v>
      </c>
      <c r="C19" s="139" t="s">
        <v>1593</v>
      </c>
      <c r="D19" s="140" t="s">
        <v>1594</v>
      </c>
      <c r="E19" s="141"/>
    </row>
    <row r="20" spans="2:5" ht="39.75" customHeight="1">
      <c r="B20" s="143">
        <v>18</v>
      </c>
      <c r="C20" s="144" t="s">
        <v>1595</v>
      </c>
      <c r="D20" s="145" t="s">
        <v>1596</v>
      </c>
      <c r="E20" s="146"/>
    </row>
    <row r="21" spans="2:5" ht="39.75" customHeight="1">
      <c r="B21" s="143">
        <v>19</v>
      </c>
      <c r="C21" s="144" t="s">
        <v>1597</v>
      </c>
      <c r="D21" s="145" t="s">
        <v>1598</v>
      </c>
      <c r="E21" s="146" t="s">
        <v>1599</v>
      </c>
    </row>
    <row r="22" spans="2:5" ht="39.75" customHeight="1">
      <c r="B22" s="142">
        <v>20</v>
      </c>
      <c r="C22" s="139" t="s">
        <v>1600</v>
      </c>
      <c r="D22" s="140" t="s">
        <v>1601</v>
      </c>
      <c r="E22" s="141" t="s">
        <v>1602</v>
      </c>
    </row>
    <row r="23" spans="2:5" ht="39.75" customHeight="1">
      <c r="B23" s="143">
        <v>21</v>
      </c>
      <c r="C23" s="144" t="s">
        <v>1603</v>
      </c>
      <c r="D23" s="145" t="s">
        <v>1604</v>
      </c>
      <c r="E23" s="146" t="s">
        <v>1605</v>
      </c>
    </row>
  </sheetData>
  <conditionalFormatting sqref="D3:D23">
    <cfRule type="cellIs" dxfId="400" priority="1" operator="equal">
      <formula>"Out Of Scope"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47DA-D9FB-49FA-8580-6C704CE75ADB}">
  <sheetPr>
    <tabColor rgb="FF00B050"/>
  </sheetPr>
  <dimension ref="B1:AW57"/>
  <sheetViews>
    <sheetView showGridLines="0" workbookViewId="0">
      <selection activeCell="H38" sqref="H38"/>
    </sheetView>
  </sheetViews>
  <sheetFormatPr defaultRowHeight="15"/>
  <cols>
    <col min="2" max="2" width="30.7109375" bestFit="1" customWidth="1"/>
    <col min="3" max="3" width="32.7109375" bestFit="1" customWidth="1"/>
    <col min="4" max="4" width="59.42578125" customWidth="1"/>
    <col min="5" max="5" width="30.42578125" bestFit="1" customWidth="1"/>
    <col min="6" max="6" width="25.28515625" customWidth="1"/>
    <col min="7" max="7" width="9.85546875" bestFit="1" customWidth="1"/>
    <col min="8" max="8" width="16.42578125" bestFit="1" customWidth="1"/>
    <col min="9" max="9" width="12" bestFit="1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30" bestFit="1" customWidth="1"/>
    <col min="14" max="17" width="30.7109375" bestFit="1" customWidth="1"/>
    <col min="18" max="18" width="31.28515625" customWidth="1"/>
    <col min="19" max="19" width="37.28515625" bestFit="1" customWidth="1"/>
    <col min="20" max="20" width="30.7109375" bestFit="1" customWidth="1"/>
    <col min="21" max="21" width="43.28515625" customWidth="1"/>
    <col min="22" max="25" width="30.7109375" bestFit="1" customWidth="1"/>
    <col min="26" max="26" width="24.5703125" bestFit="1" customWidth="1"/>
    <col min="27" max="27" width="30.7109375" bestFit="1" customWidth="1"/>
    <col min="28" max="28" width="16.42578125" bestFit="1" customWidth="1"/>
    <col min="29" max="29" width="26.85546875" bestFit="1" customWidth="1"/>
    <col min="30" max="30" width="30.7109375" bestFit="1" customWidth="1"/>
    <col min="31" max="31" width="25.140625" bestFit="1" customWidth="1"/>
    <col min="32" max="32" width="45.7109375" bestFit="1" customWidth="1"/>
    <col min="33" max="33" width="44.28515625" customWidth="1"/>
    <col min="34" max="34" width="38.28515625" bestFit="1" customWidth="1"/>
    <col min="35" max="35" width="75.42578125" bestFit="1" customWidth="1"/>
    <col min="36" max="36" width="29.42578125" customWidth="1"/>
    <col min="37" max="37" width="32.28515625" customWidth="1"/>
    <col min="38" max="38" width="32.5703125" customWidth="1"/>
    <col min="39" max="39" width="21.5703125" customWidth="1"/>
    <col min="40" max="40" width="27.7109375" customWidth="1"/>
    <col min="41" max="41" width="46.42578125" customWidth="1"/>
    <col min="42" max="42" width="34.42578125" customWidth="1"/>
    <col min="43" max="43" width="38.7109375" customWidth="1"/>
    <col min="44" max="44" width="24.7109375" customWidth="1"/>
    <col min="45" max="45" width="26.28515625" customWidth="1"/>
    <col min="46" max="46" width="35.5703125" customWidth="1"/>
    <col min="47" max="47" width="14.85546875" customWidth="1"/>
    <col min="48" max="48" width="23.42578125" customWidth="1"/>
    <col min="49" max="49" width="28.42578125" customWidth="1"/>
  </cols>
  <sheetData>
    <row r="1" spans="2:49" ht="27.75" customHeight="1"/>
    <row r="2" spans="2:49">
      <c r="B2" s="110" t="s">
        <v>1606</v>
      </c>
      <c r="C2" s="110" t="s">
        <v>1607</v>
      </c>
      <c r="D2" s="110" t="s">
        <v>1608</v>
      </c>
      <c r="E2" s="110" t="s">
        <v>1609</v>
      </c>
      <c r="F2" s="110" t="s">
        <v>1610</v>
      </c>
      <c r="G2" s="110" t="s">
        <v>1611</v>
      </c>
      <c r="H2" s="110" t="s">
        <v>1612</v>
      </c>
      <c r="I2" s="110" t="s">
        <v>799</v>
      </c>
      <c r="J2" s="110" t="s">
        <v>807</v>
      </c>
      <c r="K2" s="110" t="s">
        <v>815</v>
      </c>
      <c r="L2" s="110" t="s">
        <v>821</v>
      </c>
      <c r="M2" s="110" t="s">
        <v>828</v>
      </c>
      <c r="N2" s="110" t="s">
        <v>833</v>
      </c>
      <c r="O2" s="110" t="s">
        <v>839</v>
      </c>
      <c r="P2" s="110" t="s">
        <v>845</v>
      </c>
      <c r="Q2" s="110" t="s">
        <v>851</v>
      </c>
      <c r="R2" s="110" t="s">
        <v>858</v>
      </c>
      <c r="S2" s="110" t="s">
        <v>864</v>
      </c>
      <c r="T2" s="110" t="s">
        <v>870</v>
      </c>
      <c r="U2" s="110" t="s">
        <v>742</v>
      </c>
      <c r="V2" s="110" t="s">
        <v>764</v>
      </c>
      <c r="W2" s="110" t="s">
        <v>881</v>
      </c>
      <c r="X2" s="110" t="s">
        <v>706</v>
      </c>
      <c r="Y2" s="110" t="s">
        <v>714</v>
      </c>
      <c r="Z2" s="110" t="s">
        <v>891</v>
      </c>
      <c r="AA2" s="110" t="s">
        <v>898</v>
      </c>
      <c r="AB2" s="110" t="s">
        <v>905</v>
      </c>
      <c r="AC2" s="110" t="s">
        <v>687</v>
      </c>
      <c r="AD2" s="110" t="s">
        <v>722</v>
      </c>
      <c r="AE2" s="110" t="s">
        <v>914</v>
      </c>
      <c r="AF2" s="110" t="s">
        <v>921</v>
      </c>
      <c r="AG2" s="110" t="s">
        <v>927</v>
      </c>
      <c r="AH2" s="110" t="s">
        <v>934</v>
      </c>
      <c r="AI2" s="110" t="s">
        <v>940</v>
      </c>
      <c r="AJ2" s="110" t="s">
        <v>946</v>
      </c>
      <c r="AK2" s="110" t="s">
        <v>952</v>
      </c>
      <c r="AL2" s="110" t="s">
        <v>958</v>
      </c>
      <c r="AM2" s="110" t="s">
        <v>964</v>
      </c>
      <c r="AN2" s="110" t="s">
        <v>970</v>
      </c>
      <c r="AO2" s="110" t="s">
        <v>976</v>
      </c>
      <c r="AP2" s="110" t="s">
        <v>981</v>
      </c>
      <c r="AQ2" s="110" t="s">
        <v>986</v>
      </c>
      <c r="AR2" s="110" t="s">
        <v>990</v>
      </c>
      <c r="AS2" s="110" t="s">
        <v>995</v>
      </c>
      <c r="AT2" s="110" t="s">
        <v>1000</v>
      </c>
      <c r="AU2" s="110" t="s">
        <v>1005</v>
      </c>
      <c r="AV2" s="110" t="s">
        <v>783</v>
      </c>
      <c r="AW2" s="110" t="s">
        <v>790</v>
      </c>
    </row>
    <row r="3" spans="2:49">
      <c r="B3" s="188" t="s">
        <v>1560</v>
      </c>
      <c r="C3" s="189">
        <v>1</v>
      </c>
      <c r="D3" s="111" t="s">
        <v>1613</v>
      </c>
      <c r="E3" s="112">
        <v>45432</v>
      </c>
      <c r="F3" s="111">
        <v>1</v>
      </c>
      <c r="G3" s="111">
        <v>1</v>
      </c>
      <c r="H3" s="111">
        <v>735108</v>
      </c>
      <c r="I3" s="113" t="s">
        <v>1614</v>
      </c>
      <c r="J3" s="111" t="s">
        <v>1614</v>
      </c>
      <c r="K3" s="111" t="s">
        <v>1614</v>
      </c>
      <c r="L3" s="111" t="s">
        <v>1614</v>
      </c>
      <c r="M3" s="111" t="s">
        <v>1614</v>
      </c>
      <c r="N3" s="111" t="s">
        <v>1614</v>
      </c>
      <c r="O3" s="111" t="s">
        <v>1614</v>
      </c>
      <c r="P3" s="111" t="s">
        <v>1614</v>
      </c>
      <c r="Q3" s="111" t="s">
        <v>1614</v>
      </c>
      <c r="R3" s="111" t="s">
        <v>1614</v>
      </c>
      <c r="S3" s="111" t="s">
        <v>1614</v>
      </c>
      <c r="T3" s="111" t="s">
        <v>1614</v>
      </c>
      <c r="U3" s="111" t="s">
        <v>1614</v>
      </c>
      <c r="V3" s="111" t="s">
        <v>1614</v>
      </c>
      <c r="W3" s="111" t="s">
        <v>1614</v>
      </c>
      <c r="X3" s="111" t="s">
        <v>1614</v>
      </c>
      <c r="Y3" s="111" t="s">
        <v>1614</v>
      </c>
      <c r="Z3" s="111" t="s">
        <v>1614</v>
      </c>
      <c r="AA3" s="111" t="s">
        <v>1614</v>
      </c>
      <c r="AB3" s="111" t="s">
        <v>1614</v>
      </c>
      <c r="AC3" s="111" t="s">
        <v>1614</v>
      </c>
      <c r="AD3" s="111" t="s">
        <v>1614</v>
      </c>
      <c r="AE3" s="111" t="s">
        <v>1614</v>
      </c>
      <c r="AF3" s="111" t="s">
        <v>1614</v>
      </c>
      <c r="AG3" s="111" t="s">
        <v>1614</v>
      </c>
      <c r="AH3" s="111" t="s">
        <v>1614</v>
      </c>
      <c r="AI3" s="111" t="s">
        <v>1614</v>
      </c>
      <c r="AJ3" s="111" t="s">
        <v>1614</v>
      </c>
      <c r="AK3" s="111" t="s">
        <v>1614</v>
      </c>
      <c r="AL3" s="111" t="s">
        <v>1614</v>
      </c>
      <c r="AM3" s="111" t="s">
        <v>1614</v>
      </c>
      <c r="AN3" s="111" t="s">
        <v>1614</v>
      </c>
      <c r="AO3" s="198"/>
      <c r="AP3" s="198"/>
      <c r="AQ3" s="198"/>
      <c r="AR3" s="198"/>
      <c r="AS3" s="198"/>
      <c r="AT3" s="198"/>
      <c r="AU3" s="111" t="s">
        <v>1614</v>
      </c>
      <c r="AV3" s="111" t="s">
        <v>1614</v>
      </c>
      <c r="AW3" s="111" t="s">
        <v>1614</v>
      </c>
    </row>
    <row r="4" spans="2:49">
      <c r="B4" s="188" t="s">
        <v>1562</v>
      </c>
      <c r="C4" s="189">
        <v>2</v>
      </c>
      <c r="D4" s="111" t="s">
        <v>1615</v>
      </c>
      <c r="E4" s="112">
        <v>45432</v>
      </c>
      <c r="F4" s="111">
        <v>1</v>
      </c>
      <c r="G4" s="111">
        <v>0.99</v>
      </c>
      <c r="H4" s="111">
        <v>102</v>
      </c>
      <c r="I4" s="113" t="s">
        <v>1614</v>
      </c>
      <c r="J4" s="111" t="s">
        <v>1614</v>
      </c>
      <c r="K4" s="111" t="s">
        <v>1614</v>
      </c>
      <c r="L4" s="111" t="s">
        <v>1614</v>
      </c>
      <c r="M4" s="111" t="s">
        <v>1614</v>
      </c>
      <c r="N4" s="111" t="s">
        <v>1614</v>
      </c>
      <c r="O4" s="111" t="s">
        <v>1614</v>
      </c>
      <c r="P4" s="111" t="s">
        <v>1614</v>
      </c>
      <c r="Q4" s="111" t="s">
        <v>1614</v>
      </c>
      <c r="R4" s="111" t="s">
        <v>1614</v>
      </c>
      <c r="S4" s="111" t="s">
        <v>1614</v>
      </c>
      <c r="T4" s="111" t="s">
        <v>1614</v>
      </c>
      <c r="U4" s="111" t="s">
        <v>1614</v>
      </c>
      <c r="V4" s="111" t="s">
        <v>1614</v>
      </c>
      <c r="W4" s="111" t="s">
        <v>1614</v>
      </c>
      <c r="X4" s="111" t="s">
        <v>1614</v>
      </c>
      <c r="Y4" s="111" t="s">
        <v>1614</v>
      </c>
      <c r="Z4" s="111" t="s">
        <v>1614</v>
      </c>
      <c r="AA4" s="111" t="s">
        <v>1614</v>
      </c>
      <c r="AB4" s="111" t="s">
        <v>1614</v>
      </c>
      <c r="AC4" s="111" t="s">
        <v>1614</v>
      </c>
      <c r="AD4" s="111" t="s">
        <v>1614</v>
      </c>
      <c r="AE4" s="111" t="s">
        <v>1614</v>
      </c>
      <c r="AF4" s="111" t="s">
        <v>1614</v>
      </c>
      <c r="AG4" s="111" t="s">
        <v>1614</v>
      </c>
      <c r="AH4" s="111" t="s">
        <v>1614</v>
      </c>
      <c r="AI4" s="111" t="s">
        <v>1614</v>
      </c>
      <c r="AJ4" s="111" t="s">
        <v>1614</v>
      </c>
      <c r="AK4" s="111" t="s">
        <v>1614</v>
      </c>
      <c r="AL4" s="111" t="s">
        <v>1614</v>
      </c>
      <c r="AM4" s="111" t="s">
        <v>1614</v>
      </c>
      <c r="AN4" s="111" t="s">
        <v>1614</v>
      </c>
      <c r="AO4" s="198"/>
      <c r="AP4" s="198"/>
      <c r="AQ4" s="198"/>
      <c r="AR4" s="198"/>
      <c r="AS4" s="198"/>
      <c r="AT4" s="198"/>
      <c r="AU4" s="111" t="s">
        <v>1614</v>
      </c>
      <c r="AV4" s="111" t="s">
        <v>1614</v>
      </c>
      <c r="AW4" s="111" t="s">
        <v>1614</v>
      </c>
    </row>
    <row r="5" spans="2:49">
      <c r="B5" s="188" t="s">
        <v>1564</v>
      </c>
      <c r="C5" s="189">
        <v>3</v>
      </c>
      <c r="D5" s="111" t="s">
        <v>1616</v>
      </c>
      <c r="E5" s="112">
        <v>45432</v>
      </c>
      <c r="F5" s="111">
        <v>1</v>
      </c>
      <c r="G5" s="111">
        <v>0.92</v>
      </c>
      <c r="H5" s="111">
        <v>19607</v>
      </c>
      <c r="I5" s="111">
        <v>0</v>
      </c>
      <c r="J5" s="111">
        <v>19607</v>
      </c>
      <c r="K5" s="111">
        <v>0</v>
      </c>
      <c r="L5" s="111">
        <v>0</v>
      </c>
      <c r="M5" s="111">
        <v>0</v>
      </c>
      <c r="N5" s="111">
        <v>0</v>
      </c>
      <c r="O5" s="111">
        <v>0</v>
      </c>
      <c r="P5" s="111">
        <v>0</v>
      </c>
      <c r="Q5" s="111">
        <v>0</v>
      </c>
      <c r="R5" s="111">
        <v>0</v>
      </c>
      <c r="S5" s="111">
        <v>0</v>
      </c>
      <c r="T5" s="111">
        <v>0</v>
      </c>
      <c r="U5" s="111" t="s">
        <v>1614</v>
      </c>
      <c r="V5" s="111" t="s">
        <v>1614</v>
      </c>
      <c r="W5" s="111" t="s">
        <v>1614</v>
      </c>
      <c r="X5" s="111" t="s">
        <v>1614</v>
      </c>
      <c r="Y5" s="111" t="s">
        <v>1614</v>
      </c>
      <c r="Z5" s="111" t="s">
        <v>1614</v>
      </c>
      <c r="AA5" s="111" t="s">
        <v>1614</v>
      </c>
      <c r="AB5" s="111" t="s">
        <v>1614</v>
      </c>
      <c r="AC5" s="111" t="s">
        <v>1614</v>
      </c>
      <c r="AD5" s="111" t="s">
        <v>1614</v>
      </c>
      <c r="AE5" s="111" t="s">
        <v>1614</v>
      </c>
      <c r="AF5" s="111" t="s">
        <v>1614</v>
      </c>
      <c r="AG5" s="111" t="s">
        <v>1614</v>
      </c>
      <c r="AH5" s="111" t="s">
        <v>1614</v>
      </c>
      <c r="AI5" s="111" t="s">
        <v>1614</v>
      </c>
      <c r="AJ5" s="111" t="s">
        <v>1614</v>
      </c>
      <c r="AK5" s="111" t="s">
        <v>1614</v>
      </c>
      <c r="AL5" s="111" t="s">
        <v>1614</v>
      </c>
      <c r="AM5" s="111" t="s">
        <v>1614</v>
      </c>
      <c r="AN5" s="111" t="s">
        <v>1614</v>
      </c>
      <c r="AO5" s="198"/>
      <c r="AP5" s="198"/>
      <c r="AQ5" s="198"/>
      <c r="AR5" s="198"/>
      <c r="AS5" s="198"/>
      <c r="AT5" s="198"/>
      <c r="AU5" s="111" t="s">
        <v>1614</v>
      </c>
      <c r="AV5" s="111" t="s">
        <v>1614</v>
      </c>
      <c r="AW5" s="111" t="s">
        <v>1614</v>
      </c>
    </row>
    <row r="6" spans="2:49">
      <c r="B6" s="188" t="s">
        <v>1566</v>
      </c>
      <c r="C6" s="189">
        <v>4</v>
      </c>
      <c r="D6" s="111" t="s">
        <v>1616</v>
      </c>
      <c r="E6" s="112">
        <v>45432</v>
      </c>
      <c r="F6" s="111">
        <v>1</v>
      </c>
      <c r="G6" s="111" t="s">
        <v>1614</v>
      </c>
      <c r="H6" s="111" t="s">
        <v>1617</v>
      </c>
      <c r="I6" s="113" t="s">
        <v>1614</v>
      </c>
      <c r="J6" s="113" t="s">
        <v>1614</v>
      </c>
      <c r="K6" s="113" t="s">
        <v>1614</v>
      </c>
      <c r="L6" s="113" t="s">
        <v>1614</v>
      </c>
      <c r="M6" s="113" t="s">
        <v>1614</v>
      </c>
      <c r="N6" s="113" t="s">
        <v>1614</v>
      </c>
      <c r="O6" s="113" t="s">
        <v>1614</v>
      </c>
      <c r="P6" s="113" t="s">
        <v>1614</v>
      </c>
      <c r="Q6" s="113" t="s">
        <v>1614</v>
      </c>
      <c r="R6" s="113" t="s">
        <v>1614</v>
      </c>
      <c r="S6" s="113" t="s">
        <v>1614</v>
      </c>
      <c r="T6" s="113" t="s">
        <v>1614</v>
      </c>
      <c r="U6" s="113" t="s">
        <v>1614</v>
      </c>
      <c r="V6" s="113" t="s">
        <v>1614</v>
      </c>
      <c r="W6" s="113" t="s">
        <v>1614</v>
      </c>
      <c r="X6" s="113" t="s">
        <v>1614</v>
      </c>
      <c r="Y6" s="113" t="s">
        <v>1614</v>
      </c>
      <c r="Z6" s="113" t="s">
        <v>1614</v>
      </c>
      <c r="AA6" s="113" t="s">
        <v>1614</v>
      </c>
      <c r="AB6" s="113" t="s">
        <v>1614</v>
      </c>
      <c r="AC6" s="113" t="s">
        <v>1614</v>
      </c>
      <c r="AD6" s="113" t="s">
        <v>1614</v>
      </c>
      <c r="AE6" s="113" t="s">
        <v>1614</v>
      </c>
      <c r="AF6" s="113" t="s">
        <v>1614</v>
      </c>
      <c r="AG6" s="113" t="s">
        <v>1614</v>
      </c>
      <c r="AH6" s="113" t="s">
        <v>1614</v>
      </c>
      <c r="AI6" s="113" t="s">
        <v>1614</v>
      </c>
      <c r="AJ6" s="113" t="s">
        <v>1614</v>
      </c>
      <c r="AK6" s="113" t="s">
        <v>1614</v>
      </c>
      <c r="AL6" s="113" t="s">
        <v>1614</v>
      </c>
      <c r="AM6" s="113" t="s">
        <v>1614</v>
      </c>
      <c r="AN6" s="113" t="s">
        <v>1614</v>
      </c>
      <c r="AO6" s="113" t="s">
        <v>1614</v>
      </c>
      <c r="AP6" s="113" t="s">
        <v>1614</v>
      </c>
      <c r="AQ6" s="113" t="s">
        <v>1614</v>
      </c>
      <c r="AR6" s="113" t="s">
        <v>1614</v>
      </c>
      <c r="AS6" s="113" t="s">
        <v>1614</v>
      </c>
      <c r="AT6" s="113" t="s">
        <v>1614</v>
      </c>
      <c r="AU6" s="113" t="s">
        <v>1614</v>
      </c>
      <c r="AV6" s="113" t="s">
        <v>1614</v>
      </c>
      <c r="AW6" s="113" t="s">
        <v>1614</v>
      </c>
    </row>
    <row r="7" spans="2:49">
      <c r="B7" s="188" t="s">
        <v>1568</v>
      </c>
      <c r="C7" s="189">
        <v>5</v>
      </c>
      <c r="D7" s="111" t="s">
        <v>1616</v>
      </c>
      <c r="E7" s="112">
        <v>45432</v>
      </c>
      <c r="F7" s="111">
        <v>1</v>
      </c>
      <c r="G7" s="111" t="s">
        <v>1614</v>
      </c>
      <c r="H7" s="111" t="s">
        <v>1617</v>
      </c>
      <c r="I7" s="113" t="s">
        <v>1614</v>
      </c>
      <c r="J7" s="113" t="s">
        <v>1614</v>
      </c>
      <c r="K7" s="113" t="s">
        <v>1614</v>
      </c>
      <c r="L7" s="113" t="s">
        <v>1614</v>
      </c>
      <c r="M7" s="113" t="s">
        <v>1614</v>
      </c>
      <c r="N7" s="113" t="s">
        <v>1614</v>
      </c>
      <c r="O7" s="113" t="s">
        <v>1614</v>
      </c>
      <c r="P7" s="113" t="s">
        <v>1614</v>
      </c>
      <c r="Q7" s="113" t="s">
        <v>1614</v>
      </c>
      <c r="R7" s="113" t="s">
        <v>1614</v>
      </c>
      <c r="S7" s="113" t="s">
        <v>1614</v>
      </c>
      <c r="T7" s="113" t="s">
        <v>1614</v>
      </c>
      <c r="U7" s="113" t="s">
        <v>1614</v>
      </c>
      <c r="V7" s="113" t="s">
        <v>1614</v>
      </c>
      <c r="W7" s="113" t="s">
        <v>1614</v>
      </c>
      <c r="X7" s="113" t="s">
        <v>1614</v>
      </c>
      <c r="Y7" s="113" t="s">
        <v>1614</v>
      </c>
      <c r="Z7" s="113" t="s">
        <v>1614</v>
      </c>
      <c r="AA7" s="113" t="s">
        <v>1614</v>
      </c>
      <c r="AB7" s="113" t="s">
        <v>1614</v>
      </c>
      <c r="AC7" s="113" t="s">
        <v>1614</v>
      </c>
      <c r="AD7" s="113" t="s">
        <v>1614</v>
      </c>
      <c r="AE7" s="113" t="s">
        <v>1614</v>
      </c>
      <c r="AF7" s="113" t="s">
        <v>1614</v>
      </c>
      <c r="AG7" s="113" t="s">
        <v>1614</v>
      </c>
      <c r="AH7" s="113" t="s">
        <v>1614</v>
      </c>
      <c r="AI7" s="113" t="s">
        <v>1614</v>
      </c>
      <c r="AJ7" s="113" t="s">
        <v>1614</v>
      </c>
      <c r="AK7" s="113" t="s">
        <v>1614</v>
      </c>
      <c r="AL7" s="113" t="s">
        <v>1614</v>
      </c>
      <c r="AM7" s="113" t="s">
        <v>1614</v>
      </c>
      <c r="AN7" s="113" t="s">
        <v>1614</v>
      </c>
      <c r="AO7" s="113" t="s">
        <v>1614</v>
      </c>
      <c r="AP7" s="113" t="s">
        <v>1614</v>
      </c>
      <c r="AQ7" s="113" t="s">
        <v>1614</v>
      </c>
      <c r="AR7" s="113" t="s">
        <v>1614</v>
      </c>
      <c r="AS7" s="113" t="s">
        <v>1614</v>
      </c>
      <c r="AT7" s="113" t="s">
        <v>1614</v>
      </c>
      <c r="AU7" s="113" t="s">
        <v>1614</v>
      </c>
      <c r="AV7" s="113" t="s">
        <v>1614</v>
      </c>
      <c r="AW7" s="113" t="s">
        <v>1614</v>
      </c>
    </row>
    <row r="8" spans="2:49">
      <c r="B8" s="190" t="s">
        <v>1569</v>
      </c>
      <c r="C8" s="189">
        <v>6</v>
      </c>
      <c r="D8" s="111" t="s">
        <v>1618</v>
      </c>
      <c r="E8" s="112">
        <v>45432</v>
      </c>
      <c r="F8" s="111">
        <v>1</v>
      </c>
      <c r="G8" s="111" cm="1">
        <f t="array" ref="G8">SUMPRODUCT(--(I8:AW8&gt;0))/COUNTA(I8:AW8)</f>
        <v>1</v>
      </c>
      <c r="H8" s="111" t="s">
        <v>1617</v>
      </c>
      <c r="I8" s="111">
        <v>2</v>
      </c>
      <c r="J8" s="111">
        <v>4</v>
      </c>
      <c r="K8" s="111">
        <v>30</v>
      </c>
      <c r="L8" s="111">
        <v>15</v>
      </c>
      <c r="M8" s="111">
        <v>2</v>
      </c>
      <c r="N8" s="111">
        <v>4</v>
      </c>
      <c r="O8" s="111">
        <v>11</v>
      </c>
      <c r="P8" s="111">
        <v>15</v>
      </c>
      <c r="Q8" s="111">
        <v>2</v>
      </c>
      <c r="R8" s="111">
        <v>4</v>
      </c>
      <c r="S8" s="113">
        <v>30</v>
      </c>
      <c r="T8" s="113">
        <v>15</v>
      </c>
      <c r="U8" s="111">
        <v>2</v>
      </c>
      <c r="V8" s="111">
        <v>10</v>
      </c>
      <c r="W8" s="111">
        <v>10</v>
      </c>
      <c r="X8" s="111">
        <v>4</v>
      </c>
      <c r="Y8" s="111">
        <v>2</v>
      </c>
      <c r="Z8" s="111">
        <v>10</v>
      </c>
      <c r="AA8" s="111">
        <v>4</v>
      </c>
      <c r="AB8" s="111">
        <v>3</v>
      </c>
      <c r="AC8" s="111">
        <v>3</v>
      </c>
      <c r="AD8" s="111">
        <v>3</v>
      </c>
      <c r="AE8" s="111">
        <v>10</v>
      </c>
      <c r="AF8" s="111">
        <v>10</v>
      </c>
      <c r="AG8" s="111">
        <v>4</v>
      </c>
      <c r="AH8" s="111">
        <v>4</v>
      </c>
      <c r="AI8" s="111">
        <v>4</v>
      </c>
      <c r="AJ8" s="111">
        <v>4</v>
      </c>
      <c r="AK8" s="111">
        <v>4</v>
      </c>
      <c r="AL8" s="111">
        <v>8</v>
      </c>
      <c r="AM8" s="111">
        <v>4</v>
      </c>
      <c r="AN8" s="111">
        <v>8</v>
      </c>
      <c r="AO8" s="198">
        <v>1</v>
      </c>
      <c r="AP8" s="198">
        <v>1</v>
      </c>
      <c r="AQ8" s="198">
        <v>1</v>
      </c>
      <c r="AR8" s="198">
        <v>1</v>
      </c>
      <c r="AS8" s="198">
        <v>1</v>
      </c>
      <c r="AT8" s="198">
        <v>1</v>
      </c>
      <c r="AU8" s="111">
        <v>3</v>
      </c>
      <c r="AV8" s="111">
        <v>10</v>
      </c>
      <c r="AW8" s="111">
        <v>23</v>
      </c>
    </row>
    <row r="9" spans="2:49">
      <c r="B9" s="188" t="s">
        <v>1572</v>
      </c>
      <c r="C9" s="189">
        <v>7</v>
      </c>
      <c r="D9" s="111" t="s">
        <v>1619</v>
      </c>
      <c r="E9" s="112">
        <v>45432</v>
      </c>
      <c r="F9" s="111">
        <v>1</v>
      </c>
      <c r="G9" s="111" cm="1">
        <f t="array" aca="1" ref="G9" ca="1">SUMPRODUCT(--(I9:AW9&lt;=I26:AW26))/COUNTA(I26:AW26)</f>
        <v>1</v>
      </c>
      <c r="H9" s="111" t="s">
        <v>1617</v>
      </c>
      <c r="I9" s="111">
        <v>2</v>
      </c>
      <c r="J9" s="111">
        <v>4</v>
      </c>
      <c r="K9" s="111">
        <v>30</v>
      </c>
      <c r="L9" s="111">
        <v>15</v>
      </c>
      <c r="M9" s="111">
        <v>2</v>
      </c>
      <c r="N9" s="111">
        <v>4</v>
      </c>
      <c r="O9" s="111">
        <v>11</v>
      </c>
      <c r="P9" s="111">
        <v>15</v>
      </c>
      <c r="Q9" s="111">
        <v>2</v>
      </c>
      <c r="R9" s="111">
        <v>4</v>
      </c>
      <c r="S9" s="111">
        <v>30</v>
      </c>
      <c r="T9" s="111">
        <v>15</v>
      </c>
      <c r="U9" s="111">
        <v>4</v>
      </c>
      <c r="V9" s="111">
        <v>10</v>
      </c>
      <c r="W9" s="111">
        <v>10</v>
      </c>
      <c r="X9" s="111">
        <v>4</v>
      </c>
      <c r="Y9" s="111">
        <v>4</v>
      </c>
      <c r="Z9" s="111">
        <v>10</v>
      </c>
      <c r="AA9" s="111">
        <v>12</v>
      </c>
      <c r="AB9" s="111">
        <v>3</v>
      </c>
      <c r="AC9" s="111">
        <v>4</v>
      </c>
      <c r="AD9" s="111">
        <v>3</v>
      </c>
      <c r="AE9" s="111">
        <v>10</v>
      </c>
      <c r="AF9" s="111">
        <v>10</v>
      </c>
      <c r="AG9" s="111">
        <v>13</v>
      </c>
      <c r="AH9" s="111">
        <v>13</v>
      </c>
      <c r="AI9" s="111">
        <v>12</v>
      </c>
      <c r="AJ9" s="111">
        <v>13</v>
      </c>
      <c r="AK9" s="111">
        <v>12</v>
      </c>
      <c r="AL9" s="111">
        <v>10</v>
      </c>
      <c r="AM9" s="111">
        <v>12</v>
      </c>
      <c r="AN9" s="111">
        <v>10</v>
      </c>
      <c r="AO9" s="198">
        <v>10</v>
      </c>
      <c r="AP9" s="198">
        <v>10</v>
      </c>
      <c r="AQ9" s="198">
        <v>10</v>
      </c>
      <c r="AR9" s="198">
        <v>10</v>
      </c>
      <c r="AS9" s="198">
        <v>10</v>
      </c>
      <c r="AT9" s="198">
        <v>10</v>
      </c>
      <c r="AU9" s="111">
        <v>3</v>
      </c>
      <c r="AV9" s="111">
        <v>10</v>
      </c>
      <c r="AW9" s="111">
        <v>23</v>
      </c>
    </row>
    <row r="10" spans="2:49">
      <c r="B10" s="188" t="s">
        <v>1575</v>
      </c>
      <c r="C10" s="189">
        <v>8</v>
      </c>
      <c r="D10" s="111" t="s">
        <v>1620</v>
      </c>
      <c r="E10" s="112">
        <v>45432</v>
      </c>
      <c r="F10" s="111">
        <v>1</v>
      </c>
      <c r="G10" s="111" t="s">
        <v>1614</v>
      </c>
      <c r="H10" s="111" t="s">
        <v>1617</v>
      </c>
      <c r="I10" s="111">
        <v>31</v>
      </c>
      <c r="J10" s="111">
        <v>0</v>
      </c>
      <c r="K10" s="111">
        <v>162304820065640</v>
      </c>
      <c r="L10" s="111">
        <v>0</v>
      </c>
      <c r="M10" s="111">
        <v>31</v>
      </c>
      <c r="N10" s="111">
        <v>0</v>
      </c>
      <c r="O10" s="111">
        <v>0</v>
      </c>
      <c r="P10" s="111">
        <v>0</v>
      </c>
      <c r="Q10" s="111">
        <v>31</v>
      </c>
      <c r="R10" s="111">
        <v>0</v>
      </c>
      <c r="S10" s="113">
        <v>31</v>
      </c>
      <c r="T10" s="111">
        <v>0</v>
      </c>
      <c r="U10" s="111" t="e">
        <v>#N/A</v>
      </c>
      <c r="V10" s="111">
        <v>0</v>
      </c>
      <c r="W10" s="111">
        <v>0</v>
      </c>
      <c r="X10" s="111" t="e">
        <v>#N/A</v>
      </c>
      <c r="Y10" s="111" t="e">
        <v>#N/A</v>
      </c>
      <c r="Z10" s="111" t="s">
        <v>1621</v>
      </c>
      <c r="AA10" s="111" t="s">
        <v>1617</v>
      </c>
      <c r="AB10" s="111" t="s">
        <v>1622</v>
      </c>
      <c r="AC10" s="111">
        <v>26</v>
      </c>
      <c r="AD10" s="111">
        <v>1</v>
      </c>
      <c r="AE10" s="111" t="s">
        <v>1621</v>
      </c>
      <c r="AF10" s="111" t="s">
        <v>1621</v>
      </c>
      <c r="AG10" s="111" t="s">
        <v>1617</v>
      </c>
      <c r="AH10" s="111" t="s">
        <v>1617</v>
      </c>
      <c r="AI10" s="111" t="s">
        <v>1617</v>
      </c>
      <c r="AJ10" s="113" t="s">
        <v>1623</v>
      </c>
      <c r="AK10" s="113" t="s">
        <v>1617</v>
      </c>
      <c r="AL10" s="111" t="s">
        <v>1624</v>
      </c>
      <c r="AM10" s="111" t="s">
        <v>1617</v>
      </c>
      <c r="AN10" s="111" t="s">
        <v>1624</v>
      </c>
      <c r="AO10" s="198"/>
      <c r="AP10" s="198"/>
      <c r="AQ10" s="198"/>
      <c r="AR10" s="198"/>
      <c r="AS10" s="198"/>
      <c r="AT10" s="198"/>
      <c r="AU10" s="111" t="s">
        <v>1625</v>
      </c>
      <c r="AV10" s="112">
        <v>45432</v>
      </c>
      <c r="AW10" s="112" t="s">
        <v>1626</v>
      </c>
    </row>
    <row r="11" spans="2:49">
      <c r="B11" s="188" t="s">
        <v>1577</v>
      </c>
      <c r="C11" s="189">
        <v>9</v>
      </c>
      <c r="D11" s="111" t="s">
        <v>1627</v>
      </c>
      <c r="E11" s="112">
        <v>45432</v>
      </c>
      <c r="F11" s="111">
        <v>1</v>
      </c>
      <c r="G11" s="111" t="s">
        <v>1614</v>
      </c>
      <c r="H11" s="111" t="s">
        <v>1617</v>
      </c>
      <c r="I11" s="111">
        <v>31</v>
      </c>
      <c r="J11" s="111" t="s">
        <v>1628</v>
      </c>
      <c r="K11" s="111">
        <v>162304820065640</v>
      </c>
      <c r="L11" s="111">
        <v>0</v>
      </c>
      <c r="M11" s="111">
        <v>31</v>
      </c>
      <c r="N11" s="111">
        <v>0</v>
      </c>
      <c r="O11" s="111">
        <v>0</v>
      </c>
      <c r="P11" s="111">
        <v>0</v>
      </c>
      <c r="Q11" s="111">
        <v>31</v>
      </c>
      <c r="R11" s="111">
        <v>0</v>
      </c>
      <c r="S11" s="111">
        <v>31</v>
      </c>
      <c r="T11" s="111">
        <v>0</v>
      </c>
      <c r="U11" s="111" t="e">
        <v>#N/A</v>
      </c>
      <c r="V11" s="111" t="e">
        <v>#N/A</v>
      </c>
      <c r="W11" s="111" t="e">
        <v>#N/A</v>
      </c>
      <c r="X11" s="111"/>
      <c r="Y11" s="111"/>
      <c r="Z11" s="111" t="s">
        <v>1621</v>
      </c>
      <c r="AA11" s="111" t="s">
        <v>1617</v>
      </c>
      <c r="AB11" s="111" t="s">
        <v>1622</v>
      </c>
      <c r="AC11" s="111" t="e">
        <v>#N/A</v>
      </c>
      <c r="AD11" s="111">
        <v>1</v>
      </c>
      <c r="AE11" s="111" t="s">
        <v>1621</v>
      </c>
      <c r="AF11" s="111" t="s">
        <v>1621</v>
      </c>
      <c r="AG11" s="111" t="s">
        <v>1617</v>
      </c>
      <c r="AH11" s="111" t="s">
        <v>1617</v>
      </c>
      <c r="AI11" s="111" t="s">
        <v>1617</v>
      </c>
      <c r="AJ11" s="113" t="s">
        <v>1629</v>
      </c>
      <c r="AK11" s="111" t="s">
        <v>1617</v>
      </c>
      <c r="AL11" s="111" t="s">
        <v>1624</v>
      </c>
      <c r="AM11" s="111" t="s">
        <v>1617</v>
      </c>
      <c r="AN11" s="111" t="s">
        <v>1624</v>
      </c>
      <c r="AO11" s="198"/>
      <c r="AP11" s="198"/>
      <c r="AQ11" s="198"/>
      <c r="AR11" s="198"/>
      <c r="AS11" s="198"/>
      <c r="AT11" s="198"/>
      <c r="AU11" s="111" t="s">
        <v>1630</v>
      </c>
      <c r="AV11" s="112">
        <v>45432</v>
      </c>
      <c r="AW11" s="112" t="s">
        <v>1631</v>
      </c>
    </row>
    <row r="12" spans="2:49">
      <c r="B12" s="190" t="s">
        <v>1579</v>
      </c>
      <c r="C12" s="189">
        <v>10</v>
      </c>
      <c r="D12" s="111" t="s">
        <v>1632</v>
      </c>
      <c r="E12" s="112">
        <v>45432</v>
      </c>
      <c r="F12" s="111">
        <v>1</v>
      </c>
      <c r="G12" s="111" t="s">
        <v>1614</v>
      </c>
      <c r="H12" s="111" t="s">
        <v>1617</v>
      </c>
      <c r="I12" s="111">
        <v>89</v>
      </c>
      <c r="J12" s="111">
        <v>6835</v>
      </c>
      <c r="K12" s="111">
        <v>6.8350096000050594E+29</v>
      </c>
      <c r="L12" s="111" t="s">
        <v>1633</v>
      </c>
      <c r="M12" s="111">
        <v>89</v>
      </c>
      <c r="N12" s="111">
        <v>6208</v>
      </c>
      <c r="O12" s="186">
        <v>20240000116</v>
      </c>
      <c r="P12" s="111">
        <v>69796230100000</v>
      </c>
      <c r="Q12" s="113">
        <v>89</v>
      </c>
      <c r="R12" s="111">
        <v>5425</v>
      </c>
      <c r="S12" s="186">
        <v>5.42500000473051E+29</v>
      </c>
      <c r="T12" s="186">
        <v>933000313600000</v>
      </c>
      <c r="U12" s="113">
        <v>12</v>
      </c>
      <c r="V12" s="113">
        <v>9961000426</v>
      </c>
      <c r="W12" s="113">
        <v>9961000426</v>
      </c>
      <c r="X12" s="111">
        <v>1170</v>
      </c>
      <c r="Y12" s="113">
        <v>11</v>
      </c>
      <c r="Z12" s="113">
        <v>45432</v>
      </c>
      <c r="AA12" s="113" t="s">
        <v>1634</v>
      </c>
      <c r="AB12" s="113" t="s">
        <v>1635</v>
      </c>
      <c r="AC12" s="112" t="s">
        <v>1636</v>
      </c>
      <c r="AD12" s="111" t="s">
        <v>1637</v>
      </c>
      <c r="AE12" s="112">
        <v>45432</v>
      </c>
      <c r="AF12" s="112">
        <v>45432</v>
      </c>
      <c r="AG12" s="113" t="s">
        <v>1634</v>
      </c>
      <c r="AH12" s="186" t="s">
        <v>1634</v>
      </c>
      <c r="AI12" s="113" t="s">
        <v>1638</v>
      </c>
      <c r="AJ12" s="113" t="s">
        <v>1639</v>
      </c>
      <c r="AK12" s="113" t="s">
        <v>1640</v>
      </c>
      <c r="AL12" s="113">
        <v>99999727</v>
      </c>
      <c r="AM12" s="113" t="s">
        <v>1634</v>
      </c>
      <c r="AN12" s="186">
        <v>999999999</v>
      </c>
      <c r="AO12" s="202"/>
      <c r="AP12" s="202"/>
      <c r="AQ12" s="202"/>
      <c r="AR12" s="202"/>
      <c r="AS12" s="202"/>
      <c r="AT12" s="202"/>
      <c r="AU12" s="113" t="s">
        <v>1625</v>
      </c>
      <c r="AV12" s="112">
        <v>45432</v>
      </c>
      <c r="AW12" s="112" t="s">
        <v>1626</v>
      </c>
    </row>
    <row r="13" spans="2:49">
      <c r="B13" s="188" t="s">
        <v>1581</v>
      </c>
      <c r="C13" s="189">
        <v>11</v>
      </c>
      <c r="D13" s="111" t="s">
        <v>1641</v>
      </c>
      <c r="E13" s="112">
        <v>45432</v>
      </c>
      <c r="F13" s="111">
        <v>1</v>
      </c>
      <c r="G13" s="111" t="s">
        <v>1614</v>
      </c>
      <c r="H13" s="111" t="s">
        <v>1617</v>
      </c>
      <c r="I13" s="111">
        <v>89</v>
      </c>
      <c r="J13" s="111">
        <v>6835</v>
      </c>
      <c r="K13" s="111">
        <v>6.8350096000050594E+29</v>
      </c>
      <c r="L13" s="111" t="s">
        <v>1633</v>
      </c>
      <c r="M13" s="111">
        <v>89</v>
      </c>
      <c r="N13" s="111">
        <v>6208</v>
      </c>
      <c r="O13" s="186">
        <v>20240000116</v>
      </c>
      <c r="P13" s="111">
        <v>69796230100000</v>
      </c>
      <c r="Q13" s="111">
        <v>89</v>
      </c>
      <c r="R13" s="111">
        <v>5425</v>
      </c>
      <c r="S13" s="186">
        <v>5.42500000473051E+29</v>
      </c>
      <c r="T13" s="186">
        <v>933000313600000</v>
      </c>
      <c r="U13" s="111">
        <v>12</v>
      </c>
      <c r="V13" s="111">
        <v>9961000426</v>
      </c>
      <c r="W13" s="111">
        <v>9961000426</v>
      </c>
      <c r="X13" s="111">
        <v>1170</v>
      </c>
      <c r="Y13" s="111">
        <v>11</v>
      </c>
      <c r="Z13" s="112">
        <v>45432</v>
      </c>
      <c r="AA13" s="111" t="s">
        <v>1642</v>
      </c>
      <c r="AB13" s="111" t="s">
        <v>1635</v>
      </c>
      <c r="AC13" s="112" t="s">
        <v>1636</v>
      </c>
      <c r="AD13" s="111" t="s">
        <v>1637</v>
      </c>
      <c r="AE13" s="112">
        <v>45432</v>
      </c>
      <c r="AF13" s="112">
        <v>45432</v>
      </c>
      <c r="AG13" s="111" t="s">
        <v>1643</v>
      </c>
      <c r="AH13" s="111" t="s">
        <v>1643</v>
      </c>
      <c r="AI13" s="113" t="s">
        <v>1644</v>
      </c>
      <c r="AJ13" s="111" t="s">
        <v>1645</v>
      </c>
      <c r="AK13" s="113" t="s">
        <v>1646</v>
      </c>
      <c r="AL13" s="113">
        <v>100000000</v>
      </c>
      <c r="AM13" s="113" t="s">
        <v>1642</v>
      </c>
      <c r="AN13" s="186">
        <v>999999999</v>
      </c>
      <c r="AO13" s="202"/>
      <c r="AP13" s="202"/>
      <c r="AQ13" s="202"/>
      <c r="AR13" s="202"/>
      <c r="AS13" s="202"/>
      <c r="AT13" s="202"/>
      <c r="AU13" s="113" t="s">
        <v>1647</v>
      </c>
      <c r="AV13" s="112">
        <v>45432</v>
      </c>
      <c r="AW13" s="112" t="s">
        <v>1648</v>
      </c>
    </row>
    <row r="14" spans="2:49">
      <c r="B14" s="188" t="s">
        <v>1583</v>
      </c>
      <c r="C14" s="189">
        <v>12</v>
      </c>
      <c r="D14" s="111" t="s">
        <v>1649</v>
      </c>
      <c r="E14" s="112">
        <v>45432</v>
      </c>
      <c r="F14" s="111">
        <v>1</v>
      </c>
      <c r="G14" s="111">
        <v>0.77</v>
      </c>
      <c r="H14" s="111" t="s">
        <v>1617</v>
      </c>
      <c r="I14" s="111">
        <v>0</v>
      </c>
      <c r="J14" s="111">
        <v>19607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3">
        <v>0</v>
      </c>
      <c r="V14" s="113">
        <v>0</v>
      </c>
      <c r="W14" s="113">
        <v>0</v>
      </c>
      <c r="X14" s="113">
        <v>47</v>
      </c>
      <c r="Y14" s="113">
        <v>13</v>
      </c>
      <c r="Z14" s="113">
        <v>0</v>
      </c>
      <c r="AA14" s="111">
        <v>0</v>
      </c>
      <c r="AB14" s="111">
        <v>0</v>
      </c>
      <c r="AC14" s="111">
        <v>364263</v>
      </c>
      <c r="AD14" s="111">
        <v>0</v>
      </c>
      <c r="AE14" s="111">
        <v>383971</v>
      </c>
      <c r="AF14" s="111">
        <v>386093</v>
      </c>
      <c r="AG14" s="111">
        <v>121404</v>
      </c>
      <c r="AH14" s="111">
        <v>123217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99"/>
      <c r="AP14" s="199"/>
      <c r="AQ14" s="199"/>
      <c r="AR14" s="199"/>
      <c r="AS14" s="199"/>
      <c r="AT14" s="199"/>
      <c r="AU14" s="111">
        <v>0</v>
      </c>
      <c r="AV14" s="111">
        <v>0</v>
      </c>
      <c r="AW14" s="111">
        <v>0</v>
      </c>
    </row>
    <row r="15" spans="2:49">
      <c r="B15" s="188" t="s">
        <v>1585</v>
      </c>
      <c r="C15" s="189">
        <v>13</v>
      </c>
      <c r="D15" s="111" t="s">
        <v>1650</v>
      </c>
      <c r="E15" s="112">
        <v>45432</v>
      </c>
      <c r="F15" s="111">
        <v>1</v>
      </c>
      <c r="G15" s="111">
        <v>1</v>
      </c>
      <c r="H15" s="111" t="s">
        <v>1617</v>
      </c>
      <c r="I15" s="111" t="s">
        <v>1614</v>
      </c>
      <c r="J15" s="111" t="s">
        <v>1614</v>
      </c>
      <c r="K15" s="111" t="s">
        <v>1614</v>
      </c>
      <c r="L15" s="111" t="s">
        <v>1614</v>
      </c>
      <c r="M15" s="111" t="s">
        <v>1614</v>
      </c>
      <c r="N15" s="112" t="s">
        <v>1614</v>
      </c>
      <c r="O15" s="112" t="s">
        <v>1614</v>
      </c>
      <c r="P15" s="112" t="s">
        <v>1614</v>
      </c>
      <c r="Q15" s="111" t="s">
        <v>1614</v>
      </c>
      <c r="R15" s="112" t="s">
        <v>1614</v>
      </c>
      <c r="S15" s="112" t="s">
        <v>1614</v>
      </c>
      <c r="T15" s="112" t="s">
        <v>1614</v>
      </c>
      <c r="U15" s="111" t="s">
        <v>1614</v>
      </c>
      <c r="V15" s="111" t="s">
        <v>1614</v>
      </c>
      <c r="W15" s="111" t="s">
        <v>1614</v>
      </c>
      <c r="X15" s="111" t="s">
        <v>1614</v>
      </c>
      <c r="Y15" s="111" t="s">
        <v>1614</v>
      </c>
      <c r="Z15" s="111">
        <v>0</v>
      </c>
      <c r="AA15" s="111" t="s">
        <v>1614</v>
      </c>
      <c r="AB15" s="111" t="s">
        <v>1614</v>
      </c>
      <c r="AC15" s="112" t="s">
        <v>1614</v>
      </c>
      <c r="AD15" s="111" t="s">
        <v>1614</v>
      </c>
      <c r="AE15" s="111">
        <v>0</v>
      </c>
      <c r="AF15" s="111">
        <v>0</v>
      </c>
      <c r="AG15" s="111" t="s">
        <v>1614</v>
      </c>
      <c r="AH15" s="112" t="s">
        <v>1614</v>
      </c>
      <c r="AI15" s="111" t="s">
        <v>1614</v>
      </c>
      <c r="AJ15" s="111" t="s">
        <v>1614</v>
      </c>
      <c r="AK15" s="111" t="s">
        <v>1614</v>
      </c>
      <c r="AL15" s="111" t="s">
        <v>1614</v>
      </c>
      <c r="AM15" s="111" t="s">
        <v>1614</v>
      </c>
      <c r="AN15" s="112" t="s">
        <v>1614</v>
      </c>
      <c r="AO15" s="199"/>
      <c r="AP15" s="199"/>
      <c r="AQ15" s="199"/>
      <c r="AR15" s="199"/>
      <c r="AS15" s="199"/>
      <c r="AT15" s="199"/>
      <c r="AU15" s="111" t="s">
        <v>1614</v>
      </c>
      <c r="AV15" s="111" t="s">
        <v>1614</v>
      </c>
      <c r="AW15" s="111" t="s">
        <v>1614</v>
      </c>
    </row>
    <row r="16" spans="2:49">
      <c r="B16" s="188" t="s">
        <v>1587</v>
      </c>
      <c r="C16" s="189">
        <v>14</v>
      </c>
      <c r="D16" s="111" t="s">
        <v>1651</v>
      </c>
      <c r="E16" s="112">
        <v>45432</v>
      </c>
      <c r="F16" s="111">
        <v>1</v>
      </c>
      <c r="G16" s="111">
        <v>1</v>
      </c>
      <c r="H16" s="111" t="s">
        <v>1617</v>
      </c>
      <c r="I16" s="111" t="s">
        <v>1614</v>
      </c>
      <c r="J16" s="111">
        <v>0</v>
      </c>
      <c r="K16" s="111" t="s">
        <v>1614</v>
      </c>
      <c r="L16" s="111">
        <v>0</v>
      </c>
      <c r="M16" s="111" t="s">
        <v>1614</v>
      </c>
      <c r="N16" s="111">
        <v>0</v>
      </c>
      <c r="O16" s="111" t="s">
        <v>1614</v>
      </c>
      <c r="P16" s="111">
        <v>0</v>
      </c>
      <c r="Q16" s="111" t="s">
        <v>1614</v>
      </c>
      <c r="R16" s="111">
        <v>0</v>
      </c>
      <c r="S16" s="111" t="s">
        <v>1614</v>
      </c>
      <c r="T16" s="111">
        <v>0</v>
      </c>
      <c r="U16" s="111">
        <v>0</v>
      </c>
      <c r="V16" s="111" t="s">
        <v>1614</v>
      </c>
      <c r="W16" s="111" t="s">
        <v>1614</v>
      </c>
      <c r="X16" s="111">
        <v>0</v>
      </c>
      <c r="Y16" s="111">
        <v>0</v>
      </c>
      <c r="Z16" s="111" t="s">
        <v>1614</v>
      </c>
      <c r="AA16" s="111" t="s">
        <v>1614</v>
      </c>
      <c r="AB16" s="111">
        <v>0</v>
      </c>
      <c r="AC16" s="111">
        <v>0</v>
      </c>
      <c r="AD16" s="111">
        <v>0</v>
      </c>
      <c r="AE16" s="111" t="s">
        <v>1614</v>
      </c>
      <c r="AF16" s="111" t="s">
        <v>1614</v>
      </c>
      <c r="AG16" s="111" t="s">
        <v>1614</v>
      </c>
      <c r="AH16" s="111" t="s">
        <v>1614</v>
      </c>
      <c r="AI16" s="111" t="s">
        <v>1614</v>
      </c>
      <c r="AJ16" s="111" t="s">
        <v>1614</v>
      </c>
      <c r="AK16" s="111" t="s">
        <v>1614</v>
      </c>
      <c r="AL16" s="111" t="s">
        <v>1614</v>
      </c>
      <c r="AM16" s="111" t="s">
        <v>1614</v>
      </c>
      <c r="AN16" s="111" t="s">
        <v>1614</v>
      </c>
      <c r="AO16" s="198"/>
      <c r="AP16" s="198"/>
      <c r="AQ16" s="198"/>
      <c r="AR16" s="198"/>
      <c r="AS16" s="198"/>
      <c r="AT16" s="198"/>
      <c r="AU16" s="111">
        <v>0</v>
      </c>
      <c r="AV16" s="111" t="s">
        <v>1614</v>
      </c>
      <c r="AW16" s="111" t="s">
        <v>1614</v>
      </c>
    </row>
    <row r="17" spans="2:49">
      <c r="B17" s="188" t="s">
        <v>1589</v>
      </c>
      <c r="C17" s="189">
        <v>15</v>
      </c>
      <c r="D17" s="111" t="s">
        <v>1652</v>
      </c>
      <c r="E17" s="112">
        <v>45432</v>
      </c>
      <c r="F17" s="111">
        <v>1</v>
      </c>
      <c r="G17" s="111">
        <v>0.97</v>
      </c>
      <c r="H17" s="111">
        <v>19607</v>
      </c>
      <c r="I17" s="111" t="s">
        <v>1614</v>
      </c>
      <c r="J17" s="111" t="s">
        <v>1614</v>
      </c>
      <c r="K17" s="111" t="s">
        <v>1614</v>
      </c>
      <c r="L17" s="111" t="s">
        <v>1614</v>
      </c>
      <c r="M17" s="111" t="s">
        <v>1614</v>
      </c>
      <c r="N17" s="114" t="s">
        <v>1614</v>
      </c>
      <c r="O17" s="114" t="s">
        <v>1614</v>
      </c>
      <c r="P17" s="114" t="s">
        <v>1614</v>
      </c>
      <c r="Q17" s="114" t="s">
        <v>1614</v>
      </c>
      <c r="R17" s="114" t="s">
        <v>1614</v>
      </c>
      <c r="S17" s="111" t="s">
        <v>1614</v>
      </c>
      <c r="T17" s="114" t="s">
        <v>1614</v>
      </c>
      <c r="U17" s="111" t="s">
        <v>1614</v>
      </c>
      <c r="V17" s="111" t="s">
        <v>1614</v>
      </c>
      <c r="W17" s="111" t="s">
        <v>1614</v>
      </c>
      <c r="X17" s="111" t="s">
        <v>1614</v>
      </c>
      <c r="Y17" s="111" t="s">
        <v>1614</v>
      </c>
      <c r="Z17" s="111" t="s">
        <v>1614</v>
      </c>
      <c r="AA17" s="111" t="s">
        <v>1614</v>
      </c>
      <c r="AB17" s="111" t="s">
        <v>1614</v>
      </c>
      <c r="AC17" s="111" t="s">
        <v>1614</v>
      </c>
      <c r="AD17" s="111" t="s">
        <v>1614</v>
      </c>
      <c r="AE17" s="111" t="s">
        <v>1614</v>
      </c>
      <c r="AF17" s="111" t="s">
        <v>1614</v>
      </c>
      <c r="AG17" s="111" t="s">
        <v>1614</v>
      </c>
      <c r="AH17" s="111" t="s">
        <v>1614</v>
      </c>
      <c r="AI17" s="111" t="s">
        <v>1614</v>
      </c>
      <c r="AJ17" s="111" t="s">
        <v>1614</v>
      </c>
      <c r="AK17" s="111" t="s">
        <v>1614</v>
      </c>
      <c r="AL17" s="111" t="s">
        <v>1614</v>
      </c>
      <c r="AM17" s="111" t="s">
        <v>1614</v>
      </c>
      <c r="AN17" s="111" t="s">
        <v>1614</v>
      </c>
      <c r="AO17" s="198"/>
      <c r="AP17" s="198"/>
      <c r="AQ17" s="198"/>
      <c r="AR17" s="198"/>
      <c r="AS17" s="198"/>
      <c r="AT17" s="198"/>
      <c r="AU17" s="111" t="s">
        <v>1614</v>
      </c>
      <c r="AV17" s="111" t="s">
        <v>1614</v>
      </c>
      <c r="AW17" s="111" t="s">
        <v>1614</v>
      </c>
    </row>
    <row r="18" spans="2:49">
      <c r="B18" s="188" t="s">
        <v>1591</v>
      </c>
      <c r="C18" s="189">
        <v>16</v>
      </c>
      <c r="D18" s="111" t="s">
        <v>1652</v>
      </c>
      <c r="E18" s="112">
        <v>45432</v>
      </c>
      <c r="F18" s="111">
        <v>1</v>
      </c>
      <c r="G18" s="111">
        <v>0.97</v>
      </c>
      <c r="H18" s="111">
        <v>19607</v>
      </c>
      <c r="I18" s="111" t="s">
        <v>1614</v>
      </c>
      <c r="J18" s="111" t="s">
        <v>1614</v>
      </c>
      <c r="K18" s="111" t="s">
        <v>1614</v>
      </c>
      <c r="L18" s="111" t="s">
        <v>1614</v>
      </c>
      <c r="M18" s="111" t="s">
        <v>1614</v>
      </c>
      <c r="N18" s="114" t="s">
        <v>1614</v>
      </c>
      <c r="O18" s="114" t="s">
        <v>1614</v>
      </c>
      <c r="P18" s="111" t="s">
        <v>1614</v>
      </c>
      <c r="Q18" s="111" t="s">
        <v>1614</v>
      </c>
      <c r="R18" s="114" t="s">
        <v>1614</v>
      </c>
      <c r="S18" s="114" t="s">
        <v>1614</v>
      </c>
      <c r="T18" s="111" t="s">
        <v>1614</v>
      </c>
      <c r="U18" s="111" t="s">
        <v>1614</v>
      </c>
      <c r="V18" s="111" t="s">
        <v>1614</v>
      </c>
      <c r="W18" s="111" t="s">
        <v>1614</v>
      </c>
      <c r="X18" s="111" t="s">
        <v>1614</v>
      </c>
      <c r="Y18" s="111" t="s">
        <v>1614</v>
      </c>
      <c r="Z18" s="111" t="s">
        <v>1614</v>
      </c>
      <c r="AA18" s="111" t="s">
        <v>1614</v>
      </c>
      <c r="AB18" s="111" t="s">
        <v>1614</v>
      </c>
      <c r="AC18" s="111" t="s">
        <v>1614</v>
      </c>
      <c r="AD18" s="111" t="s">
        <v>1614</v>
      </c>
      <c r="AE18" s="111" t="s">
        <v>1614</v>
      </c>
      <c r="AF18" s="111" t="s">
        <v>1614</v>
      </c>
      <c r="AG18" s="111" t="s">
        <v>1614</v>
      </c>
      <c r="AH18" s="111" t="s">
        <v>1614</v>
      </c>
      <c r="AI18" s="111" t="s">
        <v>1614</v>
      </c>
      <c r="AJ18" s="111" t="s">
        <v>1614</v>
      </c>
      <c r="AK18" s="111" t="s">
        <v>1614</v>
      </c>
      <c r="AL18" s="111" t="s">
        <v>1614</v>
      </c>
      <c r="AM18" s="111" t="s">
        <v>1614</v>
      </c>
      <c r="AN18" s="111" t="s">
        <v>1614</v>
      </c>
      <c r="AO18" s="198"/>
      <c r="AP18" s="198"/>
      <c r="AQ18" s="198"/>
      <c r="AR18" s="198"/>
      <c r="AS18" s="198"/>
      <c r="AT18" s="198"/>
      <c r="AU18" s="111" t="s">
        <v>1614</v>
      </c>
      <c r="AV18" s="111" t="s">
        <v>1614</v>
      </c>
      <c r="AW18" s="111" t="s">
        <v>1614</v>
      </c>
    </row>
    <row r="19" spans="2:49">
      <c r="B19" s="188" t="s">
        <v>1597</v>
      </c>
      <c r="C19" s="189">
        <v>19</v>
      </c>
      <c r="D19" s="111" t="s">
        <v>1653</v>
      </c>
      <c r="E19" s="112">
        <v>45432</v>
      </c>
      <c r="F19" s="111">
        <v>1</v>
      </c>
      <c r="G19" s="179" cm="1">
        <f t="array" aca="1" ref="G19" ca="1">SUMPRODUCT(--(ISNUMBER((SEARCH(I25:AW25,I19:AW19)))))/COUNTA(I19:AW19)</f>
        <v>1</v>
      </c>
      <c r="H19" s="111" t="s">
        <v>1617</v>
      </c>
      <c r="I19" s="111" t="s">
        <v>1654</v>
      </c>
      <c r="J19" s="111" t="s">
        <v>1654</v>
      </c>
      <c r="K19" s="111" t="s">
        <v>1654</v>
      </c>
      <c r="L19" s="111" t="s">
        <v>1654</v>
      </c>
      <c r="M19" s="111" t="s">
        <v>1654</v>
      </c>
      <c r="N19" s="111" t="s">
        <v>1654</v>
      </c>
      <c r="O19" s="111" t="s">
        <v>1654</v>
      </c>
      <c r="P19" s="111" t="s">
        <v>1654</v>
      </c>
      <c r="Q19" s="114" t="s">
        <v>1654</v>
      </c>
      <c r="R19" s="111" t="s">
        <v>1654</v>
      </c>
      <c r="S19" s="111" t="s">
        <v>1654</v>
      </c>
      <c r="T19" s="111" t="s">
        <v>1654</v>
      </c>
      <c r="U19" s="111" t="s">
        <v>1654</v>
      </c>
      <c r="V19" s="111" t="s">
        <v>1654</v>
      </c>
      <c r="W19" s="111" t="s">
        <v>1654</v>
      </c>
      <c r="X19" s="111" t="s">
        <v>1654</v>
      </c>
      <c r="Y19" s="111" t="s">
        <v>1654</v>
      </c>
      <c r="Z19" s="111" t="s">
        <v>1654</v>
      </c>
      <c r="AA19" s="111" t="s">
        <v>1654</v>
      </c>
      <c r="AB19" s="111" t="s">
        <v>1654</v>
      </c>
      <c r="AC19" s="111" t="s">
        <v>1654</v>
      </c>
      <c r="AD19" s="111" t="s">
        <v>1654</v>
      </c>
      <c r="AE19" s="111" t="s">
        <v>1654</v>
      </c>
      <c r="AF19" s="111" t="s">
        <v>1654</v>
      </c>
      <c r="AG19" s="111" t="s">
        <v>1654</v>
      </c>
      <c r="AH19" s="111" t="s">
        <v>1654</v>
      </c>
      <c r="AI19" s="111" t="s">
        <v>1654</v>
      </c>
      <c r="AJ19" s="111" t="s">
        <v>1654</v>
      </c>
      <c r="AK19" s="111" t="s">
        <v>1654</v>
      </c>
      <c r="AL19" s="111" t="s">
        <v>1654</v>
      </c>
      <c r="AM19" s="111" t="s">
        <v>1654</v>
      </c>
      <c r="AN19" s="111" t="s">
        <v>1654</v>
      </c>
      <c r="AO19" s="198" t="s">
        <v>1654</v>
      </c>
      <c r="AP19" s="198" t="s">
        <v>1654</v>
      </c>
      <c r="AQ19" s="198" t="s">
        <v>1654</v>
      </c>
      <c r="AR19" s="198" t="s">
        <v>1654</v>
      </c>
      <c r="AS19" s="198" t="s">
        <v>1654</v>
      </c>
      <c r="AT19" s="198" t="s">
        <v>1654</v>
      </c>
      <c r="AU19" s="111" t="s">
        <v>1654</v>
      </c>
      <c r="AV19" s="111" t="s">
        <v>1654</v>
      </c>
      <c r="AW19" s="111" t="s">
        <v>1655</v>
      </c>
    </row>
    <row r="20" spans="2:49">
      <c r="B20" s="188" t="s">
        <v>1600</v>
      </c>
      <c r="C20" s="189">
        <v>20</v>
      </c>
      <c r="D20" s="111" t="s">
        <v>1653</v>
      </c>
      <c r="E20" s="112">
        <v>45432</v>
      </c>
      <c r="F20" s="111">
        <v>1</v>
      </c>
      <c r="G20" s="111" cm="1">
        <f t="array" ref="G20">SUM(IF(I2:AW2 = I24:AW24, 1, 0))/ COUNTA(I2:AW2)</f>
        <v>1</v>
      </c>
      <c r="H20" s="111" t="s">
        <v>1617</v>
      </c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98"/>
      <c r="AP20" s="198"/>
      <c r="AQ20" s="198"/>
      <c r="AR20" s="198"/>
      <c r="AS20" s="198"/>
      <c r="AT20" s="198"/>
      <c r="AU20" s="111"/>
      <c r="AV20" s="111"/>
      <c r="AW20" s="111"/>
    </row>
    <row r="21" spans="2:49">
      <c r="B21" s="188" t="s">
        <v>1603</v>
      </c>
      <c r="C21" s="189">
        <v>21</v>
      </c>
      <c r="D21" s="111" t="s">
        <v>1653</v>
      </c>
      <c r="E21" s="112">
        <v>45432</v>
      </c>
      <c r="F21" s="111">
        <v>1</v>
      </c>
      <c r="G21" s="111" cm="1">
        <f t="array" aca="1" ref="G21" ca="1">SUM(IF(IF(G3:G20="null",1,G3:G20)=1,1,0))/COUNT(IF(G3:G20="null",1,0))</f>
        <v>0.72222222222222221</v>
      </c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98"/>
      <c r="AP21" s="198"/>
      <c r="AQ21" s="198"/>
      <c r="AR21" s="198"/>
      <c r="AS21" s="198"/>
      <c r="AT21" s="198"/>
      <c r="AU21" s="111"/>
      <c r="AV21" s="111"/>
      <c r="AW21" s="111"/>
    </row>
    <row r="23" spans="2:49">
      <c r="B23" s="115" t="s">
        <v>1656</v>
      </c>
    </row>
    <row r="24" spans="2:49">
      <c r="B24" s="116" t="s">
        <v>1558</v>
      </c>
      <c r="C24" s="117" t="s">
        <v>1607</v>
      </c>
      <c r="D24" s="117" t="s">
        <v>1608</v>
      </c>
      <c r="E24" s="117" t="s">
        <v>1609</v>
      </c>
      <c r="F24" s="117" t="s">
        <v>1610</v>
      </c>
      <c r="G24" s="117" t="s">
        <v>1611</v>
      </c>
      <c r="H24" s="117" t="s">
        <v>1612</v>
      </c>
      <c r="I24" s="117" t="str" cm="1">
        <f t="array" ref="I24:AW24">TRANSPOSE(_xlfn.SORTBY(_xlfn._xlws.FILTER(Table2[NOME FÍSICO CAMPO],Table2[NOME FÍSICO TABELA]="collateral_value_allocation"),_xlfn._xlws.FILTER(Table2[ORDEM],Table2[NOME FÍSICO TABELA]= "collateral_value_allocation"), 1))</f>
        <v>bank_id</v>
      </c>
      <c r="J24" s="117" t="str">
        <v>branch_code</v>
      </c>
      <c r="K24" s="117" t="str">
        <v>contract_id</v>
      </c>
      <c r="L24" s="117" t="str">
        <v>reference_code</v>
      </c>
      <c r="M24" s="117" t="str">
        <v>guarantee_bank_id</v>
      </c>
      <c r="N24" s="117" t="str">
        <v>guarantee_branch_code</v>
      </c>
      <c r="O24" s="117" t="str">
        <v>guarantee_account_id</v>
      </c>
      <c r="P24" s="117" t="str">
        <v>guarantee_reference_code</v>
      </c>
      <c r="Q24" s="117" t="str">
        <v>collateral_bank_id</v>
      </c>
      <c r="R24" s="117" t="str">
        <v>collateral_branch_code</v>
      </c>
      <c r="S24" s="117" t="str">
        <v>collateral_contract_id</v>
      </c>
      <c r="T24" s="117" t="str">
        <v>collateral_reference_code</v>
      </c>
      <c r="U24" s="117" t="str">
        <v>instrument_type_code</v>
      </c>
      <c r="V24" s="117" t="str">
        <v>guarantor_party_id</v>
      </c>
      <c r="W24" s="117" t="str">
        <v>assignor_party_id</v>
      </c>
      <c r="X24" s="117" t="str">
        <v>collateral_type_code</v>
      </c>
      <c r="Y24" s="117" t="str">
        <v>collateral_purpose_code</v>
      </c>
      <c r="Z24" s="117" t="str">
        <v>collateral_last_appraisal_date</v>
      </c>
      <c r="AA24" s="118" t="str">
        <v>collateral_appraisal_amount</v>
      </c>
      <c r="AB24" s="118" t="str">
        <v>guarantee_category_code</v>
      </c>
      <c r="AC24" s="118" t="str">
        <v>collateral_code</v>
      </c>
      <c r="AD24" s="117" t="str">
        <v>reported_collateral_code</v>
      </c>
      <c r="AE24" s="117" t="str">
        <v>collateral_init_appraisal_date</v>
      </c>
      <c r="AF24" s="117" t="str">
        <v>guarantee_init_appraisal_date</v>
      </c>
      <c r="AG24" s="117" t="str">
        <v>collat_ini_appraisal_amnt_alloc</v>
      </c>
      <c r="AH24" s="117" t="str">
        <v>guarant_ini_appraisal_amnt_alloc</v>
      </c>
      <c r="AI24" s="117" t="str">
        <v>responsibility_gross_amount</v>
      </c>
      <c r="AJ24" s="117" t="str">
        <v>responsibility_original_amount</v>
      </c>
      <c r="AK24" s="117" t="str">
        <v>total_responsibility_amount</v>
      </c>
      <c r="AL24" s="117" t="str">
        <v>breakdown_pct</v>
      </c>
      <c r="AM24" s="117" t="str">
        <v>appraisal_amount_allocated</v>
      </c>
      <c r="AN24" s="117" t="str">
        <v>collateral_coverage_pct</v>
      </c>
      <c r="AO24" s="119" t="str">
        <v>contract_unique_id</v>
      </c>
      <c r="AP24" s="119" t="str">
        <v>guarantee_ini_coverage_pct</v>
      </c>
      <c r="AQ24" s="119" t="str">
        <v>collateral_ini_coverage_pct</v>
      </c>
      <c r="AR24" s="119" t="str">
        <v>acquisition_price</v>
      </c>
      <c r="AS24" s="119" t="str">
        <v>acquisition_date</v>
      </c>
      <c r="AT24" s="119" t="str">
        <v>source_acquisition_price</v>
      </c>
      <c r="AU24" s="119" t="str">
        <v>source_code</v>
      </c>
      <c r="AV24" s="119" t="str">
        <v>data_date_part</v>
      </c>
      <c r="AW24" s="119" t="str">
        <v>data_timestamp_part</v>
      </c>
    </row>
    <row r="25" spans="2:49">
      <c r="B25" s="120" t="s">
        <v>1657</v>
      </c>
      <c r="C25" s="121">
        <v>19</v>
      </c>
      <c r="D25" s="122" t="s">
        <v>1658</v>
      </c>
      <c r="E25" s="123" t="s">
        <v>1659</v>
      </c>
      <c r="F25" s="123" t="s">
        <v>1660</v>
      </c>
      <c r="G25" s="123" t="s">
        <v>1660</v>
      </c>
      <c r="H25" s="123" t="s">
        <v>1660</v>
      </c>
      <c r="I25" s="123" t="str" cm="1">
        <f t="array" aca="1" ref="I25:AW26" ca="1">TRANSPOSE(_xlfn.SORTBY(_xlfn._xlws.FILTER(IF(Table2[FORMATO]:Table2[COMP_ CAMPO]&lt;&gt;"",Table2[FORMATO]:Table2[COMP_ CAMPO],9999999),Table2[NOME FÍSICO TABELA]="collateral_value_allocation"), _xlfn._xlws.FILTER(Table2[ORDEM], Table2[NOME FÍSICO TABELA]="collateral_value_allocation"), 1))</f>
        <v>STRING</v>
      </c>
      <c r="J25" s="123" t="str">
        <f ca="1"/>
        <v>STRING</v>
      </c>
      <c r="K25" s="123" t="str">
        <f ca="1"/>
        <v>STRING</v>
      </c>
      <c r="L25" s="123" t="str">
        <f ca="1"/>
        <v>STRING</v>
      </c>
      <c r="M25" s="123" t="str">
        <f ca="1"/>
        <v>STRING</v>
      </c>
      <c r="N25" s="123" t="str">
        <f ca="1"/>
        <v>STRING</v>
      </c>
      <c r="O25" s="123" t="str">
        <f ca="1"/>
        <v>STRING</v>
      </c>
      <c r="P25" s="123" t="str">
        <f ca="1"/>
        <v>STRING</v>
      </c>
      <c r="Q25" s="123" t="str">
        <f ca="1"/>
        <v>STRING</v>
      </c>
      <c r="R25" s="123" t="str">
        <f ca="1"/>
        <v>STRING</v>
      </c>
      <c r="S25" s="123" t="str">
        <f ca="1"/>
        <v>STRING</v>
      </c>
      <c r="T25" s="123" t="str">
        <f ca="1"/>
        <v>STRING</v>
      </c>
      <c r="U25" s="123" t="str">
        <f ca="1"/>
        <v>STRING</v>
      </c>
      <c r="V25" s="123" t="str">
        <f ca="1"/>
        <v>STRING</v>
      </c>
      <c r="W25" s="123" t="str">
        <f ca="1"/>
        <v>STRING</v>
      </c>
      <c r="X25" s="123" t="str">
        <f ca="1"/>
        <v>STRING</v>
      </c>
      <c r="Y25" s="123" t="str">
        <f ca="1"/>
        <v>STRING</v>
      </c>
      <c r="Z25" s="123" t="str">
        <f ca="1"/>
        <v>STRING</v>
      </c>
      <c r="AA25" s="123" t="str">
        <f ca="1"/>
        <v>STRING</v>
      </c>
      <c r="AB25" s="123" t="str">
        <f ca="1"/>
        <v>STRING</v>
      </c>
      <c r="AC25" s="123" t="str">
        <f ca="1"/>
        <v>STRING</v>
      </c>
      <c r="AD25" s="123" t="str">
        <f ca="1"/>
        <v>STRING</v>
      </c>
      <c r="AE25" s="123" t="str">
        <f ca="1"/>
        <v>STRING</v>
      </c>
      <c r="AF25" s="123" t="str">
        <f ca="1"/>
        <v>STRING</v>
      </c>
      <c r="AG25" s="123" t="str">
        <f ca="1"/>
        <v>STRING</v>
      </c>
      <c r="AH25" s="123" t="str">
        <f ca="1"/>
        <v>STRING</v>
      </c>
      <c r="AI25" s="123" t="str">
        <f ca="1"/>
        <v>STRING</v>
      </c>
      <c r="AJ25" s="123" t="str">
        <f ca="1"/>
        <v>STRING</v>
      </c>
      <c r="AK25" s="123" t="str">
        <f ca="1"/>
        <v>STRING</v>
      </c>
      <c r="AL25" s="123" t="str">
        <f ca="1"/>
        <v>STRING</v>
      </c>
      <c r="AM25" s="123" t="str">
        <f ca="1"/>
        <v>STRING</v>
      </c>
      <c r="AN25" s="123" t="str">
        <f ca="1"/>
        <v>STRING</v>
      </c>
      <c r="AO25" s="203" t="str">
        <f ca="1"/>
        <v>STRING</v>
      </c>
      <c r="AP25" s="203" t="str">
        <f ca="1"/>
        <v>STRING</v>
      </c>
      <c r="AQ25" s="203" t="str">
        <f ca="1"/>
        <v>STRING</v>
      </c>
      <c r="AR25" s="203" t="str">
        <f ca="1"/>
        <v>STRING</v>
      </c>
      <c r="AS25" s="203" t="str">
        <f ca="1"/>
        <v>STRING</v>
      </c>
      <c r="AT25" s="203" t="str">
        <f ca="1"/>
        <v>STRING</v>
      </c>
      <c r="AU25" s="207" t="str">
        <f ca="1"/>
        <v>STRING</v>
      </c>
      <c r="AV25" s="207" t="str">
        <f ca="1"/>
        <v>STRING</v>
      </c>
      <c r="AW25" s="207" t="str">
        <f ca="1"/>
        <v>TIMESTAMP</v>
      </c>
    </row>
    <row r="26" spans="2:49">
      <c r="B26" s="120" t="s">
        <v>1661</v>
      </c>
      <c r="C26" s="121">
        <v>7</v>
      </c>
      <c r="D26" s="122" t="s">
        <v>1658</v>
      </c>
      <c r="E26" s="123" t="s">
        <v>1659</v>
      </c>
      <c r="F26" s="125" t="s">
        <v>1660</v>
      </c>
      <c r="G26" s="125" t="s">
        <v>1660</v>
      </c>
      <c r="H26" s="125" t="s">
        <v>1660</v>
      </c>
      <c r="I26" s="126">
        <f ca="1"/>
        <v>2</v>
      </c>
      <c r="J26" s="126">
        <f ca="1"/>
        <v>20</v>
      </c>
      <c r="K26" s="126">
        <f ca="1"/>
        <v>30</v>
      </c>
      <c r="L26" s="126">
        <f ca="1"/>
        <v>20</v>
      </c>
      <c r="M26" s="126">
        <f ca="1"/>
        <v>2</v>
      </c>
      <c r="N26" s="126">
        <f ca="1"/>
        <v>20</v>
      </c>
      <c r="O26" s="126">
        <f ca="1"/>
        <v>11</v>
      </c>
      <c r="P26" s="126">
        <f ca="1"/>
        <v>20</v>
      </c>
      <c r="Q26" s="126">
        <f ca="1"/>
        <v>2</v>
      </c>
      <c r="R26" s="126">
        <f ca="1"/>
        <v>20</v>
      </c>
      <c r="S26" s="126">
        <f ca="1"/>
        <v>30</v>
      </c>
      <c r="T26" s="126">
        <f ca="1"/>
        <v>20</v>
      </c>
      <c r="U26" s="126">
        <f ca="1"/>
        <v>20</v>
      </c>
      <c r="V26" s="126">
        <f ca="1"/>
        <v>10</v>
      </c>
      <c r="W26" s="126">
        <f ca="1"/>
        <v>10</v>
      </c>
      <c r="X26" s="126">
        <f ca="1"/>
        <v>20</v>
      </c>
      <c r="Y26" s="126">
        <f ca="1"/>
        <v>20</v>
      </c>
      <c r="Z26" s="126">
        <f ca="1"/>
        <v>10</v>
      </c>
      <c r="AA26" s="126">
        <f ca="1"/>
        <v>23</v>
      </c>
      <c r="AB26" s="126">
        <f ca="1"/>
        <v>20</v>
      </c>
      <c r="AC26" s="126">
        <f ca="1"/>
        <v>20</v>
      </c>
      <c r="AD26" s="126">
        <f ca="1"/>
        <v>20</v>
      </c>
      <c r="AE26" s="121">
        <f ca="1"/>
        <v>10</v>
      </c>
      <c r="AF26" s="121">
        <f ca="1"/>
        <v>10</v>
      </c>
      <c r="AG26" s="121">
        <f ca="1"/>
        <v>23</v>
      </c>
      <c r="AH26" s="121">
        <f ca="1"/>
        <v>23</v>
      </c>
      <c r="AI26" s="121">
        <f ca="1"/>
        <v>23</v>
      </c>
      <c r="AJ26" s="121">
        <f ca="1"/>
        <v>23</v>
      </c>
      <c r="AK26" s="121">
        <f ca="1"/>
        <v>23</v>
      </c>
      <c r="AL26" s="121">
        <f ca="1"/>
        <v>23</v>
      </c>
      <c r="AM26" s="121">
        <f ca="1"/>
        <v>23</v>
      </c>
      <c r="AN26" s="121">
        <f ca="1"/>
        <v>23</v>
      </c>
      <c r="AO26" s="204">
        <f ca="1"/>
        <v>30</v>
      </c>
      <c r="AP26" s="204">
        <f ca="1"/>
        <v>23</v>
      </c>
      <c r="AQ26" s="204">
        <f ca="1"/>
        <v>23</v>
      </c>
      <c r="AR26" s="204">
        <f ca="1"/>
        <v>23</v>
      </c>
      <c r="AS26" s="204">
        <f ca="1"/>
        <v>10</v>
      </c>
      <c r="AT26" s="204">
        <f ca="1"/>
        <v>20</v>
      </c>
      <c r="AU26" s="208">
        <f ca="1"/>
        <v>3</v>
      </c>
      <c r="AV26" s="208">
        <f ca="1"/>
        <v>10</v>
      </c>
      <c r="AW26" s="208">
        <f ca="1"/>
        <v>23</v>
      </c>
    </row>
    <row r="28" spans="2:49">
      <c r="B28" s="127" t="s">
        <v>1662</v>
      </c>
    </row>
    <row r="29" spans="2:49">
      <c r="B29" s="128" t="s">
        <v>1663</v>
      </c>
      <c r="C29" s="128" t="s">
        <v>1664</v>
      </c>
      <c r="D29" s="129" t="s">
        <v>1665</v>
      </c>
      <c r="E29" s="128" t="s">
        <v>1666</v>
      </c>
      <c r="F29" s="128" t="s">
        <v>1667</v>
      </c>
    </row>
    <row r="30" spans="2:49" ht="30.75">
      <c r="B30" s="75" t="s">
        <v>1668</v>
      </c>
      <c r="C30" s="76" t="s">
        <v>914</v>
      </c>
      <c r="D30" s="74" t="s">
        <v>1669</v>
      </c>
      <c r="E30" s="132" t="s">
        <v>1670</v>
      </c>
      <c r="F30" s="133" t="s">
        <v>1671</v>
      </c>
    </row>
    <row r="31" spans="2:49" ht="30.75">
      <c r="B31" s="75" t="s">
        <v>1668</v>
      </c>
      <c r="C31" s="76" t="s">
        <v>921</v>
      </c>
      <c r="D31" s="74" t="s">
        <v>1669</v>
      </c>
      <c r="E31" s="132" t="s">
        <v>1672</v>
      </c>
      <c r="F31" s="133" t="s">
        <v>1671</v>
      </c>
    </row>
    <row r="32" spans="2:49" ht="30.75">
      <c r="B32" s="75" t="s">
        <v>1668</v>
      </c>
      <c r="C32" s="76" t="s">
        <v>927</v>
      </c>
      <c r="D32" s="74" t="s">
        <v>1669</v>
      </c>
      <c r="E32" s="132" t="s">
        <v>1673</v>
      </c>
      <c r="F32" s="133" t="s">
        <v>1671</v>
      </c>
    </row>
    <row r="33" spans="2:6" ht="30.75">
      <c r="B33" s="75" t="s">
        <v>1668</v>
      </c>
      <c r="C33" s="76" t="s">
        <v>934</v>
      </c>
      <c r="D33" s="74" t="s">
        <v>1669</v>
      </c>
      <c r="E33" s="132" t="s">
        <v>1674</v>
      </c>
      <c r="F33" s="133" t="s">
        <v>1671</v>
      </c>
    </row>
    <row r="34" spans="2:6" ht="30.75">
      <c r="B34" s="75" t="s">
        <v>1668</v>
      </c>
      <c r="C34" s="236" t="s">
        <v>807</v>
      </c>
      <c r="D34" s="74" t="s">
        <v>1669</v>
      </c>
      <c r="E34" s="132" t="s">
        <v>1675</v>
      </c>
      <c r="F34" s="133" t="s">
        <v>1671</v>
      </c>
    </row>
    <row r="35" spans="2:6" ht="30.75">
      <c r="B35" s="75" t="s">
        <v>1668</v>
      </c>
      <c r="C35" s="236" t="s">
        <v>706</v>
      </c>
      <c r="D35" s="74" t="s">
        <v>1669</v>
      </c>
      <c r="E35" s="132" t="s">
        <v>1676</v>
      </c>
      <c r="F35" s="133" t="s">
        <v>1671</v>
      </c>
    </row>
    <row r="36" spans="2:6" ht="30.75">
      <c r="B36" s="75" t="s">
        <v>1668</v>
      </c>
      <c r="C36" s="236" t="s">
        <v>714</v>
      </c>
      <c r="D36" s="74" t="s">
        <v>1669</v>
      </c>
      <c r="E36" s="132" t="s">
        <v>1677</v>
      </c>
      <c r="F36" s="133" t="s">
        <v>1671</v>
      </c>
    </row>
    <row r="37" spans="2:6" ht="30.75">
      <c r="B37" s="75" t="s">
        <v>1668</v>
      </c>
      <c r="C37" s="236" t="s">
        <v>687</v>
      </c>
      <c r="D37" s="74" t="s">
        <v>1669</v>
      </c>
      <c r="E37" s="132" t="s">
        <v>1678</v>
      </c>
      <c r="F37" s="133" t="s">
        <v>1671</v>
      </c>
    </row>
    <row r="38" spans="2:6" ht="30.75">
      <c r="B38" s="75" t="s">
        <v>1679</v>
      </c>
      <c r="C38" s="76" t="s">
        <v>1680</v>
      </c>
      <c r="D38" s="74" t="s">
        <v>1681</v>
      </c>
      <c r="E38" s="132" t="s">
        <v>1682</v>
      </c>
      <c r="F38" s="133" t="s">
        <v>1683</v>
      </c>
    </row>
    <row r="39" spans="2:6" ht="30.75">
      <c r="B39" s="237" t="s">
        <v>1684</v>
      </c>
      <c r="C39" s="238" t="s">
        <v>807</v>
      </c>
      <c r="D39" s="74" t="s">
        <v>1685</v>
      </c>
      <c r="E39" s="132" t="s">
        <v>1675</v>
      </c>
      <c r="F39" s="239" t="s">
        <v>1683</v>
      </c>
    </row>
    <row r="40" spans="2:6" ht="45.75">
      <c r="B40" s="211" t="s">
        <v>1686</v>
      </c>
      <c r="C40" s="212" t="s">
        <v>1687</v>
      </c>
      <c r="D40" s="134" t="s">
        <v>1688</v>
      </c>
      <c r="E40" s="213" t="s">
        <v>1689</v>
      </c>
      <c r="F40" s="134" t="s">
        <v>1671</v>
      </c>
    </row>
    <row r="41" spans="2:6" ht="45.75">
      <c r="B41" s="211" t="s">
        <v>1690</v>
      </c>
      <c r="C41" s="212" t="s">
        <v>1687</v>
      </c>
      <c r="D41" s="134" t="s">
        <v>1688</v>
      </c>
      <c r="E41" s="213" t="s">
        <v>1689</v>
      </c>
      <c r="F41" s="134" t="s">
        <v>1671</v>
      </c>
    </row>
    <row r="42" spans="2:6">
      <c r="B42" s="217"/>
      <c r="C42" s="217"/>
      <c r="D42" s="218"/>
      <c r="E42" s="114"/>
      <c r="F42" s="218"/>
    </row>
    <row r="43" spans="2:6">
      <c r="B43" s="217"/>
      <c r="C43" s="217"/>
      <c r="D43" s="218"/>
      <c r="E43" s="114"/>
      <c r="F43" s="218"/>
    </row>
    <row r="44" spans="2:6">
      <c r="B44" s="217"/>
      <c r="C44" s="217"/>
      <c r="D44" s="218"/>
      <c r="E44" s="114"/>
      <c r="F44" s="218"/>
    </row>
    <row r="45" spans="2:6">
      <c r="B45" s="217"/>
      <c r="C45" s="217"/>
      <c r="D45" s="218"/>
      <c r="E45" s="114"/>
      <c r="F45" s="218"/>
    </row>
    <row r="46" spans="2:6">
      <c r="B46" s="217"/>
      <c r="C46" s="217"/>
      <c r="D46" s="218"/>
      <c r="E46" s="114"/>
      <c r="F46" s="218"/>
    </row>
    <row r="47" spans="2:6">
      <c r="B47" s="217"/>
      <c r="C47" s="217"/>
      <c r="D47" s="218"/>
      <c r="E47" s="114"/>
      <c r="F47" s="218"/>
    </row>
    <row r="48" spans="2:6">
      <c r="B48" s="217"/>
      <c r="C48" s="217"/>
      <c r="D48" s="218"/>
      <c r="E48" s="114"/>
      <c r="F48" s="218"/>
    </row>
    <row r="49" spans="2:6">
      <c r="B49" s="217"/>
      <c r="C49" s="217"/>
      <c r="D49" s="218"/>
      <c r="E49" s="114"/>
      <c r="F49" s="218"/>
    </row>
    <row r="50" spans="2:6">
      <c r="B50" s="217"/>
      <c r="C50" s="217"/>
      <c r="D50" s="218"/>
      <c r="E50" s="114"/>
      <c r="F50" s="218"/>
    </row>
    <row r="51" spans="2:6">
      <c r="B51" s="217"/>
      <c r="C51" s="217"/>
      <c r="D51" s="218"/>
      <c r="E51" s="114"/>
      <c r="F51" s="218"/>
    </row>
    <row r="52" spans="2:6">
      <c r="B52" s="217"/>
      <c r="C52" s="217"/>
      <c r="D52" s="218"/>
      <c r="E52" s="114"/>
      <c r="F52" s="218"/>
    </row>
    <row r="53" spans="2:6">
      <c r="B53" s="217"/>
      <c r="C53" s="217"/>
      <c r="D53" s="218"/>
      <c r="E53" s="114"/>
      <c r="F53" s="218"/>
    </row>
    <row r="54" spans="2:6">
      <c r="B54" s="217"/>
      <c r="C54" s="217"/>
      <c r="D54" s="218"/>
      <c r="E54" s="114"/>
      <c r="F54" s="218"/>
    </row>
    <row r="55" spans="2:6">
      <c r="B55" s="217"/>
      <c r="C55" s="217"/>
      <c r="D55" s="218"/>
      <c r="E55" s="114"/>
      <c r="F55" s="218"/>
    </row>
    <row r="56" spans="2:6">
      <c r="B56" s="217"/>
      <c r="C56" s="217"/>
      <c r="D56" s="218"/>
      <c r="E56" s="114"/>
      <c r="F56" s="218"/>
    </row>
    <row r="57" spans="2:6">
      <c r="B57" s="217"/>
      <c r="C57" s="217"/>
      <c r="D57" s="218"/>
      <c r="E57" s="114"/>
      <c r="F57" s="218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D12F-F63C-4578-83DF-004ECBDE84AB}">
  <sheetPr>
    <tabColor rgb="FF00B050"/>
  </sheetPr>
  <dimension ref="B1:AO49"/>
  <sheetViews>
    <sheetView showGridLines="0" topLeftCell="A34" workbookViewId="0">
      <selection activeCell="G16" sqref="G16"/>
    </sheetView>
  </sheetViews>
  <sheetFormatPr defaultRowHeight="15"/>
  <cols>
    <col min="2" max="2" width="30.7109375" bestFit="1" customWidth="1"/>
    <col min="3" max="3" width="32.7109375" bestFit="1" customWidth="1"/>
    <col min="4" max="4" width="59.42578125" customWidth="1"/>
    <col min="5" max="5" width="30.42578125" bestFit="1" customWidth="1"/>
    <col min="6" max="6" width="25.28515625" customWidth="1"/>
    <col min="7" max="7" width="14.85546875" bestFit="1" customWidth="1"/>
    <col min="8" max="8" width="16.42578125" bestFit="1" customWidth="1"/>
    <col min="9" max="9" width="20.85546875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22.7109375" customWidth="1"/>
    <col min="14" max="14" width="39.5703125" bestFit="1" customWidth="1"/>
    <col min="15" max="17" width="30.7109375" bestFit="1" customWidth="1"/>
    <col min="18" max="19" width="30.7109375" customWidth="1"/>
    <col min="20" max="20" width="30.7109375" bestFit="1" customWidth="1"/>
    <col min="21" max="21" width="31.28515625" customWidth="1"/>
    <col min="22" max="22" width="26.85546875" bestFit="1" customWidth="1"/>
    <col min="23" max="23" width="30.7109375" bestFit="1" customWidth="1"/>
    <col min="24" max="24" width="43.28515625" customWidth="1"/>
    <col min="25" max="28" width="30.7109375" bestFit="1" customWidth="1"/>
    <col min="29" max="29" width="24.5703125" bestFit="1" customWidth="1"/>
    <col min="30" max="30" width="30.7109375" bestFit="1" customWidth="1"/>
    <col min="31" max="31" width="16.42578125" bestFit="1" customWidth="1"/>
    <col min="32" max="32" width="26.85546875" bestFit="1" customWidth="1"/>
    <col min="33" max="33" width="30.7109375" bestFit="1" customWidth="1"/>
    <col min="34" max="34" width="25.140625" bestFit="1" customWidth="1"/>
    <col min="35" max="35" width="45.7109375" bestFit="1" customWidth="1"/>
    <col min="36" max="36" width="44.28515625" customWidth="1"/>
    <col min="37" max="37" width="38.28515625" bestFit="1" customWidth="1"/>
    <col min="38" max="38" width="75.42578125" bestFit="1" customWidth="1"/>
    <col min="39" max="39" width="51.7109375" customWidth="1"/>
    <col min="40" max="40" width="29.42578125" customWidth="1"/>
    <col min="41" max="41" width="32.28515625" customWidth="1"/>
    <col min="42" max="45" width="9.140625" bestFit="1" customWidth="1"/>
    <col min="16384" max="16384" width="9.140625" bestFit="1" customWidth="1"/>
  </cols>
  <sheetData>
    <row r="1" spans="2:41" ht="27.75" customHeight="1"/>
    <row r="2" spans="2:41">
      <c r="B2" s="110" t="s">
        <v>1606</v>
      </c>
      <c r="C2" s="110" t="s">
        <v>1607</v>
      </c>
      <c r="D2" s="147" t="s">
        <v>1608</v>
      </c>
      <c r="E2" s="147" t="s">
        <v>1609</v>
      </c>
      <c r="F2" s="147" t="s">
        <v>1610</v>
      </c>
      <c r="G2" s="147" t="s">
        <v>1611</v>
      </c>
      <c r="H2" s="187" t="s">
        <v>1612</v>
      </c>
      <c r="I2" s="117" t="s">
        <v>851</v>
      </c>
      <c r="J2" s="117" t="s">
        <v>864</v>
      </c>
      <c r="K2" s="117" t="s">
        <v>858</v>
      </c>
      <c r="L2" s="117" t="s">
        <v>870</v>
      </c>
      <c r="M2" s="182" t="s">
        <v>687</v>
      </c>
      <c r="N2" t="s">
        <v>1370</v>
      </c>
      <c r="O2" s="117" t="s">
        <v>706</v>
      </c>
      <c r="P2" s="117" t="s">
        <v>714</v>
      </c>
      <c r="Q2" s="117" t="s">
        <v>1296</v>
      </c>
      <c r="R2" s="117" t="s">
        <v>1379</v>
      </c>
      <c r="S2" s="117" t="s">
        <v>728</v>
      </c>
      <c r="T2" s="117" t="s">
        <v>1386</v>
      </c>
      <c r="U2" s="117" t="s">
        <v>1393</v>
      </c>
      <c r="V2" s="117" t="s">
        <v>1398</v>
      </c>
      <c r="W2" s="117" t="s">
        <v>1404</v>
      </c>
      <c r="X2" s="117" t="s">
        <v>1410</v>
      </c>
      <c r="Y2" s="117" t="s">
        <v>1418</v>
      </c>
      <c r="Z2" s="117" t="s">
        <v>1423</v>
      </c>
      <c r="AA2" s="117" t="s">
        <v>1429</v>
      </c>
      <c r="AB2" s="117" t="s">
        <v>1437</v>
      </c>
      <c r="AC2" s="117" t="s">
        <v>1443</v>
      </c>
      <c r="AD2" s="117" t="s">
        <v>1449</v>
      </c>
      <c r="AE2" s="117" t="s">
        <v>1456</v>
      </c>
      <c r="AF2" s="117" t="s">
        <v>1462</v>
      </c>
      <c r="AG2" s="117" t="s">
        <v>1468</v>
      </c>
      <c r="AH2" s="117" t="s">
        <v>1474</v>
      </c>
      <c r="AI2" s="117" t="s">
        <v>1480</v>
      </c>
      <c r="AJ2" s="117" t="s">
        <v>1485</v>
      </c>
      <c r="AK2" s="117" t="s">
        <v>1216</v>
      </c>
      <c r="AL2" s="117" t="s">
        <v>1492</v>
      </c>
      <c r="AM2" s="117" t="s">
        <v>1029</v>
      </c>
      <c r="AN2" s="117" t="s">
        <v>783</v>
      </c>
      <c r="AO2" s="117" t="s">
        <v>790</v>
      </c>
    </row>
    <row r="3" spans="2:41">
      <c r="B3" s="148" t="s">
        <v>1560</v>
      </c>
      <c r="C3" s="150">
        <v>1</v>
      </c>
      <c r="D3" s="111" t="s">
        <v>1691</v>
      </c>
      <c r="E3" s="112">
        <v>45432</v>
      </c>
      <c r="F3" s="111">
        <v>1</v>
      </c>
      <c r="G3" s="111">
        <v>1</v>
      </c>
      <c r="H3" s="111">
        <v>273130</v>
      </c>
      <c r="I3" s="111" t="s">
        <v>1614</v>
      </c>
      <c r="J3" s="111" t="s">
        <v>1614</v>
      </c>
      <c r="K3" s="111" t="s">
        <v>1614</v>
      </c>
      <c r="L3" s="111" t="s">
        <v>1614</v>
      </c>
      <c r="M3" s="197"/>
      <c r="N3" s="111" t="s">
        <v>1614</v>
      </c>
      <c r="O3" s="111" t="s">
        <v>1614</v>
      </c>
      <c r="P3" s="111" t="s">
        <v>1614</v>
      </c>
      <c r="Q3" s="111" t="s">
        <v>1614</v>
      </c>
      <c r="R3" s="198"/>
      <c r="S3" s="198"/>
      <c r="T3" s="111" t="s">
        <v>1614</v>
      </c>
      <c r="U3" s="111" t="s">
        <v>1614</v>
      </c>
      <c r="V3" s="111" t="s">
        <v>1614</v>
      </c>
      <c r="W3" s="111" t="s">
        <v>1614</v>
      </c>
      <c r="X3" s="111" t="s">
        <v>1614</v>
      </c>
      <c r="Y3" s="111" t="s">
        <v>1614</v>
      </c>
      <c r="Z3" s="111" t="s">
        <v>1614</v>
      </c>
      <c r="AA3" s="111" t="s">
        <v>1614</v>
      </c>
      <c r="AB3" s="111" t="s">
        <v>1614</v>
      </c>
      <c r="AC3" s="111" t="s">
        <v>1614</v>
      </c>
      <c r="AD3" s="111" t="s">
        <v>1614</v>
      </c>
      <c r="AE3" s="111" t="s">
        <v>1614</v>
      </c>
      <c r="AF3" s="111" t="s">
        <v>1614</v>
      </c>
      <c r="AG3" s="111" t="s">
        <v>1614</v>
      </c>
      <c r="AH3" s="111" t="s">
        <v>1614</v>
      </c>
      <c r="AI3" s="111" t="s">
        <v>1614</v>
      </c>
      <c r="AJ3" s="111" t="s">
        <v>1614</v>
      </c>
      <c r="AK3" s="111" t="s">
        <v>1614</v>
      </c>
      <c r="AL3" s="111" t="s">
        <v>1614</v>
      </c>
      <c r="AM3" s="198"/>
      <c r="AN3" s="111" t="s">
        <v>1614</v>
      </c>
      <c r="AO3" s="111" t="s">
        <v>1614</v>
      </c>
    </row>
    <row r="4" spans="2:41">
      <c r="B4" s="148" t="s">
        <v>1562</v>
      </c>
      <c r="C4" s="150">
        <v>2</v>
      </c>
      <c r="D4" s="111" t="s">
        <v>1692</v>
      </c>
      <c r="E4" s="112">
        <v>45432</v>
      </c>
      <c r="F4" s="111">
        <v>1</v>
      </c>
      <c r="G4" s="111">
        <v>1</v>
      </c>
      <c r="H4" s="113" t="s">
        <v>1617</v>
      </c>
      <c r="I4" s="111" t="s">
        <v>1614</v>
      </c>
      <c r="J4" s="111" t="s">
        <v>1614</v>
      </c>
      <c r="K4" s="111" t="s">
        <v>1614</v>
      </c>
      <c r="L4" s="111" t="s">
        <v>1614</v>
      </c>
      <c r="M4" s="197"/>
      <c r="N4" s="111" t="s">
        <v>1614</v>
      </c>
      <c r="O4" s="111" t="s">
        <v>1614</v>
      </c>
      <c r="P4" s="111" t="s">
        <v>1614</v>
      </c>
      <c r="Q4" s="111" t="s">
        <v>1614</v>
      </c>
      <c r="R4" s="198"/>
      <c r="S4" s="198"/>
      <c r="T4" s="111" t="s">
        <v>1614</v>
      </c>
      <c r="U4" s="111" t="s">
        <v>1614</v>
      </c>
      <c r="V4" s="111" t="s">
        <v>1614</v>
      </c>
      <c r="W4" s="111" t="s">
        <v>1614</v>
      </c>
      <c r="X4" s="111" t="s">
        <v>1614</v>
      </c>
      <c r="Y4" s="111" t="s">
        <v>1614</v>
      </c>
      <c r="Z4" s="111" t="s">
        <v>1614</v>
      </c>
      <c r="AA4" s="111" t="s">
        <v>1614</v>
      </c>
      <c r="AB4" s="111" t="s">
        <v>1614</v>
      </c>
      <c r="AC4" s="111" t="s">
        <v>1614</v>
      </c>
      <c r="AD4" s="111" t="s">
        <v>1614</v>
      </c>
      <c r="AE4" s="111" t="s">
        <v>1614</v>
      </c>
      <c r="AF4" s="111" t="s">
        <v>1614</v>
      </c>
      <c r="AG4" s="111" t="s">
        <v>1614</v>
      </c>
      <c r="AH4" s="111" t="s">
        <v>1614</v>
      </c>
      <c r="AI4" s="111" t="s">
        <v>1614</v>
      </c>
      <c r="AJ4" s="111" t="s">
        <v>1614</v>
      </c>
      <c r="AK4" s="111" t="s">
        <v>1614</v>
      </c>
      <c r="AL4" s="111" t="s">
        <v>1614</v>
      </c>
      <c r="AM4" s="198"/>
      <c r="AN4" s="111" t="s">
        <v>1614</v>
      </c>
      <c r="AO4" s="111" t="s">
        <v>1614</v>
      </c>
    </row>
    <row r="5" spans="2:41">
      <c r="B5" s="148" t="s">
        <v>1564</v>
      </c>
      <c r="C5" s="150">
        <v>3</v>
      </c>
      <c r="D5" s="111" t="s">
        <v>1693</v>
      </c>
      <c r="E5" s="112">
        <v>45432</v>
      </c>
      <c r="F5" s="111">
        <v>1</v>
      </c>
      <c r="G5" s="111">
        <v>1</v>
      </c>
      <c r="H5" s="113" t="s">
        <v>1617</v>
      </c>
      <c r="I5" s="111">
        <v>0</v>
      </c>
      <c r="J5" s="111">
        <v>0</v>
      </c>
      <c r="K5" s="111">
        <v>0</v>
      </c>
      <c r="L5" s="111">
        <v>0</v>
      </c>
      <c r="M5" s="197"/>
      <c r="N5" s="111" t="s">
        <v>1614</v>
      </c>
      <c r="O5" s="111" t="s">
        <v>1614</v>
      </c>
      <c r="P5" s="111" t="s">
        <v>1614</v>
      </c>
      <c r="Q5" s="111" t="s">
        <v>1614</v>
      </c>
      <c r="R5" s="198"/>
      <c r="S5" s="198"/>
      <c r="T5" s="111" t="s">
        <v>1614</v>
      </c>
      <c r="U5" s="111" t="s">
        <v>1614</v>
      </c>
      <c r="V5" s="111" t="s">
        <v>1614</v>
      </c>
      <c r="W5" s="111" t="s">
        <v>1614</v>
      </c>
      <c r="X5" s="111" t="s">
        <v>1614</v>
      </c>
      <c r="Y5" s="111" t="s">
        <v>1614</v>
      </c>
      <c r="Z5" s="111" t="s">
        <v>1614</v>
      </c>
      <c r="AA5" s="111" t="s">
        <v>1614</v>
      </c>
      <c r="AB5" s="111" t="s">
        <v>1614</v>
      </c>
      <c r="AC5" s="111" t="s">
        <v>1614</v>
      </c>
      <c r="AD5" s="111" t="s">
        <v>1614</v>
      </c>
      <c r="AE5" s="111" t="s">
        <v>1614</v>
      </c>
      <c r="AF5" s="111" t="s">
        <v>1614</v>
      </c>
      <c r="AG5" s="111" t="s">
        <v>1614</v>
      </c>
      <c r="AH5" s="111" t="s">
        <v>1614</v>
      </c>
      <c r="AI5" s="111" t="s">
        <v>1614</v>
      </c>
      <c r="AJ5" s="111" t="s">
        <v>1614</v>
      </c>
      <c r="AK5" s="111" t="s">
        <v>1614</v>
      </c>
      <c r="AL5" s="111" t="s">
        <v>1614</v>
      </c>
      <c r="AM5" s="198"/>
      <c r="AN5" s="111" t="s">
        <v>1614</v>
      </c>
      <c r="AO5" s="111" t="s">
        <v>1614</v>
      </c>
    </row>
    <row r="6" spans="2:41">
      <c r="B6" s="148" t="s">
        <v>1566</v>
      </c>
      <c r="C6" s="150">
        <v>4</v>
      </c>
      <c r="D6" s="111" t="s">
        <v>1693</v>
      </c>
      <c r="E6" s="112">
        <v>45432</v>
      </c>
      <c r="F6" s="111">
        <v>1</v>
      </c>
      <c r="G6" s="111" t="s">
        <v>1614</v>
      </c>
      <c r="H6" s="113" t="s">
        <v>1617</v>
      </c>
      <c r="I6" s="111" t="s">
        <v>1614</v>
      </c>
      <c r="J6" s="111" t="s">
        <v>1614</v>
      </c>
      <c r="K6" s="111" t="s">
        <v>1614</v>
      </c>
      <c r="L6" s="111" t="s">
        <v>1614</v>
      </c>
      <c r="M6" s="197"/>
      <c r="N6" s="111" t="s">
        <v>1614</v>
      </c>
      <c r="O6" s="111" t="s">
        <v>1614</v>
      </c>
      <c r="P6" s="111" t="s">
        <v>1614</v>
      </c>
      <c r="Q6" s="111" t="s">
        <v>1614</v>
      </c>
      <c r="R6" s="198"/>
      <c r="S6" s="198"/>
      <c r="T6" s="111" t="s">
        <v>1614</v>
      </c>
      <c r="U6" s="111" t="s">
        <v>1614</v>
      </c>
      <c r="V6" s="111" t="s">
        <v>1614</v>
      </c>
      <c r="W6" s="111" t="s">
        <v>1614</v>
      </c>
      <c r="X6" s="111" t="s">
        <v>1614</v>
      </c>
      <c r="Y6" s="111" t="s">
        <v>1614</v>
      </c>
      <c r="Z6" s="111" t="s">
        <v>1614</v>
      </c>
      <c r="AA6" s="111" t="s">
        <v>1614</v>
      </c>
      <c r="AB6" s="111" t="s">
        <v>1614</v>
      </c>
      <c r="AC6" s="111" t="s">
        <v>1614</v>
      </c>
      <c r="AD6" s="111" t="s">
        <v>1614</v>
      </c>
      <c r="AE6" s="111" t="s">
        <v>1614</v>
      </c>
      <c r="AF6" s="111" t="s">
        <v>1614</v>
      </c>
      <c r="AG6" s="111" t="s">
        <v>1614</v>
      </c>
      <c r="AH6" s="111" t="s">
        <v>1614</v>
      </c>
      <c r="AI6" s="111" t="s">
        <v>1614</v>
      </c>
      <c r="AJ6" s="111" t="s">
        <v>1614</v>
      </c>
      <c r="AK6" s="111" t="s">
        <v>1614</v>
      </c>
      <c r="AL6" s="111" t="s">
        <v>1614</v>
      </c>
      <c r="AM6" s="198"/>
      <c r="AN6" s="111" t="s">
        <v>1614</v>
      </c>
      <c r="AO6" s="111" t="s">
        <v>1614</v>
      </c>
    </row>
    <row r="7" spans="2:41">
      <c r="B7" s="148" t="s">
        <v>1568</v>
      </c>
      <c r="C7" s="150">
        <v>5</v>
      </c>
      <c r="D7" s="111" t="s">
        <v>1693</v>
      </c>
      <c r="E7" s="112">
        <v>45432</v>
      </c>
      <c r="F7" s="111">
        <v>1</v>
      </c>
      <c r="G7" s="111" t="s">
        <v>1614</v>
      </c>
      <c r="H7" s="113" t="s">
        <v>1617</v>
      </c>
      <c r="I7" s="111" t="s">
        <v>1614</v>
      </c>
      <c r="J7" s="111" t="s">
        <v>1614</v>
      </c>
      <c r="K7" s="111" t="s">
        <v>1614</v>
      </c>
      <c r="L7" s="111" t="s">
        <v>1614</v>
      </c>
      <c r="M7" s="197"/>
      <c r="N7" s="111" t="s">
        <v>1614</v>
      </c>
      <c r="O7" s="111" t="s">
        <v>1614</v>
      </c>
      <c r="P7" s="111" t="s">
        <v>1614</v>
      </c>
      <c r="Q7" s="111" t="s">
        <v>1614</v>
      </c>
      <c r="R7" s="198"/>
      <c r="S7" s="198"/>
      <c r="T7" s="111" t="s">
        <v>1614</v>
      </c>
      <c r="U7" s="111" t="s">
        <v>1614</v>
      </c>
      <c r="V7" s="111" t="s">
        <v>1614</v>
      </c>
      <c r="W7" s="111" t="s">
        <v>1614</v>
      </c>
      <c r="X7" s="111" t="s">
        <v>1614</v>
      </c>
      <c r="Y7" s="111" t="s">
        <v>1614</v>
      </c>
      <c r="Z7" s="111" t="s">
        <v>1614</v>
      </c>
      <c r="AA7" s="111" t="s">
        <v>1614</v>
      </c>
      <c r="AB7" s="111" t="s">
        <v>1614</v>
      </c>
      <c r="AC7" s="111" t="s">
        <v>1614</v>
      </c>
      <c r="AD7" s="111" t="s">
        <v>1614</v>
      </c>
      <c r="AE7" s="111" t="s">
        <v>1614</v>
      </c>
      <c r="AF7" s="111" t="s">
        <v>1614</v>
      </c>
      <c r="AG7" s="111" t="s">
        <v>1614</v>
      </c>
      <c r="AH7" s="111" t="s">
        <v>1614</v>
      </c>
      <c r="AI7" s="111" t="s">
        <v>1614</v>
      </c>
      <c r="AJ7" s="111" t="s">
        <v>1614</v>
      </c>
      <c r="AK7" s="111" t="s">
        <v>1614</v>
      </c>
      <c r="AL7" s="111" t="s">
        <v>1614</v>
      </c>
      <c r="AM7" s="198"/>
      <c r="AN7" s="111" t="s">
        <v>1614</v>
      </c>
      <c r="AO7" s="111" t="s">
        <v>1614</v>
      </c>
    </row>
    <row r="8" spans="2:41">
      <c r="B8" s="149" t="s">
        <v>1569</v>
      </c>
      <c r="C8" s="150">
        <v>6</v>
      </c>
      <c r="D8" s="111" t="s">
        <v>1694</v>
      </c>
      <c r="E8" s="112">
        <v>45432</v>
      </c>
      <c r="F8" s="111">
        <v>1</v>
      </c>
      <c r="G8" s="111" cm="1">
        <f t="array" ref="G8">SUMPRODUCT(--(I8:AO8&gt;0))/COUNTA(I8:AO8)</f>
        <v>1</v>
      </c>
      <c r="H8" s="111" t="s">
        <v>1617</v>
      </c>
      <c r="I8" s="111">
        <v>2</v>
      </c>
      <c r="J8" s="111">
        <v>30</v>
      </c>
      <c r="K8" s="111">
        <v>4</v>
      </c>
      <c r="L8" s="111">
        <v>15</v>
      </c>
      <c r="M8" s="197"/>
      <c r="N8" s="111">
        <v>8</v>
      </c>
      <c r="O8" s="111">
        <v>4</v>
      </c>
      <c r="P8" s="111">
        <v>2</v>
      </c>
      <c r="Q8" s="112">
        <v>2</v>
      </c>
      <c r="R8" s="198"/>
      <c r="S8" s="198"/>
      <c r="T8" s="111">
        <v>10</v>
      </c>
      <c r="U8" s="111">
        <v>10</v>
      </c>
      <c r="V8" s="113">
        <v>4</v>
      </c>
      <c r="W8" s="113">
        <v>1</v>
      </c>
      <c r="X8" s="111">
        <v>1</v>
      </c>
      <c r="Y8" s="111">
        <v>4</v>
      </c>
      <c r="Z8" s="111">
        <v>4</v>
      </c>
      <c r="AA8" s="111">
        <v>1</v>
      </c>
      <c r="AB8" s="111">
        <v>3</v>
      </c>
      <c r="AC8" s="111">
        <v>2</v>
      </c>
      <c r="AD8" s="111">
        <v>1</v>
      </c>
      <c r="AE8" s="111">
        <v>1</v>
      </c>
      <c r="AF8" s="111">
        <v>1</v>
      </c>
      <c r="AG8" s="111">
        <v>1</v>
      </c>
      <c r="AH8" s="111">
        <v>1</v>
      </c>
      <c r="AI8" s="111">
        <v>3</v>
      </c>
      <c r="AJ8" s="111">
        <v>1</v>
      </c>
      <c r="AK8" s="111">
        <v>3</v>
      </c>
      <c r="AL8" s="111">
        <v>4</v>
      </c>
      <c r="AM8" s="198"/>
      <c r="AN8" s="111">
        <v>10</v>
      </c>
      <c r="AO8" s="111">
        <v>23</v>
      </c>
    </row>
    <row r="9" spans="2:41">
      <c r="B9" s="148" t="s">
        <v>1572</v>
      </c>
      <c r="C9" s="150">
        <v>7</v>
      </c>
      <c r="D9" s="111" t="s">
        <v>1695</v>
      </c>
      <c r="E9" s="112">
        <v>45432</v>
      </c>
      <c r="F9" s="111">
        <v>1</v>
      </c>
      <c r="G9" s="111" cm="1">
        <f t="array" aca="1" ref="G9" ca="1">SUMPRODUCT(--(I9:AO9&lt;=I26:AO26))/COUNTA(I26:AO26)</f>
        <v>1</v>
      </c>
      <c r="H9" s="111" t="s">
        <v>1617</v>
      </c>
      <c r="I9" s="111">
        <v>2</v>
      </c>
      <c r="J9" s="111">
        <v>30</v>
      </c>
      <c r="K9" s="111">
        <v>4</v>
      </c>
      <c r="L9" s="111">
        <v>15</v>
      </c>
      <c r="M9" s="197"/>
      <c r="N9" s="111">
        <v>10</v>
      </c>
      <c r="O9" s="111">
        <v>4</v>
      </c>
      <c r="P9" s="111">
        <v>2</v>
      </c>
      <c r="Q9" s="111">
        <v>2</v>
      </c>
      <c r="R9" s="198"/>
      <c r="S9" s="198"/>
      <c r="T9" s="111">
        <v>10</v>
      </c>
      <c r="U9" s="111">
        <v>10</v>
      </c>
      <c r="V9" s="111">
        <v>12</v>
      </c>
      <c r="W9" s="111">
        <v>40</v>
      </c>
      <c r="X9" s="111">
        <v>40</v>
      </c>
      <c r="Y9" s="111">
        <v>6</v>
      </c>
      <c r="Z9" s="111">
        <v>12</v>
      </c>
      <c r="AA9" s="111">
        <v>2</v>
      </c>
      <c r="AB9" s="111">
        <v>3</v>
      </c>
      <c r="AC9" s="111">
        <v>6</v>
      </c>
      <c r="AD9" s="111">
        <v>34</v>
      </c>
      <c r="AE9" s="111">
        <v>20</v>
      </c>
      <c r="AF9" s="111">
        <v>6</v>
      </c>
      <c r="AG9" s="111">
        <v>6</v>
      </c>
      <c r="AH9" s="111">
        <v>10</v>
      </c>
      <c r="AI9" s="111">
        <v>7</v>
      </c>
      <c r="AJ9" s="111">
        <v>40</v>
      </c>
      <c r="AK9" s="111">
        <v>4</v>
      </c>
      <c r="AL9" s="111">
        <v>12</v>
      </c>
      <c r="AM9" s="198"/>
      <c r="AN9" s="111">
        <v>10</v>
      </c>
      <c r="AO9" s="111">
        <v>23</v>
      </c>
    </row>
    <row r="10" spans="2:41">
      <c r="B10" s="148" t="s">
        <v>1575</v>
      </c>
      <c r="C10" s="150">
        <v>8</v>
      </c>
      <c r="D10" s="111" t="s">
        <v>1696</v>
      </c>
      <c r="E10" s="112">
        <v>45432</v>
      </c>
      <c r="F10" s="111">
        <v>1</v>
      </c>
      <c r="G10" s="111" t="s">
        <v>1614</v>
      </c>
      <c r="H10" s="111" t="s">
        <v>1617</v>
      </c>
      <c r="I10" s="111">
        <v>31</v>
      </c>
      <c r="J10" s="111">
        <v>5.6000099999999997E+20</v>
      </c>
      <c r="K10" s="111">
        <v>0</v>
      </c>
      <c r="L10" s="111">
        <v>0</v>
      </c>
      <c r="M10" s="197"/>
      <c r="N10" s="111" t="s">
        <v>1624</v>
      </c>
      <c r="O10" s="111">
        <v>1111</v>
      </c>
      <c r="P10" s="111">
        <v>1</v>
      </c>
      <c r="Q10" s="111">
        <v>1</v>
      </c>
      <c r="R10" s="198"/>
      <c r="S10" s="198"/>
      <c r="T10" s="111" t="s">
        <v>1621</v>
      </c>
      <c r="U10" s="111" t="s">
        <v>1621</v>
      </c>
      <c r="V10" s="113" t="s">
        <v>1617</v>
      </c>
      <c r="W10" s="111" t="s">
        <v>1697</v>
      </c>
      <c r="X10" s="111" t="s">
        <v>1698</v>
      </c>
      <c r="Y10" s="111" t="s">
        <v>1617</v>
      </c>
      <c r="Z10" s="111" t="s">
        <v>1617</v>
      </c>
      <c r="AA10" s="111">
        <v>0</v>
      </c>
      <c r="AB10" s="111">
        <v>620</v>
      </c>
      <c r="AC10" s="111" t="s">
        <v>1699</v>
      </c>
      <c r="AD10" s="111" t="s">
        <v>1700</v>
      </c>
      <c r="AE10" s="111"/>
      <c r="AF10" s="111"/>
      <c r="AG10" s="111" t="s">
        <v>1701</v>
      </c>
      <c r="AH10" s="111" t="s">
        <v>1702</v>
      </c>
      <c r="AI10" s="111">
        <v>0</v>
      </c>
      <c r="AJ10" s="112" t="s">
        <v>1703</v>
      </c>
      <c r="AK10" s="111">
        <v>0</v>
      </c>
      <c r="AL10" s="111" t="s">
        <v>1617</v>
      </c>
      <c r="AM10" s="198"/>
      <c r="AN10" s="112">
        <v>45432</v>
      </c>
      <c r="AO10" s="111" t="s">
        <v>1704</v>
      </c>
    </row>
    <row r="11" spans="2:41">
      <c r="B11" s="148" t="s">
        <v>1577</v>
      </c>
      <c r="C11" s="150">
        <v>9</v>
      </c>
      <c r="D11" s="111" t="s">
        <v>1705</v>
      </c>
      <c r="E11" s="112">
        <v>45432</v>
      </c>
      <c r="F11" s="111">
        <v>1</v>
      </c>
      <c r="G11" s="111" t="s">
        <v>1614</v>
      </c>
      <c r="H11" s="111" t="s">
        <v>1617</v>
      </c>
      <c r="I11" s="111">
        <v>31</v>
      </c>
      <c r="J11" s="111">
        <v>5.6000099999999997E+20</v>
      </c>
      <c r="K11" s="111">
        <v>0</v>
      </c>
      <c r="L11" s="111">
        <v>0</v>
      </c>
      <c r="M11" s="197"/>
      <c r="N11" s="111"/>
      <c r="O11" s="111"/>
      <c r="P11" s="111"/>
      <c r="Q11" s="111"/>
      <c r="R11" s="198"/>
      <c r="S11" s="198"/>
      <c r="T11" s="111"/>
      <c r="U11" s="111" t="s">
        <v>1621</v>
      </c>
      <c r="V11" s="111" t="s">
        <v>1617</v>
      </c>
      <c r="W11" s="111"/>
      <c r="X11" s="111"/>
      <c r="Y11" s="111"/>
      <c r="Z11" s="111" t="s">
        <v>1617</v>
      </c>
      <c r="AA11" s="111"/>
      <c r="AB11" s="111"/>
      <c r="AC11" s="111"/>
      <c r="AD11" s="111"/>
      <c r="AE11" s="111"/>
      <c r="AF11" s="111"/>
      <c r="AG11" s="111"/>
      <c r="AH11" s="111"/>
      <c r="AI11" s="111"/>
      <c r="AJ11" s="112"/>
      <c r="AK11" s="111"/>
      <c r="AL11" s="111" t="s">
        <v>1617</v>
      </c>
      <c r="AM11" s="198"/>
      <c r="AN11" s="112">
        <v>45432</v>
      </c>
      <c r="AO11" s="111" t="s">
        <v>1706</v>
      </c>
    </row>
    <row r="12" spans="2:41">
      <c r="B12" s="149" t="s">
        <v>1579</v>
      </c>
      <c r="C12" s="150">
        <v>10</v>
      </c>
      <c r="D12" s="111" t="s">
        <v>1707</v>
      </c>
      <c r="E12" s="112">
        <v>45432</v>
      </c>
      <c r="F12" s="111">
        <v>1</v>
      </c>
      <c r="G12" s="111" t="s">
        <v>1614</v>
      </c>
      <c r="H12" s="111" t="s">
        <v>1617</v>
      </c>
      <c r="I12" s="111">
        <v>89</v>
      </c>
      <c r="J12" s="111">
        <v>5.3900000035908002E+29</v>
      </c>
      <c r="K12" s="111">
        <v>5390</v>
      </c>
      <c r="L12" s="111">
        <v>500001</v>
      </c>
      <c r="M12" s="216"/>
      <c r="N12" s="113">
        <v>99000000</v>
      </c>
      <c r="O12" s="111">
        <v>1170</v>
      </c>
      <c r="P12" s="111">
        <v>11</v>
      </c>
      <c r="Q12" s="112">
        <v>12</v>
      </c>
      <c r="R12" s="199"/>
      <c r="S12" s="201"/>
      <c r="T12" s="112">
        <v>46388</v>
      </c>
      <c r="U12" s="112">
        <v>45432</v>
      </c>
      <c r="V12" s="186" t="s">
        <v>1634</v>
      </c>
      <c r="W12" s="112" t="s">
        <v>1708</v>
      </c>
      <c r="X12" s="113" t="s">
        <v>1709</v>
      </c>
      <c r="Y12" s="113" t="s">
        <v>1710</v>
      </c>
      <c r="Z12" s="113" t="s">
        <v>1711</v>
      </c>
      <c r="AA12" s="111">
        <v>8</v>
      </c>
      <c r="AB12" s="113">
        <v>620</v>
      </c>
      <c r="AC12" s="113">
        <v>490101</v>
      </c>
      <c r="AD12" s="113" t="s">
        <v>1712</v>
      </c>
      <c r="AE12" s="111" t="s">
        <v>1713</v>
      </c>
      <c r="AF12" s="112" t="s">
        <v>1714</v>
      </c>
      <c r="AG12" s="111" t="s">
        <v>1715</v>
      </c>
      <c r="AH12" s="112" t="s">
        <v>1716</v>
      </c>
      <c r="AI12" s="112">
        <v>9999</v>
      </c>
      <c r="AJ12" s="113" t="s">
        <v>1717</v>
      </c>
      <c r="AK12" s="112">
        <v>9999</v>
      </c>
      <c r="AL12" s="113" t="s">
        <v>1718</v>
      </c>
      <c r="AM12" s="201"/>
      <c r="AN12" s="112">
        <v>45432</v>
      </c>
      <c r="AO12" s="113" t="s">
        <v>1704</v>
      </c>
    </row>
    <row r="13" spans="2:41">
      <c r="B13" s="148" t="s">
        <v>1581</v>
      </c>
      <c r="C13" s="150">
        <v>11</v>
      </c>
      <c r="D13" s="111" t="s">
        <v>1719</v>
      </c>
      <c r="E13" s="112">
        <v>45432</v>
      </c>
      <c r="F13" s="111">
        <v>1</v>
      </c>
      <c r="G13" s="111" t="s">
        <v>1614</v>
      </c>
      <c r="H13" s="111" t="s">
        <v>1617</v>
      </c>
      <c r="I13" s="111">
        <v>89</v>
      </c>
      <c r="J13" s="111">
        <v>5.3900000035908002E+29</v>
      </c>
      <c r="K13" s="111">
        <v>5390</v>
      </c>
      <c r="L13" s="111">
        <v>500001</v>
      </c>
      <c r="M13" s="197"/>
      <c r="N13" s="113">
        <v>99</v>
      </c>
      <c r="O13" s="111">
        <v>1170</v>
      </c>
      <c r="P13" s="111">
        <v>11</v>
      </c>
      <c r="Q13" s="112">
        <v>12</v>
      </c>
      <c r="R13" s="199"/>
      <c r="S13" s="198"/>
      <c r="T13" s="112">
        <v>46388</v>
      </c>
      <c r="U13" s="112">
        <v>45432</v>
      </c>
      <c r="V13" s="186" t="s">
        <v>1642</v>
      </c>
      <c r="W13" s="112" t="s">
        <v>1708</v>
      </c>
      <c r="X13" s="111" t="s">
        <v>1709</v>
      </c>
      <c r="Y13" s="113" t="s">
        <v>1710</v>
      </c>
      <c r="Z13" s="113" t="s">
        <v>1720</v>
      </c>
      <c r="AA13" s="111">
        <v>8</v>
      </c>
      <c r="AB13" s="111">
        <v>620</v>
      </c>
      <c r="AC13" s="112">
        <v>490101</v>
      </c>
      <c r="AD13" s="111" t="s">
        <v>1712</v>
      </c>
      <c r="AE13" s="111" t="s">
        <v>1713</v>
      </c>
      <c r="AF13" s="112" t="s">
        <v>1714</v>
      </c>
      <c r="AG13" s="111" t="s">
        <v>1715</v>
      </c>
      <c r="AH13" s="112" t="s">
        <v>1716</v>
      </c>
      <c r="AI13" s="112">
        <v>9999</v>
      </c>
      <c r="AJ13" s="112" t="s">
        <v>1717</v>
      </c>
      <c r="AK13" s="112">
        <v>9999</v>
      </c>
      <c r="AL13" s="113" t="s">
        <v>1721</v>
      </c>
      <c r="AM13" s="201"/>
      <c r="AN13" s="112">
        <v>45432</v>
      </c>
      <c r="AO13" s="111" t="s">
        <v>1722</v>
      </c>
    </row>
    <row r="14" spans="2:41">
      <c r="B14" s="148" t="s">
        <v>1583</v>
      </c>
      <c r="C14" s="150">
        <v>12</v>
      </c>
      <c r="D14" s="111" t="s">
        <v>1723</v>
      </c>
      <c r="E14" s="112">
        <v>45432</v>
      </c>
      <c r="F14" s="111">
        <v>1</v>
      </c>
      <c r="G14" s="111">
        <v>0.31</v>
      </c>
      <c r="H14" s="111" t="s">
        <v>1617</v>
      </c>
      <c r="I14" s="111">
        <v>0</v>
      </c>
      <c r="J14" s="111">
        <v>0</v>
      </c>
      <c r="K14" s="111">
        <v>0</v>
      </c>
      <c r="L14" s="111">
        <v>0</v>
      </c>
      <c r="M14" s="222"/>
      <c r="N14" s="111">
        <v>5602</v>
      </c>
      <c r="O14" s="111">
        <v>76</v>
      </c>
      <c r="P14" s="111">
        <v>37</v>
      </c>
      <c r="Q14" s="111">
        <v>61332</v>
      </c>
      <c r="R14" s="111"/>
      <c r="S14" s="111"/>
      <c r="T14" s="111">
        <v>4574</v>
      </c>
      <c r="U14" s="111">
        <v>0</v>
      </c>
      <c r="V14" s="111">
        <v>0</v>
      </c>
      <c r="W14" s="111">
        <v>240354</v>
      </c>
      <c r="X14" s="111">
        <v>13980</v>
      </c>
      <c r="Y14" s="111">
        <v>207016</v>
      </c>
      <c r="Z14" s="111">
        <v>9</v>
      </c>
      <c r="AA14" s="111">
        <v>7063</v>
      </c>
      <c r="AB14" s="111">
        <v>208966</v>
      </c>
      <c r="AC14" s="113">
        <v>81</v>
      </c>
      <c r="AD14" s="111">
        <v>1315</v>
      </c>
      <c r="AE14" s="111">
        <v>249164</v>
      </c>
      <c r="AF14" s="111">
        <v>35551</v>
      </c>
      <c r="AG14" s="111">
        <v>204611</v>
      </c>
      <c r="AH14" s="111">
        <v>95660</v>
      </c>
      <c r="AI14" s="111">
        <v>281</v>
      </c>
      <c r="AJ14" s="111">
        <v>4268</v>
      </c>
      <c r="AK14" s="111">
        <v>879</v>
      </c>
      <c r="AL14" s="111">
        <v>0</v>
      </c>
      <c r="AM14" s="111"/>
      <c r="AN14" s="111">
        <v>0</v>
      </c>
      <c r="AO14" s="111">
        <v>0</v>
      </c>
    </row>
    <row r="15" spans="2:41">
      <c r="B15" s="148" t="s">
        <v>1585</v>
      </c>
      <c r="C15" s="150">
        <v>13</v>
      </c>
      <c r="D15" s="111" t="s">
        <v>1724</v>
      </c>
      <c r="E15" s="112">
        <v>45432</v>
      </c>
      <c r="F15" s="111">
        <v>1</v>
      </c>
      <c r="G15" s="111">
        <v>1</v>
      </c>
      <c r="H15" s="111" t="s">
        <v>1617</v>
      </c>
      <c r="I15" s="111" t="s">
        <v>1614</v>
      </c>
      <c r="J15" s="111" t="s">
        <v>1614</v>
      </c>
      <c r="K15" s="111" t="s">
        <v>1614</v>
      </c>
      <c r="L15" s="111" t="s">
        <v>1614</v>
      </c>
      <c r="M15" s="197"/>
      <c r="N15" s="111" t="s">
        <v>1614</v>
      </c>
      <c r="O15" s="112" t="s">
        <v>1614</v>
      </c>
      <c r="P15" s="112" t="s">
        <v>1614</v>
      </c>
      <c r="Q15" s="112" t="s">
        <v>1614</v>
      </c>
      <c r="R15" s="199"/>
      <c r="S15" s="199"/>
      <c r="T15" s="111">
        <v>0</v>
      </c>
      <c r="U15" s="112">
        <v>0</v>
      </c>
      <c r="V15" s="112" t="s">
        <v>1614</v>
      </c>
      <c r="W15" s="112" t="s">
        <v>1614</v>
      </c>
      <c r="X15" s="111" t="s">
        <v>1614</v>
      </c>
      <c r="Y15" s="111" t="s">
        <v>1614</v>
      </c>
      <c r="Z15" s="111" t="s">
        <v>1614</v>
      </c>
      <c r="AA15" s="111" t="s">
        <v>1614</v>
      </c>
      <c r="AB15" s="111" t="s">
        <v>1614</v>
      </c>
      <c r="AC15" s="111" t="s">
        <v>1614</v>
      </c>
      <c r="AD15" s="111" t="s">
        <v>1614</v>
      </c>
      <c r="AE15" s="111" t="s">
        <v>1614</v>
      </c>
      <c r="AF15" s="112" t="s">
        <v>1614</v>
      </c>
      <c r="AG15" s="111" t="s">
        <v>1614</v>
      </c>
      <c r="AH15" s="111" t="s">
        <v>1614</v>
      </c>
      <c r="AI15" s="111" t="s">
        <v>1614</v>
      </c>
      <c r="AJ15" s="111" t="s">
        <v>1614</v>
      </c>
      <c r="AK15" s="112" t="s">
        <v>1614</v>
      </c>
      <c r="AL15" s="111" t="s">
        <v>1614</v>
      </c>
      <c r="AM15" s="198"/>
      <c r="AN15" s="111" t="s">
        <v>1614</v>
      </c>
      <c r="AO15" s="111" t="s">
        <v>1614</v>
      </c>
    </row>
    <row r="16" spans="2:41">
      <c r="B16" s="148" t="s">
        <v>1587</v>
      </c>
      <c r="C16" s="150">
        <v>14</v>
      </c>
      <c r="D16" s="111" t="s">
        <v>1725</v>
      </c>
      <c r="E16" s="112">
        <v>45432</v>
      </c>
      <c r="F16" s="111">
        <v>1</v>
      </c>
      <c r="G16" s="111">
        <v>1</v>
      </c>
      <c r="H16" s="111" t="s">
        <v>1617</v>
      </c>
      <c r="I16" s="111">
        <v>0</v>
      </c>
      <c r="J16" s="111">
        <v>0</v>
      </c>
      <c r="K16" s="111">
        <v>0</v>
      </c>
      <c r="L16" s="111">
        <v>0</v>
      </c>
      <c r="M16" s="197"/>
      <c r="N16" s="111" t="s">
        <v>1614</v>
      </c>
      <c r="O16" s="111">
        <v>0</v>
      </c>
      <c r="P16" s="111">
        <v>0</v>
      </c>
      <c r="Q16" s="111">
        <v>0</v>
      </c>
      <c r="R16" s="198"/>
      <c r="S16" s="198"/>
      <c r="T16" s="111" t="s">
        <v>1614</v>
      </c>
      <c r="U16" s="111" t="s">
        <v>1614</v>
      </c>
      <c r="V16" s="111" t="s">
        <v>1614</v>
      </c>
      <c r="W16" s="111">
        <v>0</v>
      </c>
      <c r="X16" s="111">
        <v>0</v>
      </c>
      <c r="Y16" s="111" t="s">
        <v>1614</v>
      </c>
      <c r="Z16" s="111" t="s">
        <v>1614</v>
      </c>
      <c r="AA16" s="111">
        <v>0</v>
      </c>
      <c r="AB16" s="111">
        <v>0</v>
      </c>
      <c r="AC16" s="111" t="s">
        <v>1614</v>
      </c>
      <c r="AD16" s="111" t="s">
        <v>1614</v>
      </c>
      <c r="AE16" s="111" t="s">
        <v>1614</v>
      </c>
      <c r="AF16" s="111" t="s">
        <v>1614</v>
      </c>
      <c r="AG16" s="111" t="s">
        <v>1614</v>
      </c>
      <c r="AH16" s="111" t="s">
        <v>1614</v>
      </c>
      <c r="AI16" s="111">
        <v>0</v>
      </c>
      <c r="AJ16" s="111" t="s">
        <v>1614</v>
      </c>
      <c r="AK16" s="111">
        <v>0</v>
      </c>
      <c r="AL16" s="111" t="s">
        <v>1614</v>
      </c>
      <c r="AM16" s="198"/>
      <c r="AN16" s="111" t="s">
        <v>1614</v>
      </c>
      <c r="AO16" s="111" t="s">
        <v>1614</v>
      </c>
    </row>
    <row r="17" spans="2:41">
      <c r="B17" s="148" t="s">
        <v>1589</v>
      </c>
      <c r="C17" s="150">
        <v>15</v>
      </c>
      <c r="D17" s="111" t="s">
        <v>1726</v>
      </c>
      <c r="E17" s="112">
        <v>45432</v>
      </c>
      <c r="F17" s="111">
        <v>1</v>
      </c>
      <c r="G17" s="111">
        <v>1</v>
      </c>
      <c r="H17" s="113" t="s">
        <v>1617</v>
      </c>
      <c r="I17" s="111" t="s">
        <v>1614</v>
      </c>
      <c r="J17" s="111" t="s">
        <v>1614</v>
      </c>
      <c r="K17" s="111" t="s">
        <v>1614</v>
      </c>
      <c r="L17" s="111" t="s">
        <v>1614</v>
      </c>
      <c r="M17" s="197"/>
      <c r="N17" s="111" t="s">
        <v>1614</v>
      </c>
      <c r="O17" s="114" t="s">
        <v>1614</v>
      </c>
      <c r="P17" s="114" t="s">
        <v>1614</v>
      </c>
      <c r="Q17" s="114" t="s">
        <v>1614</v>
      </c>
      <c r="R17" s="200"/>
      <c r="S17" s="200"/>
      <c r="T17" s="114" t="s">
        <v>1614</v>
      </c>
      <c r="U17" s="114" t="s">
        <v>1614</v>
      </c>
      <c r="V17" s="111" t="s">
        <v>1614</v>
      </c>
      <c r="W17" s="114" t="s">
        <v>1614</v>
      </c>
      <c r="X17" s="111" t="s">
        <v>1614</v>
      </c>
      <c r="Y17" s="111" t="s">
        <v>1614</v>
      </c>
      <c r="Z17" s="111" t="s">
        <v>1614</v>
      </c>
      <c r="AA17" s="111" t="s">
        <v>1614</v>
      </c>
      <c r="AB17" s="111" t="s">
        <v>1614</v>
      </c>
      <c r="AC17" s="111" t="s">
        <v>1614</v>
      </c>
      <c r="AD17" s="111" t="s">
        <v>1614</v>
      </c>
      <c r="AE17" s="111" t="s">
        <v>1614</v>
      </c>
      <c r="AF17" s="111" t="s">
        <v>1614</v>
      </c>
      <c r="AG17" s="111" t="s">
        <v>1614</v>
      </c>
      <c r="AH17" s="111" t="s">
        <v>1614</v>
      </c>
      <c r="AI17" s="111" t="s">
        <v>1614</v>
      </c>
      <c r="AJ17" s="111" t="s">
        <v>1614</v>
      </c>
      <c r="AK17" s="111" t="s">
        <v>1614</v>
      </c>
      <c r="AL17" s="111" t="s">
        <v>1614</v>
      </c>
      <c r="AM17" s="198"/>
      <c r="AN17" s="111" t="s">
        <v>1614</v>
      </c>
      <c r="AO17" s="111" t="s">
        <v>1614</v>
      </c>
    </row>
    <row r="18" spans="2:41">
      <c r="B18" s="148" t="s">
        <v>1591</v>
      </c>
      <c r="C18" s="150">
        <v>16</v>
      </c>
      <c r="D18" s="111" t="s">
        <v>1726</v>
      </c>
      <c r="E18" s="112">
        <v>45432</v>
      </c>
      <c r="F18" s="111">
        <v>1</v>
      </c>
      <c r="G18" s="111">
        <v>1</v>
      </c>
      <c r="H18" s="113" t="s">
        <v>1617</v>
      </c>
      <c r="I18" s="111" t="s">
        <v>1614</v>
      </c>
      <c r="J18" s="111" t="s">
        <v>1614</v>
      </c>
      <c r="K18" s="111" t="s">
        <v>1614</v>
      </c>
      <c r="L18" s="111" t="s">
        <v>1614</v>
      </c>
      <c r="M18" s="197"/>
      <c r="N18" s="111" t="s">
        <v>1614</v>
      </c>
      <c r="O18" s="114" t="s">
        <v>1614</v>
      </c>
      <c r="P18" s="114" t="s">
        <v>1614</v>
      </c>
      <c r="Q18" s="111" t="s">
        <v>1614</v>
      </c>
      <c r="R18" s="198"/>
      <c r="S18" s="198"/>
      <c r="T18" s="111" t="s">
        <v>1614</v>
      </c>
      <c r="U18" s="114" t="s">
        <v>1614</v>
      </c>
      <c r="V18" s="114" t="s">
        <v>1614</v>
      </c>
      <c r="W18" s="111" t="s">
        <v>1614</v>
      </c>
      <c r="X18" s="111" t="s">
        <v>1614</v>
      </c>
      <c r="Y18" s="111" t="s">
        <v>1614</v>
      </c>
      <c r="Z18" s="111" t="s">
        <v>1614</v>
      </c>
      <c r="AA18" s="111" t="s">
        <v>1614</v>
      </c>
      <c r="AB18" s="111" t="s">
        <v>1614</v>
      </c>
      <c r="AC18" s="111" t="s">
        <v>1614</v>
      </c>
      <c r="AD18" s="111" t="s">
        <v>1614</v>
      </c>
      <c r="AE18" s="111" t="s">
        <v>1614</v>
      </c>
      <c r="AF18" s="111" t="s">
        <v>1614</v>
      </c>
      <c r="AG18" s="111" t="s">
        <v>1614</v>
      </c>
      <c r="AH18" s="111" t="s">
        <v>1614</v>
      </c>
      <c r="AI18" s="111" t="s">
        <v>1614</v>
      </c>
      <c r="AJ18" s="111" t="s">
        <v>1614</v>
      </c>
      <c r="AK18" s="111" t="s">
        <v>1614</v>
      </c>
      <c r="AL18" s="111" t="s">
        <v>1614</v>
      </c>
      <c r="AM18" s="198"/>
      <c r="AN18" s="111" t="s">
        <v>1614</v>
      </c>
      <c r="AO18" s="111" t="s">
        <v>1614</v>
      </c>
    </row>
    <row r="19" spans="2:41">
      <c r="B19" s="148" t="s">
        <v>1597</v>
      </c>
      <c r="C19" s="150">
        <v>19</v>
      </c>
      <c r="D19" s="111" t="s">
        <v>1727</v>
      </c>
      <c r="E19" s="112">
        <v>45432</v>
      </c>
      <c r="F19" s="111">
        <v>1</v>
      </c>
      <c r="G19" s="111" cm="1">
        <f t="array" aca="1" ref="G19" ca="1">SUMPRODUCT(--(ISNUMBER((SEARCH(I25:AO25,I19:AO19)))))/COUNTA(I19:AO19)</f>
        <v>1</v>
      </c>
      <c r="H19" s="111" t="s">
        <v>1617</v>
      </c>
      <c r="I19" s="111" t="s">
        <v>1654</v>
      </c>
      <c r="J19" s="111" t="s">
        <v>1654</v>
      </c>
      <c r="K19" s="111" t="s">
        <v>1654</v>
      </c>
      <c r="L19" s="111" t="s">
        <v>1654</v>
      </c>
      <c r="M19" s="197"/>
      <c r="N19" s="111" t="s">
        <v>1654</v>
      </c>
      <c r="O19" s="111" t="s">
        <v>1654</v>
      </c>
      <c r="P19" s="111" t="s">
        <v>1654</v>
      </c>
      <c r="Q19" s="111" t="s">
        <v>1654</v>
      </c>
      <c r="R19" s="198"/>
      <c r="S19" s="198"/>
      <c r="T19" s="114" t="s">
        <v>1654</v>
      </c>
      <c r="U19" s="111" t="s">
        <v>1654</v>
      </c>
      <c r="V19" s="111" t="s">
        <v>1654</v>
      </c>
      <c r="W19" s="111" t="s">
        <v>1654</v>
      </c>
      <c r="X19" s="111" t="s">
        <v>1654</v>
      </c>
      <c r="Y19" s="111" t="s">
        <v>1654</v>
      </c>
      <c r="Z19" s="111" t="s">
        <v>1654</v>
      </c>
      <c r="AA19" s="111" t="s">
        <v>1654</v>
      </c>
      <c r="AB19" s="111" t="s">
        <v>1654</v>
      </c>
      <c r="AC19" s="111" t="s">
        <v>1654</v>
      </c>
      <c r="AD19" s="111" t="s">
        <v>1654</v>
      </c>
      <c r="AE19" s="111" t="s">
        <v>1654</v>
      </c>
      <c r="AF19" s="111" t="s">
        <v>1654</v>
      </c>
      <c r="AG19" s="111" t="s">
        <v>1654</v>
      </c>
      <c r="AH19" s="111" t="s">
        <v>1654</v>
      </c>
      <c r="AI19" s="111" t="s">
        <v>1654</v>
      </c>
      <c r="AJ19" s="111" t="s">
        <v>1654</v>
      </c>
      <c r="AK19" s="111" t="s">
        <v>1654</v>
      </c>
      <c r="AL19" s="111" t="s">
        <v>1654</v>
      </c>
      <c r="AM19" s="198"/>
      <c r="AN19" s="111" t="s">
        <v>1654</v>
      </c>
      <c r="AO19" s="111" t="s">
        <v>1655</v>
      </c>
    </row>
    <row r="20" spans="2:41">
      <c r="B20" s="148" t="s">
        <v>1600</v>
      </c>
      <c r="C20" s="150">
        <v>20</v>
      </c>
      <c r="D20" s="111" t="s">
        <v>1693</v>
      </c>
      <c r="E20" s="112">
        <v>45432</v>
      </c>
      <c r="F20" s="111">
        <v>1</v>
      </c>
      <c r="G20" s="111" cm="1">
        <f t="array" ref="G20">SUM(IF(I2:AO2 = I24:AO24, 1, 0))/ COUNTA(I2:AO2)</f>
        <v>1</v>
      </c>
      <c r="H20" s="113" t="s">
        <v>1617</v>
      </c>
      <c r="I20" s="111"/>
      <c r="J20" s="111"/>
      <c r="K20" s="111"/>
      <c r="L20" s="111"/>
      <c r="M20" s="197"/>
      <c r="N20" s="111"/>
      <c r="O20" s="111"/>
      <c r="P20" s="111"/>
      <c r="Q20" s="111"/>
      <c r="R20" s="198"/>
      <c r="S20" s="198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98"/>
      <c r="AN20" s="111"/>
      <c r="AO20" s="111"/>
    </row>
    <row r="21" spans="2:41">
      <c r="B21" s="148" t="s">
        <v>1603</v>
      </c>
      <c r="C21" s="150">
        <v>21</v>
      </c>
      <c r="D21" s="111" t="s">
        <v>1693</v>
      </c>
      <c r="E21" s="112">
        <v>45432</v>
      </c>
      <c r="F21" s="111">
        <v>1</v>
      </c>
      <c r="G21" s="111" cm="1">
        <f t="array" aca="1" ref="G21" ca="1">SUM(IF(IF(G3:G20="null",1,G3:G20)=1,1,0))/COUNT(IF(G3:G20="null",1,1))</f>
        <v>0.94444444444444442</v>
      </c>
      <c r="H21" s="111"/>
      <c r="I21" s="111"/>
      <c r="J21" s="111"/>
      <c r="K21" s="111"/>
      <c r="L21" s="111"/>
      <c r="M21" s="197"/>
      <c r="N21" s="111"/>
      <c r="O21" s="111"/>
      <c r="P21" s="111"/>
      <c r="Q21" s="111"/>
      <c r="R21" s="198"/>
      <c r="S21" s="198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98"/>
      <c r="AN21" s="111"/>
      <c r="AO21" s="111"/>
    </row>
    <row r="23" spans="2:41">
      <c r="B23" s="115" t="s">
        <v>1656</v>
      </c>
    </row>
    <row r="24" spans="2:41">
      <c r="B24" s="116" t="s">
        <v>1558</v>
      </c>
      <c r="C24" s="117" t="s">
        <v>1607</v>
      </c>
      <c r="D24" s="117" t="s">
        <v>1608</v>
      </c>
      <c r="E24" s="117" t="s">
        <v>1609</v>
      </c>
      <c r="F24" s="117" t="s">
        <v>1610</v>
      </c>
      <c r="G24" s="117" t="s">
        <v>1611</v>
      </c>
      <c r="H24" s="117" t="s">
        <v>1612</v>
      </c>
      <c r="I24" s="117" t="str" cm="1">
        <f t="array" ref="I24:AO24">TRANSPOSE(_xlfn.SORTBY(_xlfn._xlws.FILTER(Table2[NOME FÍSICO CAMPO],Table2[NOME FÍSICO TABELA]="real_estate_collateral"), _xlfn._xlws.FILTER(Table2[ORDEM], Table2[NOME FÍSICO TABELA]="real_estate_collateral"), 1))</f>
        <v>collateral_bank_id</v>
      </c>
      <c r="J24" s="117" t="str">
        <v>collateral_contract_id</v>
      </c>
      <c r="K24" s="117" t="str">
        <v>collateral_branch_code</v>
      </c>
      <c r="L24" s="117" t="str">
        <v>collateral_reference_code</v>
      </c>
      <c r="M24" s="117" t="str">
        <v>collateral_code</v>
      </c>
      <c r="N24" s="117" t="str">
        <v>construction_completed_pct</v>
      </c>
      <c r="O24" s="117" t="str">
        <v>collateral_type_code</v>
      </c>
      <c r="P24" s="117" t="str">
        <v>collateral_purpose_code</v>
      </c>
      <c r="Q24" s="117" t="str">
        <v>collateral_lifetime_code</v>
      </c>
      <c r="R24" s="117" t="str">
        <v>fraction_code</v>
      </c>
      <c r="S24" s="117" t="str">
        <v>appraisal_motive_code</v>
      </c>
      <c r="T24" s="117" t="str">
        <v>usage_permit_start_date</v>
      </c>
      <c r="U24" s="117" t="str">
        <v>last_appraisal_date</v>
      </c>
      <c r="V24" s="117" t="str">
        <v>last_appraisal_amount</v>
      </c>
      <c r="W24" s="117" t="str">
        <v>conservatory_reg_file_id</v>
      </c>
      <c r="X24" s="117" t="str">
        <v>cadastral_register_code</v>
      </c>
      <c r="Y24" s="117" t="str">
        <v>current_construction_pct</v>
      </c>
      <c r="Z24" s="117" t="str">
        <v>net_appraisal_amount</v>
      </c>
      <c r="AA24" s="117" t="str">
        <v>address_code</v>
      </c>
      <c r="AB24" s="117" t="str">
        <v>country_code</v>
      </c>
      <c r="AC24" s="117" t="str">
        <v>district_municip_parish_code</v>
      </c>
      <c r="AD24" s="117" t="str">
        <v>locality</v>
      </c>
      <c r="AE24" s="117" t="str">
        <v>urbanization</v>
      </c>
      <c r="AF24" s="117" t="str">
        <v>property_number</v>
      </c>
      <c r="AG24" s="117" t="str">
        <v>property_lot</v>
      </c>
      <c r="AH24" s="117" t="str">
        <v>floor_number</v>
      </c>
      <c r="AI24" s="117" t="str">
        <v>postal_code</v>
      </c>
      <c r="AJ24" s="117" t="str">
        <v>address</v>
      </c>
      <c r="AK24" s="117" t="str">
        <v>appraisal_type_code</v>
      </c>
      <c r="AL24" s="117" t="str">
        <v>collateral_fast_sale_amount</v>
      </c>
      <c r="AM24" s="117" t="str">
        <v>collateral_holder</v>
      </c>
      <c r="AN24" s="117" t="str">
        <v>data_date_part</v>
      </c>
      <c r="AO24" s="117" t="str">
        <v>data_timestamp_part</v>
      </c>
    </row>
    <row r="25" spans="2:41">
      <c r="B25" s="120" t="s">
        <v>1657</v>
      </c>
      <c r="C25" s="121">
        <v>19</v>
      </c>
      <c r="D25" s="122" t="s">
        <v>1658</v>
      </c>
      <c r="E25" s="123" t="s">
        <v>1659</v>
      </c>
      <c r="F25" s="123" t="s">
        <v>1660</v>
      </c>
      <c r="G25" s="123" t="s">
        <v>1660</v>
      </c>
      <c r="H25" s="123" t="s">
        <v>1660</v>
      </c>
      <c r="I25" t="str" cm="1">
        <f t="array" aca="1" ref="I25:AO26" ca="1">TRANSPOSE(_xlfn.SORTBY(_xlfn._xlws.FILTER(IF(Table2[FORMATO]:Table2[COMP_ CAMPO]&lt;&gt;"",Table2[FORMATO]:Table2[COMP_ CAMPO],9999999),Table2[NOME FÍSICO TABELA]="real_estate_collateral"), _xlfn._xlws.FILTER(Table2[ORDEM], Table2[NOME FÍSICO TABELA]="real_estate_collateral"), 1))</f>
        <v>STRING</v>
      </c>
      <c r="J25" s="123" t="str">
        <f ca="1"/>
        <v>STRING</v>
      </c>
      <c r="K25" s="123" t="str">
        <f ca="1"/>
        <v>STRING</v>
      </c>
      <c r="L25" s="123" t="str">
        <f ca="1"/>
        <v>STRING</v>
      </c>
      <c r="M25" s="183" t="str">
        <f ca="1"/>
        <v>STRING</v>
      </c>
      <c r="N25" s="123" t="str">
        <f ca="1"/>
        <v>STRING</v>
      </c>
      <c r="O25" s="123" t="str">
        <f ca="1"/>
        <v>STRING</v>
      </c>
      <c r="P25" s="123" t="str">
        <f ca="1"/>
        <v>STRING</v>
      </c>
      <c r="Q25" s="123" t="str">
        <f ca="1"/>
        <v>STRING</v>
      </c>
      <c r="R25" s="183" t="str">
        <f ca="1"/>
        <v>STRING</v>
      </c>
      <c r="S25" s="183" t="str">
        <f ca="1"/>
        <v>STRING</v>
      </c>
      <c r="T25" s="123" t="str">
        <f ca="1"/>
        <v>STRING</v>
      </c>
      <c r="U25" s="123" t="str">
        <f ca="1"/>
        <v>STRING</v>
      </c>
      <c r="V25" s="123" t="str">
        <f ca="1"/>
        <v>STRING</v>
      </c>
      <c r="W25" s="123" t="str">
        <f ca="1"/>
        <v>STRING</v>
      </c>
      <c r="X25" s="123" t="str">
        <f ca="1"/>
        <v>STRING</v>
      </c>
      <c r="Y25" s="123" t="str">
        <f ca="1"/>
        <v>STRING</v>
      </c>
      <c r="Z25" s="123" t="str">
        <f ca="1"/>
        <v>STRING</v>
      </c>
      <c r="AA25" s="123" t="str">
        <f ca="1"/>
        <v>STRING</v>
      </c>
      <c r="AB25" s="123" t="str">
        <f ca="1"/>
        <v>STRING</v>
      </c>
      <c r="AC25" s="123" t="str">
        <f ca="1"/>
        <v>STRING</v>
      </c>
      <c r="AD25" s="123" t="str">
        <f ca="1"/>
        <v>STRING</v>
      </c>
      <c r="AE25" s="123" t="str">
        <f ca="1"/>
        <v>STRING</v>
      </c>
      <c r="AF25" s="123" t="str">
        <f ca="1"/>
        <v>STRING</v>
      </c>
      <c r="AG25" s="123" t="str">
        <f ca="1"/>
        <v>STRING</v>
      </c>
      <c r="AH25" s="123" t="str">
        <f ca="1"/>
        <v>STRING</v>
      </c>
      <c r="AI25" s="123" t="str">
        <f ca="1"/>
        <v>STRING</v>
      </c>
      <c r="AJ25" s="123" t="str">
        <f ca="1"/>
        <v>STRING</v>
      </c>
      <c r="AK25" s="123" t="str">
        <f ca="1"/>
        <v>STRING</v>
      </c>
      <c r="AL25" s="123" t="str">
        <f ca="1"/>
        <v>STRING</v>
      </c>
      <c r="AM25" s="183" t="str">
        <f ca="1"/>
        <v>STRING</v>
      </c>
      <c r="AN25" s="123" t="str">
        <f ca="1"/>
        <v>STRING</v>
      </c>
      <c r="AO25" s="123" t="str">
        <f ca="1"/>
        <v>TIMESTAMP</v>
      </c>
    </row>
    <row r="26" spans="2:41">
      <c r="B26" s="120" t="s">
        <v>1661</v>
      </c>
      <c r="C26" s="121">
        <v>7</v>
      </c>
      <c r="D26" s="122" t="s">
        <v>1658</v>
      </c>
      <c r="E26" s="123" t="s">
        <v>1659</v>
      </c>
      <c r="F26" s="125" t="s">
        <v>1660</v>
      </c>
      <c r="G26" s="125" t="s">
        <v>1660</v>
      </c>
      <c r="H26" s="125" t="s">
        <v>1660</v>
      </c>
      <c r="I26" s="126">
        <f ca="1"/>
        <v>2</v>
      </c>
      <c r="J26" s="126">
        <f ca="1"/>
        <v>30</v>
      </c>
      <c r="K26" s="126">
        <f ca="1"/>
        <v>20</v>
      </c>
      <c r="L26" s="126">
        <f ca="1"/>
        <v>20</v>
      </c>
      <c r="M26" s="184">
        <f ca="1"/>
        <v>20</v>
      </c>
      <c r="N26" s="126">
        <f ca="1"/>
        <v>23</v>
      </c>
      <c r="O26" s="126">
        <f ca="1"/>
        <v>20</v>
      </c>
      <c r="P26" s="126">
        <f ca="1"/>
        <v>20</v>
      </c>
      <c r="Q26" s="126">
        <f ca="1"/>
        <v>20</v>
      </c>
      <c r="R26" s="184">
        <f ca="1"/>
        <v>10</v>
      </c>
      <c r="S26" s="184">
        <f ca="1"/>
        <v>20</v>
      </c>
      <c r="T26" s="126">
        <f ca="1"/>
        <v>10</v>
      </c>
      <c r="U26" s="126">
        <f ca="1"/>
        <v>10</v>
      </c>
      <c r="V26" s="126">
        <f ca="1"/>
        <v>23</v>
      </c>
      <c r="W26" s="126">
        <f ca="1"/>
        <v>9999999</v>
      </c>
      <c r="X26" s="126">
        <f ca="1"/>
        <v>9999999</v>
      </c>
      <c r="Y26" s="126">
        <f ca="1"/>
        <v>23</v>
      </c>
      <c r="Z26" s="126">
        <f ca="1"/>
        <v>23</v>
      </c>
      <c r="AA26" s="126">
        <f ca="1"/>
        <v>20</v>
      </c>
      <c r="AB26" s="126">
        <f ca="1"/>
        <v>20</v>
      </c>
      <c r="AC26" s="126">
        <f ca="1"/>
        <v>20</v>
      </c>
      <c r="AD26" s="126">
        <f ca="1"/>
        <v>9999999</v>
      </c>
      <c r="AE26" s="126">
        <f ca="1"/>
        <v>9999999</v>
      </c>
      <c r="AF26" s="126">
        <f ca="1"/>
        <v>9999999</v>
      </c>
      <c r="AG26" s="126">
        <f ca="1"/>
        <v>9999999</v>
      </c>
      <c r="AH26" s="121">
        <f ca="1"/>
        <v>9999999</v>
      </c>
      <c r="AI26" s="121">
        <f ca="1"/>
        <v>20</v>
      </c>
      <c r="AJ26" s="121">
        <f ca="1"/>
        <v>9999999</v>
      </c>
      <c r="AK26" s="121">
        <f ca="1"/>
        <v>20</v>
      </c>
      <c r="AL26" s="121">
        <f ca="1"/>
        <v>23</v>
      </c>
      <c r="AM26" s="185">
        <f ca="1"/>
        <v>20</v>
      </c>
      <c r="AN26" s="121">
        <f ca="1"/>
        <v>10</v>
      </c>
      <c r="AO26" s="121">
        <f ca="1"/>
        <v>23</v>
      </c>
    </row>
    <row r="28" spans="2:41">
      <c r="B28" s="127" t="s">
        <v>1662</v>
      </c>
    </row>
    <row r="29" spans="2:41">
      <c r="B29" s="182" t="s">
        <v>1663</v>
      </c>
      <c r="C29" s="182" t="s">
        <v>1664</v>
      </c>
      <c r="D29" s="219" t="s">
        <v>1665</v>
      </c>
      <c r="E29" s="182" t="s">
        <v>1666</v>
      </c>
      <c r="F29" s="182" t="s">
        <v>1667</v>
      </c>
    </row>
    <row r="30" spans="2:41" ht="30.75">
      <c r="B30" s="75" t="s">
        <v>1668</v>
      </c>
      <c r="C30" s="76" t="s">
        <v>1370</v>
      </c>
      <c r="D30" s="74" t="s">
        <v>1728</v>
      </c>
      <c r="E30" s="74" t="s">
        <v>1729</v>
      </c>
      <c r="F30" s="74" t="s">
        <v>1671</v>
      </c>
    </row>
    <row r="31" spans="2:41" ht="30.75">
      <c r="B31" s="75" t="s">
        <v>1668</v>
      </c>
      <c r="C31" s="76" t="s">
        <v>706</v>
      </c>
      <c r="D31" s="74" t="s">
        <v>1728</v>
      </c>
      <c r="E31" s="74" t="s">
        <v>1730</v>
      </c>
      <c r="F31" s="74" t="s">
        <v>1671</v>
      </c>
    </row>
    <row r="32" spans="2:41" ht="30.75">
      <c r="B32" s="75" t="s">
        <v>1668</v>
      </c>
      <c r="C32" s="76" t="s">
        <v>714</v>
      </c>
      <c r="D32" s="74" t="s">
        <v>1728</v>
      </c>
      <c r="E32" s="74" t="s">
        <v>1731</v>
      </c>
      <c r="F32" s="74" t="s">
        <v>1671</v>
      </c>
    </row>
    <row r="33" spans="2:6" ht="30.75">
      <c r="B33" s="75" t="s">
        <v>1668</v>
      </c>
      <c r="C33" s="75" t="s">
        <v>1296</v>
      </c>
      <c r="D33" s="74" t="s">
        <v>1728</v>
      </c>
      <c r="E33" s="74" t="s">
        <v>1732</v>
      </c>
      <c r="F33" s="74" t="s">
        <v>1671</v>
      </c>
    </row>
    <row r="34" spans="2:6" ht="30.75">
      <c r="B34" s="75" t="s">
        <v>1668</v>
      </c>
      <c r="C34" s="75" t="s">
        <v>1386</v>
      </c>
      <c r="D34" s="74" t="s">
        <v>1728</v>
      </c>
      <c r="E34" s="74" t="s">
        <v>1733</v>
      </c>
      <c r="F34" s="74" t="s">
        <v>1671</v>
      </c>
    </row>
    <row r="35" spans="2:6" ht="30.75">
      <c r="B35" s="75" t="s">
        <v>1668</v>
      </c>
      <c r="C35" s="75" t="s">
        <v>1404</v>
      </c>
      <c r="D35" s="74" t="s">
        <v>1728</v>
      </c>
      <c r="E35" s="74" t="s">
        <v>1734</v>
      </c>
      <c r="F35" s="74" t="s">
        <v>1671</v>
      </c>
    </row>
    <row r="36" spans="2:6" ht="30.75">
      <c r="B36" s="75" t="s">
        <v>1668</v>
      </c>
      <c r="C36" s="75" t="s">
        <v>1410</v>
      </c>
      <c r="D36" s="74" t="s">
        <v>1728</v>
      </c>
      <c r="E36" s="74" t="s">
        <v>1735</v>
      </c>
      <c r="F36" s="74" t="s">
        <v>1671</v>
      </c>
    </row>
    <row r="37" spans="2:6" ht="30.75">
      <c r="B37" s="75" t="s">
        <v>1668</v>
      </c>
      <c r="C37" s="75" t="s">
        <v>1418</v>
      </c>
      <c r="D37" s="74" t="s">
        <v>1728</v>
      </c>
      <c r="E37" s="74" t="s">
        <v>1736</v>
      </c>
      <c r="F37" s="74" t="s">
        <v>1671</v>
      </c>
    </row>
    <row r="38" spans="2:6" ht="30.75">
      <c r="B38" s="75" t="s">
        <v>1668</v>
      </c>
      <c r="C38" s="75" t="s">
        <v>1423</v>
      </c>
      <c r="D38" s="74" t="s">
        <v>1728</v>
      </c>
      <c r="E38" s="74" t="s">
        <v>1737</v>
      </c>
      <c r="F38" s="74" t="s">
        <v>1671</v>
      </c>
    </row>
    <row r="39" spans="2:6" ht="30.75">
      <c r="B39" s="75" t="s">
        <v>1668</v>
      </c>
      <c r="C39" s="75" t="s">
        <v>1429</v>
      </c>
      <c r="D39" s="74" t="s">
        <v>1728</v>
      </c>
      <c r="E39" s="74" t="s">
        <v>1738</v>
      </c>
      <c r="F39" s="74" t="s">
        <v>1671</v>
      </c>
    </row>
    <row r="40" spans="2:6" ht="30.75">
      <c r="B40" s="75" t="s">
        <v>1668</v>
      </c>
      <c r="C40" s="75" t="s">
        <v>1437</v>
      </c>
      <c r="D40" s="74" t="s">
        <v>1728</v>
      </c>
      <c r="E40" s="74" t="s">
        <v>1739</v>
      </c>
      <c r="F40" s="74" t="s">
        <v>1671</v>
      </c>
    </row>
    <row r="41" spans="2:6" ht="30.75">
      <c r="B41" s="75" t="s">
        <v>1668</v>
      </c>
      <c r="C41" s="75" t="s">
        <v>1443</v>
      </c>
      <c r="D41" s="74" t="s">
        <v>1728</v>
      </c>
      <c r="E41" s="74" t="s">
        <v>1740</v>
      </c>
      <c r="F41" s="74" t="s">
        <v>1671</v>
      </c>
    </row>
    <row r="42" spans="2:6" ht="30.75">
      <c r="B42" s="75" t="s">
        <v>1668</v>
      </c>
      <c r="C42" s="75" t="s">
        <v>1449</v>
      </c>
      <c r="D42" s="74" t="s">
        <v>1728</v>
      </c>
      <c r="E42" s="74" t="s">
        <v>1741</v>
      </c>
      <c r="F42" s="74" t="s">
        <v>1671</v>
      </c>
    </row>
    <row r="43" spans="2:6" ht="30.75">
      <c r="B43" s="75" t="s">
        <v>1668</v>
      </c>
      <c r="C43" s="75" t="s">
        <v>1456</v>
      </c>
      <c r="D43" s="74" t="s">
        <v>1728</v>
      </c>
      <c r="E43" s="74" t="s">
        <v>1742</v>
      </c>
      <c r="F43" s="74" t="s">
        <v>1671</v>
      </c>
    </row>
    <row r="44" spans="2:6" ht="30.75">
      <c r="B44" s="75" t="s">
        <v>1668</v>
      </c>
      <c r="C44" s="75" t="s">
        <v>1462</v>
      </c>
      <c r="D44" s="74" t="s">
        <v>1728</v>
      </c>
      <c r="E44" s="74" t="s">
        <v>1743</v>
      </c>
      <c r="F44" s="74" t="s">
        <v>1671</v>
      </c>
    </row>
    <row r="45" spans="2:6" ht="30.75">
      <c r="B45" s="75" t="s">
        <v>1668</v>
      </c>
      <c r="C45" s="75" t="s">
        <v>1468</v>
      </c>
      <c r="D45" s="74" t="s">
        <v>1728</v>
      </c>
      <c r="E45" s="74" t="s">
        <v>1744</v>
      </c>
      <c r="F45" s="74" t="s">
        <v>1671</v>
      </c>
    </row>
    <row r="46" spans="2:6" ht="30.75">
      <c r="B46" s="75" t="s">
        <v>1668</v>
      </c>
      <c r="C46" s="75" t="s">
        <v>1474</v>
      </c>
      <c r="D46" s="74" t="s">
        <v>1728</v>
      </c>
      <c r="E46" s="74" t="s">
        <v>1745</v>
      </c>
      <c r="F46" s="74" t="s">
        <v>1671</v>
      </c>
    </row>
    <row r="47" spans="2:6" ht="30.75">
      <c r="B47" s="75" t="s">
        <v>1668</v>
      </c>
      <c r="C47" s="75" t="s">
        <v>1480</v>
      </c>
      <c r="D47" s="74" t="s">
        <v>1728</v>
      </c>
      <c r="E47" s="74" t="s">
        <v>1746</v>
      </c>
      <c r="F47" s="74" t="s">
        <v>1671</v>
      </c>
    </row>
    <row r="48" spans="2:6" ht="30.75">
      <c r="B48" s="75" t="s">
        <v>1668</v>
      </c>
      <c r="C48" s="75" t="s">
        <v>1485</v>
      </c>
      <c r="D48" s="74" t="s">
        <v>1728</v>
      </c>
      <c r="E48" s="74" t="s">
        <v>1747</v>
      </c>
      <c r="F48" s="74" t="s">
        <v>1671</v>
      </c>
    </row>
    <row r="49" spans="2:6" ht="30.75">
      <c r="B49" s="75" t="s">
        <v>1668</v>
      </c>
      <c r="C49" s="75" t="s">
        <v>1216</v>
      </c>
      <c r="D49" s="74" t="s">
        <v>1728</v>
      </c>
      <c r="E49" s="74" t="s">
        <v>1748</v>
      </c>
      <c r="F49" s="74" t="s">
        <v>1671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05AF-7598-4F95-9C66-4245C0212412}">
  <sheetPr>
    <tabColor rgb="FF00B050"/>
  </sheetPr>
  <dimension ref="B1:AW30"/>
  <sheetViews>
    <sheetView topLeftCell="A10" workbookViewId="0">
      <selection activeCell="H4" sqref="H4"/>
    </sheetView>
  </sheetViews>
  <sheetFormatPr defaultRowHeight="15"/>
  <cols>
    <col min="1" max="1" width="12.28515625" customWidth="1"/>
    <col min="2" max="2" width="35.5703125" customWidth="1"/>
    <col min="3" max="3" width="16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17.42578125" bestFit="1" customWidth="1"/>
    <col min="16" max="16" width="26.85546875" bestFit="1" customWidth="1"/>
  </cols>
  <sheetData>
    <row r="1" spans="2:49" ht="25.5" customHeight="1"/>
    <row r="2" spans="2:49">
      <c r="B2" s="151" t="s">
        <v>1606</v>
      </c>
      <c r="C2" s="151" t="s">
        <v>1607</v>
      </c>
      <c r="D2" t="s">
        <v>1608</v>
      </c>
      <c r="E2" t="s">
        <v>1609</v>
      </c>
      <c r="F2" t="s">
        <v>1610</v>
      </c>
      <c r="G2" t="s">
        <v>1611</v>
      </c>
      <c r="H2" t="s">
        <v>1612</v>
      </c>
      <c r="I2" t="s">
        <v>851</v>
      </c>
      <c r="J2" t="s">
        <v>858</v>
      </c>
      <c r="K2" t="s">
        <v>864</v>
      </c>
      <c r="L2" t="s">
        <v>870</v>
      </c>
      <c r="M2" t="s">
        <v>687</v>
      </c>
      <c r="N2" t="s">
        <v>1029</v>
      </c>
      <c r="O2" t="s">
        <v>783</v>
      </c>
      <c r="P2" t="s">
        <v>790</v>
      </c>
    </row>
    <row r="3" spans="2:49">
      <c r="B3" s="155" t="s">
        <v>1560</v>
      </c>
      <c r="C3" s="152">
        <v>1</v>
      </c>
      <c r="D3" s="156" t="s">
        <v>1749</v>
      </c>
      <c r="E3" s="157">
        <v>45404</v>
      </c>
      <c r="F3" s="156">
        <v>1</v>
      </c>
      <c r="G3" s="156">
        <v>1</v>
      </c>
      <c r="H3" s="206" t="s">
        <v>1750</v>
      </c>
      <c r="I3" s="156" t="s">
        <v>1614</v>
      </c>
      <c r="J3" s="156" t="s">
        <v>1614</v>
      </c>
      <c r="K3" s="156" t="s">
        <v>1614</v>
      </c>
      <c r="L3" s="156" t="s">
        <v>1614</v>
      </c>
      <c r="M3" s="156" t="s">
        <v>1614</v>
      </c>
      <c r="N3" s="156" t="s">
        <v>1614</v>
      </c>
      <c r="O3" s="156" t="s">
        <v>1614</v>
      </c>
      <c r="P3" s="156" t="s">
        <v>1614</v>
      </c>
    </row>
    <row r="4" spans="2:49">
      <c r="B4" s="155" t="s">
        <v>1562</v>
      </c>
      <c r="C4" s="152">
        <v>2</v>
      </c>
      <c r="D4" s="156" t="s">
        <v>1751</v>
      </c>
      <c r="E4" s="157">
        <v>45404</v>
      </c>
      <c r="F4" s="156">
        <v>1</v>
      </c>
      <c r="G4" s="156">
        <v>1</v>
      </c>
      <c r="H4" s="156" t="s">
        <v>1617</v>
      </c>
      <c r="I4" s="156" t="s">
        <v>1614</v>
      </c>
      <c r="J4" s="156" t="s">
        <v>1614</v>
      </c>
      <c r="K4" s="156" t="s">
        <v>1614</v>
      </c>
      <c r="L4" s="156" t="s">
        <v>1614</v>
      </c>
      <c r="M4" s="156" t="s">
        <v>1614</v>
      </c>
      <c r="N4" s="156" t="s">
        <v>1614</v>
      </c>
      <c r="O4" s="156" t="s">
        <v>1614</v>
      </c>
      <c r="P4" s="156" t="s">
        <v>1614</v>
      </c>
    </row>
    <row r="5" spans="2:49">
      <c r="B5" s="155" t="s">
        <v>1564</v>
      </c>
      <c r="C5" s="152">
        <v>3</v>
      </c>
      <c r="D5" s="156" t="s">
        <v>1752</v>
      </c>
      <c r="E5" s="157">
        <v>45404</v>
      </c>
      <c r="F5" s="156">
        <v>1</v>
      </c>
      <c r="G5" s="156">
        <v>1</v>
      </c>
      <c r="H5" s="156" t="s">
        <v>1617</v>
      </c>
      <c r="I5" s="156">
        <v>0</v>
      </c>
      <c r="J5" s="156">
        <v>0</v>
      </c>
      <c r="K5" s="156">
        <v>0</v>
      </c>
      <c r="L5" s="156">
        <v>0</v>
      </c>
      <c r="M5" s="156" t="s">
        <v>1614</v>
      </c>
      <c r="N5" s="156" t="s">
        <v>1614</v>
      </c>
      <c r="O5" s="156" t="s">
        <v>1614</v>
      </c>
      <c r="P5" s="156" t="s">
        <v>1614</v>
      </c>
    </row>
    <row r="6" spans="2:49">
      <c r="B6" s="188" t="s">
        <v>1566</v>
      </c>
      <c r="C6" s="189">
        <v>4</v>
      </c>
      <c r="D6" s="156" t="s">
        <v>1752</v>
      </c>
      <c r="E6" s="157">
        <v>45404</v>
      </c>
      <c r="F6" s="156">
        <v>1</v>
      </c>
      <c r="G6" s="111" t="s">
        <v>1614</v>
      </c>
      <c r="H6" s="156" t="s">
        <v>1617</v>
      </c>
      <c r="I6" s="113" t="s">
        <v>1614</v>
      </c>
      <c r="J6" s="113" t="s">
        <v>1614</v>
      </c>
      <c r="K6" s="113" t="s">
        <v>1614</v>
      </c>
      <c r="L6" s="113" t="s">
        <v>1614</v>
      </c>
      <c r="M6" s="113" t="s">
        <v>1614</v>
      </c>
      <c r="N6" s="113" t="s">
        <v>1614</v>
      </c>
      <c r="O6" s="113" t="s">
        <v>1614</v>
      </c>
      <c r="P6" s="113" t="s">
        <v>1614</v>
      </c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1568</v>
      </c>
      <c r="C7" s="189">
        <v>5</v>
      </c>
      <c r="D7" s="156" t="s">
        <v>1752</v>
      </c>
      <c r="E7" s="157">
        <v>45404</v>
      </c>
      <c r="F7" s="156">
        <v>1</v>
      </c>
      <c r="G7" s="111" t="s">
        <v>1614</v>
      </c>
      <c r="H7" s="156" t="s">
        <v>1617</v>
      </c>
      <c r="I7" s="113" t="s">
        <v>1614</v>
      </c>
      <c r="J7" s="113" t="s">
        <v>1614</v>
      </c>
      <c r="K7" s="113" t="s">
        <v>1614</v>
      </c>
      <c r="L7" s="113" t="s">
        <v>1614</v>
      </c>
      <c r="M7" s="113" t="s">
        <v>1614</v>
      </c>
      <c r="N7" s="113" t="s">
        <v>1614</v>
      </c>
      <c r="O7" s="113" t="s">
        <v>1614</v>
      </c>
      <c r="P7" s="113" t="s">
        <v>1614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59" t="s">
        <v>1569</v>
      </c>
      <c r="C8" s="152">
        <v>6</v>
      </c>
      <c r="D8" s="156" t="s">
        <v>1753</v>
      </c>
      <c r="E8" s="157">
        <v>45404</v>
      </c>
      <c r="F8" s="156">
        <v>1</v>
      </c>
      <c r="G8" s="111" cm="1">
        <f t="array" ref="G8">SUMPRODUCT(--(I8:P8&gt;0))/COUNTA(I8:P8)</f>
        <v>1</v>
      </c>
      <c r="H8" s="156" t="s">
        <v>1617</v>
      </c>
      <c r="I8" s="156">
        <v>2</v>
      </c>
      <c r="J8" s="156">
        <v>4</v>
      </c>
      <c r="K8" s="156">
        <v>30</v>
      </c>
      <c r="L8" s="156">
        <v>15</v>
      </c>
      <c r="M8" s="156">
        <v>3</v>
      </c>
      <c r="N8" s="156">
        <v>1</v>
      </c>
      <c r="O8" s="156">
        <v>10</v>
      </c>
      <c r="P8" s="156">
        <v>23</v>
      </c>
    </row>
    <row r="9" spans="2:49">
      <c r="B9" s="155" t="s">
        <v>1572</v>
      </c>
      <c r="C9" s="152">
        <v>7</v>
      </c>
      <c r="D9" s="156" t="s">
        <v>1754</v>
      </c>
      <c r="E9" s="157">
        <v>45404</v>
      </c>
      <c r="F9" s="156">
        <v>1</v>
      </c>
      <c r="G9" s="111" cm="1">
        <f t="array" aca="1" ref="G9" ca="1">SUMPRODUCT(--(I9:P9&lt;=I26:P26))/COUNTA(I26:P26)</f>
        <v>1</v>
      </c>
      <c r="H9" s="156" t="s">
        <v>1617</v>
      </c>
      <c r="I9" s="156">
        <v>2</v>
      </c>
      <c r="J9" s="156">
        <v>4</v>
      </c>
      <c r="K9" s="156">
        <v>30</v>
      </c>
      <c r="L9" s="156">
        <v>15</v>
      </c>
      <c r="M9" s="156">
        <v>4</v>
      </c>
      <c r="N9" s="156">
        <v>3</v>
      </c>
      <c r="O9" s="156">
        <v>10</v>
      </c>
      <c r="P9" s="156">
        <v>23</v>
      </c>
    </row>
    <row r="10" spans="2:49">
      <c r="B10" s="155" t="s">
        <v>1575</v>
      </c>
      <c r="C10" s="152">
        <v>8</v>
      </c>
      <c r="D10" s="156" t="s">
        <v>1755</v>
      </c>
      <c r="E10" s="157">
        <v>45404</v>
      </c>
      <c r="F10" s="156">
        <v>1</v>
      </c>
      <c r="G10" s="111" t="s">
        <v>1614</v>
      </c>
      <c r="H10" s="156" t="s">
        <v>1617</v>
      </c>
      <c r="I10" s="156">
        <v>31</v>
      </c>
      <c r="J10" s="156">
        <v>0</v>
      </c>
      <c r="K10" s="156">
        <v>6.15353001E+23</v>
      </c>
      <c r="L10" s="156">
        <v>0</v>
      </c>
      <c r="M10" s="156">
        <v>26</v>
      </c>
      <c r="N10" s="156" t="s">
        <v>1756</v>
      </c>
      <c r="O10" s="157">
        <v>45404</v>
      </c>
      <c r="P10" s="156" t="s">
        <v>1757</v>
      </c>
    </row>
    <row r="11" spans="2:49">
      <c r="B11" s="155" t="s">
        <v>1577</v>
      </c>
      <c r="C11" s="152">
        <v>9</v>
      </c>
      <c r="D11" s="156" t="s">
        <v>1758</v>
      </c>
      <c r="E11" s="157">
        <v>45404</v>
      </c>
      <c r="F11" s="156">
        <v>1</v>
      </c>
      <c r="G11" s="111" t="s">
        <v>1614</v>
      </c>
      <c r="H11" s="156" t="s">
        <v>1617</v>
      </c>
      <c r="I11" s="156">
        <v>31</v>
      </c>
      <c r="J11" s="156">
        <v>0</v>
      </c>
      <c r="K11" s="156">
        <v>6.15353001E+23</v>
      </c>
      <c r="L11" s="156">
        <v>0</v>
      </c>
      <c r="M11" s="156">
        <v>26</v>
      </c>
      <c r="N11" s="156"/>
      <c r="O11" s="157">
        <v>45404</v>
      </c>
      <c r="P11" s="156" t="s">
        <v>1759</v>
      </c>
    </row>
    <row r="12" spans="2:49">
      <c r="B12" s="159" t="s">
        <v>1579</v>
      </c>
      <c r="C12" s="152">
        <v>10</v>
      </c>
      <c r="D12" s="156" t="s">
        <v>1760</v>
      </c>
      <c r="E12" s="157">
        <v>45404</v>
      </c>
      <c r="F12" s="156">
        <v>1</v>
      </c>
      <c r="G12" s="111" t="s">
        <v>1614</v>
      </c>
      <c r="H12" s="156" t="s">
        <v>1617</v>
      </c>
      <c r="I12" s="156">
        <v>31</v>
      </c>
      <c r="J12" s="156">
        <v>5425</v>
      </c>
      <c r="K12" s="156">
        <v>5.42500000473051E+29</v>
      </c>
      <c r="L12" s="156">
        <v>933000313600000</v>
      </c>
      <c r="M12" s="156">
        <v>6504</v>
      </c>
      <c r="N12" s="156" t="s">
        <v>1756</v>
      </c>
      <c r="O12" s="157">
        <v>45404</v>
      </c>
      <c r="P12" s="156" t="s">
        <v>1757</v>
      </c>
    </row>
    <row r="13" spans="2:49">
      <c r="B13" s="155" t="s">
        <v>1581</v>
      </c>
      <c r="C13" s="152">
        <v>11</v>
      </c>
      <c r="D13" s="156" t="s">
        <v>1761</v>
      </c>
      <c r="E13" s="157">
        <v>45404</v>
      </c>
      <c r="F13" s="156">
        <v>1</v>
      </c>
      <c r="G13" s="111" t="s">
        <v>1614</v>
      </c>
      <c r="H13" s="156" t="s">
        <v>1617</v>
      </c>
      <c r="I13" s="156">
        <v>31</v>
      </c>
      <c r="J13" s="156">
        <v>5425</v>
      </c>
      <c r="K13" s="156">
        <v>5.42500000473051E+29</v>
      </c>
      <c r="L13" s="156">
        <v>933000313600000</v>
      </c>
      <c r="M13" s="156">
        <v>6504</v>
      </c>
      <c r="N13" s="156"/>
      <c r="O13" s="157">
        <v>45404</v>
      </c>
      <c r="P13" s="156" t="s">
        <v>1762</v>
      </c>
    </row>
    <row r="14" spans="2:49">
      <c r="B14" s="155" t="s">
        <v>1583</v>
      </c>
      <c r="C14" s="152">
        <v>12</v>
      </c>
      <c r="D14" s="156" t="s">
        <v>1763</v>
      </c>
      <c r="E14" s="157">
        <v>45404</v>
      </c>
      <c r="F14" s="156">
        <v>1</v>
      </c>
      <c r="G14" s="156">
        <v>0.88</v>
      </c>
      <c r="H14" s="156" t="s">
        <v>1617</v>
      </c>
      <c r="I14" s="156">
        <v>0</v>
      </c>
      <c r="J14" s="156">
        <v>0</v>
      </c>
      <c r="K14" s="156">
        <v>0</v>
      </c>
      <c r="L14" s="156">
        <v>0</v>
      </c>
      <c r="M14" s="156">
        <v>0</v>
      </c>
      <c r="N14" s="156">
        <v>8476</v>
      </c>
      <c r="O14" s="156">
        <v>0</v>
      </c>
      <c r="P14" s="156">
        <v>0</v>
      </c>
    </row>
    <row r="15" spans="2:49">
      <c r="B15" s="155" t="s">
        <v>1587</v>
      </c>
      <c r="C15" s="152">
        <v>14</v>
      </c>
      <c r="D15" s="156" t="s">
        <v>1764</v>
      </c>
      <c r="E15" s="157">
        <v>45404</v>
      </c>
      <c r="F15" s="156">
        <v>1</v>
      </c>
      <c r="G15" s="156">
        <v>1</v>
      </c>
      <c r="H15" s="156" t="s">
        <v>1617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 t="s">
        <v>1614</v>
      </c>
      <c r="O15" s="156" t="s">
        <v>1614</v>
      </c>
      <c r="P15" s="156" t="s">
        <v>1614</v>
      </c>
    </row>
    <row r="16" spans="2:49">
      <c r="B16" s="155" t="s">
        <v>1589</v>
      </c>
      <c r="C16" s="152">
        <v>15</v>
      </c>
      <c r="D16" s="156" t="s">
        <v>1765</v>
      </c>
      <c r="E16" s="157">
        <v>45404</v>
      </c>
      <c r="F16" s="156">
        <v>1</v>
      </c>
      <c r="G16" s="156">
        <v>1</v>
      </c>
      <c r="H16" s="156" t="s">
        <v>1617</v>
      </c>
      <c r="I16" s="156" t="s">
        <v>1614</v>
      </c>
      <c r="J16" s="156" t="s">
        <v>1614</v>
      </c>
      <c r="K16" s="156" t="s">
        <v>1614</v>
      </c>
      <c r="L16" s="156" t="s">
        <v>1614</v>
      </c>
      <c r="M16" s="156" t="s">
        <v>1614</v>
      </c>
      <c r="N16" s="156" t="s">
        <v>1614</v>
      </c>
      <c r="O16" s="156" t="s">
        <v>1614</v>
      </c>
      <c r="P16" s="156" t="s">
        <v>1614</v>
      </c>
    </row>
    <row r="17" spans="2:16">
      <c r="B17" s="155" t="s">
        <v>1591</v>
      </c>
      <c r="C17" s="152">
        <v>16</v>
      </c>
      <c r="D17" s="156" t="s">
        <v>1765</v>
      </c>
      <c r="E17" s="157">
        <v>45404</v>
      </c>
      <c r="F17" s="156">
        <v>1</v>
      </c>
      <c r="G17" s="156">
        <v>1</v>
      </c>
      <c r="H17" s="156" t="s">
        <v>1617</v>
      </c>
      <c r="I17" s="156" t="s">
        <v>1614</v>
      </c>
      <c r="J17" s="156" t="s">
        <v>1614</v>
      </c>
      <c r="K17" s="156" t="s">
        <v>1614</v>
      </c>
      <c r="L17" s="156" t="s">
        <v>1614</v>
      </c>
      <c r="M17" s="156" t="s">
        <v>1614</v>
      </c>
      <c r="N17" s="156" t="s">
        <v>1614</v>
      </c>
      <c r="O17" s="156" t="s">
        <v>1614</v>
      </c>
      <c r="P17" s="156" t="s">
        <v>1614</v>
      </c>
    </row>
    <row r="18" spans="2:16">
      <c r="B18" s="155" t="s">
        <v>1597</v>
      </c>
      <c r="C18" s="152">
        <v>19</v>
      </c>
      <c r="D18" s="156" t="s">
        <v>1766</v>
      </c>
      <c r="E18" s="157">
        <v>45404</v>
      </c>
      <c r="F18" s="156">
        <v>1</v>
      </c>
      <c r="G18" s="179" cm="1">
        <f t="array" aca="1" ref="G18" ca="1">SUMPRODUCT(--(ISNUMBER((SEARCH(I25:P25,I18:P18)))))/COUNTA(I18:P18)</f>
        <v>1</v>
      </c>
      <c r="H18" s="156" t="s">
        <v>1617</v>
      </c>
      <c r="I18" s="156" t="s">
        <v>1654</v>
      </c>
      <c r="J18" s="156" t="s">
        <v>1654</v>
      </c>
      <c r="K18" s="156" t="s">
        <v>1654</v>
      </c>
      <c r="L18" s="156" t="s">
        <v>1654</v>
      </c>
      <c r="M18" s="156" t="s">
        <v>1654</v>
      </c>
      <c r="N18" s="156" t="s">
        <v>1654</v>
      </c>
      <c r="O18" s="156" t="s">
        <v>1654</v>
      </c>
      <c r="P18" s="156" t="s">
        <v>1655</v>
      </c>
    </row>
    <row r="19" spans="2:16">
      <c r="B19" s="178" t="s">
        <v>1600</v>
      </c>
      <c r="C19" s="179">
        <v>20</v>
      </c>
      <c r="D19" s="156" t="s">
        <v>1766</v>
      </c>
      <c r="E19" s="157">
        <v>45404</v>
      </c>
      <c r="F19" s="156">
        <v>1</v>
      </c>
      <c r="G19" s="111" cm="1">
        <f t="array" ref="G19">SUM(IF(I2:P2 = I24:P24, 1, 0))/ COUNTA(I2:P2)</f>
        <v>1</v>
      </c>
      <c r="H19" s="156" t="s">
        <v>1617</v>
      </c>
      <c r="I19" s="156"/>
      <c r="J19" s="156"/>
      <c r="K19" s="156"/>
      <c r="L19" s="156"/>
      <c r="M19" s="156"/>
      <c r="N19" s="156"/>
      <c r="O19" s="156"/>
      <c r="P19" s="156"/>
    </row>
    <row r="20" spans="2:16">
      <c r="B20" s="160" t="s">
        <v>1603</v>
      </c>
      <c r="C20" s="153">
        <v>21</v>
      </c>
      <c r="D20" s="156" t="s">
        <v>1766</v>
      </c>
      <c r="E20" s="157">
        <v>45404</v>
      </c>
      <c r="F20" s="156">
        <v>1</v>
      </c>
      <c r="G20" s="111" cm="1">
        <f t="array" aca="1" ref="G20" ca="1">SUM(IF(IF(G3:G19="null",1,G3:G19)=1,1,0))/COUNT(IF(G3:G19="null",1,1))</f>
        <v>0.94117647058823528</v>
      </c>
      <c r="H20" s="156"/>
      <c r="I20" s="156"/>
      <c r="J20" s="156"/>
      <c r="K20" s="156"/>
      <c r="L20" s="156"/>
      <c r="M20" s="156"/>
      <c r="N20" s="156"/>
      <c r="O20" s="156"/>
      <c r="P20" s="156"/>
    </row>
    <row r="21" spans="2:16">
      <c r="B21" s="224"/>
      <c r="C21" s="152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</row>
    <row r="23" spans="2:16">
      <c r="B23" s="164" t="s">
        <v>1656</v>
      </c>
    </row>
    <row r="24" spans="2:16">
      <c r="B24" s="168" t="s">
        <v>1558</v>
      </c>
      <c r="C24" s="169" t="s">
        <v>1607</v>
      </c>
      <c r="D24" s="169" t="s">
        <v>1608</v>
      </c>
      <c r="E24" s="169" t="s">
        <v>1609</v>
      </c>
      <c r="F24" s="169" t="s">
        <v>1610</v>
      </c>
      <c r="G24" s="169" t="s">
        <v>1611</v>
      </c>
      <c r="H24" s="169" t="s">
        <v>1612</v>
      </c>
      <c r="I24" s="170" t="str" cm="1">
        <f t="array" ref="I24:P24">TRANSPOSE(_xlfn.SORTBY(_xlfn._xlws.FILTER(Table2[NOME FÍSICO CAMPO],Table2[NOME FÍSICO TABELA]="financial_collateral"),_xlfn._xlws.FILTER(Table2[ORDEM],Table2[NOME FÍSICO TABELA]= "financial_collateral"), 1))</f>
        <v>collateral_bank_id</v>
      </c>
      <c r="J24" s="170" t="str">
        <v>collateral_branch_code</v>
      </c>
      <c r="K24" s="170" t="str">
        <v>collateral_contract_id</v>
      </c>
      <c r="L24" s="170" t="str">
        <v>collateral_reference_code</v>
      </c>
      <c r="M24" s="170" t="str">
        <v>collateral_code</v>
      </c>
      <c r="N24" s="170" t="str">
        <v>collateral_holder</v>
      </c>
      <c r="O24" s="170" t="str">
        <v>data_date_part</v>
      </c>
      <c r="P24" s="171" t="str">
        <v>data_timestamp_part</v>
      </c>
    </row>
    <row r="25" spans="2:16">
      <c r="B25" s="172" t="s">
        <v>1657</v>
      </c>
      <c r="C25" s="173">
        <v>19</v>
      </c>
      <c r="D25" s="174" t="s">
        <v>1658</v>
      </c>
      <c r="E25" s="175" t="s">
        <v>1659</v>
      </c>
      <c r="F25" s="175" t="s">
        <v>1660</v>
      </c>
      <c r="G25" s="175" t="s">
        <v>1660</v>
      </c>
      <c r="H25" s="175" t="s">
        <v>1660</v>
      </c>
      <c r="I25" s="175" t="str" cm="1">
        <f t="array" aca="1" ref="I25:P26" ca="1">TRANSPOSE(_xlfn.SORTBY(_xlfn._xlws.FILTER(IF(Table2[FORMATO]:Table2[COMP_ CAMPO]&lt;&gt;"",Table2[FORMATO]:Table2[COMP_ CAMPO],9999999),Table2[NOME FÍSICO TABELA]="financial_collateral"), _xlfn._xlws.FILTER(Table2[ORDEM], Table2[NOME FÍSICO TABELA]="financial_collateral"), 1))</f>
        <v>STRING</v>
      </c>
      <c r="J25" s="175" t="str">
        <f ca="1"/>
        <v>STRING</v>
      </c>
      <c r="K25" s="175" t="str">
        <f ca="1"/>
        <v>STRING</v>
      </c>
      <c r="L25" s="175" t="str">
        <f ca="1"/>
        <v>STRING</v>
      </c>
      <c r="M25" s="175" t="str">
        <f ca="1"/>
        <v>STRING</v>
      </c>
      <c r="N25" s="175" t="str">
        <f ca="1"/>
        <v>STRING</v>
      </c>
      <c r="O25" s="175" t="str">
        <f ca="1"/>
        <v>STRING</v>
      </c>
      <c r="P25" s="176" t="str">
        <f ca="1"/>
        <v>TIMESTAMP</v>
      </c>
    </row>
    <row r="26" spans="2:16">
      <c r="B26" s="165" t="s">
        <v>1661</v>
      </c>
      <c r="C26" s="126">
        <v>7</v>
      </c>
      <c r="D26" s="166" t="s">
        <v>1658</v>
      </c>
      <c r="E26" s="125" t="s">
        <v>1659</v>
      </c>
      <c r="F26" s="125" t="s">
        <v>1660</v>
      </c>
      <c r="G26" s="125" t="s">
        <v>1660</v>
      </c>
      <c r="H26" s="125" t="s">
        <v>1660</v>
      </c>
      <c r="I26" s="126">
        <f ca="1"/>
        <v>2</v>
      </c>
      <c r="J26" s="126">
        <f ca="1"/>
        <v>20</v>
      </c>
      <c r="K26" s="126">
        <f ca="1"/>
        <v>30</v>
      </c>
      <c r="L26" s="125">
        <f ca="1"/>
        <v>20</v>
      </c>
      <c r="M26" s="125">
        <f ca="1"/>
        <v>20</v>
      </c>
      <c r="N26" s="125">
        <f ca="1"/>
        <v>20</v>
      </c>
      <c r="O26" s="125">
        <f ca="1"/>
        <v>10</v>
      </c>
      <c r="P26" s="167">
        <f ca="1"/>
        <v>23</v>
      </c>
    </row>
    <row r="28" spans="2:16">
      <c r="B28" s="177" t="s">
        <v>1662</v>
      </c>
    </row>
    <row r="29" spans="2:16">
      <c r="B29" s="168" t="s">
        <v>1663</v>
      </c>
      <c r="C29" s="169" t="s">
        <v>1664</v>
      </c>
      <c r="D29" s="210" t="s">
        <v>1665</v>
      </c>
      <c r="E29" s="169" t="s">
        <v>1666</v>
      </c>
      <c r="F29" s="210" t="s">
        <v>1667</v>
      </c>
    </row>
    <row r="30" spans="2:16" ht="60.75">
      <c r="B30" s="76" t="s">
        <v>1668</v>
      </c>
      <c r="C30" s="240" t="s">
        <v>1029</v>
      </c>
      <c r="D30" s="209" t="s">
        <v>1767</v>
      </c>
      <c r="E30" s="209" t="s">
        <v>1768</v>
      </c>
      <c r="F30" s="209" t="s">
        <v>1671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9B0F-64AF-4A7F-AB49-8243EB64ACE3}">
  <sheetPr>
    <tabColor rgb="FF00B050"/>
  </sheetPr>
  <dimension ref="B1:AW34"/>
  <sheetViews>
    <sheetView showGridLines="0" topLeftCell="A15" workbookViewId="0">
      <selection activeCell="D21" sqref="D21:E21"/>
    </sheetView>
  </sheetViews>
  <sheetFormatPr defaultRowHeight="15"/>
  <cols>
    <col min="2" max="2" width="30.7109375" bestFit="1" customWidth="1"/>
    <col min="3" max="3" width="32.7109375" bestFit="1" customWidth="1"/>
    <col min="4" max="4" width="38.28515625" customWidth="1"/>
    <col min="5" max="5" width="30.42578125" bestFit="1" customWidth="1"/>
    <col min="6" max="6" width="25.28515625" customWidth="1"/>
    <col min="7" max="7" width="12.5703125" bestFit="1" customWidth="1"/>
    <col min="8" max="8" width="17.7109375" bestFit="1" customWidth="1"/>
    <col min="9" max="9" width="20.85546875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22.7109375" customWidth="1"/>
    <col min="14" max="14" width="30" bestFit="1" customWidth="1"/>
    <col min="15" max="17" width="30.7109375" bestFit="1" customWidth="1"/>
    <col min="18" max="19" width="30.7109375" customWidth="1"/>
    <col min="20" max="20" width="30.7109375" bestFit="1" customWidth="1"/>
    <col min="21" max="21" width="31.28515625" customWidth="1"/>
    <col min="22" max="22" width="26.85546875" bestFit="1" customWidth="1"/>
    <col min="23" max="23" width="30.7109375" bestFit="1" customWidth="1"/>
    <col min="24" max="24" width="43.28515625" customWidth="1"/>
    <col min="25" max="28" width="30.7109375" bestFit="1" customWidth="1"/>
    <col min="29" max="29" width="24.5703125" bestFit="1" customWidth="1"/>
    <col min="30" max="30" width="30.7109375" bestFit="1" customWidth="1"/>
  </cols>
  <sheetData>
    <row r="1" spans="2:49" ht="27.75" customHeight="1"/>
    <row r="2" spans="2:49">
      <c r="B2" s="110" t="s">
        <v>1606</v>
      </c>
      <c r="C2" s="110" t="s">
        <v>1607</v>
      </c>
      <c r="D2" s="187" t="s">
        <v>1608</v>
      </c>
      <c r="E2" s="187" t="s">
        <v>1609</v>
      </c>
      <c r="F2" s="187" t="s">
        <v>1610</v>
      </c>
      <c r="G2" s="187" t="s">
        <v>1611</v>
      </c>
      <c r="H2" s="187" t="s">
        <v>1612</v>
      </c>
      <c r="I2" s="117" t="s">
        <v>851</v>
      </c>
      <c r="J2" s="117" t="s">
        <v>858</v>
      </c>
      <c r="K2" s="117" t="s">
        <v>864</v>
      </c>
      <c r="L2" s="117" t="s">
        <v>870</v>
      </c>
      <c r="M2" s="182" t="s">
        <v>1284</v>
      </c>
      <c r="N2" s="117" t="s">
        <v>828</v>
      </c>
      <c r="O2" s="117" t="s">
        <v>833</v>
      </c>
      <c r="P2" s="117" t="s">
        <v>839</v>
      </c>
      <c r="Q2" s="117" t="s">
        <v>845</v>
      </c>
      <c r="R2" s="117" t="s">
        <v>1296</v>
      </c>
      <c r="S2" s="117" t="s">
        <v>1303</v>
      </c>
      <c r="T2" s="117" t="s">
        <v>1308</v>
      </c>
      <c r="U2" s="117" t="s">
        <v>1216</v>
      </c>
      <c r="V2" s="117" t="s">
        <v>1320</v>
      </c>
      <c r="W2" s="117" t="s">
        <v>1327</v>
      </c>
      <c r="X2" s="117" t="s">
        <v>1334</v>
      </c>
      <c r="Y2" s="117" t="s">
        <v>1340</v>
      </c>
      <c r="Z2" s="117" t="s">
        <v>1347</v>
      </c>
      <c r="AA2" s="117" t="s">
        <v>1354</v>
      </c>
      <c r="AB2" s="117" t="s">
        <v>1005</v>
      </c>
      <c r="AC2" s="117" t="s">
        <v>783</v>
      </c>
      <c r="AD2" s="117" t="s">
        <v>790</v>
      </c>
    </row>
    <row r="3" spans="2:49">
      <c r="B3" s="188" t="s">
        <v>1560</v>
      </c>
      <c r="C3" s="189">
        <v>1</v>
      </c>
      <c r="D3" s="111" t="s">
        <v>1769</v>
      </c>
      <c r="E3" s="112">
        <v>45404</v>
      </c>
      <c r="F3" s="111">
        <v>1</v>
      </c>
      <c r="G3" s="111">
        <v>1</v>
      </c>
      <c r="H3" s="111" t="s">
        <v>1770</v>
      </c>
      <c r="I3" s="111" t="s">
        <v>1614</v>
      </c>
      <c r="J3" s="111" t="s">
        <v>1614</v>
      </c>
      <c r="K3" s="111" t="s">
        <v>1614</v>
      </c>
      <c r="L3" s="111" t="s">
        <v>1614</v>
      </c>
      <c r="M3" s="111" t="s">
        <v>1614</v>
      </c>
      <c r="N3" s="111" t="s">
        <v>1614</v>
      </c>
      <c r="O3" s="111" t="s">
        <v>1614</v>
      </c>
      <c r="P3" s="111" t="s">
        <v>1614</v>
      </c>
      <c r="Q3" s="111" t="s">
        <v>1614</v>
      </c>
      <c r="R3" s="111" t="s">
        <v>1614</v>
      </c>
      <c r="S3" s="111" t="s">
        <v>1614</v>
      </c>
      <c r="T3" s="111" t="s">
        <v>1614</v>
      </c>
      <c r="U3" s="111" t="s">
        <v>1614</v>
      </c>
      <c r="V3" s="111" t="s">
        <v>1614</v>
      </c>
      <c r="W3" s="111" t="s">
        <v>1614</v>
      </c>
      <c r="X3" s="111" t="s">
        <v>1614</v>
      </c>
      <c r="Y3" s="111" t="s">
        <v>1614</v>
      </c>
      <c r="Z3" s="111" t="s">
        <v>1614</v>
      </c>
      <c r="AA3" s="111" t="s">
        <v>1614</v>
      </c>
      <c r="AB3" s="111" t="s">
        <v>1614</v>
      </c>
      <c r="AC3" s="111" t="s">
        <v>1614</v>
      </c>
      <c r="AD3" s="111" t="s">
        <v>1614</v>
      </c>
    </row>
    <row r="4" spans="2:49">
      <c r="B4" s="188" t="s">
        <v>1562</v>
      </c>
      <c r="C4" s="189">
        <v>2</v>
      </c>
      <c r="D4" s="111" t="s">
        <v>1771</v>
      </c>
      <c r="E4" s="112">
        <v>45404</v>
      </c>
      <c r="F4" s="111">
        <v>1</v>
      </c>
      <c r="G4" s="111">
        <v>0.86</v>
      </c>
      <c r="H4" s="111" t="s">
        <v>1772</v>
      </c>
      <c r="I4" s="111" t="s">
        <v>1614</v>
      </c>
      <c r="J4" s="111" t="s">
        <v>1614</v>
      </c>
      <c r="K4" s="111" t="s">
        <v>1614</v>
      </c>
      <c r="L4" s="111" t="s">
        <v>1614</v>
      </c>
      <c r="M4" s="111" t="s">
        <v>1614</v>
      </c>
      <c r="N4" s="111" t="s">
        <v>1614</v>
      </c>
      <c r="O4" s="111" t="s">
        <v>1614</v>
      </c>
      <c r="P4" s="111" t="s">
        <v>1614</v>
      </c>
      <c r="Q4" s="111" t="s">
        <v>1614</v>
      </c>
      <c r="R4" s="111" t="s">
        <v>1614</v>
      </c>
      <c r="S4" s="111" t="s">
        <v>1614</v>
      </c>
      <c r="T4" s="111" t="s">
        <v>1614</v>
      </c>
      <c r="U4" s="111" t="s">
        <v>1614</v>
      </c>
      <c r="V4" s="111" t="s">
        <v>1614</v>
      </c>
      <c r="W4" s="111" t="s">
        <v>1614</v>
      </c>
      <c r="X4" s="111" t="s">
        <v>1614</v>
      </c>
      <c r="Y4" s="111" t="s">
        <v>1614</v>
      </c>
      <c r="Z4" s="111" t="s">
        <v>1614</v>
      </c>
      <c r="AA4" s="111" t="s">
        <v>1614</v>
      </c>
      <c r="AB4" s="111" t="s">
        <v>1614</v>
      </c>
      <c r="AC4" s="111" t="s">
        <v>1614</v>
      </c>
      <c r="AD4" s="111" t="s">
        <v>1614</v>
      </c>
    </row>
    <row r="5" spans="2:49">
      <c r="B5" s="188" t="s">
        <v>1564</v>
      </c>
      <c r="C5" s="189">
        <v>3</v>
      </c>
      <c r="D5" s="111" t="s">
        <v>1773</v>
      </c>
      <c r="E5" s="112">
        <v>45404</v>
      </c>
      <c r="F5" s="111">
        <v>1</v>
      </c>
      <c r="G5" s="111">
        <v>1</v>
      </c>
      <c r="H5" s="111" t="s">
        <v>1617</v>
      </c>
      <c r="I5" s="111">
        <v>0</v>
      </c>
      <c r="J5" s="111">
        <v>0</v>
      </c>
      <c r="K5" s="111">
        <v>0</v>
      </c>
      <c r="L5" s="111" t="s">
        <v>1614</v>
      </c>
      <c r="M5" s="111" t="s">
        <v>1614</v>
      </c>
      <c r="N5" s="111" t="s">
        <v>1614</v>
      </c>
      <c r="O5" s="111" t="s">
        <v>1614</v>
      </c>
      <c r="P5" s="111" t="s">
        <v>1614</v>
      </c>
      <c r="Q5" s="111" t="s">
        <v>1614</v>
      </c>
      <c r="R5" s="111" t="s">
        <v>1614</v>
      </c>
      <c r="S5" s="111" t="s">
        <v>1614</v>
      </c>
      <c r="T5" s="111" t="s">
        <v>1614</v>
      </c>
      <c r="U5" s="111" t="s">
        <v>1614</v>
      </c>
      <c r="V5" s="111" t="s">
        <v>1614</v>
      </c>
      <c r="W5" s="111" t="s">
        <v>1614</v>
      </c>
      <c r="X5" s="111" t="s">
        <v>1614</v>
      </c>
      <c r="Y5" s="111" t="s">
        <v>1614</v>
      </c>
      <c r="Z5" s="111" t="s">
        <v>1614</v>
      </c>
      <c r="AA5" s="111" t="s">
        <v>1614</v>
      </c>
      <c r="AB5" s="111" t="s">
        <v>1614</v>
      </c>
      <c r="AC5" s="111" t="s">
        <v>1614</v>
      </c>
      <c r="AD5" s="111" t="s">
        <v>1614</v>
      </c>
    </row>
    <row r="6" spans="2:49">
      <c r="B6" s="188" t="s">
        <v>1566</v>
      </c>
      <c r="C6" s="189">
        <v>4</v>
      </c>
      <c r="D6" s="111" t="s">
        <v>1773</v>
      </c>
      <c r="E6" s="112">
        <v>45404</v>
      </c>
      <c r="F6" s="111">
        <v>1</v>
      </c>
      <c r="G6" s="113" t="s">
        <v>1614</v>
      </c>
      <c r="H6" s="111" t="s">
        <v>1617</v>
      </c>
      <c r="I6" s="113" t="s">
        <v>1614</v>
      </c>
      <c r="J6" s="113" t="s">
        <v>1614</v>
      </c>
      <c r="K6" s="113" t="s">
        <v>1614</v>
      </c>
      <c r="L6" s="113" t="s">
        <v>1614</v>
      </c>
      <c r="M6" s="113" t="s">
        <v>1614</v>
      </c>
      <c r="N6" s="113" t="s">
        <v>1614</v>
      </c>
      <c r="O6" s="113" t="s">
        <v>1614</v>
      </c>
      <c r="P6" s="113" t="s">
        <v>1614</v>
      </c>
      <c r="Q6" s="113" t="s">
        <v>1614</v>
      </c>
      <c r="R6" s="113" t="s">
        <v>1614</v>
      </c>
      <c r="S6" s="113" t="s">
        <v>1614</v>
      </c>
      <c r="T6" s="113" t="s">
        <v>1614</v>
      </c>
      <c r="U6" s="113" t="s">
        <v>1614</v>
      </c>
      <c r="V6" s="113" t="s">
        <v>1614</v>
      </c>
      <c r="W6" s="113" t="s">
        <v>1614</v>
      </c>
      <c r="X6" s="113" t="s">
        <v>1614</v>
      </c>
      <c r="Y6" s="113" t="s">
        <v>1614</v>
      </c>
      <c r="Z6" s="113" t="s">
        <v>1614</v>
      </c>
      <c r="AA6" s="113" t="s">
        <v>1614</v>
      </c>
      <c r="AB6" s="113" t="s">
        <v>1614</v>
      </c>
      <c r="AC6" s="113" t="s">
        <v>1614</v>
      </c>
      <c r="AD6" s="113" t="s">
        <v>1614</v>
      </c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1568</v>
      </c>
      <c r="C7" s="189">
        <v>5</v>
      </c>
      <c r="D7" s="111" t="s">
        <v>1773</v>
      </c>
      <c r="E7" s="112">
        <v>45404</v>
      </c>
      <c r="F7" s="111">
        <v>1</v>
      </c>
      <c r="G7" s="113" t="s">
        <v>1614</v>
      </c>
      <c r="H7" s="111" t="s">
        <v>1617</v>
      </c>
      <c r="I7" s="113" t="s">
        <v>1614</v>
      </c>
      <c r="J7" s="113" t="s">
        <v>1614</v>
      </c>
      <c r="K7" s="113" t="s">
        <v>1614</v>
      </c>
      <c r="L7" s="113" t="s">
        <v>1614</v>
      </c>
      <c r="M7" s="113" t="s">
        <v>1614</v>
      </c>
      <c r="N7" s="113" t="s">
        <v>1614</v>
      </c>
      <c r="O7" s="113" t="s">
        <v>1614</v>
      </c>
      <c r="P7" s="113" t="s">
        <v>1614</v>
      </c>
      <c r="Q7" s="113" t="s">
        <v>1614</v>
      </c>
      <c r="R7" s="113" t="s">
        <v>1614</v>
      </c>
      <c r="S7" s="113" t="s">
        <v>1614</v>
      </c>
      <c r="T7" s="113" t="s">
        <v>1614</v>
      </c>
      <c r="U7" s="113" t="s">
        <v>1614</v>
      </c>
      <c r="V7" s="113" t="s">
        <v>1614</v>
      </c>
      <c r="W7" s="113" t="s">
        <v>1614</v>
      </c>
      <c r="X7" s="113" t="s">
        <v>1614</v>
      </c>
      <c r="Y7" s="113" t="s">
        <v>1614</v>
      </c>
      <c r="Z7" s="113" t="s">
        <v>1614</v>
      </c>
      <c r="AA7" s="113" t="s">
        <v>1614</v>
      </c>
      <c r="AB7" s="113" t="s">
        <v>1614</v>
      </c>
      <c r="AC7" s="113" t="s">
        <v>1614</v>
      </c>
      <c r="AD7" s="113" t="s">
        <v>1614</v>
      </c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90" t="s">
        <v>1569</v>
      </c>
      <c r="C8" s="189">
        <v>6</v>
      </c>
      <c r="D8" s="111" t="s">
        <v>1774</v>
      </c>
      <c r="E8" s="112">
        <v>45404</v>
      </c>
      <c r="F8" s="111">
        <v>1</v>
      </c>
      <c r="G8" s="111" cm="1">
        <f t="array" ref="G8">SUMPRODUCT(--(I8:AD8&gt;0))/COUNTA(I8:AD8)</f>
        <v>1</v>
      </c>
      <c r="H8" s="111" t="s">
        <v>1617</v>
      </c>
      <c r="I8" s="111">
        <v>2</v>
      </c>
      <c r="J8" s="111">
        <v>4</v>
      </c>
      <c r="K8" s="111">
        <v>30</v>
      </c>
      <c r="L8" s="111">
        <v>15</v>
      </c>
      <c r="M8" s="111">
        <v>10</v>
      </c>
      <c r="N8" s="111">
        <v>2</v>
      </c>
      <c r="O8" s="111">
        <v>4</v>
      </c>
      <c r="P8" s="111">
        <v>11</v>
      </c>
      <c r="Q8" s="111">
        <v>15</v>
      </c>
      <c r="R8" s="111">
        <v>2</v>
      </c>
      <c r="S8" s="111">
        <v>4</v>
      </c>
      <c r="T8" s="111">
        <v>4</v>
      </c>
      <c r="U8" s="111">
        <v>4</v>
      </c>
      <c r="V8" s="113">
        <v>3</v>
      </c>
      <c r="W8" s="113">
        <v>1</v>
      </c>
      <c r="X8" s="111">
        <v>4</v>
      </c>
      <c r="Y8" s="111">
        <v>1</v>
      </c>
      <c r="Z8" s="111">
        <v>4</v>
      </c>
      <c r="AA8" s="111">
        <v>4</v>
      </c>
      <c r="AB8" s="111">
        <v>2</v>
      </c>
      <c r="AC8" s="111">
        <v>10</v>
      </c>
      <c r="AD8" s="111">
        <v>23</v>
      </c>
    </row>
    <row r="9" spans="2:49">
      <c r="B9" s="188" t="s">
        <v>1572</v>
      </c>
      <c r="C9" s="189">
        <v>7</v>
      </c>
      <c r="D9" s="111" t="s">
        <v>1775</v>
      </c>
      <c r="E9" s="112">
        <v>45404</v>
      </c>
      <c r="F9" s="111">
        <v>1</v>
      </c>
      <c r="G9" s="111" cm="1">
        <f t="array" aca="1" ref="G9" ca="1">SUMPRODUCT(--(I9:AD9&lt;=I26:AD26))/COUNTA(I26:AD26)</f>
        <v>1</v>
      </c>
      <c r="H9" s="111" t="s">
        <v>1617</v>
      </c>
      <c r="I9" s="111">
        <v>2</v>
      </c>
      <c r="J9" s="111">
        <v>4</v>
      </c>
      <c r="K9" s="111">
        <v>30</v>
      </c>
      <c r="L9" s="111">
        <v>15</v>
      </c>
      <c r="M9" s="111">
        <v>10</v>
      </c>
      <c r="N9" s="111">
        <v>2</v>
      </c>
      <c r="O9" s="111">
        <v>4</v>
      </c>
      <c r="P9" s="111">
        <v>11</v>
      </c>
      <c r="Q9" s="111">
        <v>15</v>
      </c>
      <c r="R9" s="111">
        <v>4</v>
      </c>
      <c r="S9" s="111">
        <v>13</v>
      </c>
      <c r="T9" s="111">
        <v>13</v>
      </c>
      <c r="U9" s="111">
        <v>4</v>
      </c>
      <c r="V9" s="111">
        <v>3</v>
      </c>
      <c r="W9" s="111">
        <v>4</v>
      </c>
      <c r="X9" s="111">
        <v>8</v>
      </c>
      <c r="Y9" s="111">
        <v>4</v>
      </c>
      <c r="Z9" s="111">
        <v>4</v>
      </c>
      <c r="AA9" s="111">
        <v>4</v>
      </c>
      <c r="AB9" s="111">
        <v>2</v>
      </c>
      <c r="AC9" s="111">
        <v>10</v>
      </c>
      <c r="AD9" s="111">
        <v>23</v>
      </c>
    </row>
    <row r="10" spans="2:49">
      <c r="B10" s="188" t="s">
        <v>1575</v>
      </c>
      <c r="C10" s="189">
        <v>8</v>
      </c>
      <c r="D10" s="111" t="s">
        <v>1776</v>
      </c>
      <c r="E10" s="112">
        <v>45404</v>
      </c>
      <c r="F10" s="111">
        <v>1</v>
      </c>
      <c r="G10" s="111" t="s">
        <v>1614</v>
      </c>
      <c r="H10" s="111" t="s">
        <v>1617</v>
      </c>
      <c r="I10" s="111">
        <v>31</v>
      </c>
      <c r="J10" s="111">
        <v>0</v>
      </c>
      <c r="K10" s="111">
        <v>5.6000099999999997E+20</v>
      </c>
      <c r="L10" s="111">
        <v>0</v>
      </c>
      <c r="M10" s="111" t="s">
        <v>1621</v>
      </c>
      <c r="N10" s="111">
        <v>31</v>
      </c>
      <c r="O10" s="111">
        <v>0</v>
      </c>
      <c r="P10" s="111">
        <v>0</v>
      </c>
      <c r="Q10" s="111">
        <v>1</v>
      </c>
      <c r="R10" s="111" t="e">
        <v>#N/A</v>
      </c>
      <c r="S10" s="111" t="s">
        <v>1617</v>
      </c>
      <c r="T10" s="111" t="e">
        <v>#N/A</v>
      </c>
      <c r="U10" s="111" t="e">
        <v>#N/A</v>
      </c>
      <c r="V10" s="113" t="s">
        <v>1777</v>
      </c>
      <c r="W10" s="111" t="e">
        <v>#N/A</v>
      </c>
      <c r="X10" s="111" t="e">
        <v>#N/A</v>
      </c>
      <c r="Y10" s="111" t="e">
        <v>#N/A</v>
      </c>
      <c r="Z10" s="111" t="e">
        <v>#N/A</v>
      </c>
      <c r="AA10" s="111" t="e">
        <v>#N/A</v>
      </c>
      <c r="AB10" s="111" t="s">
        <v>1778</v>
      </c>
      <c r="AC10" s="112">
        <v>45404</v>
      </c>
      <c r="AD10" s="111" t="s">
        <v>1779</v>
      </c>
    </row>
    <row r="11" spans="2:49">
      <c r="B11" s="188" t="s">
        <v>1577</v>
      </c>
      <c r="C11" s="189">
        <v>9</v>
      </c>
      <c r="D11" s="111" t="s">
        <v>1780</v>
      </c>
      <c r="E11" s="112">
        <v>45404</v>
      </c>
      <c r="F11" s="111">
        <v>1</v>
      </c>
      <c r="G11" s="111" t="s">
        <v>1614</v>
      </c>
      <c r="H11" s="111" t="s">
        <v>1617</v>
      </c>
      <c r="I11" s="111">
        <v>31</v>
      </c>
      <c r="J11" s="111">
        <v>0</v>
      </c>
      <c r="K11" s="111">
        <v>5.6000099999999997E+20</v>
      </c>
      <c r="L11" s="111">
        <v>0</v>
      </c>
      <c r="M11" s="111" t="s">
        <v>1621</v>
      </c>
      <c r="N11" s="111">
        <v>31</v>
      </c>
      <c r="O11" s="111">
        <v>0</v>
      </c>
      <c r="P11" s="111">
        <v>0</v>
      </c>
      <c r="Q11" s="111">
        <v>1</v>
      </c>
      <c r="R11" s="111" t="e">
        <v>#N/A</v>
      </c>
      <c r="S11" s="111" t="s">
        <v>1617</v>
      </c>
      <c r="T11" s="111" t="e">
        <v>#N/A</v>
      </c>
      <c r="U11" s="111" t="e">
        <v>#N/A</v>
      </c>
      <c r="V11" s="111" t="s">
        <v>1777</v>
      </c>
      <c r="W11" s="111" t="e">
        <v>#N/A</v>
      </c>
      <c r="X11" s="111" t="e">
        <v>#N/A</v>
      </c>
      <c r="Y11" s="111" t="e">
        <v>#N/A</v>
      </c>
      <c r="Z11" s="111" t="e">
        <v>#N/A</v>
      </c>
      <c r="AA11" s="111" t="e">
        <v>#N/A</v>
      </c>
      <c r="AB11" s="111" t="s">
        <v>1630</v>
      </c>
      <c r="AC11" s="112">
        <v>45404</v>
      </c>
      <c r="AD11" s="111" t="s">
        <v>1781</v>
      </c>
    </row>
    <row r="12" spans="2:49">
      <c r="B12" s="190" t="s">
        <v>1579</v>
      </c>
      <c r="C12" s="189">
        <v>10</v>
      </c>
      <c r="D12" s="111" t="s">
        <v>1782</v>
      </c>
      <c r="E12" s="112">
        <v>45404</v>
      </c>
      <c r="F12" s="111">
        <v>1</v>
      </c>
      <c r="G12" s="111" t="s">
        <v>1614</v>
      </c>
      <c r="H12" s="111" t="s">
        <v>1617</v>
      </c>
      <c r="I12" s="111">
        <v>89</v>
      </c>
      <c r="J12" s="111">
        <v>5390</v>
      </c>
      <c r="K12" s="111">
        <v>5.3900000035908002E+29</v>
      </c>
      <c r="L12" s="111">
        <v>500001</v>
      </c>
      <c r="M12" s="112">
        <v>45404</v>
      </c>
      <c r="N12" s="113">
        <v>89</v>
      </c>
      <c r="O12" s="111">
        <v>5390</v>
      </c>
      <c r="P12" s="111">
        <v>11753553541</v>
      </c>
      <c r="Q12" s="111">
        <v>690223538</v>
      </c>
      <c r="R12" s="111">
        <v>26</v>
      </c>
      <c r="S12" s="113" t="s">
        <v>1634</v>
      </c>
      <c r="T12" s="113" t="s">
        <v>1783</v>
      </c>
      <c r="U12" s="111">
        <v>9999</v>
      </c>
      <c r="V12" s="112" t="s">
        <v>1784</v>
      </c>
      <c r="W12" s="112" t="s">
        <v>1785</v>
      </c>
      <c r="X12" s="113" t="s">
        <v>1786</v>
      </c>
      <c r="Y12" s="113">
        <v>0</v>
      </c>
      <c r="Z12" s="113" t="s">
        <v>1787</v>
      </c>
      <c r="AA12" s="111" t="s">
        <v>1617</v>
      </c>
      <c r="AB12" s="113" t="s">
        <v>1788</v>
      </c>
      <c r="AC12" s="112">
        <v>45404</v>
      </c>
      <c r="AD12" s="113" t="s">
        <v>1779</v>
      </c>
    </row>
    <row r="13" spans="2:49">
      <c r="B13" s="188" t="s">
        <v>1581</v>
      </c>
      <c r="C13" s="189">
        <v>11</v>
      </c>
      <c r="D13" s="111" t="s">
        <v>1789</v>
      </c>
      <c r="E13" s="112">
        <v>45404</v>
      </c>
      <c r="F13" s="111">
        <v>1</v>
      </c>
      <c r="G13" s="111" t="s">
        <v>1614</v>
      </c>
      <c r="H13" s="111" t="s">
        <v>1617</v>
      </c>
      <c r="I13" s="111">
        <v>89</v>
      </c>
      <c r="J13" s="111">
        <v>5390</v>
      </c>
      <c r="K13" s="111">
        <v>5.3900000035908002E+29</v>
      </c>
      <c r="L13" s="111">
        <v>500001</v>
      </c>
      <c r="M13" s="112">
        <v>45404</v>
      </c>
      <c r="N13" s="111">
        <v>89</v>
      </c>
      <c r="O13" s="111">
        <v>5390</v>
      </c>
      <c r="P13" s="111">
        <v>11753553541</v>
      </c>
      <c r="Q13" s="111">
        <v>690223538</v>
      </c>
      <c r="R13" s="111">
        <v>26</v>
      </c>
      <c r="S13" s="111" t="s">
        <v>1790</v>
      </c>
      <c r="T13" s="112" t="s">
        <v>1783</v>
      </c>
      <c r="U13" s="111">
        <v>9999</v>
      </c>
      <c r="V13" s="112" t="s">
        <v>1784</v>
      </c>
      <c r="W13" s="112" t="s">
        <v>1785</v>
      </c>
      <c r="X13" s="111" t="s">
        <v>1786</v>
      </c>
      <c r="Y13" s="111">
        <v>0</v>
      </c>
      <c r="Z13" s="111" t="s">
        <v>1787</v>
      </c>
      <c r="AA13" s="111" t="s">
        <v>1617</v>
      </c>
      <c r="AB13" s="111" t="s">
        <v>576</v>
      </c>
      <c r="AC13" s="112">
        <v>45404</v>
      </c>
      <c r="AD13" s="111" t="s">
        <v>1791</v>
      </c>
    </row>
    <row r="14" spans="2:49">
      <c r="B14" s="188" t="s">
        <v>1583</v>
      </c>
      <c r="C14" s="189">
        <v>12</v>
      </c>
      <c r="D14" s="111" t="s">
        <v>1792</v>
      </c>
      <c r="E14" s="112">
        <v>45404</v>
      </c>
      <c r="F14" s="111">
        <v>1</v>
      </c>
      <c r="G14" s="111">
        <v>0.82</v>
      </c>
      <c r="H14" s="111" t="s">
        <v>1617</v>
      </c>
      <c r="I14" s="111">
        <v>0</v>
      </c>
      <c r="J14" s="111">
        <v>0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1325577</v>
      </c>
      <c r="S14" s="111">
        <v>0</v>
      </c>
      <c r="T14" s="111">
        <v>0</v>
      </c>
      <c r="U14" s="111">
        <v>9191</v>
      </c>
      <c r="V14" s="111">
        <v>0</v>
      </c>
      <c r="W14" s="111">
        <v>0</v>
      </c>
      <c r="X14" s="113">
        <v>1329821</v>
      </c>
      <c r="Y14" s="111">
        <v>1311430</v>
      </c>
      <c r="Z14" s="111">
        <v>0</v>
      </c>
      <c r="AA14" s="113">
        <v>0</v>
      </c>
      <c r="AB14" s="113">
        <v>0</v>
      </c>
      <c r="AC14" s="113">
        <v>0</v>
      </c>
      <c r="AD14" s="111">
        <v>0</v>
      </c>
    </row>
    <row r="15" spans="2:49">
      <c r="B15" s="188" t="s">
        <v>1585</v>
      </c>
      <c r="C15" s="189">
        <v>13</v>
      </c>
      <c r="D15" s="111" t="s">
        <v>1793</v>
      </c>
      <c r="E15" s="112">
        <v>45404</v>
      </c>
      <c r="F15" s="111">
        <v>1</v>
      </c>
      <c r="G15" s="111">
        <v>1</v>
      </c>
      <c r="H15" s="111" t="s">
        <v>1617</v>
      </c>
      <c r="I15" s="111" t="s">
        <v>1614</v>
      </c>
      <c r="J15" s="111" t="s">
        <v>1614</v>
      </c>
      <c r="K15" s="111" t="s">
        <v>1614</v>
      </c>
      <c r="L15" s="111" t="s">
        <v>1614</v>
      </c>
      <c r="M15" s="111">
        <v>0</v>
      </c>
      <c r="N15" s="111" t="s">
        <v>1614</v>
      </c>
      <c r="O15" s="112" t="s">
        <v>1614</v>
      </c>
      <c r="P15" s="112" t="s">
        <v>1614</v>
      </c>
      <c r="Q15" s="112" t="s">
        <v>1614</v>
      </c>
      <c r="R15" s="112" t="s">
        <v>1614</v>
      </c>
      <c r="S15" s="112" t="s">
        <v>1614</v>
      </c>
      <c r="T15" s="111" t="s">
        <v>1614</v>
      </c>
      <c r="U15" s="112" t="s">
        <v>1614</v>
      </c>
      <c r="V15" s="112" t="s">
        <v>1614</v>
      </c>
      <c r="W15" s="112" t="s">
        <v>1614</v>
      </c>
      <c r="X15" s="111" t="s">
        <v>1614</v>
      </c>
      <c r="Y15" s="111" t="s">
        <v>1614</v>
      </c>
      <c r="Z15" s="111" t="s">
        <v>1614</v>
      </c>
      <c r="AA15" s="111" t="s">
        <v>1614</v>
      </c>
      <c r="AB15" s="111" t="s">
        <v>1614</v>
      </c>
      <c r="AC15" s="111" t="s">
        <v>1614</v>
      </c>
      <c r="AD15" s="111" t="s">
        <v>1614</v>
      </c>
    </row>
    <row r="16" spans="2:49">
      <c r="B16" s="188" t="s">
        <v>1587</v>
      </c>
      <c r="C16" s="189">
        <v>14</v>
      </c>
      <c r="D16" s="111" t="s">
        <v>1794</v>
      </c>
      <c r="E16" s="112">
        <v>45404</v>
      </c>
      <c r="F16" s="111">
        <v>1</v>
      </c>
      <c r="G16" s="111">
        <v>1</v>
      </c>
      <c r="H16" s="111" t="s">
        <v>1617</v>
      </c>
      <c r="I16" s="111">
        <v>0</v>
      </c>
      <c r="J16" s="111">
        <v>0</v>
      </c>
      <c r="K16" s="111">
        <v>0</v>
      </c>
      <c r="L16" s="111">
        <v>0</v>
      </c>
      <c r="M16" s="111" t="s">
        <v>1614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 t="s">
        <v>1614</v>
      </c>
      <c r="T16" s="111" t="s">
        <v>1614</v>
      </c>
      <c r="U16" s="111">
        <v>0</v>
      </c>
      <c r="V16" s="111">
        <v>0</v>
      </c>
      <c r="W16" s="111">
        <v>0</v>
      </c>
      <c r="X16" s="111">
        <v>0</v>
      </c>
      <c r="Y16" s="111" t="s">
        <v>1614</v>
      </c>
      <c r="Z16" s="111" t="s">
        <v>1614</v>
      </c>
      <c r="AA16" s="111" t="s">
        <v>1614</v>
      </c>
      <c r="AB16" s="111">
        <v>0</v>
      </c>
      <c r="AC16" s="111" t="s">
        <v>1614</v>
      </c>
      <c r="AD16" s="111" t="s">
        <v>1614</v>
      </c>
    </row>
    <row r="17" spans="2:30">
      <c r="B17" s="188" t="s">
        <v>1589</v>
      </c>
      <c r="C17" s="189">
        <v>15</v>
      </c>
      <c r="D17" s="111" t="s">
        <v>1795</v>
      </c>
      <c r="E17" s="112">
        <v>45404</v>
      </c>
      <c r="F17" s="111">
        <v>1</v>
      </c>
      <c r="G17" s="111">
        <v>1</v>
      </c>
      <c r="H17" s="111" t="s">
        <v>1617</v>
      </c>
      <c r="I17" s="111" t="s">
        <v>1614</v>
      </c>
      <c r="J17" s="111" t="s">
        <v>1614</v>
      </c>
      <c r="K17" s="111" t="s">
        <v>1614</v>
      </c>
      <c r="L17" s="111" t="s">
        <v>1614</v>
      </c>
      <c r="M17" s="111" t="s">
        <v>1614</v>
      </c>
      <c r="N17" s="111" t="s">
        <v>1614</v>
      </c>
      <c r="O17" s="114" t="s">
        <v>1614</v>
      </c>
      <c r="P17" s="114" t="s">
        <v>1614</v>
      </c>
      <c r="Q17" s="114" t="s">
        <v>1614</v>
      </c>
      <c r="R17" s="114" t="s">
        <v>1614</v>
      </c>
      <c r="S17" s="114" t="s">
        <v>1614</v>
      </c>
      <c r="T17" s="114" t="s">
        <v>1614</v>
      </c>
      <c r="U17" s="114" t="s">
        <v>1614</v>
      </c>
      <c r="V17" s="111" t="s">
        <v>1614</v>
      </c>
      <c r="W17" s="114" t="s">
        <v>1614</v>
      </c>
      <c r="X17" s="111" t="s">
        <v>1614</v>
      </c>
      <c r="Y17" s="111" t="s">
        <v>1614</v>
      </c>
      <c r="Z17" s="111" t="s">
        <v>1614</v>
      </c>
      <c r="AA17" s="111" t="s">
        <v>1614</v>
      </c>
      <c r="AB17" s="111" t="s">
        <v>1614</v>
      </c>
      <c r="AC17" s="111" t="s">
        <v>1614</v>
      </c>
      <c r="AD17" s="111" t="s">
        <v>1614</v>
      </c>
    </row>
    <row r="18" spans="2:30">
      <c r="B18" s="188" t="s">
        <v>1591</v>
      </c>
      <c r="C18" s="189">
        <v>16</v>
      </c>
      <c r="D18" s="111" t="s">
        <v>1795</v>
      </c>
      <c r="E18" s="112">
        <v>45404</v>
      </c>
      <c r="F18" s="111">
        <v>1</v>
      </c>
      <c r="G18" s="111">
        <v>1</v>
      </c>
      <c r="H18" s="111" t="s">
        <v>1617</v>
      </c>
      <c r="I18" s="111" t="s">
        <v>1614</v>
      </c>
      <c r="J18" s="111" t="s">
        <v>1614</v>
      </c>
      <c r="K18" s="111" t="s">
        <v>1614</v>
      </c>
      <c r="L18" s="111" t="s">
        <v>1614</v>
      </c>
      <c r="M18" s="111" t="s">
        <v>1614</v>
      </c>
      <c r="N18" s="111" t="s">
        <v>1614</v>
      </c>
      <c r="O18" s="114" t="s">
        <v>1614</v>
      </c>
      <c r="P18" s="114" t="s">
        <v>1614</v>
      </c>
      <c r="Q18" s="111" t="s">
        <v>1614</v>
      </c>
      <c r="R18" s="111" t="s">
        <v>1614</v>
      </c>
      <c r="S18" s="111" t="s">
        <v>1614</v>
      </c>
      <c r="T18" s="111" t="s">
        <v>1614</v>
      </c>
      <c r="U18" s="114" t="s">
        <v>1614</v>
      </c>
      <c r="V18" s="114" t="s">
        <v>1614</v>
      </c>
      <c r="W18" s="111" t="s">
        <v>1614</v>
      </c>
      <c r="X18" s="111" t="s">
        <v>1614</v>
      </c>
      <c r="Y18" s="111" t="s">
        <v>1614</v>
      </c>
      <c r="Z18" s="111" t="s">
        <v>1614</v>
      </c>
      <c r="AA18" s="111" t="s">
        <v>1614</v>
      </c>
      <c r="AB18" s="111" t="s">
        <v>1614</v>
      </c>
      <c r="AC18" s="111" t="s">
        <v>1614</v>
      </c>
      <c r="AD18" s="111" t="s">
        <v>1614</v>
      </c>
    </row>
    <row r="19" spans="2:30">
      <c r="B19" s="188" t="s">
        <v>1597</v>
      </c>
      <c r="C19" s="189">
        <v>19</v>
      </c>
      <c r="D19" s="111" t="s">
        <v>1796</v>
      </c>
      <c r="E19" s="112">
        <v>45404</v>
      </c>
      <c r="F19" s="111">
        <v>1</v>
      </c>
      <c r="G19" s="220" cm="1">
        <f t="array" aca="1" ref="G19" ca="1">SUMPRODUCT(--(ISNUMBER((SEARCH(I25:W25,I19:W19)))))/COUNTA(I19:W19)</f>
        <v>1</v>
      </c>
      <c r="H19" s="111" t="s">
        <v>1617</v>
      </c>
      <c r="I19" s="111" t="s">
        <v>1654</v>
      </c>
      <c r="J19" s="111" t="s">
        <v>1654</v>
      </c>
      <c r="K19" s="111" t="s">
        <v>1654</v>
      </c>
      <c r="L19" s="111" t="s">
        <v>1654</v>
      </c>
      <c r="M19" s="111" t="s">
        <v>1654</v>
      </c>
      <c r="N19" s="111" t="s">
        <v>1654</v>
      </c>
      <c r="O19" s="111" t="s">
        <v>1654</v>
      </c>
      <c r="P19" s="111" t="s">
        <v>1654</v>
      </c>
      <c r="Q19" s="111" t="s">
        <v>1654</v>
      </c>
      <c r="R19" s="111" t="s">
        <v>1654</v>
      </c>
      <c r="S19" s="111" t="s">
        <v>1654</v>
      </c>
      <c r="T19" s="114" t="s">
        <v>1654</v>
      </c>
      <c r="U19" s="111" t="s">
        <v>1654</v>
      </c>
      <c r="V19" s="111" t="s">
        <v>1654</v>
      </c>
      <c r="W19" s="111" t="s">
        <v>1654</v>
      </c>
      <c r="X19" s="111" t="s">
        <v>1654</v>
      </c>
      <c r="Y19" s="111" t="s">
        <v>1654</v>
      </c>
      <c r="Z19" s="111" t="s">
        <v>1654</v>
      </c>
      <c r="AA19" s="111" t="s">
        <v>1654</v>
      </c>
      <c r="AB19" s="111" t="s">
        <v>1654</v>
      </c>
      <c r="AC19" s="111" t="s">
        <v>1654</v>
      </c>
      <c r="AD19" s="111" t="s">
        <v>1655</v>
      </c>
    </row>
    <row r="20" spans="2:30">
      <c r="B20" s="188" t="s">
        <v>1600</v>
      </c>
      <c r="C20" s="189">
        <v>20</v>
      </c>
      <c r="D20" s="111" t="s">
        <v>1796</v>
      </c>
      <c r="E20" s="112">
        <v>45404</v>
      </c>
      <c r="F20" s="111">
        <v>1</v>
      </c>
      <c r="G20" s="186" cm="1">
        <f t="array" ref="G20">SUM(IF(I2:AD2 = I24:AD24, 1, 0))/ COUNTA(I2:AD2)</f>
        <v>1</v>
      </c>
      <c r="H20" s="111" t="s">
        <v>1617</v>
      </c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</row>
    <row r="21" spans="2:30">
      <c r="B21" s="188" t="s">
        <v>1603</v>
      </c>
      <c r="C21" s="189">
        <v>21</v>
      </c>
      <c r="D21" s="111" t="s">
        <v>1796</v>
      </c>
      <c r="E21" s="112">
        <v>45404</v>
      </c>
      <c r="F21" s="111">
        <v>1</v>
      </c>
      <c r="G21" s="186" cm="1">
        <f t="array" aca="1" ref="G21" ca="1">SUM(IF(IF(G3:G20="null",1,G3:G20)=1,1,0))/COUNT(IF(G3:G20="null",1,1))</f>
        <v>0.88888888888888884</v>
      </c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</row>
    <row r="23" spans="2:30">
      <c r="B23" s="115" t="s">
        <v>1656</v>
      </c>
    </row>
    <row r="24" spans="2:30">
      <c r="B24" s="116" t="s">
        <v>1558</v>
      </c>
      <c r="C24" s="117" t="s">
        <v>1607</v>
      </c>
      <c r="D24" s="117" t="s">
        <v>1608</v>
      </c>
      <c r="E24" s="117" t="s">
        <v>1609</v>
      </c>
      <c r="F24" s="117" t="s">
        <v>1610</v>
      </c>
      <c r="G24" s="117" t="s">
        <v>1611</v>
      </c>
      <c r="H24" s="117" t="s">
        <v>1612</v>
      </c>
      <c r="I24" s="117" t="str" cm="1">
        <f t="array" ref="I24:AD24">TRANSPOSE(_xlfn.SORTBY(_xlfn._xlws.FILTER(Table2[NOME FÍSICO CAMPO],Table2[NOME FÍSICO TABELA]="real_estate_appraise"), _xlfn._xlws.FILTER(Table2[ORDEM], Table2[NOME FÍSICO TABELA]="real_estate_appraise"), 1))</f>
        <v>collateral_bank_id</v>
      </c>
      <c r="J24" s="117" t="str">
        <v>collateral_branch_code</v>
      </c>
      <c r="K24" s="117" t="str">
        <v>collateral_contract_id</v>
      </c>
      <c r="L24" s="117" t="str">
        <v>collateral_reference_code</v>
      </c>
      <c r="M24" s="117" t="str">
        <v>appraisal_date</v>
      </c>
      <c r="N24" s="117" t="str">
        <v>guarantee_bank_id</v>
      </c>
      <c r="O24" s="117" t="str">
        <v>guarantee_branch_code</v>
      </c>
      <c r="P24" s="117" t="str">
        <v>guarantee_account_id</v>
      </c>
      <c r="Q24" s="117" t="str">
        <v>guarantee_reference_code</v>
      </c>
      <c r="R24" s="117" t="str">
        <v>collateral_lifetime_code</v>
      </c>
      <c r="S24" s="117" t="str">
        <v>appraisal_amount</v>
      </c>
      <c r="T24" s="117" t="str">
        <v>collateral_current_market_amount</v>
      </c>
      <c r="U24" s="117" t="str">
        <v>appraisal_type_code</v>
      </c>
      <c r="V24" s="117" t="str">
        <v>appraisal_origin_type_code</v>
      </c>
      <c r="W24" s="117" t="str">
        <v>reassessment_type_code</v>
      </c>
      <c r="X24" s="117" t="str">
        <v>appraiser_code</v>
      </c>
      <c r="Y24" s="117" t="str">
        <v>reassessment_ind</v>
      </c>
      <c r="Z24" s="117" t="str">
        <v>reassessment_coeficient_val</v>
      </c>
      <c r="AA24" s="117" t="str">
        <v>property_price_index_val</v>
      </c>
      <c r="AB24" s="117" t="str">
        <v>source_code</v>
      </c>
      <c r="AC24" s="117" t="str">
        <v>data_date_part</v>
      </c>
      <c r="AD24" s="119" t="str">
        <v>data_timestamp_part</v>
      </c>
    </row>
    <row r="25" spans="2:30">
      <c r="B25" s="120" t="s">
        <v>1657</v>
      </c>
      <c r="C25" s="121">
        <v>19</v>
      </c>
      <c r="D25" s="122" t="s">
        <v>1658</v>
      </c>
      <c r="E25" s="123" t="s">
        <v>1659</v>
      </c>
      <c r="F25" s="123" t="s">
        <v>1660</v>
      </c>
      <c r="G25" s="123" t="s">
        <v>1660</v>
      </c>
      <c r="H25" s="123" t="s">
        <v>1660</v>
      </c>
      <c r="I25" t="str" cm="1">
        <f t="array" aca="1" ref="I25:AD26" ca="1">TRANSPOSE(_xlfn.SORTBY(_xlfn._xlws.FILTER(IF(Table2[FORMATO]:Table2[COMP_ CAMPO]&lt;&gt;"",Table2[FORMATO]:Table2[COMP_ CAMPO],9999999),Table2[NOME FÍSICO TABELA]="real_estate_appraise"), _xlfn._xlws.FILTER(Table2[ORDEM], Table2[NOME FÍSICO TABELA]="real_estate_appraise"), 1))</f>
        <v>STRING</v>
      </c>
      <c r="J25" s="123" t="str">
        <f ca="1"/>
        <v>STRING</v>
      </c>
      <c r="K25" s="123" t="str">
        <f ca="1"/>
        <v>STRING</v>
      </c>
      <c r="L25" s="123" t="str">
        <f ca="1"/>
        <v>STRING</v>
      </c>
      <c r="M25" s="123" t="str">
        <f ca="1"/>
        <v>STRING</v>
      </c>
      <c r="N25" s="123" t="str">
        <f ca="1"/>
        <v>STRING</v>
      </c>
      <c r="O25" s="123" t="str">
        <f ca="1"/>
        <v>STRING</v>
      </c>
      <c r="P25" s="123" t="str">
        <f ca="1"/>
        <v>STRING</v>
      </c>
      <c r="Q25" s="123" t="str">
        <f ca="1"/>
        <v>STRING</v>
      </c>
      <c r="R25" s="123" t="str">
        <f ca="1"/>
        <v>STRING</v>
      </c>
      <c r="S25" s="123" t="str">
        <f ca="1"/>
        <v>STRING</v>
      </c>
      <c r="T25" s="123" t="str">
        <f ca="1"/>
        <v>STRING</v>
      </c>
      <c r="U25" s="123" t="str">
        <f ca="1"/>
        <v>STRING</v>
      </c>
      <c r="V25" s="123" t="str">
        <f ca="1"/>
        <v>STRING</v>
      </c>
      <c r="W25" s="123" t="str">
        <f ca="1"/>
        <v>STRING</v>
      </c>
      <c r="X25" s="123" t="str">
        <f ca="1"/>
        <v>STRING</v>
      </c>
      <c r="Y25" s="123" t="str">
        <f ca="1"/>
        <v>STRING</v>
      </c>
      <c r="Z25" s="123" t="str">
        <f ca="1"/>
        <v>STRING</v>
      </c>
      <c r="AA25" s="123" t="str">
        <f ca="1"/>
        <v>STRING</v>
      </c>
      <c r="AB25" s="123" t="str">
        <f ca="1"/>
        <v>STRING</v>
      </c>
      <c r="AC25" s="123" t="str">
        <f ca="1"/>
        <v>STRING</v>
      </c>
      <c r="AD25" s="124" t="str">
        <f ca="1"/>
        <v>TIMESTAMP</v>
      </c>
    </row>
    <row r="26" spans="2:30">
      <c r="B26" s="120" t="s">
        <v>1661</v>
      </c>
      <c r="C26" s="121">
        <v>7</v>
      </c>
      <c r="D26" s="122" t="s">
        <v>1658</v>
      </c>
      <c r="E26" s="123" t="s">
        <v>1659</v>
      </c>
      <c r="F26" s="125" t="s">
        <v>1660</v>
      </c>
      <c r="G26" s="125" t="s">
        <v>1660</v>
      </c>
      <c r="H26" s="125" t="s">
        <v>1660</v>
      </c>
      <c r="I26" s="126">
        <f ca="1"/>
        <v>2</v>
      </c>
      <c r="J26" s="126">
        <f ca="1"/>
        <v>20</v>
      </c>
      <c r="K26" s="126">
        <f ca="1"/>
        <v>30</v>
      </c>
      <c r="L26" s="126">
        <f ca="1"/>
        <v>20</v>
      </c>
      <c r="M26" s="126">
        <f ca="1"/>
        <v>10</v>
      </c>
      <c r="N26" s="126">
        <f ca="1"/>
        <v>2</v>
      </c>
      <c r="O26" s="126">
        <f ca="1"/>
        <v>20</v>
      </c>
      <c r="P26" s="126">
        <f ca="1"/>
        <v>11</v>
      </c>
      <c r="Q26" s="126">
        <f ca="1"/>
        <v>20</v>
      </c>
      <c r="R26" s="126">
        <f ca="1"/>
        <v>20</v>
      </c>
      <c r="S26" s="126">
        <f ca="1"/>
        <v>23</v>
      </c>
      <c r="T26" s="126">
        <f ca="1"/>
        <v>23</v>
      </c>
      <c r="U26" s="126">
        <f ca="1"/>
        <v>20</v>
      </c>
      <c r="V26" s="126">
        <f ca="1"/>
        <v>20</v>
      </c>
      <c r="W26" s="126">
        <f ca="1"/>
        <v>20</v>
      </c>
      <c r="X26" s="126">
        <f ca="1"/>
        <v>20</v>
      </c>
      <c r="Y26" s="126">
        <f ca="1"/>
        <v>4</v>
      </c>
      <c r="Z26" s="126">
        <f ca="1"/>
        <v>23</v>
      </c>
      <c r="AA26" s="126">
        <f ca="1"/>
        <v>20</v>
      </c>
      <c r="AB26" s="126">
        <f ca="1"/>
        <v>3</v>
      </c>
      <c r="AC26" s="126">
        <f ca="1"/>
        <v>10</v>
      </c>
      <c r="AD26" s="215">
        <f ca="1"/>
        <v>23</v>
      </c>
    </row>
    <row r="28" spans="2:30">
      <c r="B28" s="127" t="s">
        <v>1662</v>
      </c>
    </row>
    <row r="29" spans="2:30">
      <c r="B29" s="182" t="s">
        <v>1663</v>
      </c>
      <c r="C29" s="182" t="s">
        <v>1664</v>
      </c>
      <c r="D29" s="219" t="s">
        <v>1665</v>
      </c>
      <c r="E29" s="182" t="s">
        <v>1666</v>
      </c>
      <c r="F29" s="182" t="s">
        <v>1667</v>
      </c>
    </row>
    <row r="30" spans="2:30" ht="45.75">
      <c r="B30" s="75" t="s">
        <v>1668</v>
      </c>
      <c r="C30" s="75" t="s">
        <v>1340</v>
      </c>
      <c r="D30" s="74" t="s">
        <v>1797</v>
      </c>
      <c r="E30" s="74" t="s">
        <v>1798</v>
      </c>
      <c r="F30" s="74" t="s">
        <v>1671</v>
      </c>
    </row>
    <row r="31" spans="2:30" ht="45.75">
      <c r="B31" s="75" t="s">
        <v>1668</v>
      </c>
      <c r="C31" s="75" t="s">
        <v>1296</v>
      </c>
      <c r="D31" s="74" t="s">
        <v>1797</v>
      </c>
      <c r="E31" s="74" t="s">
        <v>1799</v>
      </c>
      <c r="F31" s="74" t="s">
        <v>1671</v>
      </c>
    </row>
    <row r="32" spans="2:30" ht="45.75">
      <c r="B32" s="75" t="s">
        <v>1668</v>
      </c>
      <c r="C32" s="75" t="s">
        <v>1216</v>
      </c>
      <c r="D32" s="74" t="s">
        <v>1797</v>
      </c>
      <c r="E32" s="74" t="s">
        <v>1800</v>
      </c>
      <c r="F32" s="74" t="s">
        <v>1671</v>
      </c>
    </row>
    <row r="33" spans="2:6" ht="45.75">
      <c r="B33" s="75" t="s">
        <v>1668</v>
      </c>
      <c r="C33" s="75" t="s">
        <v>1334</v>
      </c>
      <c r="D33" s="74" t="s">
        <v>1797</v>
      </c>
      <c r="E33" s="74" t="s">
        <v>1801</v>
      </c>
      <c r="F33" s="74" t="s">
        <v>1671</v>
      </c>
    </row>
    <row r="34" spans="2:6" ht="30.75">
      <c r="B34" s="75" t="s">
        <v>1802</v>
      </c>
      <c r="C34" s="75" t="s">
        <v>1680</v>
      </c>
      <c r="D34" s="74" t="s">
        <v>1803</v>
      </c>
      <c r="E34" s="74" t="s">
        <v>1804</v>
      </c>
      <c r="F34" s="74" t="s">
        <v>1683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B870-FD71-4E14-B172-8BA835ABFA2F}">
  <sheetPr>
    <tabColor rgb="FF00B050"/>
  </sheetPr>
  <dimension ref="B1:AW29"/>
  <sheetViews>
    <sheetView workbookViewId="0">
      <selection activeCell="J32" sqref="J32"/>
    </sheetView>
  </sheetViews>
  <sheetFormatPr defaultRowHeight="15"/>
  <cols>
    <col min="1" max="1" width="12.28515625" customWidth="1"/>
    <col min="2" max="2" width="35.5703125" customWidth="1"/>
    <col min="3" max="3" width="24.57031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0.4257812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17.425781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17.42578125" bestFit="1" customWidth="1"/>
    <col min="23" max="23" width="26.85546875" bestFit="1" customWidth="1"/>
  </cols>
  <sheetData>
    <row r="1" spans="2:49" ht="25.5" customHeight="1"/>
    <row r="2" spans="2:49">
      <c r="B2" s="151" t="s">
        <v>1606</v>
      </c>
      <c r="C2" s="151" t="s">
        <v>1607</v>
      </c>
      <c r="D2" t="s">
        <v>1608</v>
      </c>
      <c r="E2" t="s">
        <v>1609</v>
      </c>
      <c r="F2" t="s">
        <v>1610</v>
      </c>
      <c r="G2" t="s">
        <v>1611</v>
      </c>
      <c r="H2" t="s">
        <v>1612</v>
      </c>
      <c r="I2" t="s">
        <v>828</v>
      </c>
      <c r="J2" t="s">
        <v>833</v>
      </c>
      <c r="K2" t="s">
        <v>839</v>
      </c>
      <c r="L2" t="s">
        <v>845</v>
      </c>
      <c r="M2" t="s">
        <v>1044</v>
      </c>
      <c r="N2" t="s">
        <v>1051</v>
      </c>
      <c r="O2" t="s">
        <v>1057</v>
      </c>
      <c r="P2" t="s">
        <v>1063</v>
      </c>
      <c r="Q2" t="s">
        <v>1068</v>
      </c>
      <c r="R2" t="s">
        <v>1075</v>
      </c>
      <c r="S2" t="s">
        <v>1081</v>
      </c>
      <c r="T2" t="s">
        <v>1087</v>
      </c>
      <c r="U2" t="s">
        <v>1005</v>
      </c>
      <c r="V2" t="s">
        <v>783</v>
      </c>
      <c r="W2" t="s">
        <v>790</v>
      </c>
    </row>
    <row r="3" spans="2:49">
      <c r="B3" s="155" t="s">
        <v>1560</v>
      </c>
      <c r="C3" s="152">
        <v>1</v>
      </c>
      <c r="D3" s="156" t="s">
        <v>1805</v>
      </c>
      <c r="E3" s="157">
        <v>45432</v>
      </c>
      <c r="F3" s="156">
        <v>1</v>
      </c>
      <c r="G3" s="156">
        <v>1</v>
      </c>
      <c r="H3" s="156">
        <v>487977</v>
      </c>
      <c r="I3" s="156" t="s">
        <v>1614</v>
      </c>
      <c r="J3" s="156" t="s">
        <v>1614</v>
      </c>
      <c r="K3" s="156" t="s">
        <v>1614</v>
      </c>
      <c r="L3" s="156" t="s">
        <v>1614</v>
      </c>
      <c r="M3" s="156" t="s">
        <v>1614</v>
      </c>
      <c r="N3" s="156" t="s">
        <v>1614</v>
      </c>
      <c r="O3" s="156" t="s">
        <v>1614</v>
      </c>
      <c r="P3" s="156" t="s">
        <v>1614</v>
      </c>
      <c r="Q3" s="156" t="s">
        <v>1614</v>
      </c>
      <c r="R3" s="156" t="s">
        <v>1614</v>
      </c>
      <c r="S3" s="156" t="s">
        <v>1614</v>
      </c>
      <c r="T3" s="156" t="s">
        <v>1614</v>
      </c>
      <c r="U3" s="156" t="s">
        <v>1614</v>
      </c>
      <c r="V3" s="156" t="s">
        <v>1614</v>
      </c>
      <c r="W3" s="156" t="s">
        <v>1614</v>
      </c>
    </row>
    <row r="4" spans="2:49">
      <c r="B4" s="155" t="s">
        <v>1562</v>
      </c>
      <c r="C4" s="152">
        <v>2</v>
      </c>
      <c r="D4" s="156" t="s">
        <v>1806</v>
      </c>
      <c r="E4" s="157">
        <v>45432</v>
      </c>
      <c r="F4" s="156">
        <v>1</v>
      </c>
      <c r="G4" s="156">
        <v>0.99992599999999998</v>
      </c>
      <c r="H4" s="156">
        <v>36</v>
      </c>
      <c r="I4" s="156" t="s">
        <v>1614</v>
      </c>
      <c r="J4" s="156" t="s">
        <v>1614</v>
      </c>
      <c r="K4" s="156" t="s">
        <v>1614</v>
      </c>
      <c r="L4" s="156" t="s">
        <v>1614</v>
      </c>
      <c r="M4" s="156" t="s">
        <v>1614</v>
      </c>
      <c r="N4" s="156" t="s">
        <v>1614</v>
      </c>
      <c r="O4" s="156" t="s">
        <v>1614</v>
      </c>
      <c r="P4" s="156" t="s">
        <v>1614</v>
      </c>
      <c r="Q4" s="156" t="s">
        <v>1614</v>
      </c>
      <c r="R4" s="156" t="s">
        <v>1614</v>
      </c>
      <c r="S4" s="156" t="s">
        <v>1614</v>
      </c>
      <c r="T4" s="156" t="s">
        <v>1614</v>
      </c>
      <c r="U4" s="156" t="s">
        <v>1614</v>
      </c>
      <c r="V4" s="156" t="s">
        <v>1614</v>
      </c>
      <c r="W4" s="156" t="s">
        <v>1614</v>
      </c>
    </row>
    <row r="5" spans="2:49">
      <c r="B5" s="155" t="s">
        <v>1564</v>
      </c>
      <c r="C5" s="152">
        <v>3</v>
      </c>
      <c r="D5" s="156" t="s">
        <v>1807</v>
      </c>
      <c r="E5" s="157">
        <v>45432</v>
      </c>
      <c r="F5" s="156">
        <v>1</v>
      </c>
      <c r="G5" s="156">
        <v>1</v>
      </c>
      <c r="H5" s="156" t="s">
        <v>1617</v>
      </c>
      <c r="I5" s="156">
        <v>0</v>
      </c>
      <c r="J5" s="156">
        <v>0</v>
      </c>
      <c r="K5" s="156">
        <v>0</v>
      </c>
      <c r="L5" s="156">
        <v>0</v>
      </c>
      <c r="M5" s="156" t="s">
        <v>1614</v>
      </c>
      <c r="N5" s="156" t="s">
        <v>1614</v>
      </c>
      <c r="O5" s="156" t="s">
        <v>1614</v>
      </c>
      <c r="P5" s="156" t="s">
        <v>1614</v>
      </c>
      <c r="Q5" s="156" t="s">
        <v>1614</v>
      </c>
      <c r="R5" s="156" t="s">
        <v>1614</v>
      </c>
      <c r="S5" s="156" t="s">
        <v>1614</v>
      </c>
      <c r="T5" s="156" t="s">
        <v>1614</v>
      </c>
      <c r="U5" s="156" t="s">
        <v>1614</v>
      </c>
      <c r="V5" s="156" t="s">
        <v>1614</v>
      </c>
      <c r="W5" s="156" t="s">
        <v>1614</v>
      </c>
    </row>
    <row r="6" spans="2:49">
      <c r="B6" s="188" t="s">
        <v>1566</v>
      </c>
      <c r="C6" s="189">
        <v>4</v>
      </c>
      <c r="D6" s="156" t="s">
        <v>1808</v>
      </c>
      <c r="E6" s="157" t="s">
        <v>1614</v>
      </c>
      <c r="F6" s="156">
        <v>1</v>
      </c>
      <c r="G6" s="111" t="s">
        <v>1614</v>
      </c>
      <c r="H6" s="156" t="s">
        <v>1617</v>
      </c>
      <c r="I6" s="113" t="s">
        <v>1614</v>
      </c>
      <c r="J6" s="113" t="s">
        <v>1614</v>
      </c>
      <c r="K6" s="113" t="s">
        <v>1614</v>
      </c>
      <c r="L6" s="113" t="s">
        <v>1614</v>
      </c>
      <c r="M6" s="113" t="s">
        <v>1614</v>
      </c>
      <c r="N6" s="113" t="s">
        <v>1614</v>
      </c>
      <c r="O6" s="113" t="s">
        <v>1614</v>
      </c>
      <c r="P6" s="113" t="s">
        <v>1614</v>
      </c>
      <c r="Q6" s="113" t="s">
        <v>1614</v>
      </c>
      <c r="R6" s="113" t="s">
        <v>1614</v>
      </c>
      <c r="S6" s="113" t="s">
        <v>1614</v>
      </c>
      <c r="T6" s="113" t="s">
        <v>1614</v>
      </c>
      <c r="U6" s="113" t="s">
        <v>1614</v>
      </c>
      <c r="V6" s="113" t="s">
        <v>1614</v>
      </c>
      <c r="W6" s="113" t="s">
        <v>1614</v>
      </c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1568</v>
      </c>
      <c r="C7" s="189">
        <v>5</v>
      </c>
      <c r="D7" s="156" t="s">
        <v>1808</v>
      </c>
      <c r="E7" s="157" t="s">
        <v>1614</v>
      </c>
      <c r="F7" s="156">
        <v>1</v>
      </c>
      <c r="G7" s="111" t="s">
        <v>1614</v>
      </c>
      <c r="H7" s="156" t="s">
        <v>1617</v>
      </c>
      <c r="I7" s="113" t="s">
        <v>1614</v>
      </c>
      <c r="J7" s="113" t="s">
        <v>1614</v>
      </c>
      <c r="K7" s="113" t="s">
        <v>1614</v>
      </c>
      <c r="L7" s="113" t="s">
        <v>1614</v>
      </c>
      <c r="M7" s="113" t="s">
        <v>1614</v>
      </c>
      <c r="N7" s="113" t="s">
        <v>1614</v>
      </c>
      <c r="O7" s="113" t="s">
        <v>1614</v>
      </c>
      <c r="P7" s="113" t="s">
        <v>1614</v>
      </c>
      <c r="Q7" s="113" t="s">
        <v>1614</v>
      </c>
      <c r="R7" s="113" t="s">
        <v>1614</v>
      </c>
      <c r="S7" s="113" t="s">
        <v>1614</v>
      </c>
      <c r="T7" s="113" t="s">
        <v>1614</v>
      </c>
      <c r="U7" s="113" t="s">
        <v>1614</v>
      </c>
      <c r="V7" s="113" t="s">
        <v>1614</v>
      </c>
      <c r="W7" s="113" t="s">
        <v>1614</v>
      </c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94" t="s">
        <v>1569</v>
      </c>
      <c r="C8" s="193">
        <v>6</v>
      </c>
      <c r="D8" s="156" t="s">
        <v>1809</v>
      </c>
      <c r="E8" s="157">
        <v>45432</v>
      </c>
      <c r="F8" s="156">
        <v>1</v>
      </c>
      <c r="G8" s="111" cm="1">
        <f t="array" ref="G8">SUMPRODUCT(--(I8:W8&gt;0))/COUNTA(I8:W8)</f>
        <v>1</v>
      </c>
      <c r="H8" s="156" t="s">
        <v>1617</v>
      </c>
      <c r="I8" s="156">
        <v>2</v>
      </c>
      <c r="J8" s="156">
        <v>4</v>
      </c>
      <c r="K8" s="156">
        <v>11</v>
      </c>
      <c r="L8" s="156">
        <v>15</v>
      </c>
      <c r="M8" s="156">
        <v>3</v>
      </c>
      <c r="N8" s="156">
        <v>3</v>
      </c>
      <c r="O8" s="156">
        <v>1</v>
      </c>
      <c r="P8" s="156">
        <v>3</v>
      </c>
      <c r="Q8" s="156">
        <v>1</v>
      </c>
      <c r="R8" s="156">
        <v>3</v>
      </c>
      <c r="S8" s="156">
        <v>10</v>
      </c>
      <c r="T8" s="156">
        <v>10</v>
      </c>
      <c r="U8" s="156">
        <v>2</v>
      </c>
      <c r="V8" s="156">
        <v>10</v>
      </c>
      <c r="W8" s="156">
        <v>23</v>
      </c>
    </row>
    <row r="9" spans="2:49">
      <c r="B9" s="155" t="s">
        <v>1572</v>
      </c>
      <c r="C9" s="152">
        <v>7</v>
      </c>
      <c r="D9" s="156" t="s">
        <v>1810</v>
      </c>
      <c r="E9" s="157">
        <v>45432</v>
      </c>
      <c r="F9" s="156">
        <v>1</v>
      </c>
      <c r="G9" s="111" cm="1">
        <f t="array" aca="1" ref="G9" ca="1">SUMPRODUCT(--(I9:P9&lt;=I25:P25))/COUNTA(I25:P25)</f>
        <v>1</v>
      </c>
      <c r="H9" s="156" t="s">
        <v>1617</v>
      </c>
      <c r="I9" s="156">
        <v>2</v>
      </c>
      <c r="J9" s="156">
        <v>4</v>
      </c>
      <c r="K9" s="156">
        <v>11</v>
      </c>
      <c r="L9" s="156">
        <v>15</v>
      </c>
      <c r="M9" s="156">
        <v>3</v>
      </c>
      <c r="N9" s="156">
        <v>3</v>
      </c>
      <c r="O9" s="156">
        <v>1</v>
      </c>
      <c r="P9" s="156">
        <v>3</v>
      </c>
      <c r="Q9" s="156">
        <v>10</v>
      </c>
      <c r="R9" s="156">
        <v>3</v>
      </c>
      <c r="S9" s="156">
        <v>10</v>
      </c>
      <c r="T9" s="156">
        <v>10</v>
      </c>
      <c r="U9" s="156">
        <v>8</v>
      </c>
      <c r="V9" s="156">
        <v>10</v>
      </c>
      <c r="W9" s="156">
        <v>23</v>
      </c>
    </row>
    <row r="10" spans="2:49">
      <c r="B10" s="155" t="s">
        <v>1575</v>
      </c>
      <c r="C10" s="152">
        <v>8</v>
      </c>
      <c r="D10" s="156" t="s">
        <v>1811</v>
      </c>
      <c r="E10" s="157">
        <v>45432</v>
      </c>
      <c r="F10" s="156">
        <v>1</v>
      </c>
      <c r="G10" s="156" t="s">
        <v>1614</v>
      </c>
      <c r="H10" s="156" t="s">
        <v>1617</v>
      </c>
      <c r="I10" s="156">
        <v>31</v>
      </c>
      <c r="J10" s="156">
        <v>0</v>
      </c>
      <c r="K10" s="156">
        <v>0</v>
      </c>
      <c r="L10" s="156">
        <v>0</v>
      </c>
      <c r="M10" s="156">
        <v>0</v>
      </c>
      <c r="N10" s="156">
        <v>1</v>
      </c>
      <c r="O10" s="157"/>
      <c r="P10" s="156" t="s">
        <v>1812</v>
      </c>
      <c r="Q10" s="156"/>
      <c r="R10" s="156">
        <v>36</v>
      </c>
      <c r="S10" s="157">
        <v>30154</v>
      </c>
      <c r="T10" s="157">
        <v>36080</v>
      </c>
      <c r="U10" s="156" t="s">
        <v>1630</v>
      </c>
      <c r="V10" s="157">
        <v>45432</v>
      </c>
      <c r="W10" s="156" t="s">
        <v>1813</v>
      </c>
    </row>
    <row r="11" spans="2:49">
      <c r="B11" s="155" t="s">
        <v>1577</v>
      </c>
      <c r="C11" s="152">
        <v>9</v>
      </c>
      <c r="D11" s="156" t="s">
        <v>1814</v>
      </c>
      <c r="E11" s="157">
        <v>45432</v>
      </c>
      <c r="F11" s="156">
        <v>1</v>
      </c>
      <c r="G11" s="156" t="s">
        <v>1614</v>
      </c>
      <c r="H11" s="156" t="s">
        <v>1617</v>
      </c>
      <c r="I11" s="156">
        <v>31</v>
      </c>
      <c r="J11" s="156">
        <v>0</v>
      </c>
      <c r="K11" s="156">
        <v>0</v>
      </c>
      <c r="L11" s="156">
        <v>0</v>
      </c>
      <c r="M11" s="156">
        <v>0</v>
      </c>
      <c r="N11" s="156">
        <v>1</v>
      </c>
      <c r="O11" s="157"/>
      <c r="P11" s="156" t="s">
        <v>1812</v>
      </c>
      <c r="Q11" s="156"/>
      <c r="R11" s="156">
        <v>36</v>
      </c>
      <c r="S11" s="157">
        <v>30154</v>
      </c>
      <c r="T11" s="157">
        <v>36080</v>
      </c>
      <c r="U11" s="156" t="s">
        <v>1630</v>
      </c>
      <c r="V11" s="157">
        <v>45432</v>
      </c>
      <c r="W11" s="156" t="s">
        <v>1815</v>
      </c>
    </row>
    <row r="12" spans="2:49">
      <c r="B12" s="159" t="s">
        <v>1579</v>
      </c>
      <c r="C12" s="152">
        <v>10</v>
      </c>
      <c r="D12" s="156" t="s">
        <v>1816</v>
      </c>
      <c r="E12" s="157">
        <v>45432</v>
      </c>
      <c r="F12" s="156">
        <v>1</v>
      </c>
      <c r="G12" s="156" t="s">
        <v>1614</v>
      </c>
      <c r="H12" s="156" t="s">
        <v>1617</v>
      </c>
      <c r="I12" s="156">
        <v>89</v>
      </c>
      <c r="J12" s="156">
        <v>6623</v>
      </c>
      <c r="K12" s="156">
        <v>30187662623</v>
      </c>
      <c r="L12" s="156">
        <v>69796230100000</v>
      </c>
      <c r="M12" s="156">
        <v>96</v>
      </c>
      <c r="N12" s="156" t="s">
        <v>1817</v>
      </c>
      <c r="O12" s="157" t="s">
        <v>1818</v>
      </c>
      <c r="P12" s="156" t="s">
        <v>1637</v>
      </c>
      <c r="Q12" s="156" t="s">
        <v>1819</v>
      </c>
      <c r="R12" s="156">
        <v>978</v>
      </c>
      <c r="S12" s="157">
        <v>45432</v>
      </c>
      <c r="T12" s="157">
        <v>2958465</v>
      </c>
      <c r="U12" s="156" t="s">
        <v>1647</v>
      </c>
      <c r="V12" s="157">
        <v>45432</v>
      </c>
      <c r="W12" s="156" t="s">
        <v>1813</v>
      </c>
    </row>
    <row r="13" spans="2:49">
      <c r="B13" s="155" t="s">
        <v>1581</v>
      </c>
      <c r="C13" s="152">
        <v>11</v>
      </c>
      <c r="D13" s="156" t="s">
        <v>1820</v>
      </c>
      <c r="E13" s="157">
        <v>45432</v>
      </c>
      <c r="F13" s="156">
        <v>1</v>
      </c>
      <c r="G13" s="156" t="s">
        <v>1614</v>
      </c>
      <c r="H13" s="156" t="s">
        <v>1617</v>
      </c>
      <c r="I13" s="156">
        <v>89</v>
      </c>
      <c r="J13" s="156">
        <v>6623</v>
      </c>
      <c r="K13" s="156">
        <v>30187662623</v>
      </c>
      <c r="L13" s="156">
        <v>69796230100000</v>
      </c>
      <c r="M13" s="156">
        <v>96</v>
      </c>
      <c r="N13" s="156" t="s">
        <v>1817</v>
      </c>
      <c r="O13" s="157" t="s">
        <v>1818</v>
      </c>
      <c r="P13" s="156" t="s">
        <v>1637</v>
      </c>
      <c r="Q13" s="156" t="s">
        <v>1819</v>
      </c>
      <c r="R13" s="156">
        <v>978</v>
      </c>
      <c r="S13" s="157">
        <v>45432</v>
      </c>
      <c r="T13" s="157">
        <v>2958465</v>
      </c>
      <c r="U13" s="156" t="s">
        <v>1647</v>
      </c>
      <c r="V13" s="157">
        <v>45432</v>
      </c>
      <c r="W13" s="156" t="s">
        <v>1821</v>
      </c>
    </row>
    <row r="14" spans="2:49">
      <c r="B14" s="155" t="s">
        <v>1583</v>
      </c>
      <c r="C14" s="152">
        <v>12</v>
      </c>
      <c r="D14" s="156" t="s">
        <v>1822</v>
      </c>
      <c r="E14" s="157">
        <v>45432</v>
      </c>
      <c r="F14" s="156">
        <v>1</v>
      </c>
      <c r="G14" s="156">
        <v>1</v>
      </c>
      <c r="H14" s="156" t="s">
        <v>1617</v>
      </c>
      <c r="I14" s="156">
        <v>0</v>
      </c>
      <c r="J14" s="156">
        <v>0</v>
      </c>
      <c r="K14" s="156">
        <v>0</v>
      </c>
      <c r="L14" s="156">
        <v>0</v>
      </c>
      <c r="M14" s="156">
        <v>0</v>
      </c>
      <c r="N14" s="156">
        <v>0</v>
      </c>
      <c r="O14" s="156">
        <v>0</v>
      </c>
      <c r="P14" s="156">
        <v>0</v>
      </c>
      <c r="Q14" s="156">
        <v>0</v>
      </c>
      <c r="R14" s="156">
        <v>0</v>
      </c>
      <c r="S14" s="156">
        <v>0</v>
      </c>
      <c r="T14" s="156">
        <v>0</v>
      </c>
      <c r="U14" s="156">
        <v>0</v>
      </c>
      <c r="V14" s="156">
        <v>0</v>
      </c>
      <c r="W14" s="156">
        <v>0</v>
      </c>
    </row>
    <row r="15" spans="2:49">
      <c r="B15" s="155" t="s">
        <v>1587</v>
      </c>
      <c r="C15" s="152">
        <v>14</v>
      </c>
      <c r="D15" s="156" t="s">
        <v>1823</v>
      </c>
      <c r="E15" s="157">
        <v>45432</v>
      </c>
      <c r="F15" s="156">
        <v>1</v>
      </c>
      <c r="G15" s="156">
        <v>1</v>
      </c>
      <c r="H15" s="156" t="s">
        <v>1617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>
        <v>0</v>
      </c>
      <c r="P15" s="156">
        <v>0</v>
      </c>
      <c r="Q15" s="156">
        <v>0</v>
      </c>
      <c r="R15" s="156">
        <v>0</v>
      </c>
      <c r="S15" s="156" t="s">
        <v>1614</v>
      </c>
      <c r="T15" s="156" t="s">
        <v>1614</v>
      </c>
      <c r="U15" s="156">
        <v>0</v>
      </c>
      <c r="V15" s="156" t="s">
        <v>1614</v>
      </c>
      <c r="W15" s="156" t="s">
        <v>1614</v>
      </c>
    </row>
    <row r="16" spans="2:49">
      <c r="B16" s="155" t="s">
        <v>1589</v>
      </c>
      <c r="C16" s="152">
        <v>15</v>
      </c>
      <c r="D16" s="156" t="s">
        <v>1824</v>
      </c>
      <c r="E16" s="157">
        <v>45432</v>
      </c>
      <c r="F16" s="156">
        <v>1</v>
      </c>
      <c r="G16" s="156">
        <v>1</v>
      </c>
      <c r="H16" s="156" t="s">
        <v>1617</v>
      </c>
      <c r="I16" s="156" t="s">
        <v>1614</v>
      </c>
      <c r="J16" s="156" t="s">
        <v>1614</v>
      </c>
      <c r="K16" s="156" t="s">
        <v>1614</v>
      </c>
      <c r="L16" s="156" t="s">
        <v>1614</v>
      </c>
      <c r="M16" s="156" t="s">
        <v>1614</v>
      </c>
      <c r="N16" s="156" t="s">
        <v>1614</v>
      </c>
      <c r="O16" s="156" t="s">
        <v>1614</v>
      </c>
      <c r="P16" s="156" t="s">
        <v>1614</v>
      </c>
      <c r="Q16" s="156" t="s">
        <v>1614</v>
      </c>
      <c r="R16" s="156" t="s">
        <v>1614</v>
      </c>
      <c r="S16" s="156" t="s">
        <v>1614</v>
      </c>
      <c r="T16" s="156" t="s">
        <v>1614</v>
      </c>
      <c r="U16" s="156" t="s">
        <v>1614</v>
      </c>
      <c r="V16" s="156" t="s">
        <v>1614</v>
      </c>
      <c r="W16" s="156" t="s">
        <v>1614</v>
      </c>
    </row>
    <row r="17" spans="2:23">
      <c r="B17" s="155" t="s">
        <v>1591</v>
      </c>
      <c r="C17" s="152">
        <v>16</v>
      </c>
      <c r="D17" s="156" t="s">
        <v>1824</v>
      </c>
      <c r="E17" s="157">
        <v>45432</v>
      </c>
      <c r="F17" s="156">
        <v>1</v>
      </c>
      <c r="G17" s="156">
        <v>1</v>
      </c>
      <c r="H17" s="156" t="s">
        <v>1617</v>
      </c>
      <c r="I17" s="156" t="s">
        <v>1614</v>
      </c>
      <c r="J17" s="156" t="s">
        <v>1614</v>
      </c>
      <c r="K17" s="156" t="s">
        <v>1614</v>
      </c>
      <c r="L17" s="156" t="s">
        <v>1614</v>
      </c>
      <c r="M17" s="156" t="s">
        <v>1614</v>
      </c>
      <c r="N17" s="156" t="s">
        <v>1614</v>
      </c>
      <c r="O17" s="156" t="s">
        <v>1614</v>
      </c>
      <c r="P17" s="156" t="s">
        <v>1614</v>
      </c>
      <c r="Q17" s="156" t="s">
        <v>1614</v>
      </c>
      <c r="R17" s="156" t="s">
        <v>1614</v>
      </c>
      <c r="S17" s="156" t="s">
        <v>1614</v>
      </c>
      <c r="T17" s="156" t="s">
        <v>1614</v>
      </c>
      <c r="U17" s="156" t="s">
        <v>1614</v>
      </c>
      <c r="V17" s="156" t="s">
        <v>1614</v>
      </c>
      <c r="W17" s="156" t="s">
        <v>1614</v>
      </c>
    </row>
    <row r="18" spans="2:23">
      <c r="B18" s="155" t="s">
        <v>1597</v>
      </c>
      <c r="C18" s="152">
        <v>19</v>
      </c>
      <c r="D18" s="156" t="s">
        <v>1825</v>
      </c>
      <c r="E18" s="157">
        <v>45432</v>
      </c>
      <c r="F18" s="156">
        <v>1</v>
      </c>
      <c r="G18" s="179" cm="1">
        <f t="array" aca="1" ref="G18" ca="1">SUMPRODUCT(--(ISNUMBER((SEARCH(I24:W24,I18:W18)))))/COUNTA(I18:W18)</f>
        <v>1</v>
      </c>
      <c r="H18" s="156" t="s">
        <v>1617</v>
      </c>
      <c r="I18" s="156" t="s">
        <v>1654</v>
      </c>
      <c r="J18" s="156" t="s">
        <v>1654</v>
      </c>
      <c r="K18" s="156" t="s">
        <v>1654</v>
      </c>
      <c r="L18" s="156" t="s">
        <v>1654</v>
      </c>
      <c r="M18" s="156" t="s">
        <v>1654</v>
      </c>
      <c r="N18" s="156" t="s">
        <v>1654</v>
      </c>
      <c r="O18" s="156" t="s">
        <v>1654</v>
      </c>
      <c r="P18" s="156" t="s">
        <v>1654</v>
      </c>
      <c r="Q18" s="156" t="s">
        <v>1654</v>
      </c>
      <c r="R18" s="156" t="s">
        <v>1654</v>
      </c>
      <c r="S18" s="156" t="s">
        <v>1654</v>
      </c>
      <c r="T18" s="156" t="s">
        <v>1654</v>
      </c>
      <c r="U18" s="156" t="s">
        <v>1654</v>
      </c>
      <c r="V18" s="156" t="s">
        <v>1654</v>
      </c>
      <c r="W18" s="156" t="s">
        <v>1655</v>
      </c>
    </row>
    <row r="19" spans="2:23">
      <c r="B19" s="178" t="s">
        <v>1600</v>
      </c>
      <c r="C19" s="152">
        <v>20</v>
      </c>
      <c r="D19" s="156" t="s">
        <v>1826</v>
      </c>
      <c r="E19" s="157">
        <v>45432</v>
      </c>
      <c r="F19" s="156">
        <v>1</v>
      </c>
      <c r="G19" s="111" cm="1">
        <f t="array" ref="G19">SUM(IF(H2:W2 = H23:W23, 1, 0))/ COUNTA(H2:W2)</f>
        <v>1</v>
      </c>
      <c r="H19" s="156" t="s">
        <v>1617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</row>
    <row r="20" spans="2:23">
      <c r="B20" s="160" t="s">
        <v>1603</v>
      </c>
      <c r="C20" s="153">
        <v>21</v>
      </c>
      <c r="D20" s="156" t="s">
        <v>1826</v>
      </c>
      <c r="E20" s="157">
        <v>45432</v>
      </c>
      <c r="F20" s="156">
        <v>1</v>
      </c>
      <c r="G20" s="111" cm="1">
        <f t="array" aca="1" ref="G20" ca="1">SUM(IF(IF(G3:G19="null",1,G3:G19)=1,1,0))/COUNT(IF(G3:G19="null",1,1))</f>
        <v>0.94117647058823528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</row>
    <row r="22" spans="2:23">
      <c r="B22" s="164" t="s">
        <v>1656</v>
      </c>
    </row>
    <row r="23" spans="2:23">
      <c r="B23" s="168" t="s">
        <v>1558</v>
      </c>
      <c r="C23" s="169" t="s">
        <v>1607</v>
      </c>
      <c r="D23" s="169" t="s">
        <v>1608</v>
      </c>
      <c r="E23" s="169" t="s">
        <v>1609</v>
      </c>
      <c r="F23" s="169" t="s">
        <v>1610</v>
      </c>
      <c r="G23" s="169" t="s">
        <v>1611</v>
      </c>
      <c r="H23" s="169" t="s">
        <v>1612</v>
      </c>
      <c r="I23" s="170" t="s">
        <v>828</v>
      </c>
      <c r="J23" s="170" t="s">
        <v>833</v>
      </c>
      <c r="K23" s="170" t="s">
        <v>839</v>
      </c>
      <c r="L23" s="170" t="s">
        <v>845</v>
      </c>
      <c r="M23" s="170" t="s">
        <v>1044</v>
      </c>
      <c r="N23" s="170" t="s">
        <v>1051</v>
      </c>
      <c r="O23" s="170" t="s">
        <v>1057</v>
      </c>
      <c r="P23" s="170" t="s">
        <v>1063</v>
      </c>
      <c r="Q23" s="170" t="s">
        <v>1068</v>
      </c>
      <c r="R23" s="170" t="s">
        <v>1075</v>
      </c>
      <c r="S23" s="170" t="s">
        <v>1081</v>
      </c>
      <c r="T23" s="170" t="s">
        <v>1087</v>
      </c>
      <c r="U23" s="170" t="s">
        <v>1005</v>
      </c>
      <c r="V23" s="170" t="s">
        <v>783</v>
      </c>
      <c r="W23" s="171" t="s">
        <v>790</v>
      </c>
    </row>
    <row r="24" spans="2:23">
      <c r="B24" s="165" t="s">
        <v>1657</v>
      </c>
      <c r="C24" s="126">
        <v>19</v>
      </c>
      <c r="D24" s="166" t="s">
        <v>1658</v>
      </c>
      <c r="E24" s="125" t="s">
        <v>1659</v>
      </c>
      <c r="F24" s="125" t="s">
        <v>1660</v>
      </c>
      <c r="G24" s="125" t="s">
        <v>1660</v>
      </c>
      <c r="H24" s="125" t="s">
        <v>1660</v>
      </c>
      <c r="I24" s="125" t="str" cm="1">
        <f t="array" aca="1" ref="I24:W25" ca="1">TRANSPOSE(_xlfn.SORTBY(_xlfn._xlws.FILTER(IF(Table2[FORMATO]:Table2[COMP_ CAMPO]&lt;&gt;"",Table2[FORMATO]:Table2[COMP_ CAMPO],9999999),Table2[NOME FÍSICO TABELA]="guarantee"), _xlfn._xlws.FILTER(Table2[ORDEM], Table2[NOME FÍSICO TABELA]="guarantee"), 1))</f>
        <v>STRING</v>
      </c>
      <c r="J24" s="125" t="str">
        <f ca="1"/>
        <v>STRING</v>
      </c>
      <c r="K24" s="125" t="str">
        <f ca="1"/>
        <v>STRING</v>
      </c>
      <c r="L24" s="125" t="str">
        <f ca="1"/>
        <v>STRING</v>
      </c>
      <c r="M24" s="125" t="str">
        <f ca="1"/>
        <v>STRING</v>
      </c>
      <c r="N24" s="125" t="str">
        <f ca="1"/>
        <v>STRING</v>
      </c>
      <c r="O24" s="125" t="str">
        <f ca="1"/>
        <v>STRING</v>
      </c>
      <c r="P24" s="125" t="str">
        <f ca="1"/>
        <v>STRING</v>
      </c>
      <c r="Q24" s="125" t="str">
        <f ca="1"/>
        <v>STRING</v>
      </c>
      <c r="R24" s="125" t="str">
        <f ca="1"/>
        <v>STRING</v>
      </c>
      <c r="S24" s="125" t="str">
        <f ca="1"/>
        <v>STRING</v>
      </c>
      <c r="T24" s="125" t="str">
        <f ca="1"/>
        <v>STRING</v>
      </c>
      <c r="U24" s="125" t="str">
        <f ca="1"/>
        <v>STRING</v>
      </c>
      <c r="V24" s="125" t="str">
        <f ca="1"/>
        <v>STRING</v>
      </c>
      <c r="W24" s="167" t="str">
        <f ca="1"/>
        <v>TIMESTAMP</v>
      </c>
    </row>
    <row r="25" spans="2:23">
      <c r="B25" s="120" t="s">
        <v>1661</v>
      </c>
      <c r="C25" s="121">
        <v>7</v>
      </c>
      <c r="D25" s="122" t="s">
        <v>1658</v>
      </c>
      <c r="E25" s="123" t="s">
        <v>1659</v>
      </c>
      <c r="F25" s="123" t="s">
        <v>1660</v>
      </c>
      <c r="G25" s="123" t="s">
        <v>1660</v>
      </c>
      <c r="H25" s="123" t="s">
        <v>1660</v>
      </c>
      <c r="I25" s="121">
        <f ca="1"/>
        <v>2</v>
      </c>
      <c r="J25" s="121">
        <f ca="1"/>
        <v>20</v>
      </c>
      <c r="K25" s="121">
        <f ca="1"/>
        <v>11</v>
      </c>
      <c r="L25" s="123">
        <f ca="1"/>
        <v>20</v>
      </c>
      <c r="M25" s="123">
        <f ca="1"/>
        <v>20</v>
      </c>
      <c r="N25" s="123">
        <f ca="1"/>
        <v>20</v>
      </c>
      <c r="O25" s="123">
        <f ca="1"/>
        <v>20</v>
      </c>
      <c r="P25" s="123">
        <f ca="1"/>
        <v>20</v>
      </c>
      <c r="Q25" s="123">
        <f ca="1"/>
        <v>20</v>
      </c>
      <c r="R25" s="123">
        <f ca="1"/>
        <v>20</v>
      </c>
      <c r="S25" s="123">
        <f ca="1"/>
        <v>10</v>
      </c>
      <c r="T25" s="123">
        <f ca="1"/>
        <v>10</v>
      </c>
      <c r="U25" s="123">
        <f ca="1"/>
        <v>3</v>
      </c>
      <c r="V25" s="123">
        <f ca="1"/>
        <v>10</v>
      </c>
      <c r="W25" s="124">
        <f ca="1"/>
        <v>23</v>
      </c>
    </row>
    <row r="27" spans="2:23">
      <c r="B27" s="177" t="s">
        <v>1662</v>
      </c>
    </row>
    <row r="28" spans="2:23">
      <c r="B28" s="168" t="s">
        <v>1663</v>
      </c>
      <c r="C28" s="169" t="s">
        <v>1664</v>
      </c>
      <c r="D28" s="210" t="s">
        <v>1665</v>
      </c>
      <c r="E28" s="169" t="s">
        <v>1666</v>
      </c>
      <c r="F28" s="210" t="s">
        <v>1667</v>
      </c>
    </row>
    <row r="29" spans="2:23" ht="30.75">
      <c r="B29" s="75" t="s">
        <v>1679</v>
      </c>
      <c r="C29" s="76" t="s">
        <v>1680</v>
      </c>
      <c r="D29" s="74" t="s">
        <v>1827</v>
      </c>
      <c r="E29" s="74" t="s">
        <v>1828</v>
      </c>
      <c r="F29" s="74" t="s">
        <v>1683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9BF1-4C33-46A8-895B-B98982F65926}">
  <sheetPr>
    <tabColor rgb="FF00B050"/>
  </sheetPr>
  <dimension ref="B1:AW33"/>
  <sheetViews>
    <sheetView workbookViewId="0">
      <selection activeCell="H37" sqref="H37"/>
    </sheetView>
  </sheetViews>
  <sheetFormatPr defaultRowHeight="15"/>
  <cols>
    <col min="1" max="1" width="12.28515625" customWidth="1"/>
    <col min="2" max="2" width="35.5703125" customWidth="1"/>
    <col min="3" max="3" width="24.425781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0.4257812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18.85546875" bestFit="1" customWidth="1"/>
    <col min="23" max="23" width="26.85546875" bestFit="1" customWidth="1"/>
    <col min="24" max="24" width="27" bestFit="1" customWidth="1"/>
    <col min="25" max="25" width="24.140625" bestFit="1" customWidth="1"/>
    <col min="26" max="26" width="26.28515625" bestFit="1" customWidth="1"/>
    <col min="27" max="27" width="12.5703125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</cols>
  <sheetData>
    <row r="1" spans="2:49" ht="25.5" customHeight="1"/>
    <row r="2" spans="2:49">
      <c r="B2" s="151" t="s">
        <v>1606</v>
      </c>
      <c r="C2" s="151" t="s">
        <v>1607</v>
      </c>
      <c r="D2" t="s">
        <v>1608</v>
      </c>
      <c r="E2" t="s">
        <v>1609</v>
      </c>
      <c r="F2" t="s">
        <v>1610</v>
      </c>
      <c r="G2" t="s">
        <v>1611</v>
      </c>
      <c r="H2" t="s">
        <v>1612</v>
      </c>
      <c r="I2" t="s">
        <v>828</v>
      </c>
      <c r="J2" t="s">
        <v>833</v>
      </c>
      <c r="K2" t="s">
        <v>839</v>
      </c>
      <c r="L2" t="s">
        <v>845</v>
      </c>
      <c r="M2" t="s">
        <v>851</v>
      </c>
      <c r="N2" t="s">
        <v>858</v>
      </c>
      <c r="O2" t="s">
        <v>864</v>
      </c>
      <c r="P2" t="s">
        <v>870</v>
      </c>
      <c r="Q2" t="s">
        <v>722</v>
      </c>
      <c r="R2" t="s">
        <v>742</v>
      </c>
      <c r="S2" t="s">
        <v>1113</v>
      </c>
      <c r="T2" t="s">
        <v>757</v>
      </c>
      <c r="U2" t="s">
        <v>1122</v>
      </c>
      <c r="V2" t="s">
        <v>1129</v>
      </c>
      <c r="W2" t="s">
        <v>1135</v>
      </c>
      <c r="X2" t="s">
        <v>1141</v>
      </c>
      <c r="Y2" t="s">
        <v>750</v>
      </c>
      <c r="Z2" t="s">
        <v>1150</v>
      </c>
      <c r="AA2" t="s">
        <v>1157</v>
      </c>
      <c r="AB2" t="s">
        <v>1164</v>
      </c>
      <c r="AC2" t="s">
        <v>1170</v>
      </c>
      <c r="AD2" t="s">
        <v>1176</v>
      </c>
      <c r="AE2" t="s">
        <v>1005</v>
      </c>
      <c r="AF2" t="s">
        <v>783</v>
      </c>
      <c r="AG2" t="s">
        <v>790</v>
      </c>
    </row>
    <row r="3" spans="2:49">
      <c r="B3" s="155" t="s">
        <v>1560</v>
      </c>
      <c r="C3" s="152">
        <v>1</v>
      </c>
      <c r="D3" s="156" t="s">
        <v>1829</v>
      </c>
      <c r="E3" s="157">
        <v>45432</v>
      </c>
      <c r="F3" s="156">
        <v>1</v>
      </c>
      <c r="G3" s="156">
        <v>1</v>
      </c>
      <c r="H3" s="156">
        <v>8495</v>
      </c>
      <c r="I3" s="156" t="s">
        <v>1614</v>
      </c>
      <c r="J3" s="156" t="s">
        <v>1614</v>
      </c>
      <c r="K3" s="156" t="s">
        <v>1614</v>
      </c>
      <c r="L3" s="156" t="s">
        <v>1614</v>
      </c>
      <c r="M3" s="156" t="s">
        <v>1614</v>
      </c>
      <c r="N3" s="156" t="s">
        <v>1614</v>
      </c>
      <c r="O3" s="156" t="s">
        <v>1614</v>
      </c>
      <c r="P3" s="156" t="s">
        <v>1614</v>
      </c>
      <c r="Q3" s="156" t="s">
        <v>1614</v>
      </c>
      <c r="R3" s="156" t="s">
        <v>1614</v>
      </c>
      <c r="S3" s="156" t="s">
        <v>1614</v>
      </c>
      <c r="T3" s="156" t="s">
        <v>1614</v>
      </c>
      <c r="U3" s="156" t="s">
        <v>1614</v>
      </c>
      <c r="V3" s="156" t="s">
        <v>1614</v>
      </c>
      <c r="W3" s="156" t="s">
        <v>1614</v>
      </c>
      <c r="X3" s="156" t="s">
        <v>1614</v>
      </c>
      <c r="Y3" s="156" t="s">
        <v>1614</v>
      </c>
      <c r="Z3" s="156" t="s">
        <v>1614</v>
      </c>
      <c r="AA3" s="156" t="s">
        <v>1614</v>
      </c>
      <c r="AB3" s="180"/>
      <c r="AC3" s="180"/>
      <c r="AD3" s="180"/>
      <c r="AE3" s="156" t="s">
        <v>1614</v>
      </c>
      <c r="AF3" s="156" t="s">
        <v>1614</v>
      </c>
      <c r="AG3" s="156" t="s">
        <v>1614</v>
      </c>
    </row>
    <row r="4" spans="2:49">
      <c r="B4" s="155" t="s">
        <v>1562</v>
      </c>
      <c r="C4" s="152">
        <v>2</v>
      </c>
      <c r="D4" s="156" t="s">
        <v>1830</v>
      </c>
      <c r="E4" s="157">
        <v>45432</v>
      </c>
      <c r="F4" s="156">
        <v>1</v>
      </c>
      <c r="G4" s="156">
        <v>1</v>
      </c>
      <c r="H4" s="156" t="s">
        <v>1617</v>
      </c>
      <c r="I4" s="156" t="s">
        <v>1614</v>
      </c>
      <c r="J4" s="156" t="s">
        <v>1614</v>
      </c>
      <c r="K4" s="156" t="s">
        <v>1614</v>
      </c>
      <c r="L4" s="156" t="s">
        <v>1614</v>
      </c>
      <c r="M4" s="156" t="s">
        <v>1614</v>
      </c>
      <c r="N4" s="156" t="s">
        <v>1614</v>
      </c>
      <c r="O4" s="156" t="s">
        <v>1614</v>
      </c>
      <c r="P4" s="156" t="s">
        <v>1614</v>
      </c>
      <c r="Q4" s="156" t="s">
        <v>1614</v>
      </c>
      <c r="R4" s="156" t="s">
        <v>1614</v>
      </c>
      <c r="S4" s="156" t="s">
        <v>1614</v>
      </c>
      <c r="T4" s="156" t="s">
        <v>1614</v>
      </c>
      <c r="U4" s="156" t="s">
        <v>1614</v>
      </c>
      <c r="V4" s="156" t="s">
        <v>1614</v>
      </c>
      <c r="W4" s="156" t="s">
        <v>1614</v>
      </c>
      <c r="X4" s="156" t="s">
        <v>1614</v>
      </c>
      <c r="Y4" s="156" t="s">
        <v>1614</v>
      </c>
      <c r="Z4" s="156" t="s">
        <v>1614</v>
      </c>
      <c r="AA4" s="156" t="s">
        <v>1614</v>
      </c>
      <c r="AB4" s="180"/>
      <c r="AC4" s="180"/>
      <c r="AD4" s="180"/>
      <c r="AE4" s="156" t="s">
        <v>1614</v>
      </c>
      <c r="AF4" s="156" t="s">
        <v>1614</v>
      </c>
      <c r="AG4" s="156" t="s">
        <v>1614</v>
      </c>
    </row>
    <row r="5" spans="2:49">
      <c r="B5" s="155" t="s">
        <v>1564</v>
      </c>
      <c r="C5" s="152">
        <v>3</v>
      </c>
      <c r="D5" s="156" t="s">
        <v>1831</v>
      </c>
      <c r="E5" s="157">
        <v>45432</v>
      </c>
      <c r="F5" s="156">
        <v>1</v>
      </c>
      <c r="G5" s="156">
        <v>1</v>
      </c>
      <c r="H5" s="156" t="s">
        <v>1617</v>
      </c>
      <c r="I5" s="156">
        <v>0</v>
      </c>
      <c r="J5" s="156">
        <v>0</v>
      </c>
      <c r="K5" s="156">
        <v>0</v>
      </c>
      <c r="L5" s="156">
        <v>0</v>
      </c>
      <c r="M5" s="156">
        <v>0</v>
      </c>
      <c r="N5" s="156">
        <v>0</v>
      </c>
      <c r="O5" s="156">
        <v>0</v>
      </c>
      <c r="P5" s="156">
        <v>0</v>
      </c>
      <c r="Q5" s="156" t="s">
        <v>1614</v>
      </c>
      <c r="R5" s="156" t="s">
        <v>1614</v>
      </c>
      <c r="S5" s="156" t="s">
        <v>1614</v>
      </c>
      <c r="T5" s="156" t="s">
        <v>1614</v>
      </c>
      <c r="U5" s="156" t="s">
        <v>1614</v>
      </c>
      <c r="V5" s="156" t="s">
        <v>1614</v>
      </c>
      <c r="W5" s="156" t="s">
        <v>1614</v>
      </c>
      <c r="X5" s="156" t="s">
        <v>1614</v>
      </c>
      <c r="Y5" s="156" t="s">
        <v>1614</v>
      </c>
      <c r="Z5" s="156" t="s">
        <v>1614</v>
      </c>
      <c r="AA5" s="156" t="s">
        <v>1614</v>
      </c>
      <c r="AB5" s="180"/>
      <c r="AC5" s="180"/>
      <c r="AD5" s="180"/>
      <c r="AE5" s="156" t="s">
        <v>1614</v>
      </c>
      <c r="AF5" s="156" t="s">
        <v>1614</v>
      </c>
      <c r="AG5" s="156" t="s">
        <v>1614</v>
      </c>
    </row>
    <row r="6" spans="2:49">
      <c r="B6" s="188" t="s">
        <v>1566</v>
      </c>
      <c r="C6" s="189">
        <v>4</v>
      </c>
      <c r="D6" s="156" t="s">
        <v>1831</v>
      </c>
      <c r="E6" s="157">
        <v>45432</v>
      </c>
      <c r="F6" s="156">
        <v>1</v>
      </c>
      <c r="G6" s="111" t="s">
        <v>1614</v>
      </c>
      <c r="H6" s="156" t="s">
        <v>1617</v>
      </c>
      <c r="I6" s="113">
        <v>2</v>
      </c>
      <c r="J6" s="113">
        <v>4</v>
      </c>
      <c r="K6" s="113">
        <v>11</v>
      </c>
      <c r="L6" s="113">
        <v>15</v>
      </c>
      <c r="M6" s="113">
        <v>2</v>
      </c>
      <c r="N6" s="113">
        <v>4</v>
      </c>
      <c r="O6" s="113">
        <v>30</v>
      </c>
      <c r="P6" s="113">
        <v>15</v>
      </c>
      <c r="Q6" s="113">
        <v>3</v>
      </c>
      <c r="R6" s="113">
        <v>2</v>
      </c>
      <c r="S6" s="113">
        <v>3</v>
      </c>
      <c r="T6" s="113">
        <v>2</v>
      </c>
      <c r="U6" s="113">
        <v>8</v>
      </c>
      <c r="V6" s="113">
        <v>4</v>
      </c>
      <c r="W6" s="113">
        <v>4</v>
      </c>
      <c r="X6" s="113">
        <v>4</v>
      </c>
      <c r="Y6" s="113">
        <v>4</v>
      </c>
      <c r="Z6" s="113">
        <v>4</v>
      </c>
      <c r="AA6" s="113">
        <v>1</v>
      </c>
      <c r="AB6" s="113" t="s">
        <v>1614</v>
      </c>
      <c r="AC6" s="113" t="s">
        <v>1614</v>
      </c>
      <c r="AD6" s="113" t="s">
        <v>1614</v>
      </c>
      <c r="AE6" s="113" t="s">
        <v>1614</v>
      </c>
      <c r="AF6" s="113" t="s">
        <v>1614</v>
      </c>
      <c r="AG6" s="113" t="s">
        <v>1614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1568</v>
      </c>
      <c r="C7" s="189">
        <v>5</v>
      </c>
      <c r="D7" s="156" t="s">
        <v>1831</v>
      </c>
      <c r="E7" s="157">
        <v>45432</v>
      </c>
      <c r="F7" s="156">
        <v>1</v>
      </c>
      <c r="G7" s="111" t="s">
        <v>1614</v>
      </c>
      <c r="H7" s="156" t="s">
        <v>1617</v>
      </c>
      <c r="I7" s="113">
        <v>2</v>
      </c>
      <c r="J7" s="113">
        <v>4</v>
      </c>
      <c r="K7" s="113">
        <v>11</v>
      </c>
      <c r="L7" s="113">
        <v>15</v>
      </c>
      <c r="M7" s="113">
        <v>2</v>
      </c>
      <c r="N7" s="113">
        <v>4</v>
      </c>
      <c r="O7" s="113">
        <v>30</v>
      </c>
      <c r="P7" s="113">
        <v>15</v>
      </c>
      <c r="Q7" s="113">
        <v>3</v>
      </c>
      <c r="R7" s="113">
        <v>2</v>
      </c>
      <c r="S7" s="113">
        <v>4</v>
      </c>
      <c r="T7" s="113">
        <v>4</v>
      </c>
      <c r="U7" s="113">
        <v>14</v>
      </c>
      <c r="V7" s="113">
        <v>11</v>
      </c>
      <c r="W7" s="113">
        <v>11</v>
      </c>
      <c r="X7" s="113">
        <v>4</v>
      </c>
      <c r="Y7" s="113">
        <v>20</v>
      </c>
      <c r="Z7" s="113">
        <v>6</v>
      </c>
      <c r="AA7" s="113">
        <v>5</v>
      </c>
      <c r="AB7" s="113" t="s">
        <v>1614</v>
      </c>
      <c r="AC7" s="113" t="s">
        <v>1614</v>
      </c>
      <c r="AD7" s="113" t="s">
        <v>1614</v>
      </c>
      <c r="AE7" s="113" t="s">
        <v>1614</v>
      </c>
      <c r="AF7" s="113" t="s">
        <v>1614</v>
      </c>
      <c r="AG7" s="113" t="s">
        <v>1614</v>
      </c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59" t="s">
        <v>1569</v>
      </c>
      <c r="C8" s="152">
        <v>6</v>
      </c>
      <c r="D8" s="156" t="s">
        <v>1832</v>
      </c>
      <c r="E8" s="157">
        <v>45432</v>
      </c>
      <c r="F8" s="156">
        <v>1</v>
      </c>
      <c r="G8" s="111" cm="1">
        <f t="array" ref="G8">SUMPRODUCT(--(I8:AG8&gt;0))/COUNTA(I8:AG8)</f>
        <v>1</v>
      </c>
      <c r="H8" s="156" t="s">
        <v>1617</v>
      </c>
      <c r="I8" s="156">
        <v>2</v>
      </c>
      <c r="J8" s="156">
        <v>4</v>
      </c>
      <c r="K8" s="156">
        <v>11</v>
      </c>
      <c r="L8" s="156">
        <v>15</v>
      </c>
      <c r="M8" s="156">
        <v>2</v>
      </c>
      <c r="N8" s="156">
        <v>4</v>
      </c>
      <c r="O8" s="156">
        <v>30</v>
      </c>
      <c r="P8" s="156">
        <v>15</v>
      </c>
      <c r="Q8" s="156">
        <v>3</v>
      </c>
      <c r="R8" s="156">
        <v>2</v>
      </c>
      <c r="S8" s="156">
        <v>3</v>
      </c>
      <c r="T8" s="156">
        <v>2</v>
      </c>
      <c r="U8" s="156">
        <v>8</v>
      </c>
      <c r="V8" s="156">
        <v>4</v>
      </c>
      <c r="W8" s="156">
        <v>4</v>
      </c>
      <c r="X8" s="156">
        <v>4</v>
      </c>
      <c r="Y8" s="156">
        <v>4</v>
      </c>
      <c r="Z8" s="156">
        <v>4</v>
      </c>
      <c r="AA8" s="156">
        <v>1</v>
      </c>
      <c r="AB8" s="180">
        <v>1</v>
      </c>
      <c r="AC8" s="180">
        <v>1</v>
      </c>
      <c r="AD8" s="180">
        <v>1</v>
      </c>
      <c r="AE8" s="156">
        <v>2</v>
      </c>
      <c r="AF8" s="156">
        <v>10</v>
      </c>
      <c r="AG8" s="156">
        <v>23</v>
      </c>
    </row>
    <row r="9" spans="2:49">
      <c r="B9" s="155" t="s">
        <v>1572</v>
      </c>
      <c r="C9" s="152">
        <v>7</v>
      </c>
      <c r="D9" s="156" t="s">
        <v>1833</v>
      </c>
      <c r="E9" s="157">
        <v>45432</v>
      </c>
      <c r="F9" s="156">
        <v>1</v>
      </c>
      <c r="G9" s="111" cm="1">
        <f t="array" aca="1" ref="G9" ca="1">SUMPRODUCT(--(I9:AD9&lt;=I25:AD25))/COUNTA(I25:AD25)</f>
        <v>1</v>
      </c>
      <c r="H9" s="156" t="s">
        <v>1617</v>
      </c>
      <c r="I9" s="156">
        <v>2</v>
      </c>
      <c r="J9" s="156">
        <v>4</v>
      </c>
      <c r="K9" s="156">
        <v>11</v>
      </c>
      <c r="L9" s="156">
        <v>15</v>
      </c>
      <c r="M9" s="156">
        <v>2</v>
      </c>
      <c r="N9" s="156">
        <v>4</v>
      </c>
      <c r="O9" s="156">
        <v>30</v>
      </c>
      <c r="P9" s="156">
        <v>15</v>
      </c>
      <c r="Q9" s="156">
        <v>3</v>
      </c>
      <c r="R9" s="156">
        <v>2</v>
      </c>
      <c r="S9" s="156">
        <v>4</v>
      </c>
      <c r="T9" s="156">
        <v>4</v>
      </c>
      <c r="U9" s="156">
        <v>14</v>
      </c>
      <c r="V9" s="156">
        <v>11</v>
      </c>
      <c r="W9" s="156">
        <v>11</v>
      </c>
      <c r="X9" s="156">
        <v>4</v>
      </c>
      <c r="Y9" s="156">
        <v>20</v>
      </c>
      <c r="Z9" s="156">
        <v>6</v>
      </c>
      <c r="AA9" s="156">
        <v>5</v>
      </c>
      <c r="AB9" s="180">
        <v>10</v>
      </c>
      <c r="AC9" s="180">
        <v>10</v>
      </c>
      <c r="AD9" s="180">
        <v>10</v>
      </c>
      <c r="AE9" s="156">
        <v>2</v>
      </c>
      <c r="AF9" s="156">
        <v>10</v>
      </c>
      <c r="AG9" s="156">
        <v>23</v>
      </c>
    </row>
    <row r="10" spans="2:49">
      <c r="B10" s="155" t="s">
        <v>1575</v>
      </c>
      <c r="C10" s="152">
        <v>8</v>
      </c>
      <c r="D10" s="156" t="s">
        <v>1834</v>
      </c>
      <c r="E10" s="157">
        <v>45432</v>
      </c>
      <c r="F10" s="156">
        <v>1</v>
      </c>
      <c r="G10" s="111" t="s">
        <v>1614</v>
      </c>
      <c r="H10" s="156" t="s">
        <v>1617</v>
      </c>
      <c r="I10" s="156">
        <v>31</v>
      </c>
      <c r="J10" s="156">
        <v>3</v>
      </c>
      <c r="K10" s="156">
        <v>61080</v>
      </c>
      <c r="L10" s="156">
        <v>1</v>
      </c>
      <c r="M10" s="156">
        <v>31</v>
      </c>
      <c r="N10" s="156">
        <v>0</v>
      </c>
      <c r="O10" s="156">
        <v>8.2581530199999995E+23</v>
      </c>
      <c r="P10" s="156">
        <v>0</v>
      </c>
      <c r="Q10" s="156">
        <v>7</v>
      </c>
      <c r="R10" s="156">
        <v>1</v>
      </c>
      <c r="S10" s="157" t="e">
        <v>#N/A</v>
      </c>
      <c r="T10" s="157" t="e">
        <v>#N/A</v>
      </c>
      <c r="U10" s="158" t="s">
        <v>1624</v>
      </c>
      <c r="V10" s="157" t="s">
        <v>1835</v>
      </c>
      <c r="W10" s="156" t="s">
        <v>1835</v>
      </c>
      <c r="X10" s="156" t="e">
        <v>#N/A</v>
      </c>
      <c r="Y10" s="158" t="e">
        <v>#N/A</v>
      </c>
      <c r="Z10" s="156" t="s">
        <v>1617</v>
      </c>
      <c r="AA10" s="156">
        <v>0</v>
      </c>
      <c r="AB10" s="180"/>
      <c r="AC10" s="180"/>
      <c r="AD10" s="180"/>
      <c r="AE10" s="156" t="s">
        <v>1778</v>
      </c>
      <c r="AF10" s="157">
        <v>45432</v>
      </c>
      <c r="AG10" s="156" t="s">
        <v>1836</v>
      </c>
    </row>
    <row r="11" spans="2:49">
      <c r="B11" s="155" t="s">
        <v>1577</v>
      </c>
      <c r="C11" s="152">
        <v>9</v>
      </c>
      <c r="D11" s="156" t="s">
        <v>1837</v>
      </c>
      <c r="E11" s="157">
        <v>45432</v>
      </c>
      <c r="F11" s="156">
        <v>1</v>
      </c>
      <c r="G11" s="111" t="s">
        <v>1614</v>
      </c>
      <c r="H11" s="156" t="s">
        <v>1617</v>
      </c>
      <c r="I11" s="156">
        <v>31</v>
      </c>
      <c r="J11" s="156">
        <v>3</v>
      </c>
      <c r="K11" s="156">
        <v>61080</v>
      </c>
      <c r="L11" s="156">
        <v>1</v>
      </c>
      <c r="M11" s="156">
        <v>31</v>
      </c>
      <c r="N11" s="156">
        <v>0</v>
      </c>
      <c r="O11" s="156">
        <v>8.2581530199999995E+23</v>
      </c>
      <c r="P11" s="156">
        <v>0</v>
      </c>
      <c r="Q11" s="156">
        <v>7</v>
      </c>
      <c r="R11" s="156">
        <v>1</v>
      </c>
      <c r="S11" s="157" t="e">
        <v>#N/A</v>
      </c>
      <c r="T11" s="157" t="e">
        <v>#N/A</v>
      </c>
      <c r="U11" s="156">
        <v>0</v>
      </c>
      <c r="V11" s="157" t="s">
        <v>1838</v>
      </c>
      <c r="W11" s="158" t="s">
        <v>1838</v>
      </c>
      <c r="X11" s="156" t="e">
        <v>#N/A</v>
      </c>
      <c r="Y11" s="158" t="e">
        <v>#N/A</v>
      </c>
      <c r="Z11" s="156" t="s">
        <v>1617</v>
      </c>
      <c r="AA11" s="156">
        <v>0</v>
      </c>
      <c r="AB11" s="180"/>
      <c r="AC11" s="180"/>
      <c r="AD11" s="180"/>
      <c r="AE11" s="156" t="s">
        <v>1630</v>
      </c>
      <c r="AF11" s="157">
        <v>45432</v>
      </c>
      <c r="AG11" s="156" t="s">
        <v>1839</v>
      </c>
    </row>
    <row r="12" spans="2:49">
      <c r="B12" s="159" t="s">
        <v>1579</v>
      </c>
      <c r="C12" s="152">
        <v>10</v>
      </c>
      <c r="D12" s="156" t="s">
        <v>1840</v>
      </c>
      <c r="E12" s="157">
        <v>45432</v>
      </c>
      <c r="F12" s="156">
        <v>1</v>
      </c>
      <c r="G12" s="111" t="s">
        <v>1614</v>
      </c>
      <c r="H12" s="156" t="s">
        <v>1617</v>
      </c>
      <c r="I12" s="156">
        <v>31</v>
      </c>
      <c r="J12" s="156">
        <v>5321</v>
      </c>
      <c r="K12" s="156">
        <v>2229679080</v>
      </c>
      <c r="L12" s="156">
        <v>37</v>
      </c>
      <c r="M12" s="156">
        <v>31</v>
      </c>
      <c r="N12" s="156">
        <v>5425</v>
      </c>
      <c r="O12" s="156">
        <v>5.42500000473051E+29</v>
      </c>
      <c r="P12" s="156">
        <v>933000313600000</v>
      </c>
      <c r="Q12" s="156">
        <v>75</v>
      </c>
      <c r="R12" s="156">
        <v>12</v>
      </c>
      <c r="S12" s="157" t="s">
        <v>1841</v>
      </c>
      <c r="T12" s="156">
        <v>33</v>
      </c>
      <c r="U12" s="158">
        <v>9985000000</v>
      </c>
      <c r="V12" s="158" t="s">
        <v>1842</v>
      </c>
      <c r="W12" s="158" t="s">
        <v>1842</v>
      </c>
      <c r="X12" s="156">
        <v>9220</v>
      </c>
      <c r="Y12" s="158">
        <v>9500002232</v>
      </c>
      <c r="Z12" s="158" t="s">
        <v>1843</v>
      </c>
      <c r="AA12" s="156">
        <v>999</v>
      </c>
      <c r="AB12" s="180"/>
      <c r="AC12" s="180"/>
      <c r="AD12" s="180"/>
      <c r="AE12" s="156" t="s">
        <v>1778</v>
      </c>
      <c r="AF12" s="157">
        <v>45432</v>
      </c>
      <c r="AG12" s="156" t="s">
        <v>1836</v>
      </c>
    </row>
    <row r="13" spans="2:49">
      <c r="B13" s="155" t="s">
        <v>1581</v>
      </c>
      <c r="C13" s="152">
        <v>11</v>
      </c>
      <c r="D13" s="156" t="s">
        <v>1844</v>
      </c>
      <c r="E13" s="157">
        <v>45432</v>
      </c>
      <c r="F13" s="156">
        <v>1</v>
      </c>
      <c r="G13" s="111" t="s">
        <v>1614</v>
      </c>
      <c r="H13" s="156" t="s">
        <v>1617</v>
      </c>
      <c r="I13" s="156">
        <v>31</v>
      </c>
      <c r="J13" s="156">
        <v>5321</v>
      </c>
      <c r="K13" s="156">
        <v>2229679080</v>
      </c>
      <c r="L13" s="156">
        <v>37</v>
      </c>
      <c r="M13" s="156">
        <v>31</v>
      </c>
      <c r="N13" s="156">
        <v>5425</v>
      </c>
      <c r="O13" s="156">
        <v>5.42500000473051E+29</v>
      </c>
      <c r="P13" s="156">
        <v>933000313600000</v>
      </c>
      <c r="Q13" s="156">
        <v>75</v>
      </c>
      <c r="R13" s="156">
        <v>12</v>
      </c>
      <c r="S13" s="157" t="s">
        <v>1841</v>
      </c>
      <c r="T13" s="156">
        <v>33</v>
      </c>
      <c r="U13" s="156">
        <v>5608947</v>
      </c>
      <c r="V13" s="158">
        <v>26079750000000</v>
      </c>
      <c r="W13" s="158">
        <v>26079750000000</v>
      </c>
      <c r="X13" s="156">
        <v>9220</v>
      </c>
      <c r="Y13" s="158">
        <v>9500002232</v>
      </c>
      <c r="Z13" s="158" t="s">
        <v>1845</v>
      </c>
      <c r="AA13" s="156">
        <v>47546</v>
      </c>
      <c r="AB13" s="180"/>
      <c r="AC13" s="180"/>
      <c r="AD13" s="180"/>
      <c r="AE13" s="156" t="s">
        <v>1630</v>
      </c>
      <c r="AF13" s="157">
        <v>45432</v>
      </c>
      <c r="AG13" s="156" t="s">
        <v>1846</v>
      </c>
    </row>
    <row r="14" spans="2:49">
      <c r="B14" s="155" t="s">
        <v>1583</v>
      </c>
      <c r="C14" s="152">
        <v>12</v>
      </c>
      <c r="D14" s="156" t="s">
        <v>1847</v>
      </c>
      <c r="E14" s="157">
        <v>45432</v>
      </c>
      <c r="F14" s="156">
        <v>1</v>
      </c>
      <c r="G14" s="156">
        <v>1</v>
      </c>
      <c r="H14" s="156" t="s">
        <v>1617</v>
      </c>
      <c r="I14" s="156">
        <v>0</v>
      </c>
      <c r="J14" s="156">
        <v>0</v>
      </c>
      <c r="K14" s="156">
        <v>0</v>
      </c>
      <c r="L14" s="156">
        <v>0</v>
      </c>
      <c r="M14" s="156">
        <v>0</v>
      </c>
      <c r="N14" s="156">
        <v>0</v>
      </c>
      <c r="O14" s="156">
        <v>0</v>
      </c>
      <c r="P14" s="156">
        <v>0</v>
      </c>
      <c r="Q14" s="156">
        <v>0</v>
      </c>
      <c r="R14" s="156">
        <v>0</v>
      </c>
      <c r="S14" s="156">
        <v>0</v>
      </c>
      <c r="T14" s="156">
        <v>0</v>
      </c>
      <c r="U14" s="156">
        <v>0</v>
      </c>
      <c r="V14" s="156">
        <v>0</v>
      </c>
      <c r="W14" s="156">
        <v>0</v>
      </c>
      <c r="X14" s="156">
        <v>0</v>
      </c>
      <c r="Y14" s="156">
        <v>0</v>
      </c>
      <c r="Z14" s="156">
        <v>0</v>
      </c>
      <c r="AA14" s="156">
        <v>0</v>
      </c>
      <c r="AB14" s="180"/>
      <c r="AC14" s="180"/>
      <c r="AD14" s="180"/>
      <c r="AE14" s="156">
        <v>0</v>
      </c>
      <c r="AF14" s="156">
        <v>0</v>
      </c>
      <c r="AG14" s="156">
        <v>0</v>
      </c>
    </row>
    <row r="15" spans="2:49">
      <c r="B15" s="155" t="s">
        <v>1587</v>
      </c>
      <c r="C15" s="152">
        <v>14</v>
      </c>
      <c r="D15" s="156" t="s">
        <v>1848</v>
      </c>
      <c r="E15" s="157">
        <v>45432</v>
      </c>
      <c r="F15" s="156">
        <v>1</v>
      </c>
      <c r="G15" s="156">
        <v>1</v>
      </c>
      <c r="H15" s="156" t="s">
        <v>1617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>
        <v>0</v>
      </c>
      <c r="P15" s="156">
        <v>0</v>
      </c>
      <c r="Q15" s="156">
        <v>0</v>
      </c>
      <c r="R15" s="156">
        <v>0</v>
      </c>
      <c r="S15" s="156">
        <v>0</v>
      </c>
      <c r="T15" s="156">
        <v>0</v>
      </c>
      <c r="U15" s="156" t="s">
        <v>1614</v>
      </c>
      <c r="V15" s="156" t="s">
        <v>1614</v>
      </c>
      <c r="W15" s="156" t="s">
        <v>1614</v>
      </c>
      <c r="X15" s="156">
        <v>0</v>
      </c>
      <c r="Y15" s="156">
        <v>0</v>
      </c>
      <c r="Z15" s="156" t="s">
        <v>1614</v>
      </c>
      <c r="AA15" s="156">
        <v>0</v>
      </c>
      <c r="AB15" s="180"/>
      <c r="AC15" s="180"/>
      <c r="AD15" s="180"/>
      <c r="AE15" s="156">
        <v>0</v>
      </c>
      <c r="AF15" s="156" t="s">
        <v>1614</v>
      </c>
      <c r="AG15" s="156" t="s">
        <v>1614</v>
      </c>
    </row>
    <row r="16" spans="2:49">
      <c r="B16" s="155" t="s">
        <v>1589</v>
      </c>
      <c r="C16" s="152">
        <v>15</v>
      </c>
      <c r="D16" s="156" t="s">
        <v>1849</v>
      </c>
      <c r="E16" s="157">
        <v>45432</v>
      </c>
      <c r="F16" s="156">
        <v>1</v>
      </c>
      <c r="G16" s="156">
        <v>1</v>
      </c>
      <c r="H16" s="156" t="s">
        <v>1617</v>
      </c>
      <c r="I16" s="156" t="s">
        <v>1614</v>
      </c>
      <c r="J16" s="156" t="s">
        <v>1614</v>
      </c>
      <c r="K16" s="156" t="s">
        <v>1614</v>
      </c>
      <c r="L16" s="156" t="s">
        <v>1614</v>
      </c>
      <c r="M16" s="156" t="s">
        <v>1614</v>
      </c>
      <c r="N16" s="156" t="s">
        <v>1614</v>
      </c>
      <c r="O16" s="156" t="s">
        <v>1614</v>
      </c>
      <c r="P16" s="156" t="s">
        <v>1614</v>
      </c>
      <c r="Q16" s="156" t="s">
        <v>1614</v>
      </c>
      <c r="R16" s="156" t="s">
        <v>1614</v>
      </c>
      <c r="S16" s="156" t="s">
        <v>1614</v>
      </c>
      <c r="T16" s="156" t="s">
        <v>1614</v>
      </c>
      <c r="U16" s="156" t="s">
        <v>1614</v>
      </c>
      <c r="V16" s="156" t="s">
        <v>1614</v>
      </c>
      <c r="W16" s="156" t="s">
        <v>1614</v>
      </c>
      <c r="X16" s="156" t="s">
        <v>1614</v>
      </c>
      <c r="Y16" s="156" t="s">
        <v>1614</v>
      </c>
      <c r="Z16" s="156" t="s">
        <v>1614</v>
      </c>
      <c r="AA16" s="156" t="s">
        <v>1614</v>
      </c>
      <c r="AB16" s="180"/>
      <c r="AC16" s="180"/>
      <c r="AD16" s="180"/>
      <c r="AE16" s="156" t="s">
        <v>1614</v>
      </c>
      <c r="AF16" s="156" t="s">
        <v>1614</v>
      </c>
      <c r="AG16" s="156" t="s">
        <v>1614</v>
      </c>
    </row>
    <row r="17" spans="2:33">
      <c r="B17" s="155" t="s">
        <v>1591</v>
      </c>
      <c r="C17" s="152">
        <v>16</v>
      </c>
      <c r="D17" s="156" t="s">
        <v>1849</v>
      </c>
      <c r="E17" s="157">
        <v>45432</v>
      </c>
      <c r="F17" s="156">
        <v>1</v>
      </c>
      <c r="G17" s="156">
        <v>1</v>
      </c>
      <c r="H17" s="156" t="s">
        <v>1617</v>
      </c>
      <c r="I17" s="156" t="s">
        <v>1614</v>
      </c>
      <c r="J17" s="156" t="s">
        <v>1614</v>
      </c>
      <c r="K17" s="156" t="s">
        <v>1614</v>
      </c>
      <c r="L17" s="156" t="s">
        <v>1614</v>
      </c>
      <c r="M17" s="156" t="s">
        <v>1614</v>
      </c>
      <c r="N17" s="156" t="s">
        <v>1614</v>
      </c>
      <c r="O17" s="156" t="s">
        <v>1614</v>
      </c>
      <c r="P17" s="156" t="s">
        <v>1614</v>
      </c>
      <c r="Q17" s="156" t="s">
        <v>1614</v>
      </c>
      <c r="R17" s="156" t="s">
        <v>1614</v>
      </c>
      <c r="S17" s="156" t="s">
        <v>1614</v>
      </c>
      <c r="T17" s="156" t="s">
        <v>1614</v>
      </c>
      <c r="U17" s="156" t="s">
        <v>1614</v>
      </c>
      <c r="V17" s="156" t="s">
        <v>1614</v>
      </c>
      <c r="W17" s="156" t="s">
        <v>1614</v>
      </c>
      <c r="X17" s="156" t="s">
        <v>1614</v>
      </c>
      <c r="Y17" s="156" t="s">
        <v>1614</v>
      </c>
      <c r="Z17" s="156" t="s">
        <v>1614</v>
      </c>
      <c r="AA17" s="156" t="s">
        <v>1614</v>
      </c>
      <c r="AB17" s="180"/>
      <c r="AC17" s="180"/>
      <c r="AD17" s="180"/>
      <c r="AE17" s="156" t="s">
        <v>1614</v>
      </c>
      <c r="AF17" s="156" t="s">
        <v>1614</v>
      </c>
      <c r="AG17" s="156" t="s">
        <v>1614</v>
      </c>
    </row>
    <row r="18" spans="2:33">
      <c r="B18" s="155" t="s">
        <v>1597</v>
      </c>
      <c r="C18" s="152">
        <v>19</v>
      </c>
      <c r="D18" s="156" t="s">
        <v>1850</v>
      </c>
      <c r="E18" s="157">
        <v>45432</v>
      </c>
      <c r="F18" s="156">
        <v>1</v>
      </c>
      <c r="G18" s="179" cm="1">
        <f t="array" aca="1" ref="G18" ca="1">SUMPRODUCT(--(ISNUMBER((SEARCH(I25:AG25,I18:AG18)))))/COUNTA(I18:AG18)</f>
        <v>1</v>
      </c>
      <c r="H18" s="156" t="s">
        <v>1617</v>
      </c>
      <c r="I18" s="156" t="s">
        <v>1654</v>
      </c>
      <c r="J18" s="156" t="s">
        <v>1654</v>
      </c>
      <c r="K18" s="156" t="s">
        <v>1654</v>
      </c>
      <c r="L18" s="156" t="s">
        <v>1654</v>
      </c>
      <c r="M18" s="156" t="s">
        <v>1654</v>
      </c>
      <c r="N18" s="156" t="s">
        <v>1654</v>
      </c>
      <c r="O18" s="156" t="s">
        <v>1654</v>
      </c>
      <c r="P18" s="156" t="s">
        <v>1654</v>
      </c>
      <c r="Q18" s="156" t="s">
        <v>1654</v>
      </c>
      <c r="R18" s="156" t="s">
        <v>1654</v>
      </c>
      <c r="S18" s="156" t="s">
        <v>1654</v>
      </c>
      <c r="T18" s="156" t="s">
        <v>1654</v>
      </c>
      <c r="U18" s="156" t="s">
        <v>1654</v>
      </c>
      <c r="V18" s="156" t="s">
        <v>1654</v>
      </c>
      <c r="W18" s="156" t="s">
        <v>1654</v>
      </c>
      <c r="X18" s="156" t="s">
        <v>1654</v>
      </c>
      <c r="Y18" s="156" t="s">
        <v>1654</v>
      </c>
      <c r="Z18" s="156" t="s">
        <v>1654</v>
      </c>
      <c r="AA18" s="156" t="s">
        <v>1654</v>
      </c>
      <c r="AB18" s="180" t="s">
        <v>1654</v>
      </c>
      <c r="AC18" s="180" t="s">
        <v>1654</v>
      </c>
      <c r="AD18" s="180" t="s">
        <v>1654</v>
      </c>
      <c r="AE18" s="156" t="s">
        <v>1654</v>
      </c>
      <c r="AF18" s="156" t="s">
        <v>1654</v>
      </c>
      <c r="AG18" s="156" t="s">
        <v>1655</v>
      </c>
    </row>
    <row r="19" spans="2:33">
      <c r="B19" s="178" t="s">
        <v>1600</v>
      </c>
      <c r="C19" s="152">
        <v>20</v>
      </c>
      <c r="D19" s="156" t="s">
        <v>1831</v>
      </c>
      <c r="E19" s="157">
        <v>45432</v>
      </c>
      <c r="F19" s="156">
        <v>1</v>
      </c>
      <c r="G19" s="111" cm="1">
        <f t="array" ref="G19">SUM(IF(H2:AG2 = H24:AG24, 1, 0))/ COUNTA(H2:AG2)</f>
        <v>1</v>
      </c>
      <c r="H19" s="156" t="s">
        <v>1617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</row>
    <row r="20" spans="2:33">
      <c r="B20" s="160" t="s">
        <v>1603</v>
      </c>
      <c r="C20" s="153">
        <v>21</v>
      </c>
      <c r="D20" s="156" t="s">
        <v>1831</v>
      </c>
      <c r="E20" s="157">
        <v>45432</v>
      </c>
      <c r="F20" s="156">
        <v>1</v>
      </c>
      <c r="G20" s="111" cm="1">
        <f t="array" aca="1" ref="G20" ca="1">SUM(IF(IF(G3:G19="null",1,G3:G19)=1,1,0))/COUNT(IF(G3:G19="null",1,1))</f>
        <v>1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</row>
    <row r="21" spans="2:33">
      <c r="C21" s="150"/>
      <c r="D21" s="156"/>
      <c r="E21" s="157"/>
      <c r="F21" s="156"/>
      <c r="G21" s="158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</row>
    <row r="23" spans="2:33">
      <c r="B23" s="164" t="s">
        <v>1656</v>
      </c>
    </row>
    <row r="24" spans="2:33">
      <c r="B24" s="168" t="s">
        <v>1558</v>
      </c>
      <c r="C24" s="169" t="s">
        <v>1607</v>
      </c>
      <c r="D24" s="169" t="s">
        <v>1608</v>
      </c>
      <c r="E24" s="169" t="s">
        <v>1609</v>
      </c>
      <c r="F24" s="169" t="s">
        <v>1610</v>
      </c>
      <c r="G24" s="169" t="s">
        <v>1611</v>
      </c>
      <c r="H24" s="169" t="s">
        <v>1612</v>
      </c>
      <c r="I24" s="170" t="s">
        <v>828</v>
      </c>
      <c r="J24" s="170" t="s">
        <v>833</v>
      </c>
      <c r="K24" s="170" t="s">
        <v>839</v>
      </c>
      <c r="L24" s="170" t="s">
        <v>845</v>
      </c>
      <c r="M24" s="170" t="s">
        <v>851</v>
      </c>
      <c r="N24" s="170" t="s">
        <v>858</v>
      </c>
      <c r="O24" s="170" t="s">
        <v>864</v>
      </c>
      <c r="P24" s="170" t="s">
        <v>870</v>
      </c>
      <c r="Q24" s="170" t="s">
        <v>722</v>
      </c>
      <c r="R24" s="170" t="s">
        <v>742</v>
      </c>
      <c r="S24" s="170" t="s">
        <v>1113</v>
      </c>
      <c r="T24" s="170" t="s">
        <v>757</v>
      </c>
      <c r="U24" s="170" t="s">
        <v>1122</v>
      </c>
      <c r="V24" s="170" t="s">
        <v>1129</v>
      </c>
      <c r="W24" s="170" t="s">
        <v>1135</v>
      </c>
      <c r="X24" s="170" t="s">
        <v>1141</v>
      </c>
      <c r="Y24" s="170" t="s">
        <v>750</v>
      </c>
      <c r="Z24" s="170" t="s">
        <v>1150</v>
      </c>
      <c r="AA24" s="170" t="s">
        <v>1157</v>
      </c>
      <c r="AB24" s="170" t="s">
        <v>1164</v>
      </c>
      <c r="AC24" s="170" t="s">
        <v>1170</v>
      </c>
      <c r="AD24" s="170" t="s">
        <v>1176</v>
      </c>
      <c r="AE24" s="170" t="s">
        <v>1005</v>
      </c>
      <c r="AF24" s="170" t="s">
        <v>783</v>
      </c>
      <c r="AG24" s="171" t="s">
        <v>790</v>
      </c>
    </row>
    <row r="25" spans="2:33">
      <c r="B25" s="165" t="s">
        <v>1657</v>
      </c>
      <c r="C25" s="126">
        <v>19</v>
      </c>
      <c r="D25" s="166" t="s">
        <v>1658</v>
      </c>
      <c r="E25" s="125" t="s">
        <v>1659</v>
      </c>
      <c r="F25" s="125" t="s">
        <v>1660</v>
      </c>
      <c r="G25" s="125" t="s">
        <v>1660</v>
      </c>
      <c r="H25" s="125" t="s">
        <v>1660</v>
      </c>
      <c r="I25" s="125" t="str" cm="1">
        <f t="array" aca="1" ref="I25:AG26" ca="1">TRANSPOSE(_xlfn.SORTBY(_xlfn._xlws.FILTER(IF(Table2[FORMATO]:Table2[COMP_ CAMPO]&lt;&gt;"",Table2[FORMATO]:Table2[COMP_ CAMPO],9999999),Table2[NOME FÍSICO TABELA]="guarantee_financial_collat_rel"), _xlfn._xlws.FILTER(Table2[ORDEM], Table2[NOME FÍSICO TABELA]="guarantee_financial_collat_rel"), 1))</f>
        <v>STRING</v>
      </c>
      <c r="J25" s="125" t="str">
        <f ca="1"/>
        <v>STRING</v>
      </c>
      <c r="K25" s="125" t="str">
        <f ca="1"/>
        <v>STRING</v>
      </c>
      <c r="L25" s="125" t="str">
        <f ca="1"/>
        <v>STRING</v>
      </c>
      <c r="M25" s="125" t="str">
        <f ca="1"/>
        <v>STRING</v>
      </c>
      <c r="N25" s="125" t="str">
        <f ca="1"/>
        <v>STRING</v>
      </c>
      <c r="O25" s="125" t="str">
        <f ca="1"/>
        <v>STRING</v>
      </c>
      <c r="P25" s="167" t="str">
        <f ca="1"/>
        <v>STRING</v>
      </c>
      <c r="Q25" s="125" t="str">
        <f ca="1"/>
        <v>STRING</v>
      </c>
      <c r="R25" s="125" t="str">
        <f ca="1"/>
        <v>STRING</v>
      </c>
      <c r="S25" s="125" t="str">
        <f ca="1"/>
        <v>STRING</v>
      </c>
      <c r="T25" s="125" t="str">
        <f ca="1"/>
        <v>STRING</v>
      </c>
      <c r="U25" s="125" t="str">
        <f ca="1"/>
        <v>STRING</v>
      </c>
      <c r="V25" s="125" t="str">
        <f ca="1"/>
        <v>STRING</v>
      </c>
      <c r="W25" s="125" t="str">
        <f ca="1"/>
        <v>STRING</v>
      </c>
      <c r="X25" s="125" t="str">
        <f ca="1"/>
        <v>STRING</v>
      </c>
      <c r="Y25" s="125" t="str">
        <f ca="1"/>
        <v>STRING</v>
      </c>
      <c r="Z25" s="125" t="str">
        <f ca="1"/>
        <v>STRING</v>
      </c>
      <c r="AA25" s="125" t="str">
        <f ca="1"/>
        <v>STRING</v>
      </c>
      <c r="AB25" s="125" t="str">
        <f ca="1"/>
        <v>STRING</v>
      </c>
      <c r="AC25" s="125" t="str">
        <f ca="1"/>
        <v>STRING</v>
      </c>
      <c r="AD25" s="125" t="str">
        <f ca="1"/>
        <v>STRING</v>
      </c>
      <c r="AE25" s="125" t="str">
        <f ca="1"/>
        <v>STRING</v>
      </c>
      <c r="AF25" s="125" t="str">
        <f ca="1"/>
        <v>STRING</v>
      </c>
      <c r="AG25" s="167" t="str">
        <f ca="1"/>
        <v>TIMESTAMP</v>
      </c>
    </row>
    <row r="26" spans="2:33">
      <c r="B26" s="120" t="s">
        <v>1661</v>
      </c>
      <c r="C26" s="121">
        <v>7</v>
      </c>
      <c r="D26" s="122" t="s">
        <v>1658</v>
      </c>
      <c r="E26" s="123" t="s">
        <v>1659</v>
      </c>
      <c r="F26" s="123" t="s">
        <v>1660</v>
      </c>
      <c r="G26" s="123" t="s">
        <v>1660</v>
      </c>
      <c r="H26" s="123" t="s">
        <v>1660</v>
      </c>
      <c r="I26" s="121">
        <f ca="1"/>
        <v>2</v>
      </c>
      <c r="J26" s="121">
        <f ca="1"/>
        <v>20</v>
      </c>
      <c r="K26" s="121">
        <f ca="1"/>
        <v>11</v>
      </c>
      <c r="L26" s="123">
        <f ca="1"/>
        <v>20</v>
      </c>
      <c r="M26" s="123">
        <f ca="1"/>
        <v>2</v>
      </c>
      <c r="N26" s="123">
        <f ca="1"/>
        <v>20</v>
      </c>
      <c r="O26" s="123">
        <f ca="1"/>
        <v>30</v>
      </c>
      <c r="P26" s="124">
        <f ca="1"/>
        <v>20</v>
      </c>
      <c r="Q26" s="123">
        <f ca="1"/>
        <v>20</v>
      </c>
      <c r="R26" s="123">
        <f ca="1"/>
        <v>20</v>
      </c>
      <c r="S26" s="123">
        <f ca="1"/>
        <v>20</v>
      </c>
      <c r="T26" s="123">
        <f ca="1"/>
        <v>20</v>
      </c>
      <c r="U26" s="123">
        <f ca="1"/>
        <v>9999999</v>
      </c>
      <c r="V26" s="123">
        <f ca="1"/>
        <v>23</v>
      </c>
      <c r="W26" s="123">
        <f ca="1"/>
        <v>23</v>
      </c>
      <c r="X26" s="123">
        <f ca="1"/>
        <v>20</v>
      </c>
      <c r="Y26" s="123">
        <f ca="1"/>
        <v>20</v>
      </c>
      <c r="Z26" s="123">
        <f ca="1"/>
        <v>23</v>
      </c>
      <c r="AA26" s="123">
        <f ca="1"/>
        <v>20</v>
      </c>
      <c r="AB26" s="123">
        <f ca="1"/>
        <v>10</v>
      </c>
      <c r="AC26" s="123">
        <f ca="1"/>
        <v>10</v>
      </c>
      <c r="AD26" s="123">
        <f ca="1"/>
        <v>10</v>
      </c>
      <c r="AE26" s="123">
        <f ca="1"/>
        <v>3</v>
      </c>
      <c r="AF26" s="123">
        <f ca="1"/>
        <v>10</v>
      </c>
      <c r="AG26" s="124">
        <f ca="1"/>
        <v>23</v>
      </c>
    </row>
    <row r="28" spans="2:33">
      <c r="B28" s="177" t="s">
        <v>1662</v>
      </c>
    </row>
    <row r="29" spans="2:33">
      <c r="B29" s="163" t="s">
        <v>1663</v>
      </c>
      <c r="C29" s="117" t="s">
        <v>1664</v>
      </c>
      <c r="D29" s="119" t="s">
        <v>1665</v>
      </c>
      <c r="E29" s="117" t="s">
        <v>1666</v>
      </c>
      <c r="F29" s="119" t="s">
        <v>1667</v>
      </c>
    </row>
    <row r="30" spans="2:33">
      <c r="B30" s="130"/>
      <c r="C30" s="131"/>
      <c r="D30" s="74"/>
      <c r="E30" s="132"/>
      <c r="F30" s="133"/>
    </row>
    <row r="31" spans="2:33">
      <c r="B31" s="130"/>
      <c r="C31" s="154"/>
      <c r="D31" s="74"/>
      <c r="E31" s="132"/>
      <c r="F31" s="133"/>
    </row>
    <row r="32" spans="2:33">
      <c r="B32" s="130"/>
      <c r="C32" s="154"/>
      <c r="D32" s="74"/>
      <c r="E32" s="132"/>
      <c r="F32" s="133"/>
    </row>
    <row r="33" spans="2:6">
      <c r="B33" s="130"/>
      <c r="C33" s="214"/>
      <c r="D33" s="74"/>
      <c r="E33" s="132"/>
      <c r="F33" s="133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9191-E249-4EC1-83D6-E67F9046CFF7}">
  <sheetPr>
    <tabColor rgb="FF00B050"/>
  </sheetPr>
  <dimension ref="B1:AW29"/>
  <sheetViews>
    <sheetView workbookViewId="0">
      <selection activeCell="H26" sqref="H26"/>
    </sheetView>
  </sheetViews>
  <sheetFormatPr defaultRowHeight="15"/>
  <cols>
    <col min="1" max="1" width="12.28515625" customWidth="1"/>
    <col min="2" max="2" width="35.5703125" customWidth="1"/>
    <col min="3" max="3" width="24.8554687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28.28515625" customWidth="1"/>
    <col min="23" max="23" width="23.85546875" bestFit="1" customWidth="1"/>
    <col min="24" max="24" width="12.7109375" customWidth="1"/>
    <col min="25" max="25" width="17.28515625" customWidth="1"/>
    <col min="26" max="26" width="26.28515625" bestFit="1" customWidth="1"/>
    <col min="27" max="27" width="26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</cols>
  <sheetData>
    <row r="1" spans="2:49" ht="25.5" customHeight="1"/>
    <row r="2" spans="2:49">
      <c r="B2" s="151" t="s">
        <v>1606</v>
      </c>
      <c r="C2" s="151" t="s">
        <v>1607</v>
      </c>
      <c r="D2" t="s">
        <v>1608</v>
      </c>
      <c r="E2" t="s">
        <v>1609</v>
      </c>
      <c r="F2" t="s">
        <v>1610</v>
      </c>
      <c r="G2" t="s">
        <v>1611</v>
      </c>
      <c r="H2" t="s">
        <v>1612</v>
      </c>
      <c r="I2" t="s">
        <v>828</v>
      </c>
      <c r="J2" t="s">
        <v>833</v>
      </c>
      <c r="K2" t="s">
        <v>839</v>
      </c>
      <c r="L2" t="s">
        <v>845</v>
      </c>
      <c r="M2" t="s">
        <v>851</v>
      </c>
      <c r="N2" t="s">
        <v>858</v>
      </c>
      <c r="O2" t="s">
        <v>864</v>
      </c>
      <c r="P2" t="s">
        <v>870</v>
      </c>
      <c r="Q2" t="s">
        <v>764</v>
      </c>
      <c r="R2" t="s">
        <v>881</v>
      </c>
      <c r="S2" t="s">
        <v>1200</v>
      </c>
      <c r="T2" t="s">
        <v>1208</v>
      </c>
      <c r="U2" t="s">
        <v>722</v>
      </c>
      <c r="V2" t="s">
        <v>1216</v>
      </c>
      <c r="W2" t="s">
        <v>1164</v>
      </c>
      <c r="X2" t="s">
        <v>1170</v>
      </c>
      <c r="Y2" t="s">
        <v>1176</v>
      </c>
      <c r="Z2" t="s">
        <v>735</v>
      </c>
      <c r="AA2" t="s">
        <v>1231</v>
      </c>
      <c r="AB2" t="s">
        <v>1005</v>
      </c>
      <c r="AC2" t="s">
        <v>783</v>
      </c>
      <c r="AD2" t="s">
        <v>790</v>
      </c>
    </row>
    <row r="3" spans="2:49">
      <c r="B3" s="155" t="s">
        <v>1560</v>
      </c>
      <c r="C3" s="152">
        <v>1</v>
      </c>
      <c r="D3" s="156" t="s">
        <v>1851</v>
      </c>
      <c r="E3" s="157">
        <v>45432</v>
      </c>
      <c r="F3" s="156">
        <v>1</v>
      </c>
      <c r="G3" s="156">
        <v>1</v>
      </c>
      <c r="H3" s="156">
        <v>340497</v>
      </c>
      <c r="I3" s="156" t="s">
        <v>1614</v>
      </c>
      <c r="J3" s="156" t="s">
        <v>1614</v>
      </c>
      <c r="K3" s="156" t="s">
        <v>1614</v>
      </c>
      <c r="L3" s="156" t="s">
        <v>1614</v>
      </c>
      <c r="M3" s="156" t="s">
        <v>1614</v>
      </c>
      <c r="N3" s="156" t="s">
        <v>1614</v>
      </c>
      <c r="O3" s="156" t="s">
        <v>1614</v>
      </c>
      <c r="P3" s="156" t="s">
        <v>1614</v>
      </c>
      <c r="Q3" s="156" t="s">
        <v>1614</v>
      </c>
      <c r="R3" s="180"/>
      <c r="S3" s="156" t="s">
        <v>1614</v>
      </c>
      <c r="T3" s="156" t="s">
        <v>1614</v>
      </c>
      <c r="U3" s="156" t="s">
        <v>1614</v>
      </c>
      <c r="V3" s="156" t="s">
        <v>1614</v>
      </c>
      <c r="W3" s="180"/>
      <c r="X3" s="180"/>
      <c r="Y3" s="180"/>
      <c r="Z3" s="156" t="s">
        <v>1614</v>
      </c>
      <c r="AA3" s="156" t="s">
        <v>1614</v>
      </c>
      <c r="AB3" s="156" t="s">
        <v>1614</v>
      </c>
      <c r="AC3" s="156" t="s">
        <v>1614</v>
      </c>
      <c r="AD3" s="156" t="s">
        <v>1614</v>
      </c>
    </row>
    <row r="4" spans="2:49">
      <c r="B4" s="155" t="s">
        <v>1562</v>
      </c>
      <c r="C4" s="152">
        <v>2</v>
      </c>
      <c r="D4" s="156" t="s">
        <v>1852</v>
      </c>
      <c r="E4" s="157">
        <v>45432</v>
      </c>
      <c r="F4" s="156">
        <v>1</v>
      </c>
      <c r="G4" s="156">
        <v>1</v>
      </c>
      <c r="H4" s="156" t="s">
        <v>1617</v>
      </c>
      <c r="I4" s="156" t="s">
        <v>1614</v>
      </c>
      <c r="J4" s="156" t="s">
        <v>1614</v>
      </c>
      <c r="K4" s="156" t="s">
        <v>1614</v>
      </c>
      <c r="L4" s="156" t="s">
        <v>1614</v>
      </c>
      <c r="M4" s="156" t="s">
        <v>1614</v>
      </c>
      <c r="N4" s="156" t="s">
        <v>1614</v>
      </c>
      <c r="O4" s="156" t="s">
        <v>1614</v>
      </c>
      <c r="P4" s="156" t="s">
        <v>1614</v>
      </c>
      <c r="Q4" s="156" t="s">
        <v>1614</v>
      </c>
      <c r="R4" s="180"/>
      <c r="S4" s="156" t="s">
        <v>1614</v>
      </c>
      <c r="T4" s="156" t="s">
        <v>1614</v>
      </c>
      <c r="U4" s="156" t="s">
        <v>1614</v>
      </c>
      <c r="V4" s="156" t="s">
        <v>1614</v>
      </c>
      <c r="W4" s="180"/>
      <c r="X4" s="180"/>
      <c r="Y4" s="180"/>
      <c r="Z4" s="156" t="s">
        <v>1614</v>
      </c>
      <c r="AA4" s="156" t="s">
        <v>1614</v>
      </c>
      <c r="AB4" s="156" t="s">
        <v>1614</v>
      </c>
      <c r="AC4" s="156" t="s">
        <v>1614</v>
      </c>
      <c r="AD4" s="156" t="s">
        <v>1614</v>
      </c>
    </row>
    <row r="5" spans="2:49">
      <c r="B5" s="155" t="s">
        <v>1564</v>
      </c>
      <c r="C5" s="152">
        <v>3</v>
      </c>
      <c r="D5" s="156" t="s">
        <v>1853</v>
      </c>
      <c r="E5" s="157">
        <v>45432</v>
      </c>
      <c r="F5" s="156">
        <v>1</v>
      </c>
      <c r="G5" s="156">
        <v>1</v>
      </c>
      <c r="H5" s="156" t="s">
        <v>1617</v>
      </c>
      <c r="I5" s="156">
        <v>0</v>
      </c>
      <c r="J5" s="156">
        <v>0</v>
      </c>
      <c r="K5" s="156">
        <v>0</v>
      </c>
      <c r="L5" s="156">
        <v>0</v>
      </c>
      <c r="M5" s="156">
        <v>0</v>
      </c>
      <c r="N5" s="156">
        <v>0</v>
      </c>
      <c r="O5" s="156">
        <v>0</v>
      </c>
      <c r="P5" s="156">
        <v>0</v>
      </c>
      <c r="Q5" s="156">
        <v>0</v>
      </c>
      <c r="R5" s="180"/>
      <c r="S5" s="156" t="s">
        <v>1614</v>
      </c>
      <c r="T5" s="156" t="s">
        <v>1614</v>
      </c>
      <c r="U5" s="156" t="s">
        <v>1614</v>
      </c>
      <c r="V5" s="156" t="s">
        <v>1614</v>
      </c>
      <c r="W5" s="180"/>
      <c r="X5" s="180"/>
      <c r="Y5" s="180"/>
      <c r="Z5" s="156" t="s">
        <v>1614</v>
      </c>
      <c r="AA5" s="156" t="s">
        <v>1614</v>
      </c>
      <c r="AB5" s="156" t="s">
        <v>1614</v>
      </c>
      <c r="AC5" s="156" t="s">
        <v>1614</v>
      </c>
      <c r="AD5" s="156" t="s">
        <v>1614</v>
      </c>
    </row>
    <row r="6" spans="2:49">
      <c r="B6" s="188" t="s">
        <v>1566</v>
      </c>
      <c r="C6" s="189">
        <v>4</v>
      </c>
      <c r="D6" s="156" t="s">
        <v>1808</v>
      </c>
      <c r="E6" s="157" t="s">
        <v>1614</v>
      </c>
      <c r="F6" s="156">
        <v>1</v>
      </c>
      <c r="G6" s="111" t="s">
        <v>1614</v>
      </c>
      <c r="H6" s="156" t="s">
        <v>1617</v>
      </c>
      <c r="I6" s="113" t="s">
        <v>1614</v>
      </c>
      <c r="J6" s="113" t="s">
        <v>1614</v>
      </c>
      <c r="K6" s="113" t="s">
        <v>1614</v>
      </c>
      <c r="L6" s="113" t="s">
        <v>1614</v>
      </c>
      <c r="M6" s="113" t="s">
        <v>1614</v>
      </c>
      <c r="N6" s="113" t="s">
        <v>1614</v>
      </c>
      <c r="O6" s="113" t="s">
        <v>1614</v>
      </c>
      <c r="P6" s="113" t="s">
        <v>1614</v>
      </c>
      <c r="Q6" s="113" t="s">
        <v>1614</v>
      </c>
      <c r="R6" s="113" t="s">
        <v>1614</v>
      </c>
      <c r="S6" s="113" t="s">
        <v>1614</v>
      </c>
      <c r="T6" s="113" t="s">
        <v>1614</v>
      </c>
      <c r="U6" s="113" t="s">
        <v>1614</v>
      </c>
      <c r="V6" s="113" t="s">
        <v>1614</v>
      </c>
      <c r="W6" s="113" t="s">
        <v>1614</v>
      </c>
      <c r="X6" s="113" t="s">
        <v>1614</v>
      </c>
      <c r="Y6" s="113" t="s">
        <v>1614</v>
      </c>
      <c r="Z6" s="113" t="s">
        <v>1614</v>
      </c>
      <c r="AA6" s="113" t="s">
        <v>1614</v>
      </c>
      <c r="AB6" s="113" t="s">
        <v>1614</v>
      </c>
      <c r="AC6" s="113" t="s">
        <v>1614</v>
      </c>
      <c r="AD6" s="113" t="s">
        <v>1614</v>
      </c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1568</v>
      </c>
      <c r="C7" s="189">
        <v>5</v>
      </c>
      <c r="D7" s="156" t="s">
        <v>1808</v>
      </c>
      <c r="E7" s="157" t="s">
        <v>1614</v>
      </c>
      <c r="F7" s="156">
        <v>1</v>
      </c>
      <c r="G7" s="111" t="s">
        <v>1614</v>
      </c>
      <c r="H7" s="156" t="s">
        <v>1617</v>
      </c>
      <c r="I7" s="113" t="s">
        <v>1614</v>
      </c>
      <c r="J7" s="113" t="s">
        <v>1614</v>
      </c>
      <c r="K7" s="113" t="s">
        <v>1614</v>
      </c>
      <c r="L7" s="113" t="s">
        <v>1614</v>
      </c>
      <c r="M7" s="113" t="s">
        <v>1614</v>
      </c>
      <c r="N7" s="113" t="s">
        <v>1614</v>
      </c>
      <c r="O7" s="113" t="s">
        <v>1614</v>
      </c>
      <c r="P7" s="113" t="s">
        <v>1614</v>
      </c>
      <c r="Q7" s="113" t="s">
        <v>1614</v>
      </c>
      <c r="R7" s="113" t="s">
        <v>1614</v>
      </c>
      <c r="S7" s="113" t="s">
        <v>1614</v>
      </c>
      <c r="T7" s="113" t="s">
        <v>1614</v>
      </c>
      <c r="U7" s="113" t="s">
        <v>1614</v>
      </c>
      <c r="V7" s="113" t="s">
        <v>1614</v>
      </c>
      <c r="W7" s="113" t="s">
        <v>1614</v>
      </c>
      <c r="X7" s="113" t="s">
        <v>1614</v>
      </c>
      <c r="Y7" s="113" t="s">
        <v>1614</v>
      </c>
      <c r="Z7" s="113" t="s">
        <v>1614</v>
      </c>
      <c r="AA7" s="113" t="s">
        <v>1614</v>
      </c>
      <c r="AB7" s="113" t="s">
        <v>1614</v>
      </c>
      <c r="AC7" s="113" t="s">
        <v>1614</v>
      </c>
      <c r="AD7" s="113" t="s">
        <v>1614</v>
      </c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94" t="s">
        <v>1569</v>
      </c>
      <c r="C8" s="193">
        <v>6</v>
      </c>
      <c r="D8" s="156" t="s">
        <v>1854</v>
      </c>
      <c r="E8" s="157">
        <v>45432</v>
      </c>
      <c r="F8" s="156">
        <v>1</v>
      </c>
      <c r="G8" s="111" cm="1">
        <f t="array" ref="G8">SUMPRODUCT(--(I8:AD8&gt;0))/COUNTA(I8:AD8)</f>
        <v>1</v>
      </c>
      <c r="H8" s="156" t="s">
        <v>1617</v>
      </c>
      <c r="I8" s="156">
        <v>2</v>
      </c>
      <c r="J8" s="156">
        <v>4</v>
      </c>
      <c r="K8" s="156">
        <v>11</v>
      </c>
      <c r="L8" s="156">
        <v>15</v>
      </c>
      <c r="M8" s="156">
        <v>2</v>
      </c>
      <c r="N8" s="156">
        <v>4</v>
      </c>
      <c r="O8" s="156">
        <v>30</v>
      </c>
      <c r="P8" s="156">
        <v>15</v>
      </c>
      <c r="Q8" s="156">
        <v>10</v>
      </c>
      <c r="R8" s="180">
        <v>1</v>
      </c>
      <c r="S8" s="156">
        <v>1</v>
      </c>
      <c r="T8" s="156">
        <v>2</v>
      </c>
      <c r="U8" s="156">
        <v>3</v>
      </c>
      <c r="V8" s="156">
        <v>1</v>
      </c>
      <c r="W8" s="180">
        <v>1</v>
      </c>
      <c r="X8" s="180">
        <v>1</v>
      </c>
      <c r="Y8" s="180">
        <v>1</v>
      </c>
      <c r="Z8" s="156">
        <v>4</v>
      </c>
      <c r="AA8" s="156">
        <v>1</v>
      </c>
      <c r="AB8" s="156">
        <v>2</v>
      </c>
      <c r="AC8" s="156">
        <v>10</v>
      </c>
      <c r="AD8" s="156">
        <v>23</v>
      </c>
    </row>
    <row r="9" spans="2:49">
      <c r="B9" s="192" t="s">
        <v>1572</v>
      </c>
      <c r="C9" s="193">
        <v>7</v>
      </c>
      <c r="D9" s="156" t="s">
        <v>1855</v>
      </c>
      <c r="E9" s="157">
        <v>45432</v>
      </c>
      <c r="F9" s="156">
        <v>1</v>
      </c>
      <c r="G9" s="111" cm="1">
        <f t="array" aca="1" ref="G9" ca="1">SUMPRODUCT(--(I9:AD9&lt;=I25:AD25))/COUNTA(I25:AD25)</f>
        <v>1</v>
      </c>
      <c r="H9" s="156" t="s">
        <v>1617</v>
      </c>
      <c r="I9" s="156">
        <v>2</v>
      </c>
      <c r="J9" s="156">
        <v>4</v>
      </c>
      <c r="K9" s="156">
        <v>11</v>
      </c>
      <c r="L9" s="156">
        <v>15</v>
      </c>
      <c r="M9" s="156">
        <v>2</v>
      </c>
      <c r="N9" s="156">
        <v>4</v>
      </c>
      <c r="O9" s="156">
        <v>30</v>
      </c>
      <c r="P9" s="156">
        <v>15</v>
      </c>
      <c r="Q9" s="156">
        <v>10</v>
      </c>
      <c r="R9" s="180">
        <v>10</v>
      </c>
      <c r="S9" s="156">
        <v>1</v>
      </c>
      <c r="T9" s="156">
        <v>4</v>
      </c>
      <c r="U9" s="156">
        <v>3</v>
      </c>
      <c r="V9" s="156">
        <v>4</v>
      </c>
      <c r="W9" s="180">
        <v>10</v>
      </c>
      <c r="X9" s="180">
        <v>10</v>
      </c>
      <c r="Y9" s="180">
        <v>10</v>
      </c>
      <c r="Z9" s="156">
        <v>6</v>
      </c>
      <c r="AA9" s="156">
        <v>2</v>
      </c>
      <c r="AB9" s="156">
        <v>2</v>
      </c>
      <c r="AC9" s="156">
        <v>10</v>
      </c>
      <c r="AD9" s="156">
        <v>23</v>
      </c>
    </row>
    <row r="10" spans="2:49">
      <c r="B10" s="155" t="s">
        <v>1575</v>
      </c>
      <c r="C10" s="152">
        <v>8</v>
      </c>
      <c r="D10" s="156" t="s">
        <v>1856</v>
      </c>
      <c r="E10" s="157">
        <v>45432</v>
      </c>
      <c r="F10" s="156">
        <v>1</v>
      </c>
      <c r="G10" s="156" t="s">
        <v>1614</v>
      </c>
      <c r="H10" s="156" t="s">
        <v>1617</v>
      </c>
      <c r="I10" s="156">
        <v>31</v>
      </c>
      <c r="J10" s="156">
        <v>0</v>
      </c>
      <c r="K10" s="156">
        <v>13081</v>
      </c>
      <c r="L10" s="156">
        <v>0</v>
      </c>
      <c r="M10" s="156">
        <v>31</v>
      </c>
      <c r="N10" s="156">
        <v>0</v>
      </c>
      <c r="O10" s="156">
        <v>31</v>
      </c>
      <c r="P10" s="156">
        <v>31</v>
      </c>
      <c r="Q10" s="156">
        <v>31</v>
      </c>
      <c r="R10" s="180"/>
      <c r="S10" s="156">
        <v>0</v>
      </c>
      <c r="T10" s="157" t="e">
        <v>#N/A</v>
      </c>
      <c r="U10" s="156">
        <v>1</v>
      </c>
      <c r="V10" s="156" t="e">
        <v>#N/A</v>
      </c>
      <c r="W10" s="180"/>
      <c r="X10" s="180"/>
      <c r="Y10" s="221"/>
      <c r="Z10" s="157" t="s">
        <v>1617</v>
      </c>
      <c r="AA10" s="156">
        <v>0</v>
      </c>
      <c r="AB10" s="156" t="s">
        <v>1857</v>
      </c>
      <c r="AC10" s="157">
        <v>45432</v>
      </c>
      <c r="AD10" s="156" t="s">
        <v>1858</v>
      </c>
    </row>
    <row r="11" spans="2:49">
      <c r="B11" s="155" t="s">
        <v>1577</v>
      </c>
      <c r="C11" s="152">
        <v>9</v>
      </c>
      <c r="D11" s="156" t="s">
        <v>1859</v>
      </c>
      <c r="E11" s="157">
        <v>45432</v>
      </c>
      <c r="F11" s="156">
        <v>1</v>
      </c>
      <c r="G11" s="156" t="s">
        <v>1614</v>
      </c>
      <c r="H11" s="156" t="s">
        <v>1617</v>
      </c>
      <c r="I11" s="156">
        <v>31</v>
      </c>
      <c r="J11" s="156">
        <v>0</v>
      </c>
      <c r="K11" s="156">
        <v>13081</v>
      </c>
      <c r="L11" s="156">
        <v>0</v>
      </c>
      <c r="M11" s="156">
        <v>31</v>
      </c>
      <c r="N11" s="156">
        <v>0</v>
      </c>
      <c r="O11" s="156">
        <v>31</v>
      </c>
      <c r="P11" s="156">
        <v>31</v>
      </c>
      <c r="Q11" s="156">
        <v>31</v>
      </c>
      <c r="R11" s="180"/>
      <c r="S11" s="156">
        <v>0</v>
      </c>
      <c r="T11" s="157" t="e">
        <v>#N/A</v>
      </c>
      <c r="U11" s="156">
        <v>1</v>
      </c>
      <c r="V11" s="156" t="s">
        <v>9</v>
      </c>
      <c r="W11" s="180"/>
      <c r="X11" s="180"/>
      <c r="Y11" s="221"/>
      <c r="Z11" s="157" t="s">
        <v>1617</v>
      </c>
      <c r="AA11" s="156">
        <v>0</v>
      </c>
      <c r="AB11" s="156" t="s">
        <v>1630</v>
      </c>
      <c r="AC11" s="157">
        <v>45432</v>
      </c>
      <c r="AD11" s="156" t="s">
        <v>1860</v>
      </c>
    </row>
    <row r="12" spans="2:49">
      <c r="B12" s="159" t="s">
        <v>1579</v>
      </c>
      <c r="C12" s="152">
        <v>10</v>
      </c>
      <c r="D12" s="156" t="s">
        <v>1861</v>
      </c>
      <c r="E12" s="157">
        <v>45432</v>
      </c>
      <c r="F12" s="156">
        <v>1</v>
      </c>
      <c r="G12" s="156" t="s">
        <v>1614</v>
      </c>
      <c r="H12" s="156" t="s">
        <v>1617</v>
      </c>
      <c r="I12" s="156">
        <v>89</v>
      </c>
      <c r="J12" s="156">
        <v>6623</v>
      </c>
      <c r="K12" s="156">
        <v>30187662623</v>
      </c>
      <c r="L12" s="156">
        <v>69796230100000</v>
      </c>
      <c r="M12" s="156">
        <v>31</v>
      </c>
      <c r="N12" s="156">
        <v>0</v>
      </c>
      <c r="O12" s="156">
        <v>9961000426</v>
      </c>
      <c r="P12" s="156">
        <v>9961000426</v>
      </c>
      <c r="Q12" s="156">
        <v>9961000426</v>
      </c>
      <c r="R12" s="180"/>
      <c r="S12" s="156" t="s">
        <v>1862</v>
      </c>
      <c r="T12" s="156">
        <v>4</v>
      </c>
      <c r="U12" s="156">
        <v>999</v>
      </c>
      <c r="V12" s="158">
        <v>2</v>
      </c>
      <c r="W12" s="180"/>
      <c r="X12" s="180"/>
      <c r="Y12" s="221"/>
      <c r="Z12" s="158" t="s">
        <v>1863</v>
      </c>
      <c r="AA12" s="158">
        <v>9</v>
      </c>
      <c r="AB12" s="156" t="s">
        <v>1788</v>
      </c>
      <c r="AC12" s="158">
        <v>45432</v>
      </c>
      <c r="AD12" s="158" t="s">
        <v>1858</v>
      </c>
    </row>
    <row r="13" spans="2:49">
      <c r="B13" s="155" t="s">
        <v>1581</v>
      </c>
      <c r="C13" s="152">
        <v>11</v>
      </c>
      <c r="D13" s="156" t="s">
        <v>1864</v>
      </c>
      <c r="E13" s="157">
        <v>45432</v>
      </c>
      <c r="F13" s="156">
        <v>1</v>
      </c>
      <c r="G13" s="156" t="s">
        <v>1614</v>
      </c>
      <c r="H13" s="156" t="s">
        <v>1617</v>
      </c>
      <c r="I13" s="156">
        <v>89</v>
      </c>
      <c r="J13" s="156">
        <v>6623</v>
      </c>
      <c r="K13" s="156">
        <v>30187662623</v>
      </c>
      <c r="L13" s="156">
        <v>69796230100000</v>
      </c>
      <c r="M13" s="156">
        <v>31</v>
      </c>
      <c r="N13" s="156">
        <v>0</v>
      </c>
      <c r="O13" s="156">
        <v>9961000426</v>
      </c>
      <c r="P13" s="156">
        <v>9961000426</v>
      </c>
      <c r="Q13" s="156">
        <v>9961000426</v>
      </c>
      <c r="R13" s="180"/>
      <c r="S13" s="156" t="s">
        <v>1862</v>
      </c>
      <c r="T13" s="156">
        <v>4</v>
      </c>
      <c r="U13" s="156">
        <v>999</v>
      </c>
      <c r="V13" s="156">
        <v>2</v>
      </c>
      <c r="W13" s="180"/>
      <c r="X13" s="180"/>
      <c r="Y13" s="221"/>
      <c r="Z13" s="156" t="s">
        <v>1865</v>
      </c>
      <c r="AA13" s="158">
        <v>16</v>
      </c>
      <c r="AB13" s="156" t="s">
        <v>1647</v>
      </c>
      <c r="AC13" s="158">
        <v>45432</v>
      </c>
      <c r="AD13" s="158" t="s">
        <v>1866</v>
      </c>
    </row>
    <row r="14" spans="2:49">
      <c r="B14" s="155" t="s">
        <v>1583</v>
      </c>
      <c r="C14" s="152">
        <v>12</v>
      </c>
      <c r="D14" s="156" t="s">
        <v>1867</v>
      </c>
      <c r="E14" s="157">
        <v>45432</v>
      </c>
      <c r="F14" s="156">
        <v>1</v>
      </c>
      <c r="G14" s="156">
        <v>0.94444399999999995</v>
      </c>
      <c r="H14" s="156" t="s">
        <v>1617</v>
      </c>
      <c r="I14" s="156">
        <v>0</v>
      </c>
      <c r="J14" s="156">
        <v>0</v>
      </c>
      <c r="K14" s="156">
        <v>0</v>
      </c>
      <c r="L14" s="156">
        <v>0</v>
      </c>
      <c r="M14" s="156">
        <v>0</v>
      </c>
      <c r="N14" s="156">
        <v>0</v>
      </c>
      <c r="O14" s="156">
        <v>0</v>
      </c>
      <c r="P14" s="156">
        <v>0</v>
      </c>
      <c r="Q14" s="156">
        <v>0</v>
      </c>
      <c r="R14" s="180"/>
      <c r="S14" s="156">
        <v>0</v>
      </c>
      <c r="T14" s="156">
        <v>0</v>
      </c>
      <c r="U14" s="156">
        <v>0</v>
      </c>
      <c r="V14" s="156">
        <v>2824</v>
      </c>
      <c r="W14" s="180"/>
      <c r="X14" s="180"/>
      <c r="Y14" s="180"/>
      <c r="Z14" s="156">
        <v>0</v>
      </c>
      <c r="AA14" s="156">
        <v>0</v>
      </c>
      <c r="AB14" s="156">
        <v>0</v>
      </c>
      <c r="AC14" s="156">
        <v>0</v>
      </c>
      <c r="AD14" s="156">
        <v>0</v>
      </c>
    </row>
    <row r="15" spans="2:49">
      <c r="B15" s="155" t="s">
        <v>1587</v>
      </c>
      <c r="C15" s="152">
        <v>14</v>
      </c>
      <c r="D15" s="156" t="s">
        <v>1868</v>
      </c>
      <c r="E15" s="157">
        <v>45432</v>
      </c>
      <c r="F15" s="156">
        <v>1</v>
      </c>
      <c r="G15" s="156">
        <v>1</v>
      </c>
      <c r="H15" s="156" t="s">
        <v>1617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>
        <v>0</v>
      </c>
      <c r="P15" s="156">
        <v>0</v>
      </c>
      <c r="Q15" s="156">
        <v>0</v>
      </c>
      <c r="R15" s="180"/>
      <c r="S15" s="156">
        <v>0</v>
      </c>
      <c r="T15" s="156">
        <v>0</v>
      </c>
      <c r="U15" s="156">
        <v>0</v>
      </c>
      <c r="V15" s="156">
        <v>0</v>
      </c>
      <c r="W15" s="180"/>
      <c r="X15" s="180"/>
      <c r="Y15" s="180"/>
      <c r="Z15" s="156" t="s">
        <v>1614</v>
      </c>
      <c r="AA15" s="156" t="s">
        <v>1614</v>
      </c>
      <c r="AB15" s="156" t="s">
        <v>1614</v>
      </c>
      <c r="AC15" s="156" t="s">
        <v>1614</v>
      </c>
      <c r="AD15" s="156" t="s">
        <v>1614</v>
      </c>
    </row>
    <row r="16" spans="2:49">
      <c r="B16" s="155" t="s">
        <v>1589</v>
      </c>
      <c r="C16" s="152">
        <v>15</v>
      </c>
      <c r="D16" s="156" t="s">
        <v>1869</v>
      </c>
      <c r="E16" s="157">
        <v>45432</v>
      </c>
      <c r="F16" s="156">
        <v>1</v>
      </c>
      <c r="G16" s="156">
        <v>1</v>
      </c>
      <c r="H16" s="156" t="s">
        <v>1617</v>
      </c>
      <c r="I16" s="156" t="s">
        <v>1614</v>
      </c>
      <c r="J16" s="156" t="s">
        <v>1614</v>
      </c>
      <c r="K16" s="156" t="s">
        <v>1614</v>
      </c>
      <c r="L16" s="156" t="s">
        <v>1614</v>
      </c>
      <c r="M16" s="156" t="s">
        <v>1614</v>
      </c>
      <c r="N16" s="156" t="s">
        <v>1614</v>
      </c>
      <c r="O16" s="156" t="s">
        <v>1614</v>
      </c>
      <c r="P16" s="156" t="s">
        <v>1614</v>
      </c>
      <c r="Q16" s="156" t="s">
        <v>1614</v>
      </c>
      <c r="R16" s="180"/>
      <c r="S16" s="156" t="s">
        <v>1614</v>
      </c>
      <c r="T16" s="156" t="s">
        <v>1614</v>
      </c>
      <c r="U16" s="156" t="s">
        <v>1614</v>
      </c>
      <c r="V16" s="156" t="s">
        <v>1614</v>
      </c>
      <c r="W16" s="180"/>
      <c r="X16" s="180"/>
      <c r="Y16" s="180"/>
      <c r="Z16" s="156" t="s">
        <v>1614</v>
      </c>
      <c r="AA16" s="156" t="s">
        <v>1614</v>
      </c>
      <c r="AB16" s="156" t="s">
        <v>1614</v>
      </c>
      <c r="AC16" s="156" t="s">
        <v>1614</v>
      </c>
      <c r="AD16" s="156" t="s">
        <v>1614</v>
      </c>
    </row>
    <row r="17" spans="2:33">
      <c r="B17" s="155" t="s">
        <v>1591</v>
      </c>
      <c r="C17" s="152">
        <v>16</v>
      </c>
      <c r="D17" s="156" t="s">
        <v>1869</v>
      </c>
      <c r="E17" s="157">
        <v>45432</v>
      </c>
      <c r="F17" s="156">
        <v>1</v>
      </c>
      <c r="G17" s="156">
        <v>1</v>
      </c>
      <c r="H17" s="156" t="s">
        <v>1617</v>
      </c>
      <c r="I17" s="156" t="s">
        <v>1614</v>
      </c>
      <c r="J17" s="156" t="s">
        <v>1614</v>
      </c>
      <c r="K17" s="156" t="s">
        <v>1614</v>
      </c>
      <c r="L17" s="156" t="s">
        <v>1614</v>
      </c>
      <c r="M17" s="156" t="s">
        <v>1614</v>
      </c>
      <c r="N17" s="156" t="s">
        <v>1614</v>
      </c>
      <c r="O17" s="156" t="s">
        <v>1614</v>
      </c>
      <c r="P17" s="156" t="s">
        <v>1614</v>
      </c>
      <c r="Q17" s="156" t="s">
        <v>1614</v>
      </c>
      <c r="R17" s="180"/>
      <c r="S17" s="156" t="s">
        <v>1614</v>
      </c>
      <c r="T17" s="156" t="s">
        <v>1614</v>
      </c>
      <c r="U17" s="156" t="s">
        <v>1614</v>
      </c>
      <c r="V17" s="156" t="s">
        <v>1614</v>
      </c>
      <c r="W17" s="180"/>
      <c r="X17" s="180"/>
      <c r="Y17" s="180"/>
      <c r="Z17" s="156" t="s">
        <v>1614</v>
      </c>
      <c r="AA17" s="156" t="s">
        <v>1614</v>
      </c>
      <c r="AB17" s="156" t="s">
        <v>1614</v>
      </c>
      <c r="AC17" s="156" t="s">
        <v>1614</v>
      </c>
      <c r="AD17" s="156" t="s">
        <v>1614</v>
      </c>
    </row>
    <row r="18" spans="2:33">
      <c r="B18" s="155" t="s">
        <v>1597</v>
      </c>
      <c r="C18" s="152">
        <v>19</v>
      </c>
      <c r="D18" s="156" t="s">
        <v>1870</v>
      </c>
      <c r="E18" s="157">
        <v>45432</v>
      </c>
      <c r="F18" s="156">
        <v>1</v>
      </c>
      <c r="G18" s="179" cm="1">
        <f t="array" aca="1" ref="G18" ca="1">SUMPRODUCT(--(ISNUMBER((SEARCH(I24:AD24,I18:AD18)))))/COUNTA(I18:AD18)</f>
        <v>1</v>
      </c>
      <c r="H18" s="156" t="s">
        <v>1617</v>
      </c>
      <c r="I18" s="156" t="s">
        <v>1654</v>
      </c>
      <c r="J18" s="156" t="s">
        <v>1654</v>
      </c>
      <c r="K18" s="156" t="s">
        <v>1654</v>
      </c>
      <c r="L18" s="156" t="s">
        <v>1654</v>
      </c>
      <c r="M18" s="156" t="s">
        <v>1654</v>
      </c>
      <c r="N18" s="156" t="s">
        <v>1654</v>
      </c>
      <c r="O18" s="156" t="s">
        <v>1654</v>
      </c>
      <c r="P18" s="156" t="s">
        <v>1654</v>
      </c>
      <c r="Q18" s="156" t="s">
        <v>1654</v>
      </c>
      <c r="R18" s="180" t="s">
        <v>1654</v>
      </c>
      <c r="S18" s="156" t="s">
        <v>1654</v>
      </c>
      <c r="T18" s="156" t="s">
        <v>1654</v>
      </c>
      <c r="U18" s="156" t="s">
        <v>1654</v>
      </c>
      <c r="V18" s="156" t="s">
        <v>1654</v>
      </c>
      <c r="W18" s="180" t="s">
        <v>1654</v>
      </c>
      <c r="X18" s="180" t="s">
        <v>1654</v>
      </c>
      <c r="Y18" s="180" t="s">
        <v>1654</v>
      </c>
      <c r="Z18" s="156" t="s">
        <v>1654</v>
      </c>
      <c r="AA18" s="156" t="s">
        <v>1654</v>
      </c>
      <c r="AB18" s="156" t="s">
        <v>1654</v>
      </c>
      <c r="AC18" s="156" t="s">
        <v>1654</v>
      </c>
      <c r="AD18" s="156" t="s">
        <v>1655</v>
      </c>
    </row>
    <row r="19" spans="2:33">
      <c r="B19" s="178" t="s">
        <v>1600</v>
      </c>
      <c r="C19" s="152">
        <v>20</v>
      </c>
      <c r="D19" s="156" t="s">
        <v>1871</v>
      </c>
      <c r="E19" s="157">
        <v>45432</v>
      </c>
      <c r="F19" s="156">
        <v>1</v>
      </c>
      <c r="G19" s="111" cm="1">
        <f t="array" ref="G19">SUM(IF(H2:AD2 = H23:AD23, 1, 0))/ COUNTA(H2:AD2)</f>
        <v>1</v>
      </c>
      <c r="H19" s="156" t="s">
        <v>1617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80"/>
      <c r="S19" s="156"/>
      <c r="T19" s="156"/>
      <c r="U19" s="156"/>
      <c r="V19" s="156"/>
      <c r="W19" s="180"/>
      <c r="X19" s="180"/>
      <c r="Y19" s="180"/>
      <c r="Z19" s="156"/>
      <c r="AA19" s="156"/>
      <c r="AB19" s="156"/>
      <c r="AC19" s="156"/>
      <c r="AD19" s="156"/>
    </row>
    <row r="20" spans="2:33">
      <c r="B20" s="160" t="s">
        <v>1603</v>
      </c>
      <c r="C20" s="153">
        <v>21</v>
      </c>
      <c r="D20" s="156" t="s">
        <v>1871</v>
      </c>
      <c r="E20" s="157">
        <v>45432</v>
      </c>
      <c r="F20" s="156">
        <v>1</v>
      </c>
      <c r="G20" s="111" cm="1">
        <f t="array" aca="1" ref="G20" ca="1">SUM(IF(IF(G3:G19="null",1,G3:G19)=1,1,0))/COUNT(IF(G3:G19="null",1,1))</f>
        <v>0.94117647058823528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80"/>
      <c r="S20" s="156"/>
      <c r="T20" s="156"/>
      <c r="U20" s="156"/>
      <c r="V20" s="156"/>
      <c r="W20" s="180"/>
      <c r="X20" s="180"/>
      <c r="Y20" s="180"/>
      <c r="Z20" s="156"/>
      <c r="AA20" s="156"/>
      <c r="AB20" s="156"/>
      <c r="AC20" s="156"/>
      <c r="AD20" s="156"/>
    </row>
    <row r="22" spans="2:33">
      <c r="B22" s="164" t="s">
        <v>1656</v>
      </c>
    </row>
    <row r="23" spans="2:33">
      <c r="B23" s="168" t="s">
        <v>1558</v>
      </c>
      <c r="C23" s="169" t="s">
        <v>1607</v>
      </c>
      <c r="D23" s="169" t="s">
        <v>1608</v>
      </c>
      <c r="E23" s="169" t="s">
        <v>1609</v>
      </c>
      <c r="F23" s="169" t="s">
        <v>1610</v>
      </c>
      <c r="G23" s="169" t="s">
        <v>1611</v>
      </c>
      <c r="H23" s="169" t="s">
        <v>1612</v>
      </c>
      <c r="I23" s="170" t="s">
        <v>828</v>
      </c>
      <c r="J23" s="170" t="s">
        <v>833</v>
      </c>
      <c r="K23" s="170" t="s">
        <v>839</v>
      </c>
      <c r="L23" s="170" t="s">
        <v>845</v>
      </c>
      <c r="M23" s="170" t="s">
        <v>851</v>
      </c>
      <c r="N23" s="170" t="s">
        <v>858</v>
      </c>
      <c r="O23" s="170" t="s">
        <v>864</v>
      </c>
      <c r="P23" s="170" t="s">
        <v>870</v>
      </c>
      <c r="Q23" s="170" t="s">
        <v>764</v>
      </c>
      <c r="R23" s="170" t="s">
        <v>881</v>
      </c>
      <c r="S23" s="170" t="s">
        <v>1200</v>
      </c>
      <c r="T23" s="170" t="s">
        <v>1208</v>
      </c>
      <c r="U23" s="170" t="s">
        <v>722</v>
      </c>
      <c r="V23" s="170" t="s">
        <v>1216</v>
      </c>
      <c r="W23" s="170" t="s">
        <v>1164</v>
      </c>
      <c r="X23" s="170" t="s">
        <v>1170</v>
      </c>
      <c r="Y23" s="170" t="s">
        <v>1176</v>
      </c>
      <c r="Z23" s="170" t="s">
        <v>735</v>
      </c>
      <c r="AA23" s="170" t="s">
        <v>1231</v>
      </c>
      <c r="AB23" s="170" t="s">
        <v>1005</v>
      </c>
      <c r="AC23" s="170" t="s">
        <v>783</v>
      </c>
      <c r="AD23" s="171" t="s">
        <v>790</v>
      </c>
      <c r="AE23" s="191"/>
      <c r="AF23" s="191"/>
      <c r="AG23" s="191"/>
    </row>
    <row r="24" spans="2:33">
      <c r="B24" s="165" t="s">
        <v>1657</v>
      </c>
      <c r="C24" s="126">
        <v>19</v>
      </c>
      <c r="D24" s="166" t="s">
        <v>1658</v>
      </c>
      <c r="E24" s="125" t="s">
        <v>1659</v>
      </c>
      <c r="F24" s="125" t="s">
        <v>1660</v>
      </c>
      <c r="G24" s="125" t="s">
        <v>1660</v>
      </c>
      <c r="H24" s="125" t="s">
        <v>1660</v>
      </c>
      <c r="I24" s="125" t="str" cm="1">
        <f t="array" aca="1" ref="I24:AD25" ca="1">TRANSPOSE(_xlfn.SORTBY(_xlfn._xlws.FILTER(IF(Table2[FORMATO]:Table2[COMP_ CAMPO]&lt;&gt;"",Table2[FORMATO]:Table2[COMP_ CAMPO],9999999),Table2[NOME FÍSICO TABELA]="guarantee_personal_collat_rel"), _xlfn._xlws.FILTER(Table2[ORDEM], Table2[NOME FÍSICO TABELA]="guarantee_personal_collat_rel"), 1))</f>
        <v>STRING</v>
      </c>
      <c r="J24" s="125" t="str">
        <f ca="1"/>
        <v>STRING</v>
      </c>
      <c r="K24" s="125" t="str">
        <f ca="1"/>
        <v>STRING</v>
      </c>
      <c r="L24" s="125" t="str">
        <f ca="1"/>
        <v>STRING</v>
      </c>
      <c r="M24" s="125" t="str">
        <f ca="1"/>
        <v>STRING</v>
      </c>
      <c r="N24" s="125" t="str">
        <f ca="1"/>
        <v>STRING</v>
      </c>
      <c r="O24" s="125" t="str">
        <f ca="1"/>
        <v>STRING</v>
      </c>
      <c r="P24" s="167" t="str">
        <f ca="1"/>
        <v>STRING</v>
      </c>
      <c r="Q24" s="125" t="str">
        <f ca="1"/>
        <v>STRING</v>
      </c>
      <c r="R24" s="125" t="str">
        <f ca="1"/>
        <v>STRING</v>
      </c>
      <c r="S24" s="125" t="str">
        <f ca="1"/>
        <v>STRING</v>
      </c>
      <c r="T24" s="125" t="str">
        <f ca="1"/>
        <v>STRING</v>
      </c>
      <c r="U24" s="125" t="str">
        <f ca="1"/>
        <v>STRING</v>
      </c>
      <c r="V24" s="125" t="str">
        <f ca="1"/>
        <v>STRING</v>
      </c>
      <c r="W24" s="125" t="str">
        <f ca="1"/>
        <v>STRING</v>
      </c>
      <c r="X24" s="125" t="str">
        <f ca="1"/>
        <v>STRING</v>
      </c>
      <c r="Y24" s="125" t="str">
        <f ca="1"/>
        <v>STRING</v>
      </c>
      <c r="Z24" s="125" t="str">
        <f ca="1"/>
        <v>STRING</v>
      </c>
      <c r="AA24" s="125" t="str">
        <f ca="1"/>
        <v>STRING</v>
      </c>
      <c r="AB24" s="125" t="str">
        <f ca="1"/>
        <v>STRING</v>
      </c>
      <c r="AC24" s="125" t="str">
        <f ca="1"/>
        <v>STRING</v>
      </c>
      <c r="AD24" s="167" t="str">
        <f ca="1"/>
        <v>TIMESTAMP</v>
      </c>
    </row>
    <row r="25" spans="2:33">
      <c r="B25" s="120" t="s">
        <v>1661</v>
      </c>
      <c r="C25" s="121">
        <v>7</v>
      </c>
      <c r="D25" s="122" t="s">
        <v>1658</v>
      </c>
      <c r="E25" s="123" t="s">
        <v>1659</v>
      </c>
      <c r="F25" s="123" t="s">
        <v>1660</v>
      </c>
      <c r="G25" s="123" t="s">
        <v>1660</v>
      </c>
      <c r="H25" s="123" t="s">
        <v>1660</v>
      </c>
      <c r="I25" s="121">
        <f ca="1"/>
        <v>2</v>
      </c>
      <c r="J25" s="121">
        <f ca="1"/>
        <v>20</v>
      </c>
      <c r="K25" s="121">
        <f ca="1"/>
        <v>11</v>
      </c>
      <c r="L25" s="123">
        <f ca="1"/>
        <v>20</v>
      </c>
      <c r="M25" s="123">
        <f ca="1"/>
        <v>2</v>
      </c>
      <c r="N25" s="123">
        <f ca="1"/>
        <v>20</v>
      </c>
      <c r="O25" s="123">
        <f ca="1"/>
        <v>30</v>
      </c>
      <c r="P25" s="124">
        <f ca="1"/>
        <v>20</v>
      </c>
      <c r="Q25" s="123">
        <f ca="1"/>
        <v>10</v>
      </c>
      <c r="R25" s="123">
        <f ca="1"/>
        <v>10</v>
      </c>
      <c r="S25" s="123">
        <f ca="1"/>
        <v>20</v>
      </c>
      <c r="T25" s="123">
        <f ca="1"/>
        <v>20</v>
      </c>
      <c r="U25" s="123">
        <f ca="1"/>
        <v>20</v>
      </c>
      <c r="V25" s="123">
        <f ca="1"/>
        <v>20</v>
      </c>
      <c r="W25" s="123">
        <f ca="1"/>
        <v>10</v>
      </c>
      <c r="X25" s="123">
        <f ca="1"/>
        <v>10</v>
      </c>
      <c r="Y25" s="123">
        <f ca="1"/>
        <v>10</v>
      </c>
      <c r="Z25" s="123">
        <f ca="1"/>
        <v>23</v>
      </c>
      <c r="AA25" s="123">
        <f ca="1"/>
        <v>9999999</v>
      </c>
      <c r="AB25" s="123">
        <f ca="1"/>
        <v>3</v>
      </c>
      <c r="AC25" s="123">
        <f ca="1"/>
        <v>10</v>
      </c>
      <c r="AD25" s="124">
        <f ca="1"/>
        <v>23</v>
      </c>
    </row>
    <row r="27" spans="2:33">
      <c r="B27" s="177" t="s">
        <v>1662</v>
      </c>
    </row>
    <row r="28" spans="2:33">
      <c r="B28" s="168" t="s">
        <v>1663</v>
      </c>
      <c r="C28" s="169" t="s">
        <v>1664</v>
      </c>
      <c r="D28" s="210" t="s">
        <v>1665</v>
      </c>
      <c r="E28" s="169" t="s">
        <v>1666</v>
      </c>
      <c r="F28" s="210" t="s">
        <v>1667</v>
      </c>
    </row>
    <row r="29" spans="2:33" ht="30.75">
      <c r="B29" s="75" t="s">
        <v>1668</v>
      </c>
      <c r="C29" s="76" t="s">
        <v>1216</v>
      </c>
      <c r="D29" s="74" t="s">
        <v>1872</v>
      </c>
      <c r="E29" s="227" t="s">
        <v>1873</v>
      </c>
      <c r="F29" s="74" t="s">
        <v>1671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CDEE-D27B-4A42-857F-497B224E3AA3}">
  <sheetPr>
    <tabColor rgb="FF00B050"/>
  </sheetPr>
  <dimension ref="B1:AW30"/>
  <sheetViews>
    <sheetView showGridLines="0" workbookViewId="0">
      <selection activeCell="H32" sqref="H32"/>
    </sheetView>
  </sheetViews>
  <sheetFormatPr defaultRowHeight="15"/>
  <cols>
    <col min="1" max="1" width="12.28515625" customWidth="1"/>
    <col min="2" max="2" width="35.5703125" customWidth="1"/>
    <col min="3" max="3" width="26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2.28515625" bestFit="1" customWidth="1"/>
    <col min="23" max="23" width="23.85546875" bestFit="1" customWidth="1"/>
    <col min="24" max="24" width="12.7109375" customWidth="1"/>
    <col min="25" max="25" width="26.5703125" customWidth="1"/>
    <col min="26" max="26" width="26.28515625" bestFit="1" customWidth="1"/>
    <col min="27" max="27" width="26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  <col min="40" max="40" width="11.42578125" bestFit="1" customWidth="1"/>
  </cols>
  <sheetData>
    <row r="1" spans="2:49" ht="25.5" customHeight="1"/>
    <row r="2" spans="2:49">
      <c r="B2" s="151" t="s">
        <v>1606</v>
      </c>
      <c r="C2" s="151" t="s">
        <v>1607</v>
      </c>
      <c r="D2" t="s">
        <v>1608</v>
      </c>
      <c r="E2" t="s">
        <v>1609</v>
      </c>
      <c r="F2" t="s">
        <v>1610</v>
      </c>
      <c r="G2" t="s">
        <v>1611</v>
      </c>
      <c r="H2" t="s">
        <v>1612</v>
      </c>
      <c r="I2" s="161" t="s">
        <v>828</v>
      </c>
      <c r="J2" s="161" t="s">
        <v>833</v>
      </c>
      <c r="K2" s="161" t="s">
        <v>839</v>
      </c>
      <c r="L2" s="161" t="s">
        <v>845</v>
      </c>
      <c r="M2" s="161" t="s">
        <v>851</v>
      </c>
      <c r="N2" s="161" t="s">
        <v>858</v>
      </c>
      <c r="O2" s="161" t="s">
        <v>864</v>
      </c>
      <c r="P2" s="161" t="s">
        <v>870</v>
      </c>
      <c r="Q2" s="161" t="s">
        <v>1256</v>
      </c>
      <c r="R2" s="161" t="s">
        <v>722</v>
      </c>
      <c r="S2" s="161" t="s">
        <v>1200</v>
      </c>
      <c r="T2" s="161" t="s">
        <v>1208</v>
      </c>
      <c r="U2" s="161" t="s">
        <v>1874</v>
      </c>
      <c r="V2" s="161" t="s">
        <v>735</v>
      </c>
      <c r="W2" s="161" t="s">
        <v>1005</v>
      </c>
      <c r="X2" s="161" t="s">
        <v>783</v>
      </c>
      <c r="Y2" s="161" t="s">
        <v>790</v>
      </c>
    </row>
    <row r="3" spans="2:49">
      <c r="B3" s="192" t="s">
        <v>1560</v>
      </c>
      <c r="C3" s="193">
        <v>1</v>
      </c>
      <c r="D3" s="156" t="s">
        <v>1875</v>
      </c>
      <c r="E3" s="157">
        <v>45432</v>
      </c>
      <c r="F3" s="156">
        <v>1</v>
      </c>
      <c r="G3" s="156">
        <v>1</v>
      </c>
      <c r="H3" s="156">
        <v>365864</v>
      </c>
      <c r="I3" s="158" t="s">
        <v>1614</v>
      </c>
      <c r="J3" s="156" t="s">
        <v>1614</v>
      </c>
      <c r="K3" s="156" t="s">
        <v>1614</v>
      </c>
      <c r="L3" s="156" t="s">
        <v>1614</v>
      </c>
      <c r="M3" s="156" t="s">
        <v>1614</v>
      </c>
      <c r="N3" s="156" t="s">
        <v>1614</v>
      </c>
      <c r="O3" s="156" t="s">
        <v>1614</v>
      </c>
      <c r="P3" s="156" t="s">
        <v>1614</v>
      </c>
      <c r="Q3" s="156" t="s">
        <v>1614</v>
      </c>
      <c r="R3" s="156" t="s">
        <v>1614</v>
      </c>
      <c r="S3" s="180"/>
      <c r="T3" s="180"/>
      <c r="U3" s="180"/>
      <c r="V3" s="158" t="s">
        <v>1614</v>
      </c>
      <c r="W3" s="156" t="s">
        <v>1614</v>
      </c>
      <c r="X3" s="157" t="s">
        <v>1614</v>
      </c>
      <c r="Y3" s="156" t="s">
        <v>1614</v>
      </c>
    </row>
    <row r="4" spans="2:49">
      <c r="B4" s="192" t="s">
        <v>1562</v>
      </c>
      <c r="C4" s="193">
        <v>2</v>
      </c>
      <c r="D4" s="156" t="s">
        <v>1876</v>
      </c>
      <c r="E4" s="157">
        <v>45432</v>
      </c>
      <c r="F4" s="156">
        <v>1</v>
      </c>
      <c r="G4" s="156">
        <v>1</v>
      </c>
      <c r="H4" s="156" t="s">
        <v>1617</v>
      </c>
      <c r="I4" s="158" t="s">
        <v>1614</v>
      </c>
      <c r="J4" s="156" t="s">
        <v>1614</v>
      </c>
      <c r="K4" s="156" t="s">
        <v>1614</v>
      </c>
      <c r="L4" s="156" t="s">
        <v>1614</v>
      </c>
      <c r="M4" s="156" t="s">
        <v>1614</v>
      </c>
      <c r="N4" s="156" t="s">
        <v>1614</v>
      </c>
      <c r="O4" s="156" t="s">
        <v>1614</v>
      </c>
      <c r="P4" s="156" t="s">
        <v>1614</v>
      </c>
      <c r="Q4" s="156" t="s">
        <v>1614</v>
      </c>
      <c r="R4" s="156" t="s">
        <v>1614</v>
      </c>
      <c r="S4" s="180"/>
      <c r="T4" s="180"/>
      <c r="U4" s="180"/>
      <c r="V4" s="156" t="s">
        <v>1614</v>
      </c>
      <c r="W4" s="156" t="s">
        <v>1614</v>
      </c>
      <c r="X4" s="157" t="s">
        <v>1614</v>
      </c>
      <c r="Y4" s="156" t="s">
        <v>1614</v>
      </c>
    </row>
    <row r="5" spans="2:49">
      <c r="B5" s="192" t="s">
        <v>1564</v>
      </c>
      <c r="C5" s="193">
        <v>3</v>
      </c>
      <c r="D5" s="156" t="s">
        <v>1877</v>
      </c>
      <c r="E5" s="157">
        <v>45432</v>
      </c>
      <c r="F5" s="156">
        <v>1</v>
      </c>
      <c r="G5" s="156">
        <v>1</v>
      </c>
      <c r="H5" s="156" t="s">
        <v>1617</v>
      </c>
      <c r="I5" s="158">
        <v>0</v>
      </c>
      <c r="J5" s="156">
        <v>0</v>
      </c>
      <c r="K5" s="156">
        <v>0</v>
      </c>
      <c r="L5" s="156">
        <v>0</v>
      </c>
      <c r="M5" s="156">
        <v>0</v>
      </c>
      <c r="N5" s="156">
        <v>0</v>
      </c>
      <c r="O5" s="156">
        <v>0</v>
      </c>
      <c r="P5" s="156">
        <v>0</v>
      </c>
      <c r="Q5" s="156" t="s">
        <v>1614</v>
      </c>
      <c r="R5" s="156" t="s">
        <v>1614</v>
      </c>
      <c r="S5" s="180"/>
      <c r="T5" s="180"/>
      <c r="U5" s="180"/>
      <c r="V5" s="158" t="s">
        <v>1614</v>
      </c>
      <c r="W5" s="156" t="s">
        <v>1614</v>
      </c>
      <c r="X5" s="157" t="s">
        <v>1614</v>
      </c>
      <c r="Y5" s="156" t="s">
        <v>1614</v>
      </c>
    </row>
    <row r="6" spans="2:49">
      <c r="B6" s="188" t="s">
        <v>1566</v>
      </c>
      <c r="C6" s="189">
        <v>4</v>
      </c>
      <c r="D6" s="156" t="s">
        <v>1877</v>
      </c>
      <c r="E6" s="157">
        <v>45432</v>
      </c>
      <c r="F6" s="156">
        <v>1</v>
      </c>
      <c r="G6" s="111" t="s">
        <v>1614</v>
      </c>
      <c r="H6" s="156" t="s">
        <v>1617</v>
      </c>
      <c r="I6" s="113" t="s">
        <v>1614</v>
      </c>
      <c r="J6" s="113" t="s">
        <v>1614</v>
      </c>
      <c r="K6" s="113" t="s">
        <v>1614</v>
      </c>
      <c r="L6" s="113" t="s">
        <v>1614</v>
      </c>
      <c r="M6" s="113" t="s">
        <v>1614</v>
      </c>
      <c r="N6" s="113" t="s">
        <v>1614</v>
      </c>
      <c r="O6" s="113" t="s">
        <v>1614</v>
      </c>
      <c r="P6" s="113" t="s">
        <v>1614</v>
      </c>
      <c r="Q6" s="113" t="s">
        <v>1614</v>
      </c>
      <c r="R6" s="113" t="s">
        <v>1614</v>
      </c>
      <c r="S6" s="180"/>
      <c r="T6" s="180"/>
      <c r="U6" s="180"/>
      <c r="V6" s="113" t="s">
        <v>1614</v>
      </c>
      <c r="W6" s="113" t="s">
        <v>1614</v>
      </c>
      <c r="X6" s="113" t="s">
        <v>1614</v>
      </c>
      <c r="Y6" s="113" t="s">
        <v>1614</v>
      </c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1568</v>
      </c>
      <c r="C7" s="189">
        <v>5</v>
      </c>
      <c r="D7" s="156" t="s">
        <v>1877</v>
      </c>
      <c r="E7" s="157">
        <v>45432</v>
      </c>
      <c r="F7" s="156">
        <v>1</v>
      </c>
      <c r="G7" s="111" t="s">
        <v>1614</v>
      </c>
      <c r="H7" s="156" t="s">
        <v>1617</v>
      </c>
      <c r="I7" s="113" t="s">
        <v>1614</v>
      </c>
      <c r="J7" s="113" t="s">
        <v>1614</v>
      </c>
      <c r="K7" s="113" t="s">
        <v>1614</v>
      </c>
      <c r="L7" s="113" t="s">
        <v>1614</v>
      </c>
      <c r="M7" s="113" t="s">
        <v>1614</v>
      </c>
      <c r="N7" s="113" t="s">
        <v>1614</v>
      </c>
      <c r="O7" s="113" t="s">
        <v>1614</v>
      </c>
      <c r="P7" s="113" t="s">
        <v>1614</v>
      </c>
      <c r="Q7" s="113" t="s">
        <v>1614</v>
      </c>
      <c r="R7" s="113" t="s">
        <v>1614</v>
      </c>
      <c r="S7" s="180"/>
      <c r="T7" s="180"/>
      <c r="U7" s="180"/>
      <c r="V7" s="113" t="s">
        <v>1614</v>
      </c>
      <c r="W7" s="113" t="s">
        <v>1614</v>
      </c>
      <c r="X7" s="113" t="s">
        <v>1614</v>
      </c>
      <c r="Y7" s="113" t="s">
        <v>1614</v>
      </c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94" t="s">
        <v>1569</v>
      </c>
      <c r="C8" s="193">
        <v>6</v>
      </c>
      <c r="D8" s="156" t="s">
        <v>1878</v>
      </c>
      <c r="E8" s="157">
        <v>45432</v>
      </c>
      <c r="F8" s="156">
        <v>1</v>
      </c>
      <c r="G8" s="111" cm="1">
        <f t="array" ref="G8">SUMPRODUCT(--(I8:Y8&gt;0))/COUNTA(I8:Y8)</f>
        <v>1</v>
      </c>
      <c r="H8" s="156" t="s">
        <v>1617</v>
      </c>
      <c r="I8" s="156">
        <v>2</v>
      </c>
      <c r="J8" s="156">
        <v>4</v>
      </c>
      <c r="K8" s="156">
        <v>11</v>
      </c>
      <c r="L8" s="156">
        <v>15</v>
      </c>
      <c r="M8" s="156">
        <v>2</v>
      </c>
      <c r="N8" s="156">
        <v>4</v>
      </c>
      <c r="O8" s="156">
        <v>30</v>
      </c>
      <c r="P8" s="156">
        <v>15</v>
      </c>
      <c r="Q8" s="156">
        <v>2</v>
      </c>
      <c r="R8" s="156">
        <v>3</v>
      </c>
      <c r="S8" s="180"/>
      <c r="T8" s="180"/>
      <c r="U8" s="180"/>
      <c r="V8" s="156">
        <v>5</v>
      </c>
      <c r="W8" s="156">
        <v>2</v>
      </c>
      <c r="X8" s="156">
        <v>10</v>
      </c>
      <c r="Y8" s="156">
        <v>23</v>
      </c>
    </row>
    <row r="9" spans="2:49">
      <c r="B9" s="192" t="s">
        <v>1572</v>
      </c>
      <c r="C9" s="193">
        <v>7</v>
      </c>
      <c r="D9" s="156" t="s">
        <v>1879</v>
      </c>
      <c r="E9" s="157">
        <v>45432</v>
      </c>
      <c r="F9" s="156">
        <v>1</v>
      </c>
      <c r="G9" s="111" cm="1">
        <f t="array" aca="1" ref="G9" ca="1">SUMPRODUCT(--(I9:Y9&lt;=I26:Y26))/COUNTA(I26:Y26)</f>
        <v>1</v>
      </c>
      <c r="H9" s="156" t="s">
        <v>1617</v>
      </c>
      <c r="I9" s="156">
        <v>2</v>
      </c>
      <c r="J9" s="156">
        <v>4</v>
      </c>
      <c r="K9" s="156">
        <v>11</v>
      </c>
      <c r="L9" s="156">
        <v>15</v>
      </c>
      <c r="M9" s="156">
        <v>2</v>
      </c>
      <c r="N9" s="156">
        <v>4</v>
      </c>
      <c r="O9" s="156">
        <v>30</v>
      </c>
      <c r="P9" s="156">
        <v>15</v>
      </c>
      <c r="Q9" s="156">
        <v>4</v>
      </c>
      <c r="R9" s="156">
        <v>3</v>
      </c>
      <c r="S9" s="180"/>
      <c r="T9" s="180"/>
      <c r="U9" s="180"/>
      <c r="V9" s="156">
        <v>7</v>
      </c>
      <c r="W9" s="156">
        <v>2</v>
      </c>
      <c r="X9" s="156">
        <v>10</v>
      </c>
      <c r="Y9" s="156">
        <v>23</v>
      </c>
    </row>
    <row r="10" spans="2:49">
      <c r="B10" s="192" t="s">
        <v>1575</v>
      </c>
      <c r="C10" s="193">
        <v>8</v>
      </c>
      <c r="D10" s="156" t="s">
        <v>1880</v>
      </c>
      <c r="E10" s="157">
        <v>45432</v>
      </c>
      <c r="F10" s="156">
        <v>1</v>
      </c>
      <c r="G10" s="156" t="s">
        <v>1614</v>
      </c>
      <c r="H10" s="156" t="s">
        <v>1617</v>
      </c>
      <c r="I10" s="156">
        <v>31</v>
      </c>
      <c r="J10" s="156">
        <v>0</v>
      </c>
      <c r="K10" s="156">
        <v>0</v>
      </c>
      <c r="L10" s="156">
        <v>1</v>
      </c>
      <c r="M10" s="156">
        <v>31</v>
      </c>
      <c r="N10" s="156">
        <v>0</v>
      </c>
      <c r="O10" s="156">
        <v>5.6000099999999997E+20</v>
      </c>
      <c r="P10" s="156">
        <v>0</v>
      </c>
      <c r="Q10" s="156" t="e">
        <v>#N/A</v>
      </c>
      <c r="R10" s="156">
        <v>79</v>
      </c>
      <c r="S10" s="180"/>
      <c r="T10" s="180"/>
      <c r="U10" s="180"/>
      <c r="V10" s="156" t="s">
        <v>1881</v>
      </c>
      <c r="W10" s="156" t="s">
        <v>1778</v>
      </c>
      <c r="X10" s="157">
        <v>45432</v>
      </c>
      <c r="Y10" s="156" t="s">
        <v>1882</v>
      </c>
    </row>
    <row r="11" spans="2:49">
      <c r="B11" s="192" t="s">
        <v>1577</v>
      </c>
      <c r="C11" s="193">
        <v>9</v>
      </c>
      <c r="D11" s="156" t="s">
        <v>1883</v>
      </c>
      <c r="E11" s="157">
        <v>45432</v>
      </c>
      <c r="F11" s="156">
        <v>1</v>
      </c>
      <c r="G11" s="156" t="s">
        <v>1614</v>
      </c>
      <c r="H11" s="156" t="s">
        <v>1617</v>
      </c>
      <c r="I11" s="156">
        <v>31</v>
      </c>
      <c r="J11" s="156">
        <v>0</v>
      </c>
      <c r="K11" s="156">
        <v>0</v>
      </c>
      <c r="L11" s="156">
        <v>1</v>
      </c>
      <c r="M11" s="156">
        <v>31</v>
      </c>
      <c r="N11" s="156">
        <v>0</v>
      </c>
      <c r="O11" s="156">
        <v>5.6000099999999997E+20</v>
      </c>
      <c r="P11" s="156">
        <v>0</v>
      </c>
      <c r="Q11" s="156" t="e">
        <v>#N/A</v>
      </c>
      <c r="R11" s="156">
        <v>79</v>
      </c>
      <c r="S11" s="180"/>
      <c r="T11" s="180"/>
      <c r="U11" s="180"/>
      <c r="V11" s="156" t="s">
        <v>1881</v>
      </c>
      <c r="W11" s="156" t="s">
        <v>1630</v>
      </c>
      <c r="X11" s="157">
        <v>45432</v>
      </c>
      <c r="Y11" s="156" t="s">
        <v>1884</v>
      </c>
    </row>
    <row r="12" spans="2:49">
      <c r="B12" s="194" t="s">
        <v>1579</v>
      </c>
      <c r="C12" s="193">
        <v>10</v>
      </c>
      <c r="D12" s="156" t="s">
        <v>1885</v>
      </c>
      <c r="E12" s="157">
        <v>45432</v>
      </c>
      <c r="F12" s="156">
        <v>1</v>
      </c>
      <c r="G12" s="156" t="s">
        <v>1614</v>
      </c>
      <c r="H12" s="156" t="s">
        <v>1617</v>
      </c>
      <c r="I12" s="156">
        <v>89</v>
      </c>
      <c r="J12" s="156">
        <v>5390</v>
      </c>
      <c r="K12" s="156">
        <v>11753553541</v>
      </c>
      <c r="L12" s="156">
        <v>690223538</v>
      </c>
      <c r="M12" s="156">
        <v>89</v>
      </c>
      <c r="N12" s="156">
        <v>5390</v>
      </c>
      <c r="O12" s="156">
        <v>5.3900000035908002E+29</v>
      </c>
      <c r="P12" s="156">
        <v>500001</v>
      </c>
      <c r="Q12" s="156">
        <v>5</v>
      </c>
      <c r="R12" s="156" t="s">
        <v>1637</v>
      </c>
      <c r="S12" s="180"/>
      <c r="T12" s="180"/>
      <c r="U12" s="180"/>
      <c r="V12" s="158">
        <v>9841</v>
      </c>
      <c r="W12" s="156" t="s">
        <v>1788</v>
      </c>
      <c r="X12" s="157">
        <v>45432</v>
      </c>
      <c r="Y12" s="156" t="s">
        <v>1882</v>
      </c>
    </row>
    <row r="13" spans="2:49">
      <c r="B13" s="192" t="s">
        <v>1581</v>
      </c>
      <c r="C13" s="193">
        <v>11</v>
      </c>
      <c r="D13" s="156" t="s">
        <v>1886</v>
      </c>
      <c r="E13" s="157">
        <v>45432</v>
      </c>
      <c r="F13" s="156">
        <v>1</v>
      </c>
      <c r="G13" s="156" t="s">
        <v>1614</v>
      </c>
      <c r="H13" s="156" t="s">
        <v>1617</v>
      </c>
      <c r="I13" s="156">
        <v>89</v>
      </c>
      <c r="J13" s="156">
        <v>5390</v>
      </c>
      <c r="K13" s="156">
        <v>11753553541</v>
      </c>
      <c r="L13" s="156">
        <v>690223538</v>
      </c>
      <c r="M13" s="156">
        <v>89</v>
      </c>
      <c r="N13" s="156">
        <v>5390</v>
      </c>
      <c r="O13" s="156">
        <v>5.3900000035908002E+29</v>
      </c>
      <c r="P13" s="156">
        <v>500001</v>
      </c>
      <c r="Q13" s="156">
        <v>5</v>
      </c>
      <c r="R13" s="156" t="s">
        <v>1637</v>
      </c>
      <c r="S13" s="180"/>
      <c r="T13" s="180"/>
      <c r="U13" s="180"/>
      <c r="V13" s="158">
        <v>100000</v>
      </c>
      <c r="W13" s="156" t="s">
        <v>576</v>
      </c>
      <c r="X13" s="157">
        <v>45432</v>
      </c>
      <c r="Y13" s="156" t="s">
        <v>1887</v>
      </c>
    </row>
    <row r="14" spans="2:49">
      <c r="B14" s="192" t="s">
        <v>1583</v>
      </c>
      <c r="C14" s="193">
        <v>12</v>
      </c>
      <c r="D14" s="156" t="s">
        <v>1888</v>
      </c>
      <c r="E14" s="157">
        <v>45432</v>
      </c>
      <c r="F14" s="156">
        <v>1</v>
      </c>
      <c r="G14" s="156">
        <v>1</v>
      </c>
      <c r="H14" s="156" t="s">
        <v>1617</v>
      </c>
      <c r="I14" s="156">
        <v>0</v>
      </c>
      <c r="J14" s="156">
        <v>0</v>
      </c>
      <c r="K14" s="156">
        <v>0</v>
      </c>
      <c r="L14" s="156">
        <v>0</v>
      </c>
      <c r="M14" s="156">
        <v>0</v>
      </c>
      <c r="N14" s="156">
        <v>0</v>
      </c>
      <c r="O14" s="156">
        <v>0</v>
      </c>
      <c r="P14" s="156">
        <v>0</v>
      </c>
      <c r="Q14" s="156">
        <v>0</v>
      </c>
      <c r="R14" s="156">
        <v>0</v>
      </c>
      <c r="S14" s="180"/>
      <c r="T14" s="180"/>
      <c r="U14" s="180"/>
      <c r="V14" s="156">
        <v>0</v>
      </c>
      <c r="W14" s="156">
        <v>0</v>
      </c>
      <c r="X14" s="156">
        <v>0</v>
      </c>
      <c r="Y14" s="156">
        <v>0</v>
      </c>
    </row>
    <row r="15" spans="2:49">
      <c r="B15" s="192" t="s">
        <v>1587</v>
      </c>
      <c r="C15" s="193">
        <v>14</v>
      </c>
      <c r="D15" s="156" t="s">
        <v>1889</v>
      </c>
      <c r="E15" s="157">
        <v>45432</v>
      </c>
      <c r="F15" s="156">
        <v>1</v>
      </c>
      <c r="G15" s="156">
        <v>1</v>
      </c>
      <c r="H15" s="156" t="s">
        <v>1617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>
        <v>0</v>
      </c>
      <c r="P15" s="156">
        <v>0</v>
      </c>
      <c r="Q15" s="156">
        <v>0</v>
      </c>
      <c r="R15" s="156">
        <v>0</v>
      </c>
      <c r="S15" s="180"/>
      <c r="T15" s="180"/>
      <c r="U15" s="180"/>
      <c r="V15" s="156" t="s">
        <v>1614</v>
      </c>
      <c r="W15" s="156">
        <v>0</v>
      </c>
      <c r="X15" s="156" t="s">
        <v>1614</v>
      </c>
      <c r="Y15" s="156" t="s">
        <v>1614</v>
      </c>
    </row>
    <row r="16" spans="2:49">
      <c r="B16" s="192" t="s">
        <v>1589</v>
      </c>
      <c r="C16" s="193">
        <v>15</v>
      </c>
      <c r="D16" s="156" t="s">
        <v>1890</v>
      </c>
      <c r="E16" s="157">
        <v>45432</v>
      </c>
      <c r="F16" s="156">
        <v>1</v>
      </c>
      <c r="G16" s="156">
        <v>1</v>
      </c>
      <c r="H16" s="156" t="s">
        <v>1617</v>
      </c>
      <c r="I16" s="158" t="s">
        <v>1614</v>
      </c>
      <c r="J16" s="156" t="s">
        <v>1614</v>
      </c>
      <c r="K16" s="156" t="s">
        <v>1614</v>
      </c>
      <c r="L16" s="156" t="s">
        <v>1614</v>
      </c>
      <c r="M16" s="156" t="s">
        <v>1614</v>
      </c>
      <c r="N16" s="156" t="s">
        <v>1614</v>
      </c>
      <c r="O16" s="156" t="s">
        <v>1614</v>
      </c>
      <c r="P16" s="156" t="s">
        <v>1614</v>
      </c>
      <c r="Q16" s="156" t="s">
        <v>1614</v>
      </c>
      <c r="R16" s="156" t="s">
        <v>1614</v>
      </c>
      <c r="S16" s="180"/>
      <c r="T16" s="180"/>
      <c r="U16" s="180"/>
      <c r="V16" s="156" t="s">
        <v>1614</v>
      </c>
      <c r="W16" s="156" t="s">
        <v>1614</v>
      </c>
      <c r="X16" s="156" t="s">
        <v>1614</v>
      </c>
      <c r="Y16" s="156" t="s">
        <v>1614</v>
      </c>
    </row>
    <row r="17" spans="2:34">
      <c r="B17" s="192" t="s">
        <v>1591</v>
      </c>
      <c r="C17" s="193">
        <v>16</v>
      </c>
      <c r="D17" s="156" t="s">
        <v>1890</v>
      </c>
      <c r="E17" s="157">
        <v>45432</v>
      </c>
      <c r="F17" s="156">
        <v>1</v>
      </c>
      <c r="G17" s="156">
        <v>1</v>
      </c>
      <c r="H17" s="156" t="s">
        <v>1617</v>
      </c>
      <c r="I17" s="158" t="s">
        <v>1614</v>
      </c>
      <c r="J17" s="156" t="s">
        <v>1614</v>
      </c>
      <c r="K17" s="156" t="s">
        <v>1614</v>
      </c>
      <c r="L17" s="156" t="s">
        <v>1614</v>
      </c>
      <c r="M17" s="156" t="s">
        <v>1614</v>
      </c>
      <c r="N17" s="156" t="s">
        <v>1614</v>
      </c>
      <c r="O17" s="156" t="s">
        <v>1614</v>
      </c>
      <c r="P17" s="156" t="s">
        <v>1614</v>
      </c>
      <c r="Q17" s="156" t="s">
        <v>1614</v>
      </c>
      <c r="R17" s="156" t="s">
        <v>1614</v>
      </c>
      <c r="S17" s="180"/>
      <c r="T17" s="180"/>
      <c r="U17" s="180"/>
      <c r="V17" s="156" t="s">
        <v>1614</v>
      </c>
      <c r="W17" s="156" t="s">
        <v>1614</v>
      </c>
      <c r="X17" s="156" t="s">
        <v>1614</v>
      </c>
      <c r="Y17" s="156" t="s">
        <v>1614</v>
      </c>
    </row>
    <row r="18" spans="2:34">
      <c r="B18" s="192" t="s">
        <v>1597</v>
      </c>
      <c r="C18" s="193">
        <v>19</v>
      </c>
      <c r="D18" s="156" t="s">
        <v>1891</v>
      </c>
      <c r="E18" s="157">
        <v>45432</v>
      </c>
      <c r="F18" s="156">
        <v>1</v>
      </c>
      <c r="G18" s="179" cm="1">
        <f t="array" aca="1" ref="G18" ca="1">SUMPRODUCT(--(ISNUMBER((SEARCH(I25:Y25,I18:Y18)))))/COUNTA(I18:Y18)</f>
        <v>1</v>
      </c>
      <c r="H18" s="156" t="s">
        <v>1617</v>
      </c>
      <c r="I18" s="156" t="s">
        <v>1654</v>
      </c>
      <c r="J18" s="156" t="s">
        <v>1654</v>
      </c>
      <c r="K18" s="156" t="s">
        <v>1654</v>
      </c>
      <c r="L18" s="156" t="s">
        <v>1654</v>
      </c>
      <c r="M18" s="156" t="s">
        <v>1654</v>
      </c>
      <c r="N18" s="156" t="s">
        <v>1654</v>
      </c>
      <c r="O18" s="156" t="s">
        <v>1654</v>
      </c>
      <c r="P18" s="156" t="s">
        <v>1654</v>
      </c>
      <c r="Q18" s="156" t="s">
        <v>1654</v>
      </c>
      <c r="R18" s="156" t="s">
        <v>1654</v>
      </c>
      <c r="S18" s="180"/>
      <c r="T18" s="180"/>
      <c r="U18" s="180"/>
      <c r="V18" s="156" t="s">
        <v>1654</v>
      </c>
      <c r="W18" s="156" t="s">
        <v>1654</v>
      </c>
      <c r="X18" s="156" t="s">
        <v>1654</v>
      </c>
      <c r="Y18" s="156" t="s">
        <v>1655</v>
      </c>
    </row>
    <row r="19" spans="2:34">
      <c r="B19" s="178" t="s">
        <v>1600</v>
      </c>
      <c r="C19" s="193">
        <v>20</v>
      </c>
      <c r="D19" s="156" t="s">
        <v>1877</v>
      </c>
      <c r="E19" s="157">
        <v>45432</v>
      </c>
      <c r="F19" s="156">
        <v>1</v>
      </c>
      <c r="G19" s="111" cm="1">
        <f t="array" ref="G19">SUM(IF(I2:Y2 = I24:Y24, 1, 0))/ COUNTA(I2:Y2)</f>
        <v>1</v>
      </c>
      <c r="H19" s="156" t="s">
        <v>1617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80"/>
      <c r="T19" s="180"/>
      <c r="U19" s="180"/>
      <c r="V19" s="156"/>
      <c r="W19" s="156"/>
      <c r="X19" s="156"/>
      <c r="Y19" s="156"/>
    </row>
    <row r="20" spans="2:34">
      <c r="B20" s="195" t="s">
        <v>1603</v>
      </c>
      <c r="C20" s="196">
        <v>21</v>
      </c>
      <c r="D20" s="156" t="s">
        <v>1877</v>
      </c>
      <c r="E20" s="157">
        <v>45432</v>
      </c>
      <c r="F20" s="156">
        <v>1</v>
      </c>
      <c r="G20" s="111" cm="1">
        <f t="array" aca="1" ref="G20" ca="1">SUM(IF(IF(G3:G19="null",1,G3:G19)=1,1,0))/COUNT(IF(G3:G19="null",1,1))</f>
        <v>1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80"/>
      <c r="T20" s="180"/>
      <c r="U20" s="180"/>
      <c r="V20" s="156"/>
      <c r="W20" s="156"/>
      <c r="X20" s="156"/>
      <c r="Y20" s="156"/>
    </row>
    <row r="21" spans="2:34">
      <c r="B21" s="195"/>
      <c r="C21" s="189"/>
      <c r="D21" s="156"/>
      <c r="E21" s="157"/>
      <c r="F21" s="156"/>
      <c r="G21" s="158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</row>
    <row r="23" spans="2:34">
      <c r="B23" s="164" t="s">
        <v>1656</v>
      </c>
    </row>
    <row r="24" spans="2:34">
      <c r="B24" s="168" t="s">
        <v>1558</v>
      </c>
      <c r="C24" s="169" t="s">
        <v>1607</v>
      </c>
      <c r="D24" s="169" t="s">
        <v>1608</v>
      </c>
      <c r="E24" s="169" t="s">
        <v>1609</v>
      </c>
      <c r="F24" s="169" t="s">
        <v>1610</v>
      </c>
      <c r="G24" s="169" t="s">
        <v>1611</v>
      </c>
      <c r="H24" s="169" t="s">
        <v>1612</v>
      </c>
      <c r="I24" s="161" t="s">
        <v>828</v>
      </c>
      <c r="J24" s="161" t="s">
        <v>833</v>
      </c>
      <c r="K24" s="161" t="s">
        <v>839</v>
      </c>
      <c r="L24" s="161" t="s">
        <v>845</v>
      </c>
      <c r="M24" s="161" t="s">
        <v>851</v>
      </c>
      <c r="N24" s="161" t="s">
        <v>858</v>
      </c>
      <c r="O24" s="161" t="s">
        <v>864</v>
      </c>
      <c r="P24" s="161" t="s">
        <v>870</v>
      </c>
      <c r="Q24" s="161" t="s">
        <v>1256</v>
      </c>
      <c r="R24" s="161" t="s">
        <v>722</v>
      </c>
      <c r="S24" s="161" t="s">
        <v>1200</v>
      </c>
      <c r="T24" s="161" t="s">
        <v>1208</v>
      </c>
      <c r="U24" s="161" t="s">
        <v>1874</v>
      </c>
      <c r="V24" s="161" t="s">
        <v>735</v>
      </c>
      <c r="W24" s="161" t="s">
        <v>1005</v>
      </c>
      <c r="X24" s="161" t="s">
        <v>783</v>
      </c>
      <c r="Y24" s="162" t="s">
        <v>790</v>
      </c>
    </row>
    <row r="25" spans="2:34">
      <c r="B25" s="165" t="s">
        <v>1657</v>
      </c>
      <c r="C25" s="126">
        <v>19</v>
      </c>
      <c r="D25" s="166" t="s">
        <v>1658</v>
      </c>
      <c r="E25" s="125" t="s">
        <v>1659</v>
      </c>
      <c r="F25" s="125" t="s">
        <v>1660</v>
      </c>
      <c r="G25" s="125" t="s">
        <v>1660</v>
      </c>
      <c r="H25" s="125" t="s">
        <v>1660</v>
      </c>
      <c r="I25" s="125" t="str" cm="1">
        <f t="array" aca="1" ref="I25:Y26" ca="1">TRANSPOSE(_xlfn.SORTBY(_xlfn._xlws.FILTER(IF(Table2[FORMATO]:Table2[COMP_ CAMPO]&lt;&gt;"",Table2[FORMATO]:Table2[COMP_ CAMPO],9999999),Table2[NOME FÍSICO TABELA]="guarantee_real_estate_collat_rel"), _xlfn._xlws.FILTER(Table2[ORDEM], Table2[NOME FÍSICO TABELA]="guarantee_real_estate_collat_rel"), 1))</f>
        <v>STRING</v>
      </c>
      <c r="J25" s="125" t="str">
        <f ca="1"/>
        <v>STRING</v>
      </c>
      <c r="K25" s="125" t="str">
        <f ca="1"/>
        <v>STRING</v>
      </c>
      <c r="L25" s="125" t="str">
        <f ca="1"/>
        <v>STRING</v>
      </c>
      <c r="M25" s="125" t="str">
        <f ca="1"/>
        <v>STRING</v>
      </c>
      <c r="N25" s="125" t="str">
        <f ca="1"/>
        <v>STRING</v>
      </c>
      <c r="O25" s="125" t="str">
        <f ca="1"/>
        <v>STRING</v>
      </c>
      <c r="P25" s="125" t="str">
        <f ca="1"/>
        <v>STRING</v>
      </c>
      <c r="Q25" s="125" t="str">
        <f ca="1"/>
        <v>STRING</v>
      </c>
      <c r="R25" s="125" t="str">
        <f ca="1"/>
        <v>STRING</v>
      </c>
      <c r="S25" s="125" t="str">
        <f ca="1"/>
        <v>STRING</v>
      </c>
      <c r="T25" s="125" t="str">
        <f ca="1"/>
        <v>STRING</v>
      </c>
      <c r="U25" s="125" t="str">
        <f ca="1"/>
        <v>STRING</v>
      </c>
      <c r="V25" s="125" t="str">
        <f ca="1"/>
        <v>STRING</v>
      </c>
      <c r="W25" s="125" t="str">
        <f ca="1"/>
        <v>STRING</v>
      </c>
      <c r="X25" s="125" t="str">
        <f ca="1"/>
        <v>STRING</v>
      </c>
      <c r="Y25" s="167" t="str">
        <f ca="1"/>
        <v>TIMESTAMP</v>
      </c>
      <c r="AA25" s="191"/>
      <c r="AB25" s="191"/>
      <c r="AC25" s="191"/>
      <c r="AD25" s="191"/>
      <c r="AE25" s="191"/>
      <c r="AF25" s="191"/>
      <c r="AG25" s="191"/>
      <c r="AH25" s="191"/>
    </row>
    <row r="26" spans="2:34">
      <c r="B26" s="120" t="s">
        <v>1661</v>
      </c>
      <c r="C26" s="121">
        <v>7</v>
      </c>
      <c r="D26" s="122" t="s">
        <v>1658</v>
      </c>
      <c r="E26" s="123" t="s">
        <v>1659</v>
      </c>
      <c r="F26" s="123" t="s">
        <v>1660</v>
      </c>
      <c r="G26" s="123" t="s">
        <v>1660</v>
      </c>
      <c r="H26" s="123" t="s">
        <v>1660</v>
      </c>
      <c r="I26" s="121">
        <f ca="1"/>
        <v>2</v>
      </c>
      <c r="J26" s="121">
        <f ca="1"/>
        <v>20</v>
      </c>
      <c r="K26" s="121">
        <f ca="1"/>
        <v>11</v>
      </c>
      <c r="L26" s="121">
        <f ca="1"/>
        <v>20</v>
      </c>
      <c r="M26" s="121">
        <f ca="1"/>
        <v>2</v>
      </c>
      <c r="N26" s="121">
        <f ca="1"/>
        <v>20</v>
      </c>
      <c r="O26" s="121">
        <f ca="1"/>
        <v>30</v>
      </c>
      <c r="P26" s="121">
        <f ca="1"/>
        <v>20</v>
      </c>
      <c r="Q26" s="121">
        <f ca="1"/>
        <v>20</v>
      </c>
      <c r="R26" s="121">
        <f ca="1"/>
        <v>20</v>
      </c>
      <c r="S26" s="121">
        <f ca="1"/>
        <v>10</v>
      </c>
      <c r="T26" s="121">
        <f ca="1"/>
        <v>10</v>
      </c>
      <c r="U26" s="121">
        <f ca="1"/>
        <v>10</v>
      </c>
      <c r="V26" s="121">
        <f ca="1"/>
        <v>23</v>
      </c>
      <c r="W26" s="121">
        <f ca="1"/>
        <v>3</v>
      </c>
      <c r="X26" s="121">
        <f ca="1"/>
        <v>10</v>
      </c>
      <c r="Y26" s="223">
        <f ca="1"/>
        <v>23</v>
      </c>
    </row>
    <row r="28" spans="2:34">
      <c r="B28" s="177" t="s">
        <v>1662</v>
      </c>
    </row>
    <row r="29" spans="2:34">
      <c r="B29" s="168" t="s">
        <v>1663</v>
      </c>
      <c r="C29" s="169" t="s">
        <v>1664</v>
      </c>
      <c r="D29" s="210" t="s">
        <v>1665</v>
      </c>
      <c r="E29" s="169" t="s">
        <v>1666</v>
      </c>
      <c r="F29" s="210" t="s">
        <v>1667</v>
      </c>
    </row>
    <row r="30" spans="2:34">
      <c r="B30" s="75"/>
      <c r="C30" s="76"/>
      <c r="D30" s="74"/>
      <c r="E30" s="209"/>
      <c r="F30" s="74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88AA-65B0-4A8B-983D-6EDED8DCDE50}">
  <sheetPr>
    <tabColor rgb="FF00B050"/>
  </sheetPr>
  <dimension ref="B1:AW52"/>
  <sheetViews>
    <sheetView workbookViewId="0">
      <selection activeCell="I29" sqref="I29"/>
    </sheetView>
  </sheetViews>
  <sheetFormatPr defaultRowHeight="15"/>
  <cols>
    <col min="1" max="1" width="12.28515625" customWidth="1"/>
    <col min="2" max="2" width="35.5703125" customWidth="1"/>
    <col min="3" max="3" width="23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2.28515625" bestFit="1" customWidth="1"/>
    <col min="23" max="23" width="35.5703125" customWidth="1"/>
    <col min="24" max="24" width="26.28515625" bestFit="1" customWidth="1"/>
    <col min="25" max="25" width="26" bestFit="1" customWidth="1"/>
    <col min="26" max="26" width="21" bestFit="1" customWidth="1"/>
    <col min="27" max="27" width="29.42578125" bestFit="1" customWidth="1"/>
    <col min="28" max="28" width="26.85546875" bestFit="1" customWidth="1"/>
    <col min="29" max="29" width="14.7109375" bestFit="1" customWidth="1"/>
    <col min="30" max="30" width="17.42578125" bestFit="1" customWidth="1"/>
    <col min="31" max="31" width="26.85546875" bestFit="1" customWidth="1"/>
    <col min="38" max="38" width="11.42578125" bestFit="1" customWidth="1"/>
  </cols>
  <sheetData>
    <row r="1" spans="2:49" ht="25.5" customHeight="1"/>
    <row r="2" spans="2:49">
      <c r="B2" s="151" t="s">
        <v>1606</v>
      </c>
      <c r="C2" s="151" t="s">
        <v>1607</v>
      </c>
      <c r="D2" t="s">
        <v>1608</v>
      </c>
      <c r="E2" t="s">
        <v>1609</v>
      </c>
      <c r="F2" t="s">
        <v>1610</v>
      </c>
      <c r="G2" t="s">
        <v>1611</v>
      </c>
      <c r="H2" t="s">
        <v>1612</v>
      </c>
      <c r="I2" s="161" t="s">
        <v>687</v>
      </c>
      <c r="J2" s="161" t="s">
        <v>699</v>
      </c>
      <c r="K2" s="161" t="s">
        <v>706</v>
      </c>
      <c r="L2" s="161" t="s">
        <v>714</v>
      </c>
      <c r="M2" s="161" t="s">
        <v>722</v>
      </c>
      <c r="N2" s="161" t="s">
        <v>728</v>
      </c>
      <c r="O2" s="161" t="s">
        <v>735</v>
      </c>
      <c r="P2" s="161" t="s">
        <v>742</v>
      </c>
      <c r="Q2" s="161" t="s">
        <v>750</v>
      </c>
      <c r="R2" s="161" t="s">
        <v>757</v>
      </c>
      <c r="S2" s="161" t="s">
        <v>764</v>
      </c>
      <c r="T2" s="161" t="s">
        <v>770</v>
      </c>
      <c r="U2" s="161" t="s">
        <v>776</v>
      </c>
      <c r="V2" s="161" t="s">
        <v>783</v>
      </c>
      <c r="W2" s="161" t="s">
        <v>790</v>
      </c>
    </row>
    <row r="3" spans="2:49">
      <c r="B3" s="192" t="s">
        <v>1560</v>
      </c>
      <c r="C3" s="193">
        <v>1</v>
      </c>
      <c r="D3" s="156" t="s">
        <v>1892</v>
      </c>
      <c r="E3" s="157">
        <v>45422</v>
      </c>
      <c r="F3" s="156">
        <v>1</v>
      </c>
      <c r="G3" s="156">
        <v>1</v>
      </c>
      <c r="H3" s="158">
        <v>74</v>
      </c>
      <c r="I3" s="158" t="s">
        <v>1614</v>
      </c>
      <c r="J3" s="156" t="s">
        <v>1614</v>
      </c>
      <c r="K3" s="156" t="s">
        <v>1614</v>
      </c>
      <c r="L3" s="156" t="s">
        <v>1614</v>
      </c>
      <c r="M3" s="156" t="s">
        <v>1614</v>
      </c>
      <c r="N3" s="156" t="s">
        <v>1614</v>
      </c>
      <c r="O3" s="156" t="s">
        <v>1614</v>
      </c>
      <c r="P3" s="156" t="s">
        <v>1614</v>
      </c>
      <c r="Q3" s="156" t="s">
        <v>1614</v>
      </c>
      <c r="R3" s="156" t="s">
        <v>1614</v>
      </c>
      <c r="S3" s="156" t="s">
        <v>1614</v>
      </c>
      <c r="T3" s="156" t="s">
        <v>1614</v>
      </c>
      <c r="U3" s="156" t="s">
        <v>1614</v>
      </c>
      <c r="V3" s="156" t="s">
        <v>1614</v>
      </c>
      <c r="W3" s="156" t="s">
        <v>1614</v>
      </c>
    </row>
    <row r="4" spans="2:49">
      <c r="B4" s="192" t="s">
        <v>1562</v>
      </c>
      <c r="C4" s="193">
        <v>2</v>
      </c>
      <c r="D4" s="156" t="s">
        <v>1893</v>
      </c>
      <c r="E4" s="157">
        <v>45422</v>
      </c>
      <c r="F4" s="156">
        <v>1</v>
      </c>
      <c r="G4" s="156">
        <v>1</v>
      </c>
      <c r="H4" s="156" t="s">
        <v>1617</v>
      </c>
      <c r="I4" s="158" t="s">
        <v>1614</v>
      </c>
      <c r="J4" s="156" t="s">
        <v>1614</v>
      </c>
      <c r="K4" s="156" t="s">
        <v>1614</v>
      </c>
      <c r="L4" s="156" t="s">
        <v>1614</v>
      </c>
      <c r="M4" s="156" t="s">
        <v>1614</v>
      </c>
      <c r="N4" s="156" t="s">
        <v>1614</v>
      </c>
      <c r="O4" s="156" t="s">
        <v>1614</v>
      </c>
      <c r="P4" s="156" t="s">
        <v>1614</v>
      </c>
      <c r="Q4" s="156" t="s">
        <v>1614</v>
      </c>
      <c r="R4" s="156" t="s">
        <v>1614</v>
      </c>
      <c r="S4" s="156" t="s">
        <v>1614</v>
      </c>
      <c r="T4" s="156" t="s">
        <v>1614</v>
      </c>
      <c r="U4" s="156" t="s">
        <v>1614</v>
      </c>
      <c r="V4" s="156" t="s">
        <v>1614</v>
      </c>
      <c r="W4" s="156" t="s">
        <v>1614</v>
      </c>
    </row>
    <row r="5" spans="2:49">
      <c r="B5" s="192" t="s">
        <v>1564</v>
      </c>
      <c r="C5" s="193">
        <v>3</v>
      </c>
      <c r="D5" s="156" t="s">
        <v>1894</v>
      </c>
      <c r="E5" s="157">
        <v>45422</v>
      </c>
      <c r="F5" s="156">
        <v>1</v>
      </c>
      <c r="G5" s="156">
        <v>0.21</v>
      </c>
      <c r="H5" s="158">
        <v>74</v>
      </c>
      <c r="I5" s="158">
        <v>0</v>
      </c>
      <c r="J5" s="156">
        <v>0</v>
      </c>
      <c r="K5" s="156">
        <v>17</v>
      </c>
      <c r="L5" s="156">
        <v>17</v>
      </c>
      <c r="M5" s="156">
        <v>42</v>
      </c>
      <c r="N5" s="156">
        <v>50</v>
      </c>
      <c r="O5" s="156">
        <v>50</v>
      </c>
      <c r="P5" s="156">
        <v>57</v>
      </c>
      <c r="Q5" s="156">
        <v>72</v>
      </c>
      <c r="R5" s="156">
        <v>62</v>
      </c>
      <c r="S5" s="156">
        <v>62</v>
      </c>
      <c r="T5" s="156">
        <v>66</v>
      </c>
      <c r="U5" s="156">
        <v>62</v>
      </c>
      <c r="V5" s="156">
        <v>0</v>
      </c>
      <c r="W5" s="156" t="s">
        <v>1614</v>
      </c>
    </row>
    <row r="6" spans="2:49">
      <c r="B6" s="188" t="s">
        <v>1566</v>
      </c>
      <c r="C6" s="189">
        <v>4</v>
      </c>
      <c r="D6" s="156" t="s">
        <v>1808</v>
      </c>
      <c r="E6" s="157" t="s">
        <v>1614</v>
      </c>
      <c r="F6" s="111">
        <v>1</v>
      </c>
      <c r="G6" s="111" t="s">
        <v>1614</v>
      </c>
      <c r="H6" s="156" t="s">
        <v>1617</v>
      </c>
      <c r="I6" s="113" t="s">
        <v>1614</v>
      </c>
      <c r="J6" s="113" t="s">
        <v>1614</v>
      </c>
      <c r="K6" s="113" t="s">
        <v>1614</v>
      </c>
      <c r="L6" s="113" t="s">
        <v>1614</v>
      </c>
      <c r="M6" s="113" t="s">
        <v>1614</v>
      </c>
      <c r="N6" s="113" t="s">
        <v>1614</v>
      </c>
      <c r="O6" s="113" t="s">
        <v>1614</v>
      </c>
      <c r="P6" s="113" t="s">
        <v>1614</v>
      </c>
      <c r="Q6" s="113" t="s">
        <v>1614</v>
      </c>
      <c r="R6" s="113" t="s">
        <v>1614</v>
      </c>
      <c r="S6" s="113" t="s">
        <v>1614</v>
      </c>
      <c r="T6" s="113" t="s">
        <v>1614</v>
      </c>
      <c r="U6" s="113" t="s">
        <v>1614</v>
      </c>
      <c r="V6" s="113" t="s">
        <v>1614</v>
      </c>
      <c r="W6" s="113" t="s">
        <v>1614</v>
      </c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1568</v>
      </c>
      <c r="C7" s="189">
        <v>5</v>
      </c>
      <c r="D7" s="156" t="s">
        <v>1808</v>
      </c>
      <c r="E7" s="157" t="s">
        <v>1614</v>
      </c>
      <c r="F7" s="111">
        <v>1</v>
      </c>
      <c r="G7" s="111" t="s">
        <v>1614</v>
      </c>
      <c r="H7" s="156" t="s">
        <v>1617</v>
      </c>
      <c r="I7" s="113" t="s">
        <v>1614</v>
      </c>
      <c r="J7" s="113" t="s">
        <v>1614</v>
      </c>
      <c r="K7" s="113" t="s">
        <v>1614</v>
      </c>
      <c r="L7" s="113" t="s">
        <v>1614</v>
      </c>
      <c r="M7" s="113" t="s">
        <v>1614</v>
      </c>
      <c r="N7" s="113" t="s">
        <v>1614</v>
      </c>
      <c r="O7" s="113" t="s">
        <v>1614</v>
      </c>
      <c r="P7" s="113" t="s">
        <v>1614</v>
      </c>
      <c r="Q7" s="113" t="s">
        <v>1614</v>
      </c>
      <c r="R7" s="113" t="s">
        <v>1614</v>
      </c>
      <c r="S7" s="113" t="s">
        <v>1614</v>
      </c>
      <c r="T7" s="113" t="s">
        <v>1614</v>
      </c>
      <c r="U7" s="113" t="s">
        <v>1614</v>
      </c>
      <c r="V7" s="113" t="s">
        <v>1614</v>
      </c>
      <c r="W7" s="113" t="s">
        <v>1614</v>
      </c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94" t="s">
        <v>1569</v>
      </c>
      <c r="C8" s="193">
        <v>6</v>
      </c>
      <c r="D8" s="156" t="s">
        <v>1895</v>
      </c>
      <c r="E8" s="157">
        <v>45422</v>
      </c>
      <c r="F8" s="156">
        <v>1</v>
      </c>
      <c r="G8" s="111" cm="1">
        <f t="array" ref="G8">SUMPRODUCT(--(I8:W8&gt;0))/COUNTA(I8:W8)</f>
        <v>1</v>
      </c>
      <c r="H8" s="156" t="s">
        <v>1617</v>
      </c>
      <c r="I8" s="156">
        <v>4</v>
      </c>
      <c r="J8" s="156">
        <v>17</v>
      </c>
      <c r="K8" s="156">
        <v>7</v>
      </c>
      <c r="L8" s="156">
        <v>7</v>
      </c>
      <c r="M8" s="156">
        <v>16</v>
      </c>
      <c r="N8" s="156">
        <v>29</v>
      </c>
      <c r="O8" s="156">
        <v>16</v>
      </c>
      <c r="P8" s="156">
        <v>9</v>
      </c>
      <c r="Q8" s="156">
        <v>7</v>
      </c>
      <c r="R8" s="156">
        <v>14</v>
      </c>
      <c r="S8" s="156">
        <v>7</v>
      </c>
      <c r="T8" s="156">
        <v>64</v>
      </c>
      <c r="U8" s="156">
        <v>8</v>
      </c>
      <c r="V8" s="156">
        <v>10</v>
      </c>
      <c r="W8" s="156">
        <v>23</v>
      </c>
    </row>
    <row r="9" spans="2:49">
      <c r="B9" s="192" t="s">
        <v>1572</v>
      </c>
      <c r="C9" s="193">
        <v>7</v>
      </c>
      <c r="D9" s="156" t="s">
        <v>1896</v>
      </c>
      <c r="E9" s="157">
        <v>45422</v>
      </c>
      <c r="F9" s="156">
        <v>1</v>
      </c>
      <c r="G9" s="111" cm="1">
        <f t="array" aca="1" ref="G9" ca="1">SUMPRODUCT(--(I9:W9&lt;=I25:W25))/COUNTA(I25:W25)</f>
        <v>1</v>
      </c>
      <c r="H9" s="157" t="s">
        <v>1617</v>
      </c>
      <c r="I9" s="156">
        <v>4</v>
      </c>
      <c r="J9" s="156">
        <v>72</v>
      </c>
      <c r="K9" s="156">
        <v>60</v>
      </c>
      <c r="L9" s="156">
        <v>12</v>
      </c>
      <c r="M9" s="156">
        <v>197</v>
      </c>
      <c r="N9" s="156">
        <v>29</v>
      </c>
      <c r="O9" s="156">
        <v>16</v>
      </c>
      <c r="P9" s="156">
        <v>9</v>
      </c>
      <c r="Q9" s="156">
        <v>11</v>
      </c>
      <c r="R9" s="156">
        <v>18</v>
      </c>
      <c r="S9" s="156">
        <v>11</v>
      </c>
      <c r="T9" s="156">
        <v>67</v>
      </c>
      <c r="U9" s="156">
        <v>8</v>
      </c>
      <c r="V9" s="156">
        <v>10</v>
      </c>
      <c r="W9" s="156">
        <v>23</v>
      </c>
    </row>
    <row r="10" spans="2:49">
      <c r="B10" s="192" t="s">
        <v>1575</v>
      </c>
      <c r="C10" s="193">
        <v>8</v>
      </c>
      <c r="D10" s="156" t="s">
        <v>1897</v>
      </c>
      <c r="E10" s="157">
        <v>45422</v>
      </c>
      <c r="F10" s="156">
        <v>1</v>
      </c>
      <c r="G10" s="156" t="s">
        <v>1614</v>
      </c>
      <c r="H10" s="156" t="s">
        <v>1617</v>
      </c>
      <c r="I10" s="156">
        <v>5000</v>
      </c>
      <c r="J10" s="156" t="s">
        <v>1898</v>
      </c>
      <c r="K10" s="156" t="s">
        <v>1899</v>
      </c>
      <c r="L10" s="156" t="s">
        <v>1899</v>
      </c>
      <c r="M10" s="156" t="s">
        <v>1900</v>
      </c>
      <c r="N10" s="156" t="s">
        <v>1901</v>
      </c>
      <c r="O10" s="156" t="s">
        <v>1902</v>
      </c>
      <c r="P10" s="156" t="s">
        <v>1903</v>
      </c>
      <c r="Q10" s="156" t="s">
        <v>1899</v>
      </c>
      <c r="R10" s="156" t="s">
        <v>1904</v>
      </c>
      <c r="S10" s="156" t="s">
        <v>1905</v>
      </c>
      <c r="T10" s="156" t="s">
        <v>1906</v>
      </c>
      <c r="U10" s="156" t="s">
        <v>1907</v>
      </c>
      <c r="V10" s="157">
        <v>45422</v>
      </c>
      <c r="W10" s="156" t="s">
        <v>1908</v>
      </c>
    </row>
    <row r="11" spans="2:49">
      <c r="B11" s="192" t="s">
        <v>1577</v>
      </c>
      <c r="C11" s="193">
        <v>9</v>
      </c>
      <c r="D11" s="156" t="s">
        <v>1909</v>
      </c>
      <c r="E11" s="157">
        <v>45422</v>
      </c>
      <c r="F11" s="156">
        <v>1</v>
      </c>
      <c r="G11" s="156" t="s">
        <v>1614</v>
      </c>
      <c r="H11" s="156" t="s">
        <v>1617</v>
      </c>
      <c r="I11" s="156">
        <v>5000</v>
      </c>
      <c r="J11" s="156" t="s">
        <v>1898</v>
      </c>
      <c r="K11" s="156" t="s">
        <v>1899</v>
      </c>
      <c r="L11" s="156" t="s">
        <v>1899</v>
      </c>
      <c r="M11" s="156" t="s">
        <v>1900</v>
      </c>
      <c r="N11" s="156" t="s">
        <v>1901</v>
      </c>
      <c r="O11" s="156" t="s">
        <v>1902</v>
      </c>
      <c r="P11" s="156" t="s">
        <v>1903</v>
      </c>
      <c r="Q11" s="156" t="s">
        <v>1899</v>
      </c>
      <c r="R11" s="156" t="s">
        <v>1904</v>
      </c>
      <c r="S11" s="156" t="s">
        <v>1905</v>
      </c>
      <c r="T11" s="156" t="s">
        <v>1906</v>
      </c>
      <c r="U11" s="156" t="s">
        <v>1907</v>
      </c>
      <c r="V11" s="157">
        <v>45422</v>
      </c>
      <c r="W11" s="156" t="s">
        <v>1910</v>
      </c>
    </row>
    <row r="12" spans="2:49">
      <c r="B12" s="194" t="s">
        <v>1579</v>
      </c>
      <c r="C12" s="193">
        <v>10</v>
      </c>
      <c r="D12" s="156" t="s">
        <v>1911</v>
      </c>
      <c r="E12" s="157">
        <v>45422</v>
      </c>
      <c r="F12" s="156">
        <v>1</v>
      </c>
      <c r="G12" s="156" t="s">
        <v>1614</v>
      </c>
      <c r="H12" s="156" t="s">
        <v>1617</v>
      </c>
      <c r="I12" s="156">
        <v>6504</v>
      </c>
      <c r="J12" s="156" t="s">
        <v>1912</v>
      </c>
      <c r="K12" s="156" t="s">
        <v>1913</v>
      </c>
      <c r="L12" s="156" t="s">
        <v>1914</v>
      </c>
      <c r="M12" s="156" t="s">
        <v>1915</v>
      </c>
      <c r="N12" s="156" t="s">
        <v>1901</v>
      </c>
      <c r="O12" s="156" t="s">
        <v>1902</v>
      </c>
      <c r="P12" s="156" t="s">
        <v>1916</v>
      </c>
      <c r="Q12" s="156" t="s">
        <v>1917</v>
      </c>
      <c r="R12" s="156" t="s">
        <v>1918</v>
      </c>
      <c r="S12" s="156" t="s">
        <v>1919</v>
      </c>
      <c r="T12" s="156" t="s">
        <v>1920</v>
      </c>
      <c r="U12" s="156" t="s">
        <v>1921</v>
      </c>
      <c r="V12" s="158">
        <v>45422</v>
      </c>
      <c r="W12" s="156" t="s">
        <v>1908</v>
      </c>
    </row>
    <row r="13" spans="2:49">
      <c r="B13" s="192" t="s">
        <v>1581</v>
      </c>
      <c r="C13" s="193">
        <v>11</v>
      </c>
      <c r="D13" s="156" t="s">
        <v>1922</v>
      </c>
      <c r="E13" s="157">
        <v>45422</v>
      </c>
      <c r="F13" s="156">
        <v>1</v>
      </c>
      <c r="G13" s="156" t="s">
        <v>1614</v>
      </c>
      <c r="H13" s="156" t="s">
        <v>1617</v>
      </c>
      <c r="I13" s="156">
        <v>6504</v>
      </c>
      <c r="J13" s="156" t="s">
        <v>1912</v>
      </c>
      <c r="K13" s="156" t="s">
        <v>1913</v>
      </c>
      <c r="L13" s="156" t="s">
        <v>1914</v>
      </c>
      <c r="M13" s="156" t="s">
        <v>1915</v>
      </c>
      <c r="N13" s="156" t="s">
        <v>1901</v>
      </c>
      <c r="O13" s="156" t="s">
        <v>1902</v>
      </c>
      <c r="P13" s="156" t="s">
        <v>1916</v>
      </c>
      <c r="Q13" s="156" t="s">
        <v>1917</v>
      </c>
      <c r="R13" s="156" t="s">
        <v>1918</v>
      </c>
      <c r="S13" s="156" t="s">
        <v>1919</v>
      </c>
      <c r="T13" s="156" t="s">
        <v>1920</v>
      </c>
      <c r="U13" s="156" t="s">
        <v>1921</v>
      </c>
      <c r="V13" s="158">
        <v>45422</v>
      </c>
      <c r="W13" s="156" t="s">
        <v>1923</v>
      </c>
    </row>
    <row r="14" spans="2:49">
      <c r="B14" s="192" t="s">
        <v>1583</v>
      </c>
      <c r="C14" s="193">
        <v>12</v>
      </c>
      <c r="D14" s="156" t="s">
        <v>1924</v>
      </c>
      <c r="E14" s="157">
        <v>45422</v>
      </c>
      <c r="F14" s="156">
        <v>1</v>
      </c>
      <c r="G14" s="156">
        <v>0.27</v>
      </c>
      <c r="H14" s="156" t="s">
        <v>1617</v>
      </c>
      <c r="I14" s="156">
        <v>0</v>
      </c>
      <c r="J14" s="156">
        <v>0</v>
      </c>
      <c r="K14" s="156">
        <v>17</v>
      </c>
      <c r="L14" s="156">
        <v>17</v>
      </c>
      <c r="M14" s="156">
        <v>42</v>
      </c>
      <c r="N14" s="156">
        <v>50</v>
      </c>
      <c r="O14" s="156">
        <v>50</v>
      </c>
      <c r="P14" s="156">
        <v>57</v>
      </c>
      <c r="Q14" s="156">
        <v>72</v>
      </c>
      <c r="R14" s="156">
        <v>62</v>
      </c>
      <c r="S14" s="156">
        <v>62</v>
      </c>
      <c r="T14" s="156">
        <v>66</v>
      </c>
      <c r="U14" s="156">
        <v>62</v>
      </c>
      <c r="V14" s="156">
        <v>0</v>
      </c>
      <c r="W14" s="156">
        <v>0</v>
      </c>
    </row>
    <row r="15" spans="2:49">
      <c r="B15" s="192" t="s">
        <v>1587</v>
      </c>
      <c r="C15" s="193">
        <v>14</v>
      </c>
      <c r="D15" s="156" t="s">
        <v>1925</v>
      </c>
      <c r="E15" s="157">
        <v>45422</v>
      </c>
      <c r="F15" s="156">
        <v>1</v>
      </c>
      <c r="G15" s="156">
        <v>1</v>
      </c>
      <c r="H15" s="156" t="s">
        <v>1617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 t="s">
        <v>1614</v>
      </c>
      <c r="P15" s="156">
        <v>0</v>
      </c>
      <c r="Q15" s="156">
        <v>0</v>
      </c>
      <c r="R15" s="156">
        <v>0</v>
      </c>
      <c r="S15" s="156">
        <v>0</v>
      </c>
      <c r="T15" s="156">
        <v>0</v>
      </c>
      <c r="U15" s="156" t="s">
        <v>1614</v>
      </c>
      <c r="V15" s="156" t="s">
        <v>1614</v>
      </c>
      <c r="W15" s="156" t="s">
        <v>1614</v>
      </c>
    </row>
    <row r="16" spans="2:49">
      <c r="B16" s="192" t="s">
        <v>1589</v>
      </c>
      <c r="C16" s="193">
        <v>15</v>
      </c>
      <c r="D16" s="156" t="s">
        <v>1926</v>
      </c>
      <c r="E16" s="157">
        <v>45422</v>
      </c>
      <c r="F16" s="156">
        <v>1</v>
      </c>
      <c r="G16" s="156">
        <v>0</v>
      </c>
      <c r="H16" s="158">
        <v>74</v>
      </c>
      <c r="I16" s="158" t="s">
        <v>1614</v>
      </c>
      <c r="J16" s="156" t="s">
        <v>1614</v>
      </c>
      <c r="K16" s="156" t="s">
        <v>1614</v>
      </c>
      <c r="L16" s="156" t="s">
        <v>1614</v>
      </c>
      <c r="M16" s="156" t="s">
        <v>1614</v>
      </c>
      <c r="N16" s="156" t="s">
        <v>1614</v>
      </c>
      <c r="O16" s="156" t="s">
        <v>1614</v>
      </c>
      <c r="P16" s="156" t="s">
        <v>1614</v>
      </c>
      <c r="Q16" s="156" t="s">
        <v>1614</v>
      </c>
      <c r="R16" s="156" t="s">
        <v>1614</v>
      </c>
      <c r="S16" s="156" t="s">
        <v>1614</v>
      </c>
      <c r="T16" s="156" t="s">
        <v>1614</v>
      </c>
      <c r="U16" s="156" t="s">
        <v>1614</v>
      </c>
      <c r="V16" s="156" t="s">
        <v>1614</v>
      </c>
      <c r="W16" s="156" t="s">
        <v>1614</v>
      </c>
    </row>
    <row r="17" spans="2:32">
      <c r="B17" s="192" t="s">
        <v>1591</v>
      </c>
      <c r="C17" s="193">
        <v>16</v>
      </c>
      <c r="D17" s="156" t="s">
        <v>1926</v>
      </c>
      <c r="E17" s="157">
        <v>45422</v>
      </c>
      <c r="F17" s="156">
        <v>1</v>
      </c>
      <c r="G17" s="156">
        <v>0</v>
      </c>
      <c r="H17" s="158">
        <v>74</v>
      </c>
      <c r="I17" s="158" t="s">
        <v>1614</v>
      </c>
      <c r="J17" s="156" t="s">
        <v>1614</v>
      </c>
      <c r="K17" s="156" t="s">
        <v>1614</v>
      </c>
      <c r="L17" s="156" t="s">
        <v>1614</v>
      </c>
      <c r="M17" s="156" t="s">
        <v>1614</v>
      </c>
      <c r="N17" s="156" t="s">
        <v>1614</v>
      </c>
      <c r="O17" s="156" t="s">
        <v>1614</v>
      </c>
      <c r="P17" s="156" t="s">
        <v>1614</v>
      </c>
      <c r="Q17" s="156" t="s">
        <v>1614</v>
      </c>
      <c r="R17" s="156" t="s">
        <v>1614</v>
      </c>
      <c r="S17" s="156" t="s">
        <v>1614</v>
      </c>
      <c r="T17" s="156" t="s">
        <v>1614</v>
      </c>
      <c r="U17" s="156" t="s">
        <v>1614</v>
      </c>
      <c r="V17" s="156" t="s">
        <v>1614</v>
      </c>
      <c r="W17" s="156" t="s">
        <v>1614</v>
      </c>
    </row>
    <row r="18" spans="2:32">
      <c r="B18" s="192" t="s">
        <v>1597</v>
      </c>
      <c r="C18" s="193">
        <v>19</v>
      </c>
      <c r="D18" s="156" t="s">
        <v>1927</v>
      </c>
      <c r="E18" s="157">
        <v>45422</v>
      </c>
      <c r="F18" s="156">
        <v>1</v>
      </c>
      <c r="G18" s="179" cm="1">
        <f t="array" aca="1" ref="G18" ca="1">SUMPRODUCT(--(ISNUMBER((SEARCH(I24:W24,I18:W18)))))/COUNTA(I18:W18)</f>
        <v>1</v>
      </c>
      <c r="H18" s="156" t="s">
        <v>1617</v>
      </c>
      <c r="I18" s="156" t="s">
        <v>1654</v>
      </c>
      <c r="J18" s="156" t="s">
        <v>1654</v>
      </c>
      <c r="K18" s="156" t="s">
        <v>1654</v>
      </c>
      <c r="L18" s="156" t="s">
        <v>1654</v>
      </c>
      <c r="M18" s="156" t="s">
        <v>1654</v>
      </c>
      <c r="N18" s="156" t="s">
        <v>1654</v>
      </c>
      <c r="O18" s="156" t="s">
        <v>1654</v>
      </c>
      <c r="P18" s="156" t="s">
        <v>1654</v>
      </c>
      <c r="Q18" s="156" t="s">
        <v>1654</v>
      </c>
      <c r="R18" s="156" t="s">
        <v>1654</v>
      </c>
      <c r="S18" s="156" t="s">
        <v>1654</v>
      </c>
      <c r="T18" s="156" t="s">
        <v>1654</v>
      </c>
      <c r="U18" s="156" t="s">
        <v>1654</v>
      </c>
      <c r="V18" s="156" t="s">
        <v>1654</v>
      </c>
      <c r="W18" s="156" t="s">
        <v>1655</v>
      </c>
    </row>
    <row r="19" spans="2:32">
      <c r="B19" s="178" t="s">
        <v>1600</v>
      </c>
      <c r="C19" s="193">
        <v>20</v>
      </c>
      <c r="D19" s="156" t="s">
        <v>1928</v>
      </c>
      <c r="E19" s="157">
        <v>45422</v>
      </c>
      <c r="F19" s="156">
        <v>1</v>
      </c>
      <c r="G19" s="111" cm="1">
        <f t="array" ref="G19">SUM(IF(I2:W2 = I23:W23, 1, 0))/ COUNTA(I2:W2)</f>
        <v>1</v>
      </c>
      <c r="H19" s="156" t="s">
        <v>1617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</row>
    <row r="20" spans="2:32">
      <c r="B20" s="195" t="s">
        <v>1603</v>
      </c>
      <c r="C20" s="196">
        <v>21</v>
      </c>
      <c r="D20" s="156" t="s">
        <v>1928</v>
      </c>
      <c r="E20" s="157">
        <v>45422</v>
      </c>
      <c r="F20" s="156">
        <v>1</v>
      </c>
      <c r="G20" s="111" cm="1">
        <f t="array" aca="1" ref="G20" ca="1">SUM(IF(IF(G3:G19="null",1,G3:G19)=1,1,0))/COUNT(IF(G3:G19="null",1,1))</f>
        <v>0.76470588235294112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</row>
    <row r="22" spans="2:32">
      <c r="B22" s="164" t="s">
        <v>1656</v>
      </c>
    </row>
    <row r="23" spans="2:32">
      <c r="B23" s="168" t="s">
        <v>1558</v>
      </c>
      <c r="C23" s="169" t="s">
        <v>1607</v>
      </c>
      <c r="D23" s="169" t="s">
        <v>1608</v>
      </c>
      <c r="E23" s="169" t="s">
        <v>1609</v>
      </c>
      <c r="F23" s="169" t="s">
        <v>1610</v>
      </c>
      <c r="G23" s="169" t="s">
        <v>1611</v>
      </c>
      <c r="H23" s="169" t="s">
        <v>1612</v>
      </c>
      <c r="I23" s="161" t="str" cm="1">
        <f t="array" ref="I23:W23">TRANSPOSE(_xlfn.SORTBY(_xlfn._xlws.FILTER(Table2[NOME FÍSICO CAMPO],Table2[NOME FÍSICO TABELA]="collateral_mapping"),_xlfn._xlws.FILTER(Table2[ORDEM],Table2[NOME FÍSICO TABELA]= "collateral_mapping"), 1))</f>
        <v>collateral_code</v>
      </c>
      <c r="J23" s="161" t="str">
        <v>desc</v>
      </c>
      <c r="K23" s="161" t="str">
        <v>collateral_type_code</v>
      </c>
      <c r="L23" s="161" t="str">
        <v>collateral_purpose_code</v>
      </c>
      <c r="M23" s="161" t="str">
        <v>reported_collateral_code</v>
      </c>
      <c r="N23" s="161" t="str">
        <v>appraisal_motive_code</v>
      </c>
      <c r="O23" s="161" t="str">
        <v>coverage_pct</v>
      </c>
      <c r="P23" s="161" t="str">
        <v>instrument_type_code</v>
      </c>
      <c r="Q23" s="161" t="str">
        <v>insurance_policy_code</v>
      </c>
      <c r="R23" s="161" t="str">
        <v>security_typology_code</v>
      </c>
      <c r="S23" s="161" t="str">
        <v>guarantor_party_id</v>
      </c>
      <c r="T23" s="161" t="str">
        <v>counterparty_id</v>
      </c>
      <c r="U23" s="161" t="str">
        <v>security_quote_ind</v>
      </c>
      <c r="V23" s="161" t="str">
        <v>data_date_part</v>
      </c>
      <c r="W23" s="162" t="str">
        <v>data_timestamp_part</v>
      </c>
    </row>
    <row r="24" spans="2:32">
      <c r="B24" s="165" t="s">
        <v>1657</v>
      </c>
      <c r="C24" s="126">
        <v>19</v>
      </c>
      <c r="D24" s="166" t="s">
        <v>1658</v>
      </c>
      <c r="E24" s="125" t="s">
        <v>1659</v>
      </c>
      <c r="F24" s="125" t="s">
        <v>1660</v>
      </c>
      <c r="G24" s="125" t="s">
        <v>1660</v>
      </c>
      <c r="H24" s="125" t="s">
        <v>1660</v>
      </c>
      <c r="I24" s="125" t="str" cm="1">
        <f t="array" aca="1" ref="I24:W25" ca="1">TRANSPOSE(_xlfn.SORTBY(_xlfn._xlws.FILTER(IF(Table2[FORMATO]:Table2[COMP_ CAMPO]&lt;&gt;"",Table2[FORMATO]:Table2[COMP_ CAMPO],9999999),Table2[NOME FÍSICO TABELA]="collateral_mapping"), _xlfn._xlws.FILTER(Table2[ORDEM], Table2[NOME FÍSICO TABELA]="collateral_mapping"), 1))</f>
        <v>STRING</v>
      </c>
      <c r="J24" s="125" t="str">
        <f ca="1"/>
        <v>STRING</v>
      </c>
      <c r="K24" s="125" t="str">
        <f ca="1"/>
        <v>STRING</v>
      </c>
      <c r="L24" s="125" t="str">
        <f ca="1"/>
        <v>STRING</v>
      </c>
      <c r="M24" s="125" t="str">
        <f ca="1"/>
        <v>STRING</v>
      </c>
      <c r="N24" s="125" t="str">
        <f ca="1"/>
        <v>STRING</v>
      </c>
      <c r="O24" s="125" t="str">
        <f ca="1"/>
        <v>STRING</v>
      </c>
      <c r="P24" s="125" t="str">
        <f ca="1"/>
        <v>STRING</v>
      </c>
      <c r="Q24" s="125" t="str">
        <f ca="1"/>
        <v>STRING</v>
      </c>
      <c r="R24" s="125" t="str">
        <f ca="1"/>
        <v>STRING</v>
      </c>
      <c r="S24" s="125" t="str">
        <f ca="1"/>
        <v>STRING</v>
      </c>
      <c r="T24" s="125" t="str">
        <f ca="1"/>
        <v>STRING</v>
      </c>
      <c r="U24" s="125" t="str">
        <f ca="1"/>
        <v>STRING</v>
      </c>
      <c r="V24" s="125" t="str">
        <f ca="1"/>
        <v>STRING</v>
      </c>
      <c r="W24" s="125" t="str">
        <f ca="1"/>
        <v>TIMESTAMP</v>
      </c>
      <c r="Y24" s="191"/>
      <c r="Z24" s="191"/>
      <c r="AA24" s="191"/>
      <c r="AB24" s="191"/>
      <c r="AC24" s="191"/>
      <c r="AD24" s="191"/>
      <c r="AE24" s="191"/>
      <c r="AF24" s="191"/>
    </row>
    <row r="25" spans="2:32">
      <c r="B25" s="120" t="s">
        <v>1661</v>
      </c>
      <c r="C25" s="121">
        <v>7</v>
      </c>
      <c r="D25" s="122" t="s">
        <v>1658</v>
      </c>
      <c r="E25" s="123" t="s">
        <v>1659</v>
      </c>
      <c r="F25" s="123" t="s">
        <v>1660</v>
      </c>
      <c r="G25" s="123" t="s">
        <v>1660</v>
      </c>
      <c r="H25" s="123" t="s">
        <v>1660</v>
      </c>
      <c r="I25" s="121">
        <f ca="1"/>
        <v>20</v>
      </c>
      <c r="J25" s="121">
        <f ca="1"/>
        <v>100</v>
      </c>
      <c r="K25" s="121">
        <f ca="1"/>
        <v>100</v>
      </c>
      <c r="L25" s="123">
        <f ca="1"/>
        <v>100</v>
      </c>
      <c r="M25" s="123">
        <f ca="1"/>
        <v>250</v>
      </c>
      <c r="N25" s="123">
        <f ca="1"/>
        <v>100</v>
      </c>
      <c r="O25" s="123">
        <f ca="1"/>
        <v>20</v>
      </c>
      <c r="P25" s="123">
        <f ca="1"/>
        <v>20</v>
      </c>
      <c r="Q25" s="123">
        <f ca="1"/>
        <v>20</v>
      </c>
      <c r="R25" s="123">
        <f ca="1"/>
        <v>20</v>
      </c>
      <c r="S25" s="123">
        <f ca="1"/>
        <v>11</v>
      </c>
      <c r="T25" s="123">
        <f ca="1"/>
        <v>100</v>
      </c>
      <c r="U25" s="123">
        <f ca="1"/>
        <v>20</v>
      </c>
      <c r="V25" s="123">
        <f ca="1"/>
        <v>10</v>
      </c>
      <c r="W25" s="123">
        <f ca="1"/>
        <v>23</v>
      </c>
    </row>
    <row r="27" spans="2:32">
      <c r="B27" s="177" t="s">
        <v>1662</v>
      </c>
    </row>
    <row r="28" spans="2:32">
      <c r="B28" s="168" t="s">
        <v>1663</v>
      </c>
      <c r="C28" s="169" t="s">
        <v>1664</v>
      </c>
      <c r="D28" s="210" t="s">
        <v>1665</v>
      </c>
      <c r="E28" s="169" t="s">
        <v>1666</v>
      </c>
      <c r="F28" s="210" t="s">
        <v>1667</v>
      </c>
    </row>
    <row r="29" spans="2:32" ht="30.75">
      <c r="B29" s="75" t="s">
        <v>1684</v>
      </c>
      <c r="C29" s="76" t="s">
        <v>706</v>
      </c>
      <c r="D29" s="134" t="s">
        <v>1929</v>
      </c>
      <c r="E29" s="209" t="s">
        <v>1930</v>
      </c>
      <c r="F29" s="74" t="s">
        <v>1671</v>
      </c>
    </row>
    <row r="30" spans="2:32" ht="30.75">
      <c r="B30" s="75" t="s">
        <v>1684</v>
      </c>
      <c r="C30" s="76" t="s">
        <v>714</v>
      </c>
      <c r="D30" s="134" t="s">
        <v>1929</v>
      </c>
      <c r="E30" s="209" t="s">
        <v>1930</v>
      </c>
      <c r="F30" s="74" t="s">
        <v>1671</v>
      </c>
    </row>
    <row r="31" spans="2:32" ht="30.75">
      <c r="B31" s="75" t="s">
        <v>1684</v>
      </c>
      <c r="C31" s="76" t="s">
        <v>722</v>
      </c>
      <c r="D31" s="134" t="s">
        <v>1929</v>
      </c>
      <c r="E31" s="209" t="s">
        <v>1931</v>
      </c>
      <c r="F31" s="74" t="s">
        <v>1671</v>
      </c>
    </row>
    <row r="32" spans="2:32" ht="30.75">
      <c r="B32" s="75" t="s">
        <v>1684</v>
      </c>
      <c r="C32" s="76" t="s">
        <v>728</v>
      </c>
      <c r="D32" s="134" t="s">
        <v>1929</v>
      </c>
      <c r="E32" s="209" t="s">
        <v>1932</v>
      </c>
      <c r="F32" s="74" t="s">
        <v>1671</v>
      </c>
    </row>
    <row r="33" spans="2:6" ht="30.75">
      <c r="B33" s="75" t="s">
        <v>1684</v>
      </c>
      <c r="C33" s="76" t="s">
        <v>735</v>
      </c>
      <c r="D33" s="134" t="s">
        <v>1929</v>
      </c>
      <c r="E33" s="209" t="s">
        <v>1932</v>
      </c>
      <c r="F33" s="74" t="s">
        <v>1671</v>
      </c>
    </row>
    <row r="34" spans="2:6" ht="30.75">
      <c r="B34" s="75" t="s">
        <v>1684</v>
      </c>
      <c r="C34" s="76" t="s">
        <v>742</v>
      </c>
      <c r="D34" s="134" t="s">
        <v>1929</v>
      </c>
      <c r="E34" s="209" t="s">
        <v>1933</v>
      </c>
      <c r="F34" s="74" t="s">
        <v>1671</v>
      </c>
    </row>
    <row r="35" spans="2:6" ht="30.75">
      <c r="B35" s="75" t="s">
        <v>1684</v>
      </c>
      <c r="C35" s="76" t="s">
        <v>750</v>
      </c>
      <c r="D35" s="134" t="s">
        <v>1929</v>
      </c>
      <c r="E35" s="209" t="s">
        <v>1934</v>
      </c>
      <c r="F35" s="74" t="s">
        <v>1671</v>
      </c>
    </row>
    <row r="36" spans="2:6" ht="30.75">
      <c r="B36" s="75" t="s">
        <v>1684</v>
      </c>
      <c r="C36" s="76" t="s">
        <v>757</v>
      </c>
      <c r="D36" s="134" t="s">
        <v>1929</v>
      </c>
      <c r="E36" s="209" t="s">
        <v>1935</v>
      </c>
      <c r="F36" s="74" t="s">
        <v>1671</v>
      </c>
    </row>
    <row r="37" spans="2:6" ht="30.75">
      <c r="B37" s="75" t="s">
        <v>1684</v>
      </c>
      <c r="C37" s="76" t="s">
        <v>764</v>
      </c>
      <c r="D37" s="134" t="s">
        <v>1929</v>
      </c>
      <c r="E37" s="209" t="s">
        <v>1935</v>
      </c>
      <c r="F37" s="74" t="s">
        <v>1671</v>
      </c>
    </row>
    <row r="38" spans="2:6" ht="30.75">
      <c r="B38" s="75" t="s">
        <v>1684</v>
      </c>
      <c r="C38" s="76" t="s">
        <v>770</v>
      </c>
      <c r="D38" s="134" t="s">
        <v>1929</v>
      </c>
      <c r="E38" s="209" t="s">
        <v>1936</v>
      </c>
      <c r="F38" s="74" t="s">
        <v>1671</v>
      </c>
    </row>
    <row r="39" spans="2:6" ht="30.75">
      <c r="B39" s="75" t="s">
        <v>1684</v>
      </c>
      <c r="C39" s="76" t="s">
        <v>1937</v>
      </c>
      <c r="D39" s="74" t="s">
        <v>1929</v>
      </c>
      <c r="E39" s="209" t="s">
        <v>1935</v>
      </c>
      <c r="F39" s="74" t="s">
        <v>1671</v>
      </c>
    </row>
    <row r="40" spans="2:6" ht="30.75">
      <c r="B40" s="75" t="s">
        <v>1668</v>
      </c>
      <c r="C40" s="76" t="s">
        <v>706</v>
      </c>
      <c r="D40" s="134" t="s">
        <v>1929</v>
      </c>
      <c r="E40" s="209" t="s">
        <v>1930</v>
      </c>
      <c r="F40" s="74" t="s">
        <v>1671</v>
      </c>
    </row>
    <row r="41" spans="2:6" ht="30.75">
      <c r="B41" s="75" t="s">
        <v>1668</v>
      </c>
      <c r="C41" s="76" t="s">
        <v>714</v>
      </c>
      <c r="D41" s="134" t="s">
        <v>1929</v>
      </c>
      <c r="E41" s="209" t="s">
        <v>1930</v>
      </c>
      <c r="F41" s="74" t="s">
        <v>1671</v>
      </c>
    </row>
    <row r="42" spans="2:6" ht="30.75">
      <c r="B42" s="75" t="s">
        <v>1668</v>
      </c>
      <c r="C42" s="76" t="s">
        <v>722</v>
      </c>
      <c r="D42" s="134" t="s">
        <v>1929</v>
      </c>
      <c r="E42" s="209" t="s">
        <v>1931</v>
      </c>
      <c r="F42" s="74" t="s">
        <v>1671</v>
      </c>
    </row>
    <row r="43" spans="2:6" ht="30.75">
      <c r="B43" s="75" t="s">
        <v>1668</v>
      </c>
      <c r="C43" s="76" t="s">
        <v>728</v>
      </c>
      <c r="D43" s="134" t="s">
        <v>1929</v>
      </c>
      <c r="E43" s="209" t="s">
        <v>1932</v>
      </c>
      <c r="F43" s="74" t="s">
        <v>1671</v>
      </c>
    </row>
    <row r="44" spans="2:6" ht="30.75">
      <c r="B44" s="75" t="s">
        <v>1668</v>
      </c>
      <c r="C44" s="76" t="s">
        <v>735</v>
      </c>
      <c r="D44" s="134" t="s">
        <v>1929</v>
      </c>
      <c r="E44" s="209" t="s">
        <v>1932</v>
      </c>
      <c r="F44" s="74" t="s">
        <v>1671</v>
      </c>
    </row>
    <row r="45" spans="2:6" ht="30.75">
      <c r="B45" s="75" t="s">
        <v>1668</v>
      </c>
      <c r="C45" s="76" t="s">
        <v>742</v>
      </c>
      <c r="D45" s="134" t="s">
        <v>1929</v>
      </c>
      <c r="E45" s="209" t="s">
        <v>1933</v>
      </c>
      <c r="F45" s="74" t="s">
        <v>1671</v>
      </c>
    </row>
    <row r="46" spans="2:6" ht="30.75">
      <c r="B46" s="75" t="s">
        <v>1668</v>
      </c>
      <c r="C46" s="76" t="s">
        <v>750</v>
      </c>
      <c r="D46" s="134" t="s">
        <v>1929</v>
      </c>
      <c r="E46" s="209" t="s">
        <v>1934</v>
      </c>
      <c r="F46" s="74" t="s">
        <v>1671</v>
      </c>
    </row>
    <row r="47" spans="2:6" ht="30.75">
      <c r="B47" s="75" t="s">
        <v>1668</v>
      </c>
      <c r="C47" s="76" t="s">
        <v>757</v>
      </c>
      <c r="D47" s="134" t="s">
        <v>1929</v>
      </c>
      <c r="E47" s="209" t="s">
        <v>1935</v>
      </c>
      <c r="F47" s="74" t="s">
        <v>1671</v>
      </c>
    </row>
    <row r="48" spans="2:6" ht="30.75">
      <c r="B48" s="75" t="s">
        <v>1668</v>
      </c>
      <c r="C48" s="76" t="s">
        <v>764</v>
      </c>
      <c r="D48" s="134" t="s">
        <v>1929</v>
      </c>
      <c r="E48" s="209" t="s">
        <v>1935</v>
      </c>
      <c r="F48" s="74" t="s">
        <v>1671</v>
      </c>
    </row>
    <row r="49" spans="2:6" ht="30.75">
      <c r="B49" s="75" t="s">
        <v>1668</v>
      </c>
      <c r="C49" s="76" t="s">
        <v>770</v>
      </c>
      <c r="D49" s="134" t="s">
        <v>1929</v>
      </c>
      <c r="E49" s="209" t="s">
        <v>1936</v>
      </c>
      <c r="F49" s="74" t="s">
        <v>1671</v>
      </c>
    </row>
    <row r="50" spans="2:6" ht="30.75">
      <c r="B50" s="75" t="s">
        <v>1668</v>
      </c>
      <c r="C50" s="212" t="s">
        <v>1937</v>
      </c>
      <c r="D50" s="134" t="s">
        <v>1929</v>
      </c>
      <c r="E50" s="213" t="s">
        <v>1935</v>
      </c>
      <c r="F50" s="134" t="s">
        <v>1671</v>
      </c>
    </row>
    <row r="51" spans="2:6" ht="137.25">
      <c r="B51" s="211" t="s">
        <v>1686</v>
      </c>
      <c r="C51" s="212" t="s">
        <v>1938</v>
      </c>
      <c r="D51" s="134" t="s">
        <v>1939</v>
      </c>
      <c r="E51" s="213" t="s">
        <v>1940</v>
      </c>
      <c r="F51" s="134" t="s">
        <v>1671</v>
      </c>
    </row>
    <row r="52" spans="2:6" ht="137.25">
      <c r="B52" s="211" t="s">
        <v>1690</v>
      </c>
      <c r="C52" s="212" t="s">
        <v>1938</v>
      </c>
      <c r="D52" s="134" t="s">
        <v>1939</v>
      </c>
      <c r="E52" s="213" t="s">
        <v>1940</v>
      </c>
      <c r="F52" s="134" t="s">
        <v>1671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E8C3-FEE3-4CCA-9ACB-AAF522DF5E08}">
  <sheetPr>
    <tabColor rgb="FF00B050"/>
  </sheetPr>
  <dimension ref="B1:AW34"/>
  <sheetViews>
    <sheetView topLeftCell="A28" workbookViewId="0">
      <selection activeCell="F31" sqref="F31"/>
    </sheetView>
  </sheetViews>
  <sheetFormatPr defaultRowHeight="15"/>
  <cols>
    <col min="1" max="1" width="12.28515625" customWidth="1"/>
    <col min="2" max="2" width="35.5703125" customWidth="1"/>
    <col min="3" max="3" width="30.710937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7.28515625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9.42578125" bestFit="1" customWidth="1"/>
    <col min="23" max="23" width="31.7109375" bestFit="1" customWidth="1"/>
    <col min="24" max="24" width="26.28515625" bestFit="1" customWidth="1"/>
    <col min="25" max="25" width="26" bestFit="1" customWidth="1"/>
    <col min="26" max="26" width="21" bestFit="1" customWidth="1"/>
    <col min="27" max="27" width="29.42578125" bestFit="1" customWidth="1"/>
    <col min="28" max="28" width="26.85546875" bestFit="1" customWidth="1"/>
    <col min="29" max="29" width="14.7109375" bestFit="1" customWidth="1"/>
    <col min="30" max="30" width="17.42578125" bestFit="1" customWidth="1"/>
    <col min="31" max="31" width="26.85546875" bestFit="1" customWidth="1"/>
    <col min="38" max="38" width="11.42578125" bestFit="1" customWidth="1"/>
  </cols>
  <sheetData>
    <row r="1" spans="2:49" ht="25.5" customHeight="1"/>
    <row r="2" spans="2:49">
      <c r="B2" s="151" t="s">
        <v>1606</v>
      </c>
      <c r="C2" s="151" t="s">
        <v>1607</v>
      </c>
      <c r="D2" t="s">
        <v>1608</v>
      </c>
      <c r="E2" t="s">
        <v>1609</v>
      </c>
      <c r="F2" t="s">
        <v>1610</v>
      </c>
      <c r="G2" t="s">
        <v>1611</v>
      </c>
      <c r="H2" t="s">
        <v>1612</v>
      </c>
      <c r="I2" s="161" t="s">
        <v>799</v>
      </c>
      <c r="J2" s="161" t="s">
        <v>807</v>
      </c>
      <c r="K2" s="161" t="s">
        <v>815</v>
      </c>
      <c r="L2" s="161" t="s">
        <v>821</v>
      </c>
      <c r="M2" s="161" t="s">
        <v>828</v>
      </c>
      <c r="N2" s="161" t="s">
        <v>833</v>
      </c>
      <c r="O2" s="161" t="s">
        <v>839</v>
      </c>
      <c r="P2" s="161" t="s">
        <v>845</v>
      </c>
      <c r="Q2" s="161" t="s">
        <v>1515</v>
      </c>
      <c r="R2" s="161" t="s">
        <v>1522</v>
      </c>
      <c r="S2" s="161" t="s">
        <v>1527</v>
      </c>
      <c r="T2" s="161" t="s">
        <v>1532</v>
      </c>
      <c r="U2" t="s">
        <v>1164</v>
      </c>
      <c r="V2" t="s">
        <v>1170</v>
      </c>
      <c r="W2" t="s">
        <v>1176</v>
      </c>
      <c r="X2" s="161" t="s">
        <v>1543</v>
      </c>
      <c r="Y2" s="161" t="s">
        <v>1549</v>
      </c>
      <c r="Z2" s="161" t="s">
        <v>1005</v>
      </c>
      <c r="AA2" t="s">
        <v>783</v>
      </c>
      <c r="AB2" t="s">
        <v>790</v>
      </c>
    </row>
    <row r="3" spans="2:49">
      <c r="B3" s="192" t="s">
        <v>1560</v>
      </c>
      <c r="C3" s="193">
        <v>1</v>
      </c>
      <c r="D3" s="156" t="s">
        <v>1941</v>
      </c>
      <c r="E3" s="157">
        <v>45432</v>
      </c>
      <c r="F3" s="156">
        <v>1</v>
      </c>
      <c r="G3" s="158">
        <v>1</v>
      </c>
      <c r="H3" s="156">
        <v>525715</v>
      </c>
      <c r="I3" s="157" t="s">
        <v>1614</v>
      </c>
      <c r="J3" s="156" t="s">
        <v>1614</v>
      </c>
      <c r="K3" s="156" t="s">
        <v>1614</v>
      </c>
      <c r="L3" s="156" t="s">
        <v>1614</v>
      </c>
      <c r="M3" s="156" t="s">
        <v>1614</v>
      </c>
      <c r="N3" s="156" t="s">
        <v>1614</v>
      </c>
      <c r="O3" s="156" t="s">
        <v>1614</v>
      </c>
      <c r="P3" s="156" t="s">
        <v>1614</v>
      </c>
      <c r="Q3" s="156" t="s">
        <v>1614</v>
      </c>
      <c r="R3" s="156" t="s">
        <v>1614</v>
      </c>
      <c r="S3" s="156" t="s">
        <v>1614</v>
      </c>
      <c r="T3" s="156" t="s">
        <v>1614</v>
      </c>
      <c r="U3" s="180"/>
      <c r="V3" s="180"/>
      <c r="W3" s="180"/>
      <c r="X3" s="156" t="s">
        <v>1614</v>
      </c>
      <c r="Y3" s="156" t="s">
        <v>1614</v>
      </c>
      <c r="Z3" s="156" t="s">
        <v>1614</v>
      </c>
      <c r="AA3" s="156" t="s">
        <v>1614</v>
      </c>
      <c r="AB3" s="156" t="s">
        <v>1614</v>
      </c>
    </row>
    <row r="4" spans="2:49">
      <c r="B4" s="192" t="s">
        <v>1562</v>
      </c>
      <c r="C4" s="193">
        <v>2</v>
      </c>
      <c r="D4" s="156" t="s">
        <v>1942</v>
      </c>
      <c r="E4" s="157">
        <v>45432</v>
      </c>
      <c r="F4" s="156">
        <v>1</v>
      </c>
      <c r="G4" s="158">
        <v>1</v>
      </c>
      <c r="H4" s="156">
        <v>0</v>
      </c>
      <c r="I4" s="158" t="s">
        <v>1614</v>
      </c>
      <c r="J4" s="156" t="s">
        <v>1614</v>
      </c>
      <c r="K4" s="156" t="s">
        <v>1614</v>
      </c>
      <c r="L4" s="156" t="s">
        <v>1614</v>
      </c>
      <c r="M4" s="156" t="s">
        <v>1614</v>
      </c>
      <c r="N4" s="156" t="s">
        <v>1614</v>
      </c>
      <c r="O4" s="156" t="s">
        <v>1614</v>
      </c>
      <c r="P4" s="156" t="s">
        <v>1614</v>
      </c>
      <c r="Q4" s="156" t="s">
        <v>1614</v>
      </c>
      <c r="R4" s="156" t="s">
        <v>1614</v>
      </c>
      <c r="S4" s="156" t="s">
        <v>1614</v>
      </c>
      <c r="T4" s="156" t="s">
        <v>1614</v>
      </c>
      <c r="U4" s="180"/>
      <c r="V4" s="180"/>
      <c r="W4" s="180"/>
      <c r="X4" s="156" t="s">
        <v>1614</v>
      </c>
      <c r="Y4" s="156" t="s">
        <v>1614</v>
      </c>
      <c r="Z4" s="156" t="s">
        <v>1614</v>
      </c>
      <c r="AA4" s="156" t="s">
        <v>1614</v>
      </c>
      <c r="AB4" s="156" t="s">
        <v>1614</v>
      </c>
    </row>
    <row r="5" spans="2:49">
      <c r="B5" s="192" t="s">
        <v>1564</v>
      </c>
      <c r="C5" s="193">
        <v>3</v>
      </c>
      <c r="D5" s="156" t="s">
        <v>1943</v>
      </c>
      <c r="E5" s="157">
        <v>45432</v>
      </c>
      <c r="F5" s="156">
        <v>1</v>
      </c>
      <c r="G5" s="156">
        <v>0.88</v>
      </c>
      <c r="H5" s="156">
        <v>9433</v>
      </c>
      <c r="I5" s="158">
        <v>0</v>
      </c>
      <c r="J5" s="156">
        <v>9433</v>
      </c>
      <c r="K5" s="156">
        <v>0</v>
      </c>
      <c r="L5" s="156">
        <v>0</v>
      </c>
      <c r="M5" s="156">
        <v>0</v>
      </c>
      <c r="N5" s="156">
        <v>0</v>
      </c>
      <c r="O5" s="156">
        <v>0</v>
      </c>
      <c r="P5" s="156">
        <v>0</v>
      </c>
      <c r="Q5" s="156" t="s">
        <v>1614</v>
      </c>
      <c r="R5" s="156" t="s">
        <v>1614</v>
      </c>
      <c r="S5" s="156" t="s">
        <v>1614</v>
      </c>
      <c r="T5" s="156" t="s">
        <v>1614</v>
      </c>
      <c r="U5" s="180"/>
      <c r="V5" s="180"/>
      <c r="W5" s="180"/>
      <c r="X5" s="156" t="s">
        <v>1614</v>
      </c>
      <c r="Y5" s="156" t="s">
        <v>1614</v>
      </c>
      <c r="Z5" s="156" t="s">
        <v>1614</v>
      </c>
      <c r="AA5" s="156" t="s">
        <v>1614</v>
      </c>
      <c r="AB5" s="156" t="s">
        <v>1614</v>
      </c>
    </row>
    <row r="6" spans="2:49">
      <c r="B6" s="188" t="s">
        <v>1566</v>
      </c>
      <c r="C6" s="189">
        <v>4</v>
      </c>
      <c r="D6" s="156" t="s">
        <v>1942</v>
      </c>
      <c r="E6" s="157">
        <v>45432</v>
      </c>
      <c r="F6" s="156">
        <v>1</v>
      </c>
      <c r="G6" s="113" t="s">
        <v>1614</v>
      </c>
      <c r="H6" s="156"/>
      <c r="I6" s="113" t="s">
        <v>1614</v>
      </c>
      <c r="J6" s="113" t="s">
        <v>1614</v>
      </c>
      <c r="K6" s="113" t="s">
        <v>1614</v>
      </c>
      <c r="L6" s="113" t="s">
        <v>1614</v>
      </c>
      <c r="M6" s="113" t="s">
        <v>1614</v>
      </c>
      <c r="N6" s="113" t="s">
        <v>1614</v>
      </c>
      <c r="O6" s="113" t="s">
        <v>1614</v>
      </c>
      <c r="P6" s="113" t="s">
        <v>1614</v>
      </c>
      <c r="Q6" s="113" t="s">
        <v>1614</v>
      </c>
      <c r="R6" s="113" t="s">
        <v>1614</v>
      </c>
      <c r="S6" s="113" t="s">
        <v>1614</v>
      </c>
      <c r="T6" s="113" t="s">
        <v>1614</v>
      </c>
      <c r="U6" s="113" t="s">
        <v>1614</v>
      </c>
      <c r="V6" s="113" t="s">
        <v>1614</v>
      </c>
      <c r="W6" s="113" t="s">
        <v>1614</v>
      </c>
      <c r="X6" s="113" t="s">
        <v>1614</v>
      </c>
      <c r="Y6" s="113" t="s">
        <v>1614</v>
      </c>
      <c r="Z6" s="113" t="s">
        <v>1614</v>
      </c>
      <c r="AA6" s="113" t="s">
        <v>1614</v>
      </c>
      <c r="AB6" s="113" t="s">
        <v>1614</v>
      </c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1568</v>
      </c>
      <c r="C7" s="189">
        <v>5</v>
      </c>
      <c r="D7" s="156" t="s">
        <v>1942</v>
      </c>
      <c r="E7" s="157">
        <v>45432</v>
      </c>
      <c r="F7" s="156">
        <v>1</v>
      </c>
      <c r="G7" s="113" t="s">
        <v>1614</v>
      </c>
      <c r="H7" s="156"/>
      <c r="I7" s="113" t="s">
        <v>1614</v>
      </c>
      <c r="J7" s="113" t="s">
        <v>1614</v>
      </c>
      <c r="K7" s="113" t="s">
        <v>1614</v>
      </c>
      <c r="L7" s="113" t="s">
        <v>1614</v>
      </c>
      <c r="M7" s="113" t="s">
        <v>1614</v>
      </c>
      <c r="N7" s="113" t="s">
        <v>1614</v>
      </c>
      <c r="O7" s="113" t="s">
        <v>1614</v>
      </c>
      <c r="P7" s="113" t="s">
        <v>1614</v>
      </c>
      <c r="Q7" s="113" t="s">
        <v>1614</v>
      </c>
      <c r="R7" s="113" t="s">
        <v>1614</v>
      </c>
      <c r="S7" s="113" t="s">
        <v>1614</v>
      </c>
      <c r="T7" s="113" t="s">
        <v>1614</v>
      </c>
      <c r="U7" s="113" t="s">
        <v>1614</v>
      </c>
      <c r="V7" s="113" t="s">
        <v>1614</v>
      </c>
      <c r="W7" s="113" t="s">
        <v>1614</v>
      </c>
      <c r="X7" s="113" t="s">
        <v>1614</v>
      </c>
      <c r="Y7" s="113" t="s">
        <v>1614</v>
      </c>
      <c r="Z7" s="113" t="s">
        <v>1614</v>
      </c>
      <c r="AA7" s="113" t="s">
        <v>1614</v>
      </c>
      <c r="AB7" s="113" t="s">
        <v>1614</v>
      </c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94" t="s">
        <v>1569</v>
      </c>
      <c r="C8" s="193">
        <v>6</v>
      </c>
      <c r="D8" s="156" t="s">
        <v>1944</v>
      </c>
      <c r="E8" s="157">
        <v>45432</v>
      </c>
      <c r="F8" s="156">
        <v>1</v>
      </c>
      <c r="G8" s="111" cm="1">
        <f t="array" ref="G8">SUMPRODUCT(--(I8:AB8&gt;0))/COUNTA(I8:AB8)</f>
        <v>1</v>
      </c>
      <c r="H8" s="156">
        <v>0</v>
      </c>
      <c r="I8" s="156">
        <v>2</v>
      </c>
      <c r="J8" s="156">
        <v>4</v>
      </c>
      <c r="K8" s="156">
        <v>30</v>
      </c>
      <c r="L8" s="156">
        <v>15</v>
      </c>
      <c r="M8" s="156">
        <v>2</v>
      </c>
      <c r="N8" s="156">
        <v>4</v>
      </c>
      <c r="O8" s="156">
        <v>11</v>
      </c>
      <c r="P8" s="156">
        <v>15</v>
      </c>
      <c r="Q8" s="156">
        <v>3</v>
      </c>
      <c r="R8" s="156">
        <v>3</v>
      </c>
      <c r="S8" s="156">
        <v>3</v>
      </c>
      <c r="T8" s="156">
        <v>3</v>
      </c>
      <c r="U8" s="180">
        <v>1</v>
      </c>
      <c r="V8" s="180">
        <v>1</v>
      </c>
      <c r="W8" s="180">
        <v>1</v>
      </c>
      <c r="X8" s="156">
        <v>4</v>
      </c>
      <c r="Y8" s="156">
        <v>4</v>
      </c>
      <c r="Z8" s="156">
        <v>2</v>
      </c>
      <c r="AA8" s="156">
        <v>10</v>
      </c>
      <c r="AB8" s="156">
        <v>22</v>
      </c>
    </row>
    <row r="9" spans="2:49">
      <c r="B9" s="192" t="s">
        <v>1572</v>
      </c>
      <c r="C9" s="193">
        <v>7</v>
      </c>
      <c r="D9" s="156" t="s">
        <v>1945</v>
      </c>
      <c r="E9" s="157">
        <v>45432</v>
      </c>
      <c r="F9" s="156">
        <v>1</v>
      </c>
      <c r="G9" s="111" cm="1">
        <f t="array" aca="1" ref="G9" ca="1">SUMPRODUCT(--(I9:AB9&lt;=I25:AB25))/COUNTA(I25:AB25)</f>
        <v>1</v>
      </c>
      <c r="H9" s="156">
        <v>0</v>
      </c>
      <c r="I9" s="156">
        <v>2</v>
      </c>
      <c r="J9" s="156">
        <v>4</v>
      </c>
      <c r="K9" s="156">
        <v>30</v>
      </c>
      <c r="L9" s="156">
        <v>15</v>
      </c>
      <c r="M9" s="156">
        <v>2</v>
      </c>
      <c r="N9" s="156">
        <v>4</v>
      </c>
      <c r="O9" s="156">
        <v>11</v>
      </c>
      <c r="P9" s="156">
        <v>15</v>
      </c>
      <c r="Q9" s="156">
        <v>4</v>
      </c>
      <c r="R9" s="156">
        <v>3</v>
      </c>
      <c r="S9" s="156">
        <v>3</v>
      </c>
      <c r="T9" s="156">
        <v>4</v>
      </c>
      <c r="U9" s="180">
        <v>10</v>
      </c>
      <c r="V9" s="180">
        <v>10</v>
      </c>
      <c r="W9" s="180">
        <v>10</v>
      </c>
      <c r="X9" s="156">
        <v>6</v>
      </c>
      <c r="Y9" s="156">
        <v>6</v>
      </c>
      <c r="Z9" s="156">
        <v>2</v>
      </c>
      <c r="AA9" s="156">
        <v>10</v>
      </c>
      <c r="AB9" s="156">
        <v>22</v>
      </c>
    </row>
    <row r="10" spans="2:49">
      <c r="B10" s="192" t="s">
        <v>1575</v>
      </c>
      <c r="C10" s="193">
        <v>8</v>
      </c>
      <c r="D10" s="156" t="s">
        <v>1946</v>
      </c>
      <c r="E10" s="157">
        <v>45432</v>
      </c>
      <c r="F10" s="156">
        <v>1</v>
      </c>
      <c r="G10" s="158" t="s">
        <v>1614</v>
      </c>
      <c r="H10" s="156">
        <v>0</v>
      </c>
      <c r="I10" s="156">
        <v>31</v>
      </c>
      <c r="J10" s="156">
        <v>0</v>
      </c>
      <c r="K10" s="156">
        <v>162304820065640</v>
      </c>
      <c r="L10" s="156">
        <v>0</v>
      </c>
      <c r="M10" s="156">
        <v>31</v>
      </c>
      <c r="N10" s="156">
        <v>0</v>
      </c>
      <c r="O10" s="156">
        <v>0</v>
      </c>
      <c r="P10" s="156">
        <v>0</v>
      </c>
      <c r="Q10" s="156" t="e">
        <v>#N/A</v>
      </c>
      <c r="R10" s="156">
        <v>0</v>
      </c>
      <c r="S10" s="156">
        <v>0</v>
      </c>
      <c r="T10" s="156" t="e">
        <v>#N/A</v>
      </c>
      <c r="U10" s="180"/>
      <c r="V10" s="180"/>
      <c r="W10" s="180"/>
      <c r="X10" s="156" t="e">
        <v>#N/A</v>
      </c>
      <c r="Y10" s="157" t="e">
        <v>#N/A</v>
      </c>
      <c r="Z10" s="156" t="s">
        <v>1857</v>
      </c>
      <c r="AA10" s="157">
        <v>45432</v>
      </c>
      <c r="AB10" s="156" t="s">
        <v>1947</v>
      </c>
    </row>
    <row r="11" spans="2:49">
      <c r="B11" s="192" t="s">
        <v>1577</v>
      </c>
      <c r="C11" s="193">
        <v>9</v>
      </c>
      <c r="D11" s="156" t="s">
        <v>1948</v>
      </c>
      <c r="E11" s="157">
        <v>45432</v>
      </c>
      <c r="F11" s="156">
        <v>1</v>
      </c>
      <c r="G11" s="158" t="s">
        <v>1614</v>
      </c>
      <c r="H11" s="156">
        <v>0</v>
      </c>
      <c r="I11" s="156">
        <v>31</v>
      </c>
      <c r="J11" s="156" t="s">
        <v>1628</v>
      </c>
      <c r="K11" s="156">
        <v>162304820065640</v>
      </c>
      <c r="L11" s="156">
        <v>0</v>
      </c>
      <c r="M11" s="156">
        <v>31</v>
      </c>
      <c r="N11" s="156">
        <v>0</v>
      </c>
      <c r="O11" s="156">
        <v>0</v>
      </c>
      <c r="P11" s="156">
        <v>0</v>
      </c>
      <c r="Q11" s="156" t="e">
        <v>#N/A</v>
      </c>
      <c r="R11" s="156"/>
      <c r="S11" s="156"/>
      <c r="T11" s="156" t="e">
        <v>#N/A</v>
      </c>
      <c r="U11" s="180"/>
      <c r="V11" s="180"/>
      <c r="W11" s="180"/>
      <c r="X11" s="156" t="e">
        <v>#N/A</v>
      </c>
      <c r="Y11" s="157" t="e">
        <v>#N/A</v>
      </c>
      <c r="Z11" s="156" t="s">
        <v>1630</v>
      </c>
      <c r="AA11" s="157">
        <v>45432</v>
      </c>
      <c r="AB11" s="156" t="s">
        <v>1949</v>
      </c>
    </row>
    <row r="12" spans="2:49">
      <c r="B12" s="194" t="s">
        <v>1579</v>
      </c>
      <c r="C12" s="193">
        <v>10</v>
      </c>
      <c r="D12" s="156" t="s">
        <v>1950</v>
      </c>
      <c r="E12" s="157">
        <v>45432</v>
      </c>
      <c r="F12" s="156">
        <v>1</v>
      </c>
      <c r="G12" s="158" t="s">
        <v>1614</v>
      </c>
      <c r="H12" s="156">
        <v>0</v>
      </c>
      <c r="I12" s="156">
        <v>89</v>
      </c>
      <c r="J12" s="156">
        <v>6835</v>
      </c>
      <c r="K12" s="156">
        <v>6.8350096000050594E+29</v>
      </c>
      <c r="L12" s="156" t="s">
        <v>1633</v>
      </c>
      <c r="M12" s="156">
        <v>89</v>
      </c>
      <c r="N12" s="156">
        <v>6623</v>
      </c>
      <c r="O12" s="156">
        <v>30187662623</v>
      </c>
      <c r="P12" s="156">
        <v>69796230100000</v>
      </c>
      <c r="Q12" s="156">
        <v>999</v>
      </c>
      <c r="R12" s="156">
        <v>113</v>
      </c>
      <c r="S12" s="156" t="s">
        <v>1951</v>
      </c>
      <c r="T12" s="156">
        <v>999</v>
      </c>
      <c r="U12" s="180"/>
      <c r="V12" s="180"/>
      <c r="W12" s="180"/>
      <c r="X12" s="158" t="s">
        <v>1952</v>
      </c>
      <c r="Y12" s="158" t="s">
        <v>1953</v>
      </c>
      <c r="Z12" s="156" t="s">
        <v>1788</v>
      </c>
      <c r="AA12" s="157">
        <v>45432</v>
      </c>
      <c r="AB12" s="156" t="s">
        <v>1947</v>
      </c>
    </row>
    <row r="13" spans="2:49">
      <c r="B13" s="192" t="s">
        <v>1581</v>
      </c>
      <c r="C13" s="193">
        <v>11</v>
      </c>
      <c r="D13" s="156" t="s">
        <v>1954</v>
      </c>
      <c r="E13" s="157">
        <v>45432</v>
      </c>
      <c r="F13" s="156">
        <v>1</v>
      </c>
      <c r="G13" s="158" t="s">
        <v>1614</v>
      </c>
      <c r="H13" s="156">
        <v>0</v>
      </c>
      <c r="I13" s="156">
        <v>89</v>
      </c>
      <c r="J13" s="156">
        <v>6835</v>
      </c>
      <c r="K13" s="156">
        <v>6.8350096000050594E+29</v>
      </c>
      <c r="L13" s="156" t="s">
        <v>1633</v>
      </c>
      <c r="M13" s="156">
        <v>89</v>
      </c>
      <c r="N13" s="156">
        <v>6623</v>
      </c>
      <c r="O13" s="156">
        <v>30187662623</v>
      </c>
      <c r="P13" s="156">
        <v>69796230100000</v>
      </c>
      <c r="Q13" s="156">
        <v>999</v>
      </c>
      <c r="R13" s="156">
        <v>113</v>
      </c>
      <c r="S13" s="156" t="s">
        <v>1951</v>
      </c>
      <c r="T13" s="156">
        <v>999</v>
      </c>
      <c r="U13" s="180"/>
      <c r="V13" s="180"/>
      <c r="W13" s="180"/>
      <c r="X13" s="158" t="s">
        <v>1952</v>
      </c>
      <c r="Y13" s="158" t="s">
        <v>1953</v>
      </c>
      <c r="Z13" s="156" t="s">
        <v>1647</v>
      </c>
      <c r="AA13" s="157">
        <v>45432</v>
      </c>
      <c r="AB13" s="156" t="s">
        <v>1955</v>
      </c>
    </row>
    <row r="14" spans="2:49">
      <c r="B14" s="192" t="s">
        <v>1583</v>
      </c>
      <c r="C14" s="193">
        <v>12</v>
      </c>
      <c r="D14" s="156" t="s">
        <v>1956</v>
      </c>
      <c r="E14" s="157">
        <v>45432</v>
      </c>
      <c r="F14" s="156">
        <v>1</v>
      </c>
      <c r="G14" s="156">
        <v>0.82</v>
      </c>
      <c r="H14" s="156">
        <v>0</v>
      </c>
      <c r="I14" s="156">
        <v>0</v>
      </c>
      <c r="J14" s="156">
        <v>9433</v>
      </c>
      <c r="K14" s="156">
        <v>0</v>
      </c>
      <c r="L14" s="156">
        <v>0</v>
      </c>
      <c r="M14" s="156">
        <v>0</v>
      </c>
      <c r="N14" s="156">
        <v>0</v>
      </c>
      <c r="O14" s="156">
        <v>0</v>
      </c>
      <c r="P14" s="156">
        <v>0</v>
      </c>
      <c r="Q14" s="156">
        <v>0</v>
      </c>
      <c r="R14" s="156">
        <v>23748</v>
      </c>
      <c r="S14" s="156">
        <v>31722</v>
      </c>
      <c r="T14" s="156">
        <v>0</v>
      </c>
      <c r="U14" s="180"/>
      <c r="V14" s="180"/>
      <c r="W14" s="180"/>
      <c r="X14" s="156">
        <v>0</v>
      </c>
      <c r="Y14" s="156">
        <v>0</v>
      </c>
      <c r="Z14" s="156">
        <v>0</v>
      </c>
      <c r="AA14" s="156">
        <v>0</v>
      </c>
      <c r="AB14" s="156">
        <v>0</v>
      </c>
    </row>
    <row r="15" spans="2:49">
      <c r="B15" s="192" t="s">
        <v>1587</v>
      </c>
      <c r="C15" s="193">
        <v>14</v>
      </c>
      <c r="D15" s="156" t="s">
        <v>1957</v>
      </c>
      <c r="E15" s="157">
        <v>45432</v>
      </c>
      <c r="F15" s="156">
        <v>1</v>
      </c>
      <c r="G15" s="158">
        <v>1</v>
      </c>
      <c r="H15" s="156">
        <v>0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>
        <v>0</v>
      </c>
      <c r="P15" s="156">
        <v>0</v>
      </c>
      <c r="Q15" s="156">
        <v>0</v>
      </c>
      <c r="R15" s="156">
        <v>0</v>
      </c>
      <c r="S15" s="156">
        <v>0</v>
      </c>
      <c r="T15" s="156">
        <v>0</v>
      </c>
      <c r="U15" s="180"/>
      <c r="V15" s="180"/>
      <c r="W15" s="180"/>
      <c r="X15" s="156" t="s">
        <v>1614</v>
      </c>
      <c r="Y15" s="156" t="s">
        <v>1614</v>
      </c>
      <c r="Z15" s="156">
        <v>0</v>
      </c>
      <c r="AA15" s="156" t="s">
        <v>1614</v>
      </c>
      <c r="AB15" s="156" t="s">
        <v>1614</v>
      </c>
    </row>
    <row r="16" spans="2:49">
      <c r="B16" s="192" t="s">
        <v>1589</v>
      </c>
      <c r="C16" s="193">
        <v>15</v>
      </c>
      <c r="D16" s="156" t="s">
        <v>1958</v>
      </c>
      <c r="E16" s="157">
        <v>45432</v>
      </c>
      <c r="F16" s="156">
        <v>1</v>
      </c>
      <c r="G16" s="158" t="s">
        <v>1959</v>
      </c>
      <c r="H16" s="156">
        <v>9433</v>
      </c>
      <c r="I16" s="158" t="s">
        <v>1614</v>
      </c>
      <c r="J16" s="156" t="s">
        <v>1614</v>
      </c>
      <c r="K16" s="156" t="s">
        <v>1614</v>
      </c>
      <c r="L16" s="156" t="s">
        <v>1614</v>
      </c>
      <c r="M16" s="156" t="s">
        <v>1614</v>
      </c>
      <c r="N16" s="156" t="s">
        <v>1614</v>
      </c>
      <c r="O16" s="156" t="s">
        <v>1614</v>
      </c>
      <c r="P16" s="156" t="s">
        <v>1614</v>
      </c>
      <c r="Q16" s="156" t="s">
        <v>1614</v>
      </c>
      <c r="R16" s="156" t="s">
        <v>1614</v>
      </c>
      <c r="S16" s="156" t="s">
        <v>1614</v>
      </c>
      <c r="T16" s="156" t="s">
        <v>1614</v>
      </c>
      <c r="U16" s="180"/>
      <c r="V16" s="180"/>
      <c r="W16" s="180"/>
      <c r="X16" s="156" t="s">
        <v>1614</v>
      </c>
      <c r="Y16" s="156" t="s">
        <v>1614</v>
      </c>
      <c r="Z16" s="156" t="s">
        <v>1614</v>
      </c>
      <c r="AA16" s="156" t="s">
        <v>1614</v>
      </c>
      <c r="AB16" s="156" t="s">
        <v>1614</v>
      </c>
    </row>
    <row r="17" spans="2:32">
      <c r="B17" s="192" t="s">
        <v>1591</v>
      </c>
      <c r="C17" s="193">
        <v>16</v>
      </c>
      <c r="D17" s="156" t="s">
        <v>1958</v>
      </c>
      <c r="E17" s="157">
        <v>45432</v>
      </c>
      <c r="F17" s="156">
        <v>1</v>
      </c>
      <c r="G17" s="158" t="s">
        <v>1959</v>
      </c>
      <c r="H17" s="156">
        <v>9433</v>
      </c>
      <c r="I17" s="158" t="s">
        <v>1614</v>
      </c>
      <c r="J17" s="156" t="s">
        <v>1614</v>
      </c>
      <c r="K17" s="156" t="s">
        <v>1614</v>
      </c>
      <c r="L17" s="156" t="s">
        <v>1614</v>
      </c>
      <c r="M17" s="156" t="s">
        <v>1614</v>
      </c>
      <c r="N17" s="156" t="s">
        <v>1614</v>
      </c>
      <c r="O17" s="156" t="s">
        <v>1614</v>
      </c>
      <c r="P17" s="156" t="s">
        <v>1614</v>
      </c>
      <c r="Q17" s="156" t="s">
        <v>1614</v>
      </c>
      <c r="R17" s="156" t="s">
        <v>1614</v>
      </c>
      <c r="S17" s="156" t="s">
        <v>1614</v>
      </c>
      <c r="T17" s="156" t="s">
        <v>1614</v>
      </c>
      <c r="U17" s="180"/>
      <c r="V17" s="180"/>
      <c r="W17" s="180"/>
      <c r="X17" s="156" t="s">
        <v>1614</v>
      </c>
      <c r="Y17" s="156" t="s">
        <v>1614</v>
      </c>
      <c r="Z17" s="156" t="s">
        <v>1614</v>
      </c>
      <c r="AA17" s="156" t="s">
        <v>1614</v>
      </c>
      <c r="AB17" s="156" t="s">
        <v>1614</v>
      </c>
    </row>
    <row r="18" spans="2:32">
      <c r="B18" s="192" t="s">
        <v>1597</v>
      </c>
      <c r="C18" s="193">
        <v>19</v>
      </c>
      <c r="D18" s="156" t="s">
        <v>1960</v>
      </c>
      <c r="E18" s="157">
        <v>45432</v>
      </c>
      <c r="F18" s="156">
        <v>1</v>
      </c>
      <c r="G18" s="181" cm="1">
        <f t="array" aca="1" ref="G18" ca="1">SUMPRODUCT(--(ISNUMBER((SEARCH(I24:AB24,I18:AB18)))))/COUNTA(I18:AB18)</f>
        <v>0.85</v>
      </c>
      <c r="H18" s="156">
        <v>0</v>
      </c>
      <c r="I18" s="156" t="s">
        <v>1654</v>
      </c>
      <c r="J18" s="156" t="s">
        <v>1654</v>
      </c>
      <c r="K18" s="156" t="s">
        <v>1654</v>
      </c>
      <c r="L18" s="156" t="s">
        <v>1654</v>
      </c>
      <c r="M18" s="156" t="s">
        <v>1654</v>
      </c>
      <c r="N18" s="156" t="s">
        <v>1654</v>
      </c>
      <c r="O18" s="156" t="s">
        <v>1654</v>
      </c>
      <c r="P18" s="156" t="s">
        <v>1654</v>
      </c>
      <c r="Q18" s="156" t="s">
        <v>1654</v>
      </c>
      <c r="R18" s="156" t="s">
        <v>1654</v>
      </c>
      <c r="S18" s="156" t="s">
        <v>1654</v>
      </c>
      <c r="T18" s="156" t="s">
        <v>1654</v>
      </c>
      <c r="U18" s="180" t="s">
        <v>1961</v>
      </c>
      <c r="V18" s="180" t="s">
        <v>1961</v>
      </c>
      <c r="W18" s="180" t="s">
        <v>1961</v>
      </c>
      <c r="X18" s="156" t="s">
        <v>1654</v>
      </c>
      <c r="Y18" s="156" t="s">
        <v>1654</v>
      </c>
      <c r="Z18" s="156" t="s">
        <v>1654</v>
      </c>
      <c r="AA18" s="156" t="s">
        <v>1654</v>
      </c>
      <c r="AB18" s="156" t="s">
        <v>1655</v>
      </c>
    </row>
    <row r="19" spans="2:32">
      <c r="B19" s="178" t="s">
        <v>1600</v>
      </c>
      <c r="C19" s="193">
        <v>20</v>
      </c>
      <c r="D19" s="156" t="s">
        <v>1942</v>
      </c>
      <c r="E19" s="157">
        <v>45432</v>
      </c>
      <c r="F19" s="156">
        <v>1</v>
      </c>
      <c r="G19" s="111" cm="1">
        <f t="array" ref="G19">SUM(IF(I2:AB2 = I23:AB23, 1, 0))/ COUNTA(I2:AB2)</f>
        <v>1</v>
      </c>
      <c r="H19" s="156" t="s">
        <v>1617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80"/>
      <c r="V19" s="180"/>
      <c r="W19" s="180"/>
      <c r="X19" s="156"/>
      <c r="Y19" s="156"/>
      <c r="Z19" s="156"/>
      <c r="AA19" s="156"/>
      <c r="AB19" s="156"/>
    </row>
    <row r="20" spans="2:32">
      <c r="B20" s="195" t="s">
        <v>1603</v>
      </c>
      <c r="C20" s="196">
        <v>21</v>
      </c>
      <c r="D20" s="156" t="s">
        <v>1942</v>
      </c>
      <c r="E20" s="157">
        <v>45432</v>
      </c>
      <c r="F20" s="156">
        <v>1</v>
      </c>
      <c r="G20" s="111" cm="1">
        <f t="array" aca="1" ref="G20" ca="1">SUM(IF(IF(G3:G19="null",1,G3:G19)=1,1,0))/COUNT(IF(G3:G19="null",1,1))</f>
        <v>0.70588235294117652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80"/>
      <c r="V20" s="180"/>
      <c r="W20" s="180"/>
      <c r="X20" s="156"/>
      <c r="Y20" s="156"/>
      <c r="Z20" s="156"/>
      <c r="AA20" s="156"/>
      <c r="AB20" s="156"/>
    </row>
    <row r="22" spans="2:32">
      <c r="B22" s="164" t="s">
        <v>1656</v>
      </c>
    </row>
    <row r="23" spans="2:32">
      <c r="B23" s="168" t="s">
        <v>1558</v>
      </c>
      <c r="C23" s="169" t="s">
        <v>1607</v>
      </c>
      <c r="D23" s="169" t="s">
        <v>1608</v>
      </c>
      <c r="E23" s="169" t="s">
        <v>1609</v>
      </c>
      <c r="F23" s="169" t="s">
        <v>1610</v>
      </c>
      <c r="G23" s="169" t="s">
        <v>1611</v>
      </c>
      <c r="H23" s="161" t="s">
        <v>1612</v>
      </c>
      <c r="I23" s="161" t="s">
        <v>799</v>
      </c>
      <c r="J23" s="161" t="s">
        <v>807</v>
      </c>
      <c r="K23" s="161" t="s">
        <v>815</v>
      </c>
      <c r="L23" s="161" t="s">
        <v>821</v>
      </c>
      <c r="M23" s="161" t="s">
        <v>828</v>
      </c>
      <c r="N23" s="161" t="s">
        <v>833</v>
      </c>
      <c r="O23" s="161" t="s">
        <v>839</v>
      </c>
      <c r="P23" s="161" t="s">
        <v>845</v>
      </c>
      <c r="Q23" s="161" t="s">
        <v>1515</v>
      </c>
      <c r="R23" s="161" t="s">
        <v>1522</v>
      </c>
      <c r="S23" s="161" t="s">
        <v>1527</v>
      </c>
      <c r="T23" s="161" t="s">
        <v>1532</v>
      </c>
      <c r="U23" s="161" t="s">
        <v>1164</v>
      </c>
      <c r="V23" s="161" t="s">
        <v>1170</v>
      </c>
      <c r="W23" s="161" t="s">
        <v>1176</v>
      </c>
      <c r="X23" s="161" t="s">
        <v>1543</v>
      </c>
      <c r="Y23" s="161" t="s">
        <v>1549</v>
      </c>
      <c r="Z23" s="161" t="s">
        <v>1005</v>
      </c>
      <c r="AA23" s="161" t="s">
        <v>783</v>
      </c>
      <c r="AB23" s="162" t="s">
        <v>790</v>
      </c>
    </row>
    <row r="24" spans="2:32">
      <c r="B24" s="165" t="s">
        <v>1657</v>
      </c>
      <c r="C24" s="126">
        <v>19</v>
      </c>
      <c r="D24" s="166" t="s">
        <v>1658</v>
      </c>
      <c r="E24" s="125" t="s">
        <v>1659</v>
      </c>
      <c r="F24" s="125" t="s">
        <v>1660</v>
      </c>
      <c r="G24" s="125" t="s">
        <v>1660</v>
      </c>
      <c r="H24" s="125" t="s">
        <v>1660</v>
      </c>
      <c r="I24" s="125" t="str" cm="1">
        <f t="array" aca="1" ref="I24:AB25" ca="1">TRANSPOSE(_xlfn.SORTBY(_xlfn._xlws.FILTER(IF(Table2[FORMATO]:Table2[COMP_ CAMPO]&lt;&gt;"",Table2[FORMATO]:Table2[COMP_ CAMPO],9999999),Table2[NOME FÍSICO TABELA]="responsibility_guarantee_rel"), _xlfn._xlws.FILTER(Table2[ORDEM], Table2[NOME FÍSICO TABELA]="responsibility_guarantee_rel"), 1))</f>
        <v>STRING</v>
      </c>
      <c r="J24" s="125" t="str">
        <f ca="1"/>
        <v>STRING</v>
      </c>
      <c r="K24" s="125" t="str">
        <f ca="1"/>
        <v>STRING</v>
      </c>
      <c r="L24" s="125" t="str">
        <f ca="1"/>
        <v>STRING</v>
      </c>
      <c r="M24" s="125" t="str">
        <f ca="1"/>
        <v>STRING</v>
      </c>
      <c r="N24" s="125" t="str">
        <f ca="1"/>
        <v>STRING</v>
      </c>
      <c r="O24" s="125" t="str">
        <f ca="1"/>
        <v>STRING</v>
      </c>
      <c r="P24" s="125" t="str">
        <f ca="1"/>
        <v>STRING</v>
      </c>
      <c r="Q24" s="125" t="str">
        <f ca="1"/>
        <v>STRING</v>
      </c>
      <c r="R24" s="125" t="str">
        <f ca="1"/>
        <v>STRING</v>
      </c>
      <c r="S24" s="125" t="str">
        <f ca="1"/>
        <v>STRING</v>
      </c>
      <c r="T24" s="125" t="str">
        <f ca="1"/>
        <v>STRING</v>
      </c>
      <c r="U24" s="125" t="str">
        <f ca="1"/>
        <v>STRING</v>
      </c>
      <c r="V24" s="125" t="str">
        <f ca="1"/>
        <v>STRING</v>
      </c>
      <c r="W24" s="125" t="str">
        <f ca="1"/>
        <v>STRING</v>
      </c>
      <c r="X24" s="125" t="str">
        <f ca="1"/>
        <v>STRING</v>
      </c>
      <c r="Y24" s="125" t="str">
        <f ca="1"/>
        <v>STRING</v>
      </c>
      <c r="Z24" s="125" t="str">
        <f ca="1"/>
        <v>STRING</v>
      </c>
      <c r="AA24" s="125" t="str">
        <f ca="1"/>
        <v>STRING</v>
      </c>
      <c r="AB24" s="125" t="str">
        <f ca="1"/>
        <v>TIMESTAMP</v>
      </c>
      <c r="AC24" s="191"/>
      <c r="AD24" s="191"/>
      <c r="AE24" s="191"/>
      <c r="AF24" s="191"/>
    </row>
    <row r="25" spans="2:32">
      <c r="B25" s="120" t="s">
        <v>1661</v>
      </c>
      <c r="C25" s="121">
        <v>7</v>
      </c>
      <c r="D25" s="122" t="s">
        <v>1658</v>
      </c>
      <c r="E25" s="123" t="s">
        <v>1659</v>
      </c>
      <c r="F25" s="123" t="s">
        <v>1660</v>
      </c>
      <c r="G25" s="123" t="s">
        <v>1660</v>
      </c>
      <c r="H25" s="123" t="s">
        <v>1660</v>
      </c>
      <c r="I25" s="121">
        <f ca="1"/>
        <v>2</v>
      </c>
      <c r="J25" s="121">
        <f ca="1"/>
        <v>20</v>
      </c>
      <c r="K25" s="121">
        <f ca="1"/>
        <v>30</v>
      </c>
      <c r="L25" s="123">
        <f ca="1"/>
        <v>20</v>
      </c>
      <c r="M25" s="123">
        <f ca="1"/>
        <v>2</v>
      </c>
      <c r="N25" s="123">
        <f ca="1"/>
        <v>20</v>
      </c>
      <c r="O25" s="123">
        <f ca="1"/>
        <v>11</v>
      </c>
      <c r="P25" s="123">
        <f ca="1"/>
        <v>20</v>
      </c>
      <c r="Q25" s="123">
        <f ca="1"/>
        <v>20</v>
      </c>
      <c r="R25" s="123">
        <f ca="1"/>
        <v>20</v>
      </c>
      <c r="S25" s="123">
        <f ca="1"/>
        <v>20</v>
      </c>
      <c r="T25" s="123">
        <f ca="1"/>
        <v>20</v>
      </c>
      <c r="U25" s="123">
        <f ca="1"/>
        <v>10</v>
      </c>
      <c r="V25" s="123">
        <f ca="1"/>
        <v>10</v>
      </c>
      <c r="W25" s="123">
        <f ca="1"/>
        <v>10</v>
      </c>
      <c r="X25" s="123">
        <f ca="1"/>
        <v>23</v>
      </c>
      <c r="Y25" s="123">
        <f ca="1"/>
        <v>23</v>
      </c>
      <c r="Z25" s="123">
        <f ca="1"/>
        <v>3</v>
      </c>
      <c r="AA25" s="123">
        <f ca="1"/>
        <v>10</v>
      </c>
      <c r="AB25" s="123">
        <f ca="1"/>
        <v>23</v>
      </c>
    </row>
    <row r="27" spans="2:32">
      <c r="B27" s="177" t="s">
        <v>1662</v>
      </c>
    </row>
    <row r="28" spans="2:32">
      <c r="B28" s="168" t="s">
        <v>1663</v>
      </c>
      <c r="C28" s="169" t="s">
        <v>1664</v>
      </c>
      <c r="D28" s="210" t="s">
        <v>1665</v>
      </c>
      <c r="E28" s="169" t="s">
        <v>1666</v>
      </c>
      <c r="F28" s="210" t="s">
        <v>1667</v>
      </c>
    </row>
    <row r="29" spans="2:32" ht="45.75">
      <c r="B29" s="75" t="s">
        <v>1668</v>
      </c>
      <c r="C29" s="76" t="s">
        <v>807</v>
      </c>
      <c r="D29" s="74" t="s">
        <v>1962</v>
      </c>
      <c r="E29" s="209" t="s">
        <v>1963</v>
      </c>
      <c r="F29" s="74" t="s">
        <v>1671</v>
      </c>
    </row>
    <row r="30" spans="2:32" ht="60.75">
      <c r="B30" s="75" t="s">
        <v>1684</v>
      </c>
      <c r="C30" s="76" t="s">
        <v>807</v>
      </c>
      <c r="D30" s="74" t="s">
        <v>1964</v>
      </c>
      <c r="E30" s="209" t="s">
        <v>1963</v>
      </c>
      <c r="F30" s="74" t="s">
        <v>1683</v>
      </c>
    </row>
    <row r="31" spans="2:32" ht="45.75">
      <c r="B31" s="75" t="s">
        <v>1668</v>
      </c>
      <c r="C31" s="76" t="s">
        <v>1522</v>
      </c>
      <c r="D31" s="74" t="s">
        <v>1962</v>
      </c>
      <c r="E31" s="209" t="s">
        <v>1965</v>
      </c>
      <c r="F31" s="74" t="s">
        <v>1671</v>
      </c>
    </row>
    <row r="32" spans="2:32" ht="45.75">
      <c r="B32" s="75" t="s">
        <v>1668</v>
      </c>
      <c r="C32" s="76" t="s">
        <v>1527</v>
      </c>
      <c r="D32" s="74" t="s">
        <v>1962</v>
      </c>
      <c r="E32" s="209" t="s">
        <v>1966</v>
      </c>
      <c r="F32" s="74" t="s">
        <v>1671</v>
      </c>
    </row>
    <row r="33" spans="2:6" ht="76.5">
      <c r="B33" s="211" t="s">
        <v>1686</v>
      </c>
      <c r="C33" s="212" t="s">
        <v>1687</v>
      </c>
      <c r="D33" s="134" t="s">
        <v>1688</v>
      </c>
      <c r="E33" s="213" t="s">
        <v>1689</v>
      </c>
      <c r="F33" s="134" t="s">
        <v>1671</v>
      </c>
    </row>
    <row r="34" spans="2:6" ht="76.5">
      <c r="B34" s="211" t="s">
        <v>1690</v>
      </c>
      <c r="C34" s="212" t="s">
        <v>1687</v>
      </c>
      <c r="D34" s="134" t="s">
        <v>1688</v>
      </c>
      <c r="E34" s="213" t="s">
        <v>1689</v>
      </c>
      <c r="F34" s="134" t="s">
        <v>1671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8A474B4E-A425-4F6C-9E9A-418DDB968A35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FEAB6715-D769-4E20-B024-B67BB68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2024-07-10T12:43:05Z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2024-02-07T09:52:21Z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997236ee-48dd-4f31-b44a-2deba0d62ba0</vt:lpwstr>
  </property>
  <property fmtid="{D5CDD505-2E9C-101B-9397-08002B2CF9AE}" pid="12" name="MSIP_Label_3c41c091-3cbc-4dba-8b59-ce62f19500db_ContentBits">
    <vt:lpwstr>1</vt:lpwstr>
  </property>
</Properties>
</file>