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295" documentId="11_99781EA9493C85964DDD2AB1DADB6A9DF14A63BE" xr6:coauthVersionLast="47" xr6:coauthVersionMax="47" xr10:uidLastSave="{7A3DAD42-B2A5-4AFB-A41D-F414A6F82258}"/>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<sst xmlns="http://schemas.openxmlformats.org/spreadsheetml/2006/main" count="26415" uniqueCount="4217">
  <si>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</si>
  <si>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</si>
  <si>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</si>
  <si>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</si>
  <si>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</si>
  <si>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</si>
  <si>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</si>
  <si>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</si>
  <si>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</si>
  <si>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</si>
  <si>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</si>
  <si>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</si>
  <si>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</si>
  <si>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</si>
  <si>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</si>
  <si>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</si>
  <si>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</si>
  <si>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</si>
  <si>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</si>
  <si>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</si>
  <si>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</si>
  <si>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</si>
  <si>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</si>
  <si>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</si>
  <si>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</si>
  <si>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</si>
  <si>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</si>
  <si>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</si>
  <si>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</si>
  <si>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</si>
  <si>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</si>
  <si>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</si>
  <si>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</si>
  <si>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</si>
  <si>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</si>
  <si>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</si>
  <si>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</si>
  <si>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</si>
  <si>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</si>
  <si>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</si>
  <si>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</si>
  <si>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</si>
  <si>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</si>
  <si>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</si>
  <si>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</si>
  <si>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</si>
  <si>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</si>
  <si>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</si>
  <si>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</si>
  <si>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</si>
  <si>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</si>
  <si>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</si>
  <si>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</si>
  <si>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</si>
  <si>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</si>
  <si>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</si>
  <si>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</si>
  <si>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</si>
  <si>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</si>
  <si>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</si>
  <si>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</si>
  <si>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</si>
  <si>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</si>
  <si>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</si>
  <si>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</si>
  <si>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</si>
  <si>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</si>
  <si>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</si>
  <si>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</si>
  <si>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</si>
  <si>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</si>
  <si>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</si>
  <si>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</si>
  <si>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</si>
  <si>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</si>
  <si>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</si>
  <si>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</si>
  <si>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</si>
  <si>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</si>
  <si>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</si>
  <si>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</si>
  <si>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</si>
  <si>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</si>
  <si>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</si>
  <si>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</si>
  <si>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</si>
  <si>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</si>
  <si>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</si>
  <si>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</si>
  <si>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</si>
  <si>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</si>
  <si>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</si>
  <si>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</si>
  <si>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</si>
  <si>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</si>
  <si>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</si>
  <si>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</si>
  <si>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</si>
  <si>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</si>
  <si>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</si>
  <si>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</si>
  <si>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</si>
  <si>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</si>
  <si>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</si>
  <si>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</si>
  <si>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</si>
  <si>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</si>
  <si>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</si>
  <si>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</si>
  <si>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</si>
  <si>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</si>
  <si>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</si>
  <si>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</si>
  <si>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</si>
  <si>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</si>
  <si>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</si>
  <si>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</si>
  <si>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</si>
  <si>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</si>
  <si>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</si>
  <si>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</si>
  <si>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</si>
  <si>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</si>
  <si>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</si>
  <si>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</si>
  <si>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</si>
  <si>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</si>
  <si>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</si>
  <si>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</si>
  <si>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</si>
  <si>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</si>
  <si>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</si>
  <si>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</si>
  <si>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</si>
  <si>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</si>
  <si>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</si>
  <si>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</si>
  <si>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</si>
  <si>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</si>
  <si>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</si>
  <si>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</si>
  <si>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</si>
  <si>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</si>
  <si>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</si>
  <si>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</si>
  <si>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</si>
  <si>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</si>
  <si>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</si>
  <si>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</si>
  <si>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</si>
  <si>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</si>
  <si>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</si>
  <si>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</si>
  <si>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</si>
  <si>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</si>
  <si>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</si>
  <si>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</si>
  <si>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</si>
  <si>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</si>
  <si>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</si>
  <si>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</si>
  <si>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</si>
  <si>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</si>
  <si>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</si>
  <si>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</si>
  <si>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</si>
  <si>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</si>
  <si>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</si>
  <si>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</si>
  <si>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</si>
  <si>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</si>
  <si>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</si>
  <si>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</si>
  <si>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</si>
  <si>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</si>
  <si>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</si>
  <si>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</si>
  <si>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</si>
  <si>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</si>
  <si>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</si>
  <si>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</si>
  <si>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</si>
  <si>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</si>
  <si>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</si>
  <si>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</si>
  <si>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</si>
  <si>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</si>
  <si>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</si>
  <si>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</si>
  <si>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</si>
  <si>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</si>
  <si>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</si>
  <si>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</si>
  <si>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</si>
  <si>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</si>
  <si>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</si>
  <si>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</si>
  <si>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</si>
  <si>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</si>
  <si>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</si>
  <si>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</si>
  <si>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</si>
  <si>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</si>
  <si>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</si>
  <si>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</si>
  <si>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</si>
  <si>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</si>
  <si>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</si>
  <si>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</si>
  <si>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</si>
  <si>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</si>
  <si>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</si>
  <si>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</si>
  <si>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</si>
  <si>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</si>
  <si>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</si>
  <si>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</si>
  <si>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</si>
  <si>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</si>
  <si>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</si>
  <si>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</si>
  <si>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</si>
  <si>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</si>
  <si>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</si>
  <si>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</si>
  <si>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</si>
  <si>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</si>
  <si>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</si>
  <si>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</si>
  <si>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</si>
  <si>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</si>
  <si>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</si>
  <si>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</si>
  <si>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</si>
  <si>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</si>
  <si>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</si>
  <si>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</si>
  <si>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</si>
  <si>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</si>
  <si>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</si>
  <si>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</si>
  <si>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</si>
  <si>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</si>
  <si>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</si>
  <si>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</si>
  <si>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</si>
  <si>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</si>
  <si>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</si>
  <si>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</si>
  <si>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</si>
  <si>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</si>
  <si>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</si>
  <si>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</si>
  <si>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</si>
  <si>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</si>
  <si>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</si>
  <si>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</si>
  <si>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</si>
  <si>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</si>
  <si>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</si>
  <si>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</si>
  <si>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</si>
  <si>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</si>
  <si>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</si>
  <si>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</si>
  <si>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</si>
  <si>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</si>
  <si>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</si>
  <si>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</si>
  <si>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</si>
  <si>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</si>
  <si>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</si>
  <si>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</si>
  <si>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</si>
  <si>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</si>
  <si>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</si>
  <si>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</si>
  <si>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</si>
  <si>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</si>
  <si>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</si>
  <si>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</si>
  <si>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</si>
  <si>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</si>
  <si>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</si>
  <si>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</si>
  <si>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</si>
  <si>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</si>
  <si>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</si>
  <si>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</si>
  <si>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</si>
  <si>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</si>
  <si>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</si>
  <si>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</si>
  <si>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</si>
  <si>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</si>
  <si>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</si>
  <si>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</si>
  <si>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</si>
  <si>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</si>
  <si>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</si>
  <si>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</si>
  <si>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</si>
  <si>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</si>
  <si>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</si>
  <si>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</si>
  <si>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</si>
  <si>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</si>
  <si>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</si>
  <si>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</si>
  <si>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</si>
  <si>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</si>
  <si>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</si>
  <si>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</si>
  <si>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</si>
  <si>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</si>
  <si>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</si>
  <si>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</si>
  <si>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</si>
  <si>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</si>
  <si>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</si>
  <si>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</si>
  <si>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</si>
  <si>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</si>
  <si>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</si>
  <si>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</si>
  <si>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</si>
  <si>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</si>
  <si>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</si>
  <si>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</si>
  <si>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</si>
  <si>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</si>
  <si>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</si>
  <si>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</si>
  <si>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</si>
  <si>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</si>
  <si>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</si>
  <si>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</si>
  <si>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</si>
  <si>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</si>
  <si>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</si>
  <si>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</si>
  <si>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</si>
  <si>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</si>
  <si>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</si>
  <si>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</si>
  <si>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</si>
  <si>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</si>
  <si>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</si>
  <si>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</si>
  <si>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</si>
  <si>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</si>
  <si>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</si>
  <si>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</si>
  <si>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</si>
  <si>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</si>
  <si>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</si>
  <si>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</si>
  <si>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</si>
  <si>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</si>
  <si>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</si>
  <si>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</si>
  <si>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</si>
  <si>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</si>
  <si>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</si>
  <si>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</si>
  <si>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</si>
  <si>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</si>
  <si>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</si>
  <si>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</si>
  <si>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</si>
  <si>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</si>
  <si>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</si>
  <si>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</si>
  <si>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</si>
  <si>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</si>
  <si>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</si>
  <si>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</si>
  <si>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</si>
  <si>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</si>
  <si>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</si>
  <si>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</si>
  <si>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</si>
  <si>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</si>
  <si>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</si>
  <si>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</si>
  <si>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</si>
  <si>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</si>
  <si>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</si>
  <si>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</si>
  <si>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</si>
  <si>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</si>
  <si>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</si>
  <si>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</si>
  <si>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</si>
  <si>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</si>
  <si>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</si>
  <si>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</si>
  <si>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</si>
  <si>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</si>
  <si>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</si>
  <si>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</si>
  <si>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</si>
  <si>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</si>
  <si>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</si>
  <si>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</si>
  <si>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</si>
  <si>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</si>
  <si>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</si>
  <si>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</si>
  <si>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</si>
  <si>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</si>
  <si>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</si>
  <si>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</si>
  <si>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</si>
  <si>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</si>
  <si>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</si>
  <si>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</si>
  <si>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</si>
  <si>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</si>
  <si>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</si>
  <si>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</si>
  <si>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</si>
  <si>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</si>
  <si>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</si>
  <si>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</si>
  <si>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</si>
  <si>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</si>
  <si>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</si>
  <si>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</si>
  <si>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</si>
  <si>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</si>
  <si>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</si>
  <si>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</si>
  <si>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</si>
  <si>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</si>
  <si>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</si>
  <si>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</si>
  <si>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</si>
  <si>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</si>
  <si>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</si>
  <si>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</si>
  <si>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</si>
  <si>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</si>
  <si>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</si>
  <si>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</si>
  <si>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</si>
  <si>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</si>
  <si>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</si>
  <si>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</si>
  <si>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</si>
  <si>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</si>
  <si>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</si>
  <si>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</si>
  <si>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</si>
  <si>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</si>
  <si>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</si>
  <si>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</si>
  <si>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</si>
  <si>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</si>
  <si>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</si>
  <si>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</si>
  <si>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</si>
  <si>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</si>
  <si>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</si>
  <si>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</si>
  <si>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</si>
  <si>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</si>
  <si>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</si>
  <si>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</si>
  <si>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</si>
  <si>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</si>
  <si>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</si>
  <si>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</si>
  <si>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</si>
  <si>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</si>
  <si>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</si>
  <si>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</si>
  <si>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</si>
  <si>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</si>
  <si>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</si>
  <si>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</si>
  <si>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</si>
  <si>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</si>
  <si>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</si>
  <si>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</si>
  <si>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</si>
  <si>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</si>
  <si>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</si>
  <si>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</si>
  <si>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</si>
  <si>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</si>
  <si>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</si>
  <si>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</si>
  <si>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</si>
  <si>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</si>
  <si>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</si>
  <si>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</si>
  <si>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</si>
  <si>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</si>
  <si>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</si>
  <si>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</si>
  <si>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</si>
  <si>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</si>
  <si>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</si>
  <si>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</si>
  <si>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</si>
  <si>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</si>
  <si>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</si>
  <si>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</si>
  <si>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</si>
  <si>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</si>
  <si>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</si>
  <si>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</si>
  <si>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</si>
  <si>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</si>
  <si>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</si>
  <si>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</si>
  <si>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</si>
  <si>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</si>
  <si>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</si>
  <si>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</si>
  <si>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</si>
  <si>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</si>
  <si>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</si>
  <si>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</si>
  <si>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</si>
  <si>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</si>
  <si>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</si>
  <si>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</si>
  <si>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</si>
  <si>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</si>
  <si>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</si>
  <si>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</si>
  <si>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</si>
  <si>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</si>
  <si>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</si>
  <si>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</si>
  <si>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</si>
  <si>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</si>
  <si>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</si>
  <si>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</si>
  <si>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</si>
  <si>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</si>
  <si>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</si>
  <si>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</si>
  <si>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</si>
  <si>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</si>
  <si>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</si>
  <si>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</si>
  <si>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</si>
  <si>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</si>
  <si>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</si>
  <si>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</si>
  <si>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</si>
  <si>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</si>
  <si>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</si>
  <si>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</si>
  <si>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</si>
  <si>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</si>
  <si>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</si>
  <si>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</si>
  <si>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</si>
  <si>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</si>
  <si>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</si>
  <si>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</si>
  <si>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</si>
  <si>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</si>
  <si>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</si>
  <si>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</si>
  <si>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</si>
  <si>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</si>
  <si>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</si>
  <si>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</si>
  <si>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</si>
  <si>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</si>
  <si>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</si>
  <si>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</si>
  <si>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</si>
  <si>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</si>
  <si>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</si>
  <si>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</si>
  <si>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</si>
  <si>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</si>
  <si>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</si>
  <si>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</si>
  <si>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</si>
  <si>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</si>
  <si>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</si>
  <si>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</si>
  <si>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</si>
  <si>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</si>
  <si>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</si>
  <si>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</si>
  <si>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</si>
  <si>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</si>
  <si>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</si>
  <si>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</si>
  <si>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</si>
  <si>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</si>
  <si>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</si>
  <si>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</si>
  <si>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</si>
  <si>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</si>
  <si>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</si>
  <si>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</si>
  <si>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</si>
  <si>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</si>
  <si>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</si>
  <si>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</si>
  <si>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</si>
  <si>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</si>
  <si>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</si>
  <si>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</si>
  <si>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</si>
  <si>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</si>
  <si>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</si>
  <si>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</si>
  <si>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</si>
  <si>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</si>
  <si>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</si>
  <si>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</si>
  <si>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</si>
  <si>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</si>
  <si>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</si>
  <si>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</si>
  <si>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</si>
  <si>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</si>
  <si>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</si>
  <si>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</si>
  <si>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</si>
  <si>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</si>
  <si>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</si>
  <si>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</si>
  <si>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</si>
  <si>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</si>
  <si>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</si>
  <si>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</si>
  <si>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</si>
  <si>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</si>
  <si>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</si>
  <si>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</si>
  <si>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</si>
  <si>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</si>
  <si>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</si>
  <si>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</si>
  <si>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</si>
  <si>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</si>
  <si>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</si>
  <si>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</si>
  <si>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</si>
  <si>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</si>
  <si>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</si>
  <si>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</si>
  <si>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</si>
  <si>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</si>
  <si>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</si>
  <si>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</si>
  <si>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</si>
  <si>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</si>
  <si>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</si>
  <si>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</si>
  <si>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</si>
  <si>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</si>
  <si>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</si>
  <si>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</si>
  <si>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</si>
  <si>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</si>
  <si>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</si>
  <si>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</si>
  <si>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</si>
  <si>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</si>
  <si>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</si>
  <si>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</si>
  <si>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</si>
  <si>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</si>
  <si>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</si>
  <si>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</si>
  <si>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</si>
  <si>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</si>
  <si>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</si>
  <si>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</si>
  <si>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</si>
  <si>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</si>
  <si>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</si>
  <si>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</si>
  <si>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</si>
  <si>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</si>
  <si>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</si>
  <si>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</si>
  <si>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</si>
  <si>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</si>
  <si>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</si>
  <si>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</si>
  <si>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</si>
  <si>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</si>
  <si>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</si>
  <si>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</si>
  <si>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</si>
  <si>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</si>
  <si>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</si>
  <si>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</si>
  <si>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</si>
  <si>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</si>
  <si>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</si>
  <si>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</si>
  <si>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</si>
  <si>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</si>
  <si>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</si>
  <si>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</si>
  <si>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</si>
  <si>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</si>
  <si>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</si>
  <si>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</si>
  <si>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</si>
  <si>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</si>
  <si>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</si>
  <si>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</si>
  <si>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</si>
  <si>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</si>
  <si>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</si>
  <si>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</si>
  <si>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</si>
  <si>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</si>
  <si>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</si>
  <si>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</si>
  <si>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</si>
  <si>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</si>
  <si>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</si>
  <si>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</si>
  <si>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</si>
  <si>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</si>
  <si>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</si>
  <si>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</si>
  <si>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</si>
  <si>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</si>
  <si>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</si>
  <si>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</si>
  <si>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</si>
  <si>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</si>
  <si>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</si>
  <si>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</si>
  <si>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</si>
  <si>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</si>
  <si>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</si>
  <si>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</si>
  <si>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</si>
  <si>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</si>
  <si>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</si>
  <si>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</si>
  <si>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</si>
  <si>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</si>
  <si>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</si>
  <si>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</si>
  <si>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</si>
  <si>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</si>
  <si>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</si>
  <si>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</si>
  <si>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</si>
  <si>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</si>
  <si>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</si>
  <si>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</si>
  <si>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</si>
  <si>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</si>
  <si>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</si>
  <si>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</si>
  <si>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</si>
  <si>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</si>
  <si>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</si>
  <si>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</si>
  <si>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</si>
  <si>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</si>
  <si>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</si>
  <si>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</si>
  <si>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</si>
  <si>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</si>
  <si>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</si>
  <si>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</si>
  <si>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</si>
  <si>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</si>
  <si>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</si>
  <si>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</si>
  <si>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</si>
  <si>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</si>
  <si>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</si>
  <si>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</si>
  <si>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</si>
  <si>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</si>
  <si>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</si>
  <si>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</si>
  <si>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</si>
  <si>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</si>
  <si>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</si>
  <si>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</si>
  <si>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</si>
  <si>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</si>
  <si>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</si>
  <si>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</si>
  <si>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</si>
  <si>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</si>
  <si>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</si>
  <si>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</si>
  <si>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</si>
  <si>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</si>
  <si>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</si>
  <si>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</si>
  <si>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</si>
  <si>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</si>
  <si>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</si>
  <si>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</si>
  <si>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</si>
  <si>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</si>
  <si>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</si>
  <si>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</si>
  <si>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</si>
  <si>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</si>
  <si>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</si>
  <si>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</si>
  <si>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</si>
  <si>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</si>
  <si>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</si>
  <si>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</si>
  <si>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</si>
  <si>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</si>
  <si>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</si>
  <si>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</si>
  <si>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</si>
  <si>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</si>
  <si>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</si>
  <si>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</si>
  <si>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</si>
  <si>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</si>
  <si>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</si>
  <si>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</si>
  <si>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</si>
  <si>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</si>
  <si>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</si>
  <si>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</si>
  <si>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</si>
  <si>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</si>
  <si>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</si>
  <si>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</si>
  <si>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</si>
  <si>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</si>
  <si>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</si>
  <si>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</si>
  <si>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</si>
  <si>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</si>
  <si>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</si>
  <si>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</si>
  <si>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</si>
  <si>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</si>
  <si>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</si>
  <si>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</si>
  <si>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</si>
  <si>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</si>
  <si>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</si>
  <si>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</si>
  <si>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</si>
  <si>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</si>
  <si>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</si>
  <si>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</si>
  <si>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</si>
  <si>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</si>
  <si>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</si>
  <si>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</si>
  <si>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</si>
  <si>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</si>
  <si>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</si>
  <si>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</si>
  <si>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</si>
  <si>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</si>
  <si>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</si>
  <si>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</si>
  <si>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</si>
  <si>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</si>
  <si>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</si>
  <si>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</si>
  <si>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</si>
  <si>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</si>
  <si>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</si>
  <si>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</si>
  <si>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</si>
  <si>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</si>
  <si>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</si>
  <si>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</si>
  <si>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</si>
  <si>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</si>
  <si>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</si>
  <si>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</si>
  <si>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</si>
  <si>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</si>
  <si>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</si>
  <si>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</si>
  <si>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</si>
  <si>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</si>
  <si>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</si>
  <si>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</si>
  <si>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</si>
  <si>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</si>
  <si>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</si>
  <si>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</si>
  <si>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</si>
  <si>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</si>
  <si>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</si>
  <si>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</si>
  <si>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</si>
  <si>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</si>
  <si>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</si>
  <si>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</si>
  <si>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</si>
  <si>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</si>
  <si>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</si>
  <si>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</si>
  <si>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</si>
  <si>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</si>
  <si>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</si>
  <si>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</si>
  <si>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</si>
  <si>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</si>
  <si>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</si>
  <si>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</si>
  <si>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</si>
  <si>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</si>
  <si>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</si>
  <si>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</si>
  <si>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</si>
  <si>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</si>
  <si>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</si>
  <si>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</si>
  <si>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</si>
  <si>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</si>
  <si>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</si>
  <si>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</si>
  <si>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</si>
  <si>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</si>
  <si>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</si>
  <si>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</si>
  <si>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</si>
  <si>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</si>
  <si>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</si>
  <si>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</si>
  <si>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</si>
  <si>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</si>
  <si>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</si>
  <si>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</si>
  <si>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</si>
  <si>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</si>
  <si>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</si>
  <si>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</si>
  <si>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</si>
  <si>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</si>
  <si>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</si>
  <si>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</si>
  <si>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</si>
  <si>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</si>
  <si>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</si>
  <si>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</si>
  <si>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</si>
  <si>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</si>
  <si>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</si>
  <si>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</si>
  <si>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</si>
  <si>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</si>
  <si>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</si>
  <si>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</si>
  <si>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</si>
  <si>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</si>
  <si>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</si>
  <si>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</si>
  <si>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</si>
  <si>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</si>
  <si>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</si>
  <si>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</si>
  <si>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</si>
  <si>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</si>
  <si>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</si>
  <si>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</si>
  <si>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</si>
  <si>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</si>
  <si>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</si>
  <si>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</si>
  <si>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</si>
  <si>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</si>
  <si>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</si>
  <si>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</si>
  <si>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</si>
  <si>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</si>
  <si>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</si>
  <si>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</si>
  <si>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</si>
  <si>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</si>
  <si>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</si>
  <si>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</si>
  <si>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</si>
  <si>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</si>
  <si>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</si>
  <si>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</si>
  <si>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</si>
  <si>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</si>
  <si>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</si>
  <si>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</si>
  <si>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</si>
  <si>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</si>
  <si>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</si>
  <si>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</si>
  <si>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</si>
  <si>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</si>
  <si>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</si>
  <si>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</si>
  <si>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</si>
  <si>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</si>
  <si>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</si>
  <si>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</si>
  <si>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</si>
  <si>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</si>
  <si>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</si>
  <si>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</si>
  <si>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</si>
  <si>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</si>
  <si>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</si>
  <si>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</si>
  <si>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</si>
  <si>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</si>
  <si>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</si>
  <si>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</si>
  <si>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</si>
  <si>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</si>
  <si>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</si>
  <si>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</si>
  <si>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</si>
  <si>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</si>
  <si>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</si>
  <si>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</si>
  <si>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</si>
  <si>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</si>
  <si>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</si>
  <si>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</si>
  <si>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</si>
  <si>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</si>
  <si>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</si>
  <si>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</si>
  <si>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</si>
  <si>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</si>
  <si>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</si>
  <si>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</si>
  <si>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</si>
  <si>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</si>
  <si>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</si>
  <si>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</si>
  <si>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</si>
  <si>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</si>
  <si>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</si>
  <si>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</si>
  <si>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</si>
  <si>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</si>
  <si>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</si>
  <si>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</si>
  <si>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</si>
  <si>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</si>
  <si>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</si>
  <si>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</si>
  <si>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</si>
  <si>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</si>
  <si>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</si>
  <si>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</si>
  <si>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</si>
  <si>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</si>
  <si>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</si>
  <si>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</si>
  <si>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</si>
  <si>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</si>
  <si>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</si>
  <si>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</si>
  <si>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</si>
  <si>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</si>
  <si>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</si>
  <si>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</si>
  <si>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</si>
  <si>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</si>
  <si>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</si>
  <si>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</si>
  <si>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</si>
  <si>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</si>
  <si>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</si>
  <si>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</si>
  <si>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</si>
  <si>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</si>
  <si>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</si>
  <si>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</si>
  <si>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</si>
  <si>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</si>
  <si>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</si>
  <si>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</si>
  <si>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</si>
  <si>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</si>
  <si>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</si>
  <si>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</si>
  <si>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</si>
  <si>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</si>
  <si>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</si>
  <si>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</si>
  <si>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</si>
  <si>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</si>
  <si>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</si>
  <si>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</si>
  <si>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</si>
  <si>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</si>
  <si>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</si>
  <si>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</si>
  <si>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</si>
  <si>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</si>
  <si>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</si>
  <si>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</si>
  <si>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</si>
  <si>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</si>
  <si>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</si>
  <si>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</si>
  <si>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</si>
  <si>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</si>
  <si>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</si>
  <si>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</si>
  <si>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</si>
  <si>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</si>
  <si>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</si>
  <si>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</si>
  <si>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</si>
  <si>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</si>
  <si>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</si>
  <si>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</si>
  <si>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</si>
  <si>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</si>
  <si>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</si>
  <si>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</si>
  <si>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</si>
  <si>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</si>
  <si>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</si>
  <si>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</si>
  <si>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</si>
  <si>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</si>
  <si>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</si>
  <si>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</si>
  <si>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</si>
  <si>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</si>
  <si>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</si>
  <si>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</si>
  <si>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</si>
  <si>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</si>
  <si>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</si>
  <si>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</si>
  <si>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</si>
  <si>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</si>
  <si>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</si>
  <si>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</si>
  <si>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</si>
  <si>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</si>
  <si>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</si>
  <si>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</si>
  <si>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</si>
  <si>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</si>
  <si>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</si>
  <si>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</si>
  <si>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</si>
  <si>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</si>
  <si>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</si>
  <si>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</si>
  <si>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</si>
  <si>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</si>
  <si>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</si>
  <si>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</si>
  <si>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</si>
  <si>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</si>
  <si>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</si>
  <si>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</si>
  <si>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</si>
  <si>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</si>
  <si>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</si>
  <si>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</si>
  <si>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</si>
  <si>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</si>
  <si>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</si>
  <si>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</si>
  <si>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</si>
  <si>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</si>
  <si>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</si>
  <si>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</si>
  <si>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</si>
  <si>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</si>
  <si>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</si>
  <si>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</si>
  <si>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</si>
  <si>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</si>
  <si>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</si>
  <si>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</si>
  <si>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</si>
  <si>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</si>
  <si>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</si>
  <si>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</si>
  <si>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</si>
  <si>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</si>
  <si>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</si>
  <si>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</si>
  <si>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</si>
  <si>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</si>
  <si>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</si>
  <si>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</si>
  <si>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</si>
  <si>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</si>
  <si>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</si>
  <si>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</si>
  <si>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</si>
  <si>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</si>
  <si>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</si>
  <si>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</si>
  <si>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</si>
  <si>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</si>
  <si>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</si>
  <si>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</si>
  <si>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</si>
  <si>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</si>
  <si>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</si>
  <si>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</si>
  <si>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</si>
  <si>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</si>
  <si>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</si>
  <si>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</si>
  <si>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</si>
  <si>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</si>
  <si>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</si>
  <si>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</si>
  <si>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</si>
  <si>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</si>
  <si>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</si>
  <si>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</si>
  <si>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</si>
  <si>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</si>
  <si>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</si>
  <si>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</si>
  <si>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</si>
  <si>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</si>
  <si>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</si>
  <si>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</si>
  <si>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</si>
  <si>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</si>
  <si>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</si>
  <si>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</si>
  <si>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</si>
  <si>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</si>
  <si>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</si>
  <si>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</si>
  <si>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</si>
  <si>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</si>
  <si>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</si>
  <si>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</si>
  <si>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</si>
  <si>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</si>
  <si>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</si>
  <si>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</si>
  <si>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</si>
  <si>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</si>
  <si>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</si>
  <si>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</si>
  <si>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</si>
  <si>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</si>
  <si>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</si>
  <si>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</si>
  <si>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</si>
  <si>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</si>
  <si>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</si>
  <si>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</si>
  <si>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</si>
  <si>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</si>
  <si>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</si>
  <si>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</si>
  <si>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</si>
  <si>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</si>
  <si>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</si>
  <si>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</si>
  <si>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</si>
  <si>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</si>
  <si>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</si>
  <si>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</si>
  <si>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</si>
  <si>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</si>
  <si>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</si>
  <si>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</si>
  <si>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</si>
  <si>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</si>
  <si>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</si>
  <si>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</si>
  <si>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</si>
  <si>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</si>
  <si>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</si>
  <si>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</si>
  <si>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</si>
  <si>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</si>
  <si>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</si>
  <si>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</si>
  <si>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</si>
  <si>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</si>
  <si>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</si>
  <si>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</si>
  <si>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</si>
  <si>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</si>
  <si>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</si>
  <si>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</si>
  <si>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</si>
  <si>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</si>
  <si>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</si>
  <si>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</si>
  <si>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</si>
  <si>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</si>
  <si>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</si>
  <si>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</si>
  <si>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</si>
  <si>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</si>
  <si>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</si>
  <si>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</si>
  <si>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</si>
  <si>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</si>
  <si>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</si>
  <si>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</si>
  <si>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</si>
  <si>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</si>
  <si>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</si>
  <si>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</si>
  <si>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</si>
  <si>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</si>
  <si>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</si>
  <si>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</si>
  <si>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</si>
  <si>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</si>
  <si>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</si>
  <si>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</si>
  <si>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</si>
  <si>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</si>
  <si>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</si>
  <si>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</si>
  <si>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</si>
  <si>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</si>
  <si>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</si>
  <si>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</si>
  <si>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</si>
  <si>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</si>
  <si>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</si>
  <si>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</si>
  <si>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</si>
  <si>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</si>
  <si>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</si>
  <si>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</si>
  <si>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</si>
  <si>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</si>
  <si>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</si>
  <si>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</si>
  <si>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</si>
  <si>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</si>
  <si>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</si>
  <si>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</si>
  <si>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</si>
  <si>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</si>
  <si>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</si>
  <si>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</si>
  <si>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</si>
  <si>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</si>
  <si>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</si>
  <si>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</si>
  <si>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</si>
  <si>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</si>
  <si>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</si>
  <si>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</si>
  <si>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</si>
  <si>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</si>
  <si>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</si>
  <si>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</si>
  <si>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</si>
  <si>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</si>
  <si>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</si>
  <si>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</si>
  <si>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</si>
  <si>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</si>
  <si>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</si>
  <si>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</si>
  <si>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</si>
  <si>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</si>
  <si>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</si>
  <si>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</si>
  <si>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</si>
  <si>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</si>
  <si>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</si>
  <si>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</si>
  <si>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</si>
  <si>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</si>
  <si>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</si>
  <si>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</si>
  <si>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</si>
  <si>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</si>
  <si>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</si>
  <si>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</si>
  <si>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</si>
  <si>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</si>
  <si>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</si>
  <si>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</si>
  <si>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</si>
  <si>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</si>
  <si>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</si>
  <si>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</si>
  <si>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</si>
  <si>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</si>
  <si>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</si>
  <si>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</si>
  <si>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</si>
  <si>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</si>
  <si>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</si>
  <si>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</si>
  <si>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</si>
  <si>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</si>
  <si>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</si>
  <si>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</si>
  <si>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</si>
  <si>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</si>
  <si>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</si>
  <si>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</si>
  <si>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</si>
  <si>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</si>
  <si>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</si>
  <si>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</si>
  <si>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</si>
  <si>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</si>
  <si>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</si>
  <si>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</si>
  <si>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</si>
  <si>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</si>
  <si>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</si>
  <si>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</si>
  <si>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</si>
  <si>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</si>
  <si>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</si>
  <si>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</si>
  <si>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</si>
  <si>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</si>
  <si>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</si>
  <si>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</si>
  <si>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</si>
  <si>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</si>
  <si>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</si>
  <si>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</si>
  <si>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</si>
  <si>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</si>
  <si>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</si>
  <si>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</si>
  <si>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</si>
  <si>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</si>
  <si>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</si>
  <si>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</si>
  <si>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</si>
  <si>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</si>
  <si>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</si>
  <si>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</si>
  <si>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</si>
  <si>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</si>
  <si>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</si>
  <si>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</si>
  <si>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</si>
  <si>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</si>
  <si>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</si>
  <si>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</si>
  <si>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</si>
  <si>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</si>
  <si>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</si>
  <si>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</si>
  <si>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</si>
  <si>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</si>
  <si>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</si>
  <si>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</si>
  <si>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</si>
  <si>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</si>
  <si>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</si>
  <si>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</si>
  <si>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</si>
  <si>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</si>
  <si>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</si>
  <si>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</si>
  <si>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</si>
  <si>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</si>
  <si>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</si>
  <si>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</si>
  <si>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</si>
  <si>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</si>
  <si>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</si>
  <si>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</si>
  <si>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</si>
  <si>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</si>
  <si>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</si>
  <si>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</si>
  <si>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</si>
  <si>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</si>
  <si>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</si>
  <si>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</si>
  <si>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</si>
  <si>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</si>
  <si>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</si>
  <si>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</si>
  <si>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</si>
  <si>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</si>
  <si>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</si>
  <si>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</si>
  <si>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</si>
  <si>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</si>
  <si>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</si>
  <si>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</si>
  <si>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</si>
  <si>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</si>
  <si>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</si>
  <si>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</si>
  <si>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</si>
  <si>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</si>
  <si>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</si>
  <si>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</si>
  <si>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</si>
  <si>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</si>
  <si>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</si>
  <si>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</si>
  <si>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</si>
  <si>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</si>
  <si>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</si>
  <si>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</si>
  <si>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</si>
  <si>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</si>
  <si>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</si>
  <si>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</si>
  <si>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</si>
  <si>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</si>
  <si>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</si>
  <si>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</si>
  <si>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</si>
  <si>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</si>
  <si>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</si>
  <si>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</si>
  <si>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</si>
  <si>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</si>
  <si>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</si>
  <si>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</si>
  <si>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</si>
  <si>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</si>
  <si>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</si>
  <si>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</si>
  <si>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</si>
  <si>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</si>
  <si>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</si>
  <si>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</si>
  <si>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</si>
  <si>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</si>
  <si>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</si>
  <si>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</si>
  <si>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</si>
  <si>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</si>
  <si>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</si>
  <si>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</si>
  <si>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</si>
  <si>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</si>
  <si>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</si>
  <si>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</si>
  <si>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</si>
  <si>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</si>
  <si>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</si>
  <si>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</si>
  <si>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</si>
  <si>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</si>
  <si>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</si>
  <si>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</si>
  <si>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</si>
  <si>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</si>
  <si>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</si>
  <si>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</si>
  <si>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</si>
  <si>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</si>
  <si>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</si>
  <si>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</si>
  <si>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</si>
  <si>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</si>
  <si>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</si>
  <si>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</si>
  <si>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</si>
  <si>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</si>
  <si>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</si>
  <si>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</si>
  <si>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</si>
  <si>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</si>
  <si>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</si>
  <si>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</si>
  <si>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</si>
  <si>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</si>
  <si>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</si>
  <si>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</si>
  <si>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</si>
  <si>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</si>
  <si>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</si>
  <si>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</si>
  <si>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</si>
  <si>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</si>
  <si>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</si>
  <si>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</si>
  <si>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</si>
  <si>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</si>
  <si>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</si>
  <si>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</si>
  <si>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</si>
  <si>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</si>
  <si>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</si>
  <si>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</si>
  <si>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</si>
  <si>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</si>
  <si>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</si>
  <si>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</si>
  <si>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</si>
  <si>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</si>
  <si>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</si>
  <si>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</si>
  <si>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</si>
  <si>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</si>
  <si>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</si>
  <si>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</si>
  <si>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</si>
  <si>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</si>
  <si>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</si>
  <si>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</si>
  <si>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</si>
  <si>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</si>
  <si>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</si>
  <si>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</si>
  <si>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</si>
  <si>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</si>
  <si>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</si>
  <si>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</si>
  <si>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</si>
  <si>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</si>
  <si>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</si>
  <si>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</si>
  <si>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</si>
  <si>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</si>
  <si>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</si>
  <si>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</si>
  <si>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</si>
  <si>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</si>
  <si>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</si>
  <si>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</si>
  <si>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</si>
  <si>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</si>
  <si>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</si>
  <si>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</si>
  <si>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</si>
  <si>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</si>
  <si>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</si>
  <si>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</si>
  <si>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</si>
  <si>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</si>
  <si>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</si>
  <si>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</si>
  <si>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</si>
  <si>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</si>
  <si>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</si>
  <si>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</si>
  <si>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</si>
  <si>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</si>
  <si>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</si>
  <si>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</si>
  <si>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</si>
  <si>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</si>
  <si>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</si>
  <si>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</si>
  <si>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</si>
  <si>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</si>
  <si>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</si>
  <si>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</si>
  <si>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</si>
  <si>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</si>
  <si>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</si>
  <si>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</si>
  <si>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</si>
  <si>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</si>
  <si>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</si>
  <si>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</si>
  <si>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</si>
  <si>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</si>
  <si>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</si>
  <si>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</si>
  <si>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</si>
  <si>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</si>
  <si>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</si>
  <si>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</si>
  <si>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</si>
  <si>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</si>
  <si>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</si>
  <si>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</si>
  <si>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</si>
  <si>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</si>
  <si>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</si>
  <si>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</si>
  <si>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</si>
  <si>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</si>
  <si>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</si>
  <si>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</si>
  <si>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</si>
  <si>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</si>
  <si>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</si>
  <si>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</si>
  <si>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</si>
  <si>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</si>
  <si>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</si>
  <si>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</si>
  <si>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</si>
  <si>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</si>
  <si>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</si>
  <si>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</si>
  <si>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</si>
  <si>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</si>
  <si>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</si>
  <si>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</si>
  <si>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</si>
  <si>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</si>
  <si>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</si>
  <si>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</si>
  <si>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</si>
  <si>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</si>
  <si>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</si>
  <si>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</si>
  <si>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</si>
  <si>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</si>
  <si>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</si>
  <si>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</si>
  <si>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</si>
  <si>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</si>
  <si>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</si>
  <si>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</si>
  <si>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</si>
  <si>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</si>
  <si>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</si>
  <si>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</si>
  <si>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</si>
  <si>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</si>
  <si>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</si>
  <si>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</si>
  <si>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</si>
  <si>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</si>
  <si>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</si>
  <si>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</si>
  <si>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</si>
  <si>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</si>
  <si>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</si>
  <si>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</si>
  <si>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</si>
  <si>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</si>
  <si>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</si>
  <si>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</si>
  <si>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</si>
  <si>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</si>
  <si>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</si>
  <si>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</si>
  <si>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</si>
  <si>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</si>
  <si>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</si>
  <si>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</si>
  <si>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</si>
  <si>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</si>
  <si>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</si>
  <si>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</si>
  <si>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</si>
  <si>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</si>
  <si>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</si>
  <si>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</si>
  <si>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</si>
  <si>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</si>
  <si>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</si>
  <si>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</si>
  <si>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</si>
  <si>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</si>
  <si>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</si>
  <si>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</si>
  <si>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</si>
  <si>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</si>
  <si>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</si>
  <si>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</si>
  <si>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</si>
  <si>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</si>
  <si>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</si>
  <si>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</si>
  <si>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</si>
  <si>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</si>
  <si>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</si>
  <si>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</si>
  <si>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</si>
  <si>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</si>
  <si>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</si>
  <si>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</si>
  <si>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</si>
  <si>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</si>
  <si>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</si>
  <si>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</si>
  <si>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</si>
  <si>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</si>
  <si>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</si>
  <si>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</si>
  <si>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</si>
  <si>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</si>
  <si>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</si>
  <si>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</si>
  <si>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</si>
  <si>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</si>
  <si>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</si>
  <si>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</si>
  <si>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</si>
  <si>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</si>
  <si>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</si>
  <si>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</si>
  <si>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</si>
  <si>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</si>
  <si>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</si>
  <si>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</si>
  <si>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</si>
  <si>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</si>
  <si>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</si>
  <si>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</si>
  <si>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</si>
  <si>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</si>
  <si>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</si>
  <si>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</si>
  <si>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</si>
  <si>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</si>
  <si>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</si>
  <si>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</si>
  <si>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</si>
  <si>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</si>
  <si>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</si>
  <si>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</si>
  <si>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</si>
  <si>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</si>
  <si>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</si>
  <si>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</si>
  <si>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</si>
  <si>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</si>
  <si>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</si>
  <si>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</si>
  <si>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</si>
  <si>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</si>
  <si>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</si>
  <si>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</si>
  <si>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</si>
  <si>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</si>
  <si>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</si>
  <si>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</si>
  <si>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</si>
  <si>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</si>
  <si>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</si>
  <si>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</si>
  <si>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</si>
  <si>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</si>
  <si>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</si>
  <si>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</si>
  <si>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</si>
  <si>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</si>
  <si>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</si>
  <si>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</si>
  <si>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</si>
  <si>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</si>
  <si>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</si>
  <si>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</si>
  <si>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</si>
  <si>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</si>
  <si>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</si>
  <si>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</si>
  <si>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</si>
  <si>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</si>
  <si>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</si>
  <si>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</si>
  <si>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</si>
  <si>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</si>
  <si>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</si>
  <si>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</si>
  <si>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</si>
  <si>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</si>
  <si>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</si>
  <si>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</si>
  <si>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</si>
  <si>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</si>
  <si>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</si>
  <si>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</si>
  <si>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</si>
  <si>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</si>
  <si>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</si>
  <si>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</si>
  <si>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</si>
  <si>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</si>
  <si>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</si>
  <si>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</si>
  <si>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</si>
  <si>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</si>
  <si>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</si>
  <si>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</si>
  <si>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</si>
  <si>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</si>
  <si>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</si>
  <si>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</si>
  <si>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</si>
  <si>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</si>
  <si>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</si>
  <si>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</si>
  <si>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</si>
  <si>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</si>
  <si>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</si>
  <si>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</si>
  <si>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</si>
  <si>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</si>
  <si>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</si>
  <si>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</si>
  <si>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</si>
  <si>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</si>
  <si>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</si>
  <si>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</si>
  <si>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</si>
  <si>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</si>
  <si>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</si>
  <si>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</si>
  <si>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</si>
  <si>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</si>
  <si>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</si>
  <si>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</si>
  <si>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</si>
  <si>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</si>
  <si>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</si>
  <si>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</si>
  <si>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</si>
  <si>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</si>
  <si>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</si>
  <si>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</si>
  <si>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</si>
  <si>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</si>
  <si>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</si>
  <si>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</si>
  <si>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</si>
  <si>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</si>
  <si>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</si>
  <si>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</si>
  <si>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</si>
  <si>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</si>
  <si>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</si>
  <si>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</si>
  <si>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</si>
  <si>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</si>
  <si>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</si>
  <si>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</si>
  <si>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</si>
  <si>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</si>
  <si>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</si>
  <si>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</si>
  <si>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</si>
  <si>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</si>
  <si>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</si>
  <si>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</si>
  <si>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</si>
  <si>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</si>
  <si>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</si>
  <si>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</si>
  <si>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</si>
  <si>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</si>
  <si>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</si>
  <si>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</si>
  <si>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</si>
  <si>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</si>
  <si>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</si>
  <si>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</si>
  <si>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</si>
  <si>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</si>
  <si>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</si>
  <si>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</si>
  <si>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</si>
  <si>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</si>
  <si>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</si>
  <si>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</si>
  <si>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</si>
  <si>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</si>
  <si>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</si>
  <si>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</si>
  <si>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</si>
  <si>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</si>
  <si>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</si>
  <si>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</si>
  <si>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</si>
  <si>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</si>
  <si>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</si>
  <si>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</si>
  <si>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</si>
  <si>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</si>
  <si>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</si>
  <si>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</si>
  <si>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</si>
  <si>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</si>
  <si>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</si>
  <si>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</si>
  <si>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</si>
  <si>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</si>
  <si>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</si>
  <si>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</si>
  <si>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</si>
  <si>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</si>
  <si>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</si>
  <si>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</si>
  <si>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</si>
  <si>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</si>
  <si>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</si>
  <si>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</si>
  <si>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</si>
  <si>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</si>
  <si>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</si>
  <si>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</si>
  <si>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</si>
  <si>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</si>
  <si>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</si>
  <si>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</si>
  <si>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</si>
  <si>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</si>
  <si>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</si>
  <si>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</si>
  <si>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</si>
  <si>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</si>
  <si>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</si>
  <si>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</si>
  <si>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</si>
  <si>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</si>
  <si>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</si>
  <si>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</si>
  <si>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</si>
  <si>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</si>
  <si>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</si>
  <si>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</si>
  <si>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</si>
  <si>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</si>
  <si>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</si>
  <si>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</si>
  <si>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</si>
  <si>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</si>
  <si>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</si>
  <si>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</si>
  <si>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</si>
  <si>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</si>
  <si>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</si>
  <si>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</si>
  <si>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</si>
  <si>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</si>
  <si>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</si>
  <si>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</si>
  <si>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</si>
  <si>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</si>
  <si>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</si>
  <si>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</si>
  <si>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</si>
  <si>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</si>
  <si>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</si>
  <si>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</si>
  <si>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</si>
  <si>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</si>
  <si>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</si>
  <si>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</si>
  <si>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</si>
  <si>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</si>
  <si>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</si>
  <si>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</si>
  <si>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</si>
  <si>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</si>
  <si>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</si>
  <si>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</si>
  <si>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</si>
  <si>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</si>
  <si>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</si>
  <si>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</si>
  <si>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</si>
  <si>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</si>
  <si>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</si>
  <si>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</si>
  <si>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</si>
  <si>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</si>
  <si>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</si>
  <si>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</si>
  <si>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</si>
  <si>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</si>
  <si>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</si>
  <si>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</si>
  <si>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</si>
  <si>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</si>
  <si>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</si>
  <si>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</si>
  <si>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</si>
  <si>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</si>
  <si>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</si>
  <si>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</si>
  <si>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</si>
  <si>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</si>
  <si>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</si>
  <si>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</si>
  <si>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</si>
  <si>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</si>
  <si>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</si>
  <si>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</si>
  <si>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</si>
  <si>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</si>
  <si>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</si>
  <si>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</si>
  <si>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</si>
  <si>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</si>
  <si>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</si>
  <si>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</si>
  <si>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</si>
  <si>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</si>
  <si>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</si>
  <si>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</si>
  <si>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</si>
  <si>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</si>
  <si>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</si>
  <si>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</si>
  <si>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</si>
  <si>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</si>
  <si>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</si>
  <si>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</si>
  <si>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</si>
  <si>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</si>
  <si>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</si>
  <si>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</si>
  <si>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</si>
  <si>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</si>
  <si>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</si>
  <si>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</si>
  <si>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</si>
  <si>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</si>
  <si>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</si>
  <si>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</si>
  <si>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</si>
  <si>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</si>
  <si>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</si>
  <si>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</si>
  <si>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</si>
  <si>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</si>
  <si>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</si>
  <si>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</si>
  <si>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</si>
  <si>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</si>
  <si>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</si>
  <si>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</si>
  <si>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</si>
  <si>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</si>
  <si>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</si>
  <si>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</si>
  <si>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</si>
  <si>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</si>
  <si>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</si>
  <si>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</si>
  <si>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</si>
  <si>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</si>
  <si>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</si>
  <si>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</si>
  <si>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</si>
  <si>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</si>
  <si>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</si>
  <si>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</si>
  <si>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</si>
  <si>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</si>
  <si>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</si>
  <si>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</si>
  <si>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</si>
  <si>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</si>
  <si>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</si>
  <si>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</si>
  <si>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</si>
  <si>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</si>
  <si>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</si>
  <si>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</si>
  <si>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</si>
  <si>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</si>
  <si>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</si>
  <si>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</si>
  <si>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</si>
  <si>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</si>
  <si>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</si>
  <si>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</si>
  <si>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</si>
  <si>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</si>
  <si>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</si>
  <si>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</si>
  <si>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</si>
  <si>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</si>
  <si>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</si>
  <si>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</si>
  <si>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</si>
  <si>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</si>
  <si>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</si>
  <si>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</si>
  <si>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</si>
  <si>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</si>
  <si>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</si>
  <si>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</si>
  <si>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</si>
  <si>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</si>
  <si>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</si>
  <si>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</si>
  <si>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</si>
  <si>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</si>
  <si>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</si>
  <si>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</si>
  <si>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</si>
  <si>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</si>
  <si>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</si>
  <si>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</si>
  <si>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</si>
  <si>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</si>
  <si>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</si>
  <si>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</si>
  <si>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</si>
  <si>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</si>
  <si>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</si>
  <si>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</si>
  <si>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</si>
  <si>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</si>
  <si>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</si>
  <si>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</si>
  <si>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</si>
  <si>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</si>
  <si>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</si>
  <si>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</si>
  <si>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</si>
  <si>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</si>
  <si>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</si>
  <si>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</si>
  <si>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</si>
  <si>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</si>
  <si>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</si>
  <si>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</si>
  <si>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</si>
  <si>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</si>
  <si>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</si>
  <si>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</si>
  <si>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</si>
  <si>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</si>
  <si>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</si>
  <si>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</si>
  <si>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</si>
  <si>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</si>
  <si>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</si>
  <si>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</si>
  <si>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</si>
  <si>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</si>
  <si>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</si>
  <si>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</si>
  <si>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</si>
  <si>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</si>
  <si>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</si>
  <si>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</si>
  <si>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</si>
  <si>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</si>
  <si>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</si>
  <si>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</si>
  <si>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</si>
  <si>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</si>
  <si>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</si>
  <si>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</si>
  <si>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</si>
  <si>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</si>
  <si>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</si>
  <si>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</si>
  <si>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</si>
  <si>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</si>
  <si>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</si>
  <si>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</si>
  <si>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</si>
  <si>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</si>
  <si>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</si>
  <si>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</si>
  <si>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</si>
  <si>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</si>
  <si>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</si>
  <si>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</si>
  <si>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</si>
  <si>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</si>
  <si>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</si>
  <si>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</si>
  <si>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</si>
  <si>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</si>
  <si>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</si>
  <si>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</si>
  <si>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</si>
  <si>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</si>
  <si>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</si>
  <si>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</si>
  <si>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</si>
  <si>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</si>
  <si>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</si>
  <si>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</si>
  <si>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</si>
  <si>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</si>
  <si>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</si>
  <si>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</si>
  <si>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</si>
  <si>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</si>
  <si>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</si>
  <si>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</si>
  <si>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</si>
  <si>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</si>
  <si>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</si>
  <si>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</si>
  <si>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</si>
  <si>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</si>
  <si>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</si>
  <si>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</si>
  <si>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</si>
  <si>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</si>
  <si>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</si>
  <si>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</si>
  <si>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</si>
  <si>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</si>
  <si>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</si>
  <si>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</si>
  <si>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</si>
  <si>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</si>
  <si>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</si>
  <si>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</si>
  <si>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</si>
  <si>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</si>
  <si>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</si>
  <si>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</si>
  <si>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</si>
  <si>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</si>
  <si>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</si>
  <si>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</si>
  <si>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</si>
  <si>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</si>
  <si>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</si>
  <si>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</si>
  <si>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</si>
  <si>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</si>
  <si>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</si>
  <si>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</si>
  <si>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</si>
  <si>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</si>
  <si>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</si>
  <si>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</si>
  <si>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</si>
  <si>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</si>
  <si>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</si>
  <si>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</si>
  <si>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</si>
  <si>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</si>
  <si>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</si>
  <si>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</si>
  <si>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</si>
  <si>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</si>
  <si>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</si>
  <si>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</si>
  <si>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</si>
  <si>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</si>
  <si>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</si>
  <si>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</si>
  <si>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</si>
  <si>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</si>
  <si>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</si>
  <si>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</si>
  <si>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</si>
  <si>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</si>
  <si>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</si>
  <si>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</si>
  <si>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</si>
  <si>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</si>
  <si>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</si>
  <si>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</si>
  <si>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</si>
  <si>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</si>
  <si>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</si>
  <si>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</si>
  <si>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</si>
  <si>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</si>
  <si>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</si>
  <si>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</si>
  <si>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</si>
  <si>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</si>
  <si>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</si>
  <si>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</si>
  <si>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</si>
  <si>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</si>
  <si>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</si>
  <si>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</si>
  <si>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</si>
  <si>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</si>
  <si>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</si>
  <si>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</si>
  <si>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</si>
  <si>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</si>
  <si>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</si>
  <si>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</si>
  <si>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</si>
  <si>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</si>
  <si>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</si>
  <si>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</si>
  <si>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</si>
  <si>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</si>
  <si>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</si>
  <si>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</si>
  <si>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</si>
  <si>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</si>
  <si>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</si>
  <si>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</si>
  <si>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</si>
  <si>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</si>
  <si>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</si>
  <si>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</si>
  <si>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</si>
  <si>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</si>
  <si>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</si>
  <si>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</si>
  <si>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</si>
  <si>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</si>
  <si>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</si>
  <si>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</si>
  <si>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</si>
  <si>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</si>
  <si>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</si>
  <si>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</si>
  <si>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</si>
  <si>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</si>
  <si>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</si>
  <si>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</si>
  <si>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</si>
  <si>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</si>
  <si>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</si>
  <si>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</si>
  <si>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</si>
  <si>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</si>
  <si>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</si>
  <si>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</si>
  <si>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</si>
  <si>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</si>
  <si>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</si>
  <si>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</si>
  <si>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</si>
  <si>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</si>
  <si>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</si>
  <si>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</si>
  <si>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</si>
  <si>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</si>
  <si>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</si>
  <si>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</si>
  <si>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</si>
  <si>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</si>
  <si>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</si>
  <si>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</si>
  <si>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</si>
  <si>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</si>
  <si>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</si>
  <si>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</si>
  <si>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</si>
  <si>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</si>
  <si>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</si>
  <si>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</si>
  <si>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</si>
  <si>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</si>
  <si>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</si>
  <si>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</si>
  <si>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</si>
  <si>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</si>
  <si>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</si>
  <si>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</si>
  <si>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</si>
  <si>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</si>
  <si>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</si>
  <si>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</si>
  <si>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</si>
  <si>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</si>
  <si>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</si>
  <si>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</si>
  <si>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</si>
  <si>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</si>
  <si>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</si>
  <si>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</si>
  <si>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</si>
  <si>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</si>
  <si>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</si>
  <si>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</si>
  <si>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</si>
  <si>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</si>
  <si>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</si>
  <si>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</si>
  <si>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</si>
  <si>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</si>
  <si>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</si>
  <si>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</si>
  <si>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</si>
  <si>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</si>
  <si>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</si>
  <si>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</si>
  <si>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</si>
  <si>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</si>
  <si>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</si>
  <si>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</si>
  <si>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</si>
  <si>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</si>
  <si>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</si>
  <si>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</si>
  <si>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</si>
  <si>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</si>
  <si>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</si>
  <si>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</si>
  <si>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</si>
  <si>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</si>
  <si>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</si>
  <si>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</si>
  <si>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</si>
  <si>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</si>
  <si>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</si>
  <si>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</si>
  <si>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</si>
  <si>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</si>
  <si>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</si>
  <si>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</si>
  <si>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</si>
  <si>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</si>
  <si>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</si>
  <si>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</si>
  <si>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</si>
  <si>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</si>
  <si>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</si>
  <si>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</si>
  <si>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</si>
  <si>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</si>
  <si>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</si>
  <si>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</si>
  <si>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</si>
  <si>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</si>
  <si>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</si>
  <si>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</si>
  <si>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</si>
  <si>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</si>
  <si>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</si>
  <si>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</si>
  <si>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</si>
  <si>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</si>
  <si>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</si>
  <si>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</si>
  <si>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</si>
  <si>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</si>
  <si>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</si>
  <si>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</si>
  <si>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</si>
  <si>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</si>
  <si>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</si>
  <si>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</si>
  <si>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</si>
  <si>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</si>
  <si>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</si>
  <si>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</si>
  <si>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</si>
  <si>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</si>
  <si>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</si>
  <si>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</si>
  <si>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</si>
  <si>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</si>
  <si>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</si>
  <si>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</si>
  <si>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</si>
  <si>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</si>
  <si>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</si>
  <si>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</si>
  <si>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</si>
  <si>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</si>
  <si>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</si>
  <si>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</si>
  <si>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</si>
  <si>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</si>
  <si>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</si>
  <si>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</si>
  <si>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</si>
  <si>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</si>
  <si>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</si>
  <si>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</si>
  <si>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</si>
  <si>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</si>
  <si>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</si>
  <si>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</si>
  <si>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</si>
  <si>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</si>
  <si>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</si>
  <si>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</si>
  <si>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</si>
  <si>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</si>
  <si>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</si>
  <si>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</si>
  <si>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</si>
  <si>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</si>
  <si>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</si>
  <si>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</si>
  <si>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</si>
  <si>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</si>
  <si>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</si>
  <si>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</si>
  <si>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</si>
  <si>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</si>
  <si>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</si>
  <si>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</si>
  <si>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</si>
  <si>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</si>
  <si>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</si>
  <si>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</si>
  <si>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</si>
  <si>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</si>
  <si>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</si>
  <si>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</si>
  <si>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</si>
  <si>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</si>
  <si>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</si>
  <si>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</si>
  <si>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</si>
  <si>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</si>
  <si>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</si>
  <si>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</si>
  <si>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</si>
  <si>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</si>
  <si>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</si>
  <si>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</si>
  <si>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</si>
  <si>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</si>
  <si>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</si>
  <si>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</si>
  <si>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</si>
  <si>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</si>
  <si>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</si>
  <si>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</si>
  <si>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</si>
  <si>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</si>
  <si>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</si>
  <si>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</si>
  <si>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</si>
  <si>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</si>
  <si>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</si>
  <si>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</si>
  <si>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</si>
  <si>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</si>
  <si>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</si>
  <si>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</si>
  <si>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</si>
  <si>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</si>
  <si>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</si>
  <si>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</si>
  <si>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</si>
  <si>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</si>
  <si>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</si>
  <si>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</si>
  <si>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</si>
  <si>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</si>
  <si>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</si>
  <si>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</si>
  <si>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</si>
  <si>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</si>
  <si>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</si>
  <si>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</si>
  <si>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</si>
  <si>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</si>
  <si>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</si>
  <si>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</si>
  <si>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</si>
  <si>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</si>
  <si>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</si>
  <si>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</si>
  <si>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</si>
  <si>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</si>
  <si>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</si>
  <si>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</si>
  <si>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</si>
  <si>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</si>
  <si>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</si>
  <si>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</si>
  <si>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</si>
  <si>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</si>
  <si>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</si>
  <si>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</si>
  <si>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</si>
  <si>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</si>
  <si>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</si>
  <si>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</si>
  <si>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</si>
  <si>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</si>
  <si>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</si>
  <si>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</si>
  <si>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</si>
  <si>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</si>
  <si>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</si>
  <si>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</si>
  <si>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</si>
  <si>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</si>
  <si>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</si>
  <si>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</si>
  <si>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</si>
  <si>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</si>
  <si>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</si>
  <si>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</si>
  <si>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</si>
  <si>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</si>
  <si>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</si>
  <si>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</si>
  <si>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</si>
  <si>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</si>
  <si>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</si>
  <si>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</si>
  <si>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</si>
  <si>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</si>
  <si>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</si>
  <si>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</si>
  <si>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</si>
  <si>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</si>
  <si>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</si>
  <si>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</si>
  <si>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</si>
  <si>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</si>
  <si>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</si>
  <si>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</si>
  <si>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</si>
  <si>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</si>
  <si>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</si>
  <si>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</si>
  <si>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</si>
  <si>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</si>
  <si>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</si>
  <si>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</si>
  <si>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</si>
  <si>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</si>
  <si>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</si>
  <si>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</si>
  <si>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</si>
  <si>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</si>
  <si>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</si>
  <si>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</si>
  <si>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</si>
  <si>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</si>
  <si>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</si>
  <si>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</si>
  <si>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</si>
  <si>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</si>
  <si>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</si>
  <si>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</si>
  <si>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</si>
  <si>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</si>
  <si>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</si>
  <si>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</si>
  <si>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</si>
  <si>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</si>
  <si>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</si>
  <si>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</si>
  <si>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</si>
  <si>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</si>
  <si>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</si>
  <si>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</si>
  <si>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</si>
  <si>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</si>
  <si>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</si>
  <si>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</si>
  <si>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</si>
  <si>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</si>
  <si>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</si>
  <si>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</si>
  <si>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</si>
  <si>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</si>
  <si>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</si>
  <si>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</si>
  <si>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</si>
  <si>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</si>
  <si>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</si>
  <si>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</si>
  <si>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</si>
  <si>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</si>
  <si>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</si>
  <si>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</si>
  <si>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</si>
  <si>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</si>
  <si>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</si>
  <si>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</si>
  <si>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</si>
  <si>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</si>
  <si>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</si>
  <si>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</si>
  <si>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</si>
  <si>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</si>
  <si>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</si>
  <si>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</si>
  <si>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</si>
  <si>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</si>
  <si>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</si>
  <si>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</si>
  <si>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</si>
  <si>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</si>
  <si>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</si>
  <si>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</si>
  <si>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</si>
  <si>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</si>
  <si>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</si>
  <si>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</si>
  <si>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</si>
  <si>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</si>
  <si>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</si>
  <si>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</si>
  <si>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</si>
  <si>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</si>
  <si>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</si>
  <si>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</si>
  <si>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</si>
  <si>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</si>
  <si>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</si>
  <si>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</si>
  <si>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</si>
  <si>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</si>
  <si>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</si>
  <si>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</si>
  <si>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</si>
  <si>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</si>
  <si>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</si>
  <si>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</si>
  <si>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</si>
  <si>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</si>
  <si>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</si>
  <si>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</si>
  <si>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</si>
  <si>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</si>
  <si>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</si>
  <si>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</si>
  <si>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</si>
  <si>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</si>
  <si>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</si>
  <si>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</si>
  <si>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</si>
  <si>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</si>
  <si>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</si>
  <si>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</si>
  <si>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</si>
  <si>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</si>
  <si>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</si>
  <si>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</si>
  <si>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</si>
  <si>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</si>
  <si>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</si>
  <si>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</si>
  <si>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</si>
  <si>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</si>
  <si>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</si>
  <si>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</si>
  <si>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</si>
  <si>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</si>
  <si>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</si>
  <si>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</si>
  <si>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</si>
  <si>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</si>
  <si>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</si>
  <si>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</si>
  <si>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</si>
  <si>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</si>
  <si>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</si>
  <si>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</si>
  <si>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</si>
  <si>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</si>
  <si>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</si>
  <si>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</si>
  <si>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</si>
  <si>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</si>
  <si>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</si>
  <si>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</si>
  <si>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</si>
  <si>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</si>
  <si>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</si>
  <si>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</si>
  <si>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</si>
  <si>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</si>
  <si>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</si>
  <si>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</si>
  <si>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</si>
  <si>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</si>
  <si>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</si>
  <si>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</si>
  <si>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</si>
  <si>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</si>
  <si>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</si>
  <si>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</si>
  <si>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</si>
  <si>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</si>
  <si>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</si>
  <si>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</si>
  <si>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</si>
  <si>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</si>
  <si>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</si>
  <si>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</si>
  <si>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</si>
  <si>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</si>
  <si>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</si>
  <si>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curated_internal_mainframe_propostas</t>
  </si>
  <si>
    <t>prt20_prcart</t>
  </si>
  <si>
    <t>prt20_prcart.ckbalcao = crt07_tbctatar.ckbalcao and prt20_prcart.cknumcta= crt07_tbctatar.cknumcta</t>
  </si>
  <si>
    <t>ngt14_relcta</t>
  </si>
  <si>
    <t>ngt14_relcta.ckbalcao = crt07_tbctatar.ckbalcao and ngt14_relcta.cknumcta=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</si>
  <si>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</si>
  <si>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</si>
  <si>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</si>
  <si>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</si>
  <si>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</si>
  <si>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</si>
  <si>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</si>
  <si>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</si>
  <si>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</si>
  <si>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</si>
  <si>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</si>
  <si>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crt44_tbtipfac</t>
  </si>
  <si>
    <t xml:space="preserve">crt12_tbmovext_new.crt12_indori = crt44_tbtipfac.indori and crt12_tbmovext_new.crt12_tipofacn = crt44_tbtipfac.tipofacn and crt12_tbmovext_new.crt12_indestr = crt44_tbtipfac.indestr </t>
  </si>
  <si>
    <t>crta08.codent = crt07.codent and crta08.numctatar = crt07.numctatar and crta08.numbencta = crt07.numben</t>
  </si>
  <si>
    <t>prt01_propostas</t>
  </si>
  <si>
    <t xml:space="preserve">prt01_propostas.zpropost = ngt14_relcta.zplanprop  </t>
  </si>
  <si>
    <t xml:space="preserve">prt01_propostas.zpropost = prt20_prcart.zpropost </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</si>
  <si>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</si>
  <si>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</si>
  <si>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</si>
  <si>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crt07_tbctatar.ckbalcao = tct09_opercn.ckbalcao and crt07_tbctatar.cknumcta = tct09_opercn.cknumcta</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</si>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</sst>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2">
      <filters>
        <filter val="credit_card_contract"/>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loan"/>
      </filters>
    </filterColumn>
  </autoFilter>
  <sortState xmlns:xlrd2="http://schemas.microsoft.com/office/spreadsheetml/2017/richdata2" ref="B3:I133">
    <sortCondition ref="G2:G13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zoomScale="85" zoomScaleNormal="85" workbookViewId="0">
      <selection activeCell="W510" sqref="W510"/>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hidden="1"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hidden="1"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hidden="1"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hidden="1"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hidden="1"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hidden="1"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hidden="1"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hidden="1"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hidden="1"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hidden="1"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hidden="1"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hidden="1"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hidden="1"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hidden="1"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hidden="1"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hidden="1"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hidden="1"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hidden="1"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hidden="1"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hidden="1"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hidden="1"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hidden="1"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hidden="1"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hidden="1"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hidden="1"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hidden="1"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hidden="1"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hidden="1"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hidden="1"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hidden="1"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hidden="1"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hidden="1"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hidden="1"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hidden="1"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hidden="1"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hidden="1"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hidden="1"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hidden="1"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hidden="1"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hidden="1"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hidden="1"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hidden="1"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hidden="1"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hidden="1"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hidden="1"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hidden="1"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7"/>
  <sheetViews>
    <sheetView showGridLines="0" tabSelected="1" workbookViewId="0">
      <selection activeCell="E78" sqref="E78"/>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399"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399"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hidden="1" customHeight="1">
      <c r="B61" s="52" t="s">
        <v>87</v>
      </c>
      <c r="C61" s="52" t="s">
        <v>1630</v>
      </c>
      <c r="D61" s="57" t="s">
        <v>2868</v>
      </c>
      <c r="E61" s="57" t="s">
        <v>2872</v>
      </c>
      <c r="F61" s="57" t="s">
        <v>2797</v>
      </c>
      <c r="G61" s="57" t="s">
        <v>2838</v>
      </c>
      <c r="H61" s="58" t="s">
        <v>2874</v>
      </c>
      <c r="I61" s="57" t="s">
        <v>2823</v>
      </c>
    </row>
    <row r="62" spans="2:9" ht="54" hidden="1" customHeight="1">
      <c r="B62" s="52" t="s">
        <v>87</v>
      </c>
      <c r="C62" s="52" t="s">
        <v>1630</v>
      </c>
      <c r="D62" s="52" t="s">
        <v>2868</v>
      </c>
      <c r="E62" s="52" t="s">
        <v>2872</v>
      </c>
      <c r="F62" s="52" t="s">
        <v>2868</v>
      </c>
      <c r="G62" s="52" t="s">
        <v>2879</v>
      </c>
      <c r="H62" s="56" t="s">
        <v>2880</v>
      </c>
      <c r="I62" s="52" t="s">
        <v>2792</v>
      </c>
    </row>
    <row r="63" spans="2:9" ht="55.5" hidden="1" customHeight="1">
      <c r="B63" s="52" t="s">
        <v>87</v>
      </c>
      <c r="C63" s="52" t="s">
        <v>1630</v>
      </c>
      <c r="D63" s="52" t="s">
        <v>2868</v>
      </c>
      <c r="E63" s="52" t="s">
        <v>2872</v>
      </c>
      <c r="F63" s="52" t="s">
        <v>2868</v>
      </c>
      <c r="G63" s="52" t="s">
        <v>2881</v>
      </c>
      <c r="H63" s="56" t="s">
        <v>2882</v>
      </c>
      <c r="I63" s="57" t="s">
        <v>2792</v>
      </c>
    </row>
    <row r="64" spans="2:9" ht="48" hidden="1" customHeight="1">
      <c r="B64" s="52" t="s">
        <v>87</v>
      </c>
      <c r="C64" s="52" t="s">
        <v>1630</v>
      </c>
      <c r="D64" s="52" t="s">
        <v>2868</v>
      </c>
      <c r="E64" s="52" t="s">
        <v>2872</v>
      </c>
      <c r="F64" s="52" t="s">
        <v>2868</v>
      </c>
      <c r="G64" s="52" t="s">
        <v>2883</v>
      </c>
      <c r="H64" s="56" t="s">
        <v>2884</v>
      </c>
      <c r="I64" s="57" t="s">
        <v>2792</v>
      </c>
    </row>
    <row r="65" spans="2:9" ht="56.25" hidden="1" customHeight="1">
      <c r="B65" s="52" t="s">
        <v>87</v>
      </c>
      <c r="C65" s="52" t="s">
        <v>1630</v>
      </c>
      <c r="D65" s="57" t="s">
        <v>2868</v>
      </c>
      <c r="E65" s="57" t="s">
        <v>2883</v>
      </c>
      <c r="F65" s="57" t="s">
        <v>2885</v>
      </c>
      <c r="G65" s="57" t="s">
        <v>2886</v>
      </c>
      <c r="H65" s="58" t="s">
        <v>2887</v>
      </c>
      <c r="I65" s="57" t="s">
        <v>2792</v>
      </c>
    </row>
    <row r="66" spans="2:9" ht="54" hidden="1" customHeight="1">
      <c r="B66" s="52" t="s">
        <v>87</v>
      </c>
      <c r="C66" s="52" t="s">
        <v>1630</v>
      </c>
      <c r="D66" s="57" t="s">
        <v>2885</v>
      </c>
      <c r="E66" s="57" t="s">
        <v>2886</v>
      </c>
      <c r="F66" s="57" t="s">
        <v>2797</v>
      </c>
      <c r="G66" s="57" t="s">
        <v>2838</v>
      </c>
      <c r="H66" s="58" t="s">
        <v>2888</v>
      </c>
      <c r="I66" s="57" t="s">
        <v>2792</v>
      </c>
    </row>
    <row r="67" spans="2:9" ht="40.5" hidden="1" customHeight="1">
      <c r="B67" s="57" t="s">
        <v>29</v>
      </c>
      <c r="C67" s="57" t="s">
        <v>34</v>
      </c>
      <c r="D67" s="57" t="s">
        <v>2868</v>
      </c>
      <c r="E67" s="57" t="s">
        <v>2872</v>
      </c>
      <c r="F67" s="57" t="s">
        <v>2849</v>
      </c>
      <c r="G67" s="57" t="s">
        <v>2850</v>
      </c>
      <c r="H67" s="58" t="s">
        <v>2889</v>
      </c>
      <c r="I67" s="52" t="s">
        <v>2792</v>
      </c>
    </row>
    <row r="68" spans="2:9" ht="47.25" hidden="1" customHeight="1">
      <c r="B68" s="57" t="s">
        <v>29</v>
      </c>
      <c r="C68" s="57" t="s">
        <v>34</v>
      </c>
      <c r="D68" s="57" t="s">
        <v>2868</v>
      </c>
      <c r="E68" s="57" t="s">
        <v>2890</v>
      </c>
      <c r="F68" s="57" t="s">
        <v>2868</v>
      </c>
      <c r="G68" s="57" t="s">
        <v>2872</v>
      </c>
      <c r="H68" s="58" t="s">
        <v>2891</v>
      </c>
      <c r="I68" s="52" t="s">
        <v>2823</v>
      </c>
    </row>
    <row r="69" spans="2:9" ht="37.5" hidden="1" customHeight="1">
      <c r="B69" s="57" t="s">
        <v>29</v>
      </c>
      <c r="C69" s="57" t="s">
        <v>34</v>
      </c>
      <c r="D69" s="399" t="s">
        <v>2892</v>
      </c>
      <c r="E69" s="399" t="s">
        <v>2893</v>
      </c>
      <c r="F69" s="57" t="s">
        <v>2868</v>
      </c>
      <c r="G69" s="57" t="s">
        <v>2872</v>
      </c>
      <c r="H69" s="401" t="s">
        <v>2894</v>
      </c>
      <c r="I69" s="402" t="s">
        <v>2792</v>
      </c>
    </row>
    <row r="70" spans="2:9" ht="42.75" hidden="1" customHeight="1">
      <c r="B70" s="57" t="s">
        <v>29</v>
      </c>
      <c r="C70" s="57" t="s">
        <v>34</v>
      </c>
      <c r="D70" s="399" t="s">
        <v>2892</v>
      </c>
      <c r="E70" s="399" t="s">
        <v>2895</v>
      </c>
      <c r="F70" s="57" t="s">
        <v>2868</v>
      </c>
      <c r="G70" s="57" t="s">
        <v>2872</v>
      </c>
      <c r="H70" s="401" t="s">
        <v>2896</v>
      </c>
      <c r="I70" s="402" t="s">
        <v>2792</v>
      </c>
    </row>
    <row r="71" spans="2:9" ht="43.5" hidden="1" customHeight="1">
      <c r="B71" s="57" t="s">
        <v>29</v>
      </c>
      <c r="C71" s="57" t="s">
        <v>34</v>
      </c>
      <c r="D71" s="57" t="s">
        <v>2868</v>
      </c>
      <c r="E71" s="57" t="s">
        <v>2872</v>
      </c>
      <c r="F71" s="57" t="s">
        <v>2868</v>
      </c>
      <c r="G71" s="57" t="s">
        <v>2897</v>
      </c>
      <c r="H71" s="58" t="s">
        <v>2898</v>
      </c>
      <c r="I71" s="52" t="s">
        <v>2792</v>
      </c>
    </row>
    <row r="72" spans="2:9" ht="50.25" hidden="1" customHeight="1">
      <c r="B72" s="57" t="s">
        <v>29</v>
      </c>
      <c r="C72" s="57" t="s">
        <v>34</v>
      </c>
      <c r="D72" s="57" t="s">
        <v>2868</v>
      </c>
      <c r="E72" s="57" t="s">
        <v>2872</v>
      </c>
      <c r="F72" s="57" t="s">
        <v>2868</v>
      </c>
      <c r="G72" s="57" t="s">
        <v>2899</v>
      </c>
      <c r="H72" s="58" t="s">
        <v>2900</v>
      </c>
      <c r="I72" s="52" t="s">
        <v>2792</v>
      </c>
    </row>
    <row r="73" spans="2:9" ht="57.75" hidden="1" customHeight="1">
      <c r="B73" s="57" t="s">
        <v>29</v>
      </c>
      <c r="C73" s="57" t="s">
        <v>34</v>
      </c>
      <c r="D73" s="57" t="s">
        <v>2868</v>
      </c>
      <c r="E73" s="57" t="s">
        <v>2872</v>
      </c>
      <c r="F73" s="57" t="s">
        <v>2868</v>
      </c>
      <c r="G73" s="57" t="s">
        <v>2901</v>
      </c>
      <c r="H73" s="58" t="s">
        <v>2902</v>
      </c>
      <c r="I73" s="52" t="s">
        <v>2792</v>
      </c>
    </row>
    <row r="74" spans="2:9" ht="45" hidden="1" customHeight="1">
      <c r="B74" s="57" t="s">
        <v>29</v>
      </c>
      <c r="C74" s="57" t="s">
        <v>34</v>
      </c>
      <c r="D74" s="57" t="s">
        <v>2868</v>
      </c>
      <c r="E74" s="57" t="s">
        <v>2872</v>
      </c>
      <c r="F74" s="57" t="s">
        <v>2868</v>
      </c>
      <c r="G74" s="57" t="s">
        <v>2881</v>
      </c>
      <c r="H74" s="58" t="s">
        <v>2903</v>
      </c>
      <c r="I74" s="52" t="s">
        <v>2792</v>
      </c>
    </row>
    <row r="75" spans="2:9" ht="39" hidden="1" customHeight="1">
      <c r="B75" s="57" t="s">
        <v>29</v>
      </c>
      <c r="C75" s="57" t="s">
        <v>34</v>
      </c>
      <c r="D75" s="57" t="s">
        <v>2868</v>
      </c>
      <c r="E75" s="57" t="s">
        <v>2890</v>
      </c>
      <c r="F75" s="57" t="s">
        <v>2868</v>
      </c>
      <c r="G75" s="57" t="s">
        <v>2904</v>
      </c>
      <c r="H75" s="58" t="s">
        <v>2905</v>
      </c>
      <c r="I75" s="52" t="s">
        <v>2792</v>
      </c>
    </row>
    <row r="76" spans="2:9" ht="39" hidden="1" customHeight="1">
      <c r="B76" s="57" t="s">
        <v>29</v>
      </c>
      <c r="C76" s="57" t="s">
        <v>34</v>
      </c>
      <c r="D76" s="57" t="s">
        <v>2868</v>
      </c>
      <c r="E76" s="57" t="s">
        <v>2872</v>
      </c>
      <c r="F76" s="57" t="s">
        <v>2868</v>
      </c>
      <c r="G76" s="57" t="s">
        <v>2906</v>
      </c>
      <c r="H76" s="58" t="s">
        <v>2907</v>
      </c>
      <c r="I76" s="52" t="s">
        <v>2792</v>
      </c>
    </row>
    <row r="77" spans="2:9" ht="39" hidden="1" customHeight="1">
      <c r="B77" s="57" t="s">
        <v>29</v>
      </c>
      <c r="C77" s="57" t="s">
        <v>34</v>
      </c>
      <c r="D77" s="57" t="s">
        <v>2868</v>
      </c>
      <c r="E77" s="57" t="s">
        <v>2899</v>
      </c>
      <c r="F77" s="57" t="s">
        <v>2868</v>
      </c>
      <c r="G77" s="402" t="s">
        <v>2908</v>
      </c>
      <c r="H77" s="400" t="s">
        <v>2909</v>
      </c>
      <c r="I77" s="52" t="s">
        <v>2792</v>
      </c>
    </row>
    <row r="78" spans="2:9" ht="47.25" hidden="1" customHeight="1">
      <c r="B78" s="57" t="s">
        <v>29</v>
      </c>
      <c r="C78" s="57" t="s">
        <v>34</v>
      </c>
      <c r="D78" s="57" t="s">
        <v>2868</v>
      </c>
      <c r="E78" s="57" t="s">
        <v>2872</v>
      </c>
      <c r="F78" s="57" t="s">
        <v>2868</v>
      </c>
      <c r="G78" s="57" t="s">
        <v>2879</v>
      </c>
      <c r="H78" s="58" t="s">
        <v>2910</v>
      </c>
      <c r="I78" s="52" t="s">
        <v>2792</v>
      </c>
    </row>
    <row r="79" spans="2:9" ht="44.25" hidden="1" customHeight="1">
      <c r="B79" s="57" t="s">
        <v>29</v>
      </c>
      <c r="C79" s="57" t="s">
        <v>34</v>
      </c>
      <c r="D79" s="399" t="s">
        <v>2892</v>
      </c>
      <c r="E79" s="399" t="s">
        <v>2911</v>
      </c>
      <c r="F79" s="399" t="s">
        <v>2892</v>
      </c>
      <c r="G79" s="399" t="s">
        <v>2895</v>
      </c>
      <c r="H79" s="401" t="s">
        <v>2912</v>
      </c>
      <c r="I79" s="402" t="s">
        <v>2792</v>
      </c>
    </row>
    <row r="80" spans="2:9" ht="44.25" hidden="1" customHeight="1">
      <c r="B80" s="57" t="s">
        <v>29</v>
      </c>
      <c r="C80" s="57" t="s">
        <v>34</v>
      </c>
      <c r="D80" s="402" t="s">
        <v>2892</v>
      </c>
      <c r="E80" s="402" t="s">
        <v>2893</v>
      </c>
      <c r="F80" s="402" t="s">
        <v>2892</v>
      </c>
      <c r="G80" s="402" t="s">
        <v>2911</v>
      </c>
      <c r="H80" s="400" t="s">
        <v>2913</v>
      </c>
      <c r="I80" s="402" t="s">
        <v>2792</v>
      </c>
    </row>
    <row r="81" spans="2:9" ht="44.25" hidden="1" customHeight="1">
      <c r="B81" s="57" t="s">
        <v>29</v>
      </c>
      <c r="C81" s="57" t="s">
        <v>34</v>
      </c>
      <c r="D81" s="52" t="s">
        <v>2868</v>
      </c>
      <c r="E81" s="52" t="s">
        <v>2872</v>
      </c>
      <c r="F81" s="57" t="s">
        <v>2797</v>
      </c>
      <c r="G81" s="57" t="s">
        <v>2838</v>
      </c>
      <c r="H81" s="56" t="s">
        <v>2914</v>
      </c>
      <c r="I81" s="402" t="s">
        <v>2823</v>
      </c>
    </row>
    <row r="82" spans="2:9" ht="44.25" hidden="1" customHeight="1">
      <c r="B82" s="57" t="s">
        <v>29</v>
      </c>
      <c r="C82" s="57" t="s">
        <v>34</v>
      </c>
      <c r="D82" s="52" t="s">
        <v>2808</v>
      </c>
      <c r="E82" s="52" t="s">
        <v>2833</v>
      </c>
      <c r="F82" s="52" t="s">
        <v>2797</v>
      </c>
      <c r="G82" s="52" t="s">
        <v>2838</v>
      </c>
      <c r="H82" s="56" t="s">
        <v>2915</v>
      </c>
      <c r="I82" s="52" t="s">
        <v>2792</v>
      </c>
    </row>
    <row r="83" spans="2:9" ht="44.25" hidden="1" customHeight="1">
      <c r="B83" s="57" t="s">
        <v>29</v>
      </c>
      <c r="C83" s="57" t="s">
        <v>34</v>
      </c>
      <c r="D83" s="52" t="s">
        <v>2808</v>
      </c>
      <c r="E83" s="52" t="s">
        <v>2833</v>
      </c>
      <c r="F83" s="57" t="s">
        <v>2808</v>
      </c>
      <c r="G83" s="57" t="s">
        <v>2810</v>
      </c>
      <c r="H83" s="56" t="s">
        <v>2916</v>
      </c>
      <c r="I83" s="52" t="s">
        <v>2792</v>
      </c>
    </row>
    <row r="84" spans="2:9" ht="39" hidden="1" customHeight="1">
      <c r="B84" s="57" t="s">
        <v>29</v>
      </c>
      <c r="C84" s="57" t="s">
        <v>34</v>
      </c>
      <c r="D84" s="57" t="s">
        <v>2868</v>
      </c>
      <c r="E84" s="57" t="s">
        <v>2872</v>
      </c>
      <c r="F84" s="57" t="s">
        <v>2808</v>
      </c>
      <c r="G84" s="57" t="s">
        <v>2833</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customHeight="1">
      <c r="B89" s="57" t="s">
        <v>82</v>
      </c>
      <c r="C89" s="57" t="s">
        <v>2167</v>
      </c>
      <c r="D89" s="57" t="s">
        <v>2925</v>
      </c>
      <c r="E89" s="57" t="s">
        <v>2926</v>
      </c>
      <c r="F89" s="57" t="s">
        <v>2797</v>
      </c>
      <c r="G89" s="57" t="s">
        <v>2798</v>
      </c>
      <c r="H89" s="58" t="s">
        <v>2927</v>
      </c>
      <c r="I89" s="52" t="s">
        <v>2792</v>
      </c>
    </row>
    <row r="90" spans="2:9" ht="71.25" customHeight="1">
      <c r="B90" s="57" t="s">
        <v>82</v>
      </c>
      <c r="C90" s="57" t="s">
        <v>2167</v>
      </c>
      <c r="D90" s="57" t="s">
        <v>2797</v>
      </c>
      <c r="E90" s="57" t="s">
        <v>2806</v>
      </c>
      <c r="F90" s="57" t="s">
        <v>2797</v>
      </c>
      <c r="G90" s="57" t="s">
        <v>2798</v>
      </c>
      <c r="H90" s="58" t="s">
        <v>2928</v>
      </c>
      <c r="I90" s="52" t="s">
        <v>2792</v>
      </c>
    </row>
    <row r="91" spans="2:9" ht="71.25" customHeight="1">
      <c r="B91" s="57" t="s">
        <v>82</v>
      </c>
      <c r="C91" s="57" t="s">
        <v>2167</v>
      </c>
      <c r="D91" s="57" t="s">
        <v>2925</v>
      </c>
      <c r="E91" s="57" t="s">
        <v>2926</v>
      </c>
      <c r="F91" s="57" t="s">
        <v>2925</v>
      </c>
      <c r="G91" s="52" t="s">
        <v>2929</v>
      </c>
      <c r="H91" s="56" t="s">
        <v>2930</v>
      </c>
      <c r="I91" s="52" t="s">
        <v>2792</v>
      </c>
    </row>
    <row r="92" spans="2:9" ht="49.5" customHeight="1">
      <c r="B92" s="57" t="s">
        <v>82</v>
      </c>
      <c r="C92" s="57" t="s">
        <v>2167</v>
      </c>
      <c r="D92" s="57" t="s">
        <v>2925</v>
      </c>
      <c r="E92" s="57" t="s">
        <v>2926</v>
      </c>
      <c r="F92" s="57" t="s">
        <v>2925</v>
      </c>
      <c r="G92" s="57" t="s">
        <v>2931</v>
      </c>
      <c r="H92" s="58" t="s">
        <v>2932</v>
      </c>
      <c r="I92" s="52" t="s">
        <v>2792</v>
      </c>
    </row>
    <row r="93" spans="2:9" ht="51.75" customHeight="1">
      <c r="B93" s="57" t="s">
        <v>82</v>
      </c>
      <c r="C93" s="57" t="s">
        <v>2167</v>
      </c>
      <c r="D93" s="57" t="s">
        <v>2925</v>
      </c>
      <c r="E93" s="57" t="s">
        <v>2926</v>
      </c>
      <c r="F93" s="57" t="s">
        <v>2925</v>
      </c>
      <c r="G93" s="57" t="s">
        <v>2933</v>
      </c>
      <c r="H93" s="58" t="s">
        <v>2934</v>
      </c>
      <c r="I93" s="52" t="s">
        <v>2792</v>
      </c>
    </row>
    <row r="94" spans="2:9" ht="50.25" customHeight="1">
      <c r="B94" s="57" t="s">
        <v>82</v>
      </c>
      <c r="C94" s="57" t="s">
        <v>2167</v>
      </c>
      <c r="D94" s="57" t="s">
        <v>2925</v>
      </c>
      <c r="E94" s="57" t="s">
        <v>2926</v>
      </c>
      <c r="F94" s="57" t="s">
        <v>2925</v>
      </c>
      <c r="G94" s="57" t="s">
        <v>2935</v>
      </c>
      <c r="H94" s="58" t="s">
        <v>2936</v>
      </c>
      <c r="I94" s="52" t="s">
        <v>2792</v>
      </c>
    </row>
    <row r="95" spans="2:9" ht="69.75" customHeight="1">
      <c r="B95" s="57" t="s">
        <v>82</v>
      </c>
      <c r="C95" s="57" t="s">
        <v>2167</v>
      </c>
      <c r="D95" s="57" t="s">
        <v>2925</v>
      </c>
      <c r="E95" s="57" t="s">
        <v>2935</v>
      </c>
      <c r="F95" s="57" t="s">
        <v>2925</v>
      </c>
      <c r="G95" s="57" t="s">
        <v>2937</v>
      </c>
      <c r="H95" s="58" t="s">
        <v>2938</v>
      </c>
      <c r="I95" s="52" t="s">
        <v>2792</v>
      </c>
    </row>
    <row r="96" spans="2:9" ht="59.25" customHeight="1">
      <c r="B96" s="57" t="s">
        <v>82</v>
      </c>
      <c r="C96" s="57" t="s">
        <v>2167</v>
      </c>
      <c r="D96" s="57" t="s">
        <v>2925</v>
      </c>
      <c r="E96" s="57" t="s">
        <v>2939</v>
      </c>
      <c r="F96" s="57" t="s">
        <v>2925</v>
      </c>
      <c r="G96" s="57" t="s">
        <v>2940</v>
      </c>
      <c r="H96" s="58" t="s">
        <v>2941</v>
      </c>
      <c r="I96" s="52" t="s">
        <v>2792</v>
      </c>
    </row>
    <row r="97" spans="2:9" ht="91.5" customHeight="1">
      <c r="B97" s="57" t="s">
        <v>82</v>
      </c>
      <c r="C97" s="57" t="s">
        <v>2167</v>
      </c>
      <c r="D97" s="57" t="s">
        <v>2925</v>
      </c>
      <c r="E97" s="57" t="s">
        <v>2939</v>
      </c>
      <c r="F97" s="57" t="s">
        <v>2925</v>
      </c>
      <c r="G97" s="57" t="s">
        <v>2942</v>
      </c>
      <c r="H97" s="58" t="s">
        <v>2943</v>
      </c>
      <c r="I97" s="52" t="s">
        <v>2792</v>
      </c>
    </row>
    <row r="98" spans="2:9" ht="58.5" customHeight="1">
      <c r="B98" s="57" t="s">
        <v>82</v>
      </c>
      <c r="C98" s="57" t="s">
        <v>2167</v>
      </c>
      <c r="D98" s="57" t="s">
        <v>2925</v>
      </c>
      <c r="E98" s="57" t="s">
        <v>2939</v>
      </c>
      <c r="F98" s="57" t="s">
        <v>2925</v>
      </c>
      <c r="G98" s="57" t="s">
        <v>2944</v>
      </c>
      <c r="H98" s="58" t="s">
        <v>2945</v>
      </c>
      <c r="I98" s="52" t="s">
        <v>2792</v>
      </c>
    </row>
    <row r="99" spans="2:9" ht="64.5" customHeight="1">
      <c r="B99" s="57" t="s">
        <v>82</v>
      </c>
      <c r="C99" s="57" t="s">
        <v>2167</v>
      </c>
      <c r="D99" s="57" t="s">
        <v>2925</v>
      </c>
      <c r="E99" s="57" t="s">
        <v>2939</v>
      </c>
      <c r="F99" s="57" t="s">
        <v>2925</v>
      </c>
      <c r="G99" s="57" t="s">
        <v>2946</v>
      </c>
      <c r="H99" s="58" t="s">
        <v>2947</v>
      </c>
      <c r="I99" s="52" t="s">
        <v>2792</v>
      </c>
    </row>
    <row r="100" spans="2:9" ht="76.5" customHeight="1">
      <c r="B100" s="57" t="s">
        <v>82</v>
      </c>
      <c r="C100" s="57" t="s">
        <v>2167</v>
      </c>
      <c r="D100" s="57" t="s">
        <v>2925</v>
      </c>
      <c r="E100" s="57" t="s">
        <v>2939</v>
      </c>
      <c r="F100" s="57" t="s">
        <v>2925</v>
      </c>
      <c r="G100" s="57" t="s">
        <v>2948</v>
      </c>
      <c r="H100" s="58" t="s">
        <v>2949</v>
      </c>
      <c r="I100" s="52" t="s">
        <v>2792</v>
      </c>
    </row>
    <row r="101" spans="2:9" ht="51" customHeight="1">
      <c r="B101" s="57" t="s">
        <v>82</v>
      </c>
      <c r="C101" s="57" t="s">
        <v>2167</v>
      </c>
      <c r="D101" s="57" t="s">
        <v>2925</v>
      </c>
      <c r="E101" s="57" t="s">
        <v>2939</v>
      </c>
      <c r="F101" s="57" t="s">
        <v>2925</v>
      </c>
      <c r="G101" s="57" t="s">
        <v>2950</v>
      </c>
      <c r="H101" s="58" t="s">
        <v>2951</v>
      </c>
      <c r="I101" s="52" t="s">
        <v>2792</v>
      </c>
    </row>
    <row r="102" spans="2:9" ht="70.5" customHeight="1">
      <c r="B102" s="57" t="s">
        <v>82</v>
      </c>
      <c r="C102" s="57" t="s">
        <v>2167</v>
      </c>
      <c r="D102" s="57" t="s">
        <v>2797</v>
      </c>
      <c r="E102" s="57" t="s">
        <v>2798</v>
      </c>
      <c r="F102" s="57" t="s">
        <v>2925</v>
      </c>
      <c r="G102" s="57" t="s">
        <v>2952</v>
      </c>
      <c r="H102" s="58" t="s">
        <v>2953</v>
      </c>
      <c r="I102" s="52" t="s">
        <v>2792</v>
      </c>
    </row>
    <row r="103" spans="2:9" ht="51.75" customHeight="1">
      <c r="B103" s="57" t="s">
        <v>82</v>
      </c>
      <c r="C103" s="57" t="s">
        <v>2167</v>
      </c>
      <c r="D103" s="57" t="s">
        <v>2925</v>
      </c>
      <c r="E103" s="57" t="s">
        <v>2926</v>
      </c>
      <c r="F103" s="57" t="s">
        <v>2925</v>
      </c>
      <c r="G103" s="57" t="s">
        <v>2954</v>
      </c>
      <c r="H103" s="58" t="s">
        <v>2955</v>
      </c>
      <c r="I103" s="52" t="s">
        <v>2792</v>
      </c>
    </row>
    <row r="104" spans="2:9" ht="89.25" customHeight="1">
      <c r="B104" s="57" t="s">
        <v>82</v>
      </c>
      <c r="C104" s="57" t="s">
        <v>2167</v>
      </c>
      <c r="D104" s="57" t="s">
        <v>2892</v>
      </c>
      <c r="E104" s="57" t="s">
        <v>2956</v>
      </c>
      <c r="F104" s="57" t="s">
        <v>2892</v>
      </c>
      <c r="G104" s="57" t="s">
        <v>2911</v>
      </c>
      <c r="H104" s="58" t="s">
        <v>2957</v>
      </c>
      <c r="I104" s="52" t="s">
        <v>2792</v>
      </c>
    </row>
    <row r="105" spans="2:9" ht="69.75" customHeight="1">
      <c r="B105" s="57" t="s">
        <v>82</v>
      </c>
      <c r="C105" s="57" t="s">
        <v>2167</v>
      </c>
      <c r="D105" s="57" t="s">
        <v>2925</v>
      </c>
      <c r="E105" s="57" t="s">
        <v>2939</v>
      </c>
      <c r="F105" s="57" t="s">
        <v>2892</v>
      </c>
      <c r="G105" s="57" t="s">
        <v>2956</v>
      </c>
      <c r="H105" s="58" t="s">
        <v>2958</v>
      </c>
      <c r="I105" s="52" t="s">
        <v>2792</v>
      </c>
    </row>
    <row r="106" spans="2:9" ht="72.75" customHeight="1">
      <c r="B106" s="57" t="s">
        <v>82</v>
      </c>
      <c r="C106" s="57" t="s">
        <v>2167</v>
      </c>
      <c r="D106" s="57" t="s">
        <v>2797</v>
      </c>
      <c r="E106" s="57" t="s">
        <v>2798</v>
      </c>
      <c r="F106" s="57" t="s">
        <v>2892</v>
      </c>
      <c r="G106" s="57" t="s">
        <v>2956</v>
      </c>
      <c r="H106" s="58" t="s">
        <v>2959</v>
      </c>
      <c r="I106" s="52" t="s">
        <v>2792</v>
      </c>
    </row>
    <row r="107" spans="2:9" ht="83.25" customHeight="1">
      <c r="B107" s="57" t="s">
        <v>82</v>
      </c>
      <c r="C107" s="57" t="s">
        <v>2167</v>
      </c>
      <c r="D107" s="57" t="s">
        <v>2925</v>
      </c>
      <c r="E107" s="57" t="s">
        <v>2926</v>
      </c>
      <c r="F107" s="57" t="s">
        <v>2797</v>
      </c>
      <c r="G107" s="57" t="s">
        <v>2806</v>
      </c>
      <c r="H107" s="58" t="s">
        <v>2960</v>
      </c>
      <c r="I107" s="52" t="s">
        <v>2792</v>
      </c>
    </row>
    <row r="108" spans="2:9" ht="78" customHeight="1">
      <c r="B108" s="57" t="s">
        <v>82</v>
      </c>
      <c r="C108" s="57" t="s">
        <v>2167</v>
      </c>
      <c r="D108" s="57" t="s">
        <v>2925</v>
      </c>
      <c r="E108" s="57" t="s">
        <v>2926</v>
      </c>
      <c r="F108" s="57" t="s">
        <v>2797</v>
      </c>
      <c r="G108" s="57" t="s">
        <v>2802</v>
      </c>
      <c r="H108" s="58" t="s">
        <v>2961</v>
      </c>
      <c r="I108" s="52" t="s">
        <v>2792</v>
      </c>
    </row>
    <row r="109" spans="2:9" ht="66.75" customHeight="1">
      <c r="B109" s="57" t="s">
        <v>82</v>
      </c>
      <c r="C109" s="57" t="s">
        <v>2167</v>
      </c>
      <c r="D109" s="57" t="s">
        <v>2925</v>
      </c>
      <c r="E109" s="57" t="s">
        <v>2926</v>
      </c>
      <c r="F109" s="57" t="s">
        <v>2797</v>
      </c>
      <c r="G109" s="57" t="s">
        <v>2800</v>
      </c>
      <c r="H109" s="58" t="s">
        <v>2962</v>
      </c>
      <c r="I109" s="52" t="s">
        <v>2792</v>
      </c>
    </row>
    <row r="110" spans="2:9" ht="69" customHeight="1">
      <c r="B110" s="57" t="s">
        <v>82</v>
      </c>
      <c r="C110" s="57" t="s">
        <v>2167</v>
      </c>
      <c r="D110" s="57" t="s">
        <v>2925</v>
      </c>
      <c r="E110" s="57" t="s">
        <v>2954</v>
      </c>
      <c r="F110" s="57" t="s">
        <v>2797</v>
      </c>
      <c r="G110" s="57" t="s">
        <v>2963</v>
      </c>
      <c r="H110" s="58" t="s">
        <v>2964</v>
      </c>
      <c r="I110" s="52" t="s">
        <v>2792</v>
      </c>
    </row>
    <row r="111" spans="2:9" ht="63" customHeight="1">
      <c r="B111" s="57" t="s">
        <v>82</v>
      </c>
      <c r="C111" s="57" t="s">
        <v>2167</v>
      </c>
      <c r="D111" s="57" t="s">
        <v>2808</v>
      </c>
      <c r="E111" s="57" t="s">
        <v>2833</v>
      </c>
      <c r="F111" s="57" t="s">
        <v>2808</v>
      </c>
      <c r="G111" s="57" t="s">
        <v>2810</v>
      </c>
      <c r="H111" s="58" t="s">
        <v>2965</v>
      </c>
      <c r="I111" s="52" t="s">
        <v>2792</v>
      </c>
    </row>
    <row r="112" spans="2:9" ht="78" customHeight="1">
      <c r="B112" s="57" t="s">
        <v>82</v>
      </c>
      <c r="C112" s="57" t="s">
        <v>2167</v>
      </c>
      <c r="D112" s="57" t="s">
        <v>2925</v>
      </c>
      <c r="E112" s="57" t="s">
        <v>2939</v>
      </c>
      <c r="F112" s="57" t="s">
        <v>2808</v>
      </c>
      <c r="G112" s="57" t="s">
        <v>2833</v>
      </c>
      <c r="H112" s="58" t="s">
        <v>2966</v>
      </c>
      <c r="I112" s="52" t="s">
        <v>2792</v>
      </c>
    </row>
    <row r="113" spans="2:9" ht="66" customHeight="1">
      <c r="B113" s="57" t="s">
        <v>82</v>
      </c>
      <c r="C113" s="57" t="s">
        <v>2167</v>
      </c>
      <c r="D113" s="57" t="s">
        <v>2797</v>
      </c>
      <c r="E113" s="57" t="s">
        <v>2798</v>
      </c>
      <c r="F113" s="57" t="s">
        <v>2808</v>
      </c>
      <c r="G113" s="57" t="s">
        <v>2833</v>
      </c>
      <c r="H113" s="58" t="s">
        <v>2967</v>
      </c>
      <c r="I113" s="52" t="s">
        <v>2792</v>
      </c>
    </row>
    <row r="114" spans="2:9" ht="39.75" hidden="1" customHeight="1">
      <c r="B114" s="57" t="s">
        <v>19</v>
      </c>
      <c r="C114" s="57" t="s">
        <v>20</v>
      </c>
      <c r="D114" s="57" t="s">
        <v>2808</v>
      </c>
      <c r="E114" s="57" t="s">
        <v>2809</v>
      </c>
      <c r="F114" s="52" t="s">
        <v>2808</v>
      </c>
      <c r="G114" s="57" t="s">
        <v>2810</v>
      </c>
      <c r="H114" s="58" t="s">
        <v>2811</v>
      </c>
      <c r="I114" s="56" t="s">
        <v>2792</v>
      </c>
    </row>
    <row r="115" spans="2:9" ht="69" hidden="1" customHeight="1">
      <c r="B115" s="57" t="s">
        <v>19</v>
      </c>
      <c r="C115" s="57" t="s">
        <v>20</v>
      </c>
      <c r="D115" s="57" t="s">
        <v>2808</v>
      </c>
      <c r="E115" s="57" t="s">
        <v>2809</v>
      </c>
      <c r="F115" s="57" t="s">
        <v>2797</v>
      </c>
      <c r="G115" s="57" t="s">
        <v>2838</v>
      </c>
      <c r="H115" s="58" t="s">
        <v>2839</v>
      </c>
      <c r="I115" s="57" t="s">
        <v>2792</v>
      </c>
    </row>
    <row r="116" spans="2:9" ht="63" hidden="1" customHeight="1">
      <c r="B116" s="57" t="s">
        <v>77</v>
      </c>
      <c r="C116" s="52" t="s">
        <v>2385</v>
      </c>
      <c r="D116" s="57" t="s">
        <v>2818</v>
      </c>
      <c r="E116" s="57" t="s">
        <v>2819</v>
      </c>
      <c r="F116" s="52" t="s">
        <v>2808</v>
      </c>
      <c r="G116" s="52" t="s">
        <v>2809</v>
      </c>
      <c r="H116" s="58" t="s">
        <v>2861</v>
      </c>
      <c r="I116" s="56" t="s">
        <v>2792</v>
      </c>
    </row>
    <row r="117" spans="2:9" ht="69.75" hidden="1" customHeight="1">
      <c r="B117" s="57" t="s">
        <v>77</v>
      </c>
      <c r="C117" s="57" t="s">
        <v>2385</v>
      </c>
      <c r="D117" s="57" t="s">
        <v>2797</v>
      </c>
      <c r="E117" s="57" t="s">
        <v>2968</v>
      </c>
      <c r="F117" s="57" t="s">
        <v>2818</v>
      </c>
      <c r="G117" s="57" t="s">
        <v>2819</v>
      </c>
      <c r="H117" s="58" t="s">
        <v>2969</v>
      </c>
      <c r="I117" s="56" t="s">
        <v>2792</v>
      </c>
    </row>
    <row r="118" spans="2:9" ht="46.5" hidden="1" customHeight="1">
      <c r="B118" s="57" t="s">
        <v>77</v>
      </c>
      <c r="C118" s="57" t="s">
        <v>2385</v>
      </c>
      <c r="D118" s="57" t="s">
        <v>2797</v>
      </c>
      <c r="E118" s="57" t="s">
        <v>2806</v>
      </c>
      <c r="F118" s="57" t="s">
        <v>2797</v>
      </c>
      <c r="G118" s="57" t="s">
        <v>2968</v>
      </c>
      <c r="H118" s="58" t="s">
        <v>2970</v>
      </c>
      <c r="I118" s="56" t="s">
        <v>2792</v>
      </c>
    </row>
    <row r="119" spans="2:9" hidden="1">
      <c r="B119" s="57" t="s">
        <v>77</v>
      </c>
      <c r="C119" s="57" t="s">
        <v>2385</v>
      </c>
      <c r="D119" s="57" t="s">
        <v>2808</v>
      </c>
      <c r="E119" s="57" t="s">
        <v>2809</v>
      </c>
      <c r="F119" s="57" t="s">
        <v>2808</v>
      </c>
      <c r="G119" s="57" t="s">
        <v>2810</v>
      </c>
      <c r="H119" s="58" t="s">
        <v>2811</v>
      </c>
      <c r="I119" s="56" t="s">
        <v>2792</v>
      </c>
    </row>
    <row r="120" spans="2:9" ht="48.75" hidden="1" customHeight="1">
      <c r="B120" s="57" t="s">
        <v>104</v>
      </c>
      <c r="C120" s="52" t="s">
        <v>2447</v>
      </c>
      <c r="D120" s="57" t="s">
        <v>2818</v>
      </c>
      <c r="E120" s="57" t="s">
        <v>2819</v>
      </c>
      <c r="F120" s="52" t="s">
        <v>2808</v>
      </c>
      <c r="G120" s="52" t="s">
        <v>2809</v>
      </c>
      <c r="H120" s="58" t="s">
        <v>2861</v>
      </c>
      <c r="I120" s="56" t="s">
        <v>2792</v>
      </c>
    </row>
    <row r="121" spans="2:9" hidden="1">
      <c r="B121" s="57" t="s">
        <v>104</v>
      </c>
      <c r="C121" s="52" t="s">
        <v>2447</v>
      </c>
      <c r="D121" s="57" t="s">
        <v>2808</v>
      </c>
      <c r="E121" s="57" t="s">
        <v>2809</v>
      </c>
      <c r="F121" s="57" t="s">
        <v>2808</v>
      </c>
      <c r="G121" s="57" t="s">
        <v>2810</v>
      </c>
      <c r="H121" s="58" t="s">
        <v>2811</v>
      </c>
      <c r="I121" s="57" t="s">
        <v>2792</v>
      </c>
    </row>
    <row r="122" spans="2:9" ht="53.25" hidden="1" customHeight="1">
      <c r="B122" s="57" t="s">
        <v>72</v>
      </c>
      <c r="C122" s="52" t="s">
        <v>73</v>
      </c>
      <c r="D122" s="57" t="s">
        <v>2971</v>
      </c>
      <c r="E122" s="57" t="s">
        <v>2972</v>
      </c>
      <c r="F122" s="57" t="s">
        <v>2892</v>
      </c>
      <c r="G122" s="57" t="s">
        <v>2911</v>
      </c>
      <c r="H122" s="58" t="s">
        <v>2973</v>
      </c>
      <c r="I122" s="51"/>
    </row>
    <row r="123" spans="2:9" hidden="1">
      <c r="B123" s="57" t="s">
        <v>4</v>
      </c>
      <c r="C123" s="57" t="s">
        <v>5</v>
      </c>
      <c r="D123" s="52" t="s">
        <v>2788</v>
      </c>
      <c r="E123" s="52" t="s">
        <v>2789</v>
      </c>
      <c r="F123" s="57" t="s">
        <v>2797</v>
      </c>
      <c r="G123" s="57" t="s">
        <v>2974</v>
      </c>
      <c r="H123" s="58" t="s">
        <v>2975</v>
      </c>
      <c r="I123" s="56" t="s">
        <v>2792</v>
      </c>
    </row>
    <row r="124" spans="2:9" hidden="1">
      <c r="B124" s="57" t="s">
        <v>4</v>
      </c>
      <c r="C124" s="57" t="s">
        <v>5</v>
      </c>
      <c r="D124" s="57" t="s">
        <v>2797</v>
      </c>
      <c r="E124" s="57" t="s">
        <v>2974</v>
      </c>
      <c r="F124" s="57" t="s">
        <v>2797</v>
      </c>
      <c r="G124" s="57" t="s">
        <v>2838</v>
      </c>
      <c r="H124" s="58" t="s">
        <v>2976</v>
      </c>
      <c r="I124" s="56" t="s">
        <v>2792</v>
      </c>
    </row>
    <row r="125" spans="2:9" hidden="1">
      <c r="B125" s="57" t="s">
        <v>94</v>
      </c>
      <c r="C125" s="52" t="s">
        <v>2504</v>
      </c>
      <c r="D125" s="57" t="s">
        <v>2918</v>
      </c>
      <c r="E125" s="57" t="s">
        <v>2923</v>
      </c>
      <c r="F125" s="57" t="s">
        <v>2797</v>
      </c>
      <c r="G125" s="57" t="s">
        <v>2974</v>
      </c>
      <c r="H125" s="58" t="s">
        <v>2977</v>
      </c>
      <c r="I125" s="56" t="s">
        <v>2792</v>
      </c>
    </row>
    <row r="126" spans="2:9" hidden="1">
      <c r="B126" s="57" t="s">
        <v>99</v>
      </c>
      <c r="C126" s="52" t="s">
        <v>2710</v>
      </c>
      <c r="D126" s="57" t="s">
        <v>2978</v>
      </c>
      <c r="E126" s="57" t="s">
        <v>2979</v>
      </c>
      <c r="F126" s="57" t="s">
        <v>2978</v>
      </c>
      <c r="G126" s="57" t="s">
        <v>2980</v>
      </c>
      <c r="H126" s="58" t="s">
        <v>2981</v>
      </c>
      <c r="I126" s="56" t="s">
        <v>2823</v>
      </c>
    </row>
    <row r="127" spans="2:9" hidden="1">
      <c r="B127" s="57" t="s">
        <v>99</v>
      </c>
      <c r="C127" s="57" t="s">
        <v>2710</v>
      </c>
      <c r="D127" s="57" t="s">
        <v>2978</v>
      </c>
      <c r="E127" s="57" t="s">
        <v>2979</v>
      </c>
      <c r="F127" s="57" t="s">
        <v>2978</v>
      </c>
      <c r="G127" s="57" t="s">
        <v>2982</v>
      </c>
      <c r="H127" s="58" t="s">
        <v>2983</v>
      </c>
      <c r="I127" s="56" t="s">
        <v>2792</v>
      </c>
    </row>
    <row r="128" spans="2:9" hidden="1">
      <c r="B128" s="57" t="s">
        <v>99</v>
      </c>
      <c r="C128" s="57" t="s">
        <v>2710</v>
      </c>
      <c r="D128" s="57" t="s">
        <v>2978</v>
      </c>
      <c r="E128" s="57" t="s">
        <v>2984</v>
      </c>
      <c r="F128" s="57" t="s">
        <v>2978</v>
      </c>
      <c r="G128" s="57" t="s">
        <v>2985</v>
      </c>
      <c r="H128" s="58" t="s">
        <v>2986</v>
      </c>
      <c r="I128" s="56" t="s">
        <v>2823</v>
      </c>
    </row>
    <row r="129" spans="2:9" hidden="1">
      <c r="B129" s="57" t="s">
        <v>99</v>
      </c>
      <c r="C129" s="57" t="s">
        <v>2710</v>
      </c>
      <c r="D129" s="57" t="s">
        <v>2978</v>
      </c>
      <c r="E129" s="57" t="s">
        <v>2984</v>
      </c>
      <c r="F129" s="57" t="s">
        <v>2978</v>
      </c>
      <c r="G129" s="57" t="s">
        <v>2982</v>
      </c>
      <c r="H129" s="58" t="s">
        <v>2987</v>
      </c>
      <c r="I129" s="56" t="s">
        <v>2792</v>
      </c>
    </row>
    <row r="130" spans="2:9" hidden="1">
      <c r="B130" s="57" t="s">
        <v>99</v>
      </c>
      <c r="C130" s="57" t="s">
        <v>2710</v>
      </c>
      <c r="D130" s="57" t="s">
        <v>2978</v>
      </c>
      <c r="E130" s="57" t="s">
        <v>2988</v>
      </c>
      <c r="F130" s="57" t="s">
        <v>2978</v>
      </c>
      <c r="G130" s="57" t="s">
        <v>2989</v>
      </c>
      <c r="H130" s="58" t="s">
        <v>2990</v>
      </c>
      <c r="I130" s="56" t="s">
        <v>2823</v>
      </c>
    </row>
    <row r="131" spans="2:9" hidden="1">
      <c r="B131" s="57" t="s">
        <v>99</v>
      </c>
      <c r="C131" s="57" t="s">
        <v>2710</v>
      </c>
      <c r="D131" s="57" t="s">
        <v>2978</v>
      </c>
      <c r="E131" s="57" t="s">
        <v>2988</v>
      </c>
      <c r="F131" s="57" t="s">
        <v>2978</v>
      </c>
      <c r="G131" s="57" t="s">
        <v>2991</v>
      </c>
      <c r="H131" s="58" t="s">
        <v>2992</v>
      </c>
      <c r="I131" s="56" t="s">
        <v>2792</v>
      </c>
    </row>
    <row r="132" spans="2:9" hidden="1">
      <c r="B132" s="57" t="s">
        <v>99</v>
      </c>
      <c r="C132" s="57" t="s">
        <v>2710</v>
      </c>
      <c r="D132" s="57" t="s">
        <v>2978</v>
      </c>
      <c r="E132" s="57" t="s">
        <v>2993</v>
      </c>
      <c r="F132" s="57" t="s">
        <v>2978</v>
      </c>
      <c r="G132" s="57" t="s">
        <v>2994</v>
      </c>
      <c r="H132" s="58" t="s">
        <v>2995</v>
      </c>
      <c r="I132" s="56" t="s">
        <v>2823</v>
      </c>
    </row>
    <row r="133" spans="2:9" hidden="1">
      <c r="B133" s="57" t="s">
        <v>99</v>
      </c>
      <c r="C133" s="57" t="s">
        <v>2710</v>
      </c>
      <c r="D133" s="57" t="s">
        <v>2978</v>
      </c>
      <c r="E133" s="57" t="s">
        <v>2993</v>
      </c>
      <c r="F133" s="57" t="s">
        <v>2978</v>
      </c>
      <c r="G133" s="57" t="s">
        <v>2991</v>
      </c>
      <c r="H133" s="58" t="s">
        <v>2996</v>
      </c>
      <c r="I133" s="56" t="s">
        <v>2792</v>
      </c>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row r="584" spans="2:6" ht="15"/>
    <row r="585" spans="2:6" ht="15"/>
    <row r="586" spans="2:6" ht="15"/>
    <row r="587"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F1" workbookViewId="0">
      <selection activeCell="F25" sqref="F2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2997</v>
      </c>
      <c r="E2" s="60" t="s">
        <v>2998</v>
      </c>
      <c r="F2" s="60" t="s">
        <v>2999</v>
      </c>
      <c r="G2" s="60" t="s">
        <v>3000</v>
      </c>
      <c r="H2" s="60" t="s">
        <v>3001</v>
      </c>
    </row>
    <row r="3" spans="2:8" ht="39.75" hidden="1" customHeight="1">
      <c r="B3" s="52" t="s">
        <v>4</v>
      </c>
      <c r="C3" s="52" t="s">
        <v>5</v>
      </c>
      <c r="D3" s="52" t="s">
        <v>2788</v>
      </c>
      <c r="E3" s="52" t="s">
        <v>2789</v>
      </c>
      <c r="F3" s="52" t="s">
        <v>3002</v>
      </c>
      <c r="G3" s="52" t="s">
        <v>3003</v>
      </c>
      <c r="H3" s="95" t="s">
        <v>3004</v>
      </c>
    </row>
    <row r="4" spans="2:8" ht="39.75" hidden="1" customHeight="1">
      <c r="B4" s="52" t="s">
        <v>4</v>
      </c>
      <c r="C4" s="52" t="s">
        <v>5</v>
      </c>
      <c r="D4" s="52" t="s">
        <v>2808</v>
      </c>
      <c r="E4" s="57" t="s">
        <v>2809</v>
      </c>
      <c r="F4" s="52" t="s">
        <v>3005</v>
      </c>
      <c r="G4" s="52" t="s">
        <v>3006</v>
      </c>
      <c r="H4" s="56" t="s">
        <v>3007</v>
      </c>
    </row>
    <row r="5" spans="2:8" ht="39.75" hidden="1" customHeight="1">
      <c r="B5" s="52" t="s">
        <v>4</v>
      </c>
      <c r="C5" s="52" t="s">
        <v>5</v>
      </c>
      <c r="D5" s="52" t="s">
        <v>2818</v>
      </c>
      <c r="E5" s="52" t="s">
        <v>2819</v>
      </c>
      <c r="F5" s="56" t="s">
        <v>3008</v>
      </c>
      <c r="G5" s="56" t="s">
        <v>3009</v>
      </c>
      <c r="H5" s="56" t="s">
        <v>3010</v>
      </c>
    </row>
    <row r="6" spans="2:8" ht="39.75" hidden="1" customHeight="1">
      <c r="B6" s="52" t="s">
        <v>13</v>
      </c>
      <c r="C6" s="52" t="s">
        <v>3011</v>
      </c>
      <c r="D6" s="56" t="s">
        <v>2828</v>
      </c>
      <c r="E6" s="56" t="s">
        <v>2832</v>
      </c>
      <c r="F6" s="56" t="s">
        <v>3012</v>
      </c>
      <c r="G6" s="56" t="s">
        <v>3013</v>
      </c>
      <c r="H6" s="56" t="s">
        <v>3014</v>
      </c>
    </row>
    <row r="7" spans="2:8" ht="39.75" hidden="1" customHeight="1">
      <c r="B7" s="52" t="s">
        <v>13</v>
      </c>
      <c r="C7" s="52" t="s">
        <v>3011</v>
      </c>
      <c r="D7" s="52" t="s">
        <v>2808</v>
      </c>
      <c r="E7" s="52" t="s">
        <v>2809</v>
      </c>
      <c r="F7" s="52" t="s">
        <v>3015</v>
      </c>
      <c r="G7" s="52" t="s">
        <v>3006</v>
      </c>
      <c r="H7" s="56" t="s">
        <v>3007</v>
      </c>
    </row>
    <row r="8" spans="2:8" ht="39.75" hidden="1" customHeight="1">
      <c r="B8" s="52" t="s">
        <v>13</v>
      </c>
      <c r="C8" s="52" t="s">
        <v>3011</v>
      </c>
      <c r="D8" s="56" t="s">
        <v>2828</v>
      </c>
      <c r="E8" s="57" t="s">
        <v>2829</v>
      </c>
      <c r="F8" s="52" t="s">
        <v>3016</v>
      </c>
      <c r="G8" s="52" t="s">
        <v>3017</v>
      </c>
      <c r="H8" s="56" t="s">
        <v>3018</v>
      </c>
    </row>
    <row r="9" spans="2:8" ht="39.75" hidden="1" customHeight="1">
      <c r="B9" s="52" t="s">
        <v>8</v>
      </c>
      <c r="C9" s="52" t="s">
        <v>9</v>
      </c>
      <c r="D9" s="52" t="s">
        <v>2812</v>
      </c>
      <c r="E9" s="52" t="s">
        <v>2813</v>
      </c>
      <c r="F9" s="52" t="s">
        <v>3019</v>
      </c>
      <c r="G9" s="56" t="s">
        <v>3020</v>
      </c>
      <c r="H9" s="56" t="s">
        <v>3021</v>
      </c>
    </row>
    <row r="10" spans="2:8" ht="39.75" hidden="1" customHeight="1">
      <c r="B10" s="52" t="s">
        <v>19</v>
      </c>
      <c r="C10" s="52" t="s">
        <v>20</v>
      </c>
      <c r="D10" s="52" t="s">
        <v>2840</v>
      </c>
      <c r="E10" s="52" t="s">
        <v>2841</v>
      </c>
      <c r="F10" s="52" t="s">
        <v>3022</v>
      </c>
      <c r="G10" s="56" t="s">
        <v>3023</v>
      </c>
      <c r="H10" s="56" t="s">
        <v>3024</v>
      </c>
    </row>
    <row r="11" spans="2:8" ht="39.75" hidden="1" customHeight="1">
      <c r="B11" s="52" t="s">
        <v>19</v>
      </c>
      <c r="C11" s="52" t="s">
        <v>20</v>
      </c>
      <c r="D11" s="52" t="s">
        <v>2840</v>
      </c>
      <c r="E11" s="52" t="s">
        <v>2842</v>
      </c>
      <c r="F11" s="52" t="s">
        <v>3025</v>
      </c>
      <c r="G11" s="52" t="s">
        <v>3017</v>
      </c>
      <c r="H11" s="56" t="s">
        <v>3026</v>
      </c>
    </row>
    <row r="12" spans="2:8" ht="39.75" hidden="1" customHeight="1">
      <c r="B12" s="52" t="s">
        <v>19</v>
      </c>
      <c r="C12" s="52" t="s">
        <v>20</v>
      </c>
      <c r="D12" s="52" t="s">
        <v>2808</v>
      </c>
      <c r="E12" s="57" t="s">
        <v>2809</v>
      </c>
      <c r="F12" s="52" t="s">
        <v>3027</v>
      </c>
      <c r="G12" s="52" t="s">
        <v>3006</v>
      </c>
      <c r="H12" s="56" t="s">
        <v>3007</v>
      </c>
    </row>
    <row r="13" spans="2:8" ht="39.75" hidden="1" customHeight="1">
      <c r="B13" s="52" t="s">
        <v>19</v>
      </c>
      <c r="C13" s="52" t="s">
        <v>20</v>
      </c>
      <c r="D13" s="52" t="s">
        <v>2808</v>
      </c>
      <c r="E13" s="57" t="s">
        <v>2810</v>
      </c>
      <c r="F13" s="52" t="s">
        <v>3028</v>
      </c>
      <c r="G13" s="57" t="s">
        <v>366</v>
      </c>
      <c r="H13" s="57" t="s">
        <v>366</v>
      </c>
    </row>
    <row r="14" spans="2:8" ht="39.75" hidden="1" customHeight="1">
      <c r="B14" s="52" t="s">
        <v>19</v>
      </c>
      <c r="C14" s="52" t="s">
        <v>20</v>
      </c>
      <c r="D14" s="52" t="s">
        <v>2818</v>
      </c>
      <c r="E14" s="52" t="s">
        <v>2819</v>
      </c>
      <c r="F14" s="56" t="s">
        <v>3029</v>
      </c>
      <c r="G14" s="56" t="s">
        <v>3009</v>
      </c>
      <c r="H14" s="56" t="s">
        <v>3010</v>
      </c>
    </row>
    <row r="15" spans="2:8" ht="39.75" hidden="1" customHeight="1">
      <c r="B15" s="52" t="s">
        <v>19</v>
      </c>
      <c r="C15" s="52" t="s">
        <v>22</v>
      </c>
      <c r="D15" s="52" t="s">
        <v>2840</v>
      </c>
      <c r="E15" s="52" t="s">
        <v>2842</v>
      </c>
      <c r="F15" s="52" t="s">
        <v>3025</v>
      </c>
      <c r="G15" s="52" t="s">
        <v>3017</v>
      </c>
      <c r="H15" s="56" t="s">
        <v>3026</v>
      </c>
    </row>
    <row r="16" spans="2:8" ht="39.75" hidden="1" customHeight="1">
      <c r="B16" s="52" t="s">
        <v>24</v>
      </c>
      <c r="C16" s="52" t="s">
        <v>2852</v>
      </c>
      <c r="D16" s="52" t="s">
        <v>2853</v>
      </c>
      <c r="E16" s="52" t="s">
        <v>2854</v>
      </c>
      <c r="F16" s="52" t="s">
        <v>3030</v>
      </c>
      <c r="G16" s="52" t="s">
        <v>366</v>
      </c>
      <c r="H16" s="52" t="s">
        <v>366</v>
      </c>
    </row>
    <row r="17" spans="2:8" ht="39.75" hidden="1" customHeight="1">
      <c r="B17" s="57" t="s">
        <v>43</v>
      </c>
      <c r="C17" s="57" t="s">
        <v>44</v>
      </c>
      <c r="D17" s="52" t="s">
        <v>2818</v>
      </c>
      <c r="E17" s="52" t="s">
        <v>2819</v>
      </c>
      <c r="F17" s="52" t="s">
        <v>3031</v>
      </c>
      <c r="G17" s="56" t="s">
        <v>3032</v>
      </c>
      <c r="H17" s="86" t="s">
        <v>3033</v>
      </c>
    </row>
    <row r="18" spans="2:8" ht="39.75" hidden="1" customHeight="1">
      <c r="B18" s="57" t="s">
        <v>43</v>
      </c>
      <c r="C18" s="57" t="s">
        <v>44</v>
      </c>
      <c r="D18" s="52" t="s">
        <v>2808</v>
      </c>
      <c r="E18" s="52" t="s">
        <v>2809</v>
      </c>
      <c r="F18" s="52" t="s">
        <v>3015</v>
      </c>
      <c r="G18" s="52" t="s">
        <v>3006</v>
      </c>
      <c r="H18" s="56" t="s">
        <v>3007</v>
      </c>
    </row>
    <row r="19" spans="2:8" ht="72.599999999999994" hidden="1">
      <c r="B19" s="57" t="s">
        <v>58</v>
      </c>
      <c r="C19" s="57" t="s">
        <v>61</v>
      </c>
      <c r="D19" s="52" t="s">
        <v>2862</v>
      </c>
      <c r="E19" s="57" t="s">
        <v>2863</v>
      </c>
      <c r="F19" s="52" t="s">
        <v>3034</v>
      </c>
      <c r="G19" s="52" t="s">
        <v>3035</v>
      </c>
      <c r="H19" s="56" t="s">
        <v>3036</v>
      </c>
    </row>
    <row r="20" spans="2:8" ht="80.25" hidden="1" customHeight="1">
      <c r="B20" s="57" t="s">
        <v>2855</v>
      </c>
      <c r="C20" s="57" t="s">
        <v>66</v>
      </c>
      <c r="D20" s="57" t="s">
        <v>2818</v>
      </c>
      <c r="E20" s="57" t="s">
        <v>2819</v>
      </c>
      <c r="F20" s="57" t="s">
        <v>3037</v>
      </c>
      <c r="G20" s="58" t="s">
        <v>3038</v>
      </c>
      <c r="H20" s="58" t="s">
        <v>3039</v>
      </c>
    </row>
    <row r="21" spans="2:8" ht="90.75" hidden="1" customHeight="1">
      <c r="B21" s="57" t="s">
        <v>29</v>
      </c>
      <c r="C21" s="57" t="s">
        <v>30</v>
      </c>
      <c r="D21" s="57" t="s">
        <v>2868</v>
      </c>
      <c r="E21" s="57" t="s">
        <v>2869</v>
      </c>
      <c r="F21" s="58" t="s">
        <v>3040</v>
      </c>
      <c r="G21" s="58" t="s">
        <v>3041</v>
      </c>
      <c r="H21" s="58" t="s">
        <v>3042</v>
      </c>
    </row>
    <row r="22" spans="2:8" ht="90.75" hidden="1" customHeight="1">
      <c r="B22" s="57" t="s">
        <v>48</v>
      </c>
      <c r="C22" s="57" t="s">
        <v>49</v>
      </c>
      <c r="D22" s="57" t="s">
        <v>2868</v>
      </c>
      <c r="E22" s="57" t="s">
        <v>2872</v>
      </c>
      <c r="F22" s="402" t="s">
        <v>3043</v>
      </c>
      <c r="G22" s="402" t="s">
        <v>3044</v>
      </c>
      <c r="H22" s="402" t="s">
        <v>3044</v>
      </c>
    </row>
    <row r="23" spans="2:8" ht="89.25" hidden="1" customHeight="1">
      <c r="B23" s="57" t="s">
        <v>48</v>
      </c>
      <c r="C23" s="57" t="s">
        <v>49</v>
      </c>
      <c r="D23" s="57" t="s">
        <v>2868</v>
      </c>
      <c r="E23" s="57" t="s">
        <v>2869</v>
      </c>
      <c r="F23" s="58" t="s">
        <v>3045</v>
      </c>
      <c r="G23" s="58" t="s">
        <v>3041</v>
      </c>
      <c r="H23" s="58" t="s">
        <v>3042</v>
      </c>
    </row>
    <row r="24" spans="2:8" ht="81" hidden="1" customHeight="1">
      <c r="B24" s="57" t="s">
        <v>48</v>
      </c>
      <c r="C24" s="57" t="s">
        <v>51</v>
      </c>
      <c r="D24" s="57" t="s">
        <v>2868</v>
      </c>
      <c r="E24" s="57" t="s">
        <v>2872</v>
      </c>
      <c r="F24" s="58" t="s">
        <v>3046</v>
      </c>
      <c r="G24" s="58" t="s">
        <v>3047</v>
      </c>
      <c r="H24" s="57" t="s">
        <v>366</v>
      </c>
    </row>
    <row r="25" spans="2:8" ht="75.75" customHeight="1">
      <c r="B25" s="57" t="s">
        <v>29</v>
      </c>
      <c r="C25" s="57" t="s">
        <v>32</v>
      </c>
      <c r="D25" s="57" t="s">
        <v>2868</v>
      </c>
      <c r="E25" s="57" t="s">
        <v>2872</v>
      </c>
      <c r="F25" s="58" t="s">
        <v>3048</v>
      </c>
      <c r="G25" s="58" t="s">
        <v>3047</v>
      </c>
      <c r="H25" s="57" t="s">
        <v>366</v>
      </c>
    </row>
    <row r="26" spans="2:8" ht="75.75" hidden="1" customHeight="1">
      <c r="B26" s="57" t="s">
        <v>87</v>
      </c>
      <c r="C26" s="57" t="s">
        <v>1585</v>
      </c>
      <c r="D26" s="57" t="s">
        <v>2868</v>
      </c>
      <c r="E26" s="57" t="s">
        <v>2872</v>
      </c>
      <c r="F26" s="402" t="s">
        <v>3043</v>
      </c>
      <c r="G26" s="402" t="s">
        <v>3044</v>
      </c>
      <c r="H26" s="402" t="s">
        <v>3044</v>
      </c>
    </row>
    <row r="27" spans="2:8" ht="174" hidden="1">
      <c r="B27" s="57" t="s">
        <v>87</v>
      </c>
      <c r="C27" s="57" t="s">
        <v>1585</v>
      </c>
      <c r="D27" s="57" t="s">
        <v>2868</v>
      </c>
      <c r="E27" s="57" t="s">
        <v>2869</v>
      </c>
      <c r="F27" s="58" t="s">
        <v>3049</v>
      </c>
      <c r="G27" s="58" t="s">
        <v>3041</v>
      </c>
      <c r="H27" s="58" t="s">
        <v>3042</v>
      </c>
    </row>
    <row r="28" spans="2:8" ht="63.75" hidden="1" customHeight="1">
      <c r="B28" s="57" t="s">
        <v>87</v>
      </c>
      <c r="C28" s="57" t="s">
        <v>1630</v>
      </c>
      <c r="D28" s="57" t="s">
        <v>2868</v>
      </c>
      <c r="E28" s="57" t="s">
        <v>2872</v>
      </c>
      <c r="F28" s="58" t="s">
        <v>3050</v>
      </c>
      <c r="G28" s="58" t="s">
        <v>3047</v>
      </c>
      <c r="H28" s="57" t="s">
        <v>366</v>
      </c>
    </row>
    <row r="29" spans="2:8" ht="57" hidden="1" customHeight="1">
      <c r="B29" s="57" t="s">
        <v>29</v>
      </c>
      <c r="C29" s="57" t="s">
        <v>34</v>
      </c>
      <c r="D29" s="57" t="s">
        <v>2868</v>
      </c>
      <c r="E29" s="57" t="s">
        <v>2872</v>
      </c>
      <c r="F29" s="58" t="s">
        <v>3051</v>
      </c>
      <c r="G29" s="58" t="s">
        <v>3047</v>
      </c>
      <c r="H29" s="57" t="s">
        <v>366</v>
      </c>
    </row>
    <row r="30" spans="2:8" ht="105.75" hidden="1" customHeight="1">
      <c r="B30" s="57" t="s">
        <v>29</v>
      </c>
      <c r="C30" s="57" t="s">
        <v>34</v>
      </c>
      <c r="D30" s="57" t="s">
        <v>2868</v>
      </c>
      <c r="E30" s="57" t="s">
        <v>2890</v>
      </c>
      <c r="F30" s="57" t="s">
        <v>3052</v>
      </c>
      <c r="G30" s="58" t="s">
        <v>3053</v>
      </c>
      <c r="H30" s="58" t="s">
        <v>3054</v>
      </c>
    </row>
    <row r="31" spans="2:8" ht="55.5" hidden="1" customHeight="1">
      <c r="B31" s="57" t="s">
        <v>29</v>
      </c>
      <c r="C31" s="57" t="s">
        <v>34</v>
      </c>
      <c r="D31" s="52" t="s">
        <v>2808</v>
      </c>
      <c r="E31" s="57" t="s">
        <v>2809</v>
      </c>
      <c r="F31" s="52" t="s">
        <v>3015</v>
      </c>
      <c r="G31" s="52" t="s">
        <v>3006</v>
      </c>
      <c r="H31" s="56" t="s">
        <v>3007</v>
      </c>
    </row>
    <row r="32" spans="2:8" ht="42.75" hidden="1" customHeight="1">
      <c r="B32" s="57" t="s">
        <v>29</v>
      </c>
      <c r="C32" s="57" t="s">
        <v>34</v>
      </c>
      <c r="D32" s="57" t="s">
        <v>2808</v>
      </c>
      <c r="E32" s="57" t="s">
        <v>2809</v>
      </c>
      <c r="F32" s="52" t="s">
        <v>3055</v>
      </c>
      <c r="G32" s="52" t="s">
        <v>3006</v>
      </c>
      <c r="H32" s="56" t="s">
        <v>3007</v>
      </c>
    </row>
    <row r="33" spans="2:8" ht="75.75" hidden="1" customHeight="1">
      <c r="B33" s="57" t="s">
        <v>29</v>
      </c>
      <c r="C33" s="57" t="s">
        <v>34</v>
      </c>
      <c r="D33" s="57" t="s">
        <v>2818</v>
      </c>
      <c r="E33" s="57" t="s">
        <v>2819</v>
      </c>
      <c r="F33" s="58" t="s">
        <v>3056</v>
      </c>
      <c r="G33" s="56" t="s">
        <v>3009</v>
      </c>
      <c r="H33" s="56" t="s">
        <v>3010</v>
      </c>
    </row>
    <row r="34" spans="2:8" ht="45" hidden="1" customHeight="1">
      <c r="B34" s="57" t="s">
        <v>94</v>
      </c>
      <c r="C34" s="57" t="s">
        <v>2504</v>
      </c>
      <c r="D34" s="57" t="s">
        <v>2918</v>
      </c>
      <c r="E34" s="57" t="s">
        <v>2919</v>
      </c>
      <c r="F34" s="57" t="s">
        <v>3057</v>
      </c>
      <c r="G34" s="57" t="s">
        <v>3003</v>
      </c>
      <c r="H34" s="58" t="s">
        <v>3058</v>
      </c>
    </row>
    <row r="35" spans="2:8" ht="69.75" hidden="1" customHeight="1">
      <c r="B35" s="57" t="s">
        <v>82</v>
      </c>
      <c r="C35" s="57" t="s">
        <v>2167</v>
      </c>
      <c r="D35" s="57" t="s">
        <v>2925</v>
      </c>
      <c r="E35" s="57" t="s">
        <v>2939</v>
      </c>
      <c r="F35" s="57" t="s">
        <v>3059</v>
      </c>
      <c r="G35" s="344" t="s">
        <v>3060</v>
      </c>
      <c r="H35" s="58" t="s">
        <v>3061</v>
      </c>
    </row>
    <row r="36" spans="2:8" ht="68.25" hidden="1" customHeight="1">
      <c r="B36" s="57" t="s">
        <v>82</v>
      </c>
      <c r="C36" s="57" t="s">
        <v>2167</v>
      </c>
      <c r="D36" s="57" t="s">
        <v>2808</v>
      </c>
      <c r="E36" s="57" t="s">
        <v>2809</v>
      </c>
      <c r="F36" s="52" t="s">
        <v>3015</v>
      </c>
      <c r="G36" s="52" t="s">
        <v>3006</v>
      </c>
      <c r="H36" s="56" t="s">
        <v>3007</v>
      </c>
    </row>
    <row r="37" spans="2:8" ht="63" hidden="1" customHeight="1">
      <c r="B37" s="57" t="s">
        <v>82</v>
      </c>
      <c r="C37" s="57" t="s">
        <v>2167</v>
      </c>
      <c r="D37" s="57" t="s">
        <v>2925</v>
      </c>
      <c r="E37" s="57" t="s">
        <v>2926</v>
      </c>
      <c r="F37" s="57" t="s">
        <v>3062</v>
      </c>
      <c r="G37" s="57" t="s">
        <v>3063</v>
      </c>
      <c r="H37" s="58" t="s">
        <v>3064</v>
      </c>
    </row>
    <row r="38" spans="2:8" ht="63" hidden="1" customHeight="1">
      <c r="B38" s="57" t="s">
        <v>77</v>
      </c>
      <c r="C38" s="57" t="s">
        <v>2385</v>
      </c>
      <c r="D38" s="57" t="s">
        <v>2818</v>
      </c>
      <c r="E38" s="57" t="s">
        <v>2819</v>
      </c>
      <c r="F38" s="52" t="s">
        <v>3065</v>
      </c>
      <c r="G38" s="56" t="s">
        <v>3066</v>
      </c>
      <c r="H38" s="86" t="s">
        <v>3067</v>
      </c>
    </row>
    <row r="39" spans="2:8" ht="39.75" hidden="1" customHeight="1">
      <c r="B39" s="57" t="s">
        <v>77</v>
      </c>
      <c r="C39" s="57" t="s">
        <v>2385</v>
      </c>
      <c r="D39" s="57" t="s">
        <v>2808</v>
      </c>
      <c r="E39" s="57" t="s">
        <v>2809</v>
      </c>
      <c r="F39" s="57" t="s">
        <v>3015</v>
      </c>
      <c r="G39" s="57" t="s">
        <v>3006</v>
      </c>
      <c r="H39" s="57" t="s">
        <v>3007</v>
      </c>
    </row>
    <row r="40" spans="2:8" ht="145.5" hidden="1" customHeight="1">
      <c r="B40" s="57" t="s">
        <v>104</v>
      </c>
      <c r="C40" s="57" t="s">
        <v>2447</v>
      </c>
      <c r="D40" s="52" t="s">
        <v>2818</v>
      </c>
      <c r="E40" s="52" t="s">
        <v>2819</v>
      </c>
      <c r="F40" s="52" t="s">
        <v>3068</v>
      </c>
      <c r="G40" s="86" t="s">
        <v>3069</v>
      </c>
      <c r="H40" s="86" t="s">
        <v>3070</v>
      </c>
    </row>
    <row r="41" spans="2:8" ht="246.6" hidden="1">
      <c r="B41" s="57" t="s">
        <v>104</v>
      </c>
      <c r="C41" s="57" t="s">
        <v>2447</v>
      </c>
      <c r="D41" s="52" t="s">
        <v>2808</v>
      </c>
      <c r="E41" s="52" t="s">
        <v>2809</v>
      </c>
      <c r="F41" s="52" t="s">
        <v>3015</v>
      </c>
      <c r="G41" s="52"/>
      <c r="H41" s="56" t="s">
        <v>3007</v>
      </c>
    </row>
    <row r="42" spans="2:8" ht="140.25" hidden="1" customHeight="1">
      <c r="B42" s="57" t="s">
        <v>72</v>
      </c>
      <c r="C42" s="57" t="s">
        <v>73</v>
      </c>
      <c r="D42" s="57" t="s">
        <v>2971</v>
      </c>
      <c r="E42" s="57" t="s">
        <v>2972</v>
      </c>
      <c r="F42" s="58" t="s">
        <v>3071</v>
      </c>
      <c r="G42" s="58" t="s">
        <v>3072</v>
      </c>
      <c r="H42" s="58" t="s">
        <v>3073</v>
      </c>
    </row>
    <row r="43" spans="2:8" hidden="1">
      <c r="B43" s="57" t="s">
        <v>99</v>
      </c>
      <c r="C43" s="57" t="s">
        <v>2710</v>
      </c>
      <c r="D43" s="57" t="s">
        <v>2978</v>
      </c>
      <c r="E43" s="57" t="s">
        <v>2980</v>
      </c>
      <c r="F43" s="57" t="s">
        <v>3074</v>
      </c>
      <c r="G43" s="57" t="s">
        <v>366</v>
      </c>
      <c r="H43" s="57" t="s">
        <v>366</v>
      </c>
    </row>
    <row r="44" spans="2:8" hidden="1">
      <c r="B44" s="57" t="s">
        <v>99</v>
      </c>
      <c r="C44" s="57" t="s">
        <v>2710</v>
      </c>
      <c r="D44" s="57" t="s">
        <v>2978</v>
      </c>
      <c r="E44" s="57" t="s">
        <v>2985</v>
      </c>
      <c r="F44" s="57" t="s">
        <v>3075</v>
      </c>
      <c r="G44" s="57" t="s">
        <v>366</v>
      </c>
      <c r="H44" s="57" t="s">
        <v>366</v>
      </c>
    </row>
    <row r="45" spans="2:8" hidden="1">
      <c r="B45" s="57" t="s">
        <v>99</v>
      </c>
      <c r="C45" s="57" t="s">
        <v>2710</v>
      </c>
      <c r="D45" s="57" t="s">
        <v>2978</v>
      </c>
      <c r="E45" s="57" t="s">
        <v>2989</v>
      </c>
      <c r="F45" s="57" t="s">
        <v>3076</v>
      </c>
      <c r="G45" s="57" t="s">
        <v>366</v>
      </c>
      <c r="H45" s="57" t="s">
        <v>366</v>
      </c>
    </row>
    <row r="46" spans="2:8" hidden="1">
      <c r="B46" s="57" t="s">
        <v>99</v>
      </c>
      <c r="C46" s="57" t="s">
        <v>2710</v>
      </c>
      <c r="D46" s="57" t="s">
        <v>2978</v>
      </c>
      <c r="E46" s="57" t="s">
        <v>2994</v>
      </c>
      <c r="F46" s="57" t="s">
        <v>3077</v>
      </c>
      <c r="G46" s="57" t="s">
        <v>366</v>
      </c>
      <c r="H46" s="57" t="s">
        <v>366</v>
      </c>
    </row>
    <row r="47" spans="2:8" ht="409.6">
      <c r="B47" s="57" t="s">
        <v>69</v>
      </c>
      <c r="C47" s="57" t="s">
        <v>70</v>
      </c>
      <c r="D47" s="57" t="s">
        <v>2818</v>
      </c>
      <c r="E47" s="57" t="s">
        <v>2819</v>
      </c>
      <c r="F47" s="57" t="s">
        <v>3078</v>
      </c>
      <c r="G47" s="58" t="s">
        <v>3079</v>
      </c>
      <c r="H47" s="58" t="s">
        <v>3080</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3081</v>
      </c>
      <c r="D2" s="103" t="s">
        <v>3082</v>
      </c>
      <c r="E2" s="108" t="s">
        <v>518</v>
      </c>
    </row>
    <row r="3" spans="2:5" ht="39.75" customHeight="1">
      <c r="B3" s="105">
        <v>1</v>
      </c>
      <c r="C3" s="99" t="s">
        <v>3083</v>
      </c>
      <c r="D3" s="101" t="s">
        <v>3084</v>
      </c>
      <c r="E3" s="109"/>
    </row>
    <row r="4" spans="2:5" ht="39.75" customHeight="1">
      <c r="B4" s="105">
        <v>2</v>
      </c>
      <c r="C4" s="99" t="s">
        <v>3085</v>
      </c>
      <c r="D4" s="101" t="s">
        <v>3086</v>
      </c>
      <c r="E4" s="109"/>
    </row>
    <row r="5" spans="2:5" ht="39.75" customHeight="1">
      <c r="B5" s="105">
        <v>3</v>
      </c>
      <c r="C5" s="99" t="s">
        <v>3087</v>
      </c>
      <c r="D5" s="101" t="s">
        <v>3088</v>
      </c>
      <c r="E5" s="109"/>
    </row>
    <row r="6" spans="2:5" ht="39.75" customHeight="1">
      <c r="B6" s="105">
        <v>4</v>
      </c>
      <c r="C6" s="101" t="s">
        <v>3089</v>
      </c>
      <c r="D6" s="101" t="s">
        <v>3090</v>
      </c>
      <c r="E6" s="109"/>
    </row>
    <row r="7" spans="2:5" ht="39.75" customHeight="1">
      <c r="B7" s="106">
        <v>5</v>
      </c>
      <c r="C7" s="101" t="s">
        <v>3091</v>
      </c>
      <c r="D7" s="101" t="s">
        <v>3090</v>
      </c>
      <c r="E7" s="109"/>
    </row>
    <row r="8" spans="2:5" ht="39.75" customHeight="1">
      <c r="B8" s="106">
        <v>6</v>
      </c>
      <c r="C8" s="101" t="s">
        <v>3092</v>
      </c>
      <c r="D8" s="101" t="s">
        <v>3093</v>
      </c>
      <c r="E8" s="218" t="s">
        <v>3094</v>
      </c>
    </row>
    <row r="9" spans="2:5" ht="39.75" customHeight="1">
      <c r="B9" s="106">
        <v>7</v>
      </c>
      <c r="C9" s="99" t="s">
        <v>3095</v>
      </c>
      <c r="D9" s="101" t="s">
        <v>3096</v>
      </c>
      <c r="E9" s="109" t="s">
        <v>3097</v>
      </c>
    </row>
    <row r="10" spans="2:5" ht="39.75" customHeight="1">
      <c r="B10" s="105">
        <v>8</v>
      </c>
      <c r="C10" s="99" t="s">
        <v>3098</v>
      </c>
      <c r="D10" s="101" t="s">
        <v>3099</v>
      </c>
      <c r="E10" s="109"/>
    </row>
    <row r="11" spans="2:5" ht="39.75" customHeight="1">
      <c r="B11" s="106">
        <v>9</v>
      </c>
      <c r="C11" s="99" t="s">
        <v>3100</v>
      </c>
      <c r="D11" s="101" t="s">
        <v>3101</v>
      </c>
      <c r="E11" s="109"/>
    </row>
    <row r="12" spans="2:5" ht="39.75" customHeight="1">
      <c r="B12" s="105">
        <v>10</v>
      </c>
      <c r="C12" s="101" t="s">
        <v>3102</v>
      </c>
      <c r="D12" s="101" t="s">
        <v>3103</v>
      </c>
      <c r="E12" s="109"/>
    </row>
    <row r="13" spans="2:5" ht="39.75" customHeight="1">
      <c r="B13" s="106">
        <v>11</v>
      </c>
      <c r="C13" s="99" t="s">
        <v>3104</v>
      </c>
      <c r="D13" s="101" t="s">
        <v>3105</v>
      </c>
      <c r="E13" s="109"/>
    </row>
    <row r="14" spans="2:5" ht="39.75" customHeight="1">
      <c r="B14" s="106">
        <v>12</v>
      </c>
      <c r="C14" s="99" t="s">
        <v>3106</v>
      </c>
      <c r="D14" s="101" t="s">
        <v>3107</v>
      </c>
      <c r="E14" s="109"/>
    </row>
    <row r="15" spans="2:5" ht="39.75" customHeight="1">
      <c r="B15" s="106">
        <v>13</v>
      </c>
      <c r="C15" s="99" t="s">
        <v>3108</v>
      </c>
      <c r="D15" s="101" t="s">
        <v>3109</v>
      </c>
      <c r="E15" s="109"/>
    </row>
    <row r="16" spans="2:5" ht="39.75" customHeight="1">
      <c r="B16" s="107">
        <v>14</v>
      </c>
      <c r="C16" s="102" t="s">
        <v>3110</v>
      </c>
      <c r="D16" s="101" t="s">
        <v>3111</v>
      </c>
      <c r="E16" s="109"/>
    </row>
    <row r="17" spans="2:5" ht="39.75" customHeight="1">
      <c r="B17" s="106">
        <v>15</v>
      </c>
      <c r="C17" s="99" t="s">
        <v>3112</v>
      </c>
      <c r="D17" s="101" t="s">
        <v>3113</v>
      </c>
      <c r="E17" s="109"/>
    </row>
    <row r="18" spans="2:5" ht="39.75" customHeight="1">
      <c r="B18" s="106">
        <v>16</v>
      </c>
      <c r="C18" s="99" t="s">
        <v>3114</v>
      </c>
      <c r="D18" s="101" t="s">
        <v>3115</v>
      </c>
      <c r="E18" s="109"/>
    </row>
    <row r="19" spans="2:5" ht="39.75" customHeight="1">
      <c r="B19" s="106">
        <v>17</v>
      </c>
      <c r="C19" s="99" t="s">
        <v>3116</v>
      </c>
      <c r="D19" s="101" t="s">
        <v>3117</v>
      </c>
      <c r="E19" s="109"/>
    </row>
    <row r="20" spans="2:5" ht="39.75" customHeight="1">
      <c r="B20" s="107">
        <v>18</v>
      </c>
      <c r="C20" s="102" t="s">
        <v>3118</v>
      </c>
      <c r="D20" s="100" t="s">
        <v>3119</v>
      </c>
      <c r="E20" s="110"/>
    </row>
    <row r="21" spans="2:5" ht="39.75" customHeight="1">
      <c r="B21" s="107">
        <v>19</v>
      </c>
      <c r="C21" s="102" t="s">
        <v>3120</v>
      </c>
      <c r="D21" s="100" t="s">
        <v>3121</v>
      </c>
      <c r="E21" s="110" t="s">
        <v>3122</v>
      </c>
    </row>
    <row r="22" spans="2:5" ht="39.75" customHeight="1">
      <c r="B22" s="106">
        <v>20</v>
      </c>
      <c r="C22" s="99" t="s">
        <v>3123</v>
      </c>
      <c r="D22" s="101" t="s">
        <v>3124</v>
      </c>
      <c r="E22" s="109" t="s">
        <v>3125</v>
      </c>
    </row>
    <row r="23" spans="2:5" ht="39.75" customHeight="1">
      <c r="B23" s="107">
        <v>21</v>
      </c>
      <c r="C23" s="102" t="s">
        <v>3126</v>
      </c>
      <c r="D23" s="100" t="s">
        <v>3127</v>
      </c>
      <c r="E23" s="110" t="s">
        <v>3128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3095</v>
      </c>
      <c r="C9" s="51">
        <v>7</v>
      </c>
      <c r="D9" s="51" t="s">
        <v>3142</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c r="B21" s="51" t="s">
        <v>3120</v>
      </c>
      <c r="C21" s="51">
        <v>19</v>
      </c>
      <c r="D21" s="51" t="s">
        <v>3170</v>
      </c>
      <c r="E21" s="119">
        <v>45439</v>
      </c>
      <c r="F21" s="51">
        <v>2</v>
      </c>
      <c r="G21" s="234" cm="1">
        <f t="array" aca="1" ref="G21" ca="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c r="B23" s="51" t="s">
        <v>3126</v>
      </c>
      <c r="C23" s="51">
        <v>21</v>
      </c>
      <c r="D23" s="51" t="s">
        <v>3170</v>
      </c>
      <c r="E23" s="119">
        <v>45439</v>
      </c>
      <c r="F23" s="51">
        <v>2</v>
      </c>
      <c r="G23" s="234" cm="1">
        <f t="array" aca="1" ref="G23" ca="1">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3174</v>
      </c>
      <c r="C26" s="134">
        <v>21</v>
      </c>
      <c r="D26" s="128" t="s">
        <v>3175</v>
      </c>
      <c r="E26" s="127" t="s">
        <v>3176</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3177</v>
      </c>
      <c r="C27" s="134">
        <v>7</v>
      </c>
      <c r="D27" s="128" t="s">
        <v>3175</v>
      </c>
      <c r="E27" s="127" t="s">
        <v>3176</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3178</v>
      </c>
    </row>
    <row r="30" spans="2:30">
      <c r="B30" s="158" t="s">
        <v>3179</v>
      </c>
      <c r="C30" s="158" t="s">
        <v>3180</v>
      </c>
      <c r="D30" s="159" t="s">
        <v>3181</v>
      </c>
      <c r="E30" s="158" t="s">
        <v>3182</v>
      </c>
      <c r="F30" s="158" t="s">
        <v>3183</v>
      </c>
    </row>
    <row r="31" spans="2:30" ht="87">
      <c r="B31" s="161" t="s">
        <v>3184</v>
      </c>
      <c r="C31" s="162" t="s">
        <v>213</v>
      </c>
      <c r="D31" s="163" t="s">
        <v>3185</v>
      </c>
      <c r="E31" s="121" t="s">
        <v>3186</v>
      </c>
      <c r="F31" s="213" t="s">
        <v>3187</v>
      </c>
    </row>
    <row r="32" spans="2:30" ht="29.1">
      <c r="B32" s="135" t="s">
        <v>3184</v>
      </c>
      <c r="C32" s="139" t="s">
        <v>203</v>
      </c>
      <c r="D32" s="320" t="s">
        <v>3188</v>
      </c>
      <c r="E32" s="177" t="s">
        <v>3189</v>
      </c>
      <c r="F32" s="160" t="s">
        <v>3190</v>
      </c>
    </row>
    <row r="33" spans="2:6" ht="29.1">
      <c r="B33" s="135" t="s">
        <v>3184</v>
      </c>
      <c r="C33" s="139" t="s">
        <v>324</v>
      </c>
      <c r="D33" s="320" t="s">
        <v>3191</v>
      </c>
      <c r="E33" s="177" t="s">
        <v>3192</v>
      </c>
      <c r="F33" s="160" t="s">
        <v>3193</v>
      </c>
    </row>
    <row r="34" spans="2:6" ht="29.1">
      <c r="B34" s="161" t="s">
        <v>3194</v>
      </c>
      <c r="C34" s="162" t="s">
        <v>3195</v>
      </c>
      <c r="D34" s="163" t="s">
        <v>3196</v>
      </c>
      <c r="E34" s="121" t="s">
        <v>3197</v>
      </c>
      <c r="F34" s="222" t="s">
        <v>3193</v>
      </c>
    </row>
    <row r="35" spans="2:6" ht="29.1">
      <c r="B35" s="161" t="s">
        <v>3194</v>
      </c>
      <c r="C35" s="162" t="s">
        <v>3195</v>
      </c>
      <c r="D35" s="163" t="s">
        <v>3196</v>
      </c>
      <c r="E35" s="177" t="s">
        <v>3198</v>
      </c>
      <c r="F35" s="222" t="s">
        <v>3193</v>
      </c>
    </row>
    <row r="36" spans="2:6" ht="29.1">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3095</v>
      </c>
      <c r="C9" s="51">
        <v>7</v>
      </c>
      <c r="D9" s="51" t="s">
        <v>3213</v>
      </c>
      <c r="E9" s="119">
        <v>45422</v>
      </c>
      <c r="F9" s="51">
        <v>1</v>
      </c>
      <c r="G9" s="51" cm="1">
        <f t="array" aca="1" ref="G9" ca="1">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c r="B21" s="51" t="s">
        <v>3120</v>
      </c>
      <c r="C21" s="51">
        <v>19</v>
      </c>
      <c r="D21" s="51" t="s">
        <v>3242</v>
      </c>
      <c r="E21" s="119">
        <v>45422</v>
      </c>
      <c r="F21" s="51">
        <v>1</v>
      </c>
      <c r="G21" s="217" cm="1">
        <f t="array" aca="1" ref="G21" ca="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3126</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3243</v>
      </c>
      <c r="C25" s="166"/>
      <c r="D25" s="166"/>
      <c r="E25" s="166"/>
      <c r="F25" s="166"/>
      <c r="G25" s="166"/>
      <c r="H25" s="166"/>
    </row>
    <row r="26" spans="2:41">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3174</v>
      </c>
      <c r="C27" s="137">
        <v>21</v>
      </c>
      <c r="D27" s="143" t="s">
        <v>3175</v>
      </c>
      <c r="E27" s="142" t="s">
        <v>3176</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3177</v>
      </c>
      <c r="C28" s="137">
        <v>7</v>
      </c>
      <c r="D28" s="138" t="s">
        <v>3175</v>
      </c>
      <c r="E28" s="137" t="s">
        <v>3176</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3178</v>
      </c>
    </row>
    <row r="31" spans="2:41">
      <c r="B31" s="158" t="s">
        <v>3179</v>
      </c>
      <c r="C31" s="158" t="s">
        <v>3180</v>
      </c>
      <c r="D31" s="159" t="s">
        <v>3181</v>
      </c>
      <c r="E31" s="158" t="s">
        <v>3182</v>
      </c>
      <c r="F31" s="158" t="s">
        <v>3183</v>
      </c>
    </row>
    <row r="32" spans="2:41" ht="29.1">
      <c r="B32" s="135" t="s">
        <v>3244</v>
      </c>
      <c r="C32" s="139" t="s">
        <v>655</v>
      </c>
      <c r="D32" s="54" t="s">
        <v>3245</v>
      </c>
      <c r="E32" s="170" t="s">
        <v>3246</v>
      </c>
      <c r="F32" s="160" t="s">
        <v>3190</v>
      </c>
    </row>
    <row r="33" spans="2:6" ht="29.1">
      <c r="B33" s="135" t="s">
        <v>3244</v>
      </c>
      <c r="C33" s="139" t="s">
        <v>664</v>
      </c>
      <c r="D33" s="54" t="s">
        <v>3247</v>
      </c>
      <c r="E33" s="170" t="s">
        <v>3246</v>
      </c>
      <c r="F33" s="160" t="s">
        <v>3190</v>
      </c>
    </row>
    <row r="34" spans="2:6" ht="29.1">
      <c r="B34" s="135" t="s">
        <v>3244</v>
      </c>
      <c r="C34" s="139" t="s">
        <v>673</v>
      </c>
      <c r="D34" s="54" t="s">
        <v>3247</v>
      </c>
      <c r="E34" s="170" t="s">
        <v>3246</v>
      </c>
      <c r="F34" s="160" t="s">
        <v>3190</v>
      </c>
    </row>
    <row r="35" spans="2:6" ht="72.599999999999994">
      <c r="B35" s="135" t="s">
        <v>3244</v>
      </c>
      <c r="C35" s="139" t="s">
        <v>3203</v>
      </c>
      <c r="D35" s="54" t="s">
        <v>3248</v>
      </c>
      <c r="E35" s="170" t="s">
        <v>3249</v>
      </c>
      <c r="F35" s="160" t="s">
        <v>3187</v>
      </c>
    </row>
    <row r="36" spans="2:6" ht="29.1">
      <c r="B36" s="135" t="s">
        <v>3194</v>
      </c>
      <c r="C36" s="139" t="s">
        <v>3195</v>
      </c>
      <c r="D36" s="54" t="s">
        <v>3250</v>
      </c>
      <c r="E36" s="170" t="s">
        <v>3251</v>
      </c>
      <c r="F36" s="160" t="s">
        <v>3190</v>
      </c>
    </row>
    <row r="37" spans="2:6" ht="29.1">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c r="B9" s="51" t="s">
        <v>3095</v>
      </c>
      <c r="C9" s="51">
        <v>7</v>
      </c>
      <c r="D9" s="51" t="s">
        <v>3261</v>
      </c>
      <c r="E9" s="119">
        <v>45457</v>
      </c>
      <c r="F9" s="51">
        <v>1</v>
      </c>
      <c r="G9" s="51" cm="1">
        <f t="array" aca="1" ref="G9" ca="1">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c r="B21" s="51" t="s">
        <v>3120</v>
      </c>
      <c r="C21" s="51">
        <v>19</v>
      </c>
      <c r="D21" s="51" t="s">
        <v>3286</v>
      </c>
      <c r="E21" s="119">
        <v>45457</v>
      </c>
      <c r="F21" s="51">
        <v>1</v>
      </c>
      <c r="G21" s="51" cm="1">
        <f t="array" aca="1" ref="G21" ca="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3126</v>
      </c>
      <c r="C23" s="51">
        <v>21</v>
      </c>
      <c r="D23" s="51" t="s">
        <v>3286</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3243</v>
      </c>
    </row>
    <row r="27" spans="2:36">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3174</v>
      </c>
      <c r="C28" s="134">
        <v>21</v>
      </c>
      <c r="D28" s="128" t="s">
        <v>3175</v>
      </c>
      <c r="E28" s="127" t="s">
        <v>3176</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3177</v>
      </c>
      <c r="C29" s="134">
        <v>7</v>
      </c>
      <c r="D29" s="128" t="s">
        <v>3175</v>
      </c>
      <c r="E29" s="127" t="s">
        <v>3176</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3178</v>
      </c>
    </row>
    <row r="32" spans="2:36">
      <c r="B32" s="158" t="s">
        <v>3179</v>
      </c>
      <c r="C32" s="158" t="s">
        <v>3180</v>
      </c>
      <c r="D32" s="159" t="s">
        <v>3181</v>
      </c>
      <c r="E32" s="158" t="s">
        <v>3182</v>
      </c>
      <c r="F32" s="158" t="s">
        <v>3183</v>
      </c>
    </row>
    <row r="33" spans="2:16" ht="29.1">
      <c r="B33" s="142" t="s">
        <v>3287</v>
      </c>
      <c r="C33" s="145" t="s">
        <v>1906</v>
      </c>
      <c r="D33" s="54" t="s">
        <v>3288</v>
      </c>
      <c r="E33" s="177" t="s">
        <v>3289</v>
      </c>
      <c r="F33" s="160" t="s">
        <v>3190</v>
      </c>
    </row>
    <row r="34" spans="2:16" ht="29.1">
      <c r="B34" s="142" t="s">
        <v>3287</v>
      </c>
      <c r="C34" s="145" t="s">
        <v>1909</v>
      </c>
      <c r="D34" s="54" t="s">
        <v>3288</v>
      </c>
      <c r="E34" s="177" t="s">
        <v>3289</v>
      </c>
      <c r="F34" s="160" t="s">
        <v>3190</v>
      </c>
    </row>
    <row r="35" spans="2:16" ht="29.1">
      <c r="B35" s="142" t="s">
        <v>3287</v>
      </c>
      <c r="C35" s="145" t="s">
        <v>1911</v>
      </c>
      <c r="D35" s="54" t="s">
        <v>3288</v>
      </c>
      <c r="E35" s="177" t="s">
        <v>3289</v>
      </c>
      <c r="F35" s="160" t="s">
        <v>3190</v>
      </c>
    </row>
    <row r="36" spans="2:16" ht="29.1">
      <c r="B36" s="142" t="s">
        <v>3287</v>
      </c>
      <c r="C36" s="145" t="s">
        <v>1916</v>
      </c>
      <c r="D36" s="54" t="s">
        <v>3288</v>
      </c>
      <c r="E36" s="177" t="s">
        <v>3289</v>
      </c>
      <c r="F36" s="160" t="s">
        <v>3190</v>
      </c>
    </row>
    <row r="37" spans="2:16" ht="29.1">
      <c r="B37" s="142" t="s">
        <v>3287</v>
      </c>
      <c r="C37" s="145" t="s">
        <v>1919</v>
      </c>
      <c r="D37" s="54" t="s">
        <v>3288</v>
      </c>
      <c r="E37" s="177" t="s">
        <v>3289</v>
      </c>
      <c r="F37" s="160" t="s">
        <v>3190</v>
      </c>
    </row>
    <row r="38" spans="2:16" ht="29.1">
      <c r="B38" s="142" t="s">
        <v>3287</v>
      </c>
      <c r="C38" s="145" t="s">
        <v>1922</v>
      </c>
      <c r="D38" s="54" t="s">
        <v>3288</v>
      </c>
      <c r="E38" s="177" t="s">
        <v>3289</v>
      </c>
      <c r="F38" s="160" t="s">
        <v>3190</v>
      </c>
    </row>
    <row r="39" spans="2:16" ht="29.1">
      <c r="B39" s="142" t="s">
        <v>3287</v>
      </c>
      <c r="C39" s="145" t="s">
        <v>1924</v>
      </c>
      <c r="D39" s="54" t="s">
        <v>3288</v>
      </c>
      <c r="E39" s="177" t="s">
        <v>3289</v>
      </c>
      <c r="F39" s="160" t="s">
        <v>3190</v>
      </c>
    </row>
    <row r="40" spans="2:16" ht="29.1">
      <c r="B40" s="142" t="s">
        <v>3287</v>
      </c>
      <c r="C40" s="145" t="s">
        <v>1929</v>
      </c>
      <c r="D40" s="54" t="s">
        <v>3288</v>
      </c>
      <c r="E40" s="177" t="s">
        <v>3289</v>
      </c>
      <c r="F40" s="160" t="s">
        <v>3190</v>
      </c>
    </row>
    <row r="41" spans="2:16" ht="29.1">
      <c r="B41" s="142" t="s">
        <v>3287</v>
      </c>
      <c r="C41" s="139" t="s">
        <v>324</v>
      </c>
      <c r="D41" s="54" t="s">
        <v>3290</v>
      </c>
      <c r="E41" s="177" t="s">
        <v>3289</v>
      </c>
      <c r="F41" s="160" t="s">
        <v>3190</v>
      </c>
      <c r="I41" s="182"/>
      <c r="J41" s="182"/>
      <c r="K41" s="182"/>
      <c r="L41" s="182"/>
      <c r="M41" s="182"/>
      <c r="N41" s="182"/>
      <c r="O41" s="182"/>
      <c r="P41" s="182"/>
    </row>
    <row r="42" spans="2:16" ht="29.1">
      <c r="B42" s="197" t="s">
        <v>3244</v>
      </c>
      <c r="C42" s="198" t="s">
        <v>213</v>
      </c>
      <c r="D42" s="199" t="s">
        <v>3291</v>
      </c>
      <c r="E42" s="200" t="s">
        <v>3292</v>
      </c>
      <c r="F42" s="201" t="s">
        <v>3193</v>
      </c>
      <c r="L42" s="182"/>
    </row>
    <row r="43" spans="2:16" ht="29.1">
      <c r="B43" s="135" t="s">
        <v>3194</v>
      </c>
      <c r="C43" s="139" t="s">
        <v>3195</v>
      </c>
      <c r="D43" s="54" t="s">
        <v>3293</v>
      </c>
      <c r="E43" s="179" t="s">
        <v>3294</v>
      </c>
      <c r="F43" s="160" t="s">
        <v>3190</v>
      </c>
      <c r="L43" s="182"/>
    </row>
    <row r="44" spans="2:16" ht="29.1">
      <c r="B44" s="135" t="s">
        <v>3252</v>
      </c>
      <c r="C44" s="145" t="s">
        <v>3195</v>
      </c>
      <c r="D44" s="54" t="s">
        <v>3295</v>
      </c>
      <c r="E44" s="179" t="s">
        <v>3296</v>
      </c>
      <c r="F44" s="160" t="s">
        <v>3193</v>
      </c>
      <c r="I44" s="182"/>
      <c r="J44" s="182"/>
      <c r="K44" s="182"/>
      <c r="L44" s="182"/>
    </row>
    <row r="45" spans="2:16" ht="29.1">
      <c r="B45" s="135" t="s">
        <v>3297</v>
      </c>
      <c r="C45" s="141" t="s">
        <v>1911</v>
      </c>
      <c r="D45" s="54" t="s">
        <v>3298</v>
      </c>
      <c r="E45" s="177" t="s">
        <v>3289</v>
      </c>
      <c r="F45" s="160" t="s">
        <v>3190</v>
      </c>
      <c r="I45" s="182"/>
      <c r="J45" s="182"/>
      <c r="K45" s="182"/>
      <c r="L45" s="182"/>
    </row>
    <row r="46" spans="2:16" ht="29.1">
      <c r="B46" s="135" t="s">
        <v>3297</v>
      </c>
      <c r="C46" s="145" t="s">
        <v>1914</v>
      </c>
      <c r="D46" s="54" t="s">
        <v>3298</v>
      </c>
      <c r="E46" s="177" t="s">
        <v>3289</v>
      </c>
      <c r="F46" s="160" t="s">
        <v>3190</v>
      </c>
      <c r="I46" s="182"/>
      <c r="J46" s="182"/>
      <c r="K46" s="182"/>
      <c r="L46" s="182"/>
    </row>
    <row r="47" spans="2:16" ht="29.1">
      <c r="B47" s="135" t="s">
        <v>3297</v>
      </c>
      <c r="C47" s="141" t="s">
        <v>1916</v>
      </c>
      <c r="D47" s="54" t="s">
        <v>3298</v>
      </c>
      <c r="E47" s="177" t="s">
        <v>3289</v>
      </c>
      <c r="F47" s="160" t="s">
        <v>3190</v>
      </c>
      <c r="I47" s="182"/>
      <c r="J47" s="182"/>
      <c r="K47" s="182"/>
      <c r="L47" s="182"/>
    </row>
    <row r="48" spans="2:16" ht="29.1">
      <c r="B48" s="135" t="s">
        <v>3297</v>
      </c>
      <c r="C48" s="141" t="s">
        <v>1924</v>
      </c>
      <c r="D48" s="54" t="s">
        <v>3298</v>
      </c>
      <c r="E48" s="177" t="s">
        <v>3289</v>
      </c>
      <c r="F48" s="160" t="s">
        <v>3190</v>
      </c>
      <c r="I48" s="182"/>
      <c r="J48" s="182"/>
      <c r="K48" s="182"/>
      <c r="L48" s="182"/>
    </row>
    <row r="49" spans="2:6" ht="29.1">
      <c r="B49" s="135" t="s">
        <v>3297</v>
      </c>
      <c r="C49" s="145" t="s">
        <v>1927</v>
      </c>
      <c r="D49" s="54" t="s">
        <v>3298</v>
      </c>
      <c r="E49" s="177" t="s">
        <v>3289</v>
      </c>
      <c r="F49" s="160" t="s">
        <v>3190</v>
      </c>
    </row>
    <row r="50" spans="2:6" ht="29.1">
      <c r="B50" s="135" t="s">
        <v>3297</v>
      </c>
      <c r="C50" s="196" t="s">
        <v>1929</v>
      </c>
      <c r="D50" s="54" t="s">
        <v>3298</v>
      </c>
      <c r="E50" s="177" t="s">
        <v>3289</v>
      </c>
      <c r="F50" s="160" t="s">
        <v>3190</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3095</v>
      </c>
      <c r="C9" s="51">
        <v>7</v>
      </c>
      <c r="D9" s="119" t="s">
        <v>3306</v>
      </c>
      <c r="E9" s="119">
        <v>45448</v>
      </c>
      <c r="F9" s="51">
        <v>2</v>
      </c>
      <c r="G9" s="51" cm="1">
        <f t="array" aca="1" ref="G9" ca="1">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c r="B21" s="51" t="s">
        <v>3120</v>
      </c>
      <c r="C21" s="51">
        <v>19</v>
      </c>
      <c r="D21" s="119" t="s">
        <v>3345</v>
      </c>
      <c r="E21" s="119">
        <v>45448</v>
      </c>
      <c r="F21" s="51">
        <v>2</v>
      </c>
      <c r="G21" s="220" cm="1">
        <f t="array" aca="1" ref="G21" ca="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3126</v>
      </c>
      <c r="C23" s="51">
        <v>21</v>
      </c>
      <c r="D23" s="119" t="s">
        <v>3345</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3243</v>
      </c>
      <c r="AO25" s="232"/>
    </row>
    <row r="26" spans="2:41">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3178</v>
      </c>
    </row>
    <row r="31" spans="2:41">
      <c r="B31" s="158" t="s">
        <v>3179</v>
      </c>
      <c r="C31" s="158" t="s">
        <v>3180</v>
      </c>
      <c r="D31" s="159" t="s">
        <v>3181</v>
      </c>
      <c r="E31" s="158" t="s">
        <v>3182</v>
      </c>
      <c r="F31" s="158" t="s">
        <v>3183</v>
      </c>
    </row>
    <row r="32" spans="2:41" ht="43.5">
      <c r="B32" s="135" t="s">
        <v>3184</v>
      </c>
      <c r="C32" s="139" t="s">
        <v>302</v>
      </c>
      <c r="D32" s="54" t="s">
        <v>3346</v>
      </c>
      <c r="E32" s="177" t="s">
        <v>3347</v>
      </c>
      <c r="F32" s="160" t="s">
        <v>3190</v>
      </c>
    </row>
    <row r="33" spans="2:16" ht="29.1">
      <c r="B33" s="135" t="s">
        <v>3348</v>
      </c>
      <c r="C33" s="139" t="s">
        <v>3349</v>
      </c>
      <c r="D33" s="54" t="s">
        <v>3350</v>
      </c>
      <c r="E33" s="177" t="s">
        <v>3351</v>
      </c>
      <c r="F33" s="160" t="s">
        <v>3193</v>
      </c>
    </row>
    <row r="34" spans="2:16" ht="87">
      <c r="B34" s="135" t="s">
        <v>3194</v>
      </c>
      <c r="C34" s="139" t="s">
        <v>3195</v>
      </c>
      <c r="D34" s="54" t="s">
        <v>3352</v>
      </c>
      <c r="E34" s="177" t="s">
        <v>3353</v>
      </c>
      <c r="F34" s="160" t="s">
        <v>3354</v>
      </c>
    </row>
    <row r="35" spans="2:16" ht="57.95">
      <c r="B35" s="135" t="s">
        <v>3252</v>
      </c>
      <c r="C35" s="139" t="s">
        <v>3195</v>
      </c>
      <c r="D35" s="54" t="s">
        <v>3355</v>
      </c>
      <c r="E35" s="177" t="s">
        <v>3356</v>
      </c>
      <c r="F35" s="160" t="s">
        <v>3357</v>
      </c>
    </row>
    <row r="36" spans="2:16" ht="29.1">
      <c r="B36" s="135" t="s">
        <v>3287</v>
      </c>
      <c r="C36" s="139" t="s">
        <v>1539</v>
      </c>
      <c r="D36" s="54" t="s">
        <v>3358</v>
      </c>
      <c r="E36" s="177" t="s">
        <v>3359</v>
      </c>
      <c r="F36" s="160" t="s">
        <v>3190</v>
      </c>
    </row>
    <row r="37" spans="2:16" ht="29.1">
      <c r="B37" s="135" t="s">
        <v>3287</v>
      </c>
      <c r="C37" s="139" t="s">
        <v>1542</v>
      </c>
      <c r="D37" s="54" t="s">
        <v>3358</v>
      </c>
      <c r="E37" s="177" t="s">
        <v>3359</v>
      </c>
      <c r="F37" s="160" t="s">
        <v>3190</v>
      </c>
    </row>
    <row r="38" spans="2:16" ht="29.1">
      <c r="B38" s="135" t="s">
        <v>3287</v>
      </c>
      <c r="C38" s="139" t="s">
        <v>1545</v>
      </c>
      <c r="D38" s="54" t="s">
        <v>3358</v>
      </c>
      <c r="E38" s="177" t="s">
        <v>3359</v>
      </c>
      <c r="F38" s="160" t="s">
        <v>3190</v>
      </c>
      <c r="I38" s="182"/>
      <c r="J38" s="182"/>
      <c r="K38" s="182"/>
      <c r="L38" s="182"/>
      <c r="M38" s="182"/>
      <c r="N38" s="182"/>
      <c r="O38" s="182"/>
      <c r="P38" s="182"/>
    </row>
    <row r="39" spans="2:16" ht="29.1">
      <c r="B39" s="135" t="s">
        <v>3287</v>
      </c>
      <c r="C39" s="139" t="s">
        <v>1554</v>
      </c>
      <c r="D39" s="54" t="s">
        <v>3358</v>
      </c>
      <c r="E39" s="177" t="s">
        <v>3359</v>
      </c>
      <c r="F39" s="160" t="s">
        <v>3190</v>
      </c>
      <c r="I39" s="182"/>
      <c r="J39" s="182"/>
      <c r="K39" s="182"/>
      <c r="L39" s="182"/>
      <c r="M39" s="182"/>
      <c r="N39" s="182"/>
      <c r="O39" s="182"/>
      <c r="P39" s="182"/>
    </row>
    <row r="40" spans="2:16" ht="29.1">
      <c r="B40" s="135" t="s">
        <v>3287</v>
      </c>
      <c r="C40" s="139" t="s">
        <v>1557</v>
      </c>
      <c r="D40" s="54" t="s">
        <v>3358</v>
      </c>
      <c r="E40" s="177" t="s">
        <v>3359</v>
      </c>
      <c r="F40" s="160" t="s">
        <v>3190</v>
      </c>
    </row>
    <row r="41" spans="2:16" ht="29.1">
      <c r="B41" s="135" t="s">
        <v>3287</v>
      </c>
      <c r="C41" s="139" t="s">
        <v>1559</v>
      </c>
      <c r="D41" s="54" t="s">
        <v>3358</v>
      </c>
      <c r="E41" s="177" t="s">
        <v>3359</v>
      </c>
      <c r="F41" s="160" t="s">
        <v>3190</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3095</v>
      </c>
      <c r="C9" s="51">
        <v>7</v>
      </c>
      <c r="D9" s="51" t="s">
        <v>3365</v>
      </c>
      <c r="E9" s="119">
        <v>45433</v>
      </c>
      <c r="F9" s="51">
        <v>1</v>
      </c>
      <c r="G9" s="51" cm="1">
        <f t="array" aca="1" ref="G9" ca="1">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c r="B21" s="51" t="s">
        <v>3120</v>
      </c>
      <c r="C21" s="51">
        <v>19</v>
      </c>
      <c r="D21" s="51" t="s">
        <v>3393</v>
      </c>
      <c r="E21" s="119">
        <v>45433</v>
      </c>
      <c r="F21" s="51">
        <v>1</v>
      </c>
      <c r="G21" s="51" cm="1">
        <f t="array" aca="1" ref="G21" ca="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3126</v>
      </c>
      <c r="C23" s="51">
        <v>21</v>
      </c>
      <c r="D23" s="51" t="s">
        <v>3394</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3243</v>
      </c>
    </row>
    <row r="26" spans="2:4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3174</v>
      </c>
      <c r="C27" s="175">
        <v>21</v>
      </c>
      <c r="D27" s="130" t="s">
        <v>3175</v>
      </c>
      <c r="E27" s="129" t="s">
        <v>3176</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3178</v>
      </c>
    </row>
    <row r="31" spans="2:45">
      <c r="B31" s="158" t="s">
        <v>3179</v>
      </c>
      <c r="C31" s="158" t="s">
        <v>3180</v>
      </c>
      <c r="D31" s="159" t="s">
        <v>3181</v>
      </c>
      <c r="E31" s="158" t="s">
        <v>3182</v>
      </c>
      <c r="F31" s="158" t="s">
        <v>3183</v>
      </c>
    </row>
    <row r="32" spans="2:45" ht="29.1">
      <c r="B32" s="321" t="s">
        <v>3244</v>
      </c>
      <c r="C32" s="322" t="s">
        <v>203</v>
      </c>
      <c r="D32" s="323" t="s">
        <v>3395</v>
      </c>
      <c r="E32" s="324" t="s">
        <v>3396</v>
      </c>
      <c r="F32" s="178" t="s">
        <v>3190</v>
      </c>
    </row>
    <row r="33" spans="2:6" ht="29.1">
      <c r="B33" s="321" t="s">
        <v>3244</v>
      </c>
      <c r="C33" s="322" t="s">
        <v>213</v>
      </c>
      <c r="D33" s="323" t="s">
        <v>3395</v>
      </c>
      <c r="E33" s="324" t="s">
        <v>3396</v>
      </c>
      <c r="F33" s="178" t="s">
        <v>3190</v>
      </c>
    </row>
    <row r="34" spans="2:6" ht="101.45">
      <c r="B34" s="321" t="s">
        <v>3244</v>
      </c>
      <c r="C34" s="322" t="s">
        <v>563</v>
      </c>
      <c r="D34" s="323" t="s">
        <v>3397</v>
      </c>
      <c r="E34" s="324" t="s">
        <v>3398</v>
      </c>
      <c r="F34" s="178" t="s">
        <v>3190</v>
      </c>
    </row>
    <row r="35" spans="2:6" ht="101.45">
      <c r="B35" s="321" t="s">
        <v>3244</v>
      </c>
      <c r="C35" s="322" t="s">
        <v>567</v>
      </c>
      <c r="D35" s="323" t="s">
        <v>3397</v>
      </c>
      <c r="E35" s="324" t="s">
        <v>3398</v>
      </c>
      <c r="F35" s="178" t="s">
        <v>3190</v>
      </c>
    </row>
    <row r="36" spans="2:6" ht="101.45">
      <c r="B36" s="321" t="s">
        <v>3244</v>
      </c>
      <c r="C36" s="322" t="s">
        <v>283</v>
      </c>
      <c r="D36" s="323" t="s">
        <v>3397</v>
      </c>
      <c r="E36" s="324" t="s">
        <v>3398</v>
      </c>
      <c r="F36" s="178" t="s">
        <v>3190</v>
      </c>
    </row>
    <row r="37" spans="2:6" ht="101.45">
      <c r="B37" s="321" t="s">
        <v>3244</v>
      </c>
      <c r="C37" s="322" t="s">
        <v>618</v>
      </c>
      <c r="D37" s="323" t="s">
        <v>3397</v>
      </c>
      <c r="E37" s="324" t="s">
        <v>3398</v>
      </c>
      <c r="F37" s="178" t="s">
        <v>3190</v>
      </c>
    </row>
    <row r="38" spans="2:6" ht="101.45">
      <c r="B38" s="321" t="s">
        <v>3244</v>
      </c>
      <c r="C38" s="322" t="s">
        <v>423</v>
      </c>
      <c r="D38" s="323" t="s">
        <v>3397</v>
      </c>
      <c r="E38" s="324" t="s">
        <v>3398</v>
      </c>
      <c r="F38" s="178" t="s">
        <v>3190</v>
      </c>
    </row>
    <row r="39" spans="2:6" ht="101.45">
      <c r="B39" s="321" t="s">
        <v>3244</v>
      </c>
      <c r="C39" s="322" t="s">
        <v>630</v>
      </c>
      <c r="D39" s="323" t="s">
        <v>3397</v>
      </c>
      <c r="E39" s="324" t="s">
        <v>3398</v>
      </c>
      <c r="F39" s="178" t="s">
        <v>3190</v>
      </c>
    </row>
    <row r="40" spans="2:6" ht="101.45">
      <c r="B40" s="321" t="s">
        <v>3244</v>
      </c>
      <c r="C40" s="322" t="s">
        <v>3399</v>
      </c>
      <c r="D40" s="323" t="s">
        <v>3397</v>
      </c>
      <c r="E40" s="324" t="s">
        <v>3398</v>
      </c>
      <c r="F40" s="178" t="s">
        <v>3190</v>
      </c>
    </row>
    <row r="41" spans="2:6" ht="101.45">
      <c r="B41" s="321" t="s">
        <v>3244</v>
      </c>
      <c r="C41" s="322" t="s">
        <v>3400</v>
      </c>
      <c r="D41" s="323" t="s">
        <v>3397</v>
      </c>
      <c r="E41" s="324" t="s">
        <v>3398</v>
      </c>
      <c r="F41" s="178" t="s">
        <v>3190</v>
      </c>
    </row>
    <row r="42" spans="2:6" ht="101.45">
      <c r="B42" s="321" t="s">
        <v>3244</v>
      </c>
      <c r="C42" s="322" t="s">
        <v>3401</v>
      </c>
      <c r="D42" s="323" t="s">
        <v>3397</v>
      </c>
      <c r="E42" s="324" t="s">
        <v>3398</v>
      </c>
      <c r="F42" s="178" t="s">
        <v>3190</v>
      </c>
    </row>
    <row r="43" spans="2:6" ht="101.45">
      <c r="B43" s="321" t="s">
        <v>3244</v>
      </c>
      <c r="C43" s="322" t="s">
        <v>3402</v>
      </c>
      <c r="D43" s="323" t="s">
        <v>3397</v>
      </c>
      <c r="E43" s="324" t="s">
        <v>3398</v>
      </c>
      <c r="F43" s="178" t="s">
        <v>3190</v>
      </c>
    </row>
    <row r="44" spans="2:6" ht="101.45">
      <c r="B44" s="321" t="s">
        <v>3244</v>
      </c>
      <c r="C44" s="322" t="s">
        <v>3403</v>
      </c>
      <c r="D44" s="323" t="s">
        <v>3397</v>
      </c>
      <c r="E44" s="324" t="s">
        <v>3398</v>
      </c>
      <c r="F44" s="178" t="s">
        <v>3190</v>
      </c>
    </row>
    <row r="45" spans="2:6" ht="101.45">
      <c r="B45" s="321" t="s">
        <v>3244</v>
      </c>
      <c r="C45" s="322" t="s">
        <v>3404</v>
      </c>
      <c r="D45" s="323" t="s">
        <v>3397</v>
      </c>
      <c r="E45" s="324" t="s">
        <v>3398</v>
      </c>
      <c r="F45" s="178" t="s">
        <v>3190</v>
      </c>
    </row>
    <row r="46" spans="2:6" ht="101.45">
      <c r="B46" s="321" t="s">
        <v>3244</v>
      </c>
      <c r="C46" s="322" t="s">
        <v>655</v>
      </c>
      <c r="D46" s="323" t="s">
        <v>3397</v>
      </c>
      <c r="E46" s="324" t="s">
        <v>3398</v>
      </c>
      <c r="F46" s="178" t="s">
        <v>3190</v>
      </c>
    </row>
    <row r="47" spans="2:6" ht="101.45">
      <c r="B47" s="321" t="s">
        <v>3244</v>
      </c>
      <c r="C47" s="322" t="s">
        <v>673</v>
      </c>
      <c r="D47" s="323" t="s">
        <v>3397</v>
      </c>
      <c r="E47" s="324" t="s">
        <v>3398</v>
      </c>
      <c r="F47" s="178" t="s">
        <v>3190</v>
      </c>
    </row>
    <row r="48" spans="2:6" ht="29.1">
      <c r="B48" s="321" t="s">
        <v>3244</v>
      </c>
      <c r="C48" s="322" t="s">
        <v>821</v>
      </c>
      <c r="D48" s="323" t="s">
        <v>3405</v>
      </c>
      <c r="E48" s="324" t="s">
        <v>3406</v>
      </c>
      <c r="F48" s="178" t="s">
        <v>3190</v>
      </c>
    </row>
    <row r="49" spans="2:6" ht="43.5">
      <c r="B49" s="321" t="s">
        <v>3244</v>
      </c>
      <c r="C49" s="322" t="s">
        <v>597</v>
      </c>
      <c r="D49" s="325" t="s">
        <v>3407</v>
      </c>
      <c r="E49" s="326" t="s">
        <v>3408</v>
      </c>
      <c r="F49" s="178" t="s">
        <v>3190</v>
      </c>
    </row>
    <row r="50" spans="2:6" ht="144.94999999999999">
      <c r="B50" s="321" t="s">
        <v>3244</v>
      </c>
      <c r="C50" s="327" t="s">
        <v>664</v>
      </c>
      <c r="D50" s="328" t="s">
        <v>3409</v>
      </c>
      <c r="E50" s="329" t="s">
        <v>3410</v>
      </c>
      <c r="F50" s="178" t="s">
        <v>3190</v>
      </c>
    </row>
    <row r="51" spans="2:6" ht="144.94999999999999">
      <c r="B51" s="202" t="s">
        <v>3184</v>
      </c>
      <c r="C51" s="224" t="s">
        <v>681</v>
      </c>
      <c r="D51" s="58" t="s">
        <v>3409</v>
      </c>
      <c r="E51" s="223" t="s">
        <v>3410</v>
      </c>
      <c r="F51" s="222" t="s">
        <v>3190</v>
      </c>
    </row>
    <row r="52" spans="2:6" ht="57.95">
      <c r="B52" s="202" t="s">
        <v>3194</v>
      </c>
      <c r="C52" s="203" t="s">
        <v>3411</v>
      </c>
      <c r="D52" s="58" t="s">
        <v>3412</v>
      </c>
      <c r="E52" s="221" t="s">
        <v>3413</v>
      </c>
      <c r="F52" s="222" t="s">
        <v>3193</v>
      </c>
    </row>
    <row r="53" spans="2:6" ht="57.9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3095</v>
      </c>
      <c r="C7" s="51">
        <v>7</v>
      </c>
      <c r="D7" s="51" t="s">
        <v>3423</v>
      </c>
      <c r="E7" s="119">
        <v>45441</v>
      </c>
      <c r="F7" s="51">
        <v>1</v>
      </c>
      <c r="G7" s="51" cm="1">
        <f t="array" aca="1" ref="G7" ca="1">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3126</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3174</v>
      </c>
      <c r="C24" s="167">
        <v>21</v>
      </c>
      <c r="D24" s="136" t="s">
        <v>3175</v>
      </c>
      <c r="E24" s="135" t="s">
        <v>3176</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3177</v>
      </c>
      <c r="C25" s="137">
        <v>7</v>
      </c>
      <c r="D25" s="143" t="s">
        <v>3175</v>
      </c>
      <c r="E25" s="142" t="s">
        <v>3176</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3178</v>
      </c>
    </row>
    <row r="28" spans="2:31">
      <c r="B28" s="158" t="s">
        <v>3179</v>
      </c>
      <c r="C28" s="158" t="s">
        <v>3180</v>
      </c>
      <c r="D28" s="159" t="s">
        <v>3181</v>
      </c>
      <c r="E28" s="158" t="s">
        <v>3182</v>
      </c>
      <c r="F28" s="158" t="s">
        <v>3183</v>
      </c>
    </row>
    <row r="29" spans="2:31" ht="43.5">
      <c r="B29" s="135" t="s">
        <v>3244</v>
      </c>
      <c r="C29" s="139" t="s">
        <v>443</v>
      </c>
      <c r="D29" s="54" t="s">
        <v>3439</v>
      </c>
      <c r="E29" s="160" t="s">
        <v>3440</v>
      </c>
      <c r="F29" s="160" t="s">
        <v>3190</v>
      </c>
    </row>
    <row r="30" spans="2:31" ht="43.5">
      <c r="B30" s="135" t="s">
        <v>3244</v>
      </c>
      <c r="C30" s="139" t="s">
        <v>438</v>
      </c>
      <c r="D30" s="54" t="s">
        <v>3439</v>
      </c>
      <c r="E30" s="160" t="s">
        <v>3440</v>
      </c>
      <c r="F30" s="160"/>
    </row>
    <row r="31" spans="2:31" ht="43.5">
      <c r="B31" s="135" t="s">
        <v>3244</v>
      </c>
      <c r="C31" s="139" t="s">
        <v>3417</v>
      </c>
      <c r="D31" s="54" t="s">
        <v>3441</v>
      </c>
      <c r="E31" s="160" t="s">
        <v>3442</v>
      </c>
      <c r="F31" s="160"/>
    </row>
    <row r="32" spans="2:31" ht="43.5">
      <c r="B32" s="135" t="s">
        <v>3244</v>
      </c>
      <c r="C32" s="139" t="s">
        <v>3443</v>
      </c>
      <c r="D32" s="54" t="s">
        <v>3441</v>
      </c>
      <c r="E32" s="160" t="s">
        <v>3442</v>
      </c>
      <c r="F32" s="160" t="s">
        <v>3190</v>
      </c>
    </row>
    <row r="33" spans="2:6" ht="29.1">
      <c r="B33" s="161" t="s">
        <v>3244</v>
      </c>
      <c r="C33" s="162" t="s">
        <v>182</v>
      </c>
      <c r="D33" s="163" t="s">
        <v>3444</v>
      </c>
      <c r="E33" s="213" t="s">
        <v>3445</v>
      </c>
      <c r="F33" s="160" t="s">
        <v>3190</v>
      </c>
    </row>
    <row r="34" spans="2:6" ht="29.1">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3451</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3465</v>
      </c>
      <c r="E19" s="119">
        <v>45439</v>
      </c>
      <c r="F19" s="51">
        <v>1</v>
      </c>
      <c r="G19" s="217" cm="1">
        <f t="array" aca="1" ref="G19" ca="1">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3466</v>
      </c>
      <c r="E21" s="119">
        <v>45439</v>
      </c>
      <c r="F21" s="51">
        <v>1</v>
      </c>
      <c r="G21" s="217" cm="1">
        <f t="array" aca="1" ref="G21" ca="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3243</v>
      </c>
      <c r="C23" s="166"/>
      <c r="D23" s="166"/>
      <c r="E23" s="166"/>
      <c r="F23" s="166"/>
      <c r="G23" s="166"/>
      <c r="H23" s="166"/>
    </row>
    <row r="24" spans="2:23">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3471</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3485</v>
      </c>
      <c r="E19" s="119">
        <v>45433</v>
      </c>
      <c r="F19" s="51">
        <v>2</v>
      </c>
      <c r="G19" s="234" cm="1">
        <f t="array" aca="1" ref="G19" ca="1">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3487</v>
      </c>
      <c r="E21" s="119">
        <v>45433</v>
      </c>
      <c r="F21" s="51">
        <v>1</v>
      </c>
      <c r="G21" s="217" cm="1">
        <f t="array" aca="1" ref="G21" ca="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3243</v>
      </c>
    </row>
    <row r="24" spans="2:23">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3095</v>
      </c>
      <c r="C9" s="51">
        <v>7</v>
      </c>
      <c r="D9" s="51" t="s">
        <v>3495</v>
      </c>
      <c r="E9" s="119">
        <v>45390</v>
      </c>
      <c r="F9" s="51">
        <v>1</v>
      </c>
      <c r="G9" s="51" cm="1">
        <f t="array" aca="1" ref="G9" ca="1">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c r="B19" s="51" t="s">
        <v>3120</v>
      </c>
      <c r="C19" s="51">
        <v>19</v>
      </c>
      <c r="D19" s="51" t="s">
        <v>3528</v>
      </c>
      <c r="E19" s="119">
        <v>45390</v>
      </c>
      <c r="F19" s="51">
        <v>1</v>
      </c>
      <c r="G19" s="122" cm="1">
        <f t="array" aca="1" ref="G19" ca="1">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3126</v>
      </c>
      <c r="C21" s="51">
        <v>21</v>
      </c>
      <c r="D21" s="51" t="s">
        <v>3528</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3243</v>
      </c>
    </row>
    <row r="24" spans="2:2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3174</v>
      </c>
      <c r="C25" s="134">
        <v>16</v>
      </c>
      <c r="D25" s="128" t="s">
        <v>3175</v>
      </c>
      <c r="E25" s="127" t="s">
        <v>3176</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3177</v>
      </c>
      <c r="C26" s="134">
        <v>7</v>
      </c>
      <c r="D26" s="128" t="s">
        <v>3175</v>
      </c>
      <c r="E26" s="127" t="s">
        <v>3176</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3178</v>
      </c>
    </row>
    <row r="29" spans="2:25">
      <c r="B29" s="158" t="s">
        <v>3179</v>
      </c>
      <c r="C29" s="158" t="s">
        <v>3180</v>
      </c>
      <c r="D29" s="159" t="s">
        <v>3181</v>
      </c>
      <c r="E29" s="158" t="s">
        <v>3182</v>
      </c>
      <c r="F29" s="158" t="s">
        <v>3183</v>
      </c>
    </row>
    <row r="30" spans="2:25" ht="43.5">
      <c r="B30" s="202" t="s">
        <v>3184</v>
      </c>
      <c r="C30" s="203" t="s">
        <v>203</v>
      </c>
      <c r="D30" s="58" t="s">
        <v>3529</v>
      </c>
      <c r="E30" s="121" t="s">
        <v>3530</v>
      </c>
      <c r="F30" s="160" t="s">
        <v>3190</v>
      </c>
      <c r="I30" t="s">
        <v>3531</v>
      </c>
    </row>
    <row r="31" spans="2:25" ht="43.5">
      <c r="B31" s="202" t="s">
        <v>3184</v>
      </c>
      <c r="C31" s="203" t="s">
        <v>213</v>
      </c>
      <c r="D31" s="58" t="s">
        <v>3529</v>
      </c>
      <c r="E31" s="121" t="s">
        <v>3530</v>
      </c>
      <c r="F31" s="160" t="s">
        <v>3190</v>
      </c>
    </row>
    <row r="32" spans="2:25" ht="43.5">
      <c r="B32" s="202" t="s">
        <v>3184</v>
      </c>
      <c r="C32" s="146" t="s">
        <v>1670</v>
      </c>
      <c r="D32" s="58" t="s">
        <v>3529</v>
      </c>
      <c r="E32" s="121" t="s">
        <v>3530</v>
      </c>
      <c r="F32" s="160" t="s">
        <v>3190</v>
      </c>
    </row>
    <row r="33" spans="2:16" ht="43.5">
      <c r="B33" s="202" t="s">
        <v>3184</v>
      </c>
      <c r="C33" s="146" t="s">
        <v>1677</v>
      </c>
      <c r="D33" s="58" t="s">
        <v>3529</v>
      </c>
      <c r="E33" s="121" t="s">
        <v>3530</v>
      </c>
      <c r="F33" s="160" t="s">
        <v>3190</v>
      </c>
    </row>
    <row r="34" spans="2:16" ht="43.5">
      <c r="B34" s="202" t="s">
        <v>3184</v>
      </c>
      <c r="C34" s="146" t="s">
        <v>1683</v>
      </c>
      <c r="D34" s="58" t="s">
        <v>3529</v>
      </c>
      <c r="E34" s="121" t="s">
        <v>3530</v>
      </c>
      <c r="F34" s="160" t="s">
        <v>3190</v>
      </c>
    </row>
    <row r="35" spans="2:16" ht="43.5">
      <c r="B35" s="202" t="s">
        <v>3184</v>
      </c>
      <c r="C35" s="146" t="s">
        <v>1690</v>
      </c>
      <c r="D35" s="58" t="s">
        <v>3529</v>
      </c>
      <c r="E35" s="121" t="s">
        <v>3530</v>
      </c>
      <c r="F35" s="160" t="s">
        <v>3190</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c r="B9" s="51" t="s">
        <v>3095</v>
      </c>
      <c r="C9" s="51">
        <v>7</v>
      </c>
      <c r="D9" s="51" t="s">
        <v>3537</v>
      </c>
      <c r="E9" s="119">
        <v>45471</v>
      </c>
      <c r="F9" s="51">
        <v>1</v>
      </c>
      <c r="G9" s="51" cm="1">
        <f t="array" aca="1" ref="G9" ca="1">SUMPRODUCT(--(I9:S9&lt;=I28:S28))/COUNTA(I28:S28)</f>
        <v>1</v>
      </c>
      <c r="H9" s="51" t="s">
        <v>3222</v>
      </c>
      <c r="I9" s="51">
        <v>5</v>
      </c>
      <c r="J9" s="51">
        <v>2</v>
      </c>
      <c r="K9" s="51">
        <v>30</v>
      </c>
      <c r="L9" s="51">
        <v>7</v>
      </c>
      <c r="M9" s="51">
        <v>7</v>
      </c>
      <c r="N9" s="51">
        <v>10</v>
      </c>
      <c r="O9" s="51">
        <v>10</v>
      </c>
      <c r="P9" s="51">
        <v>3</v>
      </c>
      <c r="Q9" s="51">
        <v>238</v>
      </c>
      <c r="R9" s="51">
        <v>10</v>
      </c>
      <c r="S9" s="51">
        <v>23</v>
      </c>
    </row>
    <row r="10" spans="2:30" ht="29.1">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1">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c r="B19" s="51" t="s">
        <v>3120</v>
      </c>
      <c r="C19" s="51">
        <v>19</v>
      </c>
      <c r="D19" s="51" t="s">
        <v>3554</v>
      </c>
      <c r="E19" s="119">
        <v>45471</v>
      </c>
      <c r="F19" s="51">
        <v>1</v>
      </c>
      <c r="G19" s="122" cm="1">
        <f t="array" aca="1" ref="G19" ca="1">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3126</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3243</v>
      </c>
      <c r="C25" s="166"/>
      <c r="D25" s="166"/>
      <c r="E25" s="166"/>
      <c r="F25" s="166"/>
      <c r="G25" s="166"/>
      <c r="H25" s="166"/>
    </row>
    <row r="26" spans="2:24">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3174</v>
      </c>
      <c r="C27" s="167">
        <v>21</v>
      </c>
      <c r="D27" s="136" t="s">
        <v>3175</v>
      </c>
      <c r="E27" s="135" t="s">
        <v>3176</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3177</v>
      </c>
      <c r="C28" s="167">
        <v>7</v>
      </c>
      <c r="D28" s="169" t="s">
        <v>3175</v>
      </c>
      <c r="E28" s="167" t="s">
        <v>3176</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3178</v>
      </c>
    </row>
    <row r="31" spans="2:24">
      <c r="B31" s="173" t="s">
        <v>3179</v>
      </c>
      <c r="C31" s="155" t="s">
        <v>3180</v>
      </c>
      <c r="D31" s="174" t="s">
        <v>3181</v>
      </c>
      <c r="E31" s="155" t="s">
        <v>3182</v>
      </c>
      <c r="F31" s="174" t="s">
        <v>3183</v>
      </c>
    </row>
    <row r="32" spans="2:24" ht="29.1">
      <c r="B32" s="208" t="s">
        <v>3184</v>
      </c>
      <c r="C32" s="208" t="s">
        <v>479</v>
      </c>
      <c r="D32" s="163" t="s">
        <v>3556</v>
      </c>
      <c r="E32" s="163" t="s">
        <v>3557</v>
      </c>
      <c r="F32" s="208" t="s">
        <v>3190</v>
      </c>
    </row>
    <row r="33" spans="2:24" ht="116.1">
      <c r="B33" s="208" t="s">
        <v>3184</v>
      </c>
      <c r="C33" s="208" t="s">
        <v>492</v>
      </c>
      <c r="D33" s="163" t="s">
        <v>3558</v>
      </c>
      <c r="E33" s="163" t="s">
        <v>3559</v>
      </c>
      <c r="F33" s="163" t="s">
        <v>3560</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c r="B7" s="51" t="s">
        <v>3095</v>
      </c>
      <c r="C7" s="51">
        <v>7</v>
      </c>
      <c r="D7" s="51" t="s">
        <v>3567</v>
      </c>
      <c r="E7" s="119">
        <v>45471</v>
      </c>
      <c r="F7" s="51">
        <v>1</v>
      </c>
      <c r="G7" s="51" cm="1">
        <f t="array" aca="1" ref="G7" ca="1">SUMPRODUCT(--(I7:P7&lt;=I24:P24))/COUNTA(I24:P24)</f>
        <v>1</v>
      </c>
      <c r="H7" s="51" t="s">
        <v>3146</v>
      </c>
      <c r="I7" s="51">
        <v>2</v>
      </c>
      <c r="J7" s="51">
        <v>30</v>
      </c>
      <c r="K7" s="51">
        <v>10</v>
      </c>
      <c r="L7" s="51">
        <v>1</v>
      </c>
      <c r="M7" s="51">
        <v>4</v>
      </c>
      <c r="N7" s="51">
        <v>10</v>
      </c>
      <c r="O7" s="51">
        <v>10</v>
      </c>
      <c r="P7" s="51">
        <v>21</v>
      </c>
    </row>
    <row r="8" spans="2:16">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c r="B17" s="51" t="s">
        <v>3120</v>
      </c>
      <c r="C17" s="51">
        <v>19</v>
      </c>
      <c r="D17" s="51" t="s">
        <v>3580</v>
      </c>
      <c r="E17" s="119">
        <v>45471</v>
      </c>
      <c r="F17" s="51">
        <v>1</v>
      </c>
      <c r="G17" s="51" cm="1">
        <f t="array" aca="1" ref="G17" ca="1">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c r="B19" s="51" t="s">
        <v>3126</v>
      </c>
      <c r="C19" s="51">
        <v>21</v>
      </c>
      <c r="D19" s="51"/>
      <c r="E19" s="119">
        <v>45471</v>
      </c>
      <c r="F19" s="51">
        <v>1</v>
      </c>
      <c r="G19" s="51" cm="1">
        <f t="array" aca="1" ref="G19" ca="1">SUM(IF(IF(G3:G18="null",1,G3:G18)=1,1,0))/COUNT(IF(G3:G18="null",1,1))</f>
        <v>0.875</v>
      </c>
      <c r="H19" s="51" t="s">
        <v>3146</v>
      </c>
      <c r="I19" s="51" t="s">
        <v>3137</v>
      </c>
      <c r="J19" s="51" t="s">
        <v>3137</v>
      </c>
      <c r="K19" s="51" t="s">
        <v>3137</v>
      </c>
      <c r="L19" s="51" t="s">
        <v>3137</v>
      </c>
      <c r="M19" s="51" t="s">
        <v>3137</v>
      </c>
      <c r="N19" s="51">
        <v>0</v>
      </c>
      <c r="O19" s="51" t="s">
        <v>3137</v>
      </c>
      <c r="P19" s="51" t="s">
        <v>3137</v>
      </c>
    </row>
    <row r="22" spans="2:16">
      <c r="B22" s="154" t="s">
        <v>3581</v>
      </c>
    </row>
    <row r="23" spans="2:16">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3175</v>
      </c>
      <c r="E24" s="137" t="s">
        <v>3176</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3175</v>
      </c>
      <c r="E25" s="137" t="s">
        <v>3176</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3178</v>
      </c>
    </row>
    <row r="28" spans="2:16">
      <c r="B28" s="173" t="s">
        <v>3179</v>
      </c>
      <c r="C28" s="155" t="s">
        <v>3180</v>
      </c>
      <c r="D28" s="174" t="s">
        <v>3181</v>
      </c>
      <c r="E28" s="155" t="s">
        <v>3182</v>
      </c>
      <c r="F28" s="174" t="s">
        <v>3183</v>
      </c>
    </row>
    <row r="29" spans="2:16" ht="29.1">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3095</v>
      </c>
      <c r="C9" s="51">
        <v>7</v>
      </c>
      <c r="D9" t="s">
        <v>3589</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c r="B21" s="51" t="s">
        <v>3120</v>
      </c>
      <c r="C21" s="51">
        <v>19</v>
      </c>
      <c r="D21" t="s">
        <v>3608</v>
      </c>
      <c r="E21" s="332">
        <v>45390</v>
      </c>
      <c r="F21" s="116">
        <v>1</v>
      </c>
      <c r="G21" s="234" cm="1">
        <f t="array" aca="1" ref="G21" ca="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c r="B23" s="51" t="s">
        <v>3126</v>
      </c>
      <c r="C23" s="51">
        <v>21</v>
      </c>
      <c r="D23" t="s">
        <v>3607</v>
      </c>
      <c r="E23" s="332">
        <v>45390</v>
      </c>
      <c r="F23" s="116">
        <v>1</v>
      </c>
      <c r="G23" s="234" cm="1">
        <f t="array" aca="1" ref="G23" ca="1">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c r="B25" s="154" t="s">
        <v>3243</v>
      </c>
    </row>
    <row r="26" spans="2:53">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3174</v>
      </c>
      <c r="C27" s="134">
        <v>21</v>
      </c>
      <c r="D27" s="128" t="s">
        <v>3175</v>
      </c>
      <c r="E27" s="127" t="s">
        <v>3176</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3177</v>
      </c>
      <c r="C28" s="134">
        <v>7</v>
      </c>
      <c r="D28" s="128" t="s">
        <v>3175</v>
      </c>
      <c r="E28" s="127" t="s">
        <v>3176</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3178</v>
      </c>
    </row>
    <row r="31" spans="2:53">
      <c r="B31" s="158" t="s">
        <v>3179</v>
      </c>
      <c r="C31" s="158" t="s">
        <v>3180</v>
      </c>
      <c r="D31" s="159" t="s">
        <v>3181</v>
      </c>
      <c r="E31" s="158" t="s">
        <v>3182</v>
      </c>
      <c r="F31" s="158" t="s">
        <v>3183</v>
      </c>
    </row>
    <row r="32" spans="2:53" ht="29.1">
      <c r="B32" s="336" t="s">
        <v>3287</v>
      </c>
      <c r="C32" s="337" t="s">
        <v>1670</v>
      </c>
      <c r="D32" s="75" t="s">
        <v>3609</v>
      </c>
      <c r="E32" s="338"/>
      <c r="F32" s="339"/>
    </row>
    <row r="33" spans="2:31" ht="29.1">
      <c r="B33" s="336" t="s">
        <v>3287</v>
      </c>
      <c r="C33" s="337" t="s">
        <v>1690</v>
      </c>
      <c r="D33" s="75" t="s">
        <v>3609</v>
      </c>
      <c r="E33" s="338"/>
      <c r="F33" s="339"/>
    </row>
    <row r="34" spans="2:31" ht="29.1">
      <c r="B34" s="142" t="s">
        <v>3184</v>
      </c>
      <c r="C34" s="145" t="s">
        <v>194</v>
      </c>
      <c r="D34" s="54" t="s">
        <v>3610</v>
      </c>
      <c r="E34" s="177" t="s">
        <v>3611</v>
      </c>
      <c r="F34" s="160" t="s">
        <v>3612</v>
      </c>
      <c r="G34" t="s">
        <v>3613</v>
      </c>
    </row>
    <row r="35" spans="2:31" ht="43.5">
      <c r="B35" s="142" t="s">
        <v>3184</v>
      </c>
      <c r="C35" s="145" t="s">
        <v>203</v>
      </c>
      <c r="D35" s="54" t="s">
        <v>3614</v>
      </c>
      <c r="E35" s="177" t="s">
        <v>3615</v>
      </c>
      <c r="F35" s="160" t="s">
        <v>3187</v>
      </c>
    </row>
    <row r="36" spans="2:31" ht="43.5">
      <c r="B36" s="142" t="s">
        <v>3184</v>
      </c>
      <c r="C36" s="145" t="s">
        <v>213</v>
      </c>
      <c r="D36" s="54" t="s">
        <v>3614</v>
      </c>
      <c r="E36" s="177" t="s">
        <v>3615</v>
      </c>
      <c r="F36" s="160" t="s">
        <v>3187</v>
      </c>
    </row>
    <row r="37" spans="2:31" ht="87">
      <c r="B37" s="142" t="s">
        <v>3184</v>
      </c>
      <c r="C37" s="141" t="s">
        <v>1670</v>
      </c>
      <c r="D37" s="54" t="s">
        <v>3616</v>
      </c>
      <c r="E37" s="177" t="s">
        <v>3617</v>
      </c>
      <c r="F37" s="160" t="s">
        <v>3618</v>
      </c>
    </row>
    <row r="38" spans="2:31" ht="4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3184</v>
      </c>
      <c r="C40" s="141" t="s">
        <v>1690</v>
      </c>
      <c r="D40" s="54" t="s">
        <v>3616</v>
      </c>
      <c r="E40" s="177" t="s">
        <v>3617</v>
      </c>
      <c r="F40" s="160" t="s">
        <v>3618</v>
      </c>
    </row>
    <row r="41" spans="2:31" ht="43.5">
      <c r="B41" s="142" t="s">
        <v>3184</v>
      </c>
      <c r="C41" s="162" t="s">
        <v>563</v>
      </c>
      <c r="D41" s="54" t="s">
        <v>3614</v>
      </c>
      <c r="E41" s="177" t="s">
        <v>3615</v>
      </c>
      <c r="F41" s="160" t="s">
        <v>3187</v>
      </c>
    </row>
    <row r="42" spans="2:31" ht="43.5">
      <c r="B42" s="142" t="s">
        <v>3184</v>
      </c>
      <c r="C42" s="162" t="s">
        <v>567</v>
      </c>
      <c r="D42" s="54" t="s">
        <v>3614</v>
      </c>
      <c r="E42" s="177" t="s">
        <v>3615</v>
      </c>
      <c r="F42" s="160" t="s">
        <v>3187</v>
      </c>
    </row>
    <row r="43" spans="2:31" ht="43.5">
      <c r="B43" s="142" t="s">
        <v>3184</v>
      </c>
      <c r="C43" s="162" t="s">
        <v>283</v>
      </c>
      <c r="D43" s="54" t="s">
        <v>3614</v>
      </c>
      <c r="E43" s="177" t="s">
        <v>3615</v>
      </c>
      <c r="F43" s="160" t="s">
        <v>3187</v>
      </c>
    </row>
    <row r="44" spans="2:31" ht="72.599999999999994">
      <c r="B44" s="161" t="s">
        <v>3184</v>
      </c>
      <c r="C44" s="162" t="s">
        <v>821</v>
      </c>
      <c r="D44" s="54" t="s">
        <v>3619</v>
      </c>
      <c r="E44" s="177" t="s">
        <v>3620</v>
      </c>
      <c r="F44" s="160" t="s">
        <v>3621</v>
      </c>
    </row>
    <row r="45" spans="2:31" ht="43.5">
      <c r="B45" s="135" t="s">
        <v>3184</v>
      </c>
      <c r="C45" s="139" t="s">
        <v>1720</v>
      </c>
      <c r="D45" s="54" t="s">
        <v>3614</v>
      </c>
      <c r="E45" s="177" t="s">
        <v>3615</v>
      </c>
      <c r="F45" s="160" t="s">
        <v>3187</v>
      </c>
    </row>
    <row r="46" spans="2:31" ht="29.1">
      <c r="B46" s="135" t="s">
        <v>3184</v>
      </c>
      <c r="C46" s="139" t="s">
        <v>3622</v>
      </c>
      <c r="D46" s="54" t="s">
        <v>3623</v>
      </c>
      <c r="E46" s="177" t="s">
        <v>3624</v>
      </c>
      <c r="F46" s="160" t="s">
        <v>3193</v>
      </c>
    </row>
    <row r="47" spans="2:31" ht="29.1">
      <c r="B47" s="135" t="s">
        <v>3184</v>
      </c>
      <c r="C47" s="139" t="s">
        <v>292</v>
      </c>
      <c r="D47" s="199" t="s">
        <v>3625</v>
      </c>
      <c r="E47" s="177" t="s">
        <v>3626</v>
      </c>
      <c r="F47" s="160" t="s">
        <v>3193</v>
      </c>
    </row>
    <row r="48" spans="2:31" ht="57.95">
      <c r="B48" s="135" t="s">
        <v>3184</v>
      </c>
      <c r="C48" s="139" t="s">
        <v>423</v>
      </c>
      <c r="D48" s="54" t="s">
        <v>3627</v>
      </c>
      <c r="E48" s="343" t="s">
        <v>3628</v>
      </c>
      <c r="F48" s="160" t="s">
        <v>3629</v>
      </c>
    </row>
    <row r="49" spans="2:6" ht="57.95">
      <c r="B49" s="135" t="s">
        <v>3184</v>
      </c>
      <c r="C49" s="139" t="s">
        <v>618</v>
      </c>
      <c r="D49" s="54" t="s">
        <v>3627</v>
      </c>
      <c r="E49" s="343" t="s">
        <v>3628</v>
      </c>
      <c r="F49" s="160" t="s">
        <v>3629</v>
      </c>
    </row>
    <row r="50" spans="2:6" ht="43.5">
      <c r="B50" s="135" t="s">
        <v>3184</v>
      </c>
      <c r="C50" s="139" t="s">
        <v>3630</v>
      </c>
      <c r="D50" s="54" t="s">
        <v>3614</v>
      </c>
      <c r="E50" s="177" t="s">
        <v>3615</v>
      </c>
      <c r="F50" s="160" t="s">
        <v>3187</v>
      </c>
    </row>
    <row r="51" spans="2:6" ht="57.95">
      <c r="B51" s="135" t="s">
        <v>3184</v>
      </c>
      <c r="C51" s="139" t="s">
        <v>884</v>
      </c>
      <c r="D51" s="54" t="s">
        <v>3631</v>
      </c>
      <c r="E51" s="177" t="s">
        <v>3632</v>
      </c>
      <c r="F51" s="160" t="s">
        <v>3633</v>
      </c>
    </row>
    <row r="52" spans="2:6" ht="87">
      <c r="B52" s="135" t="s">
        <v>3184</v>
      </c>
      <c r="C52" s="139" t="s">
        <v>1746</v>
      </c>
      <c r="D52" s="54" t="s">
        <v>3634</v>
      </c>
      <c r="E52" s="177" t="s">
        <v>3635</v>
      </c>
      <c r="F52" s="160" t="s">
        <v>3636</v>
      </c>
    </row>
    <row r="53" spans="2:6" ht="87">
      <c r="B53" s="135" t="s">
        <v>3184</v>
      </c>
      <c r="C53" s="139" t="s">
        <v>902</v>
      </c>
      <c r="D53" s="54" t="s">
        <v>3637</v>
      </c>
      <c r="E53" s="177" t="s">
        <v>3638</v>
      </c>
      <c r="F53" s="160" t="s">
        <v>3636</v>
      </c>
    </row>
    <row r="54" spans="2:6" ht="43.5">
      <c r="B54" s="135" t="s">
        <v>3184</v>
      </c>
      <c r="C54" s="340" t="s">
        <v>2426</v>
      </c>
      <c r="D54" s="54" t="s">
        <v>3614</v>
      </c>
      <c r="E54" s="177" t="s">
        <v>3615</v>
      </c>
      <c r="F54" s="160" t="s">
        <v>3187</v>
      </c>
    </row>
    <row r="55" spans="2:6" ht="43.5">
      <c r="B55" s="135" t="s">
        <v>3184</v>
      </c>
      <c r="C55" s="341" t="s">
        <v>1760</v>
      </c>
      <c r="D55" s="54" t="s">
        <v>3614</v>
      </c>
      <c r="E55" s="177" t="s">
        <v>3615</v>
      </c>
      <c r="F55" s="160" t="s">
        <v>3187</v>
      </c>
    </row>
    <row r="56" spans="2:6" ht="43.5">
      <c r="B56" s="135" t="s">
        <v>3184</v>
      </c>
      <c r="C56" s="341" t="s">
        <v>1767</v>
      </c>
      <c r="D56" s="54" t="s">
        <v>3614</v>
      </c>
      <c r="E56" s="177" t="s">
        <v>3615</v>
      </c>
      <c r="F56" s="160" t="s">
        <v>3187</v>
      </c>
    </row>
    <row r="57" spans="2:6" ht="43.5">
      <c r="B57" s="135" t="s">
        <v>3184</v>
      </c>
      <c r="C57" s="341" t="s">
        <v>1773</v>
      </c>
      <c r="D57" s="54" t="s">
        <v>3614</v>
      </c>
      <c r="E57" s="177" t="s">
        <v>3615</v>
      </c>
      <c r="F57" s="160" t="s">
        <v>3187</v>
      </c>
    </row>
    <row r="58" spans="2:6" ht="43.5">
      <c r="B58" s="135" t="s">
        <v>3184</v>
      </c>
      <c r="C58" s="342" t="s">
        <v>1403</v>
      </c>
      <c r="D58" s="54" t="s">
        <v>3614</v>
      </c>
      <c r="E58" s="177" t="s">
        <v>3615</v>
      </c>
      <c r="F58" s="160" t="s">
        <v>3187</v>
      </c>
    </row>
    <row r="59" spans="2:6" ht="43.5">
      <c r="B59" s="135" t="s">
        <v>3184</v>
      </c>
      <c r="C59" s="342" t="s">
        <v>1410</v>
      </c>
      <c r="D59" s="54" t="s">
        <v>3614</v>
      </c>
      <c r="E59" s="177" t="s">
        <v>3615</v>
      </c>
      <c r="F59" s="160" t="s">
        <v>3187</v>
      </c>
    </row>
    <row r="60" spans="2:6" ht="43.5">
      <c r="B60" s="135" t="s">
        <v>3184</v>
      </c>
      <c r="C60" s="342" t="s">
        <v>655</v>
      </c>
      <c r="D60" s="54" t="s">
        <v>3614</v>
      </c>
      <c r="E60" s="177" t="s">
        <v>3615</v>
      </c>
      <c r="F60" s="160" t="s">
        <v>3187</v>
      </c>
    </row>
    <row r="61" spans="2:6" ht="43.5">
      <c r="B61" s="135" t="s">
        <v>3184</v>
      </c>
      <c r="C61" s="342" t="s">
        <v>664</v>
      </c>
      <c r="D61" s="54" t="s">
        <v>3614</v>
      </c>
      <c r="E61" s="177" t="s">
        <v>3615</v>
      </c>
      <c r="F61" s="160" t="s">
        <v>3187</v>
      </c>
    </row>
    <row r="62" spans="2:6" ht="43.5">
      <c r="B62" s="135" t="s">
        <v>3184</v>
      </c>
      <c r="C62" s="342" t="s">
        <v>673</v>
      </c>
      <c r="D62" s="54" t="s">
        <v>3614</v>
      </c>
      <c r="E62" s="177" t="s">
        <v>3615</v>
      </c>
      <c r="F62" s="160" t="s">
        <v>3187</v>
      </c>
    </row>
    <row r="63" spans="2:6" ht="43.5">
      <c r="B63" s="135" t="s">
        <v>3184</v>
      </c>
      <c r="C63" s="342" t="s">
        <v>681</v>
      </c>
      <c r="D63" s="54" t="s">
        <v>3614</v>
      </c>
      <c r="E63" s="177" t="s">
        <v>3615</v>
      </c>
      <c r="F63" s="160" t="s">
        <v>3187</v>
      </c>
    </row>
    <row r="64" spans="2:6" ht="87">
      <c r="B64" s="161" t="s">
        <v>3194</v>
      </c>
      <c r="C64" s="162" t="s">
        <v>3195</v>
      </c>
      <c r="D64" s="163" t="s">
        <v>3639</v>
      </c>
      <c r="E64" s="121" t="s">
        <v>3640</v>
      </c>
      <c r="F64" s="213" t="s">
        <v>3641</v>
      </c>
    </row>
    <row r="65" spans="2:7" ht="130.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3095</v>
      </c>
      <c r="C9" s="51">
        <v>7</v>
      </c>
      <c r="D9" s="51" t="s">
        <v>3652</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3666</v>
      </c>
      <c r="E19" s="119">
        <v>45483</v>
      </c>
      <c r="F19" s="51">
        <v>1</v>
      </c>
      <c r="G19" s="217" cm="1">
        <f t="array" aca="1" ref="G19" ca="1">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c r="B21" s="51" t="s">
        <v>3126</v>
      </c>
      <c r="C21" s="51">
        <v>21</v>
      </c>
      <c r="D21" s="51" t="s">
        <v>3667</v>
      </c>
      <c r="E21" s="119">
        <v>45483</v>
      </c>
      <c r="F21" s="51">
        <v>1</v>
      </c>
      <c r="G21" s="217" cm="1">
        <f t="array" aca="1" ref="G21" ca="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3095</v>
      </c>
      <c r="C9" s="51">
        <v>7</v>
      </c>
      <c r="D9" s="51" t="s">
        <v>3674</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3687</v>
      </c>
      <c r="E19" s="119">
        <v>45485</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3688</v>
      </c>
      <c r="E21" s="119">
        <v>45485</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3693</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3708</v>
      </c>
      <c r="E19" s="119">
        <v>45485</v>
      </c>
      <c r="F19" s="51">
        <v>2</v>
      </c>
      <c r="G19" s="234" cm="1">
        <f t="array" aca="1" ref="G19" ca="1">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c r="B21" s="51" t="s">
        <v>3126</v>
      </c>
      <c r="C21" s="51">
        <v>21</v>
      </c>
      <c r="D21" s="51"/>
      <c r="E21" s="119"/>
      <c r="F21" s="51">
        <v>1</v>
      </c>
      <c r="G21" s="234"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3095</v>
      </c>
      <c r="C9" s="51">
        <v>7</v>
      </c>
      <c r="D9" s="51" t="s">
        <v>3715</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3728</v>
      </c>
      <c r="E19" s="119">
        <v>45483</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3729</v>
      </c>
      <c r="E21" s="119">
        <v>45483</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3095</v>
      </c>
      <c r="C9" s="51">
        <v>7</v>
      </c>
      <c r="D9" s="51" t="s">
        <v>3734</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c r="B19" s="51" t="s">
        <v>3120</v>
      </c>
      <c r="C19" s="51">
        <v>19</v>
      </c>
      <c r="D19" s="51" t="s">
        <v>3748</v>
      </c>
      <c r="E19" s="119">
        <v>45490</v>
      </c>
      <c r="F19" s="51">
        <v>1</v>
      </c>
      <c r="G19" s="217" cm="1">
        <f t="array" aca="1" ref="G19" ca="1">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c r="B21" s="51" t="s">
        <v>3126</v>
      </c>
      <c r="C21" s="51">
        <v>21</v>
      </c>
      <c r="D21" s="51" t="s">
        <v>3748</v>
      </c>
      <c r="E21" s="119">
        <v>45490</v>
      </c>
      <c r="F21" s="51">
        <v>1</v>
      </c>
      <c r="G21" s="217" cm="1">
        <f t="array" aca="1" ref="G21" ca="1">SUM(IF(IF(G3:G20="null",1,G3:G20)=1,1,0))/COUNT(IF(G3:G20="null",1,1))</f>
        <v>1</v>
      </c>
      <c r="H21" s="51" t="s">
        <v>3137</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3243</v>
      </c>
    </row>
    <row r="24" spans="2:21">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3174</v>
      </c>
      <c r="C25" s="134">
        <v>21</v>
      </c>
      <c r="D25" s="128" t="s">
        <v>3175</v>
      </c>
      <c r="E25" s="127" t="s">
        <v>3176</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3178</v>
      </c>
    </row>
    <row r="29" spans="2:21">
      <c r="B29" s="158" t="s">
        <v>3179</v>
      </c>
      <c r="C29" s="158" t="s">
        <v>3180</v>
      </c>
      <c r="D29" s="159" t="s">
        <v>3181</v>
      </c>
      <c r="E29" s="158" t="s">
        <v>3182</v>
      </c>
      <c r="F29" s="158" t="s">
        <v>3183</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3753</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c r="B21" s="51" t="s">
        <v>3126</v>
      </c>
      <c r="C21" s="51">
        <v>21</v>
      </c>
      <c r="D21" s="51" t="s">
        <v>3770</v>
      </c>
      <c r="E21" s="119">
        <v>45492</v>
      </c>
      <c r="F21" s="51">
        <v>1</v>
      </c>
      <c r="G21" s="217"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c r="B22" s="51"/>
      <c r="C22" s="51"/>
      <c r="D22" s="51"/>
      <c r="E22" s="119"/>
      <c r="F22" s="51"/>
      <c r="G22" s="51"/>
      <c r="H22" s="51"/>
      <c r="I22" s="51"/>
      <c r="J22" s="51"/>
      <c r="K22" s="51"/>
      <c r="L22" s="51"/>
      <c r="M22" s="51"/>
      <c r="N22" s="51"/>
      <c r="O22" s="51"/>
      <c r="P22" s="51"/>
      <c r="Q22" s="51"/>
      <c r="R22" s="51"/>
      <c r="S22" s="51"/>
    </row>
    <row r="23" spans="2:51">
      <c r="B23" s="154" t="s">
        <v>3243</v>
      </c>
    </row>
    <row r="24" spans="2:51">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3174</v>
      </c>
      <c r="C25" s="134">
        <v>21</v>
      </c>
      <c r="D25" s="128" t="s">
        <v>3175</v>
      </c>
      <c r="E25" s="127" t="s">
        <v>3176</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3178</v>
      </c>
    </row>
    <row r="29" spans="2:51">
      <c r="B29" s="158" t="s">
        <v>3179</v>
      </c>
      <c r="C29" s="158" t="s">
        <v>3180</v>
      </c>
      <c r="D29" s="159" t="s">
        <v>3181</v>
      </c>
      <c r="E29" s="158" t="s">
        <v>3182</v>
      </c>
      <c r="F29" s="158" t="s">
        <v>3183</v>
      </c>
    </row>
    <row r="30" spans="2:51" ht="43.5">
      <c r="B30" s="161" t="s">
        <v>3184</v>
      </c>
      <c r="C30" s="162" t="s">
        <v>3808</v>
      </c>
      <c r="D30" s="292" t="s">
        <v>3809</v>
      </c>
      <c r="E30" s="293" t="s">
        <v>3810</v>
      </c>
      <c r="F30" s="213" t="s">
        <v>3193</v>
      </c>
      <c r="H30" s="290"/>
      <c r="J30" t="s">
        <v>3811</v>
      </c>
      <c r="K30">
        <v>20748</v>
      </c>
    </row>
    <row r="31" spans="2:51" ht="43.5">
      <c r="B31" s="161" t="s">
        <v>3184</v>
      </c>
      <c r="C31" s="162" t="s">
        <v>597</v>
      </c>
      <c r="D31" s="292" t="s">
        <v>3812</v>
      </c>
      <c r="E31" s="293" t="s">
        <v>3813</v>
      </c>
      <c r="F31" s="213" t="s">
        <v>3190</v>
      </c>
      <c r="H31" s="291"/>
      <c r="J31" t="s">
        <v>3814</v>
      </c>
      <c r="K31">
        <v>760260</v>
      </c>
      <c r="L31">
        <f>K31+K30</f>
        <v>781008</v>
      </c>
    </row>
    <row r="32" spans="2:51" ht="29.1">
      <c r="B32" s="161" t="s">
        <v>3184</v>
      </c>
      <c r="C32" s="139" t="s">
        <v>618</v>
      </c>
      <c r="D32" s="294" t="s">
        <v>3815</v>
      </c>
      <c r="E32" s="170" t="s">
        <v>3816</v>
      </c>
      <c r="F32" s="160" t="s">
        <v>3190</v>
      </c>
      <c r="J32" t="s">
        <v>3817</v>
      </c>
      <c r="K32">
        <v>8461</v>
      </c>
      <c r="L32">
        <f>K31+K32</f>
        <v>768721</v>
      </c>
      <c r="M32">
        <f>L31+K32</f>
        <v>789469</v>
      </c>
    </row>
    <row r="33" spans="2:12" ht="72.599999999999994">
      <c r="B33" s="161" t="s">
        <v>3184</v>
      </c>
      <c r="C33" s="139" t="s">
        <v>1352</v>
      </c>
      <c r="D33" s="294" t="s">
        <v>3818</v>
      </c>
      <c r="E33" s="170" t="s">
        <v>3819</v>
      </c>
      <c r="F33" s="213" t="s">
        <v>3187</v>
      </c>
      <c r="J33" t="s">
        <v>3820</v>
      </c>
      <c r="K33">
        <v>26</v>
      </c>
    </row>
    <row r="34" spans="2:12" ht="101.45">
      <c r="B34" s="161" t="s">
        <v>3184</v>
      </c>
      <c r="C34" s="139" t="s">
        <v>1360</v>
      </c>
      <c r="D34" s="294" t="s">
        <v>3821</v>
      </c>
      <c r="E34" s="170" t="s">
        <v>3822</v>
      </c>
      <c r="F34" s="160" t="s">
        <v>3187</v>
      </c>
      <c r="J34" t="s">
        <v>3823</v>
      </c>
      <c r="K34">
        <v>478</v>
      </c>
      <c r="L34">
        <f>K32+K34</f>
        <v>8939</v>
      </c>
    </row>
    <row r="35" spans="2:12" ht="72.599999999999994">
      <c r="B35" s="135" t="s">
        <v>3184</v>
      </c>
      <c r="C35" s="139" t="s">
        <v>1365</v>
      </c>
      <c r="D35" s="294" t="s">
        <v>3824</v>
      </c>
      <c r="E35" s="170" t="s">
        <v>3825</v>
      </c>
      <c r="F35" s="160" t="s">
        <v>3354</v>
      </c>
      <c r="K35">
        <f>SUM(K30:K34)</f>
        <v>789973</v>
      </c>
    </row>
    <row r="36" spans="2:12" ht="72.599999999999994">
      <c r="B36" s="135" t="s">
        <v>3184</v>
      </c>
      <c r="C36" s="139" t="s">
        <v>1372</v>
      </c>
      <c r="D36" s="294" t="s">
        <v>3824</v>
      </c>
      <c r="E36" s="170" t="s">
        <v>3826</v>
      </c>
      <c r="F36" s="160" t="s">
        <v>3354</v>
      </c>
    </row>
    <row r="37" spans="2:12" ht="116.1">
      <c r="B37" s="135" t="s">
        <v>3184</v>
      </c>
      <c r="C37" s="139" t="s">
        <v>423</v>
      </c>
      <c r="D37" s="294" t="s">
        <v>3827</v>
      </c>
      <c r="E37" s="170" t="s">
        <v>3828</v>
      </c>
      <c r="F37" s="160" t="s">
        <v>3187</v>
      </c>
    </row>
    <row r="38" spans="2:12" ht="116.1">
      <c r="B38" s="135" t="s">
        <v>3184</v>
      </c>
      <c r="C38" s="139" t="s">
        <v>432</v>
      </c>
      <c r="D38" s="294" t="s">
        <v>3827</v>
      </c>
      <c r="E38" s="170" t="s">
        <v>3828</v>
      </c>
      <c r="F38" s="160" t="s">
        <v>3829</v>
      </c>
    </row>
    <row r="39" spans="2:12" ht="43.5">
      <c r="B39" s="142" t="s">
        <v>3184</v>
      </c>
      <c r="C39" s="141" t="s">
        <v>1391</v>
      </c>
      <c r="D39" s="295" t="s">
        <v>3830</v>
      </c>
      <c r="E39" s="170" t="s">
        <v>3831</v>
      </c>
      <c r="F39" s="160" t="s">
        <v>3190</v>
      </c>
    </row>
    <row r="40" spans="2:12" ht="87">
      <c r="B40" s="135" t="s">
        <v>3184</v>
      </c>
      <c r="C40" s="139" t="s">
        <v>1397</v>
      </c>
      <c r="D40" s="295" t="s">
        <v>3832</v>
      </c>
      <c r="E40" s="170" t="s">
        <v>3833</v>
      </c>
      <c r="F40" s="213" t="s">
        <v>3187</v>
      </c>
    </row>
    <row r="41" spans="2:12" ht="87">
      <c r="B41" s="135" t="s">
        <v>3184</v>
      </c>
      <c r="C41" s="139" t="s">
        <v>1403</v>
      </c>
      <c r="D41" s="295" t="s">
        <v>3834</v>
      </c>
      <c r="E41" s="170" t="s">
        <v>3833</v>
      </c>
      <c r="F41" s="213" t="s">
        <v>3187</v>
      </c>
    </row>
    <row r="42" spans="2:12" ht="87">
      <c r="B42" s="135" t="s">
        <v>3184</v>
      </c>
      <c r="C42" s="139" t="s">
        <v>1410</v>
      </c>
      <c r="D42" s="295" t="s">
        <v>3835</v>
      </c>
      <c r="E42" s="170" t="s">
        <v>3833</v>
      </c>
      <c r="F42" s="213" t="s">
        <v>3187</v>
      </c>
    </row>
    <row r="43" spans="2:12" ht="87">
      <c r="B43" s="135" t="s">
        <v>3184</v>
      </c>
      <c r="C43" s="139" t="s">
        <v>681</v>
      </c>
      <c r="D43" s="295" t="s">
        <v>3836</v>
      </c>
      <c r="E43" s="170" t="s">
        <v>3833</v>
      </c>
      <c r="F43" s="213" t="s">
        <v>3187</v>
      </c>
    </row>
    <row r="44" spans="2:12" ht="101.45">
      <c r="B44" s="161" t="s">
        <v>3184</v>
      </c>
      <c r="C44" s="162" t="s">
        <v>324</v>
      </c>
      <c r="D44" s="296" t="s">
        <v>3837</v>
      </c>
      <c r="E44" s="171" t="s">
        <v>3838</v>
      </c>
      <c r="F44" s="213" t="s">
        <v>3193</v>
      </c>
    </row>
    <row r="45" spans="2:12" ht="29.1">
      <c r="B45" s="135" t="s">
        <v>3194</v>
      </c>
      <c r="C45" s="139" t="s">
        <v>3411</v>
      </c>
      <c r="D45" s="147" t="s">
        <v>3839</v>
      </c>
      <c r="E45" s="170" t="s">
        <v>3840</v>
      </c>
      <c r="F45" s="213" t="s">
        <v>3193</v>
      </c>
    </row>
    <row r="46" spans="2:12" ht="72.599999999999994">
      <c r="B46" s="161" t="s">
        <v>3252</v>
      </c>
      <c r="C46" s="139" t="s">
        <v>3411</v>
      </c>
      <c r="D46" s="296" t="s">
        <v>3841</v>
      </c>
      <c r="E46" s="171" t="s">
        <v>3842</v>
      </c>
      <c r="F46" s="213" t="s">
        <v>3843</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3095</v>
      </c>
      <c r="C9" s="51">
        <v>7</v>
      </c>
      <c r="D9" s="51" t="s">
        <v>3849</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c r="B21" s="238" t="s">
        <v>3805</v>
      </c>
      <c r="C21" s="51">
        <v>19</v>
      </c>
      <c r="D21" s="51" t="s">
        <v>3870</v>
      </c>
      <c r="E21" s="119">
        <v>45492</v>
      </c>
      <c r="F21" s="51">
        <v>6</v>
      </c>
      <c r="G21" s="234" cm="1">
        <f t="array" aca="1" ref="G21" ca="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c r="B23" s="51" t="s">
        <v>3126</v>
      </c>
      <c r="C23" s="51">
        <v>21</v>
      </c>
      <c r="D23" s="51" t="s">
        <v>3870</v>
      </c>
      <c r="E23" s="119">
        <v>45492</v>
      </c>
      <c r="F23" s="51">
        <v>6</v>
      </c>
      <c r="G23" s="217" cm="1">
        <f t="array" aca="1" ref="G23" ca="1">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c r="B24" s="51"/>
      <c r="C24" s="51"/>
      <c r="D24" s="51"/>
      <c r="E24" s="119"/>
      <c r="F24" s="51"/>
      <c r="G24" s="51"/>
      <c r="H24" s="51"/>
      <c r="I24" s="51"/>
      <c r="J24" s="51"/>
      <c r="K24" s="51"/>
      <c r="L24" s="51"/>
      <c r="M24" s="51"/>
      <c r="N24" s="51"/>
      <c r="O24" s="51"/>
      <c r="P24" s="51"/>
      <c r="Q24" s="51"/>
      <c r="R24" s="51"/>
      <c r="S24" s="51"/>
    </row>
    <row r="25" spans="2:54">
      <c r="B25" s="154" t="s">
        <v>3243</v>
      </c>
    </row>
    <row r="26" spans="2:54">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3174</v>
      </c>
      <c r="C27" s="134">
        <v>21</v>
      </c>
      <c r="D27" s="128" t="s">
        <v>3175</v>
      </c>
      <c r="E27" s="127" t="s">
        <v>3176</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3178</v>
      </c>
    </row>
    <row r="31" spans="2:54">
      <c r="B31" s="158" t="s">
        <v>3179</v>
      </c>
      <c r="C31" s="158" t="s">
        <v>3180</v>
      </c>
      <c r="D31" s="159" t="s">
        <v>3181</v>
      </c>
      <c r="E31" s="158" t="s">
        <v>3182</v>
      </c>
      <c r="F31" s="158" t="s">
        <v>3183</v>
      </c>
      <c r="H31" t="s">
        <v>3871</v>
      </c>
    </row>
    <row r="32" spans="2:54" ht="43.5">
      <c r="B32" s="161" t="s">
        <v>3184</v>
      </c>
      <c r="C32" s="162" t="s">
        <v>213</v>
      </c>
      <c r="D32" s="292" t="s">
        <v>3872</v>
      </c>
      <c r="E32" s="293" t="s">
        <v>3873</v>
      </c>
      <c r="F32" s="213" t="s">
        <v>3193</v>
      </c>
      <c r="H32" s="307" t="s">
        <v>3874</v>
      </c>
      <c r="J32" s="50"/>
      <c r="L32" s="50"/>
    </row>
    <row r="33" spans="2:12" ht="29.1">
      <c r="B33" s="161" t="s">
        <v>3184</v>
      </c>
      <c r="C33" s="139" t="s">
        <v>2001</v>
      </c>
      <c r="D33" s="294" t="s">
        <v>3875</v>
      </c>
      <c r="E33" s="170" t="s">
        <v>3876</v>
      </c>
      <c r="F33" s="160" t="s">
        <v>3190</v>
      </c>
      <c r="H33" s="291"/>
      <c r="J33" s="50"/>
      <c r="L33" s="50"/>
    </row>
    <row r="34" spans="2:12" ht="101.45">
      <c r="B34" s="161" t="s">
        <v>3184</v>
      </c>
      <c r="C34" s="139" t="s">
        <v>3877</v>
      </c>
      <c r="D34" s="294" t="s">
        <v>3878</v>
      </c>
      <c r="E34" s="170" t="s">
        <v>3879</v>
      </c>
      <c r="F34" s="213" t="s">
        <v>3357</v>
      </c>
    </row>
    <row r="35" spans="2:12" ht="43.5">
      <c r="B35" s="161" t="s">
        <v>3184</v>
      </c>
      <c r="C35" s="139" t="s">
        <v>3880</v>
      </c>
      <c r="D35" s="294" t="s">
        <v>3881</v>
      </c>
      <c r="E35" s="170" t="s">
        <v>3624</v>
      </c>
      <c r="F35" s="160" t="s">
        <v>3193</v>
      </c>
    </row>
    <row r="36" spans="2:12" ht="116.1">
      <c r="B36" s="308" t="s">
        <v>3184</v>
      </c>
      <c r="C36" s="198" t="s">
        <v>3882</v>
      </c>
      <c r="D36" s="309" t="s">
        <v>3883</v>
      </c>
      <c r="E36" s="310" t="s">
        <v>3884</v>
      </c>
      <c r="F36" s="201" t="s">
        <v>3885</v>
      </c>
    </row>
    <row r="37" spans="2:12" ht="43.5">
      <c r="B37" s="161" t="s">
        <v>3184</v>
      </c>
      <c r="C37" s="198" t="s">
        <v>2274</v>
      </c>
      <c r="D37" s="309" t="s">
        <v>3886</v>
      </c>
      <c r="E37" s="310" t="s">
        <v>3873</v>
      </c>
      <c r="F37" s="201" t="s">
        <v>3193</v>
      </c>
    </row>
    <row r="38" spans="2:12" ht="101.45">
      <c r="B38" s="161" t="s">
        <v>3184</v>
      </c>
      <c r="C38" s="139" t="s">
        <v>1352</v>
      </c>
      <c r="D38" s="294" t="s">
        <v>3887</v>
      </c>
      <c r="E38" s="170" t="s">
        <v>3888</v>
      </c>
      <c r="F38" s="160" t="s">
        <v>3889</v>
      </c>
    </row>
    <row r="39" spans="2:12" ht="101.45">
      <c r="B39" s="161" t="s">
        <v>3184</v>
      </c>
      <c r="C39" s="139" t="s">
        <v>1360</v>
      </c>
      <c r="D39" s="294" t="s">
        <v>3887</v>
      </c>
      <c r="E39" s="170" t="s">
        <v>3888</v>
      </c>
      <c r="F39" s="160" t="s">
        <v>3889</v>
      </c>
    </row>
    <row r="40" spans="2:12" ht="87">
      <c r="B40" s="161" t="s">
        <v>3184</v>
      </c>
      <c r="C40" s="139" t="s">
        <v>1365</v>
      </c>
      <c r="D40" s="294" t="s">
        <v>3890</v>
      </c>
      <c r="E40" s="170" t="s">
        <v>3891</v>
      </c>
      <c r="F40" s="160" t="s">
        <v>3187</v>
      </c>
    </row>
    <row r="41" spans="2:12" ht="144.94999999999999">
      <c r="B41" s="161" t="s">
        <v>3184</v>
      </c>
      <c r="C41" s="141" t="s">
        <v>1372</v>
      </c>
      <c r="D41" s="295" t="s">
        <v>3892</v>
      </c>
      <c r="E41" s="170" t="s">
        <v>3893</v>
      </c>
      <c r="F41" s="160" t="s">
        <v>3629</v>
      </c>
      <c r="H41" s="51"/>
    </row>
    <row r="42" spans="2:12" ht="130.5">
      <c r="B42" s="161" t="s">
        <v>3184</v>
      </c>
      <c r="C42" s="139" t="s">
        <v>423</v>
      </c>
      <c r="D42" s="305" t="s">
        <v>3894</v>
      </c>
      <c r="E42" s="121" t="s">
        <v>3895</v>
      </c>
      <c r="F42" s="213" t="s">
        <v>3629</v>
      </c>
    </row>
    <row r="43" spans="2:12" ht="246.6">
      <c r="B43" s="161" t="s">
        <v>3184</v>
      </c>
      <c r="C43" s="139" t="s">
        <v>432</v>
      </c>
      <c r="D43" s="305" t="s">
        <v>3896</v>
      </c>
      <c r="E43" s="170" t="s">
        <v>3897</v>
      </c>
      <c r="F43" s="213" t="s">
        <v>3560</v>
      </c>
    </row>
    <row r="44" spans="2:12" ht="261">
      <c r="B44" s="161" t="s">
        <v>3184</v>
      </c>
      <c r="C44" s="139" t="s">
        <v>1391</v>
      </c>
      <c r="D44" s="305" t="s">
        <v>3898</v>
      </c>
      <c r="E44" s="311" t="s">
        <v>3899</v>
      </c>
      <c r="F44" s="213" t="s">
        <v>3900</v>
      </c>
    </row>
    <row r="45" spans="2:12" ht="87">
      <c r="B45" s="161" t="s">
        <v>3184</v>
      </c>
      <c r="C45" s="139" t="s">
        <v>1767</v>
      </c>
      <c r="D45" s="295" t="s">
        <v>3901</v>
      </c>
      <c r="E45" s="170" t="s">
        <v>3902</v>
      </c>
      <c r="F45" s="213" t="s">
        <v>3903</v>
      </c>
      <c r="I45" s="304"/>
    </row>
    <row r="46" spans="2:12" ht="87">
      <c r="B46" s="161" t="s">
        <v>3184</v>
      </c>
      <c r="C46" s="162" t="s">
        <v>1773</v>
      </c>
      <c r="D46" s="296" t="s">
        <v>3904</v>
      </c>
      <c r="E46" s="171" t="s">
        <v>3905</v>
      </c>
      <c r="F46" s="213" t="s">
        <v>3354</v>
      </c>
      <c r="I46" s="304"/>
    </row>
    <row r="47" spans="2:12" ht="72.599999999999994">
      <c r="B47" s="161" t="s">
        <v>3184</v>
      </c>
      <c r="C47" s="139" t="s">
        <v>1403</v>
      </c>
      <c r="D47" s="296" t="s">
        <v>3906</v>
      </c>
      <c r="E47" s="170" t="s">
        <v>3907</v>
      </c>
      <c r="F47" s="213" t="s">
        <v>3903</v>
      </c>
      <c r="I47" s="51"/>
      <c r="J47" s="51"/>
      <c r="K47" s="51"/>
    </row>
    <row r="48" spans="2:12" ht="43.5">
      <c r="B48" s="161" t="s">
        <v>3184</v>
      </c>
      <c r="C48" s="139" t="s">
        <v>2348</v>
      </c>
      <c r="D48" s="296" t="s">
        <v>3908</v>
      </c>
      <c r="E48" s="171" t="s">
        <v>3909</v>
      </c>
      <c r="F48" s="213" t="s">
        <v>3193</v>
      </c>
      <c r="I48" s="304"/>
    </row>
    <row r="49" spans="2:11" ht="130.5">
      <c r="B49" s="161" t="s">
        <v>3184</v>
      </c>
      <c r="C49" s="139" t="s">
        <v>664</v>
      </c>
      <c r="D49" s="295" t="s">
        <v>3910</v>
      </c>
      <c r="E49" s="170" t="s">
        <v>3911</v>
      </c>
      <c r="F49" s="213" t="s">
        <v>3912</v>
      </c>
      <c r="I49" s="304"/>
    </row>
    <row r="50" spans="2:11" ht="87">
      <c r="B50" s="161" t="s">
        <v>3184</v>
      </c>
      <c r="C50" s="139" t="s">
        <v>673</v>
      </c>
      <c r="D50" s="296" t="s">
        <v>3904</v>
      </c>
      <c r="E50" s="171" t="s">
        <v>3913</v>
      </c>
      <c r="F50" s="213" t="s">
        <v>3354</v>
      </c>
    </row>
    <row r="51" spans="2:11" ht="87">
      <c r="B51" s="161" t="s">
        <v>3184</v>
      </c>
      <c r="C51" s="139" t="s">
        <v>681</v>
      </c>
      <c r="D51" s="296" t="s">
        <v>3914</v>
      </c>
      <c r="E51" s="170" t="s">
        <v>3915</v>
      </c>
      <c r="F51" s="213" t="s">
        <v>3354</v>
      </c>
      <c r="I51" s="51"/>
      <c r="J51" s="51"/>
    </row>
    <row r="52" spans="2:11" ht="43.5">
      <c r="B52" s="161" t="s">
        <v>3184</v>
      </c>
      <c r="C52" s="162" t="s">
        <v>2363</v>
      </c>
      <c r="D52" s="296" t="s">
        <v>3916</v>
      </c>
      <c r="E52" s="171" t="s">
        <v>3917</v>
      </c>
      <c r="F52" s="213" t="s">
        <v>3193</v>
      </c>
      <c r="K52" s="50"/>
    </row>
    <row r="53" spans="2:11" ht="29.1">
      <c r="B53" s="161" t="s">
        <v>3184</v>
      </c>
      <c r="C53" s="162" t="s">
        <v>324</v>
      </c>
      <c r="D53" s="296" t="s">
        <v>3918</v>
      </c>
      <c r="E53" s="171" t="s">
        <v>3919</v>
      </c>
      <c r="F53" s="213" t="s">
        <v>3193</v>
      </c>
    </row>
    <row r="54" spans="2:11" ht="57.95">
      <c r="B54" s="197" t="s">
        <v>3184</v>
      </c>
      <c r="C54" s="198" t="s">
        <v>312</v>
      </c>
      <c r="D54" s="312" t="s">
        <v>3920</v>
      </c>
      <c r="E54" s="310" t="s">
        <v>3921</v>
      </c>
      <c r="F54" s="201" t="s">
        <v>3193</v>
      </c>
    </row>
    <row r="55" spans="2:11" ht="304.5">
      <c r="B55" s="308" t="s">
        <v>3194</v>
      </c>
      <c r="C55" s="313" t="s">
        <v>3922</v>
      </c>
      <c r="D55" s="314" t="s">
        <v>3923</v>
      </c>
      <c r="E55" s="315" t="s">
        <v>3924</v>
      </c>
      <c r="F55" s="316" t="s">
        <v>3925</v>
      </c>
    </row>
    <row r="56" spans="2:11" ht="116.1">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c r="B9" s="51" t="s">
        <v>3095</v>
      </c>
      <c r="C9" s="51">
        <v>7</v>
      </c>
      <c r="D9" s="51" t="s">
        <v>3933</v>
      </c>
      <c r="E9" s="119">
        <v>45495</v>
      </c>
      <c r="F9" s="51">
        <v>3</v>
      </c>
      <c r="G9" s="234" cm="1">
        <f t="array" aca="1" ref="G9" ca="1">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c r="B21" s="51" t="s">
        <v>3120</v>
      </c>
      <c r="C21" s="51">
        <v>19</v>
      </c>
      <c r="D21" s="51" t="s">
        <v>3950</v>
      </c>
      <c r="E21" s="119">
        <v>45495</v>
      </c>
      <c r="F21" s="51">
        <v>3</v>
      </c>
      <c r="G21" s="234" cm="1">
        <f t="array" aca="1" ref="G21" ca="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3126</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3243</v>
      </c>
    </row>
    <row r="26" spans="2:41">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3177</v>
      </c>
      <c r="C28" s="175">
        <v>7</v>
      </c>
      <c r="D28" s="130" t="s">
        <v>3175</v>
      </c>
      <c r="E28" s="129" t="s">
        <v>3176</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3178</v>
      </c>
    </row>
    <row r="31" spans="2:41">
      <c r="B31" s="158" t="s">
        <v>3179</v>
      </c>
      <c r="C31" s="158" t="s">
        <v>3180</v>
      </c>
      <c r="D31" s="159" t="s">
        <v>3181</v>
      </c>
      <c r="E31" s="158" t="s">
        <v>3182</v>
      </c>
      <c r="F31" s="158" t="s">
        <v>3183</v>
      </c>
    </row>
    <row r="32" spans="2:41" ht="29.1">
      <c r="B32" s="135" t="s">
        <v>3184</v>
      </c>
      <c r="C32" s="139" t="s">
        <v>213</v>
      </c>
      <c r="D32" s="54" t="s">
        <v>3951</v>
      </c>
      <c r="E32" s="177" t="s">
        <v>3952</v>
      </c>
      <c r="F32" s="160" t="s">
        <v>3190</v>
      </c>
    </row>
    <row r="33" spans="2:16" ht="29.1">
      <c r="B33" s="135" t="s">
        <v>3184</v>
      </c>
      <c r="C33" s="139" t="s">
        <v>248</v>
      </c>
      <c r="D33" s="54" t="s">
        <v>3953</v>
      </c>
      <c r="E33" s="177" t="s">
        <v>3954</v>
      </c>
      <c r="F33" s="160" t="s">
        <v>3190</v>
      </c>
    </row>
    <row r="34" spans="2:16" ht="29.1">
      <c r="B34" s="135" t="s">
        <v>3184</v>
      </c>
      <c r="C34" s="139" t="s">
        <v>2541</v>
      </c>
      <c r="D34" s="54" t="s">
        <v>3953</v>
      </c>
      <c r="E34" s="177" t="s">
        <v>3954</v>
      </c>
      <c r="F34" s="160" t="s">
        <v>3190</v>
      </c>
    </row>
    <row r="35" spans="2:16" ht="29.1">
      <c r="B35" s="135" t="s">
        <v>3184</v>
      </c>
      <c r="C35" s="139" t="s">
        <v>1482</v>
      </c>
      <c r="D35" s="54" t="s">
        <v>3953</v>
      </c>
      <c r="E35" s="177" t="s">
        <v>3954</v>
      </c>
      <c r="F35" s="160" t="s">
        <v>3190</v>
      </c>
    </row>
    <row r="36" spans="2:16" ht="29.1">
      <c r="B36" s="135" t="s">
        <v>3184</v>
      </c>
      <c r="C36" s="139" t="s">
        <v>324</v>
      </c>
      <c r="D36" s="54" t="s">
        <v>3955</v>
      </c>
      <c r="E36" s="177" t="s">
        <v>3956</v>
      </c>
      <c r="F36" s="160" t="s">
        <v>3193</v>
      </c>
    </row>
    <row r="37" spans="2:16" ht="43.5">
      <c r="B37" s="135" t="s">
        <v>3199</v>
      </c>
      <c r="C37" s="139" t="s">
        <v>3957</v>
      </c>
      <c r="D37" s="54" t="s">
        <v>3958</v>
      </c>
      <c r="E37" s="177" t="s">
        <v>3959</v>
      </c>
      <c r="F37" s="160" t="s">
        <v>3193</v>
      </c>
      <c r="I37" s="182"/>
      <c r="J37" s="182"/>
      <c r="K37" s="182"/>
      <c r="L37" s="182"/>
      <c r="M37" s="182"/>
      <c r="N37" s="182"/>
      <c r="O37" s="182"/>
      <c r="P37" s="182"/>
    </row>
    <row r="38" spans="2:16" ht="29.1">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3095</v>
      </c>
      <c r="C9" s="51">
        <v>7</v>
      </c>
      <c r="D9" s="51" t="s">
        <v>3966</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3983</v>
      </c>
      <c r="E21" s="119">
        <v>45548</v>
      </c>
      <c r="F21" s="51">
        <v>1</v>
      </c>
      <c r="G21" s="234" cm="1">
        <f t="array" aca="1" ref="G21" ca="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43.5">
      <c r="B32" s="135" t="s">
        <v>3194</v>
      </c>
      <c r="C32" s="139" t="s">
        <v>3957</v>
      </c>
      <c r="D32" s="54" t="s">
        <v>3984</v>
      </c>
      <c r="E32" s="177" t="s">
        <v>3985</v>
      </c>
      <c r="F32" s="160" t="s">
        <v>3986</v>
      </c>
    </row>
    <row r="33" spans="2:6" ht="43.5">
      <c r="B33" s="161" t="s">
        <v>3287</v>
      </c>
      <c r="C33" s="162" t="s">
        <v>2426</v>
      </c>
      <c r="D33" s="163" t="s">
        <v>3288</v>
      </c>
      <c r="E33" s="121" t="s">
        <v>3987</v>
      </c>
      <c r="F33" s="213" t="s">
        <v>3190</v>
      </c>
    </row>
    <row r="34" spans="2:6" ht="43.5">
      <c r="B34" s="161" t="s">
        <v>3287</v>
      </c>
      <c r="C34" s="162" t="s">
        <v>1760</v>
      </c>
      <c r="D34" s="163" t="s">
        <v>3288</v>
      </c>
      <c r="E34" s="121" t="s">
        <v>3987</v>
      </c>
      <c r="F34" s="213" t="s">
        <v>3190</v>
      </c>
    </row>
    <row r="35" spans="2:6" ht="43.5">
      <c r="B35" s="161" t="s">
        <v>3287</v>
      </c>
      <c r="C35" s="162" t="s">
        <v>1767</v>
      </c>
      <c r="D35" s="163" t="s">
        <v>3288</v>
      </c>
      <c r="E35" s="121" t="s">
        <v>3987</v>
      </c>
      <c r="F35" s="213" t="s">
        <v>3190</v>
      </c>
    </row>
    <row r="36" spans="2:6" ht="43.5">
      <c r="B36" s="161" t="s">
        <v>3287</v>
      </c>
      <c r="C36" s="162" t="s">
        <v>1403</v>
      </c>
      <c r="D36" s="163" t="s">
        <v>3288</v>
      </c>
      <c r="E36" s="121" t="s">
        <v>3987</v>
      </c>
      <c r="F36" s="213" t="s">
        <v>3190</v>
      </c>
    </row>
    <row r="37" spans="2:6" ht="43.5">
      <c r="B37" s="161" t="s">
        <v>3287</v>
      </c>
      <c r="C37" s="162" t="s">
        <v>1410</v>
      </c>
      <c r="D37" s="163" t="s">
        <v>3288</v>
      </c>
      <c r="E37" s="121" t="s">
        <v>3987</v>
      </c>
      <c r="F37" s="213" t="s">
        <v>3190</v>
      </c>
    </row>
    <row r="38" spans="2:6" ht="43.5">
      <c r="B38" s="161" t="s">
        <v>3287</v>
      </c>
      <c r="C38" s="162" t="s">
        <v>655</v>
      </c>
      <c r="D38" s="163" t="s">
        <v>3288</v>
      </c>
      <c r="E38" s="121" t="s">
        <v>3987</v>
      </c>
      <c r="F38" s="213" t="s">
        <v>3190</v>
      </c>
    </row>
    <row r="39" spans="2:6" ht="43.5">
      <c r="B39" s="161" t="s">
        <v>3287</v>
      </c>
      <c r="C39" s="162" t="s">
        <v>664</v>
      </c>
      <c r="D39" s="163" t="s">
        <v>3288</v>
      </c>
      <c r="E39" s="121" t="s">
        <v>3987</v>
      </c>
      <c r="F39" s="213" t="s">
        <v>3190</v>
      </c>
    </row>
    <row r="40" spans="2:6" ht="43.5">
      <c r="B40" s="161" t="s">
        <v>3287</v>
      </c>
      <c r="C40" s="162" t="s">
        <v>681</v>
      </c>
      <c r="D40" s="163" t="s">
        <v>3288</v>
      </c>
      <c r="E40" s="121" t="s">
        <v>3987</v>
      </c>
      <c r="F40" s="213" t="s">
        <v>3190</v>
      </c>
    </row>
    <row r="41" spans="2:6" ht="43.5">
      <c r="B41" s="161" t="s">
        <v>3297</v>
      </c>
      <c r="C41" s="162" t="s">
        <v>1767</v>
      </c>
      <c r="D41" s="163" t="s">
        <v>3298</v>
      </c>
      <c r="E41" s="121" t="s">
        <v>3987</v>
      </c>
      <c r="F41" s="213" t="s">
        <v>3190</v>
      </c>
    </row>
    <row r="42" spans="2:6" ht="43.5">
      <c r="B42" s="161" t="s">
        <v>3297</v>
      </c>
      <c r="C42" s="162" t="s">
        <v>1773</v>
      </c>
      <c r="D42" s="163" t="s">
        <v>3298</v>
      </c>
      <c r="E42" s="121" t="s">
        <v>3987</v>
      </c>
      <c r="F42" s="213" t="s">
        <v>3190</v>
      </c>
    </row>
    <row r="43" spans="2:6" ht="43.5">
      <c r="B43" s="161" t="s">
        <v>3297</v>
      </c>
      <c r="C43" s="162" t="s">
        <v>1403</v>
      </c>
      <c r="D43" s="163" t="s">
        <v>3298</v>
      </c>
      <c r="E43" s="121" t="s">
        <v>3987</v>
      </c>
      <c r="F43" s="213" t="s">
        <v>3190</v>
      </c>
    </row>
    <row r="44" spans="2:6" ht="43.5">
      <c r="B44" s="135" t="s">
        <v>3297</v>
      </c>
      <c r="C44" s="162" t="s">
        <v>664</v>
      </c>
      <c r="D44" s="54" t="s">
        <v>3298</v>
      </c>
      <c r="E44" s="121" t="s">
        <v>3987</v>
      </c>
      <c r="F44" s="213" t="s">
        <v>3190</v>
      </c>
    </row>
    <row r="45" spans="2:6" ht="43.5">
      <c r="B45" s="135" t="s">
        <v>3297</v>
      </c>
      <c r="C45" s="139" t="s">
        <v>673</v>
      </c>
      <c r="D45" s="54" t="s">
        <v>3298</v>
      </c>
      <c r="E45" s="121" t="s">
        <v>3987</v>
      </c>
      <c r="F45" s="213" t="s">
        <v>3190</v>
      </c>
    </row>
    <row r="46" spans="2:6" ht="4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3095</v>
      </c>
      <c r="C9" s="51">
        <v>7</v>
      </c>
      <c r="D9" s="51" t="s">
        <v>3993</v>
      </c>
      <c r="E9" s="119">
        <v>45538</v>
      </c>
      <c r="F9" s="51">
        <v>1</v>
      </c>
      <c r="G9" s="234" cm="1">
        <f t="array" aca="1" ref="G9" ca="1">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4009</v>
      </c>
      <c r="E21" s="119">
        <v>45538</v>
      </c>
      <c r="F21" s="51">
        <v>1</v>
      </c>
      <c r="G21" s="234" cm="1">
        <f t="array" aca="1" ref="G21" ca="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29.1">
      <c r="B32" s="135" t="s">
        <v>3194</v>
      </c>
      <c r="C32" s="139" t="s">
        <v>3957</v>
      </c>
      <c r="D32" s="54" t="s">
        <v>4010</v>
      </c>
      <c r="E32" s="177" t="s">
        <v>4011</v>
      </c>
      <c r="F32" s="160" t="s">
        <v>3190</v>
      </c>
    </row>
    <row r="33" spans="2:6" ht="43.5">
      <c r="B33" s="161" t="s">
        <v>3287</v>
      </c>
      <c r="C33" s="162" t="s">
        <v>2426</v>
      </c>
      <c r="D33" s="163" t="s">
        <v>3288</v>
      </c>
      <c r="E33" s="121" t="s">
        <v>4012</v>
      </c>
      <c r="F33" s="213" t="s">
        <v>3190</v>
      </c>
    </row>
    <row r="34" spans="2:6" ht="43.5">
      <c r="B34" s="161" t="s">
        <v>3287</v>
      </c>
      <c r="C34" s="162" t="s">
        <v>1760</v>
      </c>
      <c r="D34" s="163" t="s">
        <v>3288</v>
      </c>
      <c r="E34" s="121" t="s">
        <v>4012</v>
      </c>
      <c r="F34" s="213" t="s">
        <v>3190</v>
      </c>
    </row>
    <row r="35" spans="2:6" ht="43.5">
      <c r="B35" s="161" t="s">
        <v>3287</v>
      </c>
      <c r="C35" s="162" t="s">
        <v>1767</v>
      </c>
      <c r="D35" s="163" t="s">
        <v>3288</v>
      </c>
      <c r="E35" s="121" t="s">
        <v>4012</v>
      </c>
      <c r="F35" s="213" t="s">
        <v>3190</v>
      </c>
    </row>
    <row r="36" spans="2:6" ht="43.5">
      <c r="B36" s="161" t="s">
        <v>3287</v>
      </c>
      <c r="C36" s="162" t="s">
        <v>1403</v>
      </c>
      <c r="D36" s="163" t="s">
        <v>3288</v>
      </c>
      <c r="E36" s="121" t="s">
        <v>4012</v>
      </c>
      <c r="F36" s="213" t="s">
        <v>3190</v>
      </c>
    </row>
    <row r="37" spans="2:6" ht="43.5">
      <c r="B37" s="161" t="s">
        <v>3287</v>
      </c>
      <c r="C37" s="162" t="s">
        <v>1410</v>
      </c>
      <c r="D37" s="163" t="s">
        <v>3288</v>
      </c>
      <c r="E37" s="121" t="s">
        <v>4012</v>
      </c>
      <c r="F37" s="213" t="s">
        <v>3190</v>
      </c>
    </row>
    <row r="38" spans="2:6" ht="43.5">
      <c r="B38" s="161" t="s">
        <v>3287</v>
      </c>
      <c r="C38" s="162" t="s">
        <v>655</v>
      </c>
      <c r="D38" s="163" t="s">
        <v>3288</v>
      </c>
      <c r="E38" s="121" t="s">
        <v>4012</v>
      </c>
      <c r="F38" s="213" t="s">
        <v>3190</v>
      </c>
    </row>
    <row r="39" spans="2:6" ht="43.5">
      <c r="B39" s="161" t="s">
        <v>3287</v>
      </c>
      <c r="C39" s="162" t="s">
        <v>664</v>
      </c>
      <c r="D39" s="163" t="s">
        <v>3288</v>
      </c>
      <c r="E39" s="121" t="s">
        <v>4012</v>
      </c>
      <c r="F39" s="213" t="s">
        <v>3190</v>
      </c>
    </row>
    <row r="40" spans="2:6" ht="43.5">
      <c r="B40" s="161" t="s">
        <v>3287</v>
      </c>
      <c r="C40" s="162" t="s">
        <v>681</v>
      </c>
      <c r="D40" s="163" t="s">
        <v>3288</v>
      </c>
      <c r="E40" s="121" t="s">
        <v>4012</v>
      </c>
      <c r="F40" s="213" t="s">
        <v>3190</v>
      </c>
    </row>
    <row r="41" spans="2:6" ht="43.5">
      <c r="B41" s="161" t="s">
        <v>3297</v>
      </c>
      <c r="C41" s="162" t="s">
        <v>1767</v>
      </c>
      <c r="D41" s="163" t="s">
        <v>3298</v>
      </c>
      <c r="E41" s="121" t="s">
        <v>4012</v>
      </c>
      <c r="F41" s="213" t="s">
        <v>3190</v>
      </c>
    </row>
    <row r="42" spans="2:6" ht="43.5">
      <c r="B42" s="161" t="s">
        <v>3297</v>
      </c>
      <c r="C42" s="162" t="s">
        <v>1773</v>
      </c>
      <c r="D42" s="163" t="s">
        <v>3298</v>
      </c>
      <c r="E42" s="121" t="s">
        <v>4012</v>
      </c>
      <c r="F42" s="213" t="s">
        <v>3190</v>
      </c>
    </row>
    <row r="43" spans="2:6" ht="43.5">
      <c r="B43" s="161" t="s">
        <v>3297</v>
      </c>
      <c r="C43" s="162" t="s">
        <v>1403</v>
      </c>
      <c r="D43" s="163" t="s">
        <v>3298</v>
      </c>
      <c r="E43" s="121" t="s">
        <v>4012</v>
      </c>
      <c r="F43" s="213" t="s">
        <v>3190</v>
      </c>
    </row>
    <row r="44" spans="2:6" ht="43.5">
      <c r="B44" s="135" t="s">
        <v>3297</v>
      </c>
      <c r="C44" s="162" t="s">
        <v>664</v>
      </c>
      <c r="D44" s="54" t="s">
        <v>3298</v>
      </c>
      <c r="E44" s="121" t="s">
        <v>4012</v>
      </c>
      <c r="F44" s="213" t="s">
        <v>3190</v>
      </c>
    </row>
    <row r="45" spans="2:6" ht="43.5">
      <c r="B45" s="135" t="s">
        <v>3297</v>
      </c>
      <c r="C45" s="139" t="s">
        <v>673</v>
      </c>
      <c r="D45" s="54" t="s">
        <v>3298</v>
      </c>
      <c r="E45" s="121" t="s">
        <v>4012</v>
      </c>
      <c r="F45" s="213" t="s">
        <v>3190</v>
      </c>
    </row>
    <row r="46" spans="2:6" ht="4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c r="B5" s="51" t="s">
        <v>3087</v>
      </c>
      <c r="C5" s="51">
        <v>3</v>
      </c>
      <c r="D5" s="51" t="s">
        <v>4017</v>
      </c>
      <c r="E5" s="119">
        <v>45492</v>
      </c>
      <c r="F5" s="51">
        <v>1</v>
      </c>
      <c r="G5" s="318" t="s">
        <v>4014</v>
      </c>
      <c r="H5" s="122">
        <v>0</v>
      </c>
      <c r="I5" s="51">
        <v>0</v>
      </c>
      <c r="J5" s="51">
        <v>0</v>
      </c>
      <c r="K5" s="51">
        <v>0</v>
      </c>
      <c r="L5" s="51">
        <v>0</v>
      </c>
      <c r="M5" s="51">
        <v>0</v>
      </c>
      <c r="N5" s="51">
        <v>0</v>
      </c>
      <c r="O5" s="51" t="s">
        <v>3137</v>
      </c>
    </row>
    <row r="6" spans="2:1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c r="B9" s="51" t="s">
        <v>3095</v>
      </c>
      <c r="C9" s="51">
        <v>7</v>
      </c>
      <c r="D9" s="51" t="s">
        <v>4019</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c r="B21" s="51" t="s">
        <v>3120</v>
      </c>
      <c r="C21" s="51">
        <v>19</v>
      </c>
      <c r="D21" s="51" t="s">
        <v>4033</v>
      </c>
      <c r="E21" s="119">
        <v>45492</v>
      </c>
      <c r="F21" s="51">
        <v>1</v>
      </c>
      <c r="G21" s="318" cm="1">
        <f t="array" aca="1" ref="G21" ca="1">SUMPRODUCT(--(ISNUMBER((SEARCH(I27:O27,I21:O21)))))/COUNTA(I21:O21)</f>
        <v>0</v>
      </c>
      <c r="H21" s="122">
        <v>0</v>
      </c>
      <c r="I21" s="51" t="s">
        <v>3137</v>
      </c>
      <c r="J21" s="51" t="s">
        <v>3137</v>
      </c>
      <c r="K21" s="51" t="s">
        <v>3137</v>
      </c>
      <c r="L21" s="51" t="s">
        <v>3137</v>
      </c>
      <c r="M21" s="51" t="s">
        <v>3137</v>
      </c>
      <c r="N21" s="51" t="s">
        <v>3137</v>
      </c>
      <c r="O21" s="51" t="s">
        <v>3137</v>
      </c>
    </row>
    <row r="22" spans="2:24">
      <c r="B22" s="51" t="s">
        <v>3123</v>
      </c>
      <c r="C22" s="51">
        <v>20</v>
      </c>
      <c r="D22" s="51"/>
      <c r="E22" s="119"/>
      <c r="F22" s="51"/>
      <c r="G22" s="217" cm="1">
        <f t="array" ref="G22">SUM(IF(I2:O2 = I26:O26, 1, 0))/ COUNTA(I2:O2)</f>
        <v>0.7142857142857143</v>
      </c>
      <c r="H22" s="51"/>
      <c r="I22" s="51"/>
      <c r="J22" s="51"/>
      <c r="K22" s="51"/>
      <c r="L22" s="51"/>
      <c r="M22" s="51"/>
      <c r="N22" s="51"/>
      <c r="O22" s="51"/>
    </row>
    <row r="23" spans="2:24">
      <c r="B23" s="51" t="s">
        <v>3126</v>
      </c>
      <c r="C23" s="51">
        <v>21</v>
      </c>
      <c r="D23" s="51"/>
      <c r="E23" s="119"/>
      <c r="F23" s="51"/>
      <c r="G23" s="217" cm="1">
        <f t="array" aca="1" ref="G23" ca="1">SUM(IF(IF(G3:G22="null",1,G3:G22)=1,1,0))/COUNT(IF(G3:G22="null",1,1))</f>
        <v>0.35</v>
      </c>
      <c r="H23" s="51"/>
      <c r="I23" s="51"/>
      <c r="J23" s="51"/>
      <c r="K23" s="51"/>
      <c r="L23" s="51"/>
      <c r="M23" s="51"/>
      <c r="N23" s="51"/>
      <c r="O23" s="51"/>
    </row>
    <row r="25" spans="2:24">
      <c r="B25" s="154" t="s">
        <v>3243</v>
      </c>
    </row>
    <row r="26" spans="2:24">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3174</v>
      </c>
      <c r="C27" s="116">
        <v>21</v>
      </c>
      <c r="D27" s="115" t="s">
        <v>3175</v>
      </c>
      <c r="E27" t="s">
        <v>3176</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3177</v>
      </c>
      <c r="C28" s="175">
        <v>7</v>
      </c>
      <c r="D28" s="130" t="s">
        <v>3175</v>
      </c>
      <c r="E28" s="129" t="s">
        <v>3176</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3178</v>
      </c>
    </row>
    <row r="31" spans="2:24">
      <c r="B31" s="158" t="s">
        <v>3179</v>
      </c>
      <c r="C31" s="158" t="s">
        <v>3180</v>
      </c>
      <c r="D31" s="159" t="s">
        <v>3181</v>
      </c>
      <c r="E31" s="158" t="s">
        <v>3182</v>
      </c>
      <c r="F31" s="158" t="s">
        <v>3183</v>
      </c>
    </row>
    <row r="32" spans="2:24" ht="29.1">
      <c r="B32" s="135" t="s">
        <v>3287</v>
      </c>
      <c r="C32" s="139" t="s">
        <v>3957</v>
      </c>
      <c r="D32" s="54" t="s">
        <v>4034</v>
      </c>
      <c r="E32" s="177" t="s">
        <v>4035</v>
      </c>
      <c r="F32" s="160" t="s">
        <v>3190</v>
      </c>
    </row>
    <row r="33" spans="2:6" ht="29.1">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c r="B9" s="51" t="s">
        <v>3095</v>
      </c>
      <c r="C9" s="51">
        <v>7</v>
      </c>
      <c r="D9" s="51" t="s">
        <v>4040</v>
      </c>
      <c r="E9" s="119">
        <v>45534</v>
      </c>
      <c r="F9" s="51">
        <v>1</v>
      </c>
      <c r="G9" s="234" cm="1">
        <f t="array" aca="1" ref="G9" ca="1">SUMPRODUCT(--(I9:Q9 &lt;= I26:Q26))/COUNTA(I26:Q26)</f>
        <v>1</v>
      </c>
      <c r="H9" s="51" t="s">
        <v>3146</v>
      </c>
      <c r="I9" s="51">
        <v>2</v>
      </c>
      <c r="J9" s="51">
        <v>30</v>
      </c>
      <c r="K9" s="51">
        <v>2</v>
      </c>
      <c r="L9" s="51">
        <v>35</v>
      </c>
      <c r="M9" s="51">
        <v>28</v>
      </c>
      <c r="N9" s="51">
        <v>31</v>
      </c>
      <c r="O9" s="51">
        <v>2</v>
      </c>
      <c r="P9" s="51">
        <v>10</v>
      </c>
      <c r="Q9" s="51">
        <v>23</v>
      </c>
      <c r="R9" s="51"/>
    </row>
    <row r="10" spans="2:18">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c r="B19" s="51" t="s">
        <v>3120</v>
      </c>
      <c r="C19" s="51">
        <v>19</v>
      </c>
      <c r="D19" s="51" t="s">
        <v>4058</v>
      </c>
      <c r="E19" s="119">
        <v>45534</v>
      </c>
      <c r="F19" s="51">
        <v>1</v>
      </c>
      <c r="G19" s="234" cm="1">
        <f t="array" aca="1" ref="G19" ca="1">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3126</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3243</v>
      </c>
    </row>
    <row r="24" spans="2:19">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3174</v>
      </c>
      <c r="C25" s="116">
        <v>21</v>
      </c>
      <c r="D25" s="115" t="s">
        <v>3175</v>
      </c>
      <c r="E25" t="s">
        <v>3176</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3177</v>
      </c>
      <c r="C26" s="175">
        <v>7</v>
      </c>
      <c r="D26" s="130" t="s">
        <v>3175</v>
      </c>
      <c r="E26" s="129" t="s">
        <v>3176</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3178</v>
      </c>
    </row>
    <row r="29" spans="2:19">
      <c r="B29" s="158" t="s">
        <v>3179</v>
      </c>
      <c r="C29" s="158" t="s">
        <v>3180</v>
      </c>
      <c r="D29" s="159" t="s">
        <v>3181</v>
      </c>
      <c r="E29" s="158" t="s">
        <v>3182</v>
      </c>
      <c r="F29" s="158" t="s">
        <v>3183</v>
      </c>
    </row>
    <row r="30" spans="2:19" ht="87">
      <c r="B30" s="135" t="s">
        <v>3184</v>
      </c>
      <c r="C30" s="139" t="s">
        <v>2733</v>
      </c>
      <c r="D30" s="54" t="s">
        <v>4060</v>
      </c>
      <c r="E30" s="177" t="s">
        <v>4061</v>
      </c>
      <c r="F30" s="160"/>
    </row>
    <row r="31" spans="2:19" ht="87">
      <c r="B31" s="135" t="s">
        <v>3582</v>
      </c>
      <c r="C31" s="162" t="s">
        <v>2742</v>
      </c>
      <c r="D31" s="54" t="s">
        <v>4060</v>
      </c>
      <c r="E31" s="177" t="s">
        <v>4062</v>
      </c>
      <c r="F31" s="213"/>
    </row>
    <row r="32" spans="2:19" ht="87">
      <c r="B32" s="135" t="s">
        <v>4063</v>
      </c>
      <c r="C32" s="162" t="s">
        <v>2746</v>
      </c>
      <c r="D32" s="54" t="s">
        <v>4060</v>
      </c>
      <c r="E32" s="177" t="s">
        <v>4064</v>
      </c>
      <c r="F32" s="213"/>
    </row>
    <row r="33" spans="2:6" ht="66" customHeight="1">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3095</v>
      </c>
      <c r="C9" s="51">
        <v>7</v>
      </c>
      <c r="D9" s="51" t="s">
        <v>4073</v>
      </c>
      <c r="E9" s="119">
        <v>45513</v>
      </c>
      <c r="F9" s="51">
        <v>1</v>
      </c>
      <c r="G9" s="234" cm="1">
        <f t="array" aca="1" ref="G9" ca="1">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c r="B21" s="51" t="s">
        <v>3120</v>
      </c>
      <c r="C21" s="51">
        <v>19</v>
      </c>
      <c r="D21" s="51" t="s">
        <v>4101</v>
      </c>
      <c r="E21" s="119">
        <v>45513</v>
      </c>
      <c r="F21" s="51">
        <v>1</v>
      </c>
      <c r="G21" s="234" cm="1">
        <f t="array" aca="1" ref="G21" ca="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3126</v>
      </c>
      <c r="C23" s="51">
        <v>21</v>
      </c>
      <c r="D23" s="51"/>
      <c r="E23" s="119"/>
      <c r="F23" s="51">
        <v>1</v>
      </c>
      <c r="G23" s="217" cm="1">
        <f t="array" aca="1" ref="G23" ca="1">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3243</v>
      </c>
    </row>
    <row r="26" spans="2:40">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3178</v>
      </c>
    </row>
    <row r="31" spans="2:40">
      <c r="B31" s="158" t="s">
        <v>3179</v>
      </c>
      <c r="C31" s="158" t="s">
        <v>3180</v>
      </c>
      <c r="D31" s="159" t="s">
        <v>3181</v>
      </c>
      <c r="E31" s="158" t="s">
        <v>3182</v>
      </c>
      <c r="F31" s="158" t="s">
        <v>3183</v>
      </c>
    </row>
    <row r="32" spans="2:40" ht="57.95">
      <c r="B32" s="161" t="s">
        <v>3287</v>
      </c>
      <c r="C32" s="162" t="s">
        <v>2426</v>
      </c>
      <c r="D32" s="296" t="s">
        <v>3288</v>
      </c>
      <c r="E32" s="171" t="s">
        <v>4102</v>
      </c>
      <c r="F32" s="222" t="s">
        <v>4103</v>
      </c>
    </row>
    <row r="33" spans="2:6" ht="57.95">
      <c r="B33" s="161" t="s">
        <v>3287</v>
      </c>
      <c r="C33" s="162" t="s">
        <v>1760</v>
      </c>
      <c r="D33" s="296" t="s">
        <v>3288</v>
      </c>
      <c r="E33" s="171" t="s">
        <v>4102</v>
      </c>
      <c r="F33" s="222" t="s">
        <v>4103</v>
      </c>
    </row>
    <row r="34" spans="2:6" ht="57.95">
      <c r="B34" s="161" t="s">
        <v>3287</v>
      </c>
      <c r="C34" s="162" t="s">
        <v>1773</v>
      </c>
      <c r="D34" s="296" t="s">
        <v>3288</v>
      </c>
      <c r="E34" s="171" t="s">
        <v>4102</v>
      </c>
      <c r="F34" s="222" t="s">
        <v>4103</v>
      </c>
    </row>
    <row r="35" spans="2:6" ht="57.95">
      <c r="B35" s="161" t="s">
        <v>3287</v>
      </c>
      <c r="C35" s="162" t="s">
        <v>1403</v>
      </c>
      <c r="D35" s="296" t="s">
        <v>3288</v>
      </c>
      <c r="E35" s="171" t="s">
        <v>4102</v>
      </c>
      <c r="F35" s="222" t="s">
        <v>4103</v>
      </c>
    </row>
    <row r="36" spans="2:6" ht="57.95">
      <c r="B36" s="161" t="s">
        <v>3287</v>
      </c>
      <c r="C36" s="162" t="s">
        <v>1410</v>
      </c>
      <c r="D36" s="296" t="s">
        <v>3288</v>
      </c>
      <c r="E36" s="171" t="s">
        <v>4102</v>
      </c>
      <c r="F36" s="222" t="s">
        <v>4103</v>
      </c>
    </row>
    <row r="37" spans="2:6" ht="57.95">
      <c r="B37" s="161" t="s">
        <v>3287</v>
      </c>
      <c r="C37" s="162" t="s">
        <v>655</v>
      </c>
      <c r="D37" s="296" t="s">
        <v>3288</v>
      </c>
      <c r="E37" s="171" t="s">
        <v>4102</v>
      </c>
      <c r="F37" s="222" t="s">
        <v>4103</v>
      </c>
    </row>
    <row r="38" spans="2:6" ht="57.95">
      <c r="B38" s="161" t="s">
        <v>3287</v>
      </c>
      <c r="C38" s="162" t="s">
        <v>673</v>
      </c>
      <c r="D38" s="296" t="s">
        <v>3288</v>
      </c>
      <c r="E38" s="171" t="s">
        <v>4102</v>
      </c>
      <c r="F38" s="222" t="s">
        <v>4103</v>
      </c>
    </row>
    <row r="39" spans="2:6" ht="57.95">
      <c r="B39" s="161" t="s">
        <v>3287</v>
      </c>
      <c r="C39" s="162" t="s">
        <v>681</v>
      </c>
      <c r="D39" s="296" t="s">
        <v>3288</v>
      </c>
      <c r="E39" s="171" t="s">
        <v>4102</v>
      </c>
      <c r="F39" s="222" t="s">
        <v>4103</v>
      </c>
    </row>
    <row r="40" spans="2:6" ht="57.95">
      <c r="B40" s="142" t="s">
        <v>3184</v>
      </c>
      <c r="C40" s="141" t="s">
        <v>213</v>
      </c>
      <c r="D40" s="147" t="s">
        <v>4104</v>
      </c>
      <c r="E40" s="170" t="s">
        <v>4105</v>
      </c>
      <c r="F40" s="160" t="s">
        <v>3187</v>
      </c>
    </row>
    <row r="41" spans="2:6">
      <c r="B41" s="161" t="s">
        <v>3194</v>
      </c>
      <c r="C41" s="162" t="s">
        <v>3195</v>
      </c>
      <c r="D41" s="296"/>
      <c r="E41" s="171" t="s">
        <v>4106</v>
      </c>
      <c r="F41" s="213"/>
    </row>
    <row r="42" spans="2:6">
      <c r="B42" s="161" t="s">
        <v>3252</v>
      </c>
      <c r="C42" s="162" t="s">
        <v>3195</v>
      </c>
      <c r="D42" s="296"/>
      <c r="E42" s="171" t="s">
        <v>4107</v>
      </c>
      <c r="F42" s="213"/>
    </row>
    <row r="43" spans="2:6" ht="72.599999999999994">
      <c r="B43" s="161" t="s">
        <v>3297</v>
      </c>
      <c r="C43" s="162" t="s">
        <v>1767</v>
      </c>
      <c r="D43" s="163" t="s">
        <v>3298</v>
      </c>
      <c r="E43" s="171" t="s">
        <v>4102</v>
      </c>
      <c r="F43" s="222" t="s">
        <v>4103</v>
      </c>
    </row>
    <row r="44" spans="2:6" ht="72.599999999999994">
      <c r="B44" s="161" t="s">
        <v>3297</v>
      </c>
      <c r="C44" s="162" t="s">
        <v>1773</v>
      </c>
      <c r="D44" s="296" t="s">
        <v>3298</v>
      </c>
      <c r="E44" s="171" t="s">
        <v>4102</v>
      </c>
      <c r="F44" s="213" t="s">
        <v>4103</v>
      </c>
    </row>
    <row r="45" spans="2:6" ht="72.599999999999994">
      <c r="B45" s="161" t="s">
        <v>3297</v>
      </c>
      <c r="C45" s="162" t="s">
        <v>1403</v>
      </c>
      <c r="D45" s="296" t="s">
        <v>3298</v>
      </c>
      <c r="E45" s="171" t="s">
        <v>4102</v>
      </c>
      <c r="F45" s="213" t="s">
        <v>4103</v>
      </c>
    </row>
    <row r="46" spans="2:6" ht="72.599999999999994">
      <c r="B46" s="161" t="s">
        <v>3297</v>
      </c>
      <c r="C46" s="162" t="s">
        <v>664</v>
      </c>
      <c r="D46" s="296" t="s">
        <v>3298</v>
      </c>
      <c r="E46" s="171" t="s">
        <v>4102</v>
      </c>
      <c r="F46" s="213" t="s">
        <v>4103</v>
      </c>
    </row>
    <row r="47" spans="2:6" ht="72.599999999999994">
      <c r="B47" s="161" t="s">
        <v>3297</v>
      </c>
      <c r="C47" s="162" t="s">
        <v>673</v>
      </c>
      <c r="D47" s="296" t="s">
        <v>3298</v>
      </c>
      <c r="E47" s="171" t="s">
        <v>4102</v>
      </c>
      <c r="F47" s="213" t="s">
        <v>4103</v>
      </c>
    </row>
    <row r="48" spans="2:6" ht="72.599999999999994">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3095</v>
      </c>
      <c r="C9" s="51">
        <v>7</v>
      </c>
      <c r="D9" s="51" t="s">
        <v>4113</v>
      </c>
      <c r="E9" s="119">
        <v>45534</v>
      </c>
      <c r="F9" s="51">
        <v>1</v>
      </c>
      <c r="G9" s="234" cm="1">
        <f t="array" aca="1" ref="G9" ca="1">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c r="B21" s="51" t="s">
        <v>3120</v>
      </c>
      <c r="C21" s="51">
        <v>19</v>
      </c>
      <c r="D21" s="51" t="s">
        <v>4200</v>
      </c>
      <c r="E21" s="119">
        <v>45534</v>
      </c>
      <c r="F21" s="51">
        <v>1</v>
      </c>
      <c r="G21" s="318" cm="1">
        <f t="array" aca="1" ref="G21" ca="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3126</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3243</v>
      </c>
    </row>
    <row r="26" spans="2:69">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3174</v>
      </c>
      <c r="C27" s="116">
        <v>21</v>
      </c>
      <c r="D27" s="115" t="s">
        <v>3175</v>
      </c>
      <c r="E27" t="s">
        <v>3176</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3178</v>
      </c>
    </row>
    <row r="31" spans="2:69">
      <c r="B31" s="158" t="s">
        <v>3179</v>
      </c>
      <c r="C31" s="158" t="s">
        <v>3180</v>
      </c>
      <c r="D31" s="159" t="s">
        <v>3181</v>
      </c>
      <c r="E31" s="158" t="s">
        <v>3182</v>
      </c>
      <c r="F31" s="158" t="s">
        <v>3183</v>
      </c>
    </row>
    <row r="32" spans="2:69" ht="29.1">
      <c r="B32" s="135" t="s">
        <v>3287</v>
      </c>
      <c r="C32" s="139" t="s">
        <v>1670</v>
      </c>
      <c r="D32" s="54" t="s">
        <v>4201</v>
      </c>
      <c r="E32" s="177" t="s">
        <v>4202</v>
      </c>
      <c r="F32" s="160" t="s">
        <v>3190</v>
      </c>
    </row>
    <row r="33" spans="2:6" ht="29.1">
      <c r="B33" s="161" t="s">
        <v>3184</v>
      </c>
      <c r="C33" s="162" t="s">
        <v>1670</v>
      </c>
      <c r="D33" s="163" t="s">
        <v>4203</v>
      </c>
      <c r="E33" s="121" t="s">
        <v>4204</v>
      </c>
      <c r="F33" s="213" t="s">
        <v>3190</v>
      </c>
    </row>
    <row r="34" spans="2:6" ht="29.1">
      <c r="B34" s="161" t="s">
        <v>3184</v>
      </c>
      <c r="C34" s="162" t="s">
        <v>1969</v>
      </c>
      <c r="D34" s="163" t="s">
        <v>4203</v>
      </c>
      <c r="E34" s="121" t="s">
        <v>4205</v>
      </c>
      <c r="F34" s="213" t="s">
        <v>3190</v>
      </c>
    </row>
    <row r="35" spans="2:6" ht="29.1">
      <c r="B35" s="161" t="s">
        <v>3184</v>
      </c>
      <c r="C35" s="162" t="s">
        <v>1986</v>
      </c>
      <c r="D35" s="163" t="s">
        <v>4203</v>
      </c>
      <c r="E35" s="121" t="s">
        <v>4205</v>
      </c>
      <c r="F35" s="213" t="s">
        <v>3190</v>
      </c>
    </row>
    <row r="36" spans="2:6" ht="29.1">
      <c r="B36" s="161" t="s">
        <v>3184</v>
      </c>
      <c r="C36" s="162" t="s">
        <v>618</v>
      </c>
      <c r="D36" s="163" t="s">
        <v>4203</v>
      </c>
      <c r="E36" s="121" t="s">
        <v>4206</v>
      </c>
      <c r="F36" s="213" t="s">
        <v>3190</v>
      </c>
    </row>
    <row r="37" spans="2:6" ht="29.1">
      <c r="B37" s="161" t="s">
        <v>3184</v>
      </c>
      <c r="C37" s="162" t="s">
        <v>1352</v>
      </c>
      <c r="D37" s="163" t="s">
        <v>4203</v>
      </c>
      <c r="E37" s="121" t="s">
        <v>4207</v>
      </c>
      <c r="F37" s="213" t="s">
        <v>3190</v>
      </c>
    </row>
    <row r="38" spans="2:6" ht="29.1">
      <c r="B38" s="161" t="s">
        <v>3184</v>
      </c>
      <c r="C38" s="162" t="s">
        <v>1365</v>
      </c>
      <c r="D38" s="163" t="s">
        <v>4203</v>
      </c>
      <c r="E38" s="121" t="s">
        <v>4208</v>
      </c>
      <c r="F38" s="213" t="s">
        <v>3190</v>
      </c>
    </row>
    <row r="39" spans="2:6" ht="29.1">
      <c r="B39" s="161" t="s">
        <v>3184</v>
      </c>
      <c r="C39" s="162" t="s">
        <v>2119</v>
      </c>
      <c r="D39" s="163" t="s">
        <v>4203</v>
      </c>
      <c r="E39" s="121" t="s">
        <v>4209</v>
      </c>
      <c r="F39" s="213" t="s">
        <v>3190</v>
      </c>
    </row>
    <row r="40" spans="2:6" ht="29.1">
      <c r="B40" s="161" t="s">
        <v>3184</v>
      </c>
      <c r="C40" s="162" t="s">
        <v>1760</v>
      </c>
      <c r="D40" s="163" t="s">
        <v>4203</v>
      </c>
      <c r="E40" s="121" t="s">
        <v>4210</v>
      </c>
      <c r="F40" s="213" t="s">
        <v>3190</v>
      </c>
    </row>
    <row r="41" spans="2:6" ht="29.1">
      <c r="B41" s="161" t="s">
        <v>3184</v>
      </c>
      <c r="C41" s="162" t="s">
        <v>655</v>
      </c>
      <c r="D41" s="163" t="s">
        <v>4203</v>
      </c>
      <c r="E41" s="121" t="s">
        <v>4210</v>
      </c>
      <c r="F41" s="213" t="s">
        <v>3190</v>
      </c>
    </row>
    <row r="42" spans="2:6" ht="43.5">
      <c r="B42" s="161" t="s">
        <v>3184</v>
      </c>
      <c r="C42" s="162" t="s">
        <v>324</v>
      </c>
      <c r="D42" s="163" t="s">
        <v>4211</v>
      </c>
      <c r="E42" s="121" t="s">
        <v>4212</v>
      </c>
      <c r="F42" s="213" t="s">
        <v>3190</v>
      </c>
    </row>
    <row r="43" spans="2:6" ht="72.599999999999994">
      <c r="B43" s="161" t="s">
        <v>3194</v>
      </c>
      <c r="C43" s="162" t="s">
        <v>3957</v>
      </c>
      <c r="D43" s="163" t="s">
        <v>4213</v>
      </c>
      <c r="E43" s="121" t="s">
        <v>4214</v>
      </c>
      <c r="F43" s="213" t="s">
        <v>3187</v>
      </c>
    </row>
    <row r="44" spans="2:6" ht="29.1">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698566D9-42DF-452A-A7A6-E6D48D8A1A5A}"/>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2024-11-04T10:10:14Z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