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saveExternalLinkValues="0" updateLinks="always"/>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5344" documentId="11_7B7EB6785745419BF309D7CE5602B477C8BA45D3" xr6:coauthVersionLast="47" xr6:coauthVersionMax="47" xr10:uidLastSave="{DB5EE91F-97DD-40BA-B462-34BE78753550}"/>
  <bookViews>
    <workbookView xWindow="-110" yWindow="-110" windowWidth="19420" windowHeight="10420" tabRatio="621"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s="1" a="1"/>
  <c r="G20" i="46" s="1"/>
  <c r="G21" i="46" s="1" a="1"/>
  <c r="G21" i="46" s="1"/>
  <c r="G8" i="45" a="1"/>
  <c r="G8" i="45"/>
  <c r="G8" i="44" a="1"/>
  <c r="G8" i="44"/>
  <c r="I24" i="45" a="1"/>
  <c r="G9" i="45" s="1" a="1"/>
  <c r="G9" i="45" s="1"/>
  <c r="I23" i="45" a="1"/>
  <c r="I23" i="45" s="1"/>
  <c r="G20" i="45" s="1" a="1"/>
  <c r="G20" i="45" s="1"/>
  <c r="I23" i="44" a="1"/>
  <c r="I23" i="44" s="1"/>
  <c r="G20" i="44" s="1" a="1"/>
  <c r="G20" i="44" s="1"/>
  <c r="G8" i="43" a="1"/>
  <c r="G8" i="43"/>
  <c r="I24" i="44" a="1"/>
  <c r="G9" i="44" s="1" a="1"/>
  <c r="G9" i="44" s="1"/>
  <c r="I24" i="43" a="1"/>
  <c r="G9" i="43" s="1" a="1"/>
  <c r="G9" i="43" s="1"/>
  <c r="I23" i="43" a="1"/>
  <c r="I23" i="43" s="1"/>
  <c r="G20" i="43" s="1" a="1"/>
  <c r="G20" i="43" s="1"/>
  <c r="H54" i="28"/>
  <c r="I24" i="43" l="1"/>
  <c r="G19" i="43" s="1" a="1"/>
  <c r="G19" i="43" s="1"/>
  <c r="G21" i="43" s="1" a="1"/>
  <c r="G21" i="43" s="1"/>
  <c r="I24" i="45"/>
  <c r="G19" i="45" s="1" a="1"/>
  <c r="G19" i="45" s="1"/>
  <c r="G21" i="45" s="1" a="1"/>
  <c r="G21" i="45" s="1"/>
  <c r="I24" i="44"/>
  <c r="G19" i="44" s="1" a="1"/>
  <c r="G19" i="44" s="1"/>
  <c r="G21" i="44" s="1" a="1"/>
  <c r="G21" i="4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85"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3"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<sst xmlns="http://schemas.openxmlformats.org/spreadsheetml/2006/main" count="4650" uniqueCount="1639">
  <si>
    <t>Modelo Comum de Dados - Pagamentos</t>
  </si>
  <si>
    <t>SCHEMA</t>
  </si>
  <si>
    <t>TABELA</t>
  </si>
  <si>
    <t>DESCRIÇÃO</t>
  </si>
  <si>
    <t>common_payments_directdebits</t>
  </si>
  <si>
    <t>direct_debit</t>
  </si>
  <si>
    <t>Contains the information about the sent and received direct debits.</t>
  </si>
  <si>
    <t>common_payments_transfersepatarget</t>
  </si>
  <si>
    <t>transfer_sepatarget</t>
  </si>
  <si>
    <t>Contains the information about the sent and received sepa target transfers.</t>
  </si>
  <si>
    <t>common_payments_transfersothers</t>
  </si>
  <si>
    <t>transfer_other</t>
  </si>
  <si>
    <t>Contais the information about the sent and received transfers that are not included in the remaining tables.</t>
  </si>
  <si>
    <t>common_payments_transferswift</t>
  </si>
  <si>
    <t>swift_message</t>
  </si>
  <si>
    <t>Contains the information about the raw format of the messages associated with the swift transfers.</t>
  </si>
  <si>
    <t>transfer_swift</t>
  </si>
  <si>
    <t>Contains the information about the sent and received swift transfers.</t>
  </si>
  <si>
    <t>common_payments_checks</t>
  </si>
  <si>
    <t>check</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</si>
  <si>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</si>
  <si>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</si>
  <si>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</si>
  <si>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</si>
  <si>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</si>
  <si>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</si>
  <si>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</si>
  <si>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</si>
  <si>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</si>
  <si>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</si>
  <si>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</si>
  <si>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</si>
  <si>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</si>
  <si>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</si>
  <si>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</si>
  <si>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</si>
  <si>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</si>
  <si>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</si>
  <si>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</si>
  <si>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</si>
  <si>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</si>
  <si>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</si>
  <si>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</si>
  <si>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</si>
  <si>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</si>
  <si>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</si>
  <si>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</si>
  <si>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</si>
  <si>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</si>
  <si>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</si>
  <si>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</si>
  <si>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</si>
  <si>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</si>
  <si>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</si>
  <si>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</si>
  <si>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</si>
  <si>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</si>
  <si>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</si>
  <si>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</si>
  <si>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</si>
  <si>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</si>
  <si>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</si>
  <si>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</si>
  <si>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</si>
  <si>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</si>
  <si>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</si>
  <si>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</si>
  <si>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</si>
  <si>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</si>
  <si>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</si>
  <si>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</si>
  <si>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</si>
  <si>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</si>
  <si>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</si>
  <si>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</si>
  <si>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</si>
  <si>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</si>
  <si>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</si>
  <si>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</si>
  <si>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</si>
  <si>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</si>
  <si>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</si>
  <si>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</si>
  <si>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</si>
  <si>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</si>
  <si>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</si>
  <si>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</si>
  <si>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</si>
  <si>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</si>
  <si>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</si>
  <si>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</si>
  <si>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</si>
  <si>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</si>
  <si>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</si>
  <si>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</si>
  <si>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</si>
  <si>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</si>
  <si>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</si>
  <si>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</si>
  <si>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</si>
  <si>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</si>
  <si>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</si>
  <si>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</si>
  <si>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</si>
  <si>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</si>
  <si>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</si>
  <si>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</si>
  <si>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</si>
  <si>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</si>
  <si>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</si>
  <si>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</si>
  <si>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</si>
  <si>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</si>
  <si>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</si>
  <si>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</si>
  <si>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</si>
  <si>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</si>
  <si>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</si>
  <si>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</si>
  <si>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</si>
  <si>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</si>
  <si>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</si>
  <si>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</si>
  <si>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</si>
  <si>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</si>
  <si>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</si>
  <si>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</si>
  <si>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</si>
  <si>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</si>
  <si>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</si>
  <si>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</si>
  <si>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</si>
  <si>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</si>
  <si>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</si>
  <si>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</si>
  <si>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</si>
  <si>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</si>
  <si>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</si>
  <si>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</si>
  <si>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</si>
  <si>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</si>
  <si>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</si>
  <si>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</si>
  <si>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</si>
  <si>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</si>
  <si>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</si>
  <si>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</si>
  <si>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</si>
  <si>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</si>
  <si>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</si>
  <si>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</si>
  <si>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</si>
  <si>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</si>
  <si>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</si>
  <si>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</si>
  <si>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</si>
  <si>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</si>
  <si>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</si>
  <si>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</si>
  <si>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</si>
  <si>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</si>
  <si>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</si>
  <si>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</si>
  <si>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</si>
  <si>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</si>
  <si>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</si>
  <si>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</si>
  <si>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</si>
  <si>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</si>
  <si>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</si>
  <si>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</si>
  <si>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</si>
  <si>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</si>
  <si>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</si>
  <si>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</si>
  <si>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</si>
  <si>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</si>
  <si>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</si>
  <si>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</si>
  <si>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</si>
  <si>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</si>
  <si>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</si>
  <si>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</si>
  <si>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</si>
  <si>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</si>
  <si>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</si>
  <si>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</si>
  <si>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</si>
  <si>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</si>
  <si>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</si>
  <si>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</si>
  <si>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</si>
  <si>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</si>
  <si>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</si>
  <si>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</si>
  <si>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</si>
  <si>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</si>
  <si>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</si>
  <si>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</si>
  <si>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</si>
  <si>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</si>
  <si>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</si>
  <si>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</si>
  <si>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</si>
  <si>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</si>
  <si>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</si>
  <si>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</si>
  <si>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</si>
  <si>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</si>
  <si>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</si>
  <si>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</si>
  <si>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</si>
  <si>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</si>
  <si>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</si>
  <si>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</si>
  <si>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</si>
  <si>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</si>
  <si>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</si>
  <si>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</si>
  <si>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</si>
  <si>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</si>
  <si>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</si>
  <si>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</si>
  <si>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</si>
  <si>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</si>
  <si>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</si>
  <si>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</si>
  <si>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</si>
  <si>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</si>
  <si>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</si>
  <si>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</si>
  <si>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</si>
  <si>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</si>
  <si>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</si>
  <si>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</si>
  <si>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</si>
  <si>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</si>
  <si>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</si>
  <si>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</si>
  <si>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</si>
  <si>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</si>
  <si>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</si>
  <si>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</si>
  <si>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</si>
  <si>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</si>
  <si>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</si>
  <si>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</si>
  <si>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</si>
  <si>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</si>
  <si>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</si>
  <si>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</si>
  <si>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</si>
  <si>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</si>
  <si>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</si>
  <si>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</si>
  <si>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</si>
  <si>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</si>
  <si>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</si>
  <si>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</si>
  <si>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</si>
  <si>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</si>
  <si>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</si>
  <si>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</si>
  <si>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</si>
  <si>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</si>
  <si>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</si>
  <si>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</si>
  <si>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</si>
  <si>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</si>
  <si>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</si>
  <si>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</si>
  <si>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</si>
  <si>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</si>
  <si>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</si>
  <si>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</si>
  <si>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</si>
  <si>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</si>
  <si>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</si>
  <si>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</si>
  <si>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</si>
  <si>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</si>
  <si>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</si>
  <si>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</si>
  <si>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</si>
  <si>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</si>
  <si>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</si>
  <si>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</si>
  <si>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</si>
  <si>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</si>
  <si>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</si>
  <si>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</si>
  <si>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</si>
  <si>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</si>
  <si>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</si>
  <si>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</si>
  <si>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</si>
  <si>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</si>
  <si>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</si>
  <si>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</si>
  <si>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</si>
  <si>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</si>
  <si>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</si>
  <si>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</si>
  <si>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</si>
  <si>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</si>
  <si>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</si>
  <si>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</si>
  <si>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</si>
  <si>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</si>
  <si>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</si>
  <si>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</si>
  <si>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</si>
  <si>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</si>
  <si>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</si>
  <si>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</si>
  <si>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</si>
  <si>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</si>
  <si>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</si>
  <si>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</si>
  <si>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</si>
  <si>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</si>
  <si>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</si>
  <si>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</si>
  <si>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</si>
  <si>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</si>
  <si>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</si>
  <si>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</si>
  <si>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</si>
  <si>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</si>
  <si>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</si>
  <si>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</si>
  <si>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</si>
  <si>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</si>
  <si>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</si>
  <si>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</si>
  <si>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</si>
  <si>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</si>
  <si>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</si>
  <si>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</si>
  <si>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</si>
  <si>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</si>
  <si>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</si>
  <si>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</si>
  <si>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</si>
  <si>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</si>
  <si>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</si>
  <si>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</si>
  <si>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</si>
  <si>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</si>
  <si>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</si>
  <si>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</si>
  <si>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</si>
  <si>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</si>
  <si>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</si>
  <si>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</si>
  <si>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</si>
  <si>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</si>
  <si>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</si>
  <si>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</si>
  <si>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</si>
  <si>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</si>
  <si>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</si>
  <si>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</si>
  <si>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</si>
  <si>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</si>
  <si>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</si>
  <si>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</si>
  <si>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</si>
  <si>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</si>
  <si>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</si>
  <si>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</si>
  <si>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</si>
  <si>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</si>
  <si>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</si>
  <si>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</si>
  <si>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</si>
  <si>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</si>
  <si>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</si>
  <si>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</si>
  <si>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</si>
  <si>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</si>
  <si>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</si>
  <si>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</si>
  <si>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</si>
  <si>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</si>
  <si>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</si>
  <si>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</si>
  <si>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</si>
  <si>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</si>
  <si>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</si>
  <si>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</si>
  <si>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</si>
  <si>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</si>
  <si>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</si>
  <si>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</si>
  <si>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</si>
  <si>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</si>
  <si>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</si>
  <si>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</si>
  <si>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</si>
  <si>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</si>
  <si>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</si>
  <si>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</si>
  <si>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</si>
  <si>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</si>
  <si>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</si>
  <si>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</si>
  <si>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</si>
  <si>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</si>
  <si>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</si>
  <si>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</si>
  <si>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</si>
  <si>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</si>
  <si>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</si>
  <si>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</si>
  <si>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</si>
  <si>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</si>
  <si>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</si>
  <si>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</si>
  <si>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</si>
  <si>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</si>
  <si>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</si>
  <si>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</si>
  <si>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</si>
  <si>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</si>
  <si>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</si>
  <si>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</si>
  <si>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</si>
  <si>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</si>
  <si>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</si>
  <si>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</si>
  <si>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</si>
  <si>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</si>
  <si>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</si>
  <si>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</si>
  <si>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</si>
  <si>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</si>
  <si>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</si>
  <si>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</si>
  <si>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</si>
  <si>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</si>
  <si>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</si>
  <si>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</si>
  <si>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</si>
  <si>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</si>
  <si>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</si>
  <si>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</si>
  <si>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</si>
  <si>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</si>
  <si>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</si>
  <si>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</si>
  <si>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</si>
  <si>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</si>
  <si>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</si>
  <si>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</si>
  <si>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</si>
  <si>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</si>
  <si>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</si>
  <si>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</si>
  <si>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</si>
  <si>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</si>
  <si>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</si>
  <si>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</si>
  <si>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</si>
  <si>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</si>
  <si>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</si>
  <si>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</si>
  <si>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</si>
  <si>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</si>
  <si>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</si>
  <si>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</si>
  <si>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</si>
  <si>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</si>
  <si>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</si>
  <si>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</si>
  <si>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</si>
  <si>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</si>
  <si>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</si>
  <si>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</si>
  <si>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</si>
  <si>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</si>
  <si>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</si>
  <si>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</si>
  <si>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</si>
  <si>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</si>
  <si>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</si>
  <si>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</si>
  <si>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</si>
  <si>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</si>
  <si>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</si>
  <si>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</si>
  <si>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</si>
  <si>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</si>
  <si>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</si>
  <si>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</si>
  <si>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</si>
  <si>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</si>
  <si>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</si>
  <si>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</si>
  <si>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</si>
  <si>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</si>
  <si>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</si>
  <si>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</si>
  <si>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</si>
  <si>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</si>
  <si>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</si>
  <si>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</si>
  <si>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</si>
  <si>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</si>
  <si>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</si>
  <si>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</si>
  <si>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</si>
  <si>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</si>
  <si>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</si>
  <si>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</si>
  <si>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</si>
  <si>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</si>
  <si>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</si>
  <si>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</si>
  <si>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</si>
  <si>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</si>
  <si>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</si>
  <si>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</si>
  <si>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</si>
  <si>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</si>
  <si>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</si>
  <si>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</si>
  <si>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</si>
  <si>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</si>
  <si>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</si>
  <si>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</si>
  <si>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</si>
  <si>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</si>
  <si>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</si>
  <si>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</si>
  <si>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</si>
  <si>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</si>
  <si>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</si>
  <si>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</si>
  <si>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</si>
  <si>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</si>
  <si>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</si>
  <si>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</si>
  <si>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</si>
  <si>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</si>
  <si>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</si>
  <si>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</si>
  <si>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</si>
  <si>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</si>
  <si>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</si>
  <si>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</si>
  <si>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</si>
  <si>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</si>
  <si>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</si>
  <si>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</si>
  <si>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</si>
  <si>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</si>
  <si>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</si>
  <si>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</si>
  <si>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</si>
  <si>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</si>
  <si>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</si>
  <si>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</si>
  <si>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</si>
  <si>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</si>
  <si>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</si>
  <si>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</si>
  <si>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</si>
  <si>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</si>
  <si>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</si>
  <si>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</si>
  <si>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</si>
  <si>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</si>
  <si>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</si>
  <si>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</si>
  <si>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</si>
  <si>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</si>
  <si>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</si>
  <si>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</si>
  <si>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</si>
  <si>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</si>
  <si>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</si>
  <si>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</si>
  <si>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</si>
  <si>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</si>
  <si>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</si>
  <si>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</si>
  <si>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</si>
  <si>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</si>
  <si>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</si>
  <si>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</si>
  <si>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</si>
  <si>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</si>
  <si>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</si>
  <si>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</si>
  <si>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</si>
  <si>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</si>
  <si>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</si>
  <si>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</si>
  <si>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</si>
  <si>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</si>
  <si>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</si>
  <si>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</si>
  <si>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</si>
  <si>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</si>
  <si>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</si>
  <si>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</si>
  <si>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</si>
  <si>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</si>
  <si>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</si>
  <si>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</si>
  <si>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</si>
  <si>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</si>
  <si>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</si>
  <si>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</si>
  <si>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</si>
  <si>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</si>
  <si>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</si>
  <si>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</si>
  <si>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</si>
  <si>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</si>
  <si>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</si>
  <si>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</si>
  <si>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</si>
  <si>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</si>
  <si>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</si>
  <si>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</si>
  <si>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</si>
  <si>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</si>
  <si>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</si>
  <si>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</si>
  <si>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</si>
  <si>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</si>
  <si>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</si>
  <si>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</si>
  <si>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</si>
  <si>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</si>
  <si>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</si>
  <si>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</si>
  <si>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</si>
  <si>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</si>
  <si>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</si>
  <si>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</si>
  <si>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</si>
  <si>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</si>
  <si>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</si>
  <si>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</si>
  <si>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</si>
  <si>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</si>
  <si>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</si>
  <si>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</si>
  <si>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</si>
  <si>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</si>
  <si>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</si>
  <si>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</si>
  <si>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</si>
  <si>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</si>
  <si>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</si>
  <si>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</si>
  <si>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</si>
  <si>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</si>
  <si>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</si>
  <si>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</si>
  <si>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</si>
  <si>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</si>
  <si>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</si>
  <si>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</si>
  <si>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</si>
  <si>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</si>
  <si>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</si>
  <si>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</si>
  <si>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</si>
  <si>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</si>
  <si>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</si>
  <si>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</si>
  <si>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</si>
  <si>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</si>
  <si>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</si>
  <si>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</si>
  <si>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</si>
  <si>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</si>
  <si>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</si>
  <si>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</si>
  <si>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</si>
  <si>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</si>
  <si>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</si>
  <si>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</si>
  <si>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</si>
  <si>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</si>
  <si>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</si>
  <si>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</si>
  <si>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</si>
  <si>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</si>
  <si>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</si>
  <si>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</si>
  <si>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</si>
  <si>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</si>
  <si>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</si>
  <si>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</si>
  <si>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Direct Debits Transaction</t>
  </si>
  <si>
    <t>Amount</t>
  </si>
  <si>
    <t>amount</t>
  </si>
  <si>
    <t>Debit - Ext  Inf - Value</t>
  </si>
  <si>
    <t>DECIMAL</t>
  </si>
  <si>
    <t xml:space="preserve">Transfer / payment amount exchanged. </t>
  </si>
  <si>
    <t xml:space="preserve">Montante envolvido na transferência / pagamento. </t>
  </si>
  <si>
    <t>CURATED_INTERNAL_MAINFRAME_DEBITOSDIRECTOS
CURATED_INTERNAL_MAINFRAME_DEBITOSDIRECTOS
CURATED_INTERNAL_MAINFRAME_DEBITOSDIRECTOS
CURATED_INTERNAL_MAINFRAME_DEBITOSDIRECTOS</t>
  </si>
  <si>
    <t>DDT03_IDDREC
DDT04_IDDEMI
DDT03_IDDREC
DDT04_IDDEMI</t>
  </si>
  <si>
    <t xml:space="preserve">DDYD03A4_MMOVIM 
DDYD04A6_MMOVIM 
DDYD03A4_MMOVIM 
DDYD04A6_MMOVIM </t>
  </si>
  <si>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 DDT04.DDYD04A6_MMOVIM AS DECIMAL(23, 6))
</t>
    </r>
    <r>
      <rPr>
        <b/>
        <sz val="11"/>
        <color rgb="FF000000"/>
        <rFont val="Calibri"/>
        <scheme val="minor"/>
      </rPr>
      <t>WHERE</t>
    </r>
    <r>
      <rPr>
        <sz val="11"/>
        <color rgb="FF000000"/>
        <rFont val="Calibri"/>
        <scheme val="minor"/>
      </rPr>
      <t xml:space="preserve"> 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CAST(DDT04.DDYD04A6_MMOVIM AS DECIMAL(23, 6))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</si>
  <si>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 - Débitos Directos</t>
  </si>
  <si>
    <t>MMOVIM
MMOVIM
MMOVIM
MMOVIM</t>
  </si>
  <si>
    <t>N\A
N\A
N\A
N\A</t>
  </si>
  <si>
    <t>Transfer Other</t>
  </si>
  <si>
    <t>Transfer / payment amount exchanged.</t>
  </si>
  <si>
    <t>CURATED_INTERNAL_MAINFRAME_CARTOES</t>
  </si>
  <si>
    <t>CRT67</t>
  </si>
  <si>
    <t xml:space="preserve">MMOVIM </t>
  </si>
  <si>
    <t>SELECT CAST(CRT67.MMOVIM AS DECIMAL(23, 6))</t>
  </si>
  <si>
    <t>CR - Cartões</t>
  </si>
  <si>
    <t>CRT67_TBTRANSF</t>
  </si>
  <si>
    <t>N\A</t>
  </si>
  <si>
    <t>Transfer Sepa Target</t>
  </si>
  <si>
    <t>CURATED_INTERNAL_MAINFRAME_ESTRANGEIRO
CURATED_INTERNAL_MAINFRAME_ESTRANGEIRO
CURATED_INTERNAL_MAINFRAME_ESTRANGEIRO</t>
  </si>
  <si>
    <t>ORT01_SEPA_EMI
ORT01_SEPA_INT
ORT01_SEPA_REC</t>
  </si>
  <si>
    <t xml:space="preserve">ORYD01H9_MMOVIM 
ORYD01H9_MMOVIM 
ORYD01H9_MMOVIM </t>
  </si>
  <si>
    <r>
      <rPr>
        <b/>
        <sz val="11"/>
        <color rgb="FF000000"/>
        <rFont val="Calibri"/>
        <scheme val="minor"/>
      </rPr>
      <t xml:space="preserve">SELECT </t>
    </r>
    <r>
      <rPr>
        <sz val="11"/>
        <color rgb="FF000000"/>
        <rFont val="Calibri"/>
        <scheme val="minor"/>
      </rPr>
      <t xml:space="preserve">CAST( ORT01_SEPA_EMI.ORYD01H9_MMOVIM AS DECIMAL( 23, 6 ) )
</t>
    </r>
    <r>
      <rPr>
        <b/>
        <sz val="11"/>
        <color rgb="FF000000"/>
        <rFont val="Calibri"/>
        <scheme val="minor"/>
      </rPr>
      <t xml:space="preserve">SELECT </t>
    </r>
    <r>
      <rPr>
        <sz val="11"/>
        <color rgb="FF000000"/>
        <rFont val="Calibri"/>
        <scheme val="minor"/>
      </rPr>
      <t xml:space="preserve">CAST( ORT01_SEPA_INT.ORYD01H9_MMOVIM AS DECIMAL( 23, 6 ) )
</t>
    </r>
    <r>
      <rPr>
        <b/>
        <sz val="11"/>
        <color rgb="FF000000"/>
        <rFont val="Calibri"/>
        <scheme val="minor"/>
      </rPr>
      <t xml:space="preserve">SELECT </t>
    </r>
    <r>
      <rPr>
        <sz val="11"/>
        <color rgb="FF000000"/>
        <rFont val="Calibri"/>
        <scheme val="minor"/>
      </rPr>
      <t>CAST( ORT01_SEPA_REC.ORYD01H9_MMOVIM AS DECIMAL( 23, 6 ) )</t>
    </r>
  </si>
  <si>
    <t xml:space="preserve">OR - </t>
  </si>
  <si>
    <t>MMOVIM
MMOVIM
MMOVIM</t>
  </si>
  <si>
    <t>N/A
N/A
N/A</t>
  </si>
  <si>
    <t>Transfers Swift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</si>
  <si>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t>
  </si>
  <si>
    <t>EST10_ORDENS
IGT05
RST03_MT101TRF
HH_TRANSF_EMIT
HH_ESTADO_DECRE
JK_ORDEN_ENVIAR
JK_ORDEN_CAMARA</t>
  </si>
  <si>
    <t>MONTTRF
IMPORTANCIA_TRA 
RSYD03A2_MONTANTE 
IMPCTR 
HHW_IMPORDEX
IMPORDOR
IMPORDOR</t>
  </si>
  <si>
    <r>
      <rPr>
        <b/>
        <sz val="11"/>
        <color rgb="FF000000"/>
        <rFont val="Calibri"/>
        <scheme val="minor"/>
      </rPr>
      <t xml:space="preserve">SELECT </t>
    </r>
    <r>
      <rPr>
        <sz val="11"/>
        <color rgb="FF000000"/>
        <rFont val="Calibri"/>
        <scheme val="minor"/>
      </rPr>
      <t xml:space="preserve">IF(TRIM(EST10_ORDENS.MONTTRF) = '', NULL, EST10_ORDENS.MONTTRF)
</t>
    </r>
    <r>
      <rPr>
        <b/>
        <sz val="11"/>
        <color rgb="FF000000"/>
        <rFont val="Calibri"/>
        <scheme val="minor"/>
      </rPr>
      <t>WHERE</t>
    </r>
    <r>
      <rPr>
        <sz val="11"/>
        <color rgb="FF000000"/>
        <rFont val="Calibri"/>
        <scheme val="minor"/>
      </rPr>
      <t xml:space="preserve"> 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CAST(IGT05.IMPORTANCIA_TRA AS DECIMAL(23, 6))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CAST( RST03_MT101TRF.RSYD03A2_MONTANTE AS DECIMAL( 23, 6 )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
SELECT </t>
    </r>
    <r>
      <rPr>
        <sz val="11"/>
        <color rgb="FF000000"/>
        <rFont val="Calibri"/>
        <scheme val="minor"/>
      </rPr>
      <t xml:space="preserve">IF( TRIM( HH_TRANFS_EMIT.IMPCTR ) = '', NULL, HH_TRANFS_EMIT.IMPCTR )
</t>
    </r>
    <r>
      <rPr>
        <b/>
        <sz val="11"/>
        <color rgb="FF000000"/>
        <rFont val="Calibri"/>
        <scheme val="minor"/>
      </rPr>
      <t xml:space="preserve">SELECT </t>
    </r>
    <r>
      <rPr>
        <sz val="11"/>
        <color rgb="FF000000"/>
        <rFont val="Calibri"/>
        <scheme val="minor"/>
      </rPr>
      <t xml:space="preserve">IF( TRIM( HH_ESTADO_DECRE.HHW_IMPORDEX ) = '', NULL, HH_ESTADO_DECRE.HHW_IMPORDEX)
</t>
    </r>
    <r>
      <rPr>
        <b/>
        <sz val="11"/>
        <color rgb="FF000000"/>
        <rFont val="Calibri"/>
        <scheme val="minor"/>
      </rPr>
      <t xml:space="preserve">SELECT </t>
    </r>
    <r>
      <rPr>
        <sz val="11"/>
        <color rgb="FF000000"/>
        <rFont val="Calibri"/>
        <scheme val="minor"/>
      </rPr>
      <t xml:space="preserve">IF(TRIM(JK_ORDEN_ENVIAR.IMPORDOR) = '', NULL, JK_ORDEN_ENVIAR.IMPORDOR)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IF(TRIM(JK_ORDEN_CAMARA.IMPORDOR) = '', NULL, JK_ORDEN_CAMARA.IMPORDOR)
</t>
    </r>
    <r>
      <rPr>
        <b/>
        <sz val="11"/>
        <color rgb="FF000000"/>
        <rFont val="Calibri"/>
        <scheme val="minor"/>
      </rPr>
      <t xml:space="preserve">WHERE </t>
    </r>
    <r>
      <rPr>
        <sz val="11"/>
        <color rgb="FF000000"/>
        <rFont val="Calibri"/>
        <scheme val="minor"/>
      </rPr>
      <t>CONCAT( JK_ORDEN_CAMARA.TIPMSJ, JK_ORDEN_CAMARA.INDMSJ, JK_ORDEN_CAMARA.NUMMSJ) != 'MT103'</t>
    </r>
  </si>
  <si>
    <t xml:space="preserve">ES - Estrangeiro
IG - 
RS -
HH - 
HH - 
JK - </t>
  </si>
  <si>
    <t>EST10_ORDENS
IGT05_CONFIRMA
RST03_MT101TRF
HH_TRANSF_EMIT
HH_ESTADO_DECRE
JK_ORDEN_ENVIAR
JK_ORDEN_CAMARA</t>
  </si>
  <si>
    <t>MONTTRF
IMPORTANCIA_TRA
MONTANTE
IMPCTR
IMPORDEX
IMPORDOR
IMPORDOR</t>
  </si>
  <si>
    <t>N\A 
N\A
N\A
N\A
N\A
N\A
N\A</t>
  </si>
  <si>
    <t>Authorization Number</t>
  </si>
  <si>
    <t>authorization_number</t>
  </si>
  <si>
    <t>STRING</t>
  </si>
  <si>
    <t>Autorization's unique identifier number</t>
  </si>
  <si>
    <t>Número do indentificador único associado a uma autorização.</t>
  </si>
  <si>
    <t>DDYD03A4_CNUMAUT
DDYD04A6_CNUMAUT
DDYD03A4_CNUMAUT
DDYD04A6_CNUMAUT</t>
  </si>
  <si>
    <r>
      <rPr>
        <b/>
        <sz val="11"/>
        <color rgb="FF000000"/>
        <rFont val="Calibri"/>
        <scheme val="minor"/>
      </rPr>
      <t>SELECT</t>
    </r>
    <r>
      <rPr>
        <sz val="11"/>
        <color rgb="FF000000"/>
        <rFont val="Calibri"/>
        <scheme val="minor"/>
      </rPr>
      <t xml:space="preserve"> IF( TRIM( DDT03_IDDREC.DDYD03A4_CNUMAUT ) = '', NULL, DDT03_IDDREC.DDYD03A4_CNUMAUT)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IF(TRIM(DDT03_IDDREC.DDYD03A4_CNUMAUT) = '', NULL, DDT03_IDDREC.DDYD03A4_CNUMAUT)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</si>
  <si>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CNUMAUT
CNUMAUT
CNUMAUT
CNUMAUT</t>
  </si>
  <si>
    <t>Batch ID</t>
  </si>
  <si>
    <t>batch_id</t>
  </si>
  <si>
    <t>Key - ID</t>
  </si>
  <si>
    <t xml:space="preserve">Unique identifier of a specific transfer.  </t>
  </si>
  <si>
    <t xml:space="preserve">Identificador único da transferência.  </t>
  </si>
  <si>
    <t>X</t>
  </si>
  <si>
    <t>DDYD03A4_CREFLOT
DDYD04A6_CREFLOT
DDYD03A4_CREFLOT
DDYD04A6_CREFLOT</t>
  </si>
  <si>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</si>
  <si>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CREFLOT
CREFLOT
CREFLOT
CREFLOT</t>
  </si>
  <si>
    <t>Compensation Check</t>
  </si>
  <si>
    <t>compensation_check</t>
  </si>
  <si>
    <t>Check Archive Reference</t>
  </si>
  <si>
    <t>check_archive_reference</t>
  </si>
  <si>
    <t>Unique identifier of the archive referecen associated to the check.</t>
  </si>
  <si>
    <t>Referência do arquivo associado ao cheque.</t>
  </si>
  <si>
    <t>CURATED_INTERNAL_MAINFRAME_CHEQUESCOMPENSACAO
CURATED_INTERNAL_MAINFRAME_CHEQUESCOMPENSACAO</t>
  </si>
  <si>
    <t>CCT71_APRESENT
CCT72_RECEBIDA</t>
  </si>
  <si>
    <t>REFARQ
REFARQ</t>
  </si>
  <si>
    <r>
      <rPr>
        <b/>
        <sz val="11"/>
        <color rgb="FF000000"/>
        <rFont val="Calibri"/>
      </rPr>
      <t xml:space="preserve">SELECT </t>
    </r>
    <r>
      <rPr>
        <sz val="11"/>
        <color rgb="FF000000"/>
        <rFont val="Calibri"/>
      </rPr>
      <t xml:space="preserve">CCT71_APRESENT.REFARQ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CCT72_RECEBIDA.REFARQ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</si>
  <si>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CC - Cheque Compensação
CC - Cheque Compensação</t>
  </si>
  <si>
    <t>N\A
N\A</t>
  </si>
  <si>
    <t>Currency Code</t>
  </si>
  <si>
    <t>currency_code</t>
  </si>
  <si>
    <t>Debit - Ext  Inf - Code</t>
  </si>
  <si>
    <t xml:space="preserve">Currency code related to the amount received in the transfer/payment.  </t>
  </si>
  <si>
    <t xml:space="preserve">Código da moeda relativo ao montante recebido na transferência/pagamento. </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</si>
  <si>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</si>
  <si>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</si>
  <si>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</si>
  <si>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</si>
  <si>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DDT03_IDDREC -&gt; TAT91_TABELAS_NEW
DDT04_IDDEMI -&gt; TAT91_TABELAS_NEW
DDT03_IDDREC -&gt; TAT91_TABELAS_NEW
DDT04_IDDEMI -&gt; TAT91_TABELAS_NEW</t>
  </si>
  <si>
    <t>Currency code related to the amount sent in the transfer/payment.</t>
  </si>
  <si>
    <t xml:space="preserve">Código da moeda relativo ao montante enviado na transferência/pagamento. </t>
  </si>
  <si>
    <t>N/A</t>
  </si>
  <si>
    <t>SELECT '978'</t>
  </si>
  <si>
    <t>"EUR"</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</si>
  <si>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</si>
  <si>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</si>
  <si>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</si>
  <si>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</si>
  <si>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</si>
  <si>
    <t>ORT01_SEPA_EMI -&gt; TAT91_TABELAS_NEW
ORT01_SEPA_INT -&gt; TAT91_TABELAS_NEW
ORT01_SEPA_REC -&gt; TAT91_TABELAS_NEW</t>
  </si>
  <si>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</si>
  <si>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JK_ORDEN_ENVIAR
TAT91_TABELAS_NEW
JK_ORDEN_ENVIAR
TAT91_TABELAS_NEW</t>
  </si>
  <si>
    <t>N/A
TAYD91C0_CELEMTAB
N/A
TAYD91C0_CELEMTAB
N/A
TAYD91C0_CELEMTAB
TAYD91C0_CELEMTAB
TAYD91C0_CELEMTAB
N/A
TAYD91C0_CELEMTAB
N/A
TAYD91C0_CELEMTAB</t>
  </si>
  <si>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SELECT</t>
    </r>
    <r>
      <rPr>
        <sz val="11"/>
        <color rgb="FF000000"/>
        <rFont val="Calibri"/>
        <scheme val="minor"/>
      </rPr>
      <t xml:space="preserve"> 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IGT05.PRODUTO IN ( 'TRR', 'TNR', 'TRE', 'TNE' ) AND TAT91_TABELAS_NEW.TAYD91C0_CTABELA = '206'
</t>
    </r>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CONCAT( JK_ORDEN_ENVIAR.TIPMSJ, JK_ORDEN_ENVIAR.INDMSJ, JK_ORDEN_ENVIAR.NUMMSJ) != 'MT103'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CONCAT( JK_ORDEN_CAMARA.TIPMSJ, JK_ORDEN_CAMARA.INDMSJ, JK_ORDEN_CAMARA.NUMMSJ) != 'MT103' AND TAT91_TABELAS_NEW.TAYD91C0_CTABELA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</si>
  <si>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</si>
  <si>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</si>
  <si>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 xml:space="preserve">Data Date Part </t>
  </si>
  <si>
    <t>data_date_part</t>
  </si>
  <si>
    <t>Key - Date</t>
  </si>
  <si>
    <t>Information reference date.</t>
  </si>
  <si>
    <t>Data de referência dos dados</t>
  </si>
  <si>
    <t>DATA_DATE_PART
DATA_DATE_PART
DATA_DATE_PART
DATA_DATE_PART</t>
  </si>
  <si>
    <r>
      <rPr>
        <b/>
        <sz val="11"/>
        <color rgb="FF000000"/>
        <rFont val="Calibri"/>
        <scheme val="minor"/>
      </rPr>
      <t xml:space="preserve">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
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</si>
  <si>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Swift Message</t>
  </si>
  <si>
    <t>CURATED_INTERNAL_MAINFRAME_ESTRANGEIRO</t>
  </si>
  <si>
    <t>EST94_HISMSGSW</t>
  </si>
  <si>
    <t>DATA_DATE_PART</t>
  </si>
  <si>
    <r>
      <rPr>
        <b/>
        <sz val="11"/>
        <color rgb="FF000000"/>
        <rFont val="Calibri"/>
        <scheme val="minor"/>
      </rPr>
      <t>SELECT</t>
    </r>
    <r>
      <rPr>
        <sz val="11"/>
        <color rgb="FF000000"/>
        <rFont val="Calibri"/>
        <scheme val="minor"/>
      </rPr>
      <t xml:space="preserve"> EST94_HISMSGSW.DATA_DATE_PART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</si>
  <si>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SELECT CRT67.DATA_DATE_PART</t>
  </si>
  <si>
    <t>DATA_DATE_PART
DATA_DATE_PART
DATA_DATE_PART</t>
  </si>
  <si>
    <r>
      <rPr>
        <b/>
        <sz val="11"/>
        <color rgb="FF000000"/>
        <rFont val="Calibri"/>
        <scheme val="minor"/>
      </rPr>
      <t xml:space="preserve">SELECT </t>
    </r>
    <r>
      <rPr>
        <sz val="11"/>
        <color rgb="FF000000"/>
        <rFont val="Calibri"/>
        <scheme val="minor"/>
      </rPr>
      <t xml:space="preserve">ORT01_SEPA_EMI.DATA_DATE_PART
</t>
    </r>
    <r>
      <rPr>
        <b/>
        <sz val="11"/>
        <color rgb="FF000000"/>
        <rFont val="Calibri"/>
        <scheme val="minor"/>
      </rPr>
      <t xml:space="preserve">SELECT </t>
    </r>
    <r>
      <rPr>
        <sz val="11"/>
        <color rgb="FF000000"/>
        <rFont val="Calibri"/>
        <scheme val="minor"/>
      </rPr>
      <t xml:space="preserve">ORT01_SEPA_INT.DATA_DATE_PART
</t>
    </r>
    <r>
      <rPr>
        <b/>
        <sz val="11"/>
        <color rgb="FF000000"/>
        <rFont val="Calibri"/>
        <scheme val="minor"/>
      </rPr>
      <t xml:space="preserve">SELECT </t>
    </r>
    <r>
      <rPr>
        <sz val="11"/>
        <color rgb="FF000000"/>
        <rFont val="Calibri"/>
        <scheme val="minor"/>
      </rPr>
      <t>ORT01_SEPA_REC.DATA_DATE_PART</t>
    </r>
  </si>
  <si>
    <t>EST10_ORDENS
IGT05
RST03_MT101TRF
HH_TRANSF_EMIT
HH_SWIFT_RELAC
JK_ORDEN_ENVIAR
JK_ORDEN_CAMARA</t>
  </si>
  <si>
    <t>DATA_DATE_PART
DATA_DATE_PART
DATA_DATE_PART
DATA_DATE_PART
DATA_DATE_PART
DATA_DATE_PART
DATA_DATE_PART</t>
  </si>
  <si>
    <r>
      <rPr>
        <b/>
        <sz val="11"/>
        <color rgb="FF000000"/>
        <rFont val="Calibri"/>
        <scheme val="minor"/>
      </rPr>
      <t xml:space="preserve">SELECT </t>
    </r>
    <r>
      <rPr>
        <sz val="11"/>
        <color rgb="FF000000"/>
        <rFont val="Calibri"/>
        <scheme val="minor"/>
      </rPr>
      <t xml:space="preserve">EST10_ORDENS.DATA_DATE_PART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IGT05.DATA_DATE_PART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RST03_MT101TRF.DATA_DATE_PART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HH_TRANSF_EMIT.DATA_DATE_PART
</t>
    </r>
    <r>
      <rPr>
        <b/>
        <sz val="11"/>
        <color rgb="FF000000"/>
        <rFont val="Calibri"/>
        <scheme val="minor"/>
      </rPr>
      <t xml:space="preserve">SELECT </t>
    </r>
    <r>
      <rPr>
        <sz val="11"/>
        <color rgb="FF000000"/>
        <rFont val="Calibri"/>
        <scheme val="minor"/>
      </rPr>
      <t xml:space="preserve">HH_SWIFT_RELAC.DATA_DATE_PART
</t>
    </r>
    <r>
      <rPr>
        <b/>
        <sz val="11"/>
        <color rgb="FF000000"/>
        <rFont val="Calibri"/>
        <scheme val="minor"/>
      </rPr>
      <t xml:space="preserve">SELECT </t>
    </r>
    <r>
      <rPr>
        <sz val="11"/>
        <color rgb="FF000000"/>
        <rFont val="Calibri"/>
        <scheme val="minor"/>
      </rPr>
      <t xml:space="preserve">JK_ORDEN_ENVIAR.DATA_DATE_PART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JK_ORDEN_CAMARA.DATA_DATE_PART
</t>
    </r>
    <r>
      <rPr>
        <b/>
        <sz val="11"/>
        <color rgb="FF000000"/>
        <rFont val="Calibri"/>
        <scheme val="minor"/>
      </rPr>
      <t xml:space="preserve">WHERE </t>
    </r>
    <r>
      <rPr>
        <sz val="11"/>
        <color rgb="FF000000"/>
        <rFont val="Calibri"/>
        <scheme val="minor"/>
      </rPr>
      <t xml:space="preserve">CONCAT( JK_ORDEN_CAMARA.TIPMSJ, JK_ORDEN_CAMARA.INDMSJ, JK_ORDEN_CAMARA.NUMMSJ) != 'MT103'
</t>
    </r>
  </si>
  <si>
    <t>Data Timestamp Part</t>
  </si>
  <si>
    <t>data_timestamp_part</t>
  </si>
  <si>
    <t>Tec - Date</t>
  </si>
  <si>
    <t>TIMESTAMP</t>
  </si>
  <si>
    <t>Record's load timestamp in common layer.</t>
  </si>
  <si>
    <t>Timestamp da data de execução</t>
  </si>
  <si>
    <t>N/A
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</si>
  <si>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</si>
  <si>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</si>
  <si>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SELECT NOW()</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</si>
  <si>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</si>
  <si>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N/A
N/A
N/A
N/A
HH
N/A
JK</t>
  </si>
  <si>
    <t>N/A
N/A
N/A
N/A
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</si>
  <si>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</si>
  <si>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 xml:space="preserve">Full Message </t>
  </si>
  <si>
    <t>full_message</t>
  </si>
  <si>
    <t>Full message text</t>
  </si>
  <si>
    <t xml:space="preserve">Descritivo completo da mensagem de transação / pagamento. </t>
  </si>
  <si>
    <t>Payments</t>
  </si>
  <si>
    <t>Full Message</t>
  </si>
  <si>
    <t>EST95_HISTXMSG (FULL_MESSAGE)</t>
  </si>
  <si>
    <t>ESYD95A1_GTXTMSG</t>
  </si>
  <si>
    <r>
      <rPr>
        <b/>
        <sz val="11"/>
        <color rgb="FF000000"/>
        <rFont val="Calibri"/>
        <scheme val="minor"/>
      </rPr>
      <t xml:space="preserve">SELECT </t>
    </r>
    <r>
      <rPr>
        <sz val="11"/>
        <color rgb="FF000000"/>
        <rFont val="Calibri"/>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r>
      <rPr>
        <b/>
        <sz val="11"/>
        <color rgb="FF000000"/>
        <rFont val="Calibri"/>
        <scheme val="minor"/>
      </rPr>
      <t xml:space="preserve">GROUP BY </t>
    </r>
    <r>
      <rPr>
        <sz val="11"/>
        <color rgb="FF000000"/>
        <rFont val="Calibri"/>
        <scheme val="minor"/>
      </rPr>
      <t>TRIM(EST95_HISTXMSG.ESYD95A1_CMUR, TRIM(ESYD95A1_ZSN)</t>
    </r>
  </si>
  <si>
    <t>ES - Estrangeiro</t>
  </si>
  <si>
    <t>EST95_HISTXMSG</t>
  </si>
  <si>
    <t>GTXTMSG</t>
  </si>
  <si>
    <t>All lines with the same CMUR</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</si>
  <si>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</si>
  <si>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</si>
  <si>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</si>
  <si>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</si>
  <si>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</si>
  <si>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t>CURATED_INTERNAL_MAINFRAME_ESTRANGEIRO
CURATED_INTERNAL_MAINFRAME_ESTRANGEIRO
CURATED_INTERNAL_MAINFRAME_ESTRANGEIRO
CURATED_INTERNAL_MAINFRAME_ESTRANGEIRO</t>
  </si>
  <si>
    <t>EST94_HISMSGSW
EST95_HISTXMSG
EST95_HISTXMSG (FILTRO_53)
EST95_HISTXMSG (FILTRO_54)</t>
  </si>
  <si>
    <t>ESYD94A5_IOUTINC
ESYD95A1_GTXTMSG</t>
  </si>
  <si>
    <r>
      <rPr>
        <b/>
        <sz val="11"/>
        <color rgb="FF000000"/>
        <rFont val="Calibri"/>
        <scheme val="minor"/>
      </rPr>
      <t xml:space="preserve">SELECT </t>
    </r>
    <r>
      <rPr>
        <sz val="11"/>
        <color rgb="FF000000"/>
        <rFont val="Calibri"/>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</si>
  <si>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</si>
  <si>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Intermediate Sender Bank Swift</t>
  </si>
  <si>
    <t>intermediate_sen_bank_swift</t>
  </si>
  <si>
    <t xml:space="preserve">Unique identifier of the intermediate sender bank. </t>
  </si>
  <si>
    <t xml:space="preserve">Identificador único do banco emitente intermediário. </t>
  </si>
  <si>
    <t>Intermediate Sender Bank</t>
  </si>
  <si>
    <r>
      <rPr>
        <b/>
        <sz val="11"/>
        <color rgb="FF000000"/>
        <rFont val="Calibri"/>
      </rPr>
      <t xml:space="preserve">SELECT </t>
    </r>
    <r>
      <rPr>
        <sz val="11"/>
        <color rgb="FF000000"/>
        <rFont val="Calibri"/>
      </rPr>
      <t xml:space="preserve">IF(TRIM(EST94_HISMSGSW.ESYD94A5_IOUINC) = '', NULL, IF(EST94_HISMSGSW.ESYD94A5_IOUINC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rPr>
      <t xml:space="preserve">WHERE </t>
    </r>
    <r>
      <rPr>
        <sz val="11"/>
        <color rgb="FF000000"/>
        <rFont val="Calibri"/>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</si>
  <si>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</si>
  <si>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Internal Reference ID</t>
  </si>
  <si>
    <t>internal_reference_id</t>
  </si>
  <si>
    <t>Unique identifier of a specific transfer.</t>
  </si>
  <si>
    <t>DDYD03A4_CREFOPR
DDYD04A6_CREFOPR
DDYD03A4_CREFOPR
DDYD04A6_CREFOPR</t>
  </si>
  <si>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</si>
  <si>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CREFOPR
CREFOPR
CREFOPR
CREFOPR</t>
  </si>
  <si>
    <t>CREFERCR</t>
  </si>
  <si>
    <t>SELECT CRT67.CREFERCR</t>
  </si>
  <si>
    <t xml:space="preserve">ORYD01H9_CREFER
ORYD01H9_CREFER 
ORYD01H9_CREFER </t>
  </si>
  <si>
    <r>
      <rPr>
        <b/>
        <sz val="11"/>
        <color rgb="FF000000"/>
        <rFont val="Calibri"/>
        <scheme val="minor"/>
      </rPr>
      <t xml:space="preserve">SELECT </t>
    </r>
    <r>
      <rPr>
        <sz val="11"/>
        <color rgb="FF000000"/>
        <rFont val="Calibri"/>
        <scheme val="minor"/>
      </rPr>
      <t xml:space="preserve">CAST(ORT01_SEPA_EMI.ORYD01H9_CREFER AS STRING)
</t>
    </r>
    <r>
      <rPr>
        <b/>
        <sz val="11"/>
        <color rgb="FF000000"/>
        <rFont val="Calibri"/>
        <scheme val="minor"/>
      </rPr>
      <t xml:space="preserve">SELECT </t>
    </r>
    <r>
      <rPr>
        <sz val="11"/>
        <color rgb="FF000000"/>
        <rFont val="Calibri"/>
        <scheme val="minor"/>
      </rPr>
      <t xml:space="preserve">CAST(ORT01_SEPA_INT.ORYD01H9_CREFER AS STRING)
</t>
    </r>
    <r>
      <rPr>
        <b/>
        <sz val="11"/>
        <color rgb="FF000000"/>
        <rFont val="Calibri"/>
        <scheme val="minor"/>
      </rPr>
      <t xml:space="preserve">SELECT </t>
    </r>
    <r>
      <rPr>
        <sz val="11"/>
        <color rgb="FF000000"/>
        <rFont val="Calibri"/>
        <scheme val="minor"/>
      </rPr>
      <t>CAST(ORT01_SEPA_REC.ORYD01H9_CREFER AS STRING)</t>
    </r>
  </si>
  <si>
    <t>CREFER
CREFER
CREFER</t>
  </si>
  <si>
    <t>CKREFEST
CKREFEST
RSYD03A2_CREFMT101, RSYD03A2_ZREFTRF
IDCENT, CODPROD, NUMSOR
IDCENT, CODPROD, NUMSOR
IDCENT, SERVAPLI, NUMECONT
IDCENT, SERVAPLI, NUMECONT</t>
  </si>
  <si>
    <r>
      <rPr>
        <b/>
        <sz val="11"/>
        <color rgb="FF000000"/>
        <rFont val="Calibri"/>
        <scheme val="minor"/>
      </rPr>
      <t xml:space="preserve">SELECT </t>
    </r>
    <r>
      <rPr>
        <sz val="11"/>
        <color rgb="FF000000"/>
        <rFont val="Calibri"/>
        <scheme val="minor"/>
      </rPr>
      <t xml:space="preserve">EST10_ORDENS.CKREFEST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IGT05.CKREFEST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CONCAT( RST03_MT101TRF.RSYD03A2_CREFMT101, LPAD( RST03_MT101TRF.RSYD03A2_ZREFTRF, 6, '0'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CONCAT( HH_TRANSF_EMIT.IDCENT, HH_TRANSF_EMIT.CODPROD, HH_TRANSF_EMIT.NUMSOR)
</t>
    </r>
    <r>
      <rPr>
        <b/>
        <sz val="11"/>
        <color rgb="FF000000"/>
        <rFont val="Calibri"/>
        <scheme val="minor"/>
      </rPr>
      <t xml:space="preserve">SELECT </t>
    </r>
    <r>
      <rPr>
        <sz val="11"/>
        <color rgb="FF000000"/>
        <rFont val="Calibri"/>
        <scheme val="minor"/>
      </rPr>
      <t xml:space="preserve">CONCAT( HH_SWIFT_RELAC.IDCENT, HH_SWIFT_RELAC.CODPROD, HH_SWIFT_RELAC.NUMSOR)
</t>
    </r>
    <r>
      <rPr>
        <b/>
        <sz val="11"/>
        <color rgb="FF000000"/>
        <rFont val="Calibri"/>
        <scheme val="minor"/>
      </rPr>
      <t xml:space="preserve">SELECT </t>
    </r>
    <r>
      <rPr>
        <sz val="11"/>
        <color rgb="FF000000"/>
        <rFont val="Calibri"/>
        <scheme val="minor"/>
      </rPr>
      <t xml:space="preserve">CONCAT( JK_ORDEN_ENVIAR.IDCENT, JK_ORDEN_ENVIAR.SERVAPLI, JK_ORDEN_ENVIAR.NUMECONT )
</t>
    </r>
    <r>
      <rPr>
        <b/>
        <sz val="11"/>
        <color rgb="FF000000"/>
        <rFont val="Calibri"/>
        <scheme val="minor"/>
      </rPr>
      <t xml:space="preserve">WHERE </t>
    </r>
    <r>
      <rPr>
        <sz val="11"/>
        <color rgb="FF000000"/>
        <rFont val="Calibri"/>
        <scheme val="minor"/>
      </rPr>
      <t>CONCAT( JK_ORDEN_ENVIAR.TIPMSJ, JK_ORDEN_ENVIAR.INDMSJ, JK_ORDEN_ENVIAR.NUMMSJ) != 'MT103'
SELECT CONCAT( JK_ORDEN_CAMARA.IDCENT, JK_ORDEN_CAMARA.SERVAPLI, JK_ORDEN_CAMARA.NUMECONT )
WHERE CONCAT( JK_ORDEN_CAMARA.TIPMSJ, JK_ORDEN_CAMARA.INDMSJ, JK_ORDEN_CAMARA.NUMMSJ) != 'MT103'</t>
    </r>
  </si>
  <si>
    <t>EST10_ORDENS
IGT05_CONFIRMA
RST03_MT101TRF
HH_TRANSF_EMIT
HH_SWIFT_RELAC
JK_ORDEN_ENVIAR
JK_ORDEN_CAMARA</t>
  </si>
  <si>
    <t>CKREFEST
CKREFEST
CONCAT( CREFMT101, ZREFTRF )
CONCAT( IDCENT, CODPROD, NUMSOR)
NUMTRN
CONCAT(IDCENT, SERVAPLI, NUMECONT)
CONCAT(IDCENT, SERVAPLI, NUMECONT)</t>
  </si>
  <si>
    <t>Message Creation Date</t>
  </si>
  <si>
    <t>message_creation_date</t>
  </si>
  <si>
    <t xml:space="preserve">Date and time of the transfer/payment. </t>
  </si>
  <si>
    <t xml:space="preserve">Data e hora da transferência / pagamento. </t>
  </si>
  <si>
    <t>Message Datetime</t>
  </si>
  <si>
    <t>ESYD94A5_DTCRIACAO
ESYD94A5_HRCRIACAO</t>
  </si>
  <si>
    <r>
      <rPr>
        <b/>
        <sz val="11"/>
        <color rgb="FF000000"/>
        <rFont val="Calibri"/>
        <scheme val="minor"/>
      </rPr>
      <t xml:space="preserve">SELECT </t>
    </r>
    <r>
      <rPr>
        <sz val="11"/>
        <color rgb="FF000000"/>
        <rFont val="Calibri"/>
        <scheme val="minor"/>
      </rPr>
      <t xml:space="preserve">IF(TRIM(CONCAT(EST94_HISMSGSW.ESYD94A5_DTCRIACAO, EST94_HISMSGSW.ESYD94A5_HRCRIACAO)) = '', NULL, CONCAT(EST94_HISMSGSW.ESYD94A5_DTCRIACAO, ' ', REPLACE(EST94_HISMSGSW.ESYD94A5_HRCRIACAO, '.', ':')))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</si>
  <si>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CONCAT( DTCRIACAO, HRCRIACAO )</t>
  </si>
  <si>
    <t>Message Format Type</t>
  </si>
  <si>
    <t>message_format_type</t>
  </si>
  <si>
    <t xml:space="preserve">Message format type such as MT103, MT202, etc. </t>
  </si>
  <si>
    <t xml:space="preserve">Classificação da tipologia de mensagem em MT103, MT202, entre outras </t>
  </si>
  <si>
    <t>Format Type</t>
  </si>
  <si>
    <t>ESYD94A5_TIPMTMX</t>
  </si>
  <si>
    <r>
      <rPr>
        <b/>
        <sz val="11"/>
        <color rgb="FF000000"/>
        <rFont val="Calibri"/>
        <scheme val="minor"/>
      </rPr>
      <t xml:space="preserve">SELECT </t>
    </r>
    <r>
      <rPr>
        <sz val="11"/>
        <color rgb="FF000000"/>
        <rFont val="Calibri"/>
        <scheme val="minor"/>
      </rPr>
      <t xml:space="preserve">IF(TRIM(EST94_HISMSGSW.ESYD94A5_TIPMTMX) = '', NULL, EST94_HISMSGSW.ESYD94A5_TIPMTMX)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</si>
  <si>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TIPMTMX</t>
  </si>
  <si>
    <t>Message Schema</t>
  </si>
  <si>
    <t>message_schema</t>
  </si>
  <si>
    <t>Message schema such as SWIFT, SEPA, Faster Payment, Chaps</t>
  </si>
  <si>
    <t>Schema da mensagem isto é, SWIFT, SEPA, Faster Payment, Chaps</t>
  </si>
  <si>
    <t>Schema</t>
  </si>
  <si>
    <r>
      <rPr>
        <b/>
        <sz val="11"/>
        <color rgb="FF000000"/>
        <rFont val="Calibri"/>
        <scheme val="minor"/>
      </rPr>
      <t>SELECT</t>
    </r>
    <r>
      <rPr>
        <sz val="11"/>
        <color rgb="FF000000"/>
        <rFont val="Calibri"/>
        <scheme val="minor"/>
      </rPr>
      <t xml:space="preserve"> IF(TRIM(EST94_HISMSGSW.ESYD94A5_TIPMTMX) = '',  NULL,  IF(TRIM(EST94_HISMSGSW.ESYD94A5_TIPMTMX) IN ('MT103', 'MT202'), 'SWIFT', 'ISO20022'))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</si>
  <si>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Case when TIPMTMX = MT103 or MT202 : SWIFT
else : ISO20022</t>
  </si>
  <si>
    <t>Message User Reference Identifier</t>
  </si>
  <si>
    <t>message_user_reference_id</t>
  </si>
  <si>
    <t xml:space="preserve">Unique identifier of the message. </t>
  </si>
  <si>
    <t xml:space="preserve">Identificador único da mensagem. </t>
  </si>
  <si>
    <t>Message ID</t>
  </si>
  <si>
    <t xml:space="preserve">ESYD94A5_CMUR </t>
  </si>
  <si>
    <r>
      <rPr>
        <b/>
        <sz val="11"/>
        <color rgb="FF000000"/>
        <rFont val="Calibri"/>
      </rPr>
      <t xml:space="preserve">SELECT </t>
    </r>
    <r>
      <rPr>
        <sz val="11"/>
        <color rgb="FF000000"/>
        <rFont val="Calibri"/>
      </rPr>
      <t xml:space="preserve">EST94_HISMSGSW.ESYD94A5_CMUR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</si>
  <si>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CMUR</t>
  </si>
  <si>
    <t xml:space="preserve">Filter by TIPMTMX = pacs008 or pacs009 or pain001 or MT103 or MT202 </t>
  </si>
  <si>
    <t>Receiver Account Identification</t>
  </si>
  <si>
    <t>receiver_account_identification</t>
  </si>
  <si>
    <t xml:space="preserve">
</t>
  </si>
  <si>
    <t>International bank account number of the receiver's main current account involved in the transfer/payment.</t>
  </si>
  <si>
    <t xml:space="preserve">Número de conta bancária internacional da conta à ordem do destinatário envolvido na transferência/pagamento.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</si>
  <si>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t>
  </si>
  <si>
    <t>EST12_MOVORDEM
IGT05
RST03_MT101TRF
HH_BENEFIC_SW
HH_BENEFIC_SW
JK_ORDEN_ENVIAR
JK_DATOS_CAMPOS (REC ID) || JK_ORDEN_CAMPOS (REC ID)
JK_ORDEN_CAMARA
JK_DATOS_CAMPOS (REC ID) || JK_ORDEN_CAMPOS (REC ID)</t>
  </si>
  <si>
    <t>CKBALDO, CKCTADO
NR_CTA_IBOS_CRED
RSYD03A2_CIBANBNF
CTA_BENS
CTA_BENS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</si>
  <si>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IF(TRIM(CONCAT(EST12_MOVORDEM.CKBALDO, EST12_MOVORDEM.CKCTADO)) = '', NULL, CONCAT(EST12_MOVORDEM.CKBALDO, EST12_MOVORDEM.CKCTADO, '000000000000000'))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IF(TRIM(IGT05.NR_CTA_IBOS_CRED) = '', NULL, IGT05.NR_CTA_IBOS_CRED)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IF(TRIM(RST03_MT101TRF.RSYD03A2_CIBANBNF) = '', NULL, RST03_MT101TRF.RSYD03A2_CIBANBNF)
</t>
    </r>
    <r>
      <rPr>
        <b/>
        <sz val="11"/>
        <color rgb="FF000000"/>
        <rFont val="Calibri"/>
        <scheme val="minor"/>
      </rPr>
      <t>WHERE</t>
    </r>
    <r>
      <rPr>
        <sz val="11"/>
        <color rgb="FF000000"/>
        <rFont val="Calibri"/>
        <scheme val="minor"/>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JK_DATOS_CAMPOS.JKDCP_CAMPO IN ( '571', '573' ) AND JK_ORDEN_CAMPOS.JKOCP_campo in ( '571', '573')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scheme val="minor"/>
      </rPr>
      <t xml:space="preserve">END
</t>
    </r>
    <r>
      <rPr>
        <sz val="11"/>
        <color rgb="FF000000"/>
        <rFont val="Calibri"/>
        <scheme val="minor"/>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</si>
  <si>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</si>
  <si>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</si>
  <si>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</si>
  <si>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Receiver Bank Swift</t>
  </si>
  <si>
    <t>receiver_bank_swift</t>
  </si>
  <si>
    <t xml:space="preserve">Unique identifier of the beneficiary bank. </t>
  </si>
  <si>
    <t xml:space="preserve">Identificador único do banco beneficiário / destinatário.  </t>
  </si>
  <si>
    <t>Beneficiary Bank</t>
  </si>
  <si>
    <t>ESYD94A5_IOUTINC
ESYD94A5_CENDSWI</t>
  </si>
  <si>
    <r>
      <rPr>
        <b/>
        <sz val="11"/>
        <color rgb="FF000000"/>
        <rFont val="Calibri"/>
        <scheme val="minor"/>
      </rPr>
      <t xml:space="preserve">SELECT </t>
    </r>
    <r>
      <rPr>
        <sz val="11"/>
        <color rgb="FF000000"/>
        <rFont val="Calibri"/>
        <scheme val="minor"/>
      </rPr>
      <t xml:space="preserve">IF(TRIM(EST94_HISMSGSW.ESYD94A5_IOUTINC) = '', NULL, IF(EST94_HISMSGSW.ESYD94A5_IOUTINC= 'O', 'TOTTAPTPL', IF(TRIM(EST94_HISMSGSW.ESYD94A5_CENDSWI) = '', NULL, EST94_HISMSGSW.ESYD94A5_CENDSWI))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</si>
  <si>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CENDSWI</t>
  </si>
  <si>
    <t>IF IOUTINC = I then "TOTTAPTPL" else CENDSWI</t>
  </si>
  <si>
    <t>Receiver IBAN</t>
  </si>
  <si>
    <t>receiver_iban</t>
  </si>
  <si>
    <t>DDYD03A4_CIBANDEV
DDYD04A6_CIBANDEV
DDYD03A4_CIBANDEV
DDYD04A6_CIBANDEV</t>
  </si>
  <si>
    <r>
      <rPr>
        <b/>
        <sz val="11"/>
        <color rgb="FF000000"/>
        <rFont val="Calibri"/>
        <scheme val="minor"/>
      </rPr>
      <t xml:space="preserve">SELECT </t>
    </r>
    <r>
      <rPr>
        <sz val="11"/>
        <color rgb="FF000000"/>
        <rFont val="Calibri"/>
        <scheme val="minor"/>
      </rPr>
      <t xml:space="preserve">IF( TRIM( DDT03_IDDREC.DDYD03A4_CIBANDEV) = '', NULL, DDT03_IDDREC.DDYD03A4_CIBANDEV)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IF(TRIM(DDT03_IDDREC.DDYD03A4_CIBANDEV) = '', NULL, DDT03_IDDREC.DDYD03A4_CIBANDEV)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
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</si>
  <si>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CIBANDEV
CIBANDEV
CIBANDEV
CIBANDEV</t>
  </si>
  <si>
    <t>ORYD01H9_CIBANDST
ORYD01H9_CIBANDST
ORYD01H9_CIBANDST</t>
  </si>
  <si>
    <r>
      <rPr>
        <b/>
        <sz val="11"/>
        <color rgb="FF000000"/>
        <rFont val="Calibri"/>
        <scheme val="minor"/>
      </rPr>
      <t xml:space="preserve">SELECT </t>
    </r>
    <r>
      <rPr>
        <sz val="11"/>
        <color rgb="FF000000"/>
        <rFont val="Calibri"/>
        <scheme val="minor"/>
      </rPr>
      <t xml:space="preserve">IF(TRIM(ORT01_SEPA_EMI.ORYD01H9_CIBANDST) = '', NULL, ORT01_SEPA_EMI.ORYD01H9_CIBANDST)
</t>
    </r>
    <r>
      <rPr>
        <b/>
        <sz val="11"/>
        <color rgb="FF000000"/>
        <rFont val="Calibri"/>
        <scheme val="minor"/>
      </rPr>
      <t xml:space="preserve">SELECT </t>
    </r>
    <r>
      <rPr>
        <sz val="11"/>
        <color rgb="FF000000"/>
        <rFont val="Calibri"/>
        <scheme val="minor"/>
      </rPr>
      <t xml:space="preserve">IF(TRIM(ORT01_SEPA_INT.ORYD01H9_CIBANDST) = '', NULL, ORT01_SEPA_INT.ORYD01H9_CIBANDST)
</t>
    </r>
    <r>
      <rPr>
        <b/>
        <sz val="11"/>
        <color rgb="FF000000"/>
        <rFont val="Calibri"/>
        <scheme val="minor"/>
      </rPr>
      <t xml:space="preserve">SELECT </t>
    </r>
    <r>
      <rPr>
        <sz val="11"/>
        <color rgb="FF000000"/>
        <rFont val="Calibri"/>
        <scheme val="minor"/>
      </rPr>
      <t>IF(TRIM(ORT01_SEPA_REC.ORYD01H9_CIBANDST) = '', NULL, ORT01_SEPA_REC.ORYD01H9_CIBANDST)</t>
    </r>
  </si>
  <si>
    <t>CIBANDST
CIBANDST
CIBANDST</t>
  </si>
  <si>
    <t>Receiver Identifier</t>
  </si>
  <si>
    <t>receiver_identifier</t>
  </si>
  <si>
    <t xml:space="preserve">Unique identifier of the transactions receiver.  </t>
  </si>
  <si>
    <t xml:space="preserve">Identificador único do receptor/destinatário da transação.  </t>
  </si>
  <si>
    <t>Receiver Reference</t>
  </si>
  <si>
    <t>EST95_HISTXMSG (RECEIVER_REF)</t>
  </si>
  <si>
    <r>
      <rPr>
        <b/>
        <sz val="11"/>
        <color rgb="FF000000"/>
        <rFont val="Calibri"/>
        <scheme val="minor"/>
      </rPr>
      <t xml:space="preserve">SELECT </t>
    </r>
    <r>
      <rPr>
        <sz val="11"/>
        <color rgb="FF000000"/>
        <rFont val="Calibri"/>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EST95_HISTXMSG.ESYD95A1_GTXTMSG LIKE '21%' AND RIGHT(TRIM(RECEIVER_REF.ESYD95A1_GTXTMSG), 1) = '1'</t>
    </r>
  </si>
  <si>
    <t>TAG 21A</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</si>
  <si>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</si>
  <si>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</si>
  <si>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</si>
  <si>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</si>
  <si>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</si>
  <si>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r>
      <rPr>
        <b/>
        <sz val="11"/>
        <color rgb="FF000000"/>
        <rFont val="Calibri"/>
        <scheme val="minor"/>
      </rPr>
      <t xml:space="preserve">SELECT </t>
    </r>
    <r>
      <rPr>
        <sz val="11"/>
        <color rgb="FF000000"/>
        <rFont val="Calibri"/>
        <scheme val="minor"/>
      </rPr>
      <t xml:space="preserve">IF( TRIM( DDT03_IDDREC.DDYD03A4_NOMEDEV) = '', NULL, DDT03_IDDREC.DDYD03A4_NOMEDEV)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IF(TRIM(DDT03_IDDREC.DDYD03A4_NOMEDEV) = '', NULL, DDT03_IDDREC.DDYD03A4_NOMEDEV)
</t>
    </r>
    <r>
      <rPr>
        <b/>
        <sz val="11"/>
        <color rgb="FF000000"/>
        <rFont val="Calibri"/>
        <scheme val="minor"/>
      </rPr>
      <t>WHERE</t>
    </r>
    <r>
      <rPr>
        <sz val="11"/>
        <color rgb="FF000000"/>
        <rFont val="Calibri"/>
        <scheme val="minor"/>
      </rPr>
      <t xml:space="preserv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</si>
  <si>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NOMEDEV || NOMEDEV</t>
  </si>
  <si>
    <t>ORYD01H9_NOMEDST
ORYD01H9_NOMEDST
ORYD01H9_NOMEDST</t>
  </si>
  <si>
    <r>
      <rPr>
        <b/>
        <sz val="11"/>
        <color rgb="FF000000"/>
        <rFont val="Calibri"/>
        <scheme val="minor"/>
      </rPr>
      <t xml:space="preserve">SELECT </t>
    </r>
    <r>
      <rPr>
        <sz val="11"/>
        <color rgb="FF000000"/>
        <rFont val="Calibri"/>
        <scheme val="minor"/>
      </rPr>
      <t xml:space="preserve">IF(TRIM(ORT01_SEPA_EMI.ORYD01H9_NOMEDST) = '', NULL, ORT01_SEPA_EMI.ORYD01H9_NOMEDST)
</t>
    </r>
    <r>
      <rPr>
        <b/>
        <sz val="11"/>
        <color rgb="FF000000"/>
        <rFont val="Calibri"/>
        <scheme val="minor"/>
      </rPr>
      <t xml:space="preserve">SELECT </t>
    </r>
    <r>
      <rPr>
        <sz val="11"/>
        <color rgb="FF000000"/>
        <rFont val="Calibri"/>
        <scheme val="minor"/>
      </rPr>
      <t xml:space="preserve">IF(TRIM(ORT01_SEPA_INT.ORYD01H9_NOMEDST) = '', NULL, ORT01_SEPA_INT.ORYD01H9_NOMEDST)
</t>
    </r>
    <r>
      <rPr>
        <b/>
        <sz val="11"/>
        <color rgb="FF000000"/>
        <rFont val="Calibri"/>
        <scheme val="minor"/>
      </rPr>
      <t xml:space="preserve">SELECT </t>
    </r>
    <r>
      <rPr>
        <sz val="11"/>
        <color rgb="FF000000"/>
        <rFont val="Calibri"/>
        <scheme val="minor"/>
      </rPr>
      <t xml:space="preserve">IF(TRIM(ORT01_SEPA_REC.ORYD01H9_NOMEDST) = '', NULL, ORT01_SEPA_REC.ORYD01H9_NOMEDST) </t>
    </r>
  </si>
  <si>
    <t>NOMEDST
NOMEDST
NOMEDST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</si>
  <si>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</si>
  <si>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EST51_INF_DET (REC)
IGT05
RST03_MT101TRF
HH_TRANSF_EMIT
HH_BENEFIC_SW
HH_BENEFIC_SW
JK_ORDEN_ENVIAR
JK_DATOS_CAMPOS (REC NAME) || JK_ORDEN_CAMPOS (REC NAME)
JK_ORDEN_ENVIAR
JK_DATOS_CAMPOS (REC NAME) || JK_ORDEN_CAMPOS (REC NAME)</t>
  </si>
  <si>
    <t>DETPAGAM
NOME_CTA_1_DEB
RSYD03A2_CNOMEBNF
N/A
NOMEBENSW
NOMEBENSW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</si>
  <si>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IF(TRIM(EST51_INF_DET.DETPAGAM) = '', NULL, EST51_INF_DET.DETPAGAM)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AND EST51_INF_DET.TIPMSG = '00103' AND EST51_INF_DET.TIPINFOR = '00059' AND EST51_INF_DET.NCAMPO = '00001'
</t>
    </r>
    <r>
      <rPr>
        <b/>
        <sz val="11"/>
        <color rgb="FF000000"/>
        <rFont val="Calibri"/>
        <scheme val="minor"/>
      </rPr>
      <t xml:space="preserve">SELECT </t>
    </r>
    <r>
      <rPr>
        <sz val="11"/>
        <color rgb="FF000000"/>
        <rFont val="Calibri"/>
        <scheme val="minor"/>
      </rPr>
      <t xml:space="preserve">IF(TRIM(IGT05.NOME_CTA_1_CRED) = '', NULL, IGT05.NOME_CTA_1_CRED)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IF(TRIM(RST03_MT101TRF.RSYD03A2_CNOMEBNF) = '', NULL, RST03_MT101TRF.RSYD03A2_CNOMEBNF)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HH_BENEFIC_SW.NOMEBENSW ) = '', NULL, RTRIM( HH_BENEFIC_SW.NOMEBENSW ) )
</t>
    </r>
    <r>
      <rPr>
        <b/>
        <sz val="11"/>
        <color rgb="FF000000"/>
        <rFont val="Calibri"/>
        <scheme val="minor"/>
      </rPr>
      <t xml:space="preserve">SELECT </t>
    </r>
    <r>
      <rPr>
        <sz val="11"/>
        <color rgb="FF000000"/>
        <rFont val="Calibri"/>
        <scheme val="minor"/>
      </rPr>
      <t xml:space="preserve">IF( TRIM( HH_BENEFIC_SW.NOMEBENSW ) = '', NULL, RTRIM( HH_BENEFIC_SW.NOMEBENSW ) )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'573', '576' ) AND JK_ORDEN_CAMPOS.JKOCP_campo in ( '573', '576')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</si>
  <si>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</si>
  <si>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</si>
  <si>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</si>
  <si>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</si>
  <si>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</si>
  <si>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</si>
  <si>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</si>
  <si>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</si>
  <si>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CNIBHB || CNIBCR</t>
  </si>
  <si>
    <t>SELECT CASE 
      WHEN CRT67.CTRANSCR IN ('037', '179') THEN IF(TRIM(CRT67.CNIBCR) = '', NULL, CRT67.CNIBCR)
      WHEN CRT67.CTRANSCR IN ('052', '199') THEN IF(TRIM(CRT67.CNIBHB) = '', NULL, CRT67.CNIBHB)
      ELSE NULL</t>
  </si>
  <si>
    <t>N\A || N\A</t>
  </si>
  <si>
    <t>Receiver Swift</t>
  </si>
  <si>
    <t>receiver_swift</t>
  </si>
  <si>
    <t xml:space="preserve">Represents the receiver´s financial institution identification. </t>
  </si>
  <si>
    <t xml:space="preserve">Representa a identificação da instituição financeira do destinatário. </t>
  </si>
  <si>
    <t>DDYD03A4_CBICDEV
DDYD04A6_CBICDEV
DDYD03A4_CBICDEV
DDYD04A6_CBICDEV</t>
  </si>
  <si>
    <r>
      <rPr>
        <b/>
        <sz val="11"/>
        <color rgb="FF000000"/>
        <rFont val="Calibri"/>
        <scheme val="minor"/>
      </rPr>
      <t xml:space="preserve">SELECT </t>
    </r>
    <r>
      <rPr>
        <sz val="11"/>
        <color rgb="FF000000"/>
        <rFont val="Calibri"/>
        <scheme val="minor"/>
      </rPr>
      <t xml:space="preserve">IF( TRIM( DDT03_IDDREC.DDYD03A4_CBICDEV) = '', NULL, DDT03_IDDREC.DDYD03A4_CBICDEV)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IF(TRIM(DDT03_IDDREC.DDYD03A4_CBICDEV) = '', NULL, DDT03_IDDREC.DDYD03A4_CBICDEV)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</si>
  <si>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CBICDEV
CBICDEV
CBICDEV
CBICDEV</t>
  </si>
  <si>
    <t>CURATED_INTERNAL_MAINFRAME_ESTRANGEIRO
CURATED_INTERNAL_MAINFRAME_ESTRANGEIRO
N/A</t>
  </si>
  <si>
    <t>ORT01_SEPA_EMI
ORT01_SEPA_INT
N/A</t>
  </si>
  <si>
    <t>ORYD01H9_CBIC
ORYD01H9_CBIC
N/A</t>
  </si>
  <si>
    <r>
      <rPr>
        <b/>
        <sz val="11"/>
        <color rgb="FF000000"/>
        <rFont val="Calibri"/>
        <scheme val="minor"/>
      </rPr>
      <t xml:space="preserve">SELECT </t>
    </r>
    <r>
      <rPr>
        <sz val="11"/>
        <color rgb="FF000000"/>
        <rFont val="Calibri"/>
        <scheme val="minor"/>
      </rPr>
      <t xml:space="preserve">IF(TRIM(ORT01_SEPA_EMI.ORYD01H9_CBIC) = '', NULL, ORT01_SEPA_EMI.ORYD01H9_CBIC)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'TOTAPTPL'</t>
    </r>
  </si>
  <si>
    <t>CBIC
CBIC
N/A</t>
  </si>
  <si>
    <t>if CINSTORD='E' THEN CBIC else 'TOTAPTPL'</t>
  </si>
  <si>
    <t>N\A
N\A
"TOTAPTPL"</t>
  </si>
  <si>
    <t>Receiver Swfit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</si>
  <si>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</si>
  <si>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RST03_MT101TRF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</si>
  <si>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t>
  </si>
  <si>
    <r>
      <rPr>
        <b/>
        <sz val="11"/>
        <color rgb="FF000000"/>
        <rFont val="Calibri"/>
      </rPr>
      <t xml:space="preserve">SELECT </t>
    </r>
    <r>
      <rPr>
        <sz val="11"/>
        <color rgb="FF000000"/>
        <rFont val="Calibri"/>
      </rPr>
      <t xml:space="preserve">IF(TRIM(EST10_ORDENS.SWBBENEF) = '', NULL, EST10_ORDENS.SWBBENEF)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IF(TRIM(IGT05.ENDER_SWIFT_CRED) = '',NULL, IGT05.ENDER_SWIFT_CRED)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IF(TRIM(RST03_MT101TRF.RSYD03A2_CBICBNF) = '', NULL, RST03_MT101TRF.RSYD03A2_CBICBNF)
</t>
    </r>
    <r>
      <rPr>
        <b/>
        <sz val="11"/>
        <color rgb="FF000000"/>
        <rFont val="Calibri"/>
      </rPr>
      <t>WHERE</t>
    </r>
    <r>
      <rPr>
        <sz val="11"/>
        <color rgb="FF000000"/>
        <rFont val="Calibri"/>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WHERE </t>
    </r>
    <r>
      <rPr>
        <sz val="11"/>
        <color rgb="FF000000"/>
        <rFont val="Calibri"/>
      </rPr>
      <t xml:space="preserve">HH_DATOS_BANCOS.HHF_INDBAN1 = 'B'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 xml:space="preserve">WHERE </t>
    </r>
    <r>
      <rPr>
        <sz val="11"/>
        <color rgb="FF000000"/>
        <rFont val="Calibri"/>
      </rPr>
      <t xml:space="preserve">CONCAT( JK_ORDEN_ENVIAR.TIPMSJ, JK_ORDEN_ENVIAR.INDMSJ, JK_ORDEN_ENVIAR.NUMMSJ) != 'MT103' AND JK_DATOS_CAMPOS.JKDCP_CAMPO IN ('581', '584') AND JK_ORDEN_CAMPOS.JKOCP_CAMPO IN ('581', '584')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WHERE</t>
    </r>
    <r>
      <rPr>
        <sz val="11"/>
        <color rgb="FF000000"/>
        <rFont val="Calibri"/>
      </rPr>
      <t xml:space="preserv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</si>
  <si>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</si>
  <si>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</si>
  <si>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</si>
  <si>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N\A
N\A
N\A
N\A
N\A
N\A
N\A</t>
  </si>
  <si>
    <t>Reference ID</t>
  </si>
  <si>
    <t>reference_id</t>
  </si>
  <si>
    <t>Transaction ID</t>
  </si>
  <si>
    <t>ESYD94A5_CREFER</t>
  </si>
  <si>
    <r>
      <rPr>
        <b/>
        <sz val="11"/>
        <color rgb="FF000000"/>
        <rFont val="Calibri"/>
        <scheme val="minor"/>
      </rPr>
      <t>SELECT</t>
    </r>
    <r>
      <rPr>
        <sz val="11"/>
        <color rgb="FF000000"/>
        <rFont val="Calibri"/>
        <scheme val="minor"/>
      </rPr>
      <t xml:space="preserve"> IF(TRIM(EST94_HISMSGSW.ESYD94A5_CREFER) = '', NULL, EST94_HISMSGSW.ESYD94A5_CREFER)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</si>
  <si>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CREFER</t>
  </si>
  <si>
    <t>Sender Account Identification</t>
  </si>
  <si>
    <t xml:space="preserve">sender_account_identification </t>
  </si>
  <si>
    <t>International bank account number of the sender's main current account involved to the transfer/payment.</t>
  </si>
  <si>
    <t xml:space="preserve">Número de conta bancária internacional da conta à ordem do emitente envolvido na transferência/pagamento.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</si>
  <si>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</si>
  <si>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</si>
  <si>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</si>
  <si>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IF(TRIM(EST10_ORDENS.CNTCA50) = '', NULL, EST10_ORDENS.CNTCA50)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 TRIM( IGT05.NR_CTA_IBOS_DEB ) = '', NULL, IGT05.NR_CTA_IBOS_DEB )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HH_OPER_REFER.TEXTO50 ) = '', NULL, RTRIM(HH_OPER_REFER.TEXTO50 ) )
</t>
    </r>
    <r>
      <rPr>
        <b/>
        <sz val="11"/>
        <color rgb="FF000000"/>
        <rFont val="Calibri"/>
        <scheme val="minor"/>
      </rPr>
      <t xml:space="preserve">WHERE </t>
    </r>
    <r>
      <rPr>
        <sz val="11"/>
        <color rgb="FF000000"/>
        <rFont val="Calibri"/>
        <scheme val="minor"/>
      </rPr>
      <t xml:space="preserve">HH_OPER_REFER.TIPREL = 'K'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'521', '523' ) AND JK_ORDEN_CAMPOS.JKOCP_campo in ( '521', '523')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</si>
  <si>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</si>
  <si>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</si>
  <si>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</si>
  <si>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</si>
  <si>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Sender Bank Swift</t>
  </si>
  <si>
    <t>sender_bank_swift</t>
  </si>
  <si>
    <t xml:space="preserve">Unique identifier of the originator bank. </t>
  </si>
  <si>
    <t xml:space="preserve">Identificador único do banco originador / emitente. </t>
  </si>
  <si>
    <t>Originator Bank</t>
  </si>
  <si>
    <r>
      <rPr>
        <b/>
        <sz val="11"/>
        <color rgb="FF000000"/>
        <rFont val="Calibri"/>
        <scheme val="minor"/>
      </rPr>
      <t xml:space="preserve">SELECT </t>
    </r>
    <r>
      <rPr>
        <sz val="11"/>
        <color rgb="FF000000"/>
        <rFont val="Calibri"/>
        <scheme val="minor"/>
      </rPr>
      <t xml:space="preserve">IF(TRIM(EST94_HISMSGSW.ESYD94A5_IOUTINC) = '',  NULL,  IF(EST94_HISMSGSW.ESYD94A5_IOUTINC = 'I', 'TOTTAPTPL', IF(TRIM(EST94_HISMSGSW.ESYD94A5_CENDSWI) = '', NULL, EST94_HISMSGSW.ESYD94A5_CENDSWI)))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</si>
  <si>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IF IOUTINC = O then "TOTTAPTPL" else CENDSWI</t>
  </si>
  <si>
    <t xml:space="preserve">Sender IBAN </t>
  </si>
  <si>
    <t>sender_iban</t>
  </si>
  <si>
    <t>DDYD03A4_CIBANCRE
DDYD04A6_CIBANCRE
DDYD03A4_CIBANCRE
DDYD04A6_CIBANCRE</t>
  </si>
  <si>
    <r>
      <rPr>
        <b/>
        <sz val="11"/>
        <color rgb="FF000000"/>
        <rFont val="Calibri"/>
        <scheme val="minor"/>
      </rPr>
      <t xml:space="preserve">SELECT </t>
    </r>
    <r>
      <rPr>
        <sz val="11"/>
        <color rgb="FF000000"/>
        <rFont val="Calibri"/>
        <scheme val="minor"/>
      </rPr>
      <t xml:space="preserve">IF( TRIM( DDT03_IDDREC.DDYD03A4_CIBANCRE) = '', NULL, DDT03_IDDREC.DDYD03A4_CIBANCRE)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IF(TRIM(DDT04_IDDEMI.DDYD04A6_CIBANCRE) = '', NULL, DDT04_IDDEMI.DDYD04A6_CIBANCRE)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IF(TRIM(DDT03_IDDREC.DDYD03A4_CIBANCRE) = '', NULL, DDT03_IDDREC.DDYD03A4_CIBANCRE)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SELECT IF(TRIM(DDT04_IDDEMI.DDYD04A6_CIBANCRE) = '', NULL, DDT04_IDDEMI.DDYD04A6_CIBANCRE)
</t>
    </r>
    <r>
      <rPr>
        <b/>
        <sz val="11"/>
        <color rgb="FF000000"/>
        <rFont val="Calibri"/>
        <scheme val="minor"/>
      </rPr>
      <t>WHERE</t>
    </r>
    <r>
      <rPr>
        <sz val="11"/>
        <color rgb="FF000000"/>
        <rFont val="Calibri"/>
        <scheme val="minor"/>
      </rPr>
      <t xml:space="preserve"> (DDT04_IDDEMI.DDYD04A6_cbiccre LIKE 'TOTAPTPL%' AND DDT04_IDDEMI.DDYD04A6_CBICDEV LIKE 'TOTAPTPL%') AND DDT03_IDDREC.DDYD03A4_CSCHEME IS NULL</t>
    </r>
  </si>
  <si>
    <t>CIBANCRE
CIBANCRE
CIBANCRE
CIBANCRE</t>
  </si>
  <si>
    <t xml:space="preserve">sender_iban </t>
  </si>
  <si>
    <t xml:space="preserve">CURATED_INTERNAL_MAINFRAME_ESTRANGEIRO
CURATED_INTERNAL_MAINFRAME_ESTRANGEIRO 
CURATED_INTERNAL_MAINFRAME_ESTRANGEIRO </t>
  </si>
  <si>
    <t>ORYD01H9_CIBANORD
ORYD01H9_CIBANORD
ORYD01H9_CIBANORD</t>
  </si>
  <si>
    <r>
      <rPr>
        <b/>
        <sz val="11"/>
        <color rgb="FF000000"/>
        <rFont val="Calibri"/>
        <scheme val="minor"/>
      </rPr>
      <t xml:space="preserve">SELECT </t>
    </r>
    <r>
      <rPr>
        <sz val="11"/>
        <color rgb="FF000000"/>
        <rFont val="Calibri"/>
        <scheme val="minor"/>
      </rPr>
      <t xml:space="preserve">IF(TRIM(ORT01_SEPA_EMI.ORYD01H9_CIBANORD) = '', NULL, ORT01_SEPA_EMI.ORYD01H9_CIBANORD)
</t>
    </r>
    <r>
      <rPr>
        <b/>
        <sz val="11"/>
        <color rgb="FF000000"/>
        <rFont val="Calibri"/>
        <scheme val="minor"/>
      </rPr>
      <t xml:space="preserve">SELECT </t>
    </r>
    <r>
      <rPr>
        <sz val="11"/>
        <color rgb="FF000000"/>
        <rFont val="Calibri"/>
        <scheme val="minor"/>
      </rPr>
      <t xml:space="preserve">IF(TRIM(ORT01_SEPA_INT.ORYD01H9_CIBANORD) = '', NULL, ORT01_SEPA_INT.ORYD01H9_CIBANORD)
</t>
    </r>
    <r>
      <rPr>
        <b/>
        <sz val="11"/>
        <color rgb="FF000000"/>
        <rFont val="Calibri"/>
        <scheme val="minor"/>
      </rPr>
      <t xml:space="preserve">SELECT </t>
    </r>
    <r>
      <rPr>
        <sz val="11"/>
        <color rgb="FF000000"/>
        <rFont val="Calibri"/>
        <scheme val="minor"/>
      </rPr>
      <t>IF(TRIM(ORT01_SEPA_REC.ORYD01H9_CIBANORD) = '', NULL, ORT01_SEPA_REC.ORYD01H9_CIBANORD)</t>
    </r>
  </si>
  <si>
    <t>CIBANORD
CIBANORD
CIBANORD</t>
  </si>
  <si>
    <t>Sender Identifier</t>
  </si>
  <si>
    <t>sender_identifier</t>
  </si>
  <si>
    <t xml:space="preserve">Unique identifier of the transaction sender. </t>
  </si>
  <si>
    <t xml:space="preserve">Identificador único do emitente/originador da transação.  </t>
  </si>
  <si>
    <t>Sender Reference</t>
  </si>
  <si>
    <r>
      <rPr>
        <b/>
        <sz val="11"/>
        <color rgb="FF000000"/>
        <rFont val="Calibri"/>
      </rPr>
      <t xml:space="preserve">SELECT </t>
    </r>
    <r>
      <rPr>
        <sz val="11"/>
        <color rgb="FF000000"/>
        <rFont val="Calibri"/>
      </rPr>
      <t xml:space="preserve">CASE
    WHEN TRIM( LEFT( TRIM(EST95_HISTXMSG.ESYD95A1_GTXTMSG ), LENGTH( TRIM( EST95_HISTXMSG.ESYD95A1_GTXTMSG ) ) - 1 ) ) IS NULL OR TRIM( TRIM( LEFT( TRIM( EST95_HISTXMSG.ESYD95A1_GTXTMSG ), LENGTH( TRIM( EST95_HISTXMSG.ESYD95A1_GTXTMSG ) ) - 1 ) ) ) = '' THEN NULL
    ELSE TRIM( RIGHT( TRIM( LEFT( TRIM( EST95_HISTXMSG.ESYD95A1_GTXTMSG ), LENGTH( TRIM( EST95_HISTXMSG.ESYD95A1_GTXTMSG ) ) - 1 ) ), LENGTH( TRIM( LEFT( TRIM( EST95_HISTXMSG.ESYD95A1_GTXTMSG ), LENGTH( TRIM( EST95_HISTXMSG.ESYD95A1_GTXTMSG ) ) - 1 ) ) ) - 3 ) )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UPPER(EST95_HISTXMSG.ESYD95A1_GTXTMSG) LIKE '20%'</t>
    </r>
  </si>
  <si>
    <t>TAG 20A</t>
  </si>
  <si>
    <t xml:space="preserve">Sender Name </t>
  </si>
  <si>
    <t>sender_name</t>
  </si>
  <si>
    <t xml:space="preserve">Name of the sender involved in the transfer/payment. </t>
  </si>
  <si>
    <t xml:space="preserve">Nome do emitente envolvido na transferência/pagamento. </t>
  </si>
  <si>
    <t>DDYD03A4_NOMECRE
DDYD04A6_NOMECRE
DDYD03A4_NOMECRE
DDYD04A6_NOMECRE</t>
  </si>
  <si>
    <r>
      <rPr>
        <b/>
        <sz val="11"/>
        <color rgb="FF000000"/>
        <rFont val="Calibri"/>
        <scheme val="minor"/>
      </rPr>
      <t xml:space="preserve">SELECT </t>
    </r>
    <r>
      <rPr>
        <sz val="11"/>
        <color rgb="FF000000"/>
        <rFont val="Calibri"/>
        <scheme val="minor"/>
      </rPr>
      <t xml:space="preserve">IF( TRIM( DDT03_IDDREC.DDYD03A4_NOMECRE) = '', NULL, DDT03_IDDREC.DDYD03A4_NOMECRE)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IF(TRIM(DDT03_IDDREC.DDYD03A4_NOMECRE) = '', NULL, DDT03_IDDREC.DDYD03A4_NOMECRE)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</si>
  <si>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NOMECRE
NOMECRE
NOMECRE
NOMECRE</t>
  </si>
  <si>
    <t>ORYD01H9_NOMEORD
ORYD01H9_NOMEORD
ORYD01H9_NOMEORD</t>
  </si>
  <si>
    <r>
      <rPr>
        <b/>
        <sz val="11"/>
        <color rgb="FF000000"/>
        <rFont val="Calibri"/>
        <scheme val="minor"/>
      </rPr>
      <t xml:space="preserve">SELECT </t>
    </r>
    <r>
      <rPr>
        <sz val="11"/>
        <color rgb="FF000000"/>
        <rFont val="Calibri"/>
        <scheme val="minor"/>
      </rPr>
      <t xml:space="preserve">IF(TRIM(ORT01_SEPA_EMI.ORYD01H9_NOMEORD) = '', NULL, ORT01_SEPA_EMI.ORYD01H9_NOMEORD)
</t>
    </r>
    <r>
      <rPr>
        <b/>
        <sz val="11"/>
        <color rgb="FF000000"/>
        <rFont val="Calibri"/>
        <scheme val="minor"/>
      </rPr>
      <t xml:space="preserve">SELECT </t>
    </r>
    <r>
      <rPr>
        <sz val="11"/>
        <color rgb="FF000000"/>
        <rFont val="Calibri"/>
        <scheme val="minor"/>
      </rPr>
      <t xml:space="preserve">IF(TRIM(ORT01_SEPA_INT.ORYD01H9_NOMEORD) = '', NULL, ORT01_SEPA_INT.ORYD01H9_NOMEORD)
</t>
    </r>
    <r>
      <rPr>
        <b/>
        <sz val="11"/>
        <color rgb="FF000000"/>
        <rFont val="Calibri"/>
        <scheme val="minor"/>
      </rPr>
      <t>SELECT</t>
    </r>
    <r>
      <rPr>
        <sz val="11"/>
        <color rgb="FF000000"/>
        <rFont val="Calibri"/>
        <scheme val="minor"/>
      </rPr>
      <t xml:space="preserve"> IF(TRIM(ORT01_SEPA_REC.ORYD01H9_NOMEORD) = '', NULL, ORT01_SEPA_REC.ORYD01H9_NOMEORD) </t>
    </r>
  </si>
  <si>
    <t>NOMEORD
NOMEORD
NOMEORD</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</si>
  <si>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</si>
  <si>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</si>
  <si>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</si>
  <si>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rPr>
      <t xml:space="preserve">SELECT </t>
    </r>
    <r>
      <rPr>
        <sz val="11"/>
        <color rgb="FF000000"/>
        <rFont val="Calibri"/>
      </rPr>
      <t xml:space="preserve">IF(TRIM(EST51_INF_DET.DETPAGAM) = '', NULL, EST51_INF_DET.DETPAGAM)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AND EST51_INF_DET.TIPMSG = '00103' AND (EST51_INF_DET.TIPINFOR = '00050' OR EST51_INF_DET.TIPINFOR = '00501') AND EST51_INF_DET.NCAMPO = '00001'
</t>
    </r>
    <r>
      <rPr>
        <b/>
        <sz val="11"/>
        <color rgb="FF000000"/>
        <rFont val="Calibri"/>
      </rPr>
      <t xml:space="preserve">SELECT </t>
    </r>
    <r>
      <rPr>
        <sz val="11"/>
        <color rgb="FF000000"/>
        <rFont val="Calibri"/>
      </rPr>
      <t xml:space="preserve">IF(TRIM(IGT05.NOME_CTA_1_DEB) = '', NULL, IGT05.NOME_CTA_1_DEB)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HH_DAT_SW_COBRO.HH1_DATORD) = '', NULL, RTRIM( SUBSTRING( HH_DAT_SW_COBRO.HH1_DATORD, 1, 35 ) ) )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 xml:space="preserve">CONCAT( JK_ORDEN_ENVIAR.TIPMSJ, JK_ORDEN_ENVIAR.INDMSJ, JK_ORDEN_ENVIAR.NUMMSJ) != 'MT103' AND JK_DATOS_CAMPOS .JKDCP_CAMPO IN ( '523', '526' ) AND JK_ORDEN_CAMPOS.JKOCP_campo in ( '523', '526')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</si>
  <si>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</si>
  <si>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</si>
  <si>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</si>
  <si>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</si>
  <si>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</si>
  <si>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</si>
  <si>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</si>
  <si>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 xml:space="preserve">SELECT CASE
      WHEN CRT67.CTRANSCR IN ('037', '179') THEN IF(TRIM(CRT67.CNIBHB) = '', NULL, CRT67.CNIBHB)
      WHEN CRT67.CTRANSCR IN ('052', '199') THEN IF(TRIM(CRT67.CNIBCR) = '', NULL, CRT67.CNIBCR)
      ELSE NULL
</t>
  </si>
  <si>
    <t xml:space="preserve">Sender Swift </t>
  </si>
  <si>
    <t>sender_swift</t>
  </si>
  <si>
    <t xml:space="preserve">Represents the sender´s financial institution identification. </t>
  </si>
  <si>
    <t xml:space="preserve">Representa a identificação da instituição financeira do remetente. </t>
  </si>
  <si>
    <t>DDYD03A4_CBICCRE
DDYD04A6_CBICCRE
DDYD03A4_CBICCRE
DDYD04A6_CBICCRE</t>
  </si>
  <si>
    <r>
      <rPr>
        <b/>
        <sz val="11"/>
        <color rgb="FF000000"/>
        <rFont val="Calibri"/>
        <scheme val="minor"/>
      </rPr>
      <t xml:space="preserve">SELECT </t>
    </r>
    <r>
      <rPr>
        <sz val="11"/>
        <color rgb="FF000000"/>
        <rFont val="Calibri"/>
        <scheme val="minor"/>
      </rPr>
      <t xml:space="preserve">IF( TRIM( DDT03_IDDREC.DDYD03A4_CBICCRE) = '', NULL, DDT03_IDDREC.DDYD03A4_CBICCRE)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IF(TRIM(DDT03_IDDREC.DDYD03A4_CBICCRE) = '', NULL, DDT03_IDDREC.DDYD03A4_CBICCRE)
WHERE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</si>
  <si>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CBICCRE
CBICCRE
CBICCRE
CBICCRE</t>
  </si>
  <si>
    <t>N/A
CURATED_INTERNAL_MAINFRAME_ESTRANGEIRO
CURATED_INTERNAL_MAINFRAME_ESTRANGEIRO</t>
  </si>
  <si>
    <t>N/A
ORT01_SEPA_INT
ORT01_SEPA_REC</t>
  </si>
  <si>
    <t>N/A
ORYD01H9_CBIC
ORYD01H9_CBIC</t>
  </si>
  <si>
    <r>
      <rPr>
        <b/>
        <sz val="11"/>
        <color rgb="FF000000"/>
        <rFont val="Calibri"/>
        <scheme val="minor"/>
      </rPr>
      <t xml:space="preserve">SELECT </t>
    </r>
    <r>
      <rPr>
        <sz val="11"/>
        <color rgb="FF000000"/>
        <rFont val="Calibri"/>
        <scheme val="minor"/>
      </rPr>
      <t xml:space="preserve">'TOTAPTPL'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IF(TRIM(ORT01_SEPA_REC.ORYD01H9_CBIC) = '', NULL, ORT01_SEPA_REC.ORYD01H9_CBIC)</t>
    </r>
  </si>
  <si>
    <t>N/A
CBIC
CBIC</t>
  </si>
  <si>
    <t>if CINSTORD='R' THEN CBIC else 'TOTAPTPL'</t>
  </si>
  <si>
    <t>"TOTAPTPL"
N/A
N/A</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</si>
  <si>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</si>
  <si>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</si>
  <si>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scheme val="minor"/>
      </rPr>
      <t xml:space="preserve">SELECT </t>
    </r>
    <r>
      <rPr>
        <sz val="11"/>
        <color rgb="FF000000"/>
        <rFont val="Calibri"/>
        <scheme val="minor"/>
      </rPr>
      <t xml:space="preserve">IF(TRIM(EST10_ORDENS.SWBORD) = '', NULL, EST10_ORDENS.SWBORD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IF(TRIM(IGT05.ENDERECO_SWIFT_DEB) = '', NULL, IGT05.ENDERECO_SWIFT_DEB)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IF(TRIM(RST02_MT101MSG.RSYD02A0_CBIC) = '', NULL, RST02_MT101MSG.RSYD02A0_CBIC)
</t>
    </r>
    <r>
      <rPr>
        <b/>
        <sz val="11"/>
        <color rgb="FF000000"/>
        <rFont val="Calibri"/>
        <scheme val="minor"/>
      </rPr>
      <t xml:space="preserve">WHERE </t>
    </r>
    <r>
      <rPr>
        <sz val="11"/>
        <color rgb="FF000000"/>
        <rFont val="Calibri"/>
        <scheme val="minor"/>
      </rPr>
      <t xml:space="preserve">SUBSTRING( RST03_MT101TRF.RSYD03A2_HMODIFI, 1, 10 ) &gt; = DATA_DATE_PART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HH_DATOS_BANCOS</t>
    </r>
    <r>
      <rPr>
        <b/>
        <sz val="11"/>
        <color rgb="FF000000"/>
        <rFont val="Calibri"/>
        <scheme val="minor"/>
      </rPr>
      <t>.</t>
    </r>
    <r>
      <rPr>
        <sz val="11"/>
        <color rgb="FF000000"/>
        <rFont val="Calibri"/>
        <scheme val="minor"/>
      </rPr>
      <t xml:space="preserve">HHF_INDBAN1 = 'O'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</si>
  <si>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</si>
  <si>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</si>
  <si>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</si>
  <si>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</si>
  <si>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Service Type Code</t>
  </si>
  <si>
    <t>service_type_code</t>
  </si>
  <si>
    <t>Key - Code</t>
  </si>
  <si>
    <t>Code that categorizes the service or product for wich a payment is made, aiding accurate transaction routing and providing relevant details to both parties.</t>
  </si>
  <si>
    <t>Código que categoriza o serviço ou produto para o qual é efectuado um pagamento, ajudando a um encaminhamento preciso da transação e fornecendo detalhes relevantes a ambas as partes.</t>
  </si>
  <si>
    <t>DDYD03A4_CSCHEME
DDYD04A6_CSCHEME
DDYD03A4_CSCHEME
DDYD04A6_CSCHEME</t>
  </si>
  <si>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DDT03_IDDREC</t>
    </r>
    <r>
      <rPr>
        <b/>
        <sz val="11"/>
        <color rgb="FF000000"/>
        <rFont val="Calibri"/>
        <scheme val="minor"/>
      </rPr>
      <t>.</t>
    </r>
    <r>
      <rPr>
        <sz val="11"/>
        <color rgb="FF000000"/>
        <rFont val="Calibri"/>
        <scheme val="minor"/>
      </rPr>
      <t xml:space="preserve">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</si>
  <si>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CSCHEME
CSCHEME
CSCHEME
CSCHEME</t>
  </si>
  <si>
    <t>Source Code</t>
  </si>
  <si>
    <t>source_code</t>
  </si>
  <si>
    <t>Tec - Code</t>
  </si>
  <si>
    <t>Identifier of the Santander's application that generated the information. For example, EP for loans, CR for cards, etc.</t>
  </si>
  <si>
    <t>Identificador da aplicação do Santander que gerou a informação. Por exemplo, EP para empréstimos, CR para cartões, etc.</t>
  </si>
  <si>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'DD'</t>
    </r>
  </si>
  <si>
    <t xml:space="preserve">"DD" 
"DD" 
"DD" 
"DD" </t>
  </si>
  <si>
    <t>SELECT 'CR'</t>
  </si>
  <si>
    <t>"CR"</t>
  </si>
  <si>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
SELECT </t>
    </r>
    <r>
      <rPr>
        <sz val="11"/>
        <color rgb="FF000000"/>
        <rFont val="Calibri"/>
        <scheme val="minor"/>
      </rPr>
      <t>'OR'</t>
    </r>
  </si>
  <si>
    <t>"OR"
"OR"
"OR"</t>
  </si>
  <si>
    <t>N/A
N/A
N/A
N/A
N/A
N/A
JK</t>
  </si>
  <si>
    <r>
      <rPr>
        <b/>
        <sz val="11"/>
        <color rgb="FF000000"/>
        <rFont val="Calibri"/>
        <scheme val="minor"/>
      </rPr>
      <t xml:space="preserve">SELECT </t>
    </r>
    <r>
      <rPr>
        <sz val="11"/>
        <color rgb="FF000000"/>
        <rFont val="Calibri"/>
        <scheme val="minor"/>
      </rPr>
      <t xml:space="preserve">'ES'
</t>
    </r>
    <r>
      <rPr>
        <b/>
        <sz val="11"/>
        <color rgb="FF000000"/>
        <rFont val="Calibri"/>
        <scheme val="minor"/>
      </rPr>
      <t xml:space="preserve">SELECT </t>
    </r>
    <r>
      <rPr>
        <sz val="11"/>
        <color rgb="FF000000"/>
        <rFont val="Calibri"/>
        <scheme val="minor"/>
      </rPr>
      <t xml:space="preserve">'IG'
</t>
    </r>
    <r>
      <rPr>
        <b/>
        <sz val="11"/>
        <color rgb="FF000000"/>
        <rFont val="Calibri"/>
        <scheme val="minor"/>
      </rPr>
      <t xml:space="preserve">SELECT </t>
    </r>
    <r>
      <rPr>
        <sz val="11"/>
        <color rgb="FF000000"/>
        <rFont val="Calibri"/>
        <scheme val="minor"/>
      </rPr>
      <t xml:space="preserve">'RS'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'JK'
SELECT JK</t>
    </r>
  </si>
  <si>
    <t>"ES"
"IG"
"RS"
"HH"
"HH"
 "JK"
"JK"</t>
  </si>
  <si>
    <t xml:space="preserve">Transaction Date </t>
  </si>
  <si>
    <t>transaction_date</t>
  </si>
  <si>
    <t>Debit - Ext  Inf - 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</si>
  <si>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</si>
  <si>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</si>
  <si>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DDYD03A4_DTLIQUID
DDYD04A6_DTLIQUID
DDYD03A4_DTLIQUID
DDYD04A6_DTLIQUID</t>
  </si>
  <si>
    <r>
      <rPr>
        <b/>
        <sz val="11"/>
        <color rgb="FF000000"/>
        <rFont val="Calibri"/>
        <scheme val="minor"/>
      </rPr>
      <t xml:space="preserve">SELECT </t>
    </r>
    <r>
      <rPr>
        <sz val="11"/>
        <color rgb="FF000000"/>
        <rFont val="Calibri"/>
        <scheme val="minor"/>
      </rPr>
      <t xml:space="preserve">IF( TRIM( DDT03_IDDREC.DDYD03A4_DTLIQUID) = '', NULL, DDT03_IDDREC.DDYD03A4_DTLIQUID)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IF(TRIM(DDT03_IDDREC.DDYD03A4_DTLIQUID) = '', NULL, DDT03_IDDREC.DDYD03A4_DTLIQUID)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</si>
  <si>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DTLIQUID
DTLIQUID
DTLIQUID
DTLIQUID</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</si>
  <si>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</si>
  <si>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</si>
  <si>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</si>
  <si>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ORYD01H9_DTVALCLI
ORYD01H9_DTVALCLI
ORYD01H9_DTVALCLI</t>
  </si>
  <si>
    <r>
      <rPr>
        <b/>
        <sz val="11"/>
        <color rgb="FF000000"/>
        <rFont val="Calibri"/>
        <scheme val="minor"/>
      </rPr>
      <t xml:space="preserve">SELECT </t>
    </r>
    <r>
      <rPr>
        <sz val="11"/>
        <color rgb="FF000000"/>
        <rFont val="Calibri"/>
        <scheme val="minor"/>
      </rPr>
      <t xml:space="preserve">IF( TRIM( ORT01_SEPA_EMI.ORYD01H9_DTVALCLI) = '', NULL, ORT01_SEPA_EMI.ORYD01H9_DTVALCLI)
</t>
    </r>
    <r>
      <rPr>
        <b/>
        <sz val="11"/>
        <color rgb="FF000000"/>
        <rFont val="Calibri"/>
        <scheme val="minor"/>
      </rPr>
      <t xml:space="preserve">SELECT </t>
    </r>
    <r>
      <rPr>
        <sz val="11"/>
        <color rgb="FF000000"/>
        <rFont val="Calibri"/>
        <scheme val="minor"/>
      </rPr>
      <t xml:space="preserve">IF( TRIM( ORT01_SEPA_INT.ORYD01H9_DTVALCLI) = '', NULL, ORT01_SEPA_INT.ORYD01H9_DTVALCLI)
</t>
    </r>
    <r>
      <rPr>
        <b/>
        <sz val="11"/>
        <color rgb="FF000000"/>
        <rFont val="Calibri"/>
        <scheme val="minor"/>
      </rPr>
      <t xml:space="preserve">SELECT </t>
    </r>
    <r>
      <rPr>
        <sz val="11"/>
        <color rgb="FF000000"/>
        <rFont val="Calibri"/>
        <scheme val="minor"/>
      </rPr>
      <t>IF( TRIM( ORT01_SEPA_REC.ORYD01H9_DTVALCLI) = '', NULL, ORT01_SEPA_REC.ORYD01H9_DTVALCLI)</t>
    </r>
  </si>
  <si>
    <t>DTVALCLI
DTVALCLI
DTVALCLI</t>
  </si>
  <si>
    <t>DTVALTRF
DTVALCLI
RSYD03A2_DTVALTRF
FECVAL
FECVAL
FCHVADE
FCHVAL</t>
  </si>
  <si>
    <r>
      <rPr>
        <b/>
        <sz val="11"/>
        <color rgb="FF000000"/>
        <rFont val="Calibri"/>
      </rPr>
      <t xml:space="preserve">SELECT </t>
    </r>
    <r>
      <rPr>
        <sz val="11"/>
        <color rgb="FF000000"/>
        <rFont val="Calibri"/>
      </rPr>
      <t xml:space="preserve">IF(TRIM(EST10_ORDENS.DTVALTRF) = '', NULL, EST10_ORDENS.DTVALTRF)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IF(TRIM(IGT05.DTVALCLI) = '', NULL, IGT05.DTVALCLI)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IF(TRIM(RST03_MT101TRF.RSYD03A2_DTVALTRF) = '', NULL, RST03_MT101TRF.RSYD03A2_DTVALTRF)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HH_TRANSF_EMIT.FECVAL ) = '', NULL, HH_TRANSF_EMIT.FECVAL )
</t>
    </r>
    <r>
      <rPr>
        <b/>
        <sz val="11"/>
        <color rgb="FF000000"/>
        <rFont val="Calibri"/>
      </rPr>
      <t xml:space="preserve">SELECT </t>
    </r>
    <r>
      <rPr>
        <sz val="11"/>
        <color rgb="FF000000"/>
        <rFont val="Calibri"/>
      </rPr>
      <t xml:space="preserve">IF( TRIM( HH_ESTADO_DECRE.HHW_FECVAL) = '', NULL, HH_ESTADO_DECRE.HHW_FECVAL)
</t>
    </r>
    <r>
      <rPr>
        <b/>
        <sz val="11"/>
        <color rgb="FF000000"/>
        <rFont val="Calibri"/>
      </rPr>
      <t xml:space="preserve">SELECT </t>
    </r>
    <r>
      <rPr>
        <sz val="11"/>
        <color rgb="FF000000"/>
        <rFont val="Calibri"/>
      </rPr>
      <t xml:space="preserve">IF(TRIM(JK_ORDEN_ENVIAR.FCHVADE) = '', NULL, JK_ORDEN_ENVIAR.FCHVADE)
</t>
    </r>
    <r>
      <rPr>
        <b/>
        <sz val="11"/>
        <color rgb="FF000000"/>
        <rFont val="Calibri"/>
      </rPr>
      <t xml:space="preserve">WHERE </t>
    </r>
    <r>
      <rPr>
        <sz val="11"/>
        <color rgb="FF000000"/>
        <rFont val="Calibri"/>
      </rPr>
      <t xml:space="preserve">CONCAT( JK_ORDEN_ENVIAR.TIPMSJ, JK_ORDEN_ENVIAR.INDMSJ, JK_ORDEN_ENVIAR.NUMMSJ) != 'MT103'
</t>
    </r>
    <r>
      <rPr>
        <b/>
        <sz val="11"/>
        <color rgb="FF000000"/>
        <rFont val="Calibri"/>
      </rPr>
      <t xml:space="preserve">SELECT </t>
    </r>
    <r>
      <rPr>
        <sz val="11"/>
        <color rgb="FF000000"/>
        <rFont val="Calibri"/>
      </rPr>
      <t xml:space="preserve">IF(TRIM(JK_ORDEN_CAMARA.FCHVAL) = '', NULL, JK_ORDEN_CAMARA.FCHVAL)
</t>
    </r>
    <r>
      <rPr>
        <b/>
        <sz val="11"/>
        <color rgb="FF000000"/>
        <rFont val="Calibri"/>
      </rPr>
      <t>WHERE</t>
    </r>
    <r>
      <rPr>
        <sz val="11"/>
        <color rgb="FF000000"/>
        <rFont val="Calibri"/>
      </rPr>
      <t xml:space="preserve"> CONCAT( JK_ORDEN_CAMARA.TIPMSJ, JK_ORDEN_CAMARA.INDMSJ, JK_ORDEN_CAMARA.NUMMSJ) != 'MT103'</t>
    </r>
  </si>
  <si>
    <t>DTVALTRF
DTVALCLI
DTVALTRF
FECVAL
FECVAL
FCHVADE
FCHVAL</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</si>
  <si>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</si>
  <si>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</si>
  <si>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</si>
  <si>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</si>
  <si>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HTIMEST</t>
  </si>
  <si>
    <r>
      <rPr>
        <b/>
        <sz val="11"/>
        <color rgb="FF000000"/>
        <rFont val="Calibri"/>
        <scheme val="minor"/>
      </rPr>
      <t xml:space="preserve">SELECT </t>
    </r>
    <r>
      <rPr>
        <sz val="11"/>
        <color rgb="FF000000"/>
        <rFont val="Calibri"/>
        <scheme val="minor"/>
      </rPr>
      <t>IF( TRIM(CRT67.HTIMEST ) = '', NULL, SUBSTRING( CRT67.HTIMEST, 1, 10 ) )</t>
    </r>
  </si>
  <si>
    <t>ORYD01H9_DTLIQUID
ORYD01H9_DTLIQUID
ORYD01H9_DTLIQUID</t>
  </si>
  <si>
    <r>
      <rPr>
        <b/>
        <sz val="11"/>
        <color rgb="FF000000"/>
        <rFont val="Calibri"/>
        <scheme val="minor"/>
      </rPr>
      <t xml:space="preserve">SELECT </t>
    </r>
    <r>
      <rPr>
        <sz val="11"/>
        <color rgb="FF000000"/>
        <rFont val="Calibri"/>
        <scheme val="minor"/>
      </rPr>
      <t xml:space="preserve">IF(TRIM(ORT01_SEPA_EMI.ORYD01H9_DTLIQUID) = '', NULL, ORT01_SEPA_EMI.ORYD01H9_DTLIQUID)
</t>
    </r>
    <r>
      <rPr>
        <b/>
        <sz val="11"/>
        <color rgb="FF000000"/>
        <rFont val="Calibri"/>
        <scheme val="minor"/>
      </rPr>
      <t xml:space="preserve">SELECT </t>
    </r>
    <r>
      <rPr>
        <sz val="11"/>
        <color rgb="FF000000"/>
        <rFont val="Calibri"/>
        <scheme val="minor"/>
      </rPr>
      <t xml:space="preserve">IF(TRIM(ORT01_SEPA_INT.ORYD01H9_DTLIQUID) = '', NULL, ORT01_SEPA_INT.ORYD01H9_DTLIQUID)
</t>
    </r>
    <r>
      <rPr>
        <b/>
        <sz val="11"/>
        <color rgb="FF000000"/>
        <rFont val="Calibri"/>
        <scheme val="minor"/>
      </rPr>
      <t xml:space="preserve">SELECT </t>
    </r>
    <r>
      <rPr>
        <sz val="11"/>
        <color rgb="FF000000"/>
        <rFont val="Calibri"/>
        <scheme val="minor"/>
      </rPr>
      <t xml:space="preserve">IF(TRIM(ORT01_SEPA_REC.ORYD01H9_DTLIQUID) = '', NULL, ORT01_SEPA_REC.ORYD01H9_DTLIQUID) </t>
    </r>
  </si>
  <si>
    <t>DTLIQUID
DTLIQUID
DTLIQUID</t>
  </si>
  <si>
    <t>DTENTRAD
DT_OPER
RSYD03A2_DTPROCTRF
FECVAL
FECVAL
FCHCAM
FCHCAM</t>
  </si>
  <si>
    <r>
      <rPr>
        <b/>
        <sz val="11"/>
        <color rgb="FF000000"/>
        <rFont val="Calibri"/>
        <scheme val="minor"/>
      </rPr>
      <t xml:space="preserve">SELECT </t>
    </r>
    <r>
      <rPr>
        <sz val="11"/>
        <color rgb="FF000000"/>
        <rFont val="Calibri"/>
        <scheme val="minor"/>
      </rPr>
      <t xml:space="preserve">IF(TRIM(EST10_ORDENS.DTENTRAD) = '', NULL, EST10_ORDENS.DTENTRAD)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IF(TRIM(IGT05.DT_OPER) = '', NULL, IGT05.DT_OPER)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IF(TRIM(RST03_MT101TRF.RSYD03A2_DTPROCTRF) = '', NULL, RST03_MT101TRF.RSYD03A2_DTPROCTRF)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HH_TRANSF_EMIT.FECVAL ) = '', NULL, HH_TRANSF_EMIT.FECVAL )
</t>
    </r>
    <r>
      <rPr>
        <b/>
        <sz val="11"/>
        <color rgb="FF000000"/>
        <rFont val="Calibri"/>
        <scheme val="minor"/>
      </rPr>
      <t xml:space="preserve">SELECT </t>
    </r>
    <r>
      <rPr>
        <sz val="11"/>
        <color rgb="FF000000"/>
        <rFont val="Calibri"/>
        <scheme val="minor"/>
      </rPr>
      <t xml:space="preserve">IF( TRIM( HH_ESTADO_DECRE.HHW_FECVAL) = '', NULL, HH_ESTADO_DECRE.HHW_FECVAL)
</t>
    </r>
    <r>
      <rPr>
        <b/>
        <sz val="11"/>
        <color rgb="FF000000"/>
        <rFont val="Calibri"/>
        <scheme val="minor"/>
      </rPr>
      <t xml:space="preserve">SELECT </t>
    </r>
    <r>
      <rPr>
        <sz val="11"/>
        <color rgb="FF000000"/>
        <rFont val="Calibri"/>
        <scheme val="minor"/>
      </rPr>
      <t xml:space="preserve">IF(TRIM(JK_ORDEN_ENVIAR.FCHCAM) = '', NULL, JK_ORDEN_ENVIAR.FCHCAM)
</t>
    </r>
    <r>
      <rPr>
        <b/>
        <sz val="11"/>
        <color rgb="FF000000"/>
        <rFont val="Calibri"/>
        <scheme val="minor"/>
      </rPr>
      <t xml:space="preserve">WHERE </t>
    </r>
    <r>
      <rPr>
        <sz val="11"/>
        <color rgb="FF000000"/>
        <rFont val="Calibri"/>
        <scheme val="minor"/>
      </rPr>
      <t>CONCAT( JK_ORDEN_ENVIAR.TIPMSJ, JK_ORDEN_ENVIAR.INDMSJ, JK_ORDEN_ENVIAR.NUMMSJ) != 'MT103'
SELECT IF(TRIM(JK_ORDEN_CAMARA.FCHCAM) = '', NULL, JK_ORDEN_CAMARA.FCHCAM)
WHERE CONCAT( JK_ORDEN_CAMARA.TIPMSJ, JK_ORDEN_CAMARA.INDMSJ, JK_ORDEN_CAMARA.NUMMSJ) != 'MT103'</t>
    </r>
  </si>
  <si>
    <t xml:space="preserve">DTENTRADA
DT_OPER
DTPROCTRF
FECVAL
FECVAL
FCHACAM
FCHACAM </t>
  </si>
  <si>
    <t>Transfer Create Date</t>
  </si>
  <si>
    <t>transfer_create_date</t>
  </si>
  <si>
    <t>The date in which the transaction record was created.</t>
  </si>
  <si>
    <t>Data em que o registo da transação foi criado.</t>
  </si>
  <si>
    <t>ORYD01H9_DTCRIACAO
ORYD01H9_DTCRIACAO 
ORYD01H9_DTCRIACAO</t>
  </si>
  <si>
    <r>
      <rPr>
        <b/>
        <sz val="11"/>
        <color rgb="FF000000"/>
        <rFont val="Calibri"/>
        <scheme val="minor"/>
      </rPr>
      <t xml:space="preserve">SELECT </t>
    </r>
    <r>
      <rPr>
        <sz val="11"/>
        <color rgb="FF000000"/>
        <rFont val="Calibri"/>
        <scheme val="minor"/>
      </rPr>
      <t xml:space="preserve">ORT01_SEPA_EMI.ORYD01H9_DTCRIACAO
</t>
    </r>
    <r>
      <rPr>
        <b/>
        <sz val="11"/>
        <color rgb="FF000000"/>
        <rFont val="Calibri"/>
        <scheme val="minor"/>
      </rPr>
      <t xml:space="preserve">SELECT </t>
    </r>
    <r>
      <rPr>
        <sz val="11"/>
        <color rgb="FF000000"/>
        <rFont val="Calibri"/>
        <scheme val="minor"/>
      </rPr>
      <t xml:space="preserve">ORT01_SEPA_INT.ORYD01H9_DTCRIACAO
</t>
    </r>
    <r>
      <rPr>
        <b/>
        <sz val="11"/>
        <color rgb="FF000000"/>
        <rFont val="Calibri"/>
        <scheme val="minor"/>
      </rPr>
      <t xml:space="preserve">SELECT </t>
    </r>
    <r>
      <rPr>
        <sz val="11"/>
        <color rgb="FF000000"/>
        <rFont val="Calibri"/>
        <scheme val="minor"/>
      </rPr>
      <t>ORT01_SEPA_REC.ORYD01H9_DTCRIACAO</t>
    </r>
  </si>
  <si>
    <t>DTCRIACAO
DTCRIACAO
DTCRIACAO</t>
  </si>
  <si>
    <t>Transfer Direction Code</t>
  </si>
  <si>
    <t>transfer_direction_code</t>
  </si>
  <si>
    <t xml:space="preserve">Transfer/payment direction indicator which evaluates if the transaction is sent or received. </t>
  </si>
  <si>
    <t xml:space="preserve">Indicador da direção/sentido da transferência/pagamento avaliando se a transação é enviada ou recebida. </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</si>
  <si>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'INT'</t>
    </r>
  </si>
  <si>
    <t>"REC" 
"SEN"
"INT" 
"INT"</t>
  </si>
  <si>
    <t>Transfer/payment direction indicator which evaluates if the transaction is sent or received.</t>
  </si>
  <si>
    <t xml:space="preserve">CTRANSCR </t>
  </si>
  <si>
    <t>SELECT CASE
      WHEN SUBSTRING(CRT67.CNIBHB, 1, 4) = '0018' AND SUBSTRING(CRT67.CNIBCR, 1, 4) = '0018' THEN 'INT'
      WHEN CRT67.CTRANSCR IN ('037', '179') THEN 'SEN'
      WHEN CRT67.CTRANSCR IN ('052', '199') THEN 'REC'
      ELSE NULL</t>
  </si>
  <si>
    <t>CTRANSCR</t>
  </si>
  <si>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'REC'</t>
    </r>
  </si>
  <si>
    <t>CINSTORD
CINSTORD
CINSTORD</t>
  </si>
  <si>
    <t>"SEN"
"INT"
"REC"</t>
  </si>
  <si>
    <t>N/A
CURATED_INTERNAL_MAINFRAME_ESTRANGEIRO
N/A
N/A
N/A
N/A
N/A</t>
  </si>
  <si>
    <t>N/A
IGT05
N/A
N/A
N/A
N/A
N/A</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</si>
  <si>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CASE 
    WHEN SUBSTRING( IGT05.ENDERECO_SWIFT_DEB, 1, 8 ) = 'TOTAPTPL' AND SUBSTRING( IGT05.ENDER_SWIFT_CRED, 1, 8) = 'TOTAPTPL' THEN 'INT'
    WHEN SUBSTRING( IGT05.ENDERECO_SWIFT_DEB, 1, 8 ) = 'TOTAPTPL' AND SUBSTRING( IGT05.ENDER_SWIFT_CRED, 1, 8) != 'TOTAPTPL' THEN 'SEN'
    WHEN SUBSTRING( IGT05.ENDERECO_SWIFT_DEB, 1, 8 ) != 'TOTAPTPL' AND SUBSTRING( IGT05.ENDER_SWIFT_CRED, 1, 8) = 'TOTAPTPL' THEN 'REC'
    ELSE NULL
END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'REC'</t>
    </r>
  </si>
  <si>
    <t>fixed 'Received' || If BANCO_RECEPTOR='TOTAPTPLIBO' THEN 'Recebido' else 'Emitido' || N/A || IF TRANSFER_ID IN HH_OPERAC_TRANS then 'Emitida' else 'Recebida'</t>
  </si>
  <si>
    <t>"REC"
N\A
"INT"
"SEN "
"REC"
"SEN" 
"REC"</t>
  </si>
  <si>
    <t>Unique End to End Transaction Reference Identifier</t>
  </si>
  <si>
    <t>unique_end_end_trans_ref_id</t>
  </si>
  <si>
    <t xml:space="preserve">End-to-end reference id. </t>
  </si>
  <si>
    <t xml:space="preserve">Identificador de referência end-to-end. </t>
  </si>
  <si>
    <t>Global Reference</t>
  </si>
  <si>
    <t>ESYD94A5_CUETR</t>
  </si>
  <si>
    <r>
      <rPr>
        <b/>
        <sz val="11"/>
        <color rgb="FF000000"/>
        <rFont val="Calibri"/>
        <scheme val="minor"/>
      </rPr>
      <t>SELECT</t>
    </r>
    <r>
      <rPr>
        <sz val="11"/>
        <color rgb="FF000000"/>
        <rFont val="Calibri"/>
        <scheme val="minor"/>
      </rPr>
      <t xml:space="preserve"> IF(TRIM(EST94.ESYD94A5_CUETR) = '', NULL, EST94.ESYD94A5_CUETR)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</si>
  <si>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CUETR</t>
  </si>
  <si>
    <t>Collecting Organization ID</t>
  </si>
  <si>
    <t>collection_organization_id</t>
  </si>
  <si>
    <t>CBANTOM
CBANTOM</t>
  </si>
  <si>
    <r>
      <rPr>
        <b/>
        <sz val="11"/>
        <color rgb="FF000000"/>
        <rFont val="Calibri"/>
      </rPr>
      <t xml:space="preserve">SELECT </t>
    </r>
    <r>
      <rPr>
        <sz val="11"/>
        <color rgb="FF000000"/>
        <rFont val="Calibri"/>
      </rPr>
      <t xml:space="preserve">CCT71_APRESENT.CBANTOM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CCT72_RECEBIDA.CBANTOM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</si>
  <si>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Compensation Direction Code</t>
  </si>
  <si>
    <t>compensation_direction_code</t>
  </si>
  <si>
    <t>Identifies if the compensation was sent to another organization or received.</t>
  </si>
  <si>
    <t>Código que identifica o sentido da compensação, enviada ou recebida.</t>
  </si>
  <si>
    <t>N/A
N/A</t>
  </si>
  <si>
    <r>
      <rPr>
        <b/>
        <sz val="11"/>
        <color rgb="FF000000"/>
        <rFont val="Calibri"/>
      </rPr>
      <t xml:space="preserve">SELECT </t>
    </r>
    <r>
      <rPr>
        <sz val="11"/>
        <color rgb="FF000000"/>
        <rFont val="Calibri"/>
      </rPr>
      <t xml:space="preserve">'REC'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'SEN'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</si>
  <si>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"REC"
"SEN"</t>
  </si>
  <si>
    <t>Internal Sequence Number</t>
  </si>
  <si>
    <t>internal_sequence_number</t>
  </si>
  <si>
    <t>INT</t>
  </si>
  <si>
    <t>ZSEQ
N\A</t>
  </si>
  <si>
    <r>
      <rPr>
        <b/>
        <sz val="11"/>
        <color rgb="FF000000"/>
        <rFont val="Calibri"/>
      </rPr>
      <t xml:space="preserve">SELECT </t>
    </r>
    <r>
      <rPr>
        <sz val="11"/>
        <color rgb="FF000000"/>
        <rFont val="Calibri"/>
      </rPr>
      <t xml:space="preserve">CCT71_APRESENT.ZSEQ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</si>
  <si>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"#N/A"</t>
  </si>
  <si>
    <t>Optical Character Recognition Check Number</t>
  </si>
  <si>
    <t>ocr_check_number</t>
  </si>
  <si>
    <t>ZCHQ
ZCHQ</t>
  </si>
  <si>
    <r>
      <rPr>
        <b/>
        <sz val="11"/>
        <color rgb="FF000000"/>
        <rFont val="Calibri"/>
      </rPr>
      <t xml:space="preserve">SELECT </t>
    </r>
    <r>
      <rPr>
        <sz val="11"/>
        <color rgb="FF000000"/>
        <rFont val="Calibri"/>
      </rPr>
      <t xml:space="preserve">CCT71_APRESENT.ZCHQ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CCT72_RECEBIDA.ZCHQ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</si>
  <si>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Optical Character Recognition Check Type Code</t>
  </si>
  <si>
    <t>ocr_check_type_code</t>
  </si>
  <si>
    <t>CTIPCHQ
CTIPCHQ</t>
  </si>
  <si>
    <r>
      <rPr>
        <b/>
        <sz val="11"/>
        <color rgb="FF000000"/>
        <rFont val="Calibri"/>
      </rPr>
      <t xml:space="preserve">SELECT </t>
    </r>
    <r>
      <rPr>
        <sz val="11"/>
        <color rgb="FF000000"/>
        <rFont val="Calibri"/>
      </rPr>
      <t xml:space="preserve">LPAD(CCT71_APRESENT.CTIPCHQ, 2, 0)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LPAD(CCT72_RECEBIDA.CTIPCHQ, 2, 0)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</si>
  <si>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Optical Character Recognition Organization ID</t>
  </si>
  <si>
    <t>ocr_organization_id</t>
  </si>
  <si>
    <t>CZIBBAN
CZIBBAN</t>
  </si>
  <si>
    <r>
      <rPr>
        <b/>
        <sz val="11"/>
        <color rgb="FF000000"/>
        <rFont val="Calibri"/>
      </rPr>
      <t xml:space="preserve">SELECT </t>
    </r>
    <r>
      <rPr>
        <sz val="11"/>
        <color rgb="FF000000"/>
        <rFont val="Calibri"/>
      </rPr>
      <t xml:space="preserve">CCT71_APRESENT.CZIBBAN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CCT72_RECEBIDA.CZIBBAN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</si>
  <si>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Optical Character Recognition Bank ID</t>
  </si>
  <si>
    <t>ocr_bank_id</t>
  </si>
  <si>
    <r>
      <rPr>
        <b/>
        <sz val="11"/>
        <color rgb="FF000000"/>
        <rFont val="Calibri"/>
      </rPr>
      <t xml:space="preserve">SELECT </t>
    </r>
    <r>
      <rPr>
        <sz val="11"/>
        <color rgb="FF000000"/>
        <rFont val="Calibri"/>
      </rPr>
      <t xml:space="preserve">IF(TRIM(CCT71_APRESENT.CZIBBAN) = '0018', '31',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IF(TRIM(CCT71_APRESENT.CZIBBAN) = '0018', '31,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</si>
  <si>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 N\A
N\A || N\A</t>
  </si>
  <si>
    <t>"31" || "#N/A"
"31" || "#N/A"</t>
  </si>
  <si>
    <t>Optical Character Recognition Contract ID</t>
  </si>
  <si>
    <t>ocr_contract_id</t>
  </si>
  <si>
    <t>CKBALCAO;CKNUMCTA
CKBALCAO;CKNUMCTA</t>
  </si>
  <si>
    <r>
      <rPr>
        <b/>
        <sz val="11"/>
        <color rgb="FF000000"/>
        <rFont val="Calibri"/>
      </rPr>
      <t>SELECT</t>
    </r>
    <r>
      <rPr>
        <sz val="11"/>
        <color rgb="FF000000"/>
        <rFont val="Calibri"/>
      </rPr>
      <t xml:space="preserve"> IF(TRIM(CCT71_APRESENT.CZIBBAN) = '0018', CONCAT( CCT71_APRESENT.CKBALCAO, CCT71_APRESENT.CKNUMCTA, '000000000000000'),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IF(TRIM(CCT71_APRESENT.CZIBBAN) = '0018', CONCAT( CCT72_RECEBIDA.CKBALCAO, CCT72_RECEBIDA.CKNUMCTA, '000000000000000'),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</si>
  <si>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CONCAT( CKBALCAO, CKNUMCTA, "000000000000000" ) || N\A
CONCAT( CKBALCAO, CKNUMCTA, "000000000000000" ) || N\A</t>
  </si>
  <si>
    <t>N\A || "#N/A"
N\A || "#N/A"</t>
  </si>
  <si>
    <t>Optical Character Recognition Branch ID</t>
  </si>
  <si>
    <t>ocr_branch_id</t>
  </si>
  <si>
    <t>CKBALCAO
CKBALCAO</t>
  </si>
  <si>
    <r>
      <rPr>
        <b/>
        <sz val="11"/>
        <color rgb="FF000000"/>
        <rFont val="Calibri"/>
      </rPr>
      <t xml:space="preserve">SELECT </t>
    </r>
    <r>
      <rPr>
        <sz val="11"/>
        <color rgb="FF000000"/>
        <rFont val="Calibri"/>
      </rPr>
      <t xml:space="preserve">CCT71_APRESENT.CKBALCAO
WHERE 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CCT72_RECEBIDA.CKBALCAO
WHERE SUBSTRING(CCT72_RECEBIDA.HTIMEST, 1, 10) &gt; SUBSTRING(LAST_DATA_DATE_PART, 1, 10) AND SUBSTRING(CCT72_RECEBIDA.HTIMEST, 1, 10) &lt;= SUBSTRING(LAST_DATA_DATE_PART, 11, 10)</t>
    </r>
  </si>
  <si>
    <t>Optical Character Recognition Account Number</t>
  </si>
  <si>
    <t>ocr_account_number</t>
  </si>
  <si>
    <t>BIGINT</t>
  </si>
  <si>
    <t>CKNUMCTA
CKNUMCTA</t>
  </si>
  <si>
    <r>
      <rPr>
        <b/>
        <sz val="11"/>
        <color rgb="FF000000"/>
        <rFont val="Calibri"/>
      </rPr>
      <t xml:space="preserve">SELECT </t>
    </r>
    <r>
      <rPr>
        <sz val="11"/>
        <color rgb="FF000000"/>
        <rFont val="Calibri"/>
      </rPr>
      <t xml:space="preserve">CCT71_APRESENT.CKNUMCTA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CCT72_RECEBIDA.CKNUMCTA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</si>
  <si>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Compensation Date</t>
  </si>
  <si>
    <t>compensation_date</t>
  </si>
  <si>
    <t>DTCOMP
DTCOMP</t>
  </si>
  <si>
    <r>
      <rPr>
        <b/>
        <sz val="11"/>
        <color rgb="FF000000"/>
        <rFont val="Calibri"/>
      </rPr>
      <t xml:space="preserve">SELECT </t>
    </r>
    <r>
      <rPr>
        <sz val="11"/>
        <color rgb="FF000000"/>
        <rFont val="Calibri"/>
      </rPr>
      <t xml:space="preserve">CCT71_APRESENT.DTCOMP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CCT72_RECEBIDA.DTCOMP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</si>
  <si>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CURATED_INTERNAL_MAINFRAME_CHEQUESCOMPENSACAO
CURATED_INTERNAL_MAINFRAME_ESTRUTURAIS
CURATED_INTERNAL_MAINFRAME_CHEQUESCOMPENSACAO
CURATED_INTERNAL_MAINFRAME_ESTRUTURAIS</t>
  </si>
  <si>
    <t>CCT71_APRESENT
TAT91_TABELAS_NEW
CCT72_RECEBIDA
TAT91_TABELAS_NEW</t>
  </si>
  <si>
    <t>N/A
TAYD91C0_NELEMC01
N/A
TAYD91C0_NELEMC01</t>
  </si>
  <si>
    <r>
      <rPr>
        <b/>
        <sz val="11"/>
        <color rgb="FF000000"/>
        <rFont val="Calibri"/>
      </rPr>
      <t xml:space="preserve">SELECT </t>
    </r>
    <r>
      <rPr>
        <sz val="11"/>
        <color rgb="FF000000"/>
        <rFont val="Calibri"/>
      </rPr>
      <t xml:space="preserve">TRIM( TAT91_TABELAS_NEW.TAYD91C0_NELEMC01 )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TRIM( TAT91_TABELAS_NEW.TAYD91C0_NELEMC01 )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</si>
  <si>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CMOEDA
CMOEDA</t>
  </si>
  <si>
    <t>MIMPORT
MIMPORT</t>
  </si>
  <si>
    <r>
      <rPr>
        <b/>
        <sz val="11"/>
        <color rgb="FF000000"/>
        <rFont val="Calibri"/>
      </rPr>
      <t xml:space="preserve">SELECT </t>
    </r>
    <r>
      <rPr>
        <sz val="11"/>
        <color rgb="FF000000"/>
        <rFont val="Calibri"/>
      </rPr>
      <t xml:space="preserve">CCT71_APRESENT.MIMPORT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CCT72_RECEBIDA.MIMPORT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</si>
  <si>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Data Date Part</t>
  </si>
  <si>
    <t>DATA_DATE_PART
DATA_DATE_PART</t>
  </si>
  <si>
    <r>
      <rPr>
        <b/>
        <sz val="11"/>
        <color rgb="FF000000"/>
        <rFont val="Calibri"/>
      </rPr>
      <t xml:space="preserve">SELECT </t>
    </r>
    <r>
      <rPr>
        <sz val="11"/>
        <color rgb="FF000000"/>
        <rFont val="Calibri"/>
      </rPr>
      <t xml:space="preserve">CCT71_APRESENT.DATA_DATE_PART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CCT72_RECEBIDA.DATA_DATE_PART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</si>
  <si>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</si>
  <si>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</si>
  <si>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</si>
  <si>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</si>
  <si>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</si>
  <si>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</si>
  <si>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</si>
  <si>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</si>
  <si>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</si>
  <si>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</si>
  <si>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</si>
  <si>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</si>
  <si>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</si>
  <si>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</si>
  <si>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</si>
  <si>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</si>
  <si>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</si>
  <si>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</si>
  <si>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</si>
  <si>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</si>
  <si>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</si>
  <si>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</si>
  <si>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</si>
  <si>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</si>
  <si>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</si>
  <si>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</si>
  <si>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</si>
  <si>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</si>
  <si>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</si>
  <si>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</si>
  <si>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</si>
  <si>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</si>
  <si>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</si>
  <si>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</si>
  <si>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</si>
  <si>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</si>
  <si>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</si>
  <si>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</si>
  <si>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</si>
  <si>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</si>
  <si>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</si>
  <si>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</si>
  <si>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</si>
  <si>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</si>
  <si>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</si>
  <si>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</si>
  <si>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</si>
  <si>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</si>
  <si>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</si>
  <si>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</si>
  <si>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</si>
  <si>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</si>
  <si>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</si>
  <si>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</si>
  <si>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</si>
  <si>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</si>
  <si>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</si>
  <si>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</si>
  <si>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</si>
  <si>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</si>
  <si>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</si>
  <si>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</si>
  <si>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</si>
  <si>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</si>
  <si>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</si>
  <si>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</si>
  <si>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</si>
  <si>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hh_dat_sw_cobro</t>
  </si>
  <si>
    <t xml:space="preserve">hh_dat_sw_cobro.hh1_idempr = hh_swift_relac.idempr  AND hh_dat_sw_cobro.hh1_idcent = hh_swift_relac.idcent AND hh_dat_sw_cobro.hh1_codprod = hh_swift_relac.codprod AND hh_dat.hh1_numsor = hh_swift_relac.numsor </t>
  </si>
  <si>
    <t>hh_oper_refer</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</si>
  <si>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</si>
  <si>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</si>
  <si>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 (SEN)</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</si>
  <si>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</si>
  <si>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 (REC)</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</si>
  <si>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</si>
  <si>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</si>
  <si>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</si>
  <si>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</si>
  <si>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jk_orden_enviar</t>
  </si>
  <si>
    <t>jk_datos_campos (SEN ID)</t>
  </si>
  <si>
    <t>jk_datos_campos.jkdcp_reftrn = jk_orden_enviar.reftrn AND jk_datos_campos.jkdcp_campo IN ('521', '523')</t>
  </si>
  <si>
    <t>jk_orden_campos (SEN ID)</t>
  </si>
  <si>
    <t>jk_orden_campos.jkocp_idempr = jk_orden_enviar.idempr AND jk_orden_sen_acc_id.jkocp_idcent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</si>
  <si>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</si>
  <si>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 (SEN NAME)</t>
  </si>
  <si>
    <t>jk_datos_campos.jkdcp_reftrn = jk_orden_enviar.reftrn AND jk_datos_campos.jkdcp_campo IN ('523', '526')</t>
  </si>
  <si>
    <t>jk_orden_campos (SEN NAME)</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</si>
  <si>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</si>
  <si>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 (REC ID)</t>
  </si>
  <si>
    <t>jk_datos_campos.jkdcp_reftrn = jk_orden_enviar.reftrn AND jk_datos_campos.jkdcp_campo IN ('571', '573')</t>
  </si>
  <si>
    <t>jk_orden_campos (REC ID)</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</si>
  <si>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</si>
  <si>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 (REC 581)</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</si>
  <si>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</si>
  <si>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</si>
  <si>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</si>
  <si>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 (REC 584)</t>
  </si>
  <si>
    <t>jk_datos_campos.jkdcp_reftrn = jk_orden_enviar.reftrn AND jk_datos_campos.jkdcp_campo IN ('584')</t>
  </si>
  <si>
    <t>prsw_direccion (REC 584)</t>
  </si>
  <si>
    <t>prsw_direccion.idemex = SUBSTRING(jk_datos_campos.jkdcp_datosva_text, 1, 4) AND prsw_direccion.idofex = SUBSTRING(jk_datos_campos.jkdcp_datosva_text, 5, 4)</t>
  </si>
  <si>
    <t>jk_orden_campos (REC 581)</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</si>
  <si>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</si>
  <si>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</si>
  <si>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 (REC 584)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</si>
  <si>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</si>
  <si>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prsw_direccion.idemex = SUBSTRING(jk_orden_campos.jkocp_datosva_text, 1, 4) AND prsw_direccion.idofex = SUBSTRING(jk_orden_campos.jkocp_datosva_text, 5, 4)</t>
  </si>
  <si>
    <t>jk_datos_campos (REC NAME)</t>
  </si>
  <si>
    <t>jk_datos_campos.jkdcp_reftrn = jk_orden_enviar.reftrn AND jk_datos_campos.jkdcp_campo IN ('573', '576')</t>
  </si>
  <si>
    <t>jk_orden_campos (REC NAME)</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</si>
  <si>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</si>
  <si>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</si>
  <si>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jk_orden_camara</t>
  </si>
  <si>
    <t>jk_datos_campos.jkdcp_reftrn = jk_orden_camara.numecont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</si>
  <si>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</si>
  <si>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jk_orden_camara.bcoemi AND prsw_direccion.idofex = jk_orden_camara.sucemi</t>
  </si>
  <si>
    <t>jk_datos_campos.jkdcp_reftrn = jk_orden_camara.numecont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</si>
  <si>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</si>
  <si>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jk_orden_camara.numecont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</si>
  <si>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</si>
  <si>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jk_orden_camara.numecont AND jk_datos_campos.jkdcp_campo IN ('581')</t>
  </si>
  <si>
    <t>jk_datos_campos.jkdcp_reftrn = jk_orden_camara.numecont AND jk_datos_campos.jkdcp_campo IN ('584')</t>
  </si>
  <si>
    <t>jk_datos_campos.jkdcp_reftrn = jk_orden_camara.numecont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</si>
  <si>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</si>
  <si>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</si>
  <si>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est94_hismsgsw</t>
  </si>
  <si>
    <t>est95_histxmsg</t>
  </si>
  <si>
    <t>TRIM(est94_hismsgsw.esyd94a5_zsn) = TRIM(est95_histxmsg.esyd95a1_zsn) AND
TRIM(est94_hismsgsw.esyd94a5_cmur) = TRIM(est95_histxmsg.esyd95a1_cmur)</t>
  </si>
  <si>
    <t>est95_histxmsg (FILTRO_53)</t>
  </si>
  <si>
    <t>TRIM(est95_histxmsg .esyd95a1_cmur) = TRIM(FILTRO_53.esyd95a1_cmur)</t>
  </si>
  <si>
    <t>est95_histxmsg (FILTRO_54)</t>
  </si>
  <si>
    <t>TRIM(est95_histxmsg .esyd95a1_cmur) = TRIM(FILTRO_54.esyd95a1_cmur)</t>
  </si>
  <si>
    <t>est95_histxmsg (FULL_MESSAGE)</t>
  </si>
  <si>
    <t>TRIM(est94_hismsgsw.esyd94a5_zsn) = TRIM(FULL_MESSAGE.esyd95a1_zsn) AND
TRIM(est94_hismsgsw.esyd94a5_cmur) = TRIM(FULL_MESSAGE.esyd95a1_cmur)</t>
  </si>
  <si>
    <t>est95_histxmsg (RECEIVER_REF)</t>
  </si>
  <si>
    <t>TRIM(est95_histxmsg .esyd95a1_cmur) = TRIM(RECEIVER_REF.esyd95a1_cmur)</t>
  </si>
  <si>
    <t>curated_internal_mainframe_chequescompensacao</t>
  </si>
  <si>
    <t>cct71_apresent</t>
  </si>
  <si>
    <t>cct71_apresent.cmoeda = SUBSTRING(tat91_tabelas_new.tayd91c0_nelemc01, 1, 3)</t>
  </si>
  <si>
    <t>cct72_recebida</t>
  </si>
  <si>
    <t>cct72_recebida.cmoeda = SUBSTRING(tat91_tabelas_new.tayd91c0_nelemc01, 1, 3)</t>
  </si>
  <si>
    <t>NOME FÍSICO BD FONTE</t>
  </si>
  <si>
    <t>NOME FÍSICO TABELA FONTE</t>
  </si>
  <si>
    <t>REGRA DE ATAQUE</t>
  </si>
  <si>
    <t>DESCRIÇÃO ESTADOS CONSIDERADOS</t>
  </si>
  <si>
    <t>DESCRIÇÃO ESTADOS DESCONSIDERADOS</t>
  </si>
  <si>
    <t>tayd91c0_ctabela = '206'</t>
  </si>
  <si>
    <t>NOT ( ddyd03a4_cbiccreLIKE 'TOTAPTPL%' AND ddyd03a4_cbicdev LIKE 'TOTAPTPL%')</t>
  </si>
  <si>
    <t>NOT (ddyd04a6_cbiccre LIKE 'TOTAPTPL%' AND ddyd04a6_cbicdev LIKE 'TOTAPTPL%')</t>
  </si>
  <si>
    <t>ddyd03a4_cbiccre LIKE 'TOTAPTPL%' AND ddyd03a4_cbicdev LIKE 'TOTAPTPL%'</t>
  </si>
  <si>
    <t>ddyd04a6_cbiccre LIKE 'TOTAPTPL%' AND ddyd04a6_cbicdev LIKE 'TOTAPTPL%' AND ddyd03a4_cscheme IS NULL</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</si>
  <si>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</si>
  <si>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</si>
  <si>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</si>
  <si>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</si>
  <si>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</si>
  <si>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</si>
  <si>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hhf_indban1 = 'B'</t>
  </si>
  <si>
    <t>tiprel = 'K'</t>
  </si>
  <si>
    <t>hhf_indban1 = 'O'</t>
  </si>
  <si>
    <t>CONCAT(tipmsj, indmsj, nummsj) != 'MT103'</t>
  </si>
  <si>
    <t>jkdcp_campo IN ('521', '523')</t>
  </si>
  <si>
    <t>jkocp_campo IN ('521', '523')</t>
  </si>
  <si>
    <t>jkdcp_campo IN ('523', '526')</t>
  </si>
  <si>
    <t>jkocp_campo IN ('523', '526')</t>
  </si>
  <si>
    <t>jkdcp_campo IN ('571', '573')</t>
  </si>
  <si>
    <t>jkocp_campo IN ('571,', '573')</t>
  </si>
  <si>
    <t>jkdcp_campo IN ('581')</t>
  </si>
  <si>
    <t>jkocp_campo IN ('581')</t>
  </si>
  <si>
    <t>jkdcp_campo IN ('584')</t>
  </si>
  <si>
    <t>jkocp_campo IN ('584')</t>
  </si>
  <si>
    <t xml:space="preserve">jkdcp_campo IN ('573', '576')  </t>
  </si>
  <si>
    <t xml:space="preserve">jkocp_campo IN ('573', '576')  </t>
  </si>
  <si>
    <t>esyd94a5_tipmtmx IN ('pacs.008', 'pacs.009', 'pain.001', 'MT103', 'MT202')</t>
  </si>
  <si>
    <t>est95_histxmsg.esyd95a1_gtxtmsg LIKE '20%' AND RIGHT(TRIM(est95_histxmsg.esyd95a1_gtxtmsg), 1) = '1'</t>
  </si>
  <si>
    <t>GROUP BY TRIM(esyd95a1_cmur), TRIM(esyd95a1_zsn)</t>
  </si>
  <si>
    <t>est95_histxmsg .esyd95a1_gtxtmsg LIKE '21%' AND RIGHT(TRIM(est95_histxmsg .esyd95a1_gtxtmsg), 1) = '1'</t>
  </si>
  <si>
    <t>est95_histxmsg .esyd95a1_gtxtmsg LIKE '54A%' AND RIGHT(TRIM(est95_histxmsg .esyd95a1_gtxtmsg), 1) = '1'</t>
  </si>
  <si>
    <t>est95_histxmsg .esyd95a1_gtxtmsg LIKE '53A%' AND RIGHT(TRIM(est95_histxmsg .esyd95a1_gtxtmsg), 1) = '1'</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</si>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</sst>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0"/>
      <color theme="1"/>
      <name val="Calibri"/>
      <family val="2"/>
      <scheme val="minor"/>
    </font>
    <font>
      <sz val="10"/>
      <color rgb="FF000000"/>
      <name val="Calibri"/>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sz val="11"/>
      <color rgb="FF000000"/>
      <name val="Calibri"/>
      <scheme val="minor"/>
    </font>
    <font>
      <b/>
      <sz val="11"/>
      <color rgb="FF000000"/>
      <name val="Calibri"/>
      <scheme val="minor"/>
    </font>
    <font>
      <b/>
      <sz val="11"/>
      <color rgb="FF000000"/>
      <name val="Calibri"/>
    </font>
    <font>
      <sz val="11"/>
      <color rgb="FF000000"/>
      <name val="Calibri"/>
    </font>
    <font>
      <sz val="10"/>
      <name val="Arial"/>
    </font>
    <font>
      <b/>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261">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4" xfId="0" applyFont="1" applyFill="1" applyBorder="1" applyAlignment="1">
      <alignment horizontal="center" vertical="center" wrapText="1"/>
    </xf>
    <xf numFmtId="0" fontId="23"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30" fillId="5" borderId="4"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7" fillId="0" borderId="2" xfId="0" applyFont="1" applyBorder="1" applyAlignment="1">
      <alignment horizontal="left" vertical="center" wrapText="1"/>
    </xf>
    <xf numFmtId="0" fontId="0" fillId="0" borderId="2" xfId="0" applyBorder="1" applyAlignment="1">
      <alignment horizontal="left" vertical="center"/>
    </xf>
    <xf numFmtId="0" fontId="24" fillId="5" borderId="0" xfId="0" applyFont="1" applyFill="1" applyAlignment="1">
      <alignment horizontal="center" vertical="center" wrapText="1"/>
    </xf>
    <xf numFmtId="0" fontId="31" fillId="0" borderId="2" xfId="0" applyFont="1" applyBorder="1" applyAlignment="1">
      <alignment horizontal="left" vertical="center"/>
    </xf>
    <xf numFmtId="0" fontId="0" fillId="0" borderId="2" xfId="0" applyBorder="1" applyAlignment="1">
      <alignment horizontal="left" vertical="center" wrapText="1"/>
    </xf>
    <xf numFmtId="0" fontId="31" fillId="0" borderId="2" xfId="0" applyFont="1" applyBorder="1" applyAlignment="1">
      <alignment horizontal="left" vertical="center" wrapText="1"/>
    </xf>
    <xf numFmtId="0" fontId="0" fillId="0" borderId="8" xfId="0" applyBorder="1" applyAlignment="1">
      <alignment horizontal="center" vertical="center"/>
    </xf>
    <xf numFmtId="0" fontId="27" fillId="2" borderId="2" xfId="0" applyFont="1" applyFill="1" applyBorder="1" applyAlignment="1">
      <alignment horizontal="left" vertical="center"/>
    </xf>
    <xf numFmtId="0" fontId="0" fillId="0" borderId="2" xfId="0" applyBorder="1" applyAlignment="1" applyProtection="1">
      <alignment vertical="center"/>
      <protection locked="0"/>
    </xf>
    <xf numFmtId="0" fontId="27" fillId="2" borderId="8" xfId="0" applyFont="1" applyFill="1" applyBorder="1" applyAlignment="1">
      <alignment horizontal="left" vertical="center"/>
    </xf>
    <xf numFmtId="0" fontId="31" fillId="0" borderId="8" xfId="0" applyFont="1" applyBorder="1" applyAlignment="1">
      <alignment horizontal="left" vertical="center"/>
    </xf>
    <xf numFmtId="0" fontId="31" fillId="0" borderId="15" xfId="0" applyFont="1" applyBorder="1" applyAlignment="1">
      <alignment horizontal="left" vertical="center"/>
    </xf>
    <xf numFmtId="0" fontId="31" fillId="0" borderId="2" xfId="0" applyFont="1" applyBorder="1" applyAlignment="1" applyProtection="1">
      <alignment vertical="center"/>
      <protection locked="0"/>
    </xf>
    <xf numFmtId="0" fontId="27" fillId="0" borderId="8" xfId="0" applyFont="1" applyBorder="1" applyAlignment="1">
      <alignment horizontal="left" vertical="center" wrapText="1"/>
    </xf>
    <xf numFmtId="0" fontId="0" fillId="0" borderId="2" xfId="0" quotePrefix="1" applyBorder="1" applyAlignment="1" applyProtection="1">
      <alignment vertical="center" wrapText="1"/>
      <protection locked="0"/>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1" fillId="0" borderId="15" xfId="0" applyFont="1" applyBorder="1" applyAlignment="1">
      <alignment horizontal="left" vertical="center" wrapText="1"/>
    </xf>
    <xf numFmtId="0" fontId="0" fillId="0" borderId="16" xfId="0" applyBorder="1" applyAlignment="1">
      <alignment vertical="center"/>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31" fillId="0" borderId="8" xfId="0" applyFont="1" applyBorder="1" applyAlignment="1" applyProtection="1">
      <alignment vertical="center"/>
      <protection locked="0"/>
    </xf>
    <xf numFmtId="0" fontId="31" fillId="0" borderId="8" xfId="0" applyFont="1" applyBorder="1" applyAlignment="1">
      <alignment horizontal="left" vertical="center" wrapText="1"/>
    </xf>
    <xf numFmtId="0" fontId="27" fillId="2" borderId="15" xfId="0" applyFont="1" applyFill="1" applyBorder="1" applyAlignment="1">
      <alignment horizontal="left" vertical="center"/>
    </xf>
    <xf numFmtId="0" fontId="0" fillId="0" borderId="15" xfId="0" applyBorder="1" applyAlignment="1">
      <alignment horizontal="left" vertical="center" wrapText="1"/>
    </xf>
    <xf numFmtId="0" fontId="31" fillId="0" borderId="17" xfId="0" applyFont="1" applyBorder="1" applyAlignment="1">
      <alignment horizontal="left" vertical="center" wrapText="1"/>
    </xf>
    <xf numFmtId="0" fontId="31" fillId="0" borderId="2" xfId="0" applyFont="1" applyBorder="1" applyAlignment="1" applyProtection="1">
      <alignment vertical="center" wrapText="1"/>
      <protection locked="0"/>
    </xf>
    <xf numFmtId="0" fontId="27" fillId="2" borderId="8" xfId="0" applyFont="1" applyFill="1" applyBorder="1" applyAlignment="1">
      <alignment horizontal="center" vertical="center"/>
    </xf>
    <xf numFmtId="0" fontId="27" fillId="2" borderId="8" xfId="0" applyFont="1" applyFill="1" applyBorder="1" applyAlignment="1">
      <alignment horizontal="left" vertical="center" wrapText="1"/>
    </xf>
    <xf numFmtId="0" fontId="27" fillId="2" borderId="8" xfId="0" applyFont="1" applyFill="1" applyBorder="1" applyAlignment="1">
      <alignment vertical="center" wrapText="1"/>
    </xf>
    <xf numFmtId="0" fontId="24" fillId="5" borderId="19" xfId="0" applyFont="1" applyFill="1" applyBorder="1" applyAlignment="1">
      <alignment horizontal="center" vertical="center" wrapText="1"/>
    </xf>
    <xf numFmtId="0" fontId="24" fillId="5" borderId="15" xfId="0" applyFont="1" applyFill="1" applyBorder="1" applyAlignment="1">
      <alignment horizontal="center" vertical="center" wrapText="1"/>
    </xf>
    <xf numFmtId="0" fontId="24" fillId="5" borderId="20" xfId="0" applyFont="1" applyFill="1" applyBorder="1" applyAlignment="1">
      <alignment horizontal="center" vertical="center" wrapText="1"/>
    </xf>
    <xf numFmtId="0" fontId="33" fillId="0" borderId="13" xfId="0" applyFont="1" applyBorder="1" applyAlignment="1">
      <alignment horizontal="center" vertical="center"/>
    </xf>
    <xf numFmtId="0" fontId="34" fillId="0" borderId="8" xfId="0" applyFont="1" applyBorder="1" applyAlignment="1">
      <alignment horizontal="left" vertical="center"/>
    </xf>
    <xf numFmtId="0" fontId="34" fillId="0" borderId="8" xfId="0" applyFont="1" applyBorder="1" applyAlignment="1">
      <alignment horizontal="left" vertical="center" wrapText="1"/>
    </xf>
    <xf numFmtId="0" fontId="34" fillId="0" borderId="11" xfId="0" applyFont="1" applyBorder="1" applyAlignment="1">
      <alignment horizontal="left" vertical="center"/>
    </xf>
    <xf numFmtId="0" fontId="34" fillId="0" borderId="13" xfId="0" applyFont="1" applyBorder="1" applyAlignment="1">
      <alignment horizontal="center" vertical="center"/>
    </xf>
    <xf numFmtId="49" fontId="34" fillId="0" borderId="11" xfId="0" applyNumberFormat="1" applyFont="1" applyBorder="1" applyAlignment="1">
      <alignment horizontal="left" vertical="center"/>
    </xf>
    <xf numFmtId="0" fontId="34" fillId="0" borderId="21" xfId="0" applyFont="1" applyBorder="1" applyAlignment="1">
      <alignment horizontal="center" vertical="center"/>
    </xf>
    <xf numFmtId="0" fontId="34" fillId="0" borderId="16" xfId="0" applyFont="1" applyBorder="1" applyAlignment="1">
      <alignment horizontal="left" vertical="center"/>
    </xf>
    <xf numFmtId="0" fontId="34" fillId="0" borderId="16" xfId="0" applyFont="1" applyBorder="1" applyAlignment="1">
      <alignment horizontal="left" vertical="center" wrapText="1"/>
    </xf>
    <xf numFmtId="0" fontId="34"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5" fillId="14" borderId="20" xfId="0" applyFont="1" applyFill="1" applyBorder="1" applyAlignment="1">
      <alignment horizontal="center" vertical="center"/>
    </xf>
    <xf numFmtId="0" fontId="35" fillId="14" borderId="12" xfId="0" applyFont="1" applyFill="1" applyBorder="1" applyAlignment="1">
      <alignment horizontal="center" vertical="center"/>
    </xf>
    <xf numFmtId="0" fontId="35" fillId="0" borderId="22" xfId="0" applyFont="1" applyBorder="1" applyAlignment="1">
      <alignment horizontal="center" vertical="center"/>
    </xf>
    <xf numFmtId="0" fontId="35"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5" fillId="14" borderId="8" xfId="0" applyFont="1" applyFill="1" applyBorder="1" applyAlignment="1">
      <alignment vertical="center"/>
    </xf>
    <xf numFmtId="0" fontId="35" fillId="14" borderId="23" xfId="0" applyFont="1" applyFill="1" applyBorder="1" applyAlignment="1">
      <alignment horizontal="center" vertical="center"/>
    </xf>
    <xf numFmtId="0" fontId="35"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6"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6" fillId="0" borderId="8" xfId="0" applyFont="1" applyBorder="1" applyAlignment="1">
      <alignment vertical="center"/>
    </xf>
    <xf numFmtId="0" fontId="37" fillId="0" borderId="8" xfId="0" applyFont="1" applyBorder="1" applyAlignment="1">
      <alignment horizontal="center" vertical="center"/>
    </xf>
    <xf numFmtId="0" fontId="37" fillId="0" borderId="8" xfId="0" applyFont="1" applyBorder="1" applyAlignment="1">
      <alignment horizontal="left" vertical="center"/>
    </xf>
    <xf numFmtId="0" fontId="25" fillId="0" borderId="2" xfId="0" applyFont="1" applyBorder="1" applyAlignment="1" applyProtection="1">
      <alignment vertical="center"/>
      <protection locked="0"/>
    </xf>
    <xf numFmtId="49" fontId="0" fillId="0" borderId="0" xfId="0" applyNumberFormat="1" applyAlignment="1">
      <alignment horizontal="left" vertical="center"/>
    </xf>
    <xf numFmtId="0" fontId="35" fillId="13" borderId="10" xfId="0" applyFont="1" applyFill="1" applyBorder="1"/>
    <xf numFmtId="0" fontId="35" fillId="0" borderId="20" xfId="0" applyFont="1" applyBorder="1" applyAlignment="1">
      <alignment horizontal="center" vertical="center"/>
    </xf>
    <xf numFmtId="0" fontId="35" fillId="0" borderId="23" xfId="0" applyFont="1" applyBorder="1" applyAlignment="1">
      <alignment horizontal="center" vertical="center"/>
    </xf>
    <xf numFmtId="0" fontId="0" fillId="0" borderId="12" xfId="0" applyBorder="1" applyAlignment="1">
      <alignment horizontal="left" vertical="center"/>
    </xf>
    <xf numFmtId="0" fontId="35"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37" fillId="0" borderId="8" xfId="0" applyFont="1" applyBorder="1" applyAlignment="1">
      <alignment vertical="center" wrapText="1"/>
    </xf>
    <xf numFmtId="0" fontId="0" fillId="0" borderId="0" xfId="0" applyAlignment="1" applyProtection="1">
      <alignment horizontal="left" vertical="center" wrapText="1"/>
      <protection locked="0"/>
    </xf>
    <xf numFmtId="0" fontId="30" fillId="5" borderId="7" xfId="0" applyFont="1" applyFill="1" applyBorder="1" applyAlignment="1">
      <alignment horizontal="center" vertical="center" wrapText="1"/>
    </xf>
    <xf numFmtId="0" fontId="30" fillId="5" borderId="24" xfId="0" applyFont="1" applyFill="1" applyBorder="1" applyAlignment="1">
      <alignment horizontal="center" vertical="center" wrapText="1"/>
    </xf>
    <xf numFmtId="0" fontId="30" fillId="5" borderId="0" xfId="0" applyFont="1" applyFill="1" applyAlignment="1">
      <alignment horizontal="center" vertical="center" wrapText="1"/>
    </xf>
    <xf numFmtId="0" fontId="0" fillId="0" borderId="8" xfId="0" applyBorder="1" applyAlignment="1">
      <alignment horizontal="left" vertical="center" wrapText="1"/>
    </xf>
    <xf numFmtId="0" fontId="37" fillId="0" borderId="8" xfId="0" applyFont="1" applyBorder="1" applyAlignment="1" applyProtection="1">
      <alignment vertical="center" wrapText="1"/>
      <protection locked="0"/>
    </xf>
    <xf numFmtId="0" fontId="31" fillId="0" borderId="16" xfId="0" applyFont="1" applyBorder="1" applyAlignment="1">
      <alignment horizontal="left" vertical="center"/>
    </xf>
    <xf numFmtId="0" fontId="0" fillId="0" borderId="16" xfId="0" applyBorder="1" applyAlignment="1" applyProtection="1">
      <alignment horizontal="center" vertical="center"/>
      <protection locked="0"/>
    </xf>
    <xf numFmtId="0" fontId="37" fillId="0" borderId="16" xfId="0" applyFont="1" applyBorder="1" applyAlignment="1">
      <alignment vertical="center" wrapText="1"/>
    </xf>
    <xf numFmtId="0" fontId="40" fillId="0" borderId="8" xfId="0" applyFont="1" applyBorder="1" applyAlignment="1">
      <alignment vertical="center" wrapText="1"/>
    </xf>
    <xf numFmtId="0" fontId="0" fillId="0" borderId="25" xfId="0" applyBorder="1" applyAlignment="1">
      <alignment vertical="center" wrapText="1"/>
    </xf>
    <xf numFmtId="0" fontId="0" fillId="0" borderId="15" xfId="0" quotePrefix="1" applyBorder="1" applyAlignment="1" applyProtection="1">
      <alignment vertical="center" wrapText="1"/>
      <protection locked="0"/>
    </xf>
    <xf numFmtId="0" fontId="27" fillId="0" borderId="2" xfId="0" applyFont="1" applyBorder="1" applyAlignment="1">
      <alignment vertical="center" wrapText="1"/>
    </xf>
    <xf numFmtId="0" fontId="0" fillId="0" borderId="15" xfId="0" applyBorder="1" applyAlignment="1">
      <alignment vertical="center" wrapText="1"/>
    </xf>
    <xf numFmtId="0" fontId="0" fillId="0" borderId="15" xfId="0" applyBorder="1" applyAlignment="1" applyProtection="1">
      <alignment horizontal="center" vertical="center" wrapText="1"/>
      <protection locked="0"/>
    </xf>
    <xf numFmtId="0" fontId="27" fillId="2" borderId="2" xfId="0" applyFont="1" applyFill="1" applyBorder="1" applyAlignment="1">
      <alignment horizontal="left" vertical="center" wrapText="1"/>
    </xf>
    <xf numFmtId="0" fontId="27" fillId="2" borderId="15" xfId="0" applyFont="1" applyFill="1" applyBorder="1" applyAlignment="1">
      <alignment horizontal="center" vertical="center"/>
    </xf>
    <xf numFmtId="0" fontId="0" fillId="0" borderId="2" xfId="0" applyBorder="1" applyAlignment="1" applyProtection="1">
      <alignment horizontal="center" vertical="center"/>
      <protection locked="0"/>
    </xf>
    <xf numFmtId="0" fontId="37" fillId="0" borderId="8" xfId="0" applyFont="1" applyBorder="1" applyAlignment="1" applyProtection="1">
      <alignment vertical="center"/>
      <protection locked="0"/>
    </xf>
    <xf numFmtId="0" fontId="0" fillId="0" borderId="25" xfId="0" applyBorder="1" applyAlignment="1">
      <alignment vertical="center"/>
    </xf>
    <xf numFmtId="0" fontId="37" fillId="0" borderId="25" xfId="0" applyFont="1" applyBorder="1" applyAlignment="1" applyProtection="1">
      <alignment vertical="center" wrapText="1"/>
      <protection locked="0"/>
    </xf>
    <xf numFmtId="0" fontId="0" fillId="0" borderId="2" xfId="0" applyBorder="1" applyAlignment="1" applyProtection="1">
      <alignment horizontal="left" vertical="center" wrapText="1"/>
      <protection locked="0"/>
    </xf>
    <xf numFmtId="0" fontId="27" fillId="2" borderId="15" xfId="0" applyFont="1" applyFill="1" applyBorder="1" applyAlignment="1">
      <alignment horizontal="left" vertical="center" wrapText="1"/>
    </xf>
    <xf numFmtId="0" fontId="36" fillId="0" borderId="8" xfId="0" applyFont="1" applyBorder="1" applyAlignment="1" applyProtection="1">
      <alignment vertical="center" wrapText="1"/>
      <protection locked="0"/>
    </xf>
    <xf numFmtId="0" fontId="0" fillId="0" borderId="15" xfId="0" applyBorder="1" applyAlignment="1" applyProtection="1">
      <alignment horizontal="left" vertical="center" wrapText="1"/>
      <protection locked="0"/>
    </xf>
    <xf numFmtId="0" fontId="27" fillId="2" borderId="15" xfId="0" applyFont="1" applyFill="1" applyBorder="1" applyAlignment="1">
      <alignment vertical="center" wrapText="1"/>
    </xf>
    <xf numFmtId="0" fontId="27" fillId="0" borderId="15" xfId="0" applyFont="1" applyBorder="1" applyAlignment="1">
      <alignment vertical="center" wrapText="1"/>
    </xf>
    <xf numFmtId="0" fontId="37" fillId="0" borderId="15" xfId="0" applyFont="1" applyBorder="1" applyAlignment="1" applyProtection="1">
      <alignment vertical="center" wrapText="1"/>
      <protection locked="0"/>
    </xf>
    <xf numFmtId="0" fontId="0" fillId="0" borderId="17" xfId="0" applyBorder="1" applyAlignment="1" applyProtection="1">
      <alignment vertical="center"/>
      <protection locked="0"/>
    </xf>
    <xf numFmtId="0" fontId="31" fillId="0" borderId="17" xfId="0" applyFont="1" applyBorder="1" applyAlignment="1">
      <alignment horizontal="left" vertical="center"/>
    </xf>
    <xf numFmtId="0" fontId="32" fillId="0" borderId="15" xfId="0" applyFont="1" applyBorder="1" applyAlignment="1">
      <alignment horizontal="left" vertical="center" wrapText="1"/>
    </xf>
    <xf numFmtId="0" fontId="31" fillId="0" borderId="17" xfId="0" applyFont="1" applyBorder="1" applyAlignment="1" applyProtection="1">
      <alignment vertical="center"/>
      <protection locked="0"/>
    </xf>
    <xf numFmtId="0" fontId="0" fillId="0" borderId="15" xfId="0" applyBorder="1" applyAlignment="1" applyProtection="1">
      <alignment horizontal="center" vertical="center"/>
      <protection locked="0"/>
    </xf>
    <xf numFmtId="0" fontId="37" fillId="0" borderId="15" xfId="0" applyFont="1" applyBorder="1" applyAlignment="1" applyProtection="1">
      <alignment horizontal="center" vertical="center" wrapText="1"/>
      <protection locked="0"/>
    </xf>
    <xf numFmtId="0" fontId="36" fillId="0" borderId="8" xfId="0" applyFont="1" applyBorder="1" applyAlignment="1" applyProtection="1">
      <alignment vertical="center"/>
      <protection locked="0"/>
    </xf>
    <xf numFmtId="0" fontId="41" fillId="0" borderId="8" xfId="0" applyFont="1" applyBorder="1" applyAlignment="1">
      <alignment horizontal="left" vertical="center" indent="1"/>
    </xf>
    <xf numFmtId="0" fontId="42" fillId="4" borderId="9" xfId="0" applyFont="1" applyFill="1" applyBorder="1" applyAlignment="1">
      <alignment horizontal="center" vertical="center"/>
    </xf>
    <xf numFmtId="0" fontId="0" fillId="0" borderId="16" xfId="0" applyBorder="1" applyAlignment="1" applyProtection="1">
      <alignment vertical="center"/>
      <protection locked="0"/>
    </xf>
    <xf numFmtId="0" fontId="0" fillId="0" borderId="16" xfId="0" applyBorder="1" applyAlignment="1" applyProtection="1">
      <alignment vertical="center" wrapText="1"/>
      <protection locked="0"/>
    </xf>
    <xf numFmtId="0" fontId="0" fillId="0" borderId="16" xfId="0" applyBorder="1" applyAlignment="1" applyProtection="1">
      <alignment horizontal="center" vertical="center" wrapText="1"/>
      <protection locked="0"/>
    </xf>
    <xf numFmtId="0" fontId="40" fillId="0" borderId="16" xfId="0" applyFont="1" applyBorder="1" applyAlignment="1">
      <alignment vertical="center" wrapText="1"/>
    </xf>
    <xf numFmtId="0" fontId="40" fillId="0" borderId="8" xfId="0" applyFont="1" applyBorder="1" applyAlignment="1" applyProtection="1">
      <alignment vertical="center" wrapText="1"/>
      <protection locked="0"/>
    </xf>
    <xf numFmtId="0" fontId="40" fillId="0" borderId="16" xfId="0" applyFont="1" applyBorder="1" applyAlignment="1" applyProtection="1">
      <alignment vertical="center" wrapText="1"/>
      <protection locked="0"/>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horizontal="left" vertical="center"/>
    </xf>
    <xf numFmtId="0" fontId="1" fillId="0" borderId="8" xfId="0" applyFont="1" applyBorder="1" applyAlignment="1">
      <alignment vertical="center" wrapText="1"/>
    </xf>
    <xf numFmtId="0" fontId="1" fillId="0" borderId="2" xfId="0" applyFont="1" applyBorder="1" applyAlignment="1" applyProtection="1">
      <alignment vertical="center"/>
      <protection locked="0"/>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wrapText="1"/>
    </xf>
    <xf numFmtId="0" fontId="1" fillId="0" borderId="16" xfId="0" applyFont="1" applyBorder="1" applyAlignment="1">
      <alignment horizontal="center" vertical="center"/>
    </xf>
    <xf numFmtId="0" fontId="1" fillId="0" borderId="16" xfId="0" applyFont="1" applyBorder="1" applyAlignment="1">
      <alignment horizontal="left" vertical="center"/>
    </xf>
    <xf numFmtId="0" fontId="1" fillId="0" borderId="15" xfId="0" applyFont="1" applyBorder="1" applyAlignment="1">
      <alignment horizontal="center" vertical="center"/>
    </xf>
    <xf numFmtId="0" fontId="1" fillId="0" borderId="2" xfId="0" applyFont="1" applyBorder="1" applyAlignment="1">
      <alignment vertical="center" wrapText="1"/>
    </xf>
    <xf numFmtId="0" fontId="1" fillId="0" borderId="16" xfId="0" applyFont="1" applyBorder="1" applyAlignment="1">
      <alignment vertical="center"/>
    </xf>
    <xf numFmtId="0" fontId="1" fillId="0" borderId="16" xfId="0" applyFont="1" applyBorder="1" applyAlignment="1">
      <alignment vertical="center" wrapText="1"/>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pplyProtection="1">
      <alignment vertical="center" wrapText="1"/>
      <protection locked="0"/>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2" borderId="11" xfId="0" applyFont="1" applyFill="1" applyBorder="1" applyAlignment="1" applyProtection="1">
      <alignment horizontal="center" vertical="center" wrapText="1"/>
      <protection locked="0"/>
    </xf>
    <xf numFmtId="0" fontId="23" fillId="12" borderId="12"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protection locked="0"/>
    </xf>
    <xf numFmtId="0" fontId="23" fillId="12" borderId="18" xfId="0" applyFont="1" applyFill="1" applyBorder="1" applyAlignment="1" applyProtection="1">
      <alignment horizontal="center" vertical="center" wrapText="1" readingOrder="1"/>
      <protection locked="0"/>
    </xf>
    <xf numFmtId="0" fontId="23" fillId="12" borderId="10"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8" xfId="0" applyFont="1" applyFill="1" applyBorder="1" applyAlignment="1" applyProtection="1">
      <alignment horizontal="center" vertical="center" wrapText="1" readingOrder="1"/>
      <protection locked="0"/>
    </xf>
    <xf numFmtId="0" fontId="23" fillId="13" borderId="10" xfId="0" applyFont="1" applyFill="1" applyBorder="1" applyAlignment="1" applyProtection="1">
      <alignment horizontal="center" vertical="center" wrapText="1" readingOrder="1"/>
      <protection locked="0"/>
    </xf>
    <xf numFmtId="0" fontId="23" fillId="13" borderId="8" xfId="0" applyFont="1" applyFill="1" applyBorder="1" applyAlignment="1" applyProtection="1">
      <alignment horizontal="center" vertical="center" wrapText="1" readingOrder="1"/>
      <protection locked="0"/>
    </xf>
    <xf numFmtId="0" fontId="23" fillId="11" borderId="11" xfId="0" applyFont="1" applyFill="1" applyBorder="1" applyAlignment="1" applyProtection="1">
      <alignment horizontal="center" vertical="center" wrapText="1" readingOrder="1"/>
      <protection locked="0"/>
    </xf>
    <xf numFmtId="0" fontId="23" fillId="11" borderId="12" xfId="0" applyFont="1" applyFill="1" applyBorder="1" applyAlignment="1" applyProtection="1">
      <alignment horizontal="center" vertical="center" wrapText="1" readingOrder="1"/>
      <protection locked="0"/>
    </xf>
    <xf numFmtId="0" fontId="23" fillId="11" borderId="1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font>
        <color rgb="FF9C0006"/>
      </font>
      <fill>
        <patternFill patternType="solid">
          <bgColor theme="5" tint="0.79998168889431442"/>
        </patternFill>
      </fill>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98" totalsRowShown="0" headerRowDxfId="199" dataDxfId="198" tableBorderDxfId="197">
  <autoFilter ref="B7:AA98" xr:uid="{00000000-0009-0000-0100-000002000000}"/>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65" totalsRowShown="0" headerRowDxfId="166" dataDxfId="165" tableBorderDxfId="164">
  <autoFilter ref="B2:I65" xr:uid="{29146581-7632-4BE0-BD31-22FC02BAC62E}">
    <filterColumn colId="5">
      <filters>
        <filter val="tat91_tabelas_new"/>
      </filters>
    </filterColumn>
  </autoFilter>
  <sortState xmlns:xlrd2="http://schemas.microsoft.com/office/spreadsheetml/2017/richdata2" ref="B3:I63">
    <sortCondition ref="C2:C63"/>
  </sortState>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5" totalsRowShown="0" headerRowDxfId="155" dataDxfId="154" tableBorderDxfId="153">
  <autoFilter ref="B2:H35" xr:uid="{91AA21BB-937F-4224-B711-D3FA2E1F918E}"/>
  <sortState xmlns:xlrd2="http://schemas.microsoft.com/office/spreadsheetml/2017/richdata2" ref="B3:H29">
    <sortCondition ref="C2:C29"/>
  </sortState>
  <tableColumns count="7">
    <tableColumn id="1" xr3:uid="{79B341D1-695B-43AB-80D5-B77D68F92DF9}" name="NOME BD" dataDxfId="152" totalsRowDxfId="151"/>
    <tableColumn id="2" xr3:uid="{81772F1B-B49B-439B-956A-A5CE05A0EF19}" name="NOME FÍSICO TABELA" dataDxfId="150" totalsRowDxfId="149"/>
    <tableColumn id="5" xr3:uid="{27DA3368-F147-491F-A43A-269549972768}" name="NOME FÍSICO BD FONTE" dataDxfId="148" totalsRowDxfId="147"/>
    <tableColumn id="6" xr3:uid="{590F60E5-B793-4539-9DBC-D928E9E502E0}" name="NOME FÍSICO TABELA FONTE" dataDxfId="146" totalsRowDxfId="145"/>
    <tableColumn id="3" xr3:uid="{05BA70C4-D1D9-4F88-9D1E-A913AC1AF430}" name="REGRA DE ATAQUE" dataDxfId="144" totalsRowDxfId="143"/>
    <tableColumn id="4" xr3:uid="{4D3A6DC7-B137-4BF1-AC3C-691817FFCFC0}" name="DESCRIÇÃO ESTADOS CONSIDERADOS" dataDxfId="142" totalsRowDxfId="141"/>
    <tableColumn id="7" xr3:uid="{5A58B8CD-6C2B-430D-98F7-44377F43B2A9}" name="DESCRIÇÃO ESTADOS DESCONSIDERADOS" dataDxfId="140" totalsRowDxfId="13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8" dataDxfId="136" headerRowBorderDxfId="137" tableBorderDxfId="135" totalsRowBorderDxfId="134">
  <autoFilter ref="B2:E23" xr:uid="{BC1F6D9A-6629-4CE9-AD10-429C86B3500F}"/>
  <tableColumns count="4">
    <tableColumn id="1" xr3:uid="{1E1A615F-20A9-443A-9B4B-20274B73797B}" name="ID" dataDxfId="133">
      <calculatedColumnFormula>ROW() - ROW([1]!Table2[[#Headers],[ID]])</calculatedColumnFormula>
    </tableColumn>
    <tableColumn id="2" xr3:uid="{00E831C5-F022-43BC-BF4E-3E76EEB3C9DC}" name="Case Test" dataDxfId="132"/>
    <tableColumn id="3" xr3:uid="{106B061F-B027-4EB0-ADE1-4E8D7E1A51CD}" name="Description" dataDxfId="131"/>
    <tableColumn id="4" xr3:uid="{110D634A-5BC1-4090-BE9C-C05A098D2B40}" name="Observation" dataDxfId="13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9" dataDxfId="128">
  <autoFilter ref="B2:X21" xr:uid="{693458F0-B11B-4E86-8F73-BD478A9300A8}"/>
  <tableColumns count="23">
    <tableColumn id="1" xr3:uid="{E3057925-37E7-4D14-8C32-F3AF66026AAF}" name="case_test" dataDxfId="127"/>
    <tableColumn id="2" xr3:uid="{0EF3BCD5-4BB7-4EA0-A031-D7C3FE5D7036}" name="test_id" dataDxfId="126"/>
    <tableColumn id="3" xr3:uid="{7A977EF5-97D6-4A59-A2A9-8F1D60FFE492}" name="test_timestamp" dataDxfId="125"/>
    <tableColumn id="4" xr3:uid="{BA1FE8AD-D9C1-44D7-8A97-8B52C7339AD7}" name="query_driver_data_date_part" dataDxfId="124"/>
    <tableColumn id="5" xr3:uid="{DE9E30ED-ABB0-4C56-9D43-092C6642CDAF}" name="test_number" dataDxfId="123"/>
    <tableColumn id="6" xr3:uid="{0C4CACC0-9D07-4808-B067-85DBB3A5F331}" name="score" dataDxfId="122"/>
    <tableColumn id="7" xr3:uid="{9A9C3945-9569-4AC5-A481-1604743F6623}" name="general_result" dataDxfId="121"/>
    <tableColumn id="8" xr3:uid="{8D20F1AE-C01F-4FA8-A8EA-0BDFDDADC63D}" name="internal_reference_id" dataDxfId="120"/>
    <tableColumn id="9" xr3:uid="{371412C8-EC1A-4E85-A76E-B2851A4FBA67}" name="transfer_create_date" dataDxfId="119"/>
    <tableColumn id="10" xr3:uid="{198CFFAB-1CD2-4CD2-B00C-FC82C3593618}" name="transfer_direction_code" dataDxfId="118"/>
    <tableColumn id="11" xr3:uid="{6A22F231-0B53-48DB-8563-AAB7E7305153}" name="sender_iban" dataDxfId="117"/>
    <tableColumn id="12" xr3:uid="{8CB38E5E-670B-4030-9D83-7CEE8CA7E08B}" name="sender_swift" dataDxfId="116"/>
    <tableColumn id="13" xr3:uid="{F859AA63-5416-45DA-9CA2-32221F5B3468}" name="sender_name" dataDxfId="115"/>
    <tableColumn id="14" xr3:uid="{14810339-ED76-4630-94FB-C34584EC3753}" name="receiver_iban" dataDxfId="114"/>
    <tableColumn id="15" xr3:uid="{802D0592-42D5-4FCC-818E-37C2CFEABE2A}" name="receiver_swift" dataDxfId="113"/>
    <tableColumn id="16" xr3:uid="{2DFD6BEC-F943-4821-8FE9-1ABA52257C73}" name="receiver_name" dataDxfId="112"/>
    <tableColumn id="17" xr3:uid="{D55562F5-CA7E-4A24-9895-D254F43BA621}" name="currency_code" dataDxfId="111"/>
    <tableColumn id="18" xr3:uid="{2113BE7B-37D2-46B4-AEDE-2DCE0CEF225B}" name="amount" dataDxfId="110"/>
    <tableColumn id="19" xr3:uid="{47A1EF94-A640-40BE-8C56-75C6BAE3F5F3}" name="transaction_date" dataDxfId="109"/>
    <tableColumn id="20" xr3:uid="{E057C4F9-64FD-4AB8-A4C5-06AB941E7BCE}" name="transaction_execution_date" dataDxfId="108"/>
    <tableColumn id="21" xr3:uid="{EEA79B63-48C3-4732-BB8F-FF136A0FDE46}" name="source_code" dataDxfId="107"/>
    <tableColumn id="22" xr3:uid="{2308495D-691F-406D-88C3-DAF758222CD3}" name="data_date_part" dataDxfId="106"/>
    <tableColumn id="23" xr3:uid="{22F18E8D-1F03-4C59-9A64-E79B93C618BF}" name="data_timestamp_part" dataDxfId="105"/>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4" headerRowBorderDxfId="103"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1"/>
    <tableColumn id="2" xr3:uid="{2CEFAD98-C894-4A65-A9CF-8651451D59D3}" name="Field" dataDxfId="100"/>
    <tableColumn id="3" xr3:uid="{B78B18AC-A129-46A4-88FB-AE37703AA542}" name="Justification" dataDxfId="99"/>
    <tableColumn id="4" xr3:uid="{B6496A45-0653-41BE-BF21-CCA34235F393}" name="Number of Occurences" dataDxfId="98"/>
    <tableColumn id="5" xr3:uid="{9D3F1C14-D218-4079-B994-CAB7CFE1A8C1}" name="Justification State" dataDxfId="97"/>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6" dataDxfId="95">
  <autoFilter ref="B2:S21" xr:uid="{693458F0-B11B-4E86-8F73-BD478A9300A8}"/>
  <tableColumns count="18">
    <tableColumn id="1" xr3:uid="{C170A8E5-1EF7-45B9-AE8E-AF649A5BED39}" name="case_test" dataDxfId="94"/>
    <tableColumn id="2" xr3:uid="{9342BEC7-170F-4192-99AA-350C849C9492}" name="test_id" dataDxfId="93"/>
    <tableColumn id="3" xr3:uid="{84DE91A2-A8D1-43DD-B16E-73F29BE430DA}" name="test_timestamp" dataDxfId="92"/>
    <tableColumn id="4" xr3:uid="{3F9DCA53-B851-4B37-9227-134738B93FBF}" name="query_driver_data_date_part" dataDxfId="91"/>
    <tableColumn id="5" xr3:uid="{7F04A934-998E-4159-8220-1101FDCFBD4B}" name="test_number" dataDxfId="90"/>
    <tableColumn id="6" xr3:uid="{2CC364EB-4A4A-46AC-865B-2E48C322880C}" name="score" dataDxfId="89"/>
    <tableColumn id="7" xr3:uid="{98D723FF-32B7-4C57-9EB7-A986E8FF2DCB}" name="general_result" dataDxfId="88"/>
    <tableColumn id="8" xr3:uid="{B6251DF0-C4DD-4F13-98D8-47F113C5C0F7}" name="internal_reference_id" dataDxfId="87"/>
    <tableColumn id="9" xr3:uid="{B3BB5C0B-7034-48F9-917B-147457A47402}" name="transaction_execution_date" dataDxfId="86"/>
    <tableColumn id="10" xr3:uid="{96DBAE42-9C84-44AE-A44C-CAC7FEDB0550}" name="transfer_direction_code" dataDxfId="85"/>
    <tableColumn id="11" xr3:uid="{F8AC7BB0-458C-4BD4-9B6F-43D0066A2B73}" name="sender_nib " dataDxfId="84"/>
    <tableColumn id="12" xr3:uid="{00DFE9AE-0920-4DD6-BF70-6EA7446C686B}" name="receiver_nib " dataDxfId="83"/>
    <tableColumn id="13" xr3:uid="{D42AEAE2-3252-42C4-B1D2-31962BE1B4F8}" name="currency_code" dataDxfId="82"/>
    <tableColumn id="14" xr3:uid="{454D8EC7-2BFC-4E8B-B25B-D63F4F2D40CE}" name="amount" dataDxfId="81"/>
    <tableColumn id="15" xr3:uid="{7C100AD3-D81D-486B-9F41-072826D72A66}" name="transaction_date" dataDxfId="80"/>
    <tableColumn id="16" xr3:uid="{2422F270-5A7A-448C-ABE8-1FBAB858A256}" name="source_code" dataDxfId="79"/>
    <tableColumn id="17" xr3:uid="{6D4F5183-8458-4F6B-856A-93C12BB67ED5}" name="data_date_part" dataDxfId="78"/>
    <tableColumn id="18" xr3:uid="{F778A36B-1561-4D89-8F33-A433CF675E3A}" name="data_timestamp_part" dataDxfId="77"/>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6" headerRowBorderDxfId="75"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3"/>
    <tableColumn id="2" xr3:uid="{77B28156-34E1-44C9-88DC-1D6ED7EA1556}" name="Field" dataDxfId="72"/>
    <tableColumn id="3" xr3:uid="{E2F09A1A-24F3-4F16-9ACC-3D1CB1BD169E}" name="Justification" dataDxfId="71"/>
    <tableColumn id="4" xr3:uid="{2514F2C8-EE75-4A46-96F4-4C32C937D4A7}" name="Number of Occurences" dataDxfId="70"/>
    <tableColumn id="5" xr3:uid="{BA614DCF-7B4A-40CA-BE62-B838053D8538}" name="Justification State" dataDxfId="69"/>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8" dataDxfId="67">
  <autoFilter ref="B2:Z21" xr:uid="{693458F0-B11B-4E86-8F73-BD478A9300A8}"/>
  <tableColumns count="25">
    <tableColumn id="1" xr3:uid="{237DA05A-6B9E-41DB-9F60-C5BBC829387A}" name="case_test" dataDxfId="66"/>
    <tableColumn id="2" xr3:uid="{BE0ADB53-FFB7-4008-8BF7-62B681C3C730}" name="test_id" dataDxfId="65"/>
    <tableColumn id="3" xr3:uid="{5FFAC20F-FF38-4415-9B79-45EF36B66F95}" name="test_timestamp" dataDxfId="64"/>
    <tableColumn id="4" xr3:uid="{9E75CB67-3323-4074-95E5-1046B9E990BA}" name="query_driver_data_date_part" dataDxfId="63"/>
    <tableColumn id="5" xr3:uid="{C54AFD5E-615A-41C6-8E36-6692E51D9EDB}" name="test_number" dataDxfId="62"/>
    <tableColumn id="6" xr3:uid="{3A4B0252-E703-4E23-9918-911072F65F54}" name="score" dataDxfId="61"/>
    <tableColumn id="7" xr3:uid="{7278D7E6-F102-4D0F-826B-A7BA3FF4F8A0}" name="general_result" dataDxfId="60"/>
    <tableColumn id="8" xr3:uid="{8E9550B2-8CBD-4C64-9446-E1B810AAEF30}" name="service_type_code" dataDxfId="59"/>
    <tableColumn id="9" xr3:uid="{0C06DC98-983E-4C5C-8E5A-975E942C63BE}" name="batch_id" dataDxfId="58"/>
    <tableColumn id="10" xr3:uid="{DE9FCD70-A056-4193-84DB-DFF400162B14}" name="reference_id" dataDxfId="57"/>
    <tableColumn id="11" xr3:uid="{CC69D8E9-F9FB-4415-9A24-7223DCC49822}" name="authorization_number" dataDxfId="56"/>
    <tableColumn id="12" xr3:uid="{00F0BABA-D093-44BF-86FC-68CB20FEEB0D}" name="transfer_direction_code" dataDxfId="55"/>
    <tableColumn id="13" xr3:uid="{0C57CDD0-DEDA-4853-8D1A-215E68AD3416}" name="sender_iban" dataDxfId="54"/>
    <tableColumn id="14" xr3:uid="{8C5BA250-B74C-4643-8C5F-5E779B940124}" name="sender_swift" dataDxfId="53"/>
    <tableColumn id="15" xr3:uid="{4078018A-0B5B-4398-BC7A-20F0E17DA091}" name="sender_name" dataDxfId="52"/>
    <tableColumn id="16" xr3:uid="{2330B3DD-4057-4CA4-88B2-22DDC569F4EF}" name="receiver_iban" dataDxfId="51"/>
    <tableColumn id="17" xr3:uid="{5CBB685E-4029-44D7-9C27-9B8C01B19CE0}" name="receiver_swift" dataDxfId="50"/>
    <tableColumn id="18" xr3:uid="{F52EEE24-6301-4C23-B350-4C3759B5C88A}" name="receiver_name" dataDxfId="49"/>
    <tableColumn id="19" xr3:uid="{28500196-30E4-4972-938B-A97F0EDE9B66}" name="currency_code" dataDxfId="48"/>
    <tableColumn id="20" xr3:uid="{5E6FB1A0-7FAD-4CEB-94F0-AE03688BD69E}" name="amount" dataDxfId="47"/>
    <tableColumn id="21" xr3:uid="{49D234CE-FF05-4C87-B9A8-78AF390E042E}" name="transaction_date" dataDxfId="46"/>
    <tableColumn id="22" xr3:uid="{542C84AE-3383-4BE5-8A8F-4AF97C6AD53B}" name="transaction_execution_date" dataDxfId="45"/>
    <tableColumn id="23" xr3:uid="{687E0946-8681-4CA7-9059-6E1306317F42}" name="source_code" dataDxfId="44"/>
    <tableColumn id="24" xr3:uid="{3134FD23-AAEE-4C28-A445-8135872F3523}" name="data_date_part" dataDxfId="43"/>
    <tableColumn id="25" xr3:uid="{AD9CF609-EDF5-411D-AA97-0436EAE87382}" name="data_timestamp_part" dataDxfId="42"/>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1" headerRowBorderDxfId="40"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8"/>
    <tableColumn id="2" xr3:uid="{7CFDD92A-52EF-4A92-96E2-D438B5300C1C}" name="Field" dataDxfId="37"/>
    <tableColumn id="3" xr3:uid="{AE212736-C0F3-41AE-940A-3ED31B646475}" name="Justification" dataDxfId="36"/>
    <tableColumn id="4" xr3:uid="{43224FCE-177A-4D2F-810A-B68BD860DAE7}" name="Number of Occurences" dataDxfId="35"/>
    <tableColumn id="5" xr3:uid="{9E8D894F-2BE6-4F8D-A0EB-CB1998AFCCE7}" name="Justification State" dataDxfId="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3" dataDxfId="32">
  <autoFilter ref="B2:X21" xr:uid="{693458F0-B11B-4E86-8F73-BD478A9300A8}"/>
  <tableColumns count="23">
    <tableColumn id="1" xr3:uid="{5435EBC7-E6A5-49FC-A80D-2EF1CE589E2B}" name="case_test" dataDxfId="31"/>
    <tableColumn id="2" xr3:uid="{4E9C3C74-0FB6-4F19-86F4-FD30FA2B6445}" name="test_id" dataDxfId="30"/>
    <tableColumn id="3" xr3:uid="{41A483DF-72DC-4D9F-8BB3-B86C6E3D5FE2}" name="test_timestamp" dataDxfId="29"/>
    <tableColumn id="4" xr3:uid="{1E374959-2FC1-4F8E-ABB0-78081FB70DDF}" name="query_driver_data_date_part" dataDxfId="28"/>
    <tableColumn id="5" xr3:uid="{CD386E4F-D567-40E1-9766-075C17AB804D}" name="test_number" dataDxfId="27"/>
    <tableColumn id="6" xr3:uid="{DCC9C957-9859-4CCF-B5D2-D7E3D656FF01}" name="score" dataDxfId="26"/>
    <tableColumn id="7" xr3:uid="{0AA1A2F5-33C5-4D6E-AF61-2E3856DAAF6D}" name="general_result" dataDxfId="25"/>
    <tableColumn id="8" xr3:uid="{B0EB25A4-5721-49A4-84FC-324CA92CE6E7}" name="message_id" dataDxfId="24"/>
    <tableColumn id="9" xr3:uid="{0A8B77E0-B25F-425B-AEA0-5CE728F3A4AB}" name="full_message" dataDxfId="23"/>
    <tableColumn id="10" xr3:uid="{B1D0218F-C482-4F1F-A956-E6256D4F8E06}" name="message_date" dataDxfId="22"/>
    <tableColumn id="11" xr3:uid="{96E3F3CA-BC2B-4FF3-AD6D-EA718FDF6D07}" name="transaction_id" dataDxfId="21"/>
    <tableColumn id="12" xr3:uid="{8425BCA6-8BCC-42B2-B80A-CD39D3AEE9DB}" name="sender_reference" dataDxfId="20"/>
    <tableColumn id="13" xr3:uid="{7302BB38-78D1-46CA-B873-B5EE0FA61168}" name="receiver_reference" dataDxfId="19"/>
    <tableColumn id="14" xr3:uid="{AFF84EEE-C3D6-4A2B-BFE0-E3E43EE748FA}" name="intermediate_sender_bank" dataDxfId="18"/>
    <tableColumn id="15" xr3:uid="{77E73A01-CD8A-414F-9AB9-E32BE706F88C}" name="intermediate_receiver_bank" dataDxfId="17"/>
    <tableColumn id="16" xr3:uid="{FF51DADA-0A9B-4FA0-A70F-7EEB4F27A1B6}" name="global_reference" dataDxfId="16"/>
    <tableColumn id="17" xr3:uid="{662F91D1-92E3-423D-A820-553814C90113}" name="beneficiary_bank" dataDxfId="15"/>
    <tableColumn id="18" xr3:uid="{98F8D5EB-54C4-4174-A961-CB21F9219D26}" name="originator_bank" dataDxfId="14"/>
    <tableColumn id="19" xr3:uid="{DCD156F2-A3A0-4820-B078-49C1BD8844E3}" name="schema" dataDxfId="13"/>
    <tableColumn id="20" xr3:uid="{3A607FD6-5967-47F8-B761-9C8622340F28}" name="format" dataDxfId="12"/>
    <tableColumn id="21" xr3:uid="{5872DD06-0A4A-43E0-945B-94A9B1A054E0}" name="format_type" dataDxfId="11"/>
    <tableColumn id="22" xr3:uid="{605C84E2-F284-4318-A814-674461EE47E9}" name="data_date_part" dataDxfId="10"/>
    <tableColumn id="23" xr3:uid="{8E3C2D39-4B9E-4C37-8455-153C8D975A2B}" name="data_timestamp_part" dataDxfId="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8" headerRowBorderDxfId="7"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5"/>
    <tableColumn id="2" xr3:uid="{99F0DEAA-3422-42B6-A417-E336AFC5E70F}" name="Field" dataDxfId="4"/>
    <tableColumn id="3" xr3:uid="{267C13BC-9042-4EDC-8DAC-DCACF0E47F97}" name="Justification" dataDxfId="3"/>
    <tableColumn id="4" xr3:uid="{1A89019B-6950-4E62-9F87-4496B134A68D}" name="Number of Occurences" dataDxfId="2"/>
    <tableColumn id="5" xr3:uid="{31C8BCC9-E224-4006-B1A7-44FFD6867685}"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5"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6"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B10" sqref="B10"/>
    </sheetView>
  </sheetViews>
  <sheetFormatPr defaultColWidth="0" defaultRowHeight="14.5" x14ac:dyDescent="0.35"/>
  <cols>
    <col min="1" max="1" width="8.81640625" style="4" customWidth="1"/>
    <col min="2" max="2" width="36.7265625" bestFit="1" customWidth="1"/>
    <col min="3" max="3" width="40.7265625" bestFit="1" customWidth="1"/>
    <col min="4" max="4" width="91.7265625" customWidth="1"/>
    <col min="5" max="5" width="8.81640625" style="4" customWidth="1"/>
    <col min="6" max="16384" width="8.81640625" hidden="1"/>
  </cols>
  <sheetData>
    <row r="1" spans="1:5" x14ac:dyDescent="0.35">
      <c r="A1" s="20"/>
      <c r="B1" s="20"/>
      <c r="C1" s="20"/>
      <c r="D1" s="20"/>
      <c r="E1" s="20"/>
    </row>
    <row r="2" spans="1:5" x14ac:dyDescent="0.35">
      <c r="A2" s="20"/>
      <c r="B2" s="20"/>
      <c r="C2" s="20"/>
      <c r="D2" s="20"/>
      <c r="E2" s="20"/>
    </row>
    <row r="3" spans="1:5" ht="15" thickBot="1" x14ac:dyDescent="0.4">
      <c r="A3" s="22"/>
      <c r="B3" s="22"/>
      <c r="C3" s="22"/>
      <c r="D3" s="22"/>
      <c r="E3" s="22"/>
    </row>
    <row r="4" spans="1:5" x14ac:dyDescent="0.35">
      <c r="A4" s="21"/>
      <c r="B4" s="21"/>
      <c r="C4" s="21"/>
      <c r="D4" s="21"/>
      <c r="E4" s="21"/>
    </row>
    <row r="5" spans="1:5" x14ac:dyDescent="0.35">
      <c r="A5" s="21"/>
      <c r="B5" s="215" t="s">
        <v>1</v>
      </c>
      <c r="C5" s="215" t="s">
        <v>2</v>
      </c>
      <c r="D5" s="70" t="s">
        <v>3</v>
      </c>
      <c r="E5" s="21"/>
    </row>
    <row r="6" spans="1:5" x14ac:dyDescent="0.35">
      <c r="A6" s="21"/>
      <c r="B6" s="214" t="s">
        <v>4</v>
      </c>
      <c r="C6" s="214" t="s">
        <v>5</v>
      </c>
      <c r="D6" s="69" t="s">
        <v>6</v>
      </c>
      <c r="E6" s="21"/>
    </row>
    <row r="7" spans="1:5" x14ac:dyDescent="0.35">
      <c r="A7" s="21"/>
      <c r="B7" s="214" t="s">
        <v>7</v>
      </c>
      <c r="C7" s="214" t="s">
        <v>8</v>
      </c>
      <c r="D7" s="69" t="s">
        <v>9</v>
      </c>
      <c r="E7" s="21"/>
    </row>
    <row r="8" spans="1:5" x14ac:dyDescent="0.35">
      <c r="B8" s="214" t="s">
        <v>10</v>
      </c>
      <c r="C8" s="214" t="s">
        <v>11</v>
      </c>
      <c r="D8" s="69" t="s">
        <v>12</v>
      </c>
    </row>
    <row r="9" spans="1:5" x14ac:dyDescent="0.35">
      <c r="B9" s="214" t="s">
        <v>13</v>
      </c>
      <c r="C9" s="214" t="s">
        <v>14</v>
      </c>
      <c r="D9" s="69" t="s">
        <v>15</v>
      </c>
    </row>
    <row r="10" spans="1:5" x14ac:dyDescent="0.35">
      <c r="B10" s="214" t="s">
        <v>13</v>
      </c>
      <c r="C10" s="214" t="s">
        <v>16</v>
      </c>
      <c r="D10" s="69" t="s">
        <v>17</v>
      </c>
    </row>
    <row r="11" spans="1:5" s="4" customFormat="1" x14ac:dyDescent="0.35">
      <c r="B11" s="214" t="s">
        <v>18</v>
      </c>
      <c r="C11" s="214" t="s">
        <v>19</v>
      </c>
      <c r="D11" s="69"/>
    </row>
    <row r="12" spans="1:5" s="4" customFormat="1" x14ac:dyDescent="0.35">
      <c r="B12" s="66"/>
      <c r="C12" s="66"/>
      <c r="D12" s="69"/>
    </row>
    <row r="13" spans="1:5" s="4" customFormat="1" x14ac:dyDescent="0.35">
      <c r="B13" s="66"/>
      <c r="C13" s="66"/>
      <c r="D13" s="69"/>
    </row>
    <row r="14" spans="1:5" s="4" customFormat="1" x14ac:dyDescent="0.35">
      <c r="B14" s="66"/>
      <c r="C14" s="66"/>
      <c r="D14" s="69"/>
    </row>
    <row r="15" spans="1:5" s="4" customFormat="1" x14ac:dyDescent="0.35">
      <c r="B15" s="66"/>
      <c r="C15" s="66"/>
      <c r="D15" s="69"/>
    </row>
    <row r="16" spans="1:5" s="4" customFormat="1" x14ac:dyDescent="0.35">
      <c r="B16" s="66"/>
      <c r="C16" s="66"/>
      <c r="D16" s="69"/>
    </row>
    <row r="17" spans="2:4" s="4" customFormat="1" x14ac:dyDescent="0.35">
      <c r="B17" s="66"/>
      <c r="C17" s="66"/>
      <c r="D17" s="69"/>
    </row>
    <row r="18" spans="2:4" s="4" customFormat="1" x14ac:dyDescent="0.35">
      <c r="B18" s="66"/>
      <c r="C18" s="66"/>
      <c r="D18" s="69"/>
    </row>
    <row r="19" spans="2:4" s="4" customFormat="1" x14ac:dyDescent="0.35">
      <c r="B19" s="66"/>
      <c r="C19" s="66"/>
      <c r="D19" s="69"/>
    </row>
    <row r="20" spans="2:4" s="4" customFormat="1" x14ac:dyDescent="0.35">
      <c r="B20" s="66"/>
      <c r="C20" s="66"/>
      <c r="D20" s="69"/>
    </row>
    <row r="21" spans="2:4" s="4" customFormat="1" x14ac:dyDescent="0.35">
      <c r="B21" s="66"/>
      <c r="C21" s="66"/>
      <c r="D21" s="69"/>
    </row>
    <row r="22" spans="2:4" s="4" customFormat="1" x14ac:dyDescent="0.35">
      <c r="B22" s="66"/>
      <c r="C22" s="66"/>
      <c r="D22" s="69"/>
    </row>
    <row r="23" spans="2:4" s="4" customFormat="1" x14ac:dyDescent="0.35">
      <c r="B23" s="66"/>
      <c r="C23" s="66"/>
      <c r="D23" s="69"/>
    </row>
    <row r="24" spans="2:4" s="4" customFormat="1" x14ac:dyDescent="0.35">
      <c r="B24" s="66"/>
      <c r="C24" s="66"/>
      <c r="D24" s="69"/>
    </row>
    <row r="25" spans="2:4" s="4" customFormat="1" x14ac:dyDescent="0.35">
      <c r="B25" s="66"/>
      <c r="C25" s="66"/>
      <c r="D25" s="69"/>
    </row>
    <row r="26" spans="2:4" s="4" customFormat="1" x14ac:dyDescent="0.35">
      <c r="B26" s="66"/>
      <c r="C26" s="66"/>
      <c r="D26" s="69"/>
    </row>
    <row r="27" spans="2:4" s="4" customFormat="1" x14ac:dyDescent="0.35">
      <c r="B27" s="66"/>
      <c r="C27" s="66"/>
      <c r="D27" s="69"/>
    </row>
    <row r="28" spans="2:4" s="4" customFormat="1" x14ac:dyDescent="0.35">
      <c r="B28" s="66"/>
      <c r="C28" s="66"/>
      <c r="D28" s="69"/>
    </row>
    <row r="29" spans="2:4" s="4" customFormat="1" x14ac:dyDescent="0.35">
      <c r="B29" s="66"/>
      <c r="C29" s="66"/>
      <c r="D29" s="69"/>
    </row>
    <row r="30" spans="2:4" s="4" customFormat="1" x14ac:dyDescent="0.35">
      <c r="B30" s="66"/>
      <c r="C30" s="66"/>
      <c r="D30" s="69"/>
    </row>
    <row r="31" spans="2:4" s="4" customFormat="1" x14ac:dyDescent="0.35">
      <c r="B31" s="66"/>
      <c r="C31" s="66"/>
      <c r="D31" s="69"/>
    </row>
    <row r="32" spans="2:4" s="4" customFormat="1" x14ac:dyDescent="0.35">
      <c r="B32" s="66"/>
      <c r="C32" s="66"/>
      <c r="D32" s="69"/>
    </row>
    <row r="33" spans="2:4" s="4" customFormat="1" x14ac:dyDescent="0.35">
      <c r="B33" s="66"/>
      <c r="C33" s="66"/>
      <c r="D33" s="69"/>
    </row>
    <row r="34" spans="2:4" s="4" customFormat="1" x14ac:dyDescent="0.35">
      <c r="B34" s="66"/>
      <c r="C34" s="66"/>
      <c r="D34" s="69"/>
    </row>
    <row r="35" spans="2:4" s="4" customFormat="1" x14ac:dyDescent="0.35">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20</v>
      </c>
      <c r="E1" s="23"/>
      <c r="F1" s="23"/>
      <c r="G1" s="23"/>
      <c r="H1" s="23" t="s">
        <v>21</v>
      </c>
      <c r="I1" s="34"/>
      <c r="J1" s="23"/>
      <c r="K1" s="23"/>
      <c r="L1" s="23"/>
      <c r="M1" s="23"/>
      <c r="N1" s="23" t="s">
        <v>22</v>
      </c>
      <c r="O1" s="23"/>
      <c r="P1" s="23"/>
      <c r="Q1" s="23"/>
    </row>
    <row r="2" spans="2:17" x14ac:dyDescent="0.35">
      <c r="B2" s="23" t="s">
        <v>23</v>
      </c>
      <c r="C2" s="23" t="s">
        <v>24</v>
      </c>
      <c r="D2" s="23" t="s">
        <v>25</v>
      </c>
      <c r="E2" s="23">
        <v>1</v>
      </c>
      <c r="F2" s="23">
        <v>500</v>
      </c>
      <c r="G2" s="23">
        <v>500</v>
      </c>
      <c r="H2" s="23"/>
      <c r="I2" s="34"/>
      <c r="J2" s="23" t="s">
        <v>24</v>
      </c>
      <c r="K2" s="23">
        <v>1</v>
      </c>
      <c r="L2" s="23">
        <v>500</v>
      </c>
      <c r="M2" s="23">
        <v>500</v>
      </c>
      <c r="N2" s="23"/>
      <c r="O2" s="23"/>
      <c r="P2" s="23" t="s">
        <v>26</v>
      </c>
      <c r="Q2" s="23" t="s">
        <v>25</v>
      </c>
    </row>
    <row r="3" spans="2:17" x14ac:dyDescent="0.35">
      <c r="B3" s="23" t="s">
        <v>27</v>
      </c>
      <c r="C3" s="23" t="s">
        <v>24</v>
      </c>
      <c r="D3" s="23">
        <v>25</v>
      </c>
      <c r="E3" s="23">
        <v>25</v>
      </c>
      <c r="F3" s="23">
        <v>29</v>
      </c>
      <c r="G3" s="23">
        <v>5</v>
      </c>
      <c r="H3" s="23" t="s">
        <v>28</v>
      </c>
      <c r="I3" s="34"/>
      <c r="J3" s="23" t="s">
        <v>24</v>
      </c>
      <c r="K3" s="23">
        <v>224</v>
      </c>
      <c r="L3" s="23">
        <v>228</v>
      </c>
      <c r="M3" s="23">
        <v>5</v>
      </c>
      <c r="N3" s="23" t="s">
        <v>29</v>
      </c>
      <c r="O3" s="23"/>
      <c r="P3" s="23" t="s">
        <v>30</v>
      </c>
      <c r="Q3" s="23" t="s">
        <v>31</v>
      </c>
    </row>
    <row r="4" spans="2:17" x14ac:dyDescent="0.35">
      <c r="B4" s="23" t="s">
        <v>32</v>
      </c>
      <c r="C4" s="23" t="s">
        <v>24</v>
      </c>
      <c r="D4" s="23">
        <v>26</v>
      </c>
      <c r="E4" s="23">
        <v>69</v>
      </c>
      <c r="F4" s="23">
        <v>73</v>
      </c>
      <c r="G4" s="23">
        <v>5</v>
      </c>
      <c r="H4" s="23" t="s">
        <v>33</v>
      </c>
      <c r="I4" s="34"/>
      <c r="J4" s="23" t="s">
        <v>24</v>
      </c>
      <c r="K4" s="23">
        <v>241</v>
      </c>
      <c r="L4" s="23">
        <v>246</v>
      </c>
      <c r="M4" s="23">
        <v>6</v>
      </c>
      <c r="N4" s="23" t="s">
        <v>34</v>
      </c>
      <c r="O4" s="23"/>
      <c r="P4" s="23" t="s">
        <v>35</v>
      </c>
      <c r="Q4" s="23" t="s">
        <v>31</v>
      </c>
    </row>
    <row r="5" spans="2:17" x14ac:dyDescent="0.35">
      <c r="B5" s="23" t="s">
        <v>36</v>
      </c>
      <c r="C5" s="23" t="s">
        <v>24</v>
      </c>
      <c r="D5" s="23">
        <v>26</v>
      </c>
      <c r="E5" s="23">
        <v>74</v>
      </c>
      <c r="F5" s="23">
        <v>78</v>
      </c>
      <c r="G5" s="23">
        <v>5</v>
      </c>
      <c r="H5" s="23" t="s">
        <v>37</v>
      </c>
      <c r="I5" s="34"/>
      <c r="J5" s="23" t="s">
        <v>24</v>
      </c>
      <c r="K5" s="23">
        <v>241</v>
      </c>
      <c r="L5" s="23">
        <v>246</v>
      </c>
      <c r="M5" s="23">
        <v>6</v>
      </c>
      <c r="N5" s="23" t="s">
        <v>34</v>
      </c>
      <c r="O5" s="23"/>
      <c r="P5" s="23" t="s">
        <v>35</v>
      </c>
      <c r="Q5" s="23" t="s">
        <v>38</v>
      </c>
    </row>
    <row r="6" spans="2:17" x14ac:dyDescent="0.35">
      <c r="B6" s="23" t="s">
        <v>39</v>
      </c>
      <c r="C6" s="23" t="s">
        <v>24</v>
      </c>
      <c r="D6" s="23">
        <v>532</v>
      </c>
      <c r="E6" s="23">
        <v>79</v>
      </c>
      <c r="F6" s="23">
        <v>83</v>
      </c>
      <c r="G6" s="23">
        <v>5</v>
      </c>
      <c r="H6" s="23" t="s">
        <v>40</v>
      </c>
      <c r="I6" s="34"/>
      <c r="J6" s="23" t="s">
        <v>24</v>
      </c>
      <c r="K6" s="23">
        <v>247</v>
      </c>
      <c r="L6" s="23">
        <v>247</v>
      </c>
      <c r="M6" s="23">
        <v>1</v>
      </c>
      <c r="N6" s="23" t="s">
        <v>41</v>
      </c>
      <c r="O6" s="23" t="s">
        <v>42</v>
      </c>
      <c r="P6" s="23" t="s">
        <v>43</v>
      </c>
      <c r="Q6" s="23" t="s">
        <v>38</v>
      </c>
    </row>
    <row r="7" spans="2:17" x14ac:dyDescent="0.35">
      <c r="B7" s="23" t="s">
        <v>44</v>
      </c>
      <c r="C7" s="23" t="s">
        <v>24</v>
      </c>
      <c r="D7" s="23">
        <v>27</v>
      </c>
      <c r="E7" s="23">
        <v>85</v>
      </c>
      <c r="F7" s="23">
        <v>89</v>
      </c>
      <c r="G7" s="23">
        <v>5</v>
      </c>
      <c r="H7" s="23" t="s">
        <v>45</v>
      </c>
      <c r="I7" s="34"/>
      <c r="J7" s="23" t="s">
        <v>24</v>
      </c>
      <c r="K7" s="23">
        <v>248</v>
      </c>
      <c r="L7" s="23">
        <v>248</v>
      </c>
      <c r="M7" s="23">
        <v>1</v>
      </c>
      <c r="N7" s="23" t="s">
        <v>46</v>
      </c>
      <c r="O7" s="23"/>
      <c r="P7" s="23" t="s">
        <v>47</v>
      </c>
      <c r="Q7" s="23" t="s">
        <v>31</v>
      </c>
    </row>
    <row r="8" spans="2:17" x14ac:dyDescent="0.35">
      <c r="B8" s="23" t="s">
        <v>48</v>
      </c>
      <c r="C8" s="23" t="s">
        <v>24</v>
      </c>
      <c r="D8" s="23">
        <v>28</v>
      </c>
      <c r="E8" s="23">
        <v>90</v>
      </c>
      <c r="F8" s="23">
        <v>94</v>
      </c>
      <c r="G8" s="23">
        <v>5</v>
      </c>
      <c r="H8" s="23" t="s">
        <v>49</v>
      </c>
      <c r="I8" s="34"/>
      <c r="J8" s="23" t="s">
        <v>24</v>
      </c>
      <c r="K8" s="23">
        <v>249</v>
      </c>
      <c r="L8" s="23">
        <v>249</v>
      </c>
      <c r="M8" s="23">
        <v>1</v>
      </c>
      <c r="N8" s="23" t="s">
        <v>50</v>
      </c>
      <c r="O8" s="23"/>
      <c r="P8" s="23" t="s">
        <v>51</v>
      </c>
      <c r="Q8" s="23" t="s">
        <v>31</v>
      </c>
    </row>
    <row r="9" spans="2:17" x14ac:dyDescent="0.35">
      <c r="B9" s="23" t="s">
        <v>52</v>
      </c>
      <c r="C9" s="23" t="s">
        <v>24</v>
      </c>
      <c r="D9" s="23">
        <v>29</v>
      </c>
      <c r="E9" s="23">
        <v>95</v>
      </c>
      <c r="F9" s="23">
        <v>99</v>
      </c>
      <c r="G9" s="23">
        <v>5</v>
      </c>
      <c r="H9" s="23" t="s">
        <v>53</v>
      </c>
      <c r="I9" s="34"/>
      <c r="J9" s="23" t="s">
        <v>24</v>
      </c>
      <c r="K9" s="23">
        <v>250</v>
      </c>
      <c r="L9" s="23">
        <v>254</v>
      </c>
      <c r="M9" s="23">
        <v>5</v>
      </c>
      <c r="N9" s="23" t="s">
        <v>54</v>
      </c>
      <c r="O9" s="23"/>
      <c r="P9" s="23" t="s">
        <v>55</v>
      </c>
      <c r="Q9" s="23" t="s">
        <v>31</v>
      </c>
    </row>
    <row r="10" spans="2:17" x14ac:dyDescent="0.35">
      <c r="B10" s="23" t="s">
        <v>56</v>
      </c>
      <c r="C10" s="23" t="s">
        <v>24</v>
      </c>
      <c r="D10" s="23">
        <v>30</v>
      </c>
      <c r="E10" s="23">
        <v>152</v>
      </c>
      <c r="F10" s="23">
        <v>156</v>
      </c>
      <c r="G10" s="23">
        <v>5</v>
      </c>
      <c r="H10" s="23" t="s">
        <v>57</v>
      </c>
      <c r="I10" s="34"/>
      <c r="J10" s="23" t="s">
        <v>24</v>
      </c>
      <c r="K10" s="23">
        <v>255</v>
      </c>
      <c r="L10" s="23">
        <v>256</v>
      </c>
      <c r="M10" s="23">
        <v>2</v>
      </c>
      <c r="N10" s="23" t="s">
        <v>58</v>
      </c>
      <c r="O10" s="23" t="s">
        <v>59</v>
      </c>
      <c r="P10" s="23" t="s">
        <v>60</v>
      </c>
      <c r="Q10" s="23" t="s">
        <v>31</v>
      </c>
    </row>
    <row r="11" spans="2:17" x14ac:dyDescent="0.35">
      <c r="B11" s="26" t="s">
        <v>61</v>
      </c>
      <c r="C11" s="26" t="s">
        <v>62</v>
      </c>
      <c r="D11" s="26" t="s">
        <v>25</v>
      </c>
      <c r="E11" s="26">
        <v>1</v>
      </c>
      <c r="F11" s="26">
        <v>500</v>
      </c>
      <c r="G11" s="26">
        <v>500</v>
      </c>
      <c r="H11" s="26"/>
      <c r="I11" s="36"/>
      <c r="J11" s="26" t="s">
        <v>62</v>
      </c>
      <c r="K11" s="26">
        <v>1</v>
      </c>
      <c r="L11" s="26">
        <v>500</v>
      </c>
      <c r="M11" s="26">
        <v>500</v>
      </c>
      <c r="N11" s="26"/>
      <c r="O11" s="26"/>
      <c r="P11" s="26" t="s">
        <v>26</v>
      </c>
      <c r="Q11" s="26" t="s">
        <v>25</v>
      </c>
    </row>
    <row r="12" spans="2:17" x14ac:dyDescent="0.35">
      <c r="B12" s="26" t="s">
        <v>63</v>
      </c>
      <c r="C12" s="26" t="s">
        <v>62</v>
      </c>
      <c r="D12" s="26" t="s">
        <v>25</v>
      </c>
      <c r="E12" s="26">
        <v>501</v>
      </c>
      <c r="F12" s="26">
        <v>999</v>
      </c>
      <c r="G12" s="26">
        <v>500</v>
      </c>
      <c r="H12" s="26"/>
      <c r="I12" s="36"/>
      <c r="J12" s="26" t="s">
        <v>62</v>
      </c>
      <c r="K12" s="26">
        <v>501</v>
      </c>
      <c r="L12" s="26">
        <v>999</v>
      </c>
      <c r="M12" s="26">
        <v>500</v>
      </c>
      <c r="N12" s="26"/>
      <c r="O12" s="26"/>
      <c r="P12" s="26" t="s">
        <v>26</v>
      </c>
      <c r="Q12" s="26" t="s">
        <v>25</v>
      </c>
    </row>
    <row r="13" spans="2:17" x14ac:dyDescent="0.35">
      <c r="B13" s="26" t="s">
        <v>64</v>
      </c>
      <c r="C13" s="26" t="s">
        <v>62</v>
      </c>
      <c r="D13" s="26">
        <v>508</v>
      </c>
      <c r="E13" s="26">
        <v>39</v>
      </c>
      <c r="F13" s="26">
        <v>43</v>
      </c>
      <c r="G13" s="26">
        <v>5</v>
      </c>
      <c r="H13" s="26" t="s">
        <v>65</v>
      </c>
      <c r="I13" s="36"/>
      <c r="J13" s="26" t="s">
        <v>62</v>
      </c>
      <c r="K13" s="26">
        <v>474</v>
      </c>
      <c r="L13" s="26">
        <v>477</v>
      </c>
      <c r="M13" s="26">
        <v>4</v>
      </c>
      <c r="N13" s="26" t="s">
        <v>66</v>
      </c>
      <c r="O13" s="26"/>
      <c r="P13" s="26" t="s">
        <v>67</v>
      </c>
      <c r="Q13" s="26" t="s">
        <v>38</v>
      </c>
    </row>
    <row r="14" spans="2:17" x14ac:dyDescent="0.35">
      <c r="B14" s="26" t="s">
        <v>68</v>
      </c>
      <c r="C14" s="26" t="s">
        <v>62</v>
      </c>
      <c r="D14" s="26">
        <v>20</v>
      </c>
      <c r="E14" s="26">
        <v>86</v>
      </c>
      <c r="F14" s="26">
        <v>90</v>
      </c>
      <c r="G14" s="26">
        <v>5</v>
      </c>
      <c r="H14" s="26" t="s">
        <v>69</v>
      </c>
      <c r="I14" s="36"/>
      <c r="J14" s="26" t="s">
        <v>62</v>
      </c>
      <c r="K14" s="26">
        <v>478</v>
      </c>
      <c r="L14" s="26">
        <v>482</v>
      </c>
      <c r="M14" s="26">
        <v>5</v>
      </c>
      <c r="N14" s="26" t="s">
        <v>70</v>
      </c>
      <c r="O14" s="26"/>
      <c r="P14" s="26" t="s">
        <v>71</v>
      </c>
      <c r="Q14" s="26" t="s">
        <v>31</v>
      </c>
    </row>
    <row r="15" spans="2:17" x14ac:dyDescent="0.35">
      <c r="B15" s="26" t="s">
        <v>72</v>
      </c>
      <c r="C15" s="26" t="s">
        <v>62</v>
      </c>
      <c r="D15" s="26">
        <v>32</v>
      </c>
      <c r="E15" s="26">
        <v>91</v>
      </c>
      <c r="F15" s="26">
        <v>95</v>
      </c>
      <c r="G15" s="26">
        <v>5</v>
      </c>
      <c r="H15" s="26" t="s">
        <v>73</v>
      </c>
      <c r="I15" s="36"/>
      <c r="J15" s="26" t="s">
        <v>62</v>
      </c>
      <c r="K15" s="26">
        <v>483</v>
      </c>
      <c r="L15" s="26">
        <v>487</v>
      </c>
      <c r="M15" s="26">
        <v>5</v>
      </c>
      <c r="N15" s="26" t="s">
        <v>74</v>
      </c>
      <c r="O15" s="26"/>
      <c r="P15" s="26" t="s">
        <v>75</v>
      </c>
      <c r="Q15" s="26" t="s">
        <v>31</v>
      </c>
    </row>
    <row r="16" spans="2:17" x14ac:dyDescent="0.35">
      <c r="B16" s="26" t="s">
        <v>76</v>
      </c>
      <c r="C16" s="26" t="s">
        <v>62</v>
      </c>
      <c r="D16" s="26">
        <v>13</v>
      </c>
      <c r="E16" s="26">
        <v>96</v>
      </c>
      <c r="F16" s="26">
        <v>100</v>
      </c>
      <c r="G16" s="26">
        <v>5</v>
      </c>
      <c r="H16" s="26" t="s">
        <v>77</v>
      </c>
      <c r="I16" s="36"/>
      <c r="J16" s="26" t="s">
        <v>62</v>
      </c>
      <c r="K16" s="26">
        <v>488</v>
      </c>
      <c r="L16" s="26">
        <v>492</v>
      </c>
      <c r="M16" s="26">
        <v>5</v>
      </c>
      <c r="N16" s="26" t="s">
        <v>78</v>
      </c>
      <c r="O16" s="26"/>
      <c r="P16" s="26" t="s">
        <v>79</v>
      </c>
      <c r="Q16" s="26" t="s">
        <v>31</v>
      </c>
    </row>
    <row r="17" spans="2:17" x14ac:dyDescent="0.35">
      <c r="B17" s="26" t="s">
        <v>80</v>
      </c>
      <c r="C17" s="26" t="s">
        <v>62</v>
      </c>
      <c r="D17" s="26">
        <v>503</v>
      </c>
      <c r="E17" s="26">
        <v>119</v>
      </c>
      <c r="F17" s="26">
        <v>123</v>
      </c>
      <c r="G17" s="26">
        <v>5</v>
      </c>
      <c r="H17" s="26" t="s">
        <v>81</v>
      </c>
      <c r="I17" s="36"/>
      <c r="J17" s="26" t="s">
        <v>62</v>
      </c>
      <c r="K17" s="26">
        <v>493</v>
      </c>
      <c r="L17" s="26">
        <v>497</v>
      </c>
      <c r="M17" s="26">
        <v>5</v>
      </c>
      <c r="N17" s="26" t="s">
        <v>82</v>
      </c>
      <c r="O17" s="26"/>
      <c r="P17" s="26" t="s">
        <v>83</v>
      </c>
      <c r="Q17" s="26" t="s">
        <v>38</v>
      </c>
    </row>
    <row r="18" spans="2:17" x14ac:dyDescent="0.35">
      <c r="B18" s="26" t="s">
        <v>84</v>
      </c>
      <c r="C18" s="26" t="s">
        <v>62</v>
      </c>
      <c r="D18" s="26">
        <v>2</v>
      </c>
      <c r="E18" s="26">
        <v>124</v>
      </c>
      <c r="F18" s="26">
        <v>128</v>
      </c>
      <c r="G18" s="26">
        <v>5</v>
      </c>
      <c r="H18" s="26" t="s">
        <v>85</v>
      </c>
      <c r="I18" s="36"/>
      <c r="J18" s="26" t="s">
        <v>62</v>
      </c>
      <c r="K18" s="26">
        <v>498</v>
      </c>
      <c r="L18" s="26">
        <v>500</v>
      </c>
      <c r="M18" s="26">
        <v>3</v>
      </c>
      <c r="N18" s="26" t="s">
        <v>86</v>
      </c>
      <c r="O18" s="26"/>
      <c r="P18" s="26" t="s">
        <v>87</v>
      </c>
      <c r="Q18" s="26" t="s">
        <v>31</v>
      </c>
    </row>
    <row r="19" spans="2:17" x14ac:dyDescent="0.35">
      <c r="B19" s="26" t="s">
        <v>88</v>
      </c>
      <c r="C19" s="26" t="s">
        <v>62</v>
      </c>
      <c r="D19" s="26">
        <v>6</v>
      </c>
      <c r="E19" s="26">
        <v>146</v>
      </c>
      <c r="F19" s="26">
        <v>148</v>
      </c>
      <c r="G19" s="26">
        <v>3</v>
      </c>
      <c r="H19" s="26" t="s">
        <v>89</v>
      </c>
      <c r="I19" s="36"/>
      <c r="J19" s="26" t="s">
        <v>62</v>
      </c>
      <c r="K19" s="26">
        <v>501</v>
      </c>
      <c r="L19" s="26">
        <v>503</v>
      </c>
      <c r="M19" s="26">
        <v>3</v>
      </c>
      <c r="N19" s="26" t="s">
        <v>90</v>
      </c>
      <c r="O19" s="26"/>
      <c r="P19" s="26" t="s">
        <v>91</v>
      </c>
      <c r="Q19" s="26" t="s">
        <v>31</v>
      </c>
    </row>
    <row r="20" spans="2:17" x14ac:dyDescent="0.35">
      <c r="B20" s="26" t="s">
        <v>92</v>
      </c>
      <c r="C20" s="26" t="s">
        <v>62</v>
      </c>
      <c r="D20" s="26">
        <v>40</v>
      </c>
      <c r="E20" s="26">
        <v>199</v>
      </c>
      <c r="F20" s="26">
        <v>203</v>
      </c>
      <c r="G20" s="26">
        <v>5</v>
      </c>
      <c r="H20" s="26" t="s">
        <v>93</v>
      </c>
      <c r="I20" s="36"/>
      <c r="J20" s="26" t="s">
        <v>62</v>
      </c>
      <c r="K20" s="26">
        <v>504</v>
      </c>
      <c r="L20" s="26">
        <v>508</v>
      </c>
      <c r="M20" s="26">
        <v>5</v>
      </c>
      <c r="N20" s="26" t="s">
        <v>94</v>
      </c>
      <c r="O20" s="26"/>
      <c r="P20" s="26" t="s">
        <v>95</v>
      </c>
      <c r="Q20" s="26" t="s">
        <v>31</v>
      </c>
    </row>
    <row r="21" spans="2:17" x14ac:dyDescent="0.35">
      <c r="B21" s="26" t="s">
        <v>96</v>
      </c>
      <c r="C21" s="26" t="s">
        <v>62</v>
      </c>
      <c r="D21" s="26">
        <v>47</v>
      </c>
      <c r="E21" s="26">
        <v>253</v>
      </c>
      <c r="F21" s="26">
        <v>257</v>
      </c>
      <c r="G21" s="26">
        <v>5</v>
      </c>
      <c r="H21" s="26" t="s">
        <v>97</v>
      </c>
      <c r="I21" s="36"/>
      <c r="J21" s="26" t="s">
        <v>62</v>
      </c>
      <c r="K21" s="26">
        <v>509</v>
      </c>
      <c r="L21" s="26">
        <v>513</v>
      </c>
      <c r="M21" s="26">
        <v>5</v>
      </c>
      <c r="N21" s="26" t="s">
        <v>98</v>
      </c>
      <c r="O21" s="26"/>
      <c r="P21" s="26" t="s">
        <v>99</v>
      </c>
      <c r="Q21" s="26" t="s">
        <v>31</v>
      </c>
    </row>
    <row r="22" spans="2:17" x14ac:dyDescent="0.35">
      <c r="B22" s="26" t="s">
        <v>100</v>
      </c>
      <c r="C22" s="26" t="s">
        <v>62</v>
      </c>
      <c r="D22" s="26">
        <v>49</v>
      </c>
      <c r="E22" s="26">
        <v>258</v>
      </c>
      <c r="F22" s="26">
        <v>262</v>
      </c>
      <c r="G22" s="26">
        <v>5</v>
      </c>
      <c r="H22" s="26" t="s">
        <v>101</v>
      </c>
      <c r="I22" s="36"/>
      <c r="J22" s="26" t="s">
        <v>62</v>
      </c>
      <c r="K22" s="26">
        <v>514</v>
      </c>
      <c r="L22" s="26">
        <v>517</v>
      </c>
      <c r="M22" s="26">
        <v>4</v>
      </c>
      <c r="N22" s="26" t="s">
        <v>102</v>
      </c>
      <c r="O22" s="26"/>
      <c r="P22" s="26" t="s">
        <v>103</v>
      </c>
      <c r="Q22" s="26" t="s">
        <v>31</v>
      </c>
    </row>
    <row r="23" spans="2:17" x14ac:dyDescent="0.35">
      <c r="B23" s="26" t="s">
        <v>104</v>
      </c>
      <c r="C23" s="26" t="s">
        <v>62</v>
      </c>
      <c r="D23" s="26">
        <v>50</v>
      </c>
      <c r="E23" s="26">
        <v>280</v>
      </c>
      <c r="F23" s="26">
        <v>284</v>
      </c>
      <c r="G23" s="26">
        <v>5</v>
      </c>
      <c r="H23" s="26" t="s">
        <v>105</v>
      </c>
      <c r="I23" s="36"/>
      <c r="J23" s="26" t="s">
        <v>62</v>
      </c>
      <c r="K23" s="26">
        <v>518</v>
      </c>
      <c r="L23" s="26">
        <v>522</v>
      </c>
      <c r="M23" s="26">
        <v>5</v>
      </c>
      <c r="N23" s="26" t="s">
        <v>106</v>
      </c>
      <c r="O23" s="26"/>
      <c r="P23" s="26" t="s">
        <v>107</v>
      </c>
      <c r="Q23" s="26" t="s">
        <v>31</v>
      </c>
    </row>
    <row r="24" spans="2:17" x14ac:dyDescent="0.35">
      <c r="B24" s="26" t="s">
        <v>108</v>
      </c>
      <c r="C24" s="26" t="s">
        <v>62</v>
      </c>
      <c r="D24" s="26">
        <v>8</v>
      </c>
      <c r="E24" s="26">
        <v>285</v>
      </c>
      <c r="F24" s="26">
        <v>289</v>
      </c>
      <c r="G24" s="26">
        <v>5</v>
      </c>
      <c r="H24" s="26" t="s">
        <v>109</v>
      </c>
      <c r="I24" s="36"/>
      <c r="J24" s="26" t="s">
        <v>62</v>
      </c>
      <c r="K24" s="26">
        <v>523</v>
      </c>
      <c r="L24" s="26">
        <v>523</v>
      </c>
      <c r="M24" s="26">
        <v>1</v>
      </c>
      <c r="N24" s="26" t="s">
        <v>110</v>
      </c>
      <c r="O24" s="26"/>
      <c r="P24" s="26" t="s">
        <v>111</v>
      </c>
      <c r="Q24" s="26" t="s">
        <v>31</v>
      </c>
    </row>
    <row r="25" spans="2:17" x14ac:dyDescent="0.35">
      <c r="B25" s="26" t="s">
        <v>112</v>
      </c>
      <c r="C25" s="26" t="s">
        <v>62</v>
      </c>
      <c r="D25" s="26">
        <v>101</v>
      </c>
      <c r="E25" s="26">
        <v>589</v>
      </c>
      <c r="F25" s="26">
        <v>593</v>
      </c>
      <c r="G25" s="26">
        <v>5</v>
      </c>
      <c r="H25" s="26" t="s">
        <v>113</v>
      </c>
      <c r="I25" s="36"/>
      <c r="J25" s="26" t="s">
        <v>62</v>
      </c>
      <c r="K25" s="26">
        <v>594</v>
      </c>
      <c r="L25" s="26">
        <v>599</v>
      </c>
      <c r="M25" s="26">
        <v>6</v>
      </c>
      <c r="N25" s="26" t="s">
        <v>34</v>
      </c>
      <c r="O25" s="26"/>
      <c r="P25" s="26" t="s">
        <v>114</v>
      </c>
      <c r="Q25" s="26" t="s">
        <v>31</v>
      </c>
    </row>
    <row r="26" spans="2:17" x14ac:dyDescent="0.35">
      <c r="B26" s="23" t="s">
        <v>115</v>
      </c>
      <c r="C26" s="23" t="s">
        <v>116</v>
      </c>
      <c r="D26" s="23" t="s">
        <v>25</v>
      </c>
      <c r="E26" s="23">
        <v>1</v>
      </c>
      <c r="F26" s="23">
        <v>500</v>
      </c>
      <c r="G26" s="23">
        <v>500</v>
      </c>
      <c r="H26" s="23"/>
      <c r="I26" s="34"/>
      <c r="J26" s="23" t="s">
        <v>116</v>
      </c>
      <c r="K26" s="23">
        <v>1</v>
      </c>
      <c r="L26" s="23">
        <v>500</v>
      </c>
      <c r="M26" s="23">
        <v>500</v>
      </c>
      <c r="N26" s="23"/>
      <c r="O26" s="23"/>
      <c r="P26" s="23" t="s">
        <v>26</v>
      </c>
      <c r="Q26" s="23" t="s">
        <v>25</v>
      </c>
    </row>
    <row r="27" spans="2:17" x14ac:dyDescent="0.35">
      <c r="B27" s="23" t="s">
        <v>117</v>
      </c>
      <c r="C27" s="23" t="s">
        <v>116</v>
      </c>
      <c r="D27" s="23">
        <v>26</v>
      </c>
      <c r="E27" s="23">
        <v>169</v>
      </c>
      <c r="F27" s="23">
        <v>173</v>
      </c>
      <c r="G27" s="23">
        <v>5</v>
      </c>
      <c r="H27" s="23" t="s">
        <v>33</v>
      </c>
      <c r="I27" s="34"/>
      <c r="J27" s="23" t="s">
        <v>116</v>
      </c>
      <c r="K27" s="23">
        <v>175</v>
      </c>
      <c r="L27" s="23">
        <v>180</v>
      </c>
      <c r="M27" s="23">
        <v>6</v>
      </c>
      <c r="N27" s="23" t="s">
        <v>34</v>
      </c>
      <c r="O27" s="23"/>
      <c r="P27" s="23" t="s">
        <v>35</v>
      </c>
      <c r="Q27" s="23" t="s">
        <v>31</v>
      </c>
    </row>
    <row r="28" spans="2:17" ht="43.5" x14ac:dyDescent="0.35">
      <c r="B28" s="23" t="s">
        <v>118</v>
      </c>
      <c r="C28" s="23" t="s">
        <v>116</v>
      </c>
      <c r="D28" s="23">
        <v>81</v>
      </c>
      <c r="E28" s="23">
        <v>147</v>
      </c>
      <c r="F28" s="23">
        <v>151</v>
      </c>
      <c r="G28" s="23">
        <v>5</v>
      </c>
      <c r="H28" s="23" t="s">
        <v>119</v>
      </c>
      <c r="I28" s="34"/>
      <c r="J28" s="23" t="s">
        <v>116</v>
      </c>
      <c r="K28" s="23">
        <v>169</v>
      </c>
      <c r="L28" s="23">
        <v>180</v>
      </c>
      <c r="M28" s="23">
        <v>12</v>
      </c>
      <c r="N28" s="34" t="s">
        <v>120</v>
      </c>
      <c r="O28" s="23"/>
      <c r="P28" s="23" t="s">
        <v>121</v>
      </c>
      <c r="Q28" s="23" t="s">
        <v>31</v>
      </c>
    </row>
    <row r="31" spans="2:17" x14ac:dyDescent="0.35">
      <c r="B31" s="23" t="s">
        <v>122</v>
      </c>
      <c r="C31" s="23" t="s">
        <v>123</v>
      </c>
      <c r="D31" s="23" t="s">
        <v>25</v>
      </c>
      <c r="E31" s="23">
        <v>1</v>
      </c>
      <c r="F31" s="23">
        <v>500</v>
      </c>
      <c r="G31" s="23">
        <v>500</v>
      </c>
      <c r="H31" s="23"/>
      <c r="I31" s="34"/>
      <c r="J31" s="23" t="s">
        <v>123</v>
      </c>
      <c r="K31" s="23">
        <v>1</v>
      </c>
      <c r="L31" s="23">
        <v>500</v>
      </c>
      <c r="M31" s="23">
        <v>500</v>
      </c>
      <c r="N31" s="23"/>
      <c r="O31" s="23"/>
      <c r="P31" s="23" t="s">
        <v>26</v>
      </c>
      <c r="Q31" s="23" t="s">
        <v>25</v>
      </c>
    </row>
    <row r="32" spans="2:17" x14ac:dyDescent="0.35">
      <c r="B32" s="23" t="s">
        <v>124</v>
      </c>
      <c r="C32" s="23" t="s">
        <v>123</v>
      </c>
      <c r="D32" s="23" t="s">
        <v>25</v>
      </c>
      <c r="E32" s="23">
        <v>501</v>
      </c>
      <c r="F32" s="23">
        <v>500</v>
      </c>
      <c r="G32" s="23">
        <v>500</v>
      </c>
      <c r="H32" s="23"/>
      <c r="I32" s="34"/>
      <c r="J32" s="23" t="s">
        <v>123</v>
      </c>
      <c r="K32" s="23">
        <v>501</v>
      </c>
      <c r="L32" s="23">
        <v>500</v>
      </c>
      <c r="M32" s="23">
        <v>500</v>
      </c>
      <c r="N32" s="23"/>
      <c r="O32" s="23"/>
      <c r="P32" s="23" t="s">
        <v>26</v>
      </c>
      <c r="Q32" s="23" t="s">
        <v>25</v>
      </c>
    </row>
    <row r="33" spans="2:17" x14ac:dyDescent="0.35">
      <c r="B33" s="23" t="s">
        <v>125</v>
      </c>
      <c r="C33" s="23" t="s">
        <v>123</v>
      </c>
      <c r="D33" s="23">
        <v>159</v>
      </c>
      <c r="E33" s="23">
        <v>25</v>
      </c>
      <c r="F33" s="23">
        <v>29</v>
      </c>
      <c r="G33" s="23">
        <v>5</v>
      </c>
      <c r="H33" s="23" t="s">
        <v>126</v>
      </c>
      <c r="I33" s="34"/>
      <c r="J33" s="23" t="s">
        <v>123</v>
      </c>
      <c r="K33" s="23">
        <v>501</v>
      </c>
      <c r="L33" s="23">
        <v>505</v>
      </c>
      <c r="M33" s="23">
        <v>5</v>
      </c>
      <c r="N33" s="23" t="s">
        <v>127</v>
      </c>
      <c r="O33" s="23"/>
      <c r="P33" s="23" t="s">
        <v>128</v>
      </c>
      <c r="Q33" s="23" t="s">
        <v>31</v>
      </c>
    </row>
    <row r="34" spans="2:17" x14ac:dyDescent="0.35">
      <c r="B34" s="23" t="s">
        <v>129</v>
      </c>
      <c r="C34" s="23" t="s">
        <v>123</v>
      </c>
      <c r="D34" s="23">
        <v>160</v>
      </c>
      <c r="E34" s="23">
        <v>220</v>
      </c>
      <c r="F34" s="23">
        <v>224</v>
      </c>
      <c r="G34" s="23">
        <v>5</v>
      </c>
      <c r="H34" s="23" t="s">
        <v>130</v>
      </c>
      <c r="I34" s="34"/>
      <c r="J34" s="23" t="s">
        <v>123</v>
      </c>
      <c r="K34" s="23">
        <v>506</v>
      </c>
      <c r="L34" s="23">
        <v>510</v>
      </c>
      <c r="M34" s="23">
        <v>5</v>
      </c>
      <c r="N34" s="23" t="s">
        <v>131</v>
      </c>
      <c r="O34" s="23"/>
      <c r="P34" s="23" t="s">
        <v>132</v>
      </c>
      <c r="Q34" s="23" t="s">
        <v>31</v>
      </c>
    </row>
    <row r="35" spans="2:17" x14ac:dyDescent="0.35">
      <c r="B35" s="23" t="s">
        <v>133</v>
      </c>
      <c r="C35" s="23" t="s">
        <v>123</v>
      </c>
      <c r="D35" s="23">
        <v>124</v>
      </c>
      <c r="E35" s="23">
        <v>327</v>
      </c>
      <c r="F35" s="23">
        <v>331</v>
      </c>
      <c r="G35" s="23">
        <v>5</v>
      </c>
      <c r="H35" s="23" t="s">
        <v>134</v>
      </c>
      <c r="I35" s="34"/>
      <c r="J35" s="23" t="s">
        <v>123</v>
      </c>
      <c r="K35" s="23">
        <v>511</v>
      </c>
      <c r="L35" s="23">
        <v>515</v>
      </c>
      <c r="M35" s="23">
        <v>5</v>
      </c>
      <c r="N35" s="23" t="s">
        <v>135</v>
      </c>
      <c r="O35" s="23"/>
      <c r="P35" s="23" t="s">
        <v>136</v>
      </c>
      <c r="Q35" s="23" t="s">
        <v>31</v>
      </c>
    </row>
    <row r="36" spans="2:17" x14ac:dyDescent="0.35">
      <c r="B36" s="23" t="s">
        <v>137</v>
      </c>
      <c r="C36" s="23" t="s">
        <v>138</v>
      </c>
      <c r="D36" s="23" t="s">
        <v>25</v>
      </c>
      <c r="E36" s="23">
        <v>1</v>
      </c>
      <c r="F36" s="23">
        <v>250</v>
      </c>
      <c r="G36" s="23">
        <v>250</v>
      </c>
      <c r="H36" s="23" t="s">
        <v>139</v>
      </c>
      <c r="I36" s="34"/>
      <c r="J36" s="23" t="s">
        <v>138</v>
      </c>
      <c r="K36" s="23">
        <v>1</v>
      </c>
      <c r="L36" s="23">
        <v>250</v>
      </c>
      <c r="M36" s="23">
        <v>250</v>
      </c>
      <c r="N36" s="23"/>
      <c r="O36" s="23"/>
      <c r="P36" s="23" t="s">
        <v>26</v>
      </c>
      <c r="Q36" s="23" t="s">
        <v>25</v>
      </c>
    </row>
    <row r="37" spans="2:17" x14ac:dyDescent="0.35">
      <c r="B37" s="23" t="s">
        <v>140</v>
      </c>
      <c r="C37" s="23" t="s">
        <v>138</v>
      </c>
      <c r="D37" s="23">
        <v>161</v>
      </c>
      <c r="E37" s="23">
        <v>35</v>
      </c>
      <c r="F37" s="23">
        <v>39</v>
      </c>
      <c r="G37" s="23">
        <v>5</v>
      </c>
      <c r="H37" s="23" t="s">
        <v>141</v>
      </c>
      <c r="I37" s="34"/>
      <c r="J37" s="23" t="s">
        <v>138</v>
      </c>
      <c r="K37" s="23">
        <v>129</v>
      </c>
      <c r="L37" s="23">
        <v>133</v>
      </c>
      <c r="M37" s="23">
        <v>5</v>
      </c>
      <c r="N37" s="23" t="s">
        <v>142</v>
      </c>
      <c r="O37" s="23"/>
      <c r="P37" s="23" t="s">
        <v>143</v>
      </c>
      <c r="Q37" s="23" t="s">
        <v>38</v>
      </c>
    </row>
    <row r="38" spans="2:17" x14ac:dyDescent="0.35">
      <c r="B38" s="23" t="s">
        <v>144</v>
      </c>
      <c r="C38" s="23" t="s">
        <v>138</v>
      </c>
      <c r="D38" s="23">
        <v>161</v>
      </c>
      <c r="E38" s="23">
        <v>40</v>
      </c>
      <c r="F38" s="23">
        <v>44</v>
      </c>
      <c r="G38" s="23">
        <v>5</v>
      </c>
      <c r="H38" s="23" t="s">
        <v>145</v>
      </c>
      <c r="I38" s="34"/>
      <c r="J38" s="23" t="s">
        <v>138</v>
      </c>
      <c r="K38" s="23">
        <v>129</v>
      </c>
      <c r="L38" s="23">
        <v>133</v>
      </c>
      <c r="M38" s="23">
        <v>5</v>
      </c>
      <c r="N38" s="23" t="s">
        <v>142</v>
      </c>
      <c r="O38" s="23"/>
      <c r="P38" s="23" t="s">
        <v>143</v>
      </c>
      <c r="Q38" s="23" t="s">
        <v>31</v>
      </c>
    </row>
    <row r="39" spans="2:17" x14ac:dyDescent="0.35">
      <c r="B39" s="23"/>
      <c r="C39" s="23"/>
      <c r="D39" s="23"/>
      <c r="E39" s="23"/>
      <c r="F39" s="23"/>
      <c r="G39" s="23"/>
      <c r="H39" s="23"/>
      <c r="I39" s="34"/>
      <c r="J39" s="23"/>
      <c r="K39" s="23"/>
      <c r="L39" s="23"/>
      <c r="M39" s="23"/>
      <c r="N39" s="23"/>
      <c r="O39" s="23"/>
      <c r="P39" s="23"/>
      <c r="Q39" s="23"/>
    </row>
    <row r="43" spans="2:17" x14ac:dyDescent="0.35">
      <c r="B43" t="s">
        <v>146</v>
      </c>
      <c r="C43" t="s">
        <v>139</v>
      </c>
      <c r="E43">
        <v>1</v>
      </c>
      <c r="F43" t="s">
        <v>25</v>
      </c>
      <c r="G43">
        <v>500</v>
      </c>
      <c r="K43">
        <v>1</v>
      </c>
      <c r="L43" t="s">
        <v>25</v>
      </c>
      <c r="M43">
        <v>500</v>
      </c>
      <c r="P43" t="s">
        <v>26</v>
      </c>
      <c r="Q43" t="s">
        <v>25</v>
      </c>
    </row>
    <row r="44" spans="2:17" x14ac:dyDescent="0.35">
      <c r="B44" t="s">
        <v>147</v>
      </c>
      <c r="C44" t="s">
        <v>148</v>
      </c>
      <c r="E44">
        <v>25</v>
      </c>
      <c r="F44">
        <v>29</v>
      </c>
      <c r="G44">
        <v>5</v>
      </c>
      <c r="K44">
        <v>228</v>
      </c>
      <c r="L44">
        <v>232</v>
      </c>
      <c r="M44">
        <v>5</v>
      </c>
      <c r="N44" t="s">
        <v>149</v>
      </c>
      <c r="P44" t="s">
        <v>150</v>
      </c>
      <c r="Q44" t="s">
        <v>38</v>
      </c>
    </row>
    <row r="45" spans="2:17" x14ac:dyDescent="0.35">
      <c r="B45" t="s">
        <v>151</v>
      </c>
      <c r="C45" t="s">
        <v>152</v>
      </c>
      <c r="E45">
        <v>30</v>
      </c>
      <c r="F45">
        <v>34</v>
      </c>
      <c r="G45">
        <v>5</v>
      </c>
      <c r="K45">
        <v>228</v>
      </c>
      <c r="L45">
        <v>232</v>
      </c>
      <c r="M45">
        <v>5</v>
      </c>
      <c r="N45" t="s">
        <v>149</v>
      </c>
      <c r="P45" t="s">
        <v>150</v>
      </c>
      <c r="Q45" t="s">
        <v>31</v>
      </c>
    </row>
    <row r="48" spans="2:17" x14ac:dyDescent="0.35">
      <c r="B48" t="s">
        <v>153</v>
      </c>
      <c r="C48" t="s">
        <v>154</v>
      </c>
      <c r="D48" t="s">
        <v>25</v>
      </c>
      <c r="E48">
        <v>1</v>
      </c>
      <c r="F48">
        <v>300</v>
      </c>
      <c r="G48">
        <v>300</v>
      </c>
      <c r="K48">
        <v>1</v>
      </c>
      <c r="L48">
        <v>300</v>
      </c>
      <c r="M48">
        <v>300</v>
      </c>
      <c r="P48" t="s">
        <v>26</v>
      </c>
    </row>
    <row r="49" spans="2:17" x14ac:dyDescent="0.35">
      <c r="B49" t="s">
        <v>155</v>
      </c>
      <c r="C49" t="s">
        <v>154</v>
      </c>
      <c r="D49">
        <v>1</v>
      </c>
      <c r="E49">
        <v>1</v>
      </c>
      <c r="F49">
        <v>5</v>
      </c>
      <c r="G49">
        <v>5</v>
      </c>
      <c r="H49" t="s">
        <v>156</v>
      </c>
      <c r="K49">
        <v>160</v>
      </c>
      <c r="L49">
        <v>161</v>
      </c>
      <c r="M49">
        <v>2</v>
      </c>
      <c r="N49" t="s">
        <v>157</v>
      </c>
      <c r="P49" t="s">
        <v>158</v>
      </c>
      <c r="Q49" t="s">
        <v>31</v>
      </c>
    </row>
    <row r="50" spans="2:17" x14ac:dyDescent="0.35">
      <c r="B50" t="s">
        <v>159</v>
      </c>
      <c r="C50" t="s">
        <v>154</v>
      </c>
      <c r="D50">
        <v>12</v>
      </c>
      <c r="E50">
        <v>57</v>
      </c>
      <c r="F50">
        <v>61</v>
      </c>
      <c r="G50">
        <v>5</v>
      </c>
      <c r="H50" t="s">
        <v>160</v>
      </c>
      <c r="K50">
        <v>182</v>
      </c>
      <c r="L50">
        <v>185</v>
      </c>
      <c r="M50">
        <v>4</v>
      </c>
      <c r="N50" t="s">
        <v>161</v>
      </c>
      <c r="P50" t="s">
        <v>162</v>
      </c>
      <c r="Q50" t="s">
        <v>31</v>
      </c>
    </row>
    <row r="51" spans="2:17" x14ac:dyDescent="0.35">
      <c r="B51" t="s">
        <v>163</v>
      </c>
      <c r="C51" t="s">
        <v>154</v>
      </c>
      <c r="D51">
        <v>12</v>
      </c>
      <c r="E51">
        <v>62</v>
      </c>
      <c r="F51">
        <v>66</v>
      </c>
      <c r="G51">
        <v>5</v>
      </c>
      <c r="H51" t="s">
        <v>164</v>
      </c>
      <c r="K51">
        <v>182</v>
      </c>
      <c r="L51">
        <v>185</v>
      </c>
      <c r="M51">
        <v>4</v>
      </c>
      <c r="N51" t="s">
        <v>161</v>
      </c>
      <c r="P51" t="s">
        <v>162</v>
      </c>
      <c r="Q51" t="s">
        <v>38</v>
      </c>
    </row>
    <row r="55" spans="2:17" x14ac:dyDescent="0.35">
      <c r="B55" t="s">
        <v>165</v>
      </c>
      <c r="C55" t="s">
        <v>156</v>
      </c>
      <c r="D55">
        <v>1</v>
      </c>
      <c r="E55">
        <v>1</v>
      </c>
      <c r="F55">
        <v>5</v>
      </c>
      <c r="G55">
        <v>5</v>
      </c>
      <c r="K55">
        <v>264</v>
      </c>
      <c r="L55">
        <v>265</v>
      </c>
      <c r="M55">
        <v>2</v>
      </c>
      <c r="N55" t="s">
        <v>157</v>
      </c>
      <c r="P55" t="s">
        <v>158</v>
      </c>
    </row>
    <row r="56" spans="2:17" x14ac:dyDescent="0.35">
      <c r="B56" t="s">
        <v>166</v>
      </c>
      <c r="C56" t="s">
        <v>167</v>
      </c>
      <c r="D56">
        <v>2</v>
      </c>
      <c r="E56">
        <v>164</v>
      </c>
      <c r="F56">
        <v>168</v>
      </c>
      <c r="G56">
        <v>5</v>
      </c>
      <c r="K56">
        <v>276</v>
      </c>
      <c r="L56">
        <v>278</v>
      </c>
      <c r="M56">
        <v>3</v>
      </c>
      <c r="N56" t="s">
        <v>168</v>
      </c>
      <c r="P56" t="s">
        <v>169</v>
      </c>
    </row>
    <row r="57" spans="2:17" x14ac:dyDescent="0.35">
      <c r="B57" t="s">
        <v>170</v>
      </c>
      <c r="C57" t="s">
        <v>171</v>
      </c>
      <c r="D57">
        <v>18</v>
      </c>
      <c r="E57">
        <v>212</v>
      </c>
      <c r="F57">
        <v>216</v>
      </c>
      <c r="G57">
        <v>5</v>
      </c>
      <c r="K57">
        <v>279</v>
      </c>
      <c r="L57">
        <v>283</v>
      </c>
      <c r="M57">
        <v>5</v>
      </c>
      <c r="N57" t="s">
        <v>172</v>
      </c>
      <c r="P57" t="s">
        <v>173</v>
      </c>
    </row>
    <row r="58" spans="2:17" x14ac:dyDescent="0.35">
      <c r="B58" t="s">
        <v>174</v>
      </c>
      <c r="C58" t="s">
        <v>175</v>
      </c>
      <c r="D58">
        <v>18</v>
      </c>
      <c r="E58">
        <v>217</v>
      </c>
      <c r="F58">
        <v>221</v>
      </c>
      <c r="G58">
        <v>5</v>
      </c>
      <c r="K58">
        <v>284</v>
      </c>
      <c r="L58">
        <v>288</v>
      </c>
      <c r="M58">
        <v>5</v>
      </c>
      <c r="N58" t="s">
        <v>176</v>
      </c>
      <c r="P58" t="s">
        <v>173</v>
      </c>
    </row>
    <row r="59" spans="2:17" x14ac:dyDescent="0.35">
      <c r="B59" t="s">
        <v>177</v>
      </c>
      <c r="C59" t="s">
        <v>178</v>
      </c>
      <c r="D59">
        <v>18</v>
      </c>
      <c r="E59">
        <v>222</v>
      </c>
      <c r="F59">
        <v>226</v>
      </c>
      <c r="G59">
        <v>5</v>
      </c>
      <c r="K59">
        <v>289</v>
      </c>
      <c r="L59">
        <v>293</v>
      </c>
      <c r="M59">
        <v>5</v>
      </c>
      <c r="N59" t="s">
        <v>179</v>
      </c>
      <c r="P59" t="s">
        <v>173</v>
      </c>
    </row>
    <row r="62" spans="2:17" x14ac:dyDescent="0.35">
      <c r="B62" t="s">
        <v>180</v>
      </c>
      <c r="C62" t="s">
        <v>156</v>
      </c>
      <c r="D62">
        <v>1</v>
      </c>
      <c r="E62">
        <v>1</v>
      </c>
      <c r="F62">
        <v>5</v>
      </c>
      <c r="K62">
        <v>59</v>
      </c>
      <c r="L62">
        <v>60</v>
      </c>
      <c r="M62">
        <v>2</v>
      </c>
      <c r="N62" t="s">
        <v>157</v>
      </c>
      <c r="P62" t="s">
        <v>158</v>
      </c>
    </row>
    <row r="63" spans="2:17" x14ac:dyDescent="0.35">
      <c r="B63" t="s">
        <v>181</v>
      </c>
      <c r="C63" t="s">
        <v>182</v>
      </c>
      <c r="D63">
        <v>58</v>
      </c>
      <c r="E63">
        <v>34</v>
      </c>
      <c r="F63">
        <v>38</v>
      </c>
      <c r="K63">
        <v>91</v>
      </c>
      <c r="L63">
        <v>91</v>
      </c>
      <c r="M63">
        <v>1</v>
      </c>
      <c r="N63" t="s">
        <v>183</v>
      </c>
      <c r="P63" t="s">
        <v>184</v>
      </c>
    </row>
    <row r="65" spans="2:16" x14ac:dyDescent="0.35">
      <c r="B65" t="s">
        <v>185</v>
      </c>
      <c r="C65" t="s">
        <v>139</v>
      </c>
      <c r="D65" t="s">
        <v>25</v>
      </c>
      <c r="E65">
        <v>1</v>
      </c>
      <c r="F65">
        <v>250</v>
      </c>
      <c r="G65">
        <v>250</v>
      </c>
      <c r="K65">
        <v>1</v>
      </c>
      <c r="L65">
        <v>250</v>
      </c>
      <c r="M65">
        <v>250</v>
      </c>
      <c r="P65" t="s">
        <v>26</v>
      </c>
    </row>
    <row r="66" spans="2:16" x14ac:dyDescent="0.35">
      <c r="B66" t="s">
        <v>186</v>
      </c>
      <c r="C66" t="s">
        <v>156</v>
      </c>
      <c r="D66">
        <v>1</v>
      </c>
      <c r="E66">
        <v>1</v>
      </c>
      <c r="F66">
        <v>5</v>
      </c>
      <c r="G66">
        <v>5</v>
      </c>
      <c r="K66">
        <v>113</v>
      </c>
      <c r="L66">
        <v>114</v>
      </c>
      <c r="M66">
        <v>2</v>
      </c>
      <c r="N66" t="s">
        <v>157</v>
      </c>
      <c r="P66" t="s">
        <v>158</v>
      </c>
    </row>
    <row r="67" spans="2:16" x14ac:dyDescent="0.35">
      <c r="B67" t="s">
        <v>187</v>
      </c>
      <c r="C67" t="s">
        <v>171</v>
      </c>
      <c r="D67">
        <v>18</v>
      </c>
      <c r="E67">
        <v>88</v>
      </c>
      <c r="F67">
        <v>92</v>
      </c>
      <c r="G67">
        <v>5</v>
      </c>
      <c r="K67">
        <v>135</v>
      </c>
      <c r="L67">
        <v>139</v>
      </c>
      <c r="M67">
        <v>5</v>
      </c>
      <c r="N67" t="s">
        <v>172</v>
      </c>
      <c r="P67" t="s">
        <v>173</v>
      </c>
    </row>
    <row r="68" spans="2:16" x14ac:dyDescent="0.35">
      <c r="B68" t="s">
        <v>188</v>
      </c>
      <c r="C68" t="s">
        <v>175</v>
      </c>
      <c r="D68">
        <v>18</v>
      </c>
      <c r="E68">
        <v>93</v>
      </c>
      <c r="F68">
        <v>97</v>
      </c>
      <c r="G68">
        <v>5</v>
      </c>
      <c r="K68">
        <v>140</v>
      </c>
      <c r="L68">
        <v>144</v>
      </c>
      <c r="M68">
        <v>5</v>
      </c>
      <c r="N68" t="s">
        <v>176</v>
      </c>
      <c r="P68" t="s">
        <v>173</v>
      </c>
    </row>
    <row r="69" spans="2:16" x14ac:dyDescent="0.35">
      <c r="B69" t="s">
        <v>189</v>
      </c>
      <c r="C69" t="s">
        <v>178</v>
      </c>
      <c r="D69">
        <v>67</v>
      </c>
      <c r="E69">
        <v>98</v>
      </c>
      <c r="F69">
        <v>102</v>
      </c>
      <c r="G69">
        <v>5</v>
      </c>
      <c r="K69">
        <v>145</v>
      </c>
      <c r="L69">
        <v>149</v>
      </c>
      <c r="M69">
        <v>5</v>
      </c>
      <c r="N69" t="s">
        <v>179</v>
      </c>
      <c r="P69" t="s">
        <v>190</v>
      </c>
    </row>
    <row r="76" spans="2:16" x14ac:dyDescent="0.35">
      <c r="B76" t="s">
        <v>191</v>
      </c>
      <c r="C76" t="s">
        <v>192</v>
      </c>
    </row>
    <row r="77" spans="2:16" x14ac:dyDescent="0.35">
      <c r="B77" t="s">
        <v>193</v>
      </c>
      <c r="C77" t="s">
        <v>194</v>
      </c>
    </row>
    <row r="78" spans="2:16" x14ac:dyDescent="0.35">
      <c r="B78" t="s">
        <v>195</v>
      </c>
      <c r="C78" t="s">
        <v>196</v>
      </c>
    </row>
    <row r="82" spans="2:5" x14ac:dyDescent="0.35">
      <c r="B82" t="s">
        <v>197</v>
      </c>
      <c r="C82" t="s">
        <v>198</v>
      </c>
      <c r="D82" t="s">
        <v>199</v>
      </c>
      <c r="E82" t="s">
        <v>200</v>
      </c>
    </row>
    <row r="83" spans="2:5" x14ac:dyDescent="0.35">
      <c r="C83" t="s">
        <v>201</v>
      </c>
      <c r="D83" t="s">
        <v>202</v>
      </c>
    </row>
    <row r="85" spans="2:5" x14ac:dyDescent="0.35">
      <c r="B85" t="s">
        <v>203</v>
      </c>
      <c r="C85" t="s">
        <v>204</v>
      </c>
      <c r="D85" t="s">
        <v>205</v>
      </c>
    </row>
    <row r="86" spans="2:5" x14ac:dyDescent="0.35">
      <c r="C86" t="s">
        <v>206</v>
      </c>
      <c r="D86" t="s">
        <v>207</v>
      </c>
      <c r="E86" t="s">
        <v>208</v>
      </c>
    </row>
    <row r="88" spans="2:5" x14ac:dyDescent="0.35">
      <c r="B88" t="s">
        <v>209</v>
      </c>
      <c r="E88" t="s">
        <v>196</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210</v>
      </c>
    </row>
    <row r="2" spans="1:5" x14ac:dyDescent="0.35">
      <c r="A2">
        <v>5</v>
      </c>
      <c r="B2" t="s">
        <v>25</v>
      </c>
      <c r="C2" s="37" t="s">
        <v>211</v>
      </c>
      <c r="D2" s="37" t="s">
        <v>212</v>
      </c>
    </row>
    <row r="3" spans="1:5" x14ac:dyDescent="0.35">
      <c r="A3">
        <v>9</v>
      </c>
      <c r="B3" t="s">
        <v>25</v>
      </c>
      <c r="C3" s="37" t="s">
        <v>213</v>
      </c>
      <c r="D3" s="37" t="s">
        <v>214</v>
      </c>
    </row>
    <row r="4" spans="1:5" x14ac:dyDescent="0.35">
      <c r="A4">
        <v>13</v>
      </c>
      <c r="B4" t="s">
        <v>25</v>
      </c>
      <c r="C4" s="37" t="s">
        <v>215</v>
      </c>
      <c r="D4" s="37" t="s">
        <v>216</v>
      </c>
    </row>
    <row r="5" spans="1:5" x14ac:dyDescent="0.35">
      <c r="A5">
        <v>17</v>
      </c>
      <c r="B5" t="s">
        <v>25</v>
      </c>
      <c r="C5" s="37" t="s">
        <v>217</v>
      </c>
      <c r="D5" s="37" t="s">
        <v>218</v>
      </c>
    </row>
    <row r="6" spans="1:5" x14ac:dyDescent="0.35">
      <c r="A6">
        <v>21</v>
      </c>
      <c r="B6" t="s">
        <v>25</v>
      </c>
      <c r="C6" s="37" t="s">
        <v>219</v>
      </c>
      <c r="D6" s="37" t="s">
        <v>220</v>
      </c>
    </row>
    <row r="7" spans="1:5" x14ac:dyDescent="0.35">
      <c r="A7">
        <v>25</v>
      </c>
      <c r="B7" t="s">
        <v>25</v>
      </c>
      <c r="C7" s="37" t="s">
        <v>221</v>
      </c>
      <c r="D7" s="37" t="s">
        <v>222</v>
      </c>
    </row>
    <row r="8" spans="1:5" x14ac:dyDescent="0.35">
      <c r="A8">
        <v>29</v>
      </c>
      <c r="B8" t="s">
        <v>25</v>
      </c>
      <c r="C8" s="37" t="s">
        <v>223</v>
      </c>
      <c r="D8" s="37" t="s">
        <v>224</v>
      </c>
    </row>
    <row r="9" spans="1:5" x14ac:dyDescent="0.35">
      <c r="A9">
        <v>33</v>
      </c>
      <c r="B9" t="s">
        <v>25</v>
      </c>
      <c r="C9" s="37" t="s">
        <v>225</v>
      </c>
      <c r="D9" s="37" t="s">
        <v>226</v>
      </c>
    </row>
    <row r="10" spans="1:5" x14ac:dyDescent="0.35">
      <c r="A10">
        <v>37</v>
      </c>
      <c r="B10" t="s">
        <v>25</v>
      </c>
      <c r="C10" s="37" t="s">
        <v>227</v>
      </c>
      <c r="D10" s="37" t="s">
        <v>228</v>
      </c>
    </row>
    <row r="11" spans="1:5" x14ac:dyDescent="0.35">
      <c r="A11">
        <v>41</v>
      </c>
      <c r="B11" t="s">
        <v>25</v>
      </c>
      <c r="C11" s="37" t="s">
        <v>229</v>
      </c>
      <c r="D11" s="37" t="s">
        <v>230</v>
      </c>
    </row>
    <row r="12" spans="1:5" x14ac:dyDescent="0.35">
      <c r="A12">
        <v>45</v>
      </c>
      <c r="B12" t="s">
        <v>25</v>
      </c>
      <c r="C12" s="37" t="s">
        <v>231</v>
      </c>
      <c r="D12" s="37" t="s">
        <v>232</v>
      </c>
    </row>
    <row r="13" spans="1:5" x14ac:dyDescent="0.35">
      <c r="A13">
        <v>49</v>
      </c>
      <c r="B13" t="s">
        <v>25</v>
      </c>
      <c r="C13" s="37" t="s">
        <v>233</v>
      </c>
      <c r="D13" s="37" t="s">
        <v>234</v>
      </c>
    </row>
    <row r="14" spans="1:5" x14ac:dyDescent="0.35">
      <c r="A14">
        <v>56</v>
      </c>
      <c r="B14" t="s">
        <v>25</v>
      </c>
      <c r="C14" s="37" t="s">
        <v>235</v>
      </c>
      <c r="D14" s="37" t="s">
        <v>236</v>
      </c>
    </row>
    <row r="15" spans="1:5" x14ac:dyDescent="0.35">
      <c r="A15">
        <v>60</v>
      </c>
      <c r="B15" t="s">
        <v>25</v>
      </c>
      <c r="C15" s="37" t="s">
        <v>237</v>
      </c>
      <c r="D15" s="37" t="s">
        <v>238</v>
      </c>
    </row>
    <row r="16" spans="1:5" x14ac:dyDescent="0.35">
      <c r="A16">
        <v>64</v>
      </c>
      <c r="B16" t="s">
        <v>25</v>
      </c>
      <c r="C16" s="37" t="s">
        <v>239</v>
      </c>
      <c r="D16" s="37" t="s">
        <v>240</v>
      </c>
    </row>
    <row r="17" spans="1:4" x14ac:dyDescent="0.35">
      <c r="A17">
        <v>68</v>
      </c>
      <c r="B17" t="s">
        <v>25</v>
      </c>
      <c r="C17" s="37" t="s">
        <v>241</v>
      </c>
      <c r="D17" s="37" t="s">
        <v>242</v>
      </c>
    </row>
    <row r="18" spans="1:4" x14ac:dyDescent="0.35">
      <c r="A18">
        <v>72</v>
      </c>
      <c r="B18" t="s">
        <v>25</v>
      </c>
      <c r="C18" s="37" t="s">
        <v>243</v>
      </c>
      <c r="D18" s="37" t="s">
        <v>244</v>
      </c>
    </row>
    <row r="19" spans="1:4" x14ac:dyDescent="0.35">
      <c r="A19">
        <v>73</v>
      </c>
      <c r="B19" t="s">
        <v>25</v>
      </c>
      <c r="C19" s="37" t="s">
        <v>25</v>
      </c>
      <c r="D19" s="37" t="s">
        <v>245</v>
      </c>
    </row>
    <row r="20" spans="1:4" x14ac:dyDescent="0.35">
      <c r="A20">
        <v>74</v>
      </c>
      <c r="B20" t="s">
        <v>25</v>
      </c>
      <c r="D20" s="37" t="s">
        <v>246</v>
      </c>
    </row>
    <row r="21" spans="1:4" x14ac:dyDescent="0.35">
      <c r="A21">
        <v>75</v>
      </c>
      <c r="B21" t="s">
        <v>25</v>
      </c>
      <c r="D21" s="37" t="s">
        <v>247</v>
      </c>
    </row>
    <row r="22" spans="1:4" x14ac:dyDescent="0.35">
      <c r="A22">
        <v>79</v>
      </c>
      <c r="B22" t="s">
        <v>25</v>
      </c>
      <c r="C22" s="37" t="s">
        <v>248</v>
      </c>
      <c r="D22" s="37" t="s">
        <v>249</v>
      </c>
    </row>
    <row r="23" spans="1:4" x14ac:dyDescent="0.35">
      <c r="A23">
        <v>83</v>
      </c>
      <c r="B23" t="s">
        <v>25</v>
      </c>
      <c r="C23" s="37" t="s">
        <v>250</v>
      </c>
      <c r="D23" s="37" t="s">
        <v>251</v>
      </c>
    </row>
    <row r="24" spans="1:4" x14ac:dyDescent="0.35">
      <c r="A24">
        <v>87</v>
      </c>
      <c r="B24" t="s">
        <v>25</v>
      </c>
      <c r="C24" s="37" t="s">
        <v>252</v>
      </c>
      <c r="D24" s="37" t="s">
        <v>253</v>
      </c>
    </row>
    <row r="25" spans="1:4" x14ac:dyDescent="0.35">
      <c r="A25">
        <v>91</v>
      </c>
      <c r="B25" t="s">
        <v>25</v>
      </c>
      <c r="C25" s="37" t="s">
        <v>254</v>
      </c>
      <c r="D25" s="37" t="s">
        <v>255</v>
      </c>
    </row>
    <row r="26" spans="1:4" x14ac:dyDescent="0.35">
      <c r="A26">
        <v>95</v>
      </c>
      <c r="B26" t="s">
        <v>25</v>
      </c>
      <c r="C26" s="37" t="s">
        <v>256</v>
      </c>
      <c r="D26" s="37" t="s">
        <v>257</v>
      </c>
    </row>
    <row r="27" spans="1:4" x14ac:dyDescent="0.35">
      <c r="A27">
        <v>96</v>
      </c>
      <c r="B27" t="s">
        <v>25</v>
      </c>
      <c r="C27" s="37" t="s">
        <v>25</v>
      </c>
      <c r="D27" s="37" t="s">
        <v>258</v>
      </c>
    </row>
    <row r="28" spans="1:4" x14ac:dyDescent="0.35">
      <c r="A28">
        <v>97</v>
      </c>
      <c r="B28" t="s">
        <v>25</v>
      </c>
      <c r="D28" s="37" t="s">
        <v>259</v>
      </c>
    </row>
    <row r="29" spans="1:4" x14ac:dyDescent="0.35">
      <c r="A29">
        <v>98</v>
      </c>
      <c r="B29" t="s">
        <v>25</v>
      </c>
      <c r="D29" s="37" t="s">
        <v>260</v>
      </c>
    </row>
    <row r="30" spans="1:4" x14ac:dyDescent="0.35">
      <c r="A30">
        <v>99</v>
      </c>
      <c r="B30" t="s">
        <v>25</v>
      </c>
      <c r="D30" s="37" t="s">
        <v>261</v>
      </c>
    </row>
    <row r="31" spans="1:4" x14ac:dyDescent="0.35">
      <c r="A31">
        <v>100</v>
      </c>
      <c r="B31" t="s">
        <v>25</v>
      </c>
      <c r="D31" s="37" t="s">
        <v>262</v>
      </c>
    </row>
    <row r="32" spans="1:4" x14ac:dyDescent="0.35">
      <c r="A32">
        <v>101</v>
      </c>
      <c r="B32" t="s">
        <v>25</v>
      </c>
      <c r="D32" s="37" t="s">
        <v>263</v>
      </c>
    </row>
    <row r="33" spans="1:4" x14ac:dyDescent="0.35">
      <c r="A33">
        <v>102</v>
      </c>
      <c r="B33" t="s">
        <v>25</v>
      </c>
      <c r="D33" s="37" t="s">
        <v>264</v>
      </c>
    </row>
    <row r="34" spans="1:4" x14ac:dyDescent="0.35">
      <c r="A34">
        <v>103</v>
      </c>
      <c r="B34" t="s">
        <v>25</v>
      </c>
      <c r="D34" s="37" t="s">
        <v>265</v>
      </c>
    </row>
    <row r="35" spans="1:4" x14ac:dyDescent="0.35">
      <c r="A35">
        <v>104</v>
      </c>
      <c r="B35" t="s">
        <v>25</v>
      </c>
      <c r="D35" s="37" t="s">
        <v>266</v>
      </c>
    </row>
    <row r="36" spans="1:4" x14ac:dyDescent="0.35">
      <c r="A36">
        <v>105</v>
      </c>
      <c r="B36" t="s">
        <v>25</v>
      </c>
      <c r="D36" s="37" t="s">
        <v>267</v>
      </c>
    </row>
    <row r="37" spans="1:4" x14ac:dyDescent="0.35">
      <c r="A37">
        <v>112</v>
      </c>
      <c r="B37" t="s">
        <v>25</v>
      </c>
      <c r="C37" s="37" t="s">
        <v>268</v>
      </c>
      <c r="D37" s="37" t="s">
        <v>269</v>
      </c>
    </row>
    <row r="38" spans="1:4" x14ac:dyDescent="0.35">
      <c r="A38">
        <v>116</v>
      </c>
      <c r="B38" t="s">
        <v>25</v>
      </c>
      <c r="C38" s="37" t="s">
        <v>270</v>
      </c>
      <c r="D38" s="37" t="s">
        <v>271</v>
      </c>
    </row>
    <row r="39" spans="1:4" x14ac:dyDescent="0.35">
      <c r="A39">
        <v>117</v>
      </c>
      <c r="B39" t="s">
        <v>25</v>
      </c>
      <c r="C39" s="37" t="s">
        <v>25</v>
      </c>
      <c r="D39" s="37" t="s">
        <v>272</v>
      </c>
    </row>
    <row r="40" spans="1:4" x14ac:dyDescent="0.35">
      <c r="A40">
        <v>118</v>
      </c>
      <c r="B40" t="s">
        <v>25</v>
      </c>
      <c r="D40" s="37" t="s">
        <v>273</v>
      </c>
    </row>
    <row r="41" spans="1:4" x14ac:dyDescent="0.35">
      <c r="A41">
        <v>119</v>
      </c>
      <c r="B41" t="s">
        <v>25</v>
      </c>
      <c r="D41" s="37" t="s">
        <v>274</v>
      </c>
    </row>
    <row r="42" spans="1:4" x14ac:dyDescent="0.35">
      <c r="A42">
        <v>120</v>
      </c>
      <c r="B42" t="s">
        <v>25</v>
      </c>
      <c r="D42" s="37" t="s">
        <v>275</v>
      </c>
    </row>
    <row r="43" spans="1:4" x14ac:dyDescent="0.35">
      <c r="A43">
        <v>121</v>
      </c>
      <c r="B43" t="s">
        <v>25</v>
      </c>
      <c r="D43" s="37" t="s">
        <v>276</v>
      </c>
    </row>
    <row r="44" spans="1:4" x14ac:dyDescent="0.35">
      <c r="A44">
        <v>122</v>
      </c>
      <c r="B44" t="s">
        <v>25</v>
      </c>
      <c r="D44" s="37" t="s">
        <v>277</v>
      </c>
    </row>
    <row r="45" spans="1:4" x14ac:dyDescent="0.35">
      <c r="A45">
        <v>123</v>
      </c>
      <c r="B45" t="s">
        <v>25</v>
      </c>
      <c r="D45" s="37" t="s">
        <v>278</v>
      </c>
    </row>
    <row r="46" spans="1:4" x14ac:dyDescent="0.35">
      <c r="A46">
        <v>124</v>
      </c>
      <c r="B46" t="s">
        <v>25</v>
      </c>
      <c r="D46" s="37" t="s">
        <v>279</v>
      </c>
    </row>
    <row r="47" spans="1:4" x14ac:dyDescent="0.35">
      <c r="A47">
        <v>125</v>
      </c>
      <c r="B47" t="s">
        <v>25</v>
      </c>
      <c r="D47" s="37" t="s">
        <v>280</v>
      </c>
    </row>
    <row r="48" spans="1:4" x14ac:dyDescent="0.35">
      <c r="A48">
        <v>129</v>
      </c>
      <c r="B48" t="s">
        <v>25</v>
      </c>
      <c r="C48" s="37" t="s">
        <v>281</v>
      </c>
      <c r="D48" s="37" t="s">
        <v>282</v>
      </c>
    </row>
    <row r="49" spans="1:4" x14ac:dyDescent="0.35">
      <c r="A49">
        <v>130</v>
      </c>
      <c r="B49" t="s">
        <v>25</v>
      </c>
      <c r="C49" s="37" t="s">
        <v>25</v>
      </c>
      <c r="D49" s="37" t="s">
        <v>283</v>
      </c>
    </row>
    <row r="50" spans="1:4" x14ac:dyDescent="0.35">
      <c r="A50">
        <v>134</v>
      </c>
      <c r="B50" t="s">
        <v>25</v>
      </c>
      <c r="C50" s="37" t="s">
        <v>284</v>
      </c>
      <c r="D50" s="37" t="s">
        <v>285</v>
      </c>
    </row>
    <row r="51" spans="1:4" x14ac:dyDescent="0.35">
      <c r="A51">
        <v>138</v>
      </c>
      <c r="B51" t="s">
        <v>25</v>
      </c>
      <c r="C51" s="37" t="s">
        <v>286</v>
      </c>
      <c r="D51" s="37" t="s">
        <v>287</v>
      </c>
    </row>
    <row r="52" spans="1:4" x14ac:dyDescent="0.35">
      <c r="A52">
        <v>142</v>
      </c>
      <c r="B52" t="s">
        <v>25</v>
      </c>
      <c r="C52" s="37" t="s">
        <v>288</v>
      </c>
      <c r="D52" s="37" t="s">
        <v>289</v>
      </c>
    </row>
    <row r="53" spans="1:4" x14ac:dyDescent="0.35">
      <c r="A53">
        <v>146</v>
      </c>
      <c r="B53" t="s">
        <v>25</v>
      </c>
      <c r="C53" s="37" t="s">
        <v>290</v>
      </c>
      <c r="D53" s="37" t="s">
        <v>291</v>
      </c>
    </row>
    <row r="54" spans="1:4" x14ac:dyDescent="0.35">
      <c r="A54">
        <v>150</v>
      </c>
      <c r="B54" t="s">
        <v>25</v>
      </c>
      <c r="C54" s="37" t="s">
        <v>292</v>
      </c>
      <c r="D54" s="37" t="s">
        <v>293</v>
      </c>
    </row>
    <row r="55" spans="1:4" x14ac:dyDescent="0.35">
      <c r="A55">
        <v>154</v>
      </c>
      <c r="B55" t="s">
        <v>25</v>
      </c>
      <c r="C55" s="37" t="s">
        <v>294</v>
      </c>
      <c r="D55" s="37" t="s">
        <v>295</v>
      </c>
    </row>
    <row r="56" spans="1:4" x14ac:dyDescent="0.35">
      <c r="A56">
        <v>158</v>
      </c>
      <c r="B56" t="s">
        <v>25</v>
      </c>
      <c r="C56" s="37" t="s">
        <v>296</v>
      </c>
      <c r="D56" s="37" t="s">
        <v>297</v>
      </c>
    </row>
    <row r="57" spans="1:4" x14ac:dyDescent="0.35">
      <c r="A57">
        <v>159</v>
      </c>
      <c r="B57" t="s">
        <v>25</v>
      </c>
      <c r="C57" s="37" t="s">
        <v>25</v>
      </c>
      <c r="D57" s="37" t="s">
        <v>298</v>
      </c>
    </row>
    <row r="58" spans="1:4" x14ac:dyDescent="0.35">
      <c r="A58">
        <v>166</v>
      </c>
      <c r="B58" t="s">
        <v>25</v>
      </c>
      <c r="C58" s="37" t="s">
        <v>299</v>
      </c>
      <c r="D58" s="37" t="s">
        <v>300</v>
      </c>
    </row>
    <row r="59" spans="1:4" x14ac:dyDescent="0.35">
      <c r="A59">
        <v>167</v>
      </c>
      <c r="B59" t="s">
        <v>25</v>
      </c>
      <c r="C59" s="37" t="s">
        <v>25</v>
      </c>
      <c r="D59" s="37" t="s">
        <v>301</v>
      </c>
    </row>
    <row r="60" spans="1:4" x14ac:dyDescent="0.35">
      <c r="A60">
        <v>171</v>
      </c>
      <c r="B60" t="s">
        <v>25</v>
      </c>
      <c r="C60" s="37" t="s">
        <v>302</v>
      </c>
      <c r="D60" s="37" t="s">
        <v>303</v>
      </c>
    </row>
    <row r="61" spans="1:4" x14ac:dyDescent="0.35">
      <c r="A61">
        <v>172</v>
      </c>
      <c r="B61" t="s">
        <v>25</v>
      </c>
      <c r="C61" s="37" t="s">
        <v>25</v>
      </c>
      <c r="D61" s="37" t="s">
        <v>304</v>
      </c>
    </row>
    <row r="62" spans="1:4" x14ac:dyDescent="0.35">
      <c r="A62">
        <v>173</v>
      </c>
      <c r="B62" t="s">
        <v>25</v>
      </c>
      <c r="D62" s="37" t="s">
        <v>305</v>
      </c>
    </row>
    <row r="63" spans="1:4" x14ac:dyDescent="0.35">
      <c r="A63">
        <v>177</v>
      </c>
      <c r="B63" t="s">
        <v>25</v>
      </c>
      <c r="C63" s="37" t="s">
        <v>306</v>
      </c>
      <c r="D63" s="37" t="s">
        <v>307</v>
      </c>
    </row>
    <row r="64" spans="1:4" x14ac:dyDescent="0.35">
      <c r="A64">
        <v>178</v>
      </c>
      <c r="B64" t="s">
        <v>25</v>
      </c>
      <c r="C64" s="37" t="s">
        <v>25</v>
      </c>
      <c r="D64" s="37" t="s">
        <v>308</v>
      </c>
    </row>
    <row r="65" spans="1:4" x14ac:dyDescent="0.35">
      <c r="A65">
        <v>182</v>
      </c>
      <c r="B65" t="s">
        <v>25</v>
      </c>
      <c r="C65" s="37" t="s">
        <v>309</v>
      </c>
      <c r="D65" s="37" t="s">
        <v>310</v>
      </c>
    </row>
    <row r="66" spans="1:4" x14ac:dyDescent="0.35">
      <c r="A66">
        <v>183</v>
      </c>
      <c r="B66" t="s">
        <v>25</v>
      </c>
      <c r="C66" s="37" t="s">
        <v>25</v>
      </c>
      <c r="D66" s="37" t="s">
        <v>311</v>
      </c>
    </row>
    <row r="67" spans="1:4" x14ac:dyDescent="0.35">
      <c r="A67">
        <v>184</v>
      </c>
      <c r="B67" t="s">
        <v>25</v>
      </c>
      <c r="D67" s="37" t="s">
        <v>312</v>
      </c>
    </row>
    <row r="68" spans="1:4" x14ac:dyDescent="0.35">
      <c r="A68">
        <v>185</v>
      </c>
      <c r="B68" t="s">
        <v>25</v>
      </c>
      <c r="D68" s="37" t="s">
        <v>313</v>
      </c>
    </row>
    <row r="69" spans="1:4" x14ac:dyDescent="0.35">
      <c r="A69">
        <v>186</v>
      </c>
      <c r="B69" t="s">
        <v>25</v>
      </c>
      <c r="D69" s="37" t="s">
        <v>314</v>
      </c>
    </row>
    <row r="70" spans="1:4" x14ac:dyDescent="0.35">
      <c r="A70">
        <v>190</v>
      </c>
      <c r="B70" t="s">
        <v>25</v>
      </c>
      <c r="C70" s="37" t="s">
        <v>315</v>
      </c>
      <c r="D70" s="37" t="s">
        <v>316</v>
      </c>
    </row>
    <row r="71" spans="1:4" x14ac:dyDescent="0.35">
      <c r="A71">
        <v>191</v>
      </c>
      <c r="B71" t="s">
        <v>25</v>
      </c>
      <c r="C71" s="37" t="s">
        <v>25</v>
      </c>
      <c r="D71" s="37" t="s">
        <v>317</v>
      </c>
    </row>
    <row r="72" spans="1:4" x14ac:dyDescent="0.35">
      <c r="A72">
        <v>192</v>
      </c>
      <c r="B72" t="s">
        <v>25</v>
      </c>
      <c r="D72" s="37" t="s">
        <v>318</v>
      </c>
    </row>
    <row r="73" spans="1:4" x14ac:dyDescent="0.35">
      <c r="A73">
        <v>196</v>
      </c>
      <c r="B73" t="s">
        <v>25</v>
      </c>
      <c r="C73" s="37" t="s">
        <v>319</v>
      </c>
      <c r="D73" s="37" t="s">
        <v>320</v>
      </c>
    </row>
    <row r="74" spans="1:4" x14ac:dyDescent="0.35">
      <c r="A74">
        <v>197</v>
      </c>
      <c r="B74" t="s">
        <v>25</v>
      </c>
      <c r="C74" s="37" t="s">
        <v>25</v>
      </c>
      <c r="D74" s="37" t="s">
        <v>321</v>
      </c>
    </row>
    <row r="75" spans="1:4" x14ac:dyDescent="0.35">
      <c r="A75">
        <v>198</v>
      </c>
      <c r="B75" t="s">
        <v>25</v>
      </c>
      <c r="D75" s="37" t="s">
        <v>322</v>
      </c>
    </row>
    <row r="76" spans="1:4" x14ac:dyDescent="0.35">
      <c r="A76">
        <v>202</v>
      </c>
      <c r="B76" t="s">
        <v>25</v>
      </c>
      <c r="C76" s="37" t="s">
        <v>323</v>
      </c>
      <c r="D76" s="37" t="s">
        <v>324</v>
      </c>
    </row>
    <row r="77" spans="1:4" x14ac:dyDescent="0.35">
      <c r="A77">
        <v>203</v>
      </c>
      <c r="B77" t="s">
        <v>25</v>
      </c>
      <c r="C77" s="37" t="s">
        <v>25</v>
      </c>
      <c r="D77" s="37" t="s">
        <v>325</v>
      </c>
    </row>
    <row r="78" spans="1:4" x14ac:dyDescent="0.35">
      <c r="A78">
        <v>207</v>
      </c>
      <c r="B78" t="s">
        <v>25</v>
      </c>
      <c r="C78" s="37" t="s">
        <v>326</v>
      </c>
      <c r="D78" s="37" t="s">
        <v>327</v>
      </c>
    </row>
    <row r="79" spans="1:4" x14ac:dyDescent="0.35">
      <c r="A79">
        <v>208</v>
      </c>
      <c r="B79" t="s">
        <v>25</v>
      </c>
      <c r="C79" s="37" t="s">
        <v>25</v>
      </c>
      <c r="D79" s="37" t="s">
        <v>328</v>
      </c>
    </row>
    <row r="80" spans="1:4" x14ac:dyDescent="0.35">
      <c r="A80">
        <v>209</v>
      </c>
      <c r="B80" t="s">
        <v>25</v>
      </c>
      <c r="D80" s="37" t="s">
        <v>329</v>
      </c>
    </row>
    <row r="81" spans="1:4" x14ac:dyDescent="0.35">
      <c r="A81">
        <v>210</v>
      </c>
      <c r="B81" t="s">
        <v>25</v>
      </c>
      <c r="D81" s="37" t="s">
        <v>330</v>
      </c>
    </row>
    <row r="82" spans="1:4" x14ac:dyDescent="0.35">
      <c r="A82">
        <v>211</v>
      </c>
      <c r="B82" t="s">
        <v>25</v>
      </c>
      <c r="D82" s="37" t="s">
        <v>331</v>
      </c>
    </row>
    <row r="83" spans="1:4" x14ac:dyDescent="0.35">
      <c r="A83">
        <v>212</v>
      </c>
      <c r="B83" t="s">
        <v>25</v>
      </c>
      <c r="D83" s="37" t="s">
        <v>332</v>
      </c>
    </row>
    <row r="84" spans="1:4" x14ac:dyDescent="0.35">
      <c r="A84">
        <v>213</v>
      </c>
      <c r="B84" t="s">
        <v>25</v>
      </c>
      <c r="D84" s="37" t="s">
        <v>333</v>
      </c>
    </row>
    <row r="85" spans="1:4" x14ac:dyDescent="0.35">
      <c r="A85">
        <v>214</v>
      </c>
      <c r="B85" t="s">
        <v>25</v>
      </c>
      <c r="D85" s="37" t="s">
        <v>334</v>
      </c>
    </row>
    <row r="86" spans="1:4" x14ac:dyDescent="0.35">
      <c r="A86">
        <v>215</v>
      </c>
      <c r="B86" t="s">
        <v>25</v>
      </c>
    </row>
    <row r="87" spans="1:4" x14ac:dyDescent="0.35">
      <c r="A87">
        <v>216</v>
      </c>
      <c r="B87" t="s">
        <v>25</v>
      </c>
    </row>
    <row r="88" spans="1:4" x14ac:dyDescent="0.35">
      <c r="A88">
        <v>217</v>
      </c>
      <c r="B88" t="s">
        <v>25</v>
      </c>
      <c r="C88" s="37" t="s">
        <v>25</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335</v>
      </c>
      <c r="B2" s="24" t="s">
        <v>139</v>
      </c>
      <c r="C2" s="24" t="s">
        <v>25</v>
      </c>
      <c r="D2" s="24">
        <v>1</v>
      </c>
      <c r="E2" s="24" t="s">
        <v>25</v>
      </c>
      <c r="F2" s="24">
        <v>732</v>
      </c>
      <c r="I2">
        <v>1</v>
      </c>
      <c r="J2" t="s">
        <v>25</v>
      </c>
      <c r="K2">
        <v>732</v>
      </c>
      <c r="L2" t="s">
        <v>26</v>
      </c>
      <c r="M2" t="s">
        <v>25</v>
      </c>
    </row>
    <row r="3" spans="1:13" x14ac:dyDescent="0.35">
      <c r="A3" s="24" t="s">
        <v>336</v>
      </c>
      <c r="B3" s="24" t="s">
        <v>337</v>
      </c>
      <c r="C3" s="24">
        <v>1</v>
      </c>
      <c r="D3" s="24">
        <v>11</v>
      </c>
      <c r="E3" s="24">
        <v>15</v>
      </c>
      <c r="F3" s="24">
        <v>5</v>
      </c>
      <c r="I3">
        <v>542</v>
      </c>
      <c r="J3">
        <v>543</v>
      </c>
      <c r="K3">
        <v>2</v>
      </c>
      <c r="L3" t="s">
        <v>158</v>
      </c>
      <c r="M3" t="s">
        <v>31</v>
      </c>
    </row>
    <row r="4" spans="1:13" x14ac:dyDescent="0.35">
      <c r="A4" s="24" t="s">
        <v>338</v>
      </c>
      <c r="B4" s="24" t="s">
        <v>339</v>
      </c>
      <c r="C4" s="24">
        <v>3</v>
      </c>
      <c r="D4" s="24">
        <v>314</v>
      </c>
      <c r="E4" s="24">
        <v>318</v>
      </c>
      <c r="F4" s="24">
        <v>5</v>
      </c>
      <c r="H4" t="s">
        <v>86</v>
      </c>
      <c r="I4">
        <v>724</v>
      </c>
      <c r="J4">
        <v>726</v>
      </c>
      <c r="K4">
        <v>3</v>
      </c>
      <c r="L4" t="s">
        <v>87</v>
      </c>
      <c r="M4" t="s">
        <v>31</v>
      </c>
    </row>
    <row r="5" spans="1:13" x14ac:dyDescent="0.35">
      <c r="A5" s="24" t="s">
        <v>340</v>
      </c>
      <c r="B5" s="24" t="s">
        <v>341</v>
      </c>
      <c r="C5" s="24">
        <v>112</v>
      </c>
      <c r="D5" s="24">
        <v>358</v>
      </c>
      <c r="E5" s="24">
        <v>362</v>
      </c>
      <c r="F5" s="24">
        <v>5</v>
      </c>
      <c r="H5" t="s">
        <v>342</v>
      </c>
      <c r="I5">
        <v>727</v>
      </c>
      <c r="J5">
        <v>727</v>
      </c>
      <c r="K5">
        <v>1</v>
      </c>
      <c r="L5" t="s">
        <v>343</v>
      </c>
      <c r="M5" t="s">
        <v>31</v>
      </c>
    </row>
    <row r="6" spans="1:13" x14ac:dyDescent="0.35">
      <c r="A6" s="24" t="s">
        <v>344</v>
      </c>
      <c r="B6" s="24" t="s">
        <v>345</v>
      </c>
      <c r="C6" s="24">
        <v>113</v>
      </c>
      <c r="D6" s="24">
        <v>492</v>
      </c>
      <c r="E6" s="24">
        <v>496</v>
      </c>
      <c r="F6" s="24">
        <v>5</v>
      </c>
      <c r="H6" t="s">
        <v>346</v>
      </c>
      <c r="I6">
        <v>728</v>
      </c>
      <c r="J6">
        <v>729</v>
      </c>
      <c r="K6">
        <v>2</v>
      </c>
      <c r="L6" t="s">
        <v>347</v>
      </c>
      <c r="M6" t="s">
        <v>31</v>
      </c>
    </row>
    <row r="7" spans="1:13" x14ac:dyDescent="0.35">
      <c r="A7" s="24" t="s">
        <v>348</v>
      </c>
      <c r="B7" s="24" t="s">
        <v>349</v>
      </c>
      <c r="C7" s="24">
        <v>6</v>
      </c>
      <c r="D7" s="24">
        <v>598</v>
      </c>
      <c r="E7" s="24">
        <v>602</v>
      </c>
      <c r="F7" s="24">
        <v>3</v>
      </c>
      <c r="H7" t="s">
        <v>350</v>
      </c>
      <c r="I7">
        <v>730</v>
      </c>
      <c r="J7">
        <v>732</v>
      </c>
      <c r="K7">
        <v>3</v>
      </c>
      <c r="L7" t="s">
        <v>351</v>
      </c>
      <c r="M7" t="s">
        <v>31</v>
      </c>
    </row>
    <row r="9" spans="1:13" x14ac:dyDescent="0.35">
      <c r="D9" t="s">
        <v>352</v>
      </c>
    </row>
    <row r="10" spans="1:13" x14ac:dyDescent="0.35">
      <c r="A10" s="31" t="s">
        <v>353</v>
      </c>
      <c r="B10" s="43" t="s">
        <v>354</v>
      </c>
      <c r="C10" t="s">
        <v>354</v>
      </c>
      <c r="D10" t="s">
        <v>355</v>
      </c>
      <c r="E10" t="s">
        <v>356</v>
      </c>
    </row>
    <row r="11" spans="1:13" x14ac:dyDescent="0.35">
      <c r="A11" s="31" t="s">
        <v>357</v>
      </c>
      <c r="B11" t="s">
        <v>358</v>
      </c>
      <c r="C11" t="s">
        <v>359</v>
      </c>
      <c r="D11" t="s">
        <v>337</v>
      </c>
      <c r="E11" t="s">
        <v>360</v>
      </c>
    </row>
    <row r="12" spans="1:13" x14ac:dyDescent="0.35">
      <c r="A12" s="31" t="s">
        <v>361</v>
      </c>
      <c r="B12" t="s">
        <v>362</v>
      </c>
      <c r="C12" t="s">
        <v>363</v>
      </c>
      <c r="D12" t="s">
        <v>364</v>
      </c>
      <c r="E12" s="50" t="s">
        <v>365</v>
      </c>
    </row>
    <row r="13" spans="1:13" x14ac:dyDescent="0.35">
      <c r="A13" s="31" t="s">
        <v>366</v>
      </c>
      <c r="B13" t="s">
        <v>367</v>
      </c>
      <c r="C13" t="s">
        <v>346</v>
      </c>
      <c r="D13" t="s">
        <v>368</v>
      </c>
      <c r="E13" s="49" t="s">
        <v>369</v>
      </c>
    </row>
    <row r="14" spans="1:13" x14ac:dyDescent="0.35">
      <c r="A14" s="29" t="s">
        <v>370</v>
      </c>
      <c r="B14" t="s">
        <v>342</v>
      </c>
      <c r="C14" t="s">
        <v>342</v>
      </c>
      <c r="D14" t="s">
        <v>371</v>
      </c>
      <c r="E14" s="35" t="s">
        <v>372</v>
      </c>
    </row>
    <row r="15" spans="1:13" x14ac:dyDescent="0.35">
      <c r="A15" s="29" t="s">
        <v>373</v>
      </c>
      <c r="B15" t="s">
        <v>374</v>
      </c>
      <c r="C15" t="s">
        <v>375</v>
      </c>
      <c r="D15" t="s">
        <v>376</v>
      </c>
      <c r="E15" s="35" t="s">
        <v>377</v>
      </c>
    </row>
    <row r="16" spans="1:13" x14ac:dyDescent="0.35">
      <c r="A16" s="32" t="s">
        <v>378</v>
      </c>
      <c r="B16" t="s">
        <v>379</v>
      </c>
      <c r="C16" t="s">
        <v>380</v>
      </c>
      <c r="D16" t="s">
        <v>381</v>
      </c>
      <c r="E16" s="45" t="s">
        <v>382</v>
      </c>
      <c r="F16" s="45" t="s">
        <v>383</v>
      </c>
      <c r="G16" s="45"/>
    </row>
    <row r="17" spans="1:8" x14ac:dyDescent="0.35">
      <c r="A17" s="29" t="s">
        <v>384</v>
      </c>
      <c r="B17" t="s">
        <v>385</v>
      </c>
      <c r="C17" t="s">
        <v>385</v>
      </c>
      <c r="D17" t="s">
        <v>339</v>
      </c>
      <c r="E17" s="35" t="s">
        <v>386</v>
      </c>
    </row>
    <row r="18" spans="1:8" x14ac:dyDescent="0.35">
      <c r="A18" s="29" t="s">
        <v>387</v>
      </c>
      <c r="B18" t="s">
        <v>388</v>
      </c>
      <c r="C18" t="s">
        <v>389</v>
      </c>
      <c r="D18" t="s">
        <v>390</v>
      </c>
      <c r="E18" s="35" t="s">
        <v>391</v>
      </c>
    </row>
    <row r="19" spans="1:8" x14ac:dyDescent="0.35">
      <c r="A19" s="29" t="s">
        <v>392</v>
      </c>
      <c r="B19" t="s">
        <v>393</v>
      </c>
      <c r="C19" t="s">
        <v>394</v>
      </c>
      <c r="D19" t="s">
        <v>395</v>
      </c>
      <c r="E19" s="47" t="s">
        <v>396</v>
      </c>
    </row>
    <row r="20" spans="1:8" x14ac:dyDescent="0.35">
      <c r="A20" s="29" t="s">
        <v>397</v>
      </c>
      <c r="B20" t="s">
        <v>398</v>
      </c>
      <c r="C20" t="s">
        <v>399</v>
      </c>
      <c r="D20" t="s">
        <v>400</v>
      </c>
      <c r="E20" s="47" t="s">
        <v>401</v>
      </c>
      <c r="H20" t="s">
        <v>402</v>
      </c>
    </row>
    <row r="21" spans="1:8" x14ac:dyDescent="0.35">
      <c r="A21" s="29" t="s">
        <v>403</v>
      </c>
      <c r="B21" t="s">
        <v>404</v>
      </c>
      <c r="C21" t="s">
        <v>405</v>
      </c>
      <c r="D21" t="s">
        <v>406</v>
      </c>
      <c r="E21" s="47" t="s">
        <v>407</v>
      </c>
      <c r="G21">
        <v>6</v>
      </c>
    </row>
    <row r="22" spans="1:8" x14ac:dyDescent="0.35">
      <c r="A22" s="29" t="s">
        <v>408</v>
      </c>
      <c r="B22" t="s">
        <v>409</v>
      </c>
      <c r="C22" t="s">
        <v>410</v>
      </c>
      <c r="D22" t="s">
        <v>411</v>
      </c>
      <c r="E22" s="47" t="s">
        <v>412</v>
      </c>
      <c r="G22">
        <v>10</v>
      </c>
    </row>
    <row r="23" spans="1:8" x14ac:dyDescent="0.35">
      <c r="A23" s="32" t="s">
        <v>413</v>
      </c>
      <c r="B23" t="s">
        <v>414</v>
      </c>
      <c r="C23" t="s">
        <v>415</v>
      </c>
      <c r="D23" t="s">
        <v>416</v>
      </c>
      <c r="G23">
        <v>3</v>
      </c>
    </row>
    <row r="24" spans="1:8" x14ac:dyDescent="0.35">
      <c r="A24" s="29" t="s">
        <v>417</v>
      </c>
      <c r="B24" t="s">
        <v>418</v>
      </c>
      <c r="C24" s="49" t="s">
        <v>419</v>
      </c>
      <c r="D24" t="s">
        <v>341</v>
      </c>
      <c r="E24" s="35" t="s">
        <v>420</v>
      </c>
      <c r="G24">
        <v>2</v>
      </c>
    </row>
    <row r="25" spans="1:8" x14ac:dyDescent="0.35">
      <c r="A25" s="29" t="s">
        <v>421</v>
      </c>
      <c r="B25" t="s">
        <v>422</v>
      </c>
      <c r="C25" t="s">
        <v>423</v>
      </c>
      <c r="D25" t="s">
        <v>424</v>
      </c>
      <c r="E25" s="35" t="s">
        <v>425</v>
      </c>
      <c r="G25">
        <v>1</v>
      </c>
    </row>
    <row r="26" spans="1:8" x14ac:dyDescent="0.35">
      <c r="A26" s="29" t="s">
        <v>426</v>
      </c>
      <c r="B26" s="48" t="s">
        <v>427</v>
      </c>
      <c r="C26" s="45" t="s">
        <v>428</v>
      </c>
      <c r="D26" t="s">
        <v>429</v>
      </c>
      <c r="E26" s="47" t="s">
        <v>430</v>
      </c>
      <c r="G26">
        <v>2</v>
      </c>
    </row>
    <row r="27" spans="1:8" x14ac:dyDescent="0.35">
      <c r="A27" s="29" t="s">
        <v>431</v>
      </c>
      <c r="B27" t="s">
        <v>432</v>
      </c>
      <c r="C27" s="45" t="s">
        <v>433</v>
      </c>
      <c r="D27" t="s">
        <v>434</v>
      </c>
      <c r="E27" s="47" t="s">
        <v>435</v>
      </c>
      <c r="G27">
        <v>10</v>
      </c>
    </row>
    <row r="28" spans="1:8" x14ac:dyDescent="0.35">
      <c r="A28" s="31" t="s">
        <v>436</v>
      </c>
      <c r="B28" t="s">
        <v>437</v>
      </c>
      <c r="C28" s="45" t="s">
        <v>438</v>
      </c>
      <c r="D28" t="s">
        <v>439</v>
      </c>
      <c r="E28" t="s">
        <v>440</v>
      </c>
      <c r="G28">
        <v>4</v>
      </c>
    </row>
    <row r="29" spans="1:8" x14ac:dyDescent="0.35">
      <c r="A29" s="29" t="s">
        <v>441</v>
      </c>
      <c r="B29" t="s">
        <v>442</v>
      </c>
      <c r="C29" t="s">
        <v>443</v>
      </c>
      <c r="D29" t="s">
        <v>444</v>
      </c>
      <c r="E29" s="35" t="s">
        <v>445</v>
      </c>
      <c r="G29">
        <v>11</v>
      </c>
    </row>
    <row r="30" spans="1:8" x14ac:dyDescent="0.35">
      <c r="A30" s="29" t="s">
        <v>446</v>
      </c>
      <c r="B30" t="s">
        <v>447</v>
      </c>
      <c r="C30" s="45" t="s">
        <v>448</v>
      </c>
      <c r="D30" t="s">
        <v>449</v>
      </c>
      <c r="E30" s="47" t="s">
        <v>450</v>
      </c>
      <c r="G30">
        <v>10</v>
      </c>
    </row>
    <row r="31" spans="1:8" x14ac:dyDescent="0.35">
      <c r="A31" s="32" t="s">
        <v>451</v>
      </c>
      <c r="B31" t="s">
        <v>452</v>
      </c>
      <c r="C31" t="s">
        <v>453</v>
      </c>
      <c r="D31" t="s">
        <v>454</v>
      </c>
      <c r="E31" s="45" t="s">
        <v>455</v>
      </c>
      <c r="G31">
        <v>5</v>
      </c>
    </row>
    <row r="32" spans="1:8" x14ac:dyDescent="0.35">
      <c r="A32" s="32" t="s">
        <v>456</v>
      </c>
      <c r="B32" s="44" t="s">
        <v>457</v>
      </c>
      <c r="C32" t="s">
        <v>458</v>
      </c>
      <c r="D32" t="s">
        <v>459</v>
      </c>
      <c r="E32" s="45" t="s">
        <v>460</v>
      </c>
      <c r="G32">
        <v>4</v>
      </c>
    </row>
    <row r="33" spans="1:7" x14ac:dyDescent="0.35">
      <c r="A33" s="29" t="s">
        <v>461</v>
      </c>
      <c r="B33" t="s">
        <v>462</v>
      </c>
      <c r="C33" t="s">
        <v>463</v>
      </c>
      <c r="D33" t="s">
        <v>345</v>
      </c>
      <c r="E33" s="35" t="s">
        <v>464</v>
      </c>
      <c r="G33">
        <v>9</v>
      </c>
    </row>
    <row r="34" spans="1:7" x14ac:dyDescent="0.35">
      <c r="A34" s="29" t="s">
        <v>465</v>
      </c>
      <c r="B34" t="s">
        <v>466</v>
      </c>
      <c r="C34" t="s">
        <v>467</v>
      </c>
      <c r="D34" t="s">
        <v>468</v>
      </c>
      <c r="E34" s="35" t="s">
        <v>469</v>
      </c>
      <c r="G34">
        <v>4</v>
      </c>
    </row>
    <row r="35" spans="1:7" x14ac:dyDescent="0.35">
      <c r="A35" s="31" t="s">
        <v>470</v>
      </c>
      <c r="C35" s="45" t="s">
        <v>342</v>
      </c>
      <c r="D35" t="s">
        <v>471</v>
      </c>
      <c r="E35" t="s">
        <v>472</v>
      </c>
      <c r="G35">
        <v>5</v>
      </c>
    </row>
    <row r="36" spans="1:7" x14ac:dyDescent="0.35">
      <c r="A36" s="31" t="s">
        <v>473</v>
      </c>
      <c r="C36" s="45" t="s">
        <v>346</v>
      </c>
      <c r="D36" t="s">
        <v>474</v>
      </c>
      <c r="E36" t="s">
        <v>475</v>
      </c>
      <c r="G36">
        <v>7</v>
      </c>
    </row>
    <row r="37" spans="1:7" x14ac:dyDescent="0.35">
      <c r="A37" s="29" t="s">
        <v>476</v>
      </c>
      <c r="C37" s="45" t="s">
        <v>477</v>
      </c>
      <c r="D37" t="s">
        <v>478</v>
      </c>
      <c r="E37" s="35" t="s">
        <v>479</v>
      </c>
      <c r="G37">
        <v>6</v>
      </c>
    </row>
    <row r="38" spans="1:7" x14ac:dyDescent="0.35">
      <c r="A38" s="31" t="s">
        <v>480</v>
      </c>
      <c r="C38" t="s">
        <v>385</v>
      </c>
      <c r="D38" t="s">
        <v>481</v>
      </c>
      <c r="E38" t="s">
        <v>482</v>
      </c>
      <c r="G38">
        <v>10</v>
      </c>
    </row>
    <row r="39" spans="1:7" x14ac:dyDescent="0.35">
      <c r="A39" s="29" t="s">
        <v>483</v>
      </c>
      <c r="C39" t="s">
        <v>389</v>
      </c>
      <c r="D39" t="s">
        <v>349</v>
      </c>
      <c r="E39" s="35" t="s">
        <v>484</v>
      </c>
      <c r="G39">
        <v>17</v>
      </c>
    </row>
    <row r="40" spans="1:7" x14ac:dyDescent="0.35">
      <c r="A40" s="29" t="s">
        <v>485</v>
      </c>
      <c r="C40" t="s">
        <v>394</v>
      </c>
      <c r="D40" t="s">
        <v>486</v>
      </c>
      <c r="E40" s="35" t="s">
        <v>487</v>
      </c>
      <c r="G40">
        <v>17</v>
      </c>
    </row>
    <row r="41" spans="1:7" x14ac:dyDescent="0.35">
      <c r="A41" s="29" t="s">
        <v>488</v>
      </c>
      <c r="C41" t="s">
        <v>399</v>
      </c>
      <c r="D41" t="s">
        <v>488</v>
      </c>
      <c r="E41" s="47" t="s">
        <v>489</v>
      </c>
      <c r="G41">
        <v>10</v>
      </c>
    </row>
    <row r="42" spans="1:7" x14ac:dyDescent="0.35">
      <c r="A42" s="29" t="s">
        <v>490</v>
      </c>
      <c r="C42" s="46" t="s">
        <v>491</v>
      </c>
      <c r="D42" t="s">
        <v>492</v>
      </c>
      <c r="E42" s="47" t="s">
        <v>493</v>
      </c>
      <c r="G42">
        <v>1</v>
      </c>
    </row>
    <row r="43" spans="1:7" x14ac:dyDescent="0.35">
      <c r="A43" s="29" t="s">
        <v>494</v>
      </c>
      <c r="C43" s="46" t="s">
        <v>495</v>
      </c>
      <c r="D43" t="s">
        <v>496</v>
      </c>
      <c r="E43" s="35" t="s">
        <v>497</v>
      </c>
      <c r="G43">
        <v>4</v>
      </c>
    </row>
    <row r="44" spans="1:7" x14ac:dyDescent="0.35">
      <c r="A44" s="29" t="s">
        <v>498</v>
      </c>
      <c r="C44" s="46" t="s">
        <v>499</v>
      </c>
      <c r="D44" t="s">
        <v>500</v>
      </c>
      <c r="E44" s="47" t="s">
        <v>501</v>
      </c>
      <c r="G44">
        <v>50</v>
      </c>
    </row>
    <row r="45" spans="1:7" x14ac:dyDescent="0.35">
      <c r="A45" s="29" t="s">
        <v>502</v>
      </c>
      <c r="D45" t="s">
        <v>503</v>
      </c>
      <c r="E45" s="47" t="s">
        <v>504</v>
      </c>
      <c r="G45">
        <v>10</v>
      </c>
    </row>
    <row r="46" spans="1:7" x14ac:dyDescent="0.35">
      <c r="A46" s="31"/>
      <c r="C46" t="s">
        <v>505</v>
      </c>
      <c r="D46" t="s">
        <v>506</v>
      </c>
      <c r="E46" s="50" t="s">
        <v>507</v>
      </c>
      <c r="G46">
        <v>1</v>
      </c>
    </row>
    <row r="47" spans="1:7" x14ac:dyDescent="0.35">
      <c r="A47" s="31"/>
      <c r="C47" t="s">
        <v>508</v>
      </c>
      <c r="D47" t="s">
        <v>509</v>
      </c>
      <c r="E47" s="49" t="s">
        <v>510</v>
      </c>
      <c r="G47">
        <v>2</v>
      </c>
    </row>
    <row r="48" spans="1:7" x14ac:dyDescent="0.35">
      <c r="A48" s="31"/>
      <c r="C48" t="s">
        <v>511</v>
      </c>
      <c r="D48" t="s">
        <v>512</v>
      </c>
      <c r="E48" t="s">
        <v>513</v>
      </c>
      <c r="G48">
        <v>3</v>
      </c>
    </row>
    <row r="49" spans="1:8" x14ac:dyDescent="0.35">
      <c r="A49" s="31"/>
      <c r="C49" t="s">
        <v>514</v>
      </c>
      <c r="D49" t="s">
        <v>515</v>
      </c>
      <c r="E49" t="s">
        <v>516</v>
      </c>
      <c r="G49">
        <v>15</v>
      </c>
    </row>
    <row r="50" spans="1:8" x14ac:dyDescent="0.35">
      <c r="A50" s="31" t="s">
        <v>517</v>
      </c>
      <c r="C50" t="s">
        <v>518</v>
      </c>
      <c r="D50" t="s">
        <v>519</v>
      </c>
      <c r="E50" s="45" t="s">
        <v>520</v>
      </c>
      <c r="G50">
        <v>10</v>
      </c>
    </row>
    <row r="51" spans="1:8" x14ac:dyDescent="0.35">
      <c r="C51" t="s">
        <v>521</v>
      </c>
      <c r="E51" s="45" t="s">
        <v>522</v>
      </c>
      <c r="G51">
        <v>5</v>
      </c>
    </row>
    <row r="52" spans="1:8" x14ac:dyDescent="0.35">
      <c r="C52" t="s">
        <v>523</v>
      </c>
      <c r="E52" s="45" t="s">
        <v>524</v>
      </c>
      <c r="G52">
        <v>4</v>
      </c>
    </row>
    <row r="53" spans="1:8" x14ac:dyDescent="0.35">
      <c r="C53" t="s">
        <v>525</v>
      </c>
      <c r="E53" s="45" t="s">
        <v>526</v>
      </c>
      <c r="G53">
        <v>11</v>
      </c>
    </row>
    <row r="54" spans="1:8" x14ac:dyDescent="0.35">
      <c r="C54" s="49" t="s">
        <v>527</v>
      </c>
      <c r="E54" s="45" t="s">
        <v>528</v>
      </c>
      <c r="G54">
        <v>2</v>
      </c>
      <c r="H54">
        <f>SUM(G21:G54)</f>
        <v>271</v>
      </c>
    </row>
    <row r="55" spans="1:8" x14ac:dyDescent="0.35">
      <c r="C55" s="49" t="s">
        <v>529</v>
      </c>
      <c r="E55" s="45" t="s">
        <v>530</v>
      </c>
    </row>
    <row r="56" spans="1:8" x14ac:dyDescent="0.35">
      <c r="C56" t="s">
        <v>531</v>
      </c>
      <c r="E56" s="45" t="s">
        <v>532</v>
      </c>
    </row>
    <row r="57" spans="1:8" x14ac:dyDescent="0.35">
      <c r="C57" t="s">
        <v>533</v>
      </c>
    </row>
    <row r="58" spans="1:8" x14ac:dyDescent="0.35">
      <c r="C58" t="s">
        <v>534</v>
      </c>
    </row>
    <row r="59" spans="1:8" x14ac:dyDescent="0.35">
      <c r="C59" t="s">
        <v>535</v>
      </c>
    </row>
    <row r="61" spans="1:8" x14ac:dyDescent="0.35">
      <c r="B61" t="s">
        <v>536</v>
      </c>
      <c r="C61" s="45" t="s">
        <v>537</v>
      </c>
    </row>
    <row r="62" spans="1:8" x14ac:dyDescent="0.35">
      <c r="C62" s="45" t="s">
        <v>538</v>
      </c>
    </row>
    <row r="63" spans="1:8" x14ac:dyDescent="0.35">
      <c r="C63" s="45" t="s">
        <v>86</v>
      </c>
    </row>
    <row r="64" spans="1:8" x14ac:dyDescent="0.35">
      <c r="C64" s="45" t="s">
        <v>350</v>
      </c>
    </row>
    <row r="65" spans="2:3" x14ac:dyDescent="0.35">
      <c r="C65" t="s">
        <v>539</v>
      </c>
    </row>
    <row r="66" spans="2:3" x14ac:dyDescent="0.35">
      <c r="C66" t="s">
        <v>540</v>
      </c>
    </row>
    <row r="67" spans="2:3" x14ac:dyDescent="0.35">
      <c r="C67" s="45" t="s">
        <v>541</v>
      </c>
    </row>
    <row r="68" spans="2:3" x14ac:dyDescent="0.35">
      <c r="C68" t="s">
        <v>364</v>
      </c>
    </row>
    <row r="70" spans="2:3" x14ac:dyDescent="0.35">
      <c r="B70" t="s">
        <v>542</v>
      </c>
      <c r="C70" s="50" t="s">
        <v>543</v>
      </c>
    </row>
    <row r="71" spans="2:3" x14ac:dyDescent="0.35">
      <c r="C71" s="50" t="s">
        <v>364</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544</v>
      </c>
      <c r="B1" s="40" t="s">
        <v>545</v>
      </c>
      <c r="C1" s="34" t="s">
        <v>546</v>
      </c>
      <c r="D1" s="34" t="s">
        <v>547</v>
      </c>
      <c r="E1" s="34" t="s">
        <v>548</v>
      </c>
      <c r="F1" s="34" t="s">
        <v>547</v>
      </c>
    </row>
    <row r="2" spans="1:7" x14ac:dyDescent="0.35">
      <c r="A2" s="242" t="s">
        <v>549</v>
      </c>
      <c r="B2" s="39" t="s">
        <v>550</v>
      </c>
      <c r="C2" s="30"/>
      <c r="D2" s="41"/>
      <c r="E2" s="30" t="s">
        <v>551</v>
      </c>
      <c r="F2" s="41" t="s">
        <v>552</v>
      </c>
    </row>
    <row r="3" spans="1:7" x14ac:dyDescent="0.35">
      <c r="A3" s="243"/>
      <c r="B3" s="40" t="s">
        <v>553</v>
      </c>
      <c r="C3" s="34" t="s">
        <v>554</v>
      </c>
      <c r="D3" s="34" t="s">
        <v>555</v>
      </c>
      <c r="E3" s="34" t="s">
        <v>556</v>
      </c>
      <c r="F3" s="34" t="s">
        <v>552</v>
      </c>
    </row>
    <row r="4" spans="1:7" x14ac:dyDescent="0.35">
      <c r="A4" s="244"/>
      <c r="B4" s="24" t="s">
        <v>557</v>
      </c>
      <c r="C4" s="34" t="s">
        <v>558</v>
      </c>
      <c r="D4" s="34"/>
      <c r="E4" s="34" t="s">
        <v>559</v>
      </c>
      <c r="F4" s="34" t="s">
        <v>552</v>
      </c>
    </row>
    <row r="5" spans="1:7" x14ac:dyDescent="0.35">
      <c r="A5" s="34" t="s">
        <v>560</v>
      </c>
      <c r="B5" s="28" t="s">
        <v>561</v>
      </c>
      <c r="C5" s="28" t="s">
        <v>562</v>
      </c>
      <c r="D5" s="34" t="s">
        <v>563</v>
      </c>
      <c r="E5" s="34"/>
      <c r="F5" s="34"/>
    </row>
    <row r="6" spans="1:7" x14ac:dyDescent="0.35">
      <c r="A6" s="34"/>
      <c r="B6" s="34"/>
      <c r="C6" s="34"/>
      <c r="D6" s="34"/>
      <c r="E6" s="34"/>
      <c r="F6" s="34"/>
    </row>
    <row r="7" spans="1:7" ht="29" x14ac:dyDescent="0.35">
      <c r="A7" s="34"/>
      <c r="B7" s="28"/>
      <c r="C7" s="28" t="s">
        <v>564</v>
      </c>
      <c r="D7" s="34"/>
      <c r="E7" s="34"/>
      <c r="F7" s="34"/>
      <c r="G7" s="34" t="s">
        <v>565</v>
      </c>
    </row>
    <row r="8" spans="1:7" x14ac:dyDescent="0.35">
      <c r="A8" s="34"/>
      <c r="B8" s="34"/>
      <c r="C8" s="34"/>
      <c r="D8" s="34"/>
      <c r="E8" s="34"/>
      <c r="F8" s="34"/>
    </row>
    <row r="9" spans="1:7" x14ac:dyDescent="0.35">
      <c r="A9" s="34" t="s">
        <v>566</v>
      </c>
      <c r="B9" s="34"/>
      <c r="C9" s="34" t="s">
        <v>567</v>
      </c>
      <c r="D9" s="34"/>
      <c r="E9" s="34"/>
      <c r="F9" s="34"/>
    </row>
    <row r="10" spans="1:7" x14ac:dyDescent="0.35">
      <c r="A10" s="42"/>
      <c r="B10" s="42"/>
      <c r="C10" s="42"/>
      <c r="D10" s="42"/>
      <c r="E10" s="34"/>
      <c r="F10" s="34"/>
    </row>
    <row r="11" spans="1:7" x14ac:dyDescent="0.35">
      <c r="A11" s="34" t="s">
        <v>568</v>
      </c>
      <c r="B11" s="34"/>
      <c r="C11" s="34" t="s">
        <v>569</v>
      </c>
      <c r="D11" s="34"/>
      <c r="E11" s="34"/>
      <c r="F11" s="34"/>
    </row>
    <row r="12" spans="1:7" x14ac:dyDescent="0.35">
      <c r="A12" s="34" t="s">
        <v>568</v>
      </c>
      <c r="B12" s="34"/>
      <c r="C12" s="34" t="s">
        <v>570</v>
      </c>
      <c r="D12" s="34"/>
      <c r="E12" s="34"/>
      <c r="F12" s="34"/>
    </row>
    <row r="13" spans="1:7" x14ac:dyDescent="0.35">
      <c r="A13" s="34" t="s">
        <v>568</v>
      </c>
      <c r="B13" s="34" t="s">
        <v>571</v>
      </c>
      <c r="C13" s="34" t="s">
        <v>572</v>
      </c>
      <c r="D13" s="34"/>
      <c r="E13" s="34" t="s">
        <v>573</v>
      </c>
      <c r="F13" s="34"/>
    </row>
    <row r="14" spans="1:7" x14ac:dyDescent="0.35">
      <c r="A14" s="34" t="s">
        <v>568</v>
      </c>
      <c r="B14" s="34" t="s">
        <v>574</v>
      </c>
      <c r="C14" s="34" t="s">
        <v>575</v>
      </c>
      <c r="D14" s="34"/>
      <c r="E14" s="34" t="s">
        <v>576</v>
      </c>
      <c r="F14" s="34"/>
    </row>
    <row r="15" spans="1:7" x14ac:dyDescent="0.35">
      <c r="A15" s="34"/>
      <c r="B15" s="34"/>
      <c r="C15" s="34"/>
      <c r="D15" s="34"/>
      <c r="E15" s="34"/>
      <c r="F15" s="34"/>
    </row>
    <row r="16" spans="1:7" x14ac:dyDescent="0.35">
      <c r="A16" s="242" t="s">
        <v>577</v>
      </c>
      <c r="B16" s="242" t="s">
        <v>578</v>
      </c>
      <c r="C16" s="34" t="s">
        <v>579</v>
      </c>
      <c r="D16" s="34" t="s">
        <v>195</v>
      </c>
      <c r="E16" s="34" t="s">
        <v>580</v>
      </c>
      <c r="F16" s="34"/>
    </row>
    <row r="17" spans="1:6" x14ac:dyDescent="0.35">
      <c r="A17" s="243"/>
      <c r="B17" s="243"/>
      <c r="C17" s="34" t="s">
        <v>581</v>
      </c>
      <c r="D17" s="34" t="s">
        <v>195</v>
      </c>
      <c r="E17" s="34" t="s">
        <v>582</v>
      </c>
      <c r="F17" s="34"/>
    </row>
    <row r="18" spans="1:6" x14ac:dyDescent="0.35">
      <c r="A18" s="243"/>
      <c r="B18" s="243"/>
      <c r="C18" s="34" t="s">
        <v>583</v>
      </c>
      <c r="D18" s="34" t="s">
        <v>195</v>
      </c>
      <c r="E18" s="34" t="s">
        <v>584</v>
      </c>
      <c r="F18" s="34"/>
    </row>
    <row r="19" spans="1:6" x14ac:dyDescent="0.35">
      <c r="A19" s="244"/>
      <c r="B19" s="244"/>
      <c r="C19" s="34" t="s">
        <v>585</v>
      </c>
      <c r="D19" s="34" t="s">
        <v>195</v>
      </c>
      <c r="E19" s="34" t="s">
        <v>586</v>
      </c>
      <c r="F19" s="34"/>
    </row>
    <row r="20" spans="1:6" x14ac:dyDescent="0.35">
      <c r="A20" s="34"/>
      <c r="B20" s="34"/>
      <c r="C20" s="34"/>
      <c r="D20" s="34"/>
      <c r="E20" s="34"/>
      <c r="F20" s="34"/>
    </row>
    <row r="21" spans="1:6" ht="29" x14ac:dyDescent="0.35">
      <c r="A21" s="34" t="s">
        <v>587</v>
      </c>
      <c r="B21" s="34" t="s">
        <v>588</v>
      </c>
      <c r="C21" s="34" t="s">
        <v>589</v>
      </c>
      <c r="D21" s="34" t="s">
        <v>590</v>
      </c>
      <c r="E21" s="34" t="s">
        <v>591</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544</v>
      </c>
      <c r="B1" s="25" t="s">
        <v>545</v>
      </c>
      <c r="C1" s="23" t="s">
        <v>546</v>
      </c>
      <c r="D1" s="23" t="s">
        <v>547</v>
      </c>
      <c r="E1" s="23" t="s">
        <v>548</v>
      </c>
      <c r="F1" s="23" t="s">
        <v>547</v>
      </c>
    </row>
    <row r="2" spans="1:6" x14ac:dyDescent="0.35">
      <c r="A2" s="245" t="s">
        <v>549</v>
      </c>
      <c r="B2" s="38" t="s">
        <v>550</v>
      </c>
      <c r="C2" s="28"/>
      <c r="D2" s="23"/>
      <c r="E2" s="28" t="s">
        <v>551</v>
      </c>
      <c r="F2" s="23" t="s">
        <v>552</v>
      </c>
    </row>
    <row r="3" spans="1:6" x14ac:dyDescent="0.35">
      <c r="A3" s="246"/>
      <c r="B3" s="25" t="s">
        <v>553</v>
      </c>
      <c r="C3" s="23" t="s">
        <v>554</v>
      </c>
      <c r="D3" s="23" t="s">
        <v>555</v>
      </c>
      <c r="E3" s="23" t="s">
        <v>556</v>
      </c>
      <c r="F3" s="23" t="s">
        <v>552</v>
      </c>
    </row>
    <row r="4" spans="1:6" x14ac:dyDescent="0.35">
      <c r="A4" s="247"/>
      <c r="B4" t="s">
        <v>557</v>
      </c>
      <c r="C4" s="34" t="s">
        <v>558</v>
      </c>
      <c r="D4" s="23"/>
      <c r="E4" s="34" t="s">
        <v>559</v>
      </c>
      <c r="F4" s="23" t="s">
        <v>552</v>
      </c>
    </row>
    <row r="5" spans="1:6" x14ac:dyDescent="0.35">
      <c r="A5" s="23"/>
      <c r="B5" s="25"/>
      <c r="C5" s="23"/>
      <c r="D5" s="23"/>
      <c r="E5" s="23"/>
      <c r="F5" s="23"/>
    </row>
    <row r="6" spans="1:6" x14ac:dyDescent="0.35">
      <c r="A6" s="248" t="s">
        <v>592</v>
      </c>
      <c r="B6" s="23"/>
      <c r="C6" s="23" t="s">
        <v>593</v>
      </c>
      <c r="D6" s="23"/>
      <c r="E6" s="23" t="s">
        <v>594</v>
      </c>
      <c r="F6" s="25"/>
    </row>
    <row r="7" spans="1:6" x14ac:dyDescent="0.35">
      <c r="A7" s="248"/>
      <c r="B7" s="23"/>
      <c r="C7" s="23" t="s">
        <v>595</v>
      </c>
      <c r="D7" s="23"/>
      <c r="E7" s="23" t="s">
        <v>596</v>
      </c>
      <c r="F7" s="25"/>
    </row>
    <row r="8" spans="1:6" x14ac:dyDescent="0.35">
      <c r="A8" s="248"/>
      <c r="B8" s="23"/>
      <c r="C8" s="23" t="s">
        <v>597</v>
      </c>
      <c r="D8" s="23"/>
      <c r="E8" s="23" t="s">
        <v>598</v>
      </c>
    </row>
    <row r="9" spans="1:6" x14ac:dyDescent="0.35">
      <c r="A9" s="248"/>
      <c r="B9" s="23"/>
      <c r="C9" s="23" t="s">
        <v>599</v>
      </c>
      <c r="D9" s="23"/>
      <c r="E9" s="23" t="s">
        <v>600</v>
      </c>
    </row>
    <row r="10" spans="1:6" x14ac:dyDescent="0.35">
      <c r="A10" s="248"/>
      <c r="B10" s="23"/>
      <c r="C10" s="23" t="s">
        <v>601</v>
      </c>
      <c r="D10" s="23"/>
      <c r="E10" s="23" t="s">
        <v>602</v>
      </c>
    </row>
    <row r="11" spans="1:6" x14ac:dyDescent="0.35">
      <c r="A11" s="248"/>
      <c r="B11" s="23"/>
      <c r="C11" s="23" t="s">
        <v>603</v>
      </c>
      <c r="D11" s="23"/>
      <c r="E11" s="23" t="s">
        <v>604</v>
      </c>
    </row>
    <row r="12" spans="1:6" x14ac:dyDescent="0.35">
      <c r="A12" s="248"/>
      <c r="B12" s="23"/>
      <c r="C12" s="23" t="s">
        <v>605</v>
      </c>
      <c r="D12" s="23"/>
      <c r="E12" s="23" t="s">
        <v>606</v>
      </c>
    </row>
    <row r="13" spans="1:6" x14ac:dyDescent="0.35">
      <c r="A13" s="248"/>
      <c r="B13" s="23"/>
      <c r="C13" s="23" t="s">
        <v>607</v>
      </c>
      <c r="D13" s="23"/>
      <c r="E13" s="23" t="s">
        <v>608</v>
      </c>
    </row>
    <row r="14" spans="1:6" x14ac:dyDescent="0.35">
      <c r="A14" s="248"/>
      <c r="B14" s="23"/>
      <c r="C14" s="23" t="s">
        <v>609</v>
      </c>
      <c r="D14" s="23"/>
      <c r="E14" s="23" t="s">
        <v>610</v>
      </c>
    </row>
    <row r="15" spans="1:6" x14ac:dyDescent="0.35">
      <c r="A15" s="248"/>
      <c r="B15" s="23"/>
      <c r="C15" s="23" t="s">
        <v>611</v>
      </c>
      <c r="D15" s="23"/>
      <c r="E15" s="23" t="s">
        <v>612</v>
      </c>
    </row>
    <row r="16" spans="1:6" x14ac:dyDescent="0.35">
      <c r="A16" s="248"/>
      <c r="B16" s="23"/>
      <c r="C16" s="23" t="s">
        <v>613</v>
      </c>
      <c r="D16" s="23"/>
      <c r="E16" s="23" t="s">
        <v>614</v>
      </c>
    </row>
    <row r="17" spans="1:5" x14ac:dyDescent="0.35">
      <c r="A17" s="248"/>
      <c r="B17" s="23"/>
      <c r="C17" s="23" t="s">
        <v>615</v>
      </c>
      <c r="D17" s="23"/>
      <c r="E17" s="23" t="s">
        <v>616</v>
      </c>
    </row>
    <row r="18" spans="1:5" x14ac:dyDescent="0.35">
      <c r="A18" s="248"/>
      <c r="B18" s="23"/>
      <c r="C18" s="23" t="s">
        <v>617</v>
      </c>
      <c r="D18" s="23"/>
      <c r="E18" s="23" t="s">
        <v>618</v>
      </c>
    </row>
    <row r="19" spans="1:5" x14ac:dyDescent="0.35">
      <c r="A19" s="248"/>
      <c r="B19" s="23"/>
      <c r="C19" s="23" t="s">
        <v>619</v>
      </c>
      <c r="D19" s="23"/>
      <c r="E19" s="23" t="s">
        <v>620</v>
      </c>
    </row>
    <row r="20" spans="1:5" x14ac:dyDescent="0.35">
      <c r="A20" s="245" t="s">
        <v>621</v>
      </c>
      <c r="B20" s="23"/>
      <c r="C20" s="23" t="s">
        <v>622</v>
      </c>
      <c r="D20" s="23"/>
      <c r="E20" s="23" t="s">
        <v>623</v>
      </c>
    </row>
    <row r="21" spans="1:5" x14ac:dyDescent="0.35">
      <c r="A21" s="246"/>
      <c r="B21" s="23"/>
      <c r="C21" s="23" t="s">
        <v>624</v>
      </c>
      <c r="D21" s="23"/>
      <c r="E21" s="23" t="s">
        <v>625</v>
      </c>
    </row>
    <row r="22" spans="1:5" x14ac:dyDescent="0.35">
      <c r="A22" s="246"/>
      <c r="B22" s="23"/>
      <c r="C22" s="23" t="s">
        <v>626</v>
      </c>
      <c r="D22" s="23"/>
      <c r="E22" s="23" t="s">
        <v>627</v>
      </c>
    </row>
    <row r="23" spans="1:5" x14ac:dyDescent="0.35">
      <c r="A23" s="246"/>
      <c r="B23" s="23"/>
      <c r="C23" s="23" t="s">
        <v>628</v>
      </c>
      <c r="D23" s="23"/>
      <c r="E23" s="23" t="s">
        <v>629</v>
      </c>
    </row>
    <row r="24" spans="1:5" x14ac:dyDescent="0.35">
      <c r="A24" s="246"/>
      <c r="B24" s="23"/>
      <c r="C24" s="23" t="s">
        <v>630</v>
      </c>
      <c r="D24" s="23"/>
      <c r="E24" s="23" t="s">
        <v>631</v>
      </c>
    </row>
    <row r="25" spans="1:5" x14ac:dyDescent="0.35">
      <c r="A25" s="246"/>
      <c r="B25" s="23"/>
      <c r="C25" s="23" t="s">
        <v>632</v>
      </c>
      <c r="D25" s="23"/>
      <c r="E25" s="23" t="s">
        <v>633</v>
      </c>
    </row>
    <row r="26" spans="1:5" x14ac:dyDescent="0.35">
      <c r="A26" s="246"/>
      <c r="B26" s="23"/>
      <c r="C26" s="23" t="s">
        <v>634</v>
      </c>
      <c r="D26" s="23"/>
      <c r="E26" s="23" t="s">
        <v>635</v>
      </c>
    </row>
    <row r="27" spans="1:5" x14ac:dyDescent="0.35">
      <c r="A27" s="246"/>
      <c r="B27" s="23"/>
      <c r="C27" s="23" t="s">
        <v>636</v>
      </c>
      <c r="D27" s="23"/>
      <c r="E27" s="23" t="s">
        <v>637</v>
      </c>
    </row>
    <row r="28" spans="1:5" x14ac:dyDescent="0.35">
      <c r="A28" s="246"/>
      <c r="B28" s="23"/>
      <c r="C28" s="23" t="s">
        <v>638</v>
      </c>
      <c r="D28" s="23"/>
      <c r="E28" s="23" t="s">
        <v>639</v>
      </c>
    </row>
    <row r="29" spans="1:5" x14ac:dyDescent="0.35">
      <c r="A29" s="246"/>
      <c r="B29" s="23"/>
      <c r="C29" s="23" t="s">
        <v>640</v>
      </c>
      <c r="D29" s="23"/>
      <c r="E29" s="23" t="s">
        <v>641</v>
      </c>
    </row>
    <row r="30" spans="1:5" x14ac:dyDescent="0.35">
      <c r="A30" s="247"/>
      <c r="B30" s="23"/>
      <c r="C30" s="23" t="s">
        <v>642</v>
      </c>
      <c r="D30" s="23"/>
      <c r="E30" s="23" t="s">
        <v>643</v>
      </c>
    </row>
    <row r="31" spans="1:5" x14ac:dyDescent="0.35">
      <c r="A31" s="23"/>
      <c r="B31" s="23"/>
      <c r="C31" s="23" t="s">
        <v>644</v>
      </c>
      <c r="D31" s="23"/>
      <c r="E31" s="23" t="s">
        <v>645</v>
      </c>
    </row>
    <row r="32" spans="1:5" x14ac:dyDescent="0.35">
      <c r="A32" s="23"/>
      <c r="B32" s="23"/>
      <c r="C32" s="23" t="s">
        <v>646</v>
      </c>
      <c r="D32" s="23"/>
      <c r="E32" s="23" t="s">
        <v>647</v>
      </c>
    </row>
    <row r="33" spans="1:5" x14ac:dyDescent="0.35">
      <c r="A33" s="23"/>
      <c r="B33" s="23"/>
      <c r="C33" s="23" t="s">
        <v>648</v>
      </c>
      <c r="D33" s="23"/>
      <c r="E33" s="23" t="s">
        <v>649</v>
      </c>
    </row>
    <row r="34" spans="1:5" x14ac:dyDescent="0.35">
      <c r="A34" s="23"/>
      <c r="B34" s="23"/>
      <c r="C34" s="23" t="s">
        <v>650</v>
      </c>
      <c r="D34" s="23"/>
      <c r="E34" s="23" t="s">
        <v>651</v>
      </c>
    </row>
    <row r="35" spans="1:5" x14ac:dyDescent="0.35">
      <c r="A35" s="23"/>
      <c r="B35" s="23"/>
      <c r="C35" s="23" t="s">
        <v>652</v>
      </c>
      <c r="D35" s="23"/>
      <c r="E35" s="23" t="s">
        <v>653</v>
      </c>
    </row>
    <row r="36" spans="1:5" x14ac:dyDescent="0.35">
      <c r="A36" s="23"/>
      <c r="B36" s="23"/>
      <c r="C36" s="23" t="s">
        <v>654</v>
      </c>
      <c r="D36" s="23"/>
      <c r="E36" s="23" t="s">
        <v>655</v>
      </c>
    </row>
    <row r="37" spans="1:5" x14ac:dyDescent="0.35">
      <c r="A37" s="23"/>
      <c r="B37" s="23"/>
      <c r="C37" s="23" t="s">
        <v>656</v>
      </c>
      <c r="D37" s="23"/>
      <c r="E37" s="23" t="s">
        <v>657</v>
      </c>
    </row>
    <row r="38" spans="1:5" x14ac:dyDescent="0.35">
      <c r="A38" s="23"/>
      <c r="B38" s="23"/>
      <c r="C38" s="23" t="s">
        <v>658</v>
      </c>
      <c r="D38" s="23"/>
      <c r="E38" s="23" t="s">
        <v>659</v>
      </c>
    </row>
    <row r="39" spans="1:5" x14ac:dyDescent="0.35">
      <c r="A39" s="23"/>
      <c r="B39" s="23"/>
      <c r="C39" s="23" t="s">
        <v>660</v>
      </c>
      <c r="D39" s="23"/>
      <c r="E39" s="23" t="s">
        <v>661</v>
      </c>
    </row>
    <row r="40" spans="1:5" x14ac:dyDescent="0.35">
      <c r="A40" s="23"/>
      <c r="B40" s="23"/>
      <c r="C40" s="23"/>
      <c r="D40" s="23"/>
      <c r="E40" s="23"/>
    </row>
    <row r="41" spans="1:5" x14ac:dyDescent="0.35">
      <c r="A41" s="23"/>
      <c r="B41" s="28"/>
      <c r="C41" s="28" t="s">
        <v>564</v>
      </c>
      <c r="D41" s="23"/>
      <c r="E41" s="23" t="s">
        <v>565</v>
      </c>
    </row>
    <row r="42" spans="1:5" x14ac:dyDescent="0.35">
      <c r="A42" s="23"/>
      <c r="B42" s="23"/>
      <c r="C42" s="23"/>
      <c r="D42" s="23"/>
      <c r="E42" s="23"/>
    </row>
    <row r="43" spans="1:5" x14ac:dyDescent="0.35">
      <c r="A43" s="23" t="s">
        <v>662</v>
      </c>
      <c r="B43" s="23"/>
      <c r="C43" s="23" t="s">
        <v>663</v>
      </c>
      <c r="D43" s="23"/>
      <c r="E43" s="23"/>
    </row>
    <row r="44" spans="1:5" x14ac:dyDescent="0.35">
      <c r="A44" s="23"/>
      <c r="B44" s="23"/>
      <c r="C44" s="23"/>
      <c r="D44" s="23"/>
      <c r="E44" s="23"/>
    </row>
    <row r="45" spans="1:5" x14ac:dyDescent="0.35">
      <c r="A45" s="23" t="s">
        <v>566</v>
      </c>
      <c r="B45" s="23"/>
      <c r="C45" s="23" t="s">
        <v>567</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98"/>
  <sheetViews>
    <sheetView showGridLines="0" tabSelected="1" topLeftCell="A83" zoomScale="62" zoomScaleNormal="60" workbookViewId="0">
      <selection activeCell="G86" sqref="G86"/>
    </sheetView>
  </sheetViews>
  <sheetFormatPr defaultColWidth="8.54296875" defaultRowHeight="14.5" x14ac:dyDescent="0.35"/>
  <cols>
    <col min="1" max="1" width="3.1796875" customWidth="1"/>
    <col min="2" max="2" width="36.81640625" style="53" customWidth="1"/>
    <col min="3" max="3" width="31" style="33" bestFit="1" customWidth="1"/>
    <col min="4" max="4" width="40.7265625" style="33" bestFit="1" customWidth="1"/>
    <col min="5" max="5" width="14.81640625" style="51" bestFit="1" customWidth="1"/>
    <col min="6" max="6" width="51.453125" style="51" customWidth="1"/>
    <col min="7" max="7" width="34" style="54" customWidth="1"/>
    <col min="8" max="8" width="27.7265625" style="51" customWidth="1"/>
    <col min="9" max="9" width="15.1796875" style="54" customWidth="1"/>
    <col min="10" max="10" width="23.1796875" style="54" customWidth="1"/>
    <col min="11" max="11" width="22.1796875" style="53" customWidth="1"/>
    <col min="12" max="12" width="22.54296875" style="53" customWidth="1"/>
    <col min="13" max="13" width="42.81640625" style="53" customWidth="1"/>
    <col min="14" max="14" width="56.54296875" style="54" customWidth="1"/>
    <col min="15" max="15" width="61.81640625" style="51" customWidth="1"/>
    <col min="16" max="16" width="29" style="54" customWidth="1"/>
    <col min="17" max="17" width="28.54296875" style="54" customWidth="1"/>
    <col min="18" max="18" width="95.54296875" style="54" customWidth="1"/>
    <col min="19" max="19" width="128" style="33" customWidth="1"/>
    <col min="20" max="20" width="56" style="33" customWidth="1"/>
    <col min="21" max="21" width="194.7265625" style="33" customWidth="1"/>
    <col min="22" max="22" width="25.453125" style="52" customWidth="1"/>
    <col min="23" max="23" width="33.453125" style="52" customWidth="1"/>
    <col min="24" max="24" width="98" style="52" customWidth="1"/>
    <col min="25" max="25" width="68" style="52" customWidth="1"/>
    <col min="26" max="26" width="43.54296875" style="52" hidden="1" customWidth="1"/>
    <col min="27" max="27" width="45.81640625" style="33" customWidth="1"/>
  </cols>
  <sheetData>
    <row r="1" spans="1:27" s="33" customFormat="1" x14ac:dyDescent="0.35">
      <c r="A1" s="27"/>
      <c r="B1" s="53"/>
      <c r="E1" s="51"/>
      <c r="F1" s="51"/>
      <c r="G1" s="54"/>
      <c r="H1" s="51"/>
      <c r="I1" s="54"/>
      <c r="J1" s="54"/>
      <c r="K1" s="53"/>
      <c r="L1" s="53"/>
      <c r="M1" s="53"/>
      <c r="N1" s="54"/>
      <c r="O1" s="51"/>
      <c r="P1" s="54"/>
      <c r="Q1" s="54"/>
      <c r="R1" s="54"/>
      <c r="V1" s="52"/>
      <c r="W1" s="52"/>
      <c r="X1" s="52"/>
      <c r="Y1" s="52"/>
      <c r="Z1" s="52"/>
    </row>
    <row r="2" spans="1:27" s="33" customFormat="1" x14ac:dyDescent="0.35">
      <c r="A2" s="27"/>
      <c r="B2" s="53"/>
      <c r="E2" s="51"/>
      <c r="F2" s="51"/>
      <c r="G2" s="54"/>
      <c r="H2" s="51"/>
      <c r="I2" s="54"/>
      <c r="J2" s="54"/>
      <c r="K2" s="53"/>
      <c r="L2" s="53"/>
      <c r="M2" s="53"/>
      <c r="N2" s="54"/>
      <c r="O2" s="51"/>
      <c r="P2" s="54"/>
      <c r="Q2" s="54"/>
      <c r="R2" s="54"/>
      <c r="V2" s="52"/>
      <c r="W2" s="52"/>
      <c r="X2" s="52"/>
      <c r="Y2" s="52"/>
      <c r="Z2" s="52"/>
    </row>
    <row r="3" spans="1:27" s="33" customFormat="1" x14ac:dyDescent="0.2">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x14ac:dyDescent="0.35">
      <c r="A4" s="27"/>
      <c r="B4" s="53"/>
      <c r="E4" s="51"/>
      <c r="F4" s="51"/>
      <c r="G4" s="54"/>
      <c r="H4" s="51"/>
      <c r="I4" s="54"/>
      <c r="J4" s="54"/>
      <c r="K4" s="53"/>
      <c r="L4" s="53"/>
      <c r="M4" s="53"/>
      <c r="N4" s="54"/>
      <c r="O4" s="51"/>
      <c r="P4" s="54"/>
      <c r="Q4" s="54"/>
      <c r="R4" s="54"/>
      <c r="V4" s="52"/>
      <c r="W4" s="52"/>
      <c r="X4" s="52"/>
      <c r="Y4" s="52"/>
      <c r="Z4" s="52"/>
    </row>
    <row r="5" spans="1:27" s="51" customFormat="1" x14ac:dyDescent="0.35">
      <c r="B5" s="254" t="s">
        <v>664</v>
      </c>
      <c r="C5" s="254"/>
      <c r="D5" s="254"/>
      <c r="E5" s="254"/>
      <c r="F5" s="254"/>
      <c r="G5" s="254"/>
      <c r="H5" s="254"/>
      <c r="I5" s="254"/>
      <c r="J5" s="254"/>
      <c r="K5" s="254"/>
      <c r="L5" s="254"/>
      <c r="M5" s="254"/>
      <c r="N5" s="254"/>
      <c r="O5" s="254"/>
      <c r="P5" s="256" t="s">
        <v>665</v>
      </c>
      <c r="Q5" s="256"/>
      <c r="R5" s="258" t="s">
        <v>666</v>
      </c>
      <c r="S5" s="259"/>
      <c r="T5" s="259"/>
      <c r="U5" s="259"/>
      <c r="V5" s="259"/>
      <c r="W5" s="249" t="s">
        <v>667</v>
      </c>
      <c r="X5" s="250"/>
      <c r="Y5" s="250"/>
      <c r="Z5" s="250"/>
      <c r="AA5" s="251"/>
    </row>
    <row r="6" spans="1:27" s="33" customFormat="1" x14ac:dyDescent="0.35">
      <c r="A6" s="27"/>
      <c r="B6" s="255" t="s">
        <v>668</v>
      </c>
      <c r="C6" s="255"/>
      <c r="D6" s="255"/>
      <c r="E6" s="255"/>
      <c r="F6" s="255"/>
      <c r="G6" s="255"/>
      <c r="H6" s="255"/>
      <c r="I6" s="255"/>
      <c r="J6" s="255"/>
      <c r="K6" s="255"/>
      <c r="L6" s="255"/>
      <c r="M6" s="255"/>
      <c r="N6" s="255"/>
      <c r="O6" s="255"/>
      <c r="P6" s="257" t="s">
        <v>669</v>
      </c>
      <c r="Q6" s="257"/>
      <c r="R6" s="259" t="s">
        <v>670</v>
      </c>
      <c r="S6" s="259"/>
      <c r="T6" s="259"/>
      <c r="U6" s="260"/>
      <c r="V6" s="74" t="s">
        <v>671</v>
      </c>
      <c r="W6" s="252" t="s">
        <v>672</v>
      </c>
      <c r="X6" s="253"/>
      <c r="Y6" s="253"/>
      <c r="Z6" s="253"/>
      <c r="AA6" s="77"/>
    </row>
    <row r="7" spans="1:27" s="53" customFormat="1" x14ac:dyDescent="0.35">
      <c r="B7" s="55" t="s">
        <v>673</v>
      </c>
      <c r="C7" s="55" t="s">
        <v>674</v>
      </c>
      <c r="D7" s="55" t="s">
        <v>675</v>
      </c>
      <c r="E7" s="55" t="s">
        <v>676</v>
      </c>
      <c r="F7" s="71" t="s">
        <v>677</v>
      </c>
      <c r="G7" s="71" t="s">
        <v>678</v>
      </c>
      <c r="H7" s="55" t="s">
        <v>679</v>
      </c>
      <c r="I7" s="55" t="s">
        <v>680</v>
      </c>
      <c r="J7" s="72" t="s">
        <v>681</v>
      </c>
      <c r="K7" s="55" t="s">
        <v>682</v>
      </c>
      <c r="L7" s="55" t="s">
        <v>683</v>
      </c>
      <c r="M7" s="55" t="s">
        <v>684</v>
      </c>
      <c r="N7" s="55" t="s">
        <v>685</v>
      </c>
      <c r="O7" s="55" t="s">
        <v>686</v>
      </c>
      <c r="P7" s="55" t="s">
        <v>687</v>
      </c>
      <c r="Q7" s="55" t="s">
        <v>688</v>
      </c>
      <c r="R7" s="73" t="s">
        <v>689</v>
      </c>
      <c r="S7" s="73" t="s">
        <v>690</v>
      </c>
      <c r="T7" s="73" t="s">
        <v>691</v>
      </c>
      <c r="U7" s="73" t="s">
        <v>692</v>
      </c>
      <c r="V7" s="73" t="s">
        <v>693</v>
      </c>
      <c r="W7" s="73" t="s">
        <v>694</v>
      </c>
      <c r="X7" s="73" t="s">
        <v>695</v>
      </c>
      <c r="Y7" s="73" t="s">
        <v>696</v>
      </c>
      <c r="Z7" s="83" t="s">
        <v>697</v>
      </c>
      <c r="AA7" s="76" t="s">
        <v>698</v>
      </c>
    </row>
    <row r="8" spans="1:27" s="53" customFormat="1" ht="159.5" x14ac:dyDescent="0.35">
      <c r="B8" s="66" t="s">
        <v>4</v>
      </c>
      <c r="C8" s="66" t="s">
        <v>699</v>
      </c>
      <c r="D8" s="66" t="s">
        <v>5</v>
      </c>
      <c r="E8" s="222">
        <v>2</v>
      </c>
      <c r="F8" s="223" t="s">
        <v>700</v>
      </c>
      <c r="G8" s="224" t="s">
        <v>701</v>
      </c>
      <c r="H8" s="66" t="s">
        <v>702</v>
      </c>
      <c r="I8" s="222">
        <v>13</v>
      </c>
      <c r="J8" s="224" t="s">
        <v>703</v>
      </c>
      <c r="K8" s="222">
        <v>23</v>
      </c>
      <c r="L8" s="222">
        <v>6</v>
      </c>
      <c r="M8" s="225" t="s">
        <v>704</v>
      </c>
      <c r="N8" s="225" t="s">
        <v>705</v>
      </c>
      <c r="O8" s="222"/>
      <c r="P8" s="79"/>
      <c r="Q8" s="79"/>
      <c r="R8" s="67" t="s">
        <v>706</v>
      </c>
      <c r="S8" s="67" t="s">
        <v>707</v>
      </c>
      <c r="T8" s="67" t="s">
        <v>708</v>
      </c>
      <c r="U8" s="178" t="s">
        <v>709</v>
      </c>
      <c r="V8" s="66"/>
      <c r="W8" s="79" t="s">
        <v>710</v>
      </c>
      <c r="X8" s="81" t="s">
        <v>707</v>
      </c>
      <c r="Y8" s="95" t="s">
        <v>711</v>
      </c>
      <c r="Z8" s="84"/>
      <c r="AA8" s="102" t="s">
        <v>712</v>
      </c>
    </row>
    <row r="9" spans="1:27" s="53" customFormat="1" x14ac:dyDescent="0.35">
      <c r="B9" s="223" t="s">
        <v>10</v>
      </c>
      <c r="C9" s="223" t="s">
        <v>713</v>
      </c>
      <c r="D9" s="223" t="s">
        <v>11</v>
      </c>
      <c r="E9" s="222">
        <v>2</v>
      </c>
      <c r="F9" s="223" t="s">
        <v>700</v>
      </c>
      <c r="G9" s="223" t="s">
        <v>701</v>
      </c>
      <c r="H9" s="66"/>
      <c r="I9" s="222">
        <v>7</v>
      </c>
      <c r="J9" s="223" t="s">
        <v>703</v>
      </c>
      <c r="K9" s="222">
        <v>23</v>
      </c>
      <c r="L9" s="222">
        <v>6</v>
      </c>
      <c r="M9" s="67" t="s">
        <v>714</v>
      </c>
      <c r="N9" s="115" t="s">
        <v>705</v>
      </c>
      <c r="O9" s="78"/>
      <c r="P9" s="91"/>
      <c r="Q9" s="78"/>
      <c r="R9" s="68" t="s">
        <v>715</v>
      </c>
      <c r="S9" s="68" t="s">
        <v>716</v>
      </c>
      <c r="T9" s="68" t="s">
        <v>717</v>
      </c>
      <c r="U9" s="68" t="s">
        <v>718</v>
      </c>
      <c r="V9" s="68"/>
      <c r="W9" s="89" t="s">
        <v>719</v>
      </c>
      <c r="X9" s="88" t="s">
        <v>720</v>
      </c>
      <c r="Y9" s="68" t="s">
        <v>717</v>
      </c>
      <c r="Z9" s="75"/>
      <c r="AA9" s="78" t="s">
        <v>721</v>
      </c>
    </row>
    <row r="10" spans="1:27" s="53" customFormat="1" ht="72.5" x14ac:dyDescent="0.35">
      <c r="B10" s="223" t="s">
        <v>7</v>
      </c>
      <c r="C10" s="223" t="s">
        <v>722</v>
      </c>
      <c r="D10" s="223" t="s">
        <v>8</v>
      </c>
      <c r="E10" s="222">
        <v>2</v>
      </c>
      <c r="F10" s="223" t="s">
        <v>700</v>
      </c>
      <c r="G10" s="224" t="s">
        <v>701</v>
      </c>
      <c r="H10" s="66"/>
      <c r="I10" s="222">
        <v>11</v>
      </c>
      <c r="J10" s="224" t="s">
        <v>703</v>
      </c>
      <c r="K10" s="222">
        <v>23</v>
      </c>
      <c r="L10" s="222">
        <v>6</v>
      </c>
      <c r="M10" s="225" t="s">
        <v>704</v>
      </c>
      <c r="N10" s="225" t="s">
        <v>705</v>
      </c>
      <c r="O10" s="222"/>
      <c r="P10" s="66"/>
      <c r="Q10" s="66"/>
      <c r="R10" s="67" t="s">
        <v>723</v>
      </c>
      <c r="S10" s="67" t="s">
        <v>724</v>
      </c>
      <c r="T10" s="67" t="s">
        <v>725</v>
      </c>
      <c r="U10" s="187" t="s">
        <v>726</v>
      </c>
      <c r="V10" s="66"/>
      <c r="W10" s="79" t="s">
        <v>727</v>
      </c>
      <c r="X10" s="107" t="s">
        <v>724</v>
      </c>
      <c r="Y10" s="98" t="s">
        <v>728</v>
      </c>
      <c r="Z10" s="92"/>
      <c r="AA10" s="102" t="s">
        <v>729</v>
      </c>
    </row>
    <row r="11" spans="1:27" s="53" customFormat="1" ht="275.5" x14ac:dyDescent="0.35">
      <c r="B11" s="223" t="s">
        <v>13</v>
      </c>
      <c r="C11" s="66" t="s">
        <v>730</v>
      </c>
      <c r="D11" s="67" t="s">
        <v>16</v>
      </c>
      <c r="E11" s="222">
        <v>2</v>
      </c>
      <c r="F11" s="223" t="s">
        <v>700</v>
      </c>
      <c r="G11" s="224" t="s">
        <v>701</v>
      </c>
      <c r="H11" s="66"/>
      <c r="I11" s="222">
        <v>11</v>
      </c>
      <c r="J11" s="224" t="s">
        <v>703</v>
      </c>
      <c r="K11" s="222">
        <v>23</v>
      </c>
      <c r="L11" s="222">
        <v>6</v>
      </c>
      <c r="M11" s="225" t="s">
        <v>704</v>
      </c>
      <c r="N11" s="225" t="s">
        <v>705</v>
      </c>
      <c r="O11" s="222"/>
      <c r="P11" s="66"/>
      <c r="Q11" s="66"/>
      <c r="R11" s="67" t="s">
        <v>731</v>
      </c>
      <c r="S11" s="67" t="s">
        <v>732</v>
      </c>
      <c r="T11" s="67" t="s">
        <v>733</v>
      </c>
      <c r="U11" s="178" t="s">
        <v>734</v>
      </c>
      <c r="V11" s="66"/>
      <c r="W11" s="107" t="s">
        <v>735</v>
      </c>
      <c r="X11" s="103" t="s">
        <v>736</v>
      </c>
      <c r="Y11" s="98" t="s">
        <v>737</v>
      </c>
      <c r="Z11" s="99"/>
      <c r="AA11" s="102" t="s">
        <v>738</v>
      </c>
    </row>
    <row r="12" spans="1:27" s="53" customFormat="1" ht="159.5" x14ac:dyDescent="0.35">
      <c r="B12" s="66" t="s">
        <v>4</v>
      </c>
      <c r="C12" s="66" t="s">
        <v>699</v>
      </c>
      <c r="D12" s="66" t="s">
        <v>5</v>
      </c>
      <c r="E12" s="222">
        <v>3</v>
      </c>
      <c r="F12" s="223" t="s">
        <v>739</v>
      </c>
      <c r="G12" s="223" t="s">
        <v>740</v>
      </c>
      <c r="H12" s="66" t="s">
        <v>702</v>
      </c>
      <c r="I12" s="222">
        <v>4</v>
      </c>
      <c r="J12" s="224" t="s">
        <v>741</v>
      </c>
      <c r="K12" s="222">
        <v>35</v>
      </c>
      <c r="L12" s="222"/>
      <c r="M12" s="225" t="s">
        <v>742</v>
      </c>
      <c r="N12" s="225" t="s">
        <v>743</v>
      </c>
      <c r="O12" s="222"/>
      <c r="P12" s="226"/>
      <c r="Q12" s="226"/>
      <c r="R12" s="67" t="s">
        <v>706</v>
      </c>
      <c r="S12" s="67" t="s">
        <v>707</v>
      </c>
      <c r="T12" s="67" t="s">
        <v>744</v>
      </c>
      <c r="U12" s="178" t="s">
        <v>745</v>
      </c>
      <c r="V12" s="66"/>
      <c r="W12" s="79" t="s">
        <v>710</v>
      </c>
      <c r="X12" s="81" t="s">
        <v>707</v>
      </c>
      <c r="Y12" s="191" t="s">
        <v>746</v>
      </c>
      <c r="Z12" s="93"/>
      <c r="AA12" s="102" t="s">
        <v>712</v>
      </c>
    </row>
    <row r="13" spans="1:27" s="53" customFormat="1" ht="159.5" x14ac:dyDescent="0.35">
      <c r="B13" s="66" t="s">
        <v>4</v>
      </c>
      <c r="C13" s="66" t="s">
        <v>699</v>
      </c>
      <c r="D13" s="66" t="s">
        <v>5</v>
      </c>
      <c r="E13" s="222">
        <v>2</v>
      </c>
      <c r="F13" s="223" t="s">
        <v>747</v>
      </c>
      <c r="G13" s="223" t="s">
        <v>748</v>
      </c>
      <c r="H13" s="80" t="s">
        <v>749</v>
      </c>
      <c r="I13" s="222">
        <v>2</v>
      </c>
      <c r="J13" s="224" t="s">
        <v>741</v>
      </c>
      <c r="K13" s="222">
        <v>35</v>
      </c>
      <c r="L13" s="222"/>
      <c r="M13" s="225" t="s">
        <v>750</v>
      </c>
      <c r="N13" s="225" t="s">
        <v>751</v>
      </c>
      <c r="O13" s="222" t="s">
        <v>752</v>
      </c>
      <c r="P13" s="226"/>
      <c r="Q13" s="226"/>
      <c r="R13" s="67" t="s">
        <v>706</v>
      </c>
      <c r="S13" s="67" t="s">
        <v>707</v>
      </c>
      <c r="T13" s="67" t="s">
        <v>753</v>
      </c>
      <c r="U13" s="178" t="s">
        <v>754</v>
      </c>
      <c r="V13" s="66"/>
      <c r="W13" s="79" t="s">
        <v>710</v>
      </c>
      <c r="X13" s="81" t="s">
        <v>707</v>
      </c>
      <c r="Y13" s="191" t="s">
        <v>755</v>
      </c>
      <c r="Z13" s="93"/>
      <c r="AA13" s="102" t="s">
        <v>712</v>
      </c>
    </row>
    <row r="14" spans="1:27" s="53" customFormat="1" ht="39.75" customHeight="1" x14ac:dyDescent="0.35">
      <c r="B14" s="227" t="s">
        <v>18</v>
      </c>
      <c r="C14" s="227" t="s">
        <v>756</v>
      </c>
      <c r="D14" s="227" t="s">
        <v>757</v>
      </c>
      <c r="E14" s="228">
        <v>0</v>
      </c>
      <c r="F14" s="227" t="s">
        <v>758</v>
      </c>
      <c r="G14" s="227" t="s">
        <v>759</v>
      </c>
      <c r="H14" s="68"/>
      <c r="I14" s="228">
        <v>1</v>
      </c>
      <c r="J14" s="224" t="s">
        <v>741</v>
      </c>
      <c r="K14" s="228">
        <v>14</v>
      </c>
      <c r="L14" s="228"/>
      <c r="M14" s="229" t="s">
        <v>760</v>
      </c>
      <c r="N14" s="227" t="s">
        <v>761</v>
      </c>
      <c r="O14" s="228" t="s">
        <v>752</v>
      </c>
      <c r="P14" s="226"/>
      <c r="Q14" s="226"/>
      <c r="R14" s="98" t="s">
        <v>762</v>
      </c>
      <c r="S14" s="98" t="s">
        <v>763</v>
      </c>
      <c r="T14" s="103" t="s">
        <v>764</v>
      </c>
      <c r="U14" s="219" t="s">
        <v>765</v>
      </c>
      <c r="V14" s="68"/>
      <c r="W14" s="103" t="s">
        <v>766</v>
      </c>
      <c r="X14" s="103" t="s">
        <v>763</v>
      </c>
      <c r="Y14" s="103" t="s">
        <v>764</v>
      </c>
      <c r="Z14" s="89"/>
      <c r="AA14" s="102" t="s">
        <v>767</v>
      </c>
    </row>
    <row r="15" spans="1:27" s="53" customFormat="1" ht="39.75" customHeight="1" x14ac:dyDescent="0.35">
      <c r="B15" s="66" t="s">
        <v>4</v>
      </c>
      <c r="C15" s="66" t="s">
        <v>699</v>
      </c>
      <c r="D15" s="66" t="s">
        <v>5</v>
      </c>
      <c r="E15" s="222">
        <v>2</v>
      </c>
      <c r="F15" s="223" t="s">
        <v>768</v>
      </c>
      <c r="G15" s="224" t="s">
        <v>769</v>
      </c>
      <c r="H15" s="66" t="s">
        <v>770</v>
      </c>
      <c r="I15" s="222">
        <v>12</v>
      </c>
      <c r="J15" s="224" t="s">
        <v>741</v>
      </c>
      <c r="K15" s="222">
        <v>4</v>
      </c>
      <c r="L15" s="222"/>
      <c r="M15" s="67" t="s">
        <v>771</v>
      </c>
      <c r="N15" s="67" t="s">
        <v>772</v>
      </c>
      <c r="O15" s="222"/>
      <c r="P15" s="79"/>
      <c r="Q15" s="79"/>
      <c r="R15" s="67" t="s">
        <v>773</v>
      </c>
      <c r="S15" s="67" t="s">
        <v>774</v>
      </c>
      <c r="T15" s="67" t="s">
        <v>775</v>
      </c>
      <c r="U15" s="178" t="s">
        <v>776</v>
      </c>
      <c r="V15" s="66"/>
      <c r="W15" s="79" t="s">
        <v>710</v>
      </c>
      <c r="X15" s="103" t="s">
        <v>777</v>
      </c>
      <c r="Y15" s="103" t="s">
        <v>775</v>
      </c>
      <c r="Z15" s="84"/>
      <c r="AA15" s="102" t="s">
        <v>712</v>
      </c>
    </row>
    <row r="16" spans="1:27" s="53" customFormat="1" ht="39.75" customHeight="1" x14ac:dyDescent="0.35">
      <c r="B16" s="223" t="s">
        <v>10</v>
      </c>
      <c r="C16" s="223" t="s">
        <v>713</v>
      </c>
      <c r="D16" s="223" t="s">
        <v>11</v>
      </c>
      <c r="E16" s="222">
        <v>2</v>
      </c>
      <c r="F16" s="223" t="s">
        <v>768</v>
      </c>
      <c r="G16" s="223" t="s">
        <v>769</v>
      </c>
      <c r="H16" s="66"/>
      <c r="I16" s="222">
        <v>6</v>
      </c>
      <c r="J16" s="223" t="s">
        <v>741</v>
      </c>
      <c r="K16" s="222">
        <v>4</v>
      </c>
      <c r="L16" s="222"/>
      <c r="M16" s="67" t="s">
        <v>778</v>
      </c>
      <c r="N16" s="115" t="s">
        <v>779</v>
      </c>
      <c r="O16" s="78"/>
      <c r="P16" s="84"/>
      <c r="Q16" s="196"/>
      <c r="R16" s="68" t="s">
        <v>780</v>
      </c>
      <c r="S16" s="68" t="s">
        <v>780</v>
      </c>
      <c r="T16" s="68" t="s">
        <v>780</v>
      </c>
      <c r="U16" s="68" t="s">
        <v>781</v>
      </c>
      <c r="V16" s="68"/>
      <c r="W16" s="89" t="s">
        <v>719</v>
      </c>
      <c r="X16" s="88" t="s">
        <v>720</v>
      </c>
      <c r="Y16" s="79" t="s">
        <v>721</v>
      </c>
      <c r="Z16" s="89"/>
      <c r="AA16" s="78" t="s">
        <v>782</v>
      </c>
    </row>
    <row r="17" spans="2:27" s="53" customFormat="1" ht="39.75" customHeight="1" x14ac:dyDescent="0.35">
      <c r="B17" s="223" t="s">
        <v>7</v>
      </c>
      <c r="C17" s="223" t="s">
        <v>722</v>
      </c>
      <c r="D17" s="223" t="s">
        <v>8</v>
      </c>
      <c r="E17" s="222">
        <v>2</v>
      </c>
      <c r="F17" s="223" t="s">
        <v>768</v>
      </c>
      <c r="G17" s="224" t="s">
        <v>769</v>
      </c>
      <c r="H17" s="66"/>
      <c r="I17" s="222">
        <v>10</v>
      </c>
      <c r="J17" s="224" t="s">
        <v>741</v>
      </c>
      <c r="K17" s="222">
        <v>4</v>
      </c>
      <c r="L17" s="222"/>
      <c r="M17" s="67" t="s">
        <v>783</v>
      </c>
      <c r="N17" s="67" t="s">
        <v>779</v>
      </c>
      <c r="O17" s="222"/>
      <c r="P17" s="79"/>
      <c r="Q17" s="79"/>
      <c r="R17" s="67" t="s">
        <v>784</v>
      </c>
      <c r="S17" s="67" t="s">
        <v>785</v>
      </c>
      <c r="T17" s="67" t="s">
        <v>786</v>
      </c>
      <c r="U17" s="178" t="s">
        <v>787</v>
      </c>
      <c r="V17" s="66"/>
      <c r="W17" s="79" t="s">
        <v>727</v>
      </c>
      <c r="X17" s="107" t="s">
        <v>788</v>
      </c>
      <c r="Y17" s="107" t="s">
        <v>786</v>
      </c>
      <c r="Z17" s="84"/>
      <c r="AA17" s="102" t="s">
        <v>729</v>
      </c>
    </row>
    <row r="18" spans="2:27" s="53" customFormat="1" ht="39.75" customHeight="1" x14ac:dyDescent="0.35">
      <c r="B18" s="223" t="s">
        <v>13</v>
      </c>
      <c r="C18" s="66" t="s">
        <v>730</v>
      </c>
      <c r="D18" s="67" t="s">
        <v>16</v>
      </c>
      <c r="E18" s="222">
        <v>2</v>
      </c>
      <c r="F18" s="223" t="s">
        <v>768</v>
      </c>
      <c r="G18" s="224" t="s">
        <v>769</v>
      </c>
      <c r="H18" s="66"/>
      <c r="I18" s="222">
        <v>10</v>
      </c>
      <c r="J18" s="224" t="s">
        <v>741</v>
      </c>
      <c r="K18" s="222">
        <v>4</v>
      </c>
      <c r="L18" s="222"/>
      <c r="M18" s="67" t="s">
        <v>771</v>
      </c>
      <c r="N18" s="67" t="s">
        <v>772</v>
      </c>
      <c r="O18" s="222"/>
      <c r="P18" s="66"/>
      <c r="Q18" s="66"/>
      <c r="R18" s="67" t="s">
        <v>789</v>
      </c>
      <c r="S18" s="67" t="s">
        <v>790</v>
      </c>
      <c r="T18" s="67" t="s">
        <v>791</v>
      </c>
      <c r="U18" s="178" t="s">
        <v>792</v>
      </c>
      <c r="V18" s="66"/>
      <c r="W18" s="107" t="s">
        <v>735</v>
      </c>
      <c r="X18" s="103" t="s">
        <v>793</v>
      </c>
      <c r="Y18" s="98" t="s">
        <v>794</v>
      </c>
      <c r="Z18" s="86"/>
      <c r="AA18" s="102" t="s">
        <v>738</v>
      </c>
    </row>
    <row r="19" spans="2:27" s="53" customFormat="1" ht="39.75" customHeight="1" x14ac:dyDescent="0.35">
      <c r="B19" s="66" t="s">
        <v>4</v>
      </c>
      <c r="C19" s="66" t="s">
        <v>699</v>
      </c>
      <c r="D19" s="66" t="s">
        <v>5</v>
      </c>
      <c r="E19" s="222">
        <v>2</v>
      </c>
      <c r="F19" s="223" t="s">
        <v>795</v>
      </c>
      <c r="G19" s="224" t="s">
        <v>796</v>
      </c>
      <c r="H19" s="80" t="s">
        <v>797</v>
      </c>
      <c r="I19" s="222">
        <v>17</v>
      </c>
      <c r="J19" s="80" t="s">
        <v>741</v>
      </c>
      <c r="K19" s="87">
        <v>10</v>
      </c>
      <c r="L19" s="222"/>
      <c r="M19" s="67" t="s">
        <v>798</v>
      </c>
      <c r="N19" s="67" t="s">
        <v>799</v>
      </c>
      <c r="O19" s="222" t="s">
        <v>752</v>
      </c>
      <c r="P19" s="66"/>
      <c r="Q19" s="66"/>
      <c r="R19" s="67" t="s">
        <v>706</v>
      </c>
      <c r="S19" s="67" t="s">
        <v>707</v>
      </c>
      <c r="T19" s="67" t="s">
        <v>800</v>
      </c>
      <c r="U19" s="178" t="s">
        <v>801</v>
      </c>
      <c r="V19" s="66"/>
      <c r="W19" s="200" t="s">
        <v>712</v>
      </c>
      <c r="X19" s="200" t="s">
        <v>712</v>
      </c>
      <c r="Y19" s="200" t="s">
        <v>712</v>
      </c>
      <c r="Z19" s="84"/>
      <c r="AA19" s="102" t="s">
        <v>712</v>
      </c>
    </row>
    <row r="20" spans="2:27" s="53" customFormat="1" ht="39.75" customHeight="1" x14ac:dyDescent="0.35">
      <c r="B20" s="223" t="s">
        <v>13</v>
      </c>
      <c r="C20" s="66" t="s">
        <v>802</v>
      </c>
      <c r="D20" s="66" t="s">
        <v>14</v>
      </c>
      <c r="E20" s="222">
        <v>2</v>
      </c>
      <c r="F20" s="223" t="s">
        <v>795</v>
      </c>
      <c r="G20" s="224" t="s">
        <v>796</v>
      </c>
      <c r="H20" s="80"/>
      <c r="I20" s="87">
        <v>15</v>
      </c>
      <c r="J20" s="80" t="s">
        <v>741</v>
      </c>
      <c r="K20" s="87"/>
      <c r="L20" s="222"/>
      <c r="M20" s="67" t="s">
        <v>798</v>
      </c>
      <c r="N20" s="67" t="s">
        <v>799</v>
      </c>
      <c r="O20" s="222"/>
      <c r="P20" s="66"/>
      <c r="Q20" s="66"/>
      <c r="R20" s="67" t="s">
        <v>803</v>
      </c>
      <c r="S20" s="66" t="s">
        <v>804</v>
      </c>
      <c r="T20" s="66" t="s">
        <v>805</v>
      </c>
      <c r="U20" s="178" t="s">
        <v>806</v>
      </c>
      <c r="V20" s="66"/>
      <c r="W20" s="89" t="s">
        <v>780</v>
      </c>
      <c r="X20" s="89" t="s">
        <v>780</v>
      </c>
      <c r="Y20" s="89" t="s">
        <v>780</v>
      </c>
      <c r="Z20" s="84"/>
      <c r="AA20" s="78"/>
    </row>
    <row r="21" spans="2:27" s="53" customFormat="1" ht="39.75" customHeight="1" x14ac:dyDescent="0.35">
      <c r="B21" s="223" t="s">
        <v>10</v>
      </c>
      <c r="C21" s="223" t="s">
        <v>713</v>
      </c>
      <c r="D21" s="223" t="s">
        <v>11</v>
      </c>
      <c r="E21" s="222">
        <v>2</v>
      </c>
      <c r="F21" s="223" t="s">
        <v>795</v>
      </c>
      <c r="G21" s="223" t="s">
        <v>796</v>
      </c>
      <c r="H21" s="66" t="s">
        <v>797</v>
      </c>
      <c r="I21" s="222">
        <v>10</v>
      </c>
      <c r="J21" s="223" t="s">
        <v>741</v>
      </c>
      <c r="K21" s="222">
        <v>10</v>
      </c>
      <c r="L21" s="222"/>
      <c r="M21" s="98" t="s">
        <v>798</v>
      </c>
      <c r="N21" s="98" t="s">
        <v>799</v>
      </c>
      <c r="O21" s="78" t="s">
        <v>752</v>
      </c>
      <c r="P21" s="91"/>
      <c r="Q21" s="78"/>
      <c r="R21" s="68" t="s">
        <v>715</v>
      </c>
      <c r="S21" s="68" t="s">
        <v>716</v>
      </c>
      <c r="T21" s="68" t="s">
        <v>805</v>
      </c>
      <c r="U21" s="68" t="s">
        <v>807</v>
      </c>
      <c r="V21" s="68"/>
      <c r="W21" s="89" t="s">
        <v>721</v>
      </c>
      <c r="X21" s="89" t="s">
        <v>721</v>
      </c>
      <c r="Y21" s="75" t="s">
        <v>721</v>
      </c>
      <c r="Z21" s="89" t="s">
        <v>721</v>
      </c>
      <c r="AA21" s="78" t="s">
        <v>721</v>
      </c>
    </row>
    <row r="22" spans="2:27" s="53" customFormat="1" ht="39.75" customHeight="1" x14ac:dyDescent="0.35">
      <c r="B22" s="223" t="s">
        <v>7</v>
      </c>
      <c r="C22" s="223" t="s">
        <v>722</v>
      </c>
      <c r="D22" s="223" t="s">
        <v>8</v>
      </c>
      <c r="E22" s="222">
        <v>2</v>
      </c>
      <c r="F22" s="223" t="s">
        <v>795</v>
      </c>
      <c r="G22" s="224" t="s">
        <v>796</v>
      </c>
      <c r="H22" s="80" t="s">
        <v>797</v>
      </c>
      <c r="I22" s="222">
        <v>15</v>
      </c>
      <c r="J22" s="80" t="s">
        <v>741</v>
      </c>
      <c r="K22" s="87">
        <v>10</v>
      </c>
      <c r="L22" s="222"/>
      <c r="M22" s="67" t="s">
        <v>798</v>
      </c>
      <c r="N22" s="67" t="s">
        <v>799</v>
      </c>
      <c r="O22" s="222"/>
      <c r="P22" s="66"/>
      <c r="Q22" s="66"/>
      <c r="R22" s="67" t="s">
        <v>723</v>
      </c>
      <c r="S22" s="67" t="s">
        <v>724</v>
      </c>
      <c r="T22" s="192" t="s">
        <v>808</v>
      </c>
      <c r="U22" s="187" t="s">
        <v>809</v>
      </c>
      <c r="V22" s="66"/>
      <c r="W22" s="89" t="s">
        <v>780</v>
      </c>
      <c r="X22" s="103" t="s">
        <v>729</v>
      </c>
      <c r="Y22" s="101" t="s">
        <v>729</v>
      </c>
      <c r="Z22" s="84"/>
      <c r="AA22" s="102" t="s">
        <v>729</v>
      </c>
    </row>
    <row r="23" spans="2:27" s="53" customFormat="1" ht="39.75" customHeight="1" x14ac:dyDescent="0.35">
      <c r="B23" s="223" t="s">
        <v>13</v>
      </c>
      <c r="C23" s="66" t="s">
        <v>730</v>
      </c>
      <c r="D23" s="67" t="s">
        <v>16</v>
      </c>
      <c r="E23" s="222">
        <v>2</v>
      </c>
      <c r="F23" s="223" t="s">
        <v>795</v>
      </c>
      <c r="G23" s="224" t="s">
        <v>796</v>
      </c>
      <c r="H23" s="80" t="s">
        <v>797</v>
      </c>
      <c r="I23" s="222">
        <v>15</v>
      </c>
      <c r="J23" s="80" t="s">
        <v>741</v>
      </c>
      <c r="K23" s="87">
        <v>10</v>
      </c>
      <c r="L23" s="222"/>
      <c r="M23" s="67" t="s">
        <v>798</v>
      </c>
      <c r="N23" s="67" t="s">
        <v>799</v>
      </c>
      <c r="O23" s="222"/>
      <c r="P23" s="66"/>
      <c r="Q23" s="66"/>
      <c r="R23" s="67" t="s">
        <v>731</v>
      </c>
      <c r="S23" s="67" t="s">
        <v>810</v>
      </c>
      <c r="T23" s="67" t="s">
        <v>811</v>
      </c>
      <c r="U23" s="178" t="s">
        <v>812</v>
      </c>
      <c r="V23" s="66"/>
      <c r="W23" s="107" t="s">
        <v>735</v>
      </c>
      <c r="X23" s="200" t="s">
        <v>738</v>
      </c>
      <c r="Y23" s="203" t="s">
        <v>738</v>
      </c>
      <c r="Z23" s="86"/>
      <c r="AA23" s="102" t="s">
        <v>738</v>
      </c>
    </row>
    <row r="24" spans="2:27" s="53" customFormat="1" ht="39.75" customHeight="1" x14ac:dyDescent="0.35">
      <c r="B24" s="66" t="s">
        <v>4</v>
      </c>
      <c r="C24" s="66" t="s">
        <v>699</v>
      </c>
      <c r="D24" s="66" t="s">
        <v>5</v>
      </c>
      <c r="E24" s="222">
        <v>2</v>
      </c>
      <c r="F24" s="80" t="s">
        <v>813</v>
      </c>
      <c r="G24" s="80" t="s">
        <v>814</v>
      </c>
      <c r="H24" s="80" t="s">
        <v>815</v>
      </c>
      <c r="I24" s="222">
        <v>18</v>
      </c>
      <c r="J24" s="80" t="s">
        <v>816</v>
      </c>
      <c r="K24" s="87">
        <v>23</v>
      </c>
      <c r="L24" s="87"/>
      <c r="M24" s="67" t="s">
        <v>817</v>
      </c>
      <c r="N24" s="67" t="s">
        <v>818</v>
      </c>
      <c r="O24" s="222"/>
      <c r="P24" s="66"/>
      <c r="Q24" s="66"/>
      <c r="R24" s="67" t="s">
        <v>819</v>
      </c>
      <c r="S24" s="67" t="s">
        <v>819</v>
      </c>
      <c r="T24" s="67" t="s">
        <v>819</v>
      </c>
      <c r="U24" s="178" t="s">
        <v>820</v>
      </c>
      <c r="V24" s="66"/>
      <c r="W24" s="200" t="s">
        <v>712</v>
      </c>
      <c r="X24" s="105" t="s">
        <v>712</v>
      </c>
      <c r="Y24" s="105" t="s">
        <v>712</v>
      </c>
      <c r="Z24" s="84"/>
      <c r="AA24" s="102" t="s">
        <v>712</v>
      </c>
    </row>
    <row r="25" spans="2:27" s="53" customFormat="1" ht="39.75" customHeight="1" x14ac:dyDescent="0.35">
      <c r="B25" s="223" t="s">
        <v>13</v>
      </c>
      <c r="C25" s="66" t="s">
        <v>802</v>
      </c>
      <c r="D25" s="66" t="s">
        <v>14</v>
      </c>
      <c r="E25" s="222">
        <v>2</v>
      </c>
      <c r="F25" s="80" t="s">
        <v>813</v>
      </c>
      <c r="G25" s="80" t="s">
        <v>814</v>
      </c>
      <c r="H25" s="80"/>
      <c r="I25" s="87">
        <v>16</v>
      </c>
      <c r="J25" s="80" t="s">
        <v>816</v>
      </c>
      <c r="K25" s="87">
        <v>23</v>
      </c>
      <c r="L25" s="87"/>
      <c r="M25" s="67" t="s">
        <v>817</v>
      </c>
      <c r="N25" s="67" t="s">
        <v>818</v>
      </c>
      <c r="O25" s="222"/>
      <c r="P25" s="66"/>
      <c r="Q25" s="66"/>
      <c r="R25" s="67" t="s">
        <v>780</v>
      </c>
      <c r="S25" s="67" t="s">
        <v>780</v>
      </c>
      <c r="T25" s="67" t="s">
        <v>780</v>
      </c>
      <c r="U25" s="178" t="s">
        <v>821</v>
      </c>
      <c r="V25" s="66"/>
      <c r="W25" s="68" t="s">
        <v>780</v>
      </c>
      <c r="X25" s="68" t="s">
        <v>780</v>
      </c>
      <c r="Y25" s="68" t="s">
        <v>780</v>
      </c>
      <c r="Z25" s="84"/>
      <c r="AA25" s="78"/>
    </row>
    <row r="26" spans="2:27" s="53" customFormat="1" ht="39.75" customHeight="1" x14ac:dyDescent="0.35">
      <c r="B26" s="223" t="s">
        <v>10</v>
      </c>
      <c r="C26" s="223" t="s">
        <v>713</v>
      </c>
      <c r="D26" s="223" t="s">
        <v>11</v>
      </c>
      <c r="E26" s="222">
        <v>2</v>
      </c>
      <c r="F26" s="223" t="s">
        <v>813</v>
      </c>
      <c r="G26" s="223" t="s">
        <v>814</v>
      </c>
      <c r="H26" s="66" t="s">
        <v>815</v>
      </c>
      <c r="I26" s="222">
        <v>11</v>
      </c>
      <c r="J26" s="223" t="s">
        <v>816</v>
      </c>
      <c r="K26" s="222">
        <v>23</v>
      </c>
      <c r="L26" s="222"/>
      <c r="M26" s="98" t="s">
        <v>817</v>
      </c>
      <c r="N26" s="98" t="s">
        <v>818</v>
      </c>
      <c r="O26" s="68"/>
      <c r="P26" s="91"/>
      <c r="Q26" s="78"/>
      <c r="R26" s="68" t="s">
        <v>780</v>
      </c>
      <c r="S26" s="68" t="s">
        <v>780</v>
      </c>
      <c r="T26" s="68" t="s">
        <v>780</v>
      </c>
      <c r="U26" s="68" t="s">
        <v>822</v>
      </c>
      <c r="V26" s="68"/>
      <c r="W26" s="68" t="s">
        <v>721</v>
      </c>
      <c r="X26" s="68" t="s">
        <v>721</v>
      </c>
      <c r="Y26" s="68" t="s">
        <v>721</v>
      </c>
      <c r="Z26" s="89" t="s">
        <v>721</v>
      </c>
      <c r="AA26" s="78" t="s">
        <v>721</v>
      </c>
    </row>
    <row r="27" spans="2:27" s="53" customFormat="1" ht="39.75" customHeight="1" x14ac:dyDescent="0.35">
      <c r="B27" s="223" t="s">
        <v>7</v>
      </c>
      <c r="C27" s="223" t="s">
        <v>722</v>
      </c>
      <c r="D27" s="223" t="s">
        <v>8</v>
      </c>
      <c r="E27" s="222">
        <v>2</v>
      </c>
      <c r="F27" s="80" t="s">
        <v>813</v>
      </c>
      <c r="G27" s="80" t="s">
        <v>814</v>
      </c>
      <c r="H27" s="80" t="s">
        <v>815</v>
      </c>
      <c r="I27" s="222">
        <v>16</v>
      </c>
      <c r="J27" s="80" t="s">
        <v>816</v>
      </c>
      <c r="K27" s="87">
        <v>23</v>
      </c>
      <c r="L27" s="87"/>
      <c r="M27" s="67" t="s">
        <v>817</v>
      </c>
      <c r="N27" s="67" t="s">
        <v>818</v>
      </c>
      <c r="O27" s="222"/>
      <c r="P27" s="66"/>
      <c r="Q27" s="66"/>
      <c r="R27" s="67" t="s">
        <v>729</v>
      </c>
      <c r="S27" s="67" t="s">
        <v>729</v>
      </c>
      <c r="T27" s="67" t="s">
        <v>729</v>
      </c>
      <c r="U27" s="187" t="s">
        <v>823</v>
      </c>
      <c r="V27" s="66"/>
      <c r="W27" s="68" t="s">
        <v>780</v>
      </c>
      <c r="X27" s="103" t="s">
        <v>729</v>
      </c>
      <c r="Y27" s="98" t="s">
        <v>729</v>
      </c>
      <c r="Z27" s="92"/>
      <c r="AA27" s="102" t="s">
        <v>729</v>
      </c>
    </row>
    <row r="28" spans="2:27" s="53" customFormat="1" ht="39.75" customHeight="1" x14ac:dyDescent="0.35">
      <c r="B28" s="223" t="s">
        <v>13</v>
      </c>
      <c r="C28" s="66" t="s">
        <v>730</v>
      </c>
      <c r="D28" s="67" t="s">
        <v>16</v>
      </c>
      <c r="E28" s="222">
        <v>2</v>
      </c>
      <c r="F28" s="223" t="s">
        <v>813</v>
      </c>
      <c r="G28" s="223" t="s">
        <v>814</v>
      </c>
      <c r="H28" s="66" t="s">
        <v>815</v>
      </c>
      <c r="I28" s="222">
        <v>16</v>
      </c>
      <c r="J28" s="223" t="s">
        <v>816</v>
      </c>
      <c r="K28" s="222">
        <v>23</v>
      </c>
      <c r="L28" s="222"/>
      <c r="M28" s="67" t="s">
        <v>817</v>
      </c>
      <c r="N28" s="67" t="s">
        <v>818</v>
      </c>
      <c r="O28" s="68"/>
      <c r="P28" s="91"/>
      <c r="Q28" s="78"/>
      <c r="R28" s="67" t="s">
        <v>824</v>
      </c>
      <c r="S28" s="67" t="s">
        <v>825</v>
      </c>
      <c r="T28" s="67" t="s">
        <v>825</v>
      </c>
      <c r="U28" s="178" t="s">
        <v>826</v>
      </c>
      <c r="V28" s="68"/>
      <c r="W28" s="67" t="s">
        <v>735</v>
      </c>
      <c r="X28" s="200" t="s">
        <v>738</v>
      </c>
      <c r="Y28" s="203" t="s">
        <v>738</v>
      </c>
      <c r="Z28" s="103"/>
      <c r="AA28" s="102" t="s">
        <v>738</v>
      </c>
    </row>
    <row r="29" spans="2:27" s="53" customFormat="1" ht="39.75" customHeight="1" x14ac:dyDescent="0.35">
      <c r="B29" s="223" t="s">
        <v>13</v>
      </c>
      <c r="C29" s="66" t="s">
        <v>802</v>
      </c>
      <c r="D29" s="66" t="s">
        <v>14</v>
      </c>
      <c r="E29" s="222">
        <v>2</v>
      </c>
      <c r="F29" s="223" t="s">
        <v>827</v>
      </c>
      <c r="G29" s="224" t="s">
        <v>828</v>
      </c>
      <c r="H29" s="66"/>
      <c r="I29" s="222">
        <v>14</v>
      </c>
      <c r="J29" s="224" t="s">
        <v>741</v>
      </c>
      <c r="K29" s="222"/>
      <c r="L29" s="222"/>
      <c r="M29" s="225" t="s">
        <v>829</v>
      </c>
      <c r="N29" s="223" t="s">
        <v>830</v>
      </c>
      <c r="O29" s="222"/>
      <c r="P29" s="66" t="s">
        <v>831</v>
      </c>
      <c r="Q29" s="91" t="s">
        <v>832</v>
      </c>
      <c r="R29" s="67" t="s">
        <v>803</v>
      </c>
      <c r="S29" s="66" t="s">
        <v>833</v>
      </c>
      <c r="T29" s="66" t="s">
        <v>834</v>
      </c>
      <c r="U29" s="178" t="s">
        <v>835</v>
      </c>
      <c r="V29" s="66"/>
      <c r="W29" s="91" t="s">
        <v>836</v>
      </c>
      <c r="X29" s="84" t="s">
        <v>837</v>
      </c>
      <c r="Y29" s="92" t="s">
        <v>838</v>
      </c>
      <c r="Z29" s="82" t="s">
        <v>839</v>
      </c>
      <c r="AA29" s="78"/>
    </row>
    <row r="30" spans="2:27" s="53" customFormat="1" ht="39.75" customHeight="1" x14ac:dyDescent="0.35">
      <c r="B30" s="223" t="s">
        <v>13</v>
      </c>
      <c r="C30" s="66" t="s">
        <v>802</v>
      </c>
      <c r="D30" s="66" t="s">
        <v>14</v>
      </c>
      <c r="E30" s="222">
        <v>2</v>
      </c>
      <c r="F30" s="223" t="s">
        <v>840</v>
      </c>
      <c r="G30" s="224" t="s">
        <v>841</v>
      </c>
      <c r="H30" s="66"/>
      <c r="I30" s="222">
        <v>9</v>
      </c>
      <c r="J30" s="224" t="s">
        <v>741</v>
      </c>
      <c r="K30" s="222">
        <v>8</v>
      </c>
      <c r="L30" s="222"/>
      <c r="M30" s="225" t="s">
        <v>842</v>
      </c>
      <c r="N30" s="223" t="s">
        <v>843</v>
      </c>
      <c r="O30" s="222"/>
      <c r="P30" s="66" t="s">
        <v>831</v>
      </c>
      <c r="Q30" s="91" t="s">
        <v>844</v>
      </c>
      <c r="R30" s="67" t="s">
        <v>845</v>
      </c>
      <c r="S30" s="67" t="s">
        <v>846</v>
      </c>
      <c r="T30" s="67" t="s">
        <v>847</v>
      </c>
      <c r="U30" s="178" t="s">
        <v>848</v>
      </c>
      <c r="V30" s="66"/>
      <c r="W30" s="91" t="s">
        <v>836</v>
      </c>
      <c r="X30" s="84" t="s">
        <v>837</v>
      </c>
      <c r="Y30" s="92" t="s">
        <v>838</v>
      </c>
      <c r="Z30" s="85" t="s">
        <v>849</v>
      </c>
      <c r="AA30" s="78"/>
    </row>
    <row r="31" spans="2:27" s="53" customFormat="1" ht="39.75" customHeight="1" x14ac:dyDescent="0.35">
      <c r="B31" s="223" t="s">
        <v>13</v>
      </c>
      <c r="C31" s="66" t="s">
        <v>802</v>
      </c>
      <c r="D31" s="66" t="s">
        <v>14</v>
      </c>
      <c r="E31" s="222">
        <v>2</v>
      </c>
      <c r="F31" s="223" t="s">
        <v>850</v>
      </c>
      <c r="G31" s="224" t="s">
        <v>851</v>
      </c>
      <c r="H31" s="66"/>
      <c r="I31" s="222">
        <v>6</v>
      </c>
      <c r="J31" s="224" t="s">
        <v>741</v>
      </c>
      <c r="K31" s="222">
        <v>8</v>
      </c>
      <c r="L31" s="222"/>
      <c r="M31" s="225" t="s">
        <v>852</v>
      </c>
      <c r="N31" s="223" t="s">
        <v>853</v>
      </c>
      <c r="O31" s="222"/>
      <c r="P31" s="66" t="s">
        <v>831</v>
      </c>
      <c r="Q31" s="91" t="s">
        <v>854</v>
      </c>
      <c r="R31" s="67" t="s">
        <v>845</v>
      </c>
      <c r="S31" s="67" t="s">
        <v>846</v>
      </c>
      <c r="T31" s="67" t="s">
        <v>847</v>
      </c>
      <c r="U31" s="188" t="s">
        <v>855</v>
      </c>
      <c r="V31" s="66"/>
      <c r="W31" s="91" t="s">
        <v>836</v>
      </c>
      <c r="X31" s="84" t="s">
        <v>837</v>
      </c>
      <c r="Y31" s="92" t="s">
        <v>838</v>
      </c>
      <c r="Z31" s="85" t="s">
        <v>856</v>
      </c>
      <c r="AA31" s="78"/>
    </row>
    <row r="32" spans="2:27" s="53" customFormat="1" ht="39.75" customHeight="1" x14ac:dyDescent="0.35">
      <c r="B32" s="66" t="s">
        <v>4</v>
      </c>
      <c r="C32" s="66" t="s">
        <v>699</v>
      </c>
      <c r="D32" s="66" t="s">
        <v>5</v>
      </c>
      <c r="E32" s="222">
        <v>2</v>
      </c>
      <c r="F32" s="223" t="s">
        <v>857</v>
      </c>
      <c r="G32" s="223" t="s">
        <v>858</v>
      </c>
      <c r="H32" s="80" t="s">
        <v>749</v>
      </c>
      <c r="I32" s="222">
        <v>3</v>
      </c>
      <c r="J32" s="224" t="s">
        <v>741</v>
      </c>
      <c r="K32" s="222">
        <v>35</v>
      </c>
      <c r="L32" s="222"/>
      <c r="M32" s="67" t="s">
        <v>859</v>
      </c>
      <c r="N32" s="115" t="s">
        <v>751</v>
      </c>
      <c r="O32" s="222" t="s">
        <v>752</v>
      </c>
      <c r="P32" s="227"/>
      <c r="Q32" s="227"/>
      <c r="R32" s="67" t="s">
        <v>706</v>
      </c>
      <c r="S32" s="67" t="s">
        <v>707</v>
      </c>
      <c r="T32" s="67" t="s">
        <v>860</v>
      </c>
      <c r="U32" s="178" t="s">
        <v>861</v>
      </c>
      <c r="V32" s="66"/>
      <c r="W32" s="66" t="s">
        <v>710</v>
      </c>
      <c r="X32" s="94" t="s">
        <v>707</v>
      </c>
      <c r="Y32" s="205" t="s">
        <v>862</v>
      </c>
      <c r="Z32" s="93"/>
      <c r="AA32" s="102" t="s">
        <v>712</v>
      </c>
    </row>
    <row r="33" spans="1:27" s="53" customFormat="1" ht="39.75" customHeight="1" x14ac:dyDescent="0.35">
      <c r="B33" s="223" t="s">
        <v>10</v>
      </c>
      <c r="C33" s="223" t="s">
        <v>713</v>
      </c>
      <c r="D33" s="223" t="s">
        <v>11</v>
      </c>
      <c r="E33" s="222">
        <v>2</v>
      </c>
      <c r="F33" s="223" t="s">
        <v>857</v>
      </c>
      <c r="G33" s="223" t="s">
        <v>858</v>
      </c>
      <c r="H33" s="66" t="s">
        <v>749</v>
      </c>
      <c r="I33" s="222">
        <v>1</v>
      </c>
      <c r="J33" s="223" t="s">
        <v>741</v>
      </c>
      <c r="K33" s="222">
        <v>35</v>
      </c>
      <c r="L33" s="222"/>
      <c r="M33" s="67" t="s">
        <v>859</v>
      </c>
      <c r="N33" s="115" t="s">
        <v>751</v>
      </c>
      <c r="O33" s="114" t="s">
        <v>752</v>
      </c>
      <c r="P33" s="91"/>
      <c r="Q33" s="78"/>
      <c r="R33" s="68" t="s">
        <v>715</v>
      </c>
      <c r="S33" s="68" t="s">
        <v>716</v>
      </c>
      <c r="T33" s="68" t="s">
        <v>863</v>
      </c>
      <c r="U33" s="68" t="s">
        <v>864</v>
      </c>
      <c r="V33" s="68"/>
      <c r="W33" s="68" t="s">
        <v>719</v>
      </c>
      <c r="X33" s="90" t="s">
        <v>720</v>
      </c>
      <c r="Y33" s="110" t="s">
        <v>863</v>
      </c>
      <c r="Z33" s="89"/>
      <c r="AA33" s="78" t="s">
        <v>721</v>
      </c>
    </row>
    <row r="34" spans="1:27" s="53" customFormat="1" ht="39.75" customHeight="1" x14ac:dyDescent="0.35">
      <c r="B34" s="223" t="s">
        <v>7</v>
      </c>
      <c r="C34" s="223" t="s">
        <v>722</v>
      </c>
      <c r="D34" s="223" t="s">
        <v>8</v>
      </c>
      <c r="E34" s="222">
        <v>2</v>
      </c>
      <c r="F34" s="223" t="s">
        <v>857</v>
      </c>
      <c r="G34" s="223" t="s">
        <v>858</v>
      </c>
      <c r="H34" s="80" t="s">
        <v>749</v>
      </c>
      <c r="I34" s="222">
        <v>1</v>
      </c>
      <c r="J34" s="224" t="s">
        <v>741</v>
      </c>
      <c r="K34" s="222">
        <v>35</v>
      </c>
      <c r="L34" s="222"/>
      <c r="M34" s="225" t="s">
        <v>750</v>
      </c>
      <c r="N34" s="225" t="s">
        <v>751</v>
      </c>
      <c r="O34" s="222" t="s">
        <v>752</v>
      </c>
      <c r="P34" s="66"/>
      <c r="Q34" s="66"/>
      <c r="R34" s="67" t="s">
        <v>723</v>
      </c>
      <c r="S34" s="67" t="s">
        <v>724</v>
      </c>
      <c r="T34" s="192" t="s">
        <v>865</v>
      </c>
      <c r="U34" s="187" t="s">
        <v>866</v>
      </c>
      <c r="V34" s="66"/>
      <c r="W34" s="66" t="s">
        <v>727</v>
      </c>
      <c r="X34" s="107" t="s">
        <v>724</v>
      </c>
      <c r="Y34" s="201" t="s">
        <v>867</v>
      </c>
      <c r="Z34" s="84"/>
      <c r="AA34" s="102" t="s">
        <v>729</v>
      </c>
    </row>
    <row r="35" spans="1:27" s="53" customFormat="1" ht="39.75" customHeight="1" x14ac:dyDescent="0.35">
      <c r="B35" s="223" t="s">
        <v>13</v>
      </c>
      <c r="C35" s="66" t="s">
        <v>730</v>
      </c>
      <c r="D35" s="67" t="s">
        <v>16</v>
      </c>
      <c r="E35" s="222">
        <v>2</v>
      </c>
      <c r="F35" s="223" t="s">
        <v>857</v>
      </c>
      <c r="G35" s="223" t="s">
        <v>858</v>
      </c>
      <c r="H35" s="66"/>
      <c r="I35" s="222">
        <v>1</v>
      </c>
      <c r="J35" s="224" t="s">
        <v>741</v>
      </c>
      <c r="K35" s="222"/>
      <c r="L35" s="222"/>
      <c r="M35" s="67" t="s">
        <v>859</v>
      </c>
      <c r="N35" s="115" t="s">
        <v>751</v>
      </c>
      <c r="O35" s="222" t="s">
        <v>752</v>
      </c>
      <c r="P35" s="227"/>
      <c r="Q35" s="227"/>
      <c r="R35" s="67" t="s">
        <v>731</v>
      </c>
      <c r="S35" s="67" t="s">
        <v>810</v>
      </c>
      <c r="T35" s="67" t="s">
        <v>868</v>
      </c>
      <c r="U35" s="178" t="s">
        <v>869</v>
      </c>
      <c r="V35" s="66"/>
      <c r="W35" s="67" t="s">
        <v>735</v>
      </c>
      <c r="X35" s="103" t="s">
        <v>870</v>
      </c>
      <c r="Y35" s="101" t="s">
        <v>871</v>
      </c>
      <c r="Z35" s="113"/>
      <c r="AA35" s="102" t="s">
        <v>738</v>
      </c>
    </row>
    <row r="36" spans="1:27" s="53" customFormat="1" ht="39.75" customHeight="1" x14ac:dyDescent="0.35">
      <c r="B36" s="223" t="s">
        <v>13</v>
      </c>
      <c r="C36" s="66" t="s">
        <v>802</v>
      </c>
      <c r="D36" s="66" t="s">
        <v>14</v>
      </c>
      <c r="E36" s="222">
        <v>2</v>
      </c>
      <c r="F36" s="223" t="s">
        <v>872</v>
      </c>
      <c r="G36" s="224" t="s">
        <v>873</v>
      </c>
      <c r="H36" s="66"/>
      <c r="I36" s="222">
        <v>11</v>
      </c>
      <c r="J36" s="224" t="s">
        <v>741</v>
      </c>
      <c r="K36" s="222">
        <v>10</v>
      </c>
      <c r="L36" s="222"/>
      <c r="M36" s="225" t="s">
        <v>874</v>
      </c>
      <c r="N36" s="225" t="s">
        <v>875</v>
      </c>
      <c r="O36" s="222"/>
      <c r="P36" s="66" t="s">
        <v>831</v>
      </c>
      <c r="Q36" s="91" t="s">
        <v>876</v>
      </c>
      <c r="R36" s="67" t="s">
        <v>803</v>
      </c>
      <c r="S36" s="66" t="s">
        <v>804</v>
      </c>
      <c r="T36" s="67" t="s">
        <v>877</v>
      </c>
      <c r="U36" s="178" t="s">
        <v>878</v>
      </c>
      <c r="V36" s="66"/>
      <c r="W36" s="91" t="s">
        <v>836</v>
      </c>
      <c r="X36" s="84" t="s">
        <v>804</v>
      </c>
      <c r="Y36" s="109" t="s">
        <v>879</v>
      </c>
      <c r="Z36" s="92"/>
      <c r="AA36" s="78"/>
    </row>
    <row r="37" spans="1:27" s="53" customFormat="1" ht="39.75" customHeight="1" x14ac:dyDescent="0.35">
      <c r="B37" s="223" t="s">
        <v>13</v>
      </c>
      <c r="C37" s="66" t="s">
        <v>802</v>
      </c>
      <c r="D37" s="66" t="s">
        <v>14</v>
      </c>
      <c r="E37" s="222">
        <v>2</v>
      </c>
      <c r="F37" s="223" t="s">
        <v>880</v>
      </c>
      <c r="G37" s="224" t="s">
        <v>881</v>
      </c>
      <c r="H37" s="66"/>
      <c r="I37" s="222">
        <v>13</v>
      </c>
      <c r="J37" s="224" t="s">
        <v>741</v>
      </c>
      <c r="K37" s="222">
        <v>10</v>
      </c>
      <c r="L37" s="222"/>
      <c r="M37" s="225" t="s">
        <v>882</v>
      </c>
      <c r="N37" s="223" t="s">
        <v>883</v>
      </c>
      <c r="O37" s="222"/>
      <c r="P37" s="66" t="s">
        <v>831</v>
      </c>
      <c r="Q37" s="91" t="s">
        <v>884</v>
      </c>
      <c r="R37" s="67" t="s">
        <v>803</v>
      </c>
      <c r="S37" s="66" t="s">
        <v>804</v>
      </c>
      <c r="T37" s="66" t="s">
        <v>885</v>
      </c>
      <c r="U37" s="178" t="s">
        <v>886</v>
      </c>
      <c r="V37" s="66"/>
      <c r="W37" s="91" t="s">
        <v>836</v>
      </c>
      <c r="X37" s="84" t="s">
        <v>804</v>
      </c>
      <c r="Y37" s="91" t="s">
        <v>887</v>
      </c>
      <c r="Z37" s="96"/>
      <c r="AA37" s="78"/>
    </row>
    <row r="38" spans="1:27" s="53" customFormat="1" ht="39.75" customHeight="1" x14ac:dyDescent="0.35">
      <c r="B38" s="223" t="s">
        <v>13</v>
      </c>
      <c r="C38" s="66" t="s">
        <v>802</v>
      </c>
      <c r="D38" s="66" t="s">
        <v>14</v>
      </c>
      <c r="E38" s="222">
        <v>2</v>
      </c>
      <c r="F38" s="223" t="s">
        <v>888</v>
      </c>
      <c r="G38" s="223" t="s">
        <v>889</v>
      </c>
      <c r="H38" s="66"/>
      <c r="I38" s="222">
        <v>12</v>
      </c>
      <c r="J38" s="224" t="s">
        <v>741</v>
      </c>
      <c r="K38" s="222"/>
      <c r="L38" s="222"/>
      <c r="M38" s="225" t="s">
        <v>890</v>
      </c>
      <c r="N38" s="223" t="s">
        <v>891</v>
      </c>
      <c r="O38" s="222"/>
      <c r="P38" s="66" t="s">
        <v>831</v>
      </c>
      <c r="Q38" s="91" t="s">
        <v>892</v>
      </c>
      <c r="R38" s="67" t="s">
        <v>803</v>
      </c>
      <c r="S38" s="66" t="s">
        <v>804</v>
      </c>
      <c r="T38" s="66" t="s">
        <v>885</v>
      </c>
      <c r="U38" s="178" t="s">
        <v>893</v>
      </c>
      <c r="V38" s="66"/>
      <c r="W38" s="91" t="s">
        <v>836</v>
      </c>
      <c r="X38" s="84" t="s">
        <v>804</v>
      </c>
      <c r="Y38" s="84" t="s">
        <v>887</v>
      </c>
      <c r="Z38" s="111" t="s">
        <v>894</v>
      </c>
      <c r="AA38" s="78"/>
    </row>
    <row r="39" spans="1:27" s="53" customFormat="1" ht="39.75" customHeight="1" x14ac:dyDescent="0.35">
      <c r="B39" s="223" t="s">
        <v>13</v>
      </c>
      <c r="C39" s="66" t="s">
        <v>802</v>
      </c>
      <c r="D39" s="66" t="s">
        <v>14</v>
      </c>
      <c r="E39" s="222">
        <v>2</v>
      </c>
      <c r="F39" s="223" t="s">
        <v>895</v>
      </c>
      <c r="G39" s="224" t="s">
        <v>896</v>
      </c>
      <c r="H39" s="66"/>
      <c r="I39" s="222">
        <v>1</v>
      </c>
      <c r="J39" s="224" t="s">
        <v>741</v>
      </c>
      <c r="K39" s="222">
        <v>21</v>
      </c>
      <c r="L39" s="222"/>
      <c r="M39" s="225" t="s">
        <v>897</v>
      </c>
      <c r="N39" s="223" t="s">
        <v>898</v>
      </c>
      <c r="O39" s="222" t="s">
        <v>752</v>
      </c>
      <c r="P39" s="66" t="s">
        <v>831</v>
      </c>
      <c r="Q39" s="91" t="s">
        <v>899</v>
      </c>
      <c r="R39" s="67" t="s">
        <v>803</v>
      </c>
      <c r="S39" s="66" t="s">
        <v>804</v>
      </c>
      <c r="T39" s="66" t="s">
        <v>900</v>
      </c>
      <c r="U39" s="188" t="s">
        <v>901</v>
      </c>
      <c r="V39" s="66"/>
      <c r="W39" s="91" t="s">
        <v>836</v>
      </c>
      <c r="X39" s="84" t="s">
        <v>804</v>
      </c>
      <c r="Y39" s="84" t="s">
        <v>902</v>
      </c>
      <c r="Z39" s="84" t="s">
        <v>903</v>
      </c>
      <c r="AA39" s="78"/>
    </row>
    <row r="40" spans="1:27" s="33" customFormat="1" ht="39.75" customHeight="1" x14ac:dyDescent="0.35">
      <c r="A40" s="27"/>
      <c r="B40" s="223" t="s">
        <v>13</v>
      </c>
      <c r="C40" s="66" t="s">
        <v>730</v>
      </c>
      <c r="D40" s="67" t="s">
        <v>16</v>
      </c>
      <c r="E40" s="222">
        <v>2</v>
      </c>
      <c r="F40" s="66" t="s">
        <v>904</v>
      </c>
      <c r="G40" s="80" t="s">
        <v>905</v>
      </c>
      <c r="H40" s="66"/>
      <c r="I40" s="222">
        <v>7</v>
      </c>
      <c r="J40" s="224" t="s">
        <v>741</v>
      </c>
      <c r="K40" s="230" t="s">
        <v>906</v>
      </c>
      <c r="L40" s="222"/>
      <c r="M40" s="67" t="s">
        <v>907</v>
      </c>
      <c r="N40" s="67" t="s">
        <v>908</v>
      </c>
      <c r="O40" s="222"/>
      <c r="P40" s="66"/>
      <c r="Q40" s="66"/>
      <c r="R40" s="67" t="s">
        <v>909</v>
      </c>
      <c r="S40" s="67" t="s">
        <v>910</v>
      </c>
      <c r="T40" s="67" t="s">
        <v>911</v>
      </c>
      <c r="U40" s="178" t="s">
        <v>912</v>
      </c>
      <c r="V40" s="66"/>
      <c r="W40" s="67" t="s">
        <v>735</v>
      </c>
      <c r="X40" s="103" t="s">
        <v>913</v>
      </c>
      <c r="Y40" s="103" t="s">
        <v>914</v>
      </c>
      <c r="Z40" s="86" t="s">
        <v>915</v>
      </c>
      <c r="AA40" s="102" t="s">
        <v>738</v>
      </c>
    </row>
    <row r="41" spans="1:27" s="33" customFormat="1" ht="39.75" customHeight="1" x14ac:dyDescent="0.35">
      <c r="A41" s="27"/>
      <c r="B41" s="223" t="s">
        <v>13</v>
      </c>
      <c r="C41" s="66" t="s">
        <v>802</v>
      </c>
      <c r="D41" s="66" t="s">
        <v>14</v>
      </c>
      <c r="E41" s="222">
        <v>2</v>
      </c>
      <c r="F41" s="223" t="s">
        <v>916</v>
      </c>
      <c r="G41" s="224" t="s">
        <v>917</v>
      </c>
      <c r="H41" s="66"/>
      <c r="I41" s="222">
        <v>8</v>
      </c>
      <c r="J41" s="224" t="s">
        <v>741</v>
      </c>
      <c r="K41" s="222">
        <v>8</v>
      </c>
      <c r="L41" s="222"/>
      <c r="M41" s="225" t="s">
        <v>918</v>
      </c>
      <c r="N41" s="223" t="s">
        <v>919</v>
      </c>
      <c r="O41" s="222"/>
      <c r="P41" s="66" t="s">
        <v>831</v>
      </c>
      <c r="Q41" s="91" t="s">
        <v>920</v>
      </c>
      <c r="R41" s="189" t="s">
        <v>803</v>
      </c>
      <c r="S41" s="198" t="s">
        <v>804</v>
      </c>
      <c r="T41" s="189" t="s">
        <v>921</v>
      </c>
      <c r="U41" s="199" t="s">
        <v>922</v>
      </c>
      <c r="V41" s="66"/>
      <c r="W41" s="91" t="s">
        <v>836</v>
      </c>
      <c r="X41" s="84" t="s">
        <v>804</v>
      </c>
      <c r="Y41" s="84" t="s">
        <v>923</v>
      </c>
      <c r="Z41" s="82" t="s">
        <v>924</v>
      </c>
      <c r="AA41" s="78"/>
    </row>
    <row r="42" spans="1:27" s="33" customFormat="1" ht="39.75" customHeight="1" x14ac:dyDescent="0.35">
      <c r="A42" s="27"/>
      <c r="B42" s="66" t="s">
        <v>4</v>
      </c>
      <c r="C42" s="66" t="s">
        <v>699</v>
      </c>
      <c r="D42" s="66" t="s">
        <v>5</v>
      </c>
      <c r="E42" s="222">
        <v>2</v>
      </c>
      <c r="F42" s="66" t="s">
        <v>925</v>
      </c>
      <c r="G42" s="80" t="s">
        <v>926</v>
      </c>
      <c r="H42" s="66" t="s">
        <v>702</v>
      </c>
      <c r="I42" s="222">
        <v>9</v>
      </c>
      <c r="J42" s="224" t="s">
        <v>741</v>
      </c>
      <c r="K42" s="222">
        <v>34</v>
      </c>
      <c r="L42" s="222"/>
      <c r="M42" s="67" t="s">
        <v>907</v>
      </c>
      <c r="N42" s="67" t="s">
        <v>908</v>
      </c>
      <c r="O42" s="222"/>
      <c r="P42" s="66"/>
      <c r="Q42" s="66"/>
      <c r="R42" s="67" t="s">
        <v>706</v>
      </c>
      <c r="S42" s="67" t="s">
        <v>707</v>
      </c>
      <c r="T42" s="67" t="s">
        <v>927</v>
      </c>
      <c r="U42" s="178" t="s">
        <v>928</v>
      </c>
      <c r="V42" s="66"/>
      <c r="W42" s="66" t="s">
        <v>710</v>
      </c>
      <c r="X42" s="94" t="s">
        <v>707</v>
      </c>
      <c r="Y42" s="98" t="s">
        <v>929</v>
      </c>
      <c r="Z42" s="92"/>
      <c r="AA42" s="102" t="s">
        <v>712</v>
      </c>
    </row>
    <row r="43" spans="1:27" s="33" customFormat="1" ht="39.75" customHeight="1" x14ac:dyDescent="0.35">
      <c r="A43" s="27"/>
      <c r="B43" s="223" t="s">
        <v>7</v>
      </c>
      <c r="C43" s="223" t="s">
        <v>722</v>
      </c>
      <c r="D43" s="223" t="s">
        <v>8</v>
      </c>
      <c r="E43" s="222">
        <v>2</v>
      </c>
      <c r="F43" s="66" t="s">
        <v>925</v>
      </c>
      <c r="G43" s="80" t="s">
        <v>926</v>
      </c>
      <c r="H43" s="66"/>
      <c r="I43" s="222">
        <v>7</v>
      </c>
      <c r="J43" s="224" t="s">
        <v>741</v>
      </c>
      <c r="K43" s="222">
        <v>34</v>
      </c>
      <c r="L43" s="222"/>
      <c r="M43" s="67" t="s">
        <v>907</v>
      </c>
      <c r="N43" s="67" t="s">
        <v>908</v>
      </c>
      <c r="O43" s="222"/>
      <c r="P43" s="66"/>
      <c r="Q43" s="66"/>
      <c r="R43" s="67" t="s">
        <v>723</v>
      </c>
      <c r="S43" s="67" t="s">
        <v>724</v>
      </c>
      <c r="T43" s="192" t="s">
        <v>930</v>
      </c>
      <c r="U43" s="187" t="s">
        <v>931</v>
      </c>
      <c r="V43" s="66"/>
      <c r="W43" s="66" t="s">
        <v>727</v>
      </c>
      <c r="X43" s="107" t="s">
        <v>724</v>
      </c>
      <c r="Y43" s="192" t="s">
        <v>932</v>
      </c>
      <c r="Z43" s="84"/>
      <c r="AA43" s="102" t="s">
        <v>729</v>
      </c>
    </row>
    <row r="44" spans="1:27" s="33" customFormat="1" ht="39.75" customHeight="1" x14ac:dyDescent="0.35">
      <c r="A44" s="27"/>
      <c r="B44" s="223" t="s">
        <v>13</v>
      </c>
      <c r="C44" s="66" t="s">
        <v>802</v>
      </c>
      <c r="D44" s="66" t="s">
        <v>14</v>
      </c>
      <c r="E44" s="222">
        <v>2</v>
      </c>
      <c r="F44" s="223" t="s">
        <v>933</v>
      </c>
      <c r="G44" s="224" t="s">
        <v>934</v>
      </c>
      <c r="H44" s="66"/>
      <c r="I44" s="222">
        <v>7</v>
      </c>
      <c r="J44" s="224" t="s">
        <v>741</v>
      </c>
      <c r="K44" s="222"/>
      <c r="L44" s="222"/>
      <c r="M44" s="225" t="s">
        <v>935</v>
      </c>
      <c r="N44" s="223" t="s">
        <v>936</v>
      </c>
      <c r="O44" s="222"/>
      <c r="P44" s="66" t="s">
        <v>831</v>
      </c>
      <c r="Q44" s="91" t="s">
        <v>937</v>
      </c>
      <c r="R44" s="67" t="s">
        <v>803</v>
      </c>
      <c r="S44" s="66" t="s">
        <v>938</v>
      </c>
      <c r="T44" s="66" t="s">
        <v>834</v>
      </c>
      <c r="U44" s="178" t="s">
        <v>939</v>
      </c>
      <c r="V44" s="66"/>
      <c r="W44" s="91" t="s">
        <v>836</v>
      </c>
      <c r="X44" s="84" t="s">
        <v>837</v>
      </c>
      <c r="Y44" s="91" t="s">
        <v>838</v>
      </c>
      <c r="Z44" s="82" t="s">
        <v>940</v>
      </c>
      <c r="AA44" s="78"/>
    </row>
    <row r="45" spans="1:27" s="33" customFormat="1" ht="39.75" customHeight="1" x14ac:dyDescent="0.35">
      <c r="A45" s="27"/>
      <c r="B45" s="66" t="s">
        <v>4</v>
      </c>
      <c r="C45" s="66" t="s">
        <v>699</v>
      </c>
      <c r="D45" s="66" t="s">
        <v>5</v>
      </c>
      <c r="E45" s="222">
        <v>2</v>
      </c>
      <c r="F45" s="223" t="s">
        <v>941</v>
      </c>
      <c r="G45" s="223" t="s">
        <v>942</v>
      </c>
      <c r="H45" s="66" t="s">
        <v>702</v>
      </c>
      <c r="I45" s="222">
        <v>11</v>
      </c>
      <c r="J45" s="224" t="s">
        <v>741</v>
      </c>
      <c r="K45" s="222"/>
      <c r="L45" s="222"/>
      <c r="M45" s="225" t="s">
        <v>943</v>
      </c>
      <c r="N45" s="225" t="s">
        <v>944</v>
      </c>
      <c r="O45" s="222"/>
      <c r="P45" s="227"/>
      <c r="Q45" s="227"/>
      <c r="R45" s="67" t="s">
        <v>706</v>
      </c>
      <c r="S45" s="67" t="s">
        <v>707</v>
      </c>
      <c r="T45" s="67" t="s">
        <v>945</v>
      </c>
      <c r="U45" s="178" t="s">
        <v>946</v>
      </c>
      <c r="V45" s="66"/>
      <c r="W45" s="66" t="s">
        <v>710</v>
      </c>
      <c r="X45" s="81" t="s">
        <v>707</v>
      </c>
      <c r="Y45" s="68" t="s">
        <v>947</v>
      </c>
      <c r="Z45" s="93"/>
      <c r="AA45" s="102" t="s">
        <v>712</v>
      </c>
    </row>
    <row r="46" spans="1:27" s="33" customFormat="1" ht="39.75" customHeight="1" x14ac:dyDescent="0.35">
      <c r="A46" s="27"/>
      <c r="B46" s="223" t="s">
        <v>7</v>
      </c>
      <c r="C46" s="223" t="s">
        <v>722</v>
      </c>
      <c r="D46" s="223" t="s">
        <v>8</v>
      </c>
      <c r="E46" s="222">
        <v>2</v>
      </c>
      <c r="F46" s="223" t="s">
        <v>941</v>
      </c>
      <c r="G46" s="223" t="s">
        <v>942</v>
      </c>
      <c r="H46" s="66"/>
      <c r="I46" s="222">
        <v>9</v>
      </c>
      <c r="J46" s="224" t="s">
        <v>741</v>
      </c>
      <c r="K46" s="222"/>
      <c r="L46" s="222"/>
      <c r="M46" s="225" t="s">
        <v>943</v>
      </c>
      <c r="N46" s="225" t="s">
        <v>944</v>
      </c>
      <c r="O46" s="222"/>
      <c r="P46" s="227"/>
      <c r="Q46" s="227"/>
      <c r="R46" s="67" t="s">
        <v>723</v>
      </c>
      <c r="S46" s="67" t="s">
        <v>724</v>
      </c>
      <c r="T46" s="67" t="s">
        <v>948</v>
      </c>
      <c r="U46" s="178" t="s">
        <v>949</v>
      </c>
      <c r="V46" s="66"/>
      <c r="W46" s="66" t="s">
        <v>727</v>
      </c>
      <c r="X46" s="107" t="s">
        <v>724</v>
      </c>
      <c r="Y46" s="67" t="s">
        <v>950</v>
      </c>
      <c r="Z46" s="93"/>
      <c r="AA46" s="102" t="s">
        <v>729</v>
      </c>
    </row>
    <row r="47" spans="1:27" s="33" customFormat="1" ht="39.75" customHeight="1" x14ac:dyDescent="0.35">
      <c r="A47" s="27"/>
      <c r="B47" s="223" t="s">
        <v>13</v>
      </c>
      <c r="C47" s="66" t="s">
        <v>730</v>
      </c>
      <c r="D47" s="67" t="s">
        <v>16</v>
      </c>
      <c r="E47" s="222">
        <v>2</v>
      </c>
      <c r="F47" s="223" t="s">
        <v>941</v>
      </c>
      <c r="G47" s="223" t="s">
        <v>942</v>
      </c>
      <c r="H47" s="66"/>
      <c r="I47" s="222">
        <v>9</v>
      </c>
      <c r="J47" s="224" t="s">
        <v>741</v>
      </c>
      <c r="K47" s="222"/>
      <c r="L47" s="222"/>
      <c r="M47" s="225" t="s">
        <v>943</v>
      </c>
      <c r="N47" s="225" t="s">
        <v>944</v>
      </c>
      <c r="O47" s="222"/>
      <c r="P47" s="227"/>
      <c r="Q47" s="227"/>
      <c r="R47" s="67" t="s">
        <v>951</v>
      </c>
      <c r="S47" s="67" t="s">
        <v>952</v>
      </c>
      <c r="T47" s="67" t="s">
        <v>953</v>
      </c>
      <c r="U47" s="178" t="s">
        <v>954</v>
      </c>
      <c r="V47" s="66"/>
      <c r="W47" s="67" t="s">
        <v>735</v>
      </c>
      <c r="X47" s="103" t="s">
        <v>955</v>
      </c>
      <c r="Y47" s="98" t="s">
        <v>956</v>
      </c>
      <c r="Z47" s="99" t="s">
        <v>957</v>
      </c>
      <c r="AA47" s="102" t="s">
        <v>958</v>
      </c>
    </row>
    <row r="48" spans="1:27" s="33" customFormat="1" ht="39.75" customHeight="1" x14ac:dyDescent="0.35">
      <c r="A48" s="27"/>
      <c r="B48" s="223" t="s">
        <v>10</v>
      </c>
      <c r="C48" s="223" t="s">
        <v>713</v>
      </c>
      <c r="D48" s="223" t="s">
        <v>11</v>
      </c>
      <c r="E48" s="222">
        <v>2</v>
      </c>
      <c r="F48" s="223" t="s">
        <v>959</v>
      </c>
      <c r="G48" s="223" t="s">
        <v>960</v>
      </c>
      <c r="H48" s="66"/>
      <c r="I48" s="222">
        <v>5</v>
      </c>
      <c r="J48" s="223" t="s">
        <v>741</v>
      </c>
      <c r="K48" s="222">
        <v>21</v>
      </c>
      <c r="L48" s="222"/>
      <c r="M48" s="67" t="s">
        <v>961</v>
      </c>
      <c r="N48" s="115" t="s">
        <v>962</v>
      </c>
      <c r="O48" s="87"/>
      <c r="P48" s="91"/>
      <c r="Q48" s="78"/>
      <c r="R48" s="68" t="s">
        <v>715</v>
      </c>
      <c r="S48" s="68" t="s">
        <v>716</v>
      </c>
      <c r="T48" s="98" t="s">
        <v>963</v>
      </c>
      <c r="U48" s="98" t="s">
        <v>964</v>
      </c>
      <c r="V48" s="68"/>
      <c r="W48" s="68" t="s">
        <v>719</v>
      </c>
      <c r="X48" s="88" t="s">
        <v>720</v>
      </c>
      <c r="Y48" s="101" t="s">
        <v>963</v>
      </c>
      <c r="Z48" s="89"/>
      <c r="AA48" s="78" t="s">
        <v>965</v>
      </c>
    </row>
    <row r="49" spans="1:27" s="33" customFormat="1" ht="39.75" customHeight="1" x14ac:dyDescent="0.35">
      <c r="A49" s="27"/>
      <c r="B49" s="66" t="s">
        <v>4</v>
      </c>
      <c r="C49" s="66" t="s">
        <v>699</v>
      </c>
      <c r="D49" s="66" t="s">
        <v>5</v>
      </c>
      <c r="E49" s="222">
        <v>2</v>
      </c>
      <c r="F49" s="66" t="s">
        <v>966</v>
      </c>
      <c r="G49" s="66" t="s">
        <v>967</v>
      </c>
      <c r="H49" s="66" t="s">
        <v>702</v>
      </c>
      <c r="I49" s="222">
        <v>10</v>
      </c>
      <c r="J49" s="224" t="s">
        <v>741</v>
      </c>
      <c r="K49" s="222">
        <v>11</v>
      </c>
      <c r="L49" s="222"/>
      <c r="M49" s="67" t="s">
        <v>968</v>
      </c>
      <c r="N49" s="225" t="s">
        <v>969</v>
      </c>
      <c r="O49" s="222"/>
      <c r="P49" s="227"/>
      <c r="Q49" s="227"/>
      <c r="R49" s="67" t="s">
        <v>706</v>
      </c>
      <c r="S49" s="67" t="s">
        <v>707</v>
      </c>
      <c r="T49" s="67" t="s">
        <v>970</v>
      </c>
      <c r="U49" s="178" t="s">
        <v>971</v>
      </c>
      <c r="V49" s="66"/>
      <c r="W49" s="66" t="s">
        <v>710</v>
      </c>
      <c r="X49" s="81" t="s">
        <v>707</v>
      </c>
      <c r="Y49" s="101" t="s">
        <v>972</v>
      </c>
      <c r="Z49" s="93"/>
      <c r="AA49" s="102" t="s">
        <v>712</v>
      </c>
    </row>
    <row r="50" spans="1:27" s="33" customFormat="1" ht="39.75" customHeight="1" x14ac:dyDescent="0.35">
      <c r="A50" s="27"/>
      <c r="B50" s="223" t="s">
        <v>7</v>
      </c>
      <c r="C50" s="223" t="s">
        <v>722</v>
      </c>
      <c r="D50" s="223" t="s">
        <v>8</v>
      </c>
      <c r="E50" s="222">
        <v>2</v>
      </c>
      <c r="F50" s="66" t="s">
        <v>966</v>
      </c>
      <c r="G50" s="66" t="s">
        <v>967</v>
      </c>
      <c r="H50" s="66"/>
      <c r="I50" s="222">
        <v>8</v>
      </c>
      <c r="J50" s="224" t="s">
        <v>741</v>
      </c>
      <c r="K50" s="222">
        <v>11</v>
      </c>
      <c r="L50" s="222"/>
      <c r="M50" s="67" t="s">
        <v>968</v>
      </c>
      <c r="N50" s="225" t="s">
        <v>969</v>
      </c>
      <c r="O50" s="222"/>
      <c r="P50" s="227"/>
      <c r="Q50" s="227"/>
      <c r="R50" s="67" t="s">
        <v>973</v>
      </c>
      <c r="S50" s="67" t="s">
        <v>974</v>
      </c>
      <c r="T50" s="67" t="s">
        <v>975</v>
      </c>
      <c r="U50" s="187" t="s">
        <v>976</v>
      </c>
      <c r="V50" s="66"/>
      <c r="W50" s="97" t="s">
        <v>727</v>
      </c>
      <c r="X50" s="192" t="s">
        <v>724</v>
      </c>
      <c r="Y50" s="101" t="s">
        <v>977</v>
      </c>
      <c r="Z50" s="92" t="s">
        <v>978</v>
      </c>
      <c r="AA50" s="102" t="s">
        <v>979</v>
      </c>
    </row>
    <row r="51" spans="1:27" s="33" customFormat="1" ht="39.75" customHeight="1" x14ac:dyDescent="0.35">
      <c r="A51" s="27"/>
      <c r="B51" s="223" t="s">
        <v>13</v>
      </c>
      <c r="C51" s="66" t="s">
        <v>730</v>
      </c>
      <c r="D51" s="67" t="s">
        <v>16</v>
      </c>
      <c r="E51" s="222">
        <v>2</v>
      </c>
      <c r="F51" s="66" t="s">
        <v>980</v>
      </c>
      <c r="G51" s="66" t="s">
        <v>967</v>
      </c>
      <c r="H51" s="66"/>
      <c r="I51" s="222">
        <v>8</v>
      </c>
      <c r="J51" s="224" t="s">
        <v>741</v>
      </c>
      <c r="K51" s="222">
        <v>8</v>
      </c>
      <c r="L51" s="222"/>
      <c r="M51" s="67" t="s">
        <v>968</v>
      </c>
      <c r="N51" s="67" t="s">
        <v>969</v>
      </c>
      <c r="O51" s="222"/>
      <c r="P51" s="66"/>
      <c r="Q51" s="66"/>
      <c r="R51" s="67" t="s">
        <v>981</v>
      </c>
      <c r="S51" s="67" t="s">
        <v>982</v>
      </c>
      <c r="T51" s="67" t="s">
        <v>983</v>
      </c>
      <c r="U51" s="188" t="s">
        <v>984</v>
      </c>
      <c r="V51" s="66"/>
      <c r="W51" s="192" t="s">
        <v>735</v>
      </c>
      <c r="X51" s="101" t="s">
        <v>985</v>
      </c>
      <c r="Y51" s="101" t="s">
        <v>986</v>
      </c>
      <c r="Z51" s="99" t="s">
        <v>987</v>
      </c>
      <c r="AA51" s="102" t="s">
        <v>988</v>
      </c>
    </row>
    <row r="52" spans="1:27" s="33" customFormat="1" ht="39.75" customHeight="1" x14ac:dyDescent="0.35">
      <c r="A52" s="27"/>
      <c r="B52" s="223" t="s">
        <v>13</v>
      </c>
      <c r="C52" s="66" t="s">
        <v>802</v>
      </c>
      <c r="D52" s="66" t="s">
        <v>14</v>
      </c>
      <c r="E52" s="222">
        <v>2</v>
      </c>
      <c r="F52" s="223" t="s">
        <v>989</v>
      </c>
      <c r="G52" s="224" t="s">
        <v>990</v>
      </c>
      <c r="H52" s="66"/>
      <c r="I52" s="222">
        <v>2</v>
      </c>
      <c r="J52" s="224" t="s">
        <v>741</v>
      </c>
      <c r="K52" s="222">
        <v>35</v>
      </c>
      <c r="L52" s="222"/>
      <c r="M52" s="225" t="s">
        <v>750</v>
      </c>
      <c r="N52" s="223" t="s">
        <v>751</v>
      </c>
      <c r="O52" s="222"/>
      <c r="P52" s="66" t="s">
        <v>831</v>
      </c>
      <c r="Q52" s="91" t="s">
        <v>991</v>
      </c>
      <c r="R52" s="67" t="s">
        <v>803</v>
      </c>
      <c r="S52" s="66" t="s">
        <v>804</v>
      </c>
      <c r="T52" s="66" t="s">
        <v>992</v>
      </c>
      <c r="U52" s="178" t="s">
        <v>993</v>
      </c>
      <c r="V52" s="66"/>
      <c r="W52" s="91" t="s">
        <v>836</v>
      </c>
      <c r="X52" s="84" t="s">
        <v>804</v>
      </c>
      <c r="Y52" s="92" t="s">
        <v>994</v>
      </c>
      <c r="Z52" s="84"/>
      <c r="AA52" s="78"/>
    </row>
    <row r="53" spans="1:27" s="33" customFormat="1" ht="39.75" customHeight="1" x14ac:dyDescent="0.35">
      <c r="A53" s="27"/>
      <c r="B53" s="223" t="s">
        <v>13</v>
      </c>
      <c r="C53" s="66" t="s">
        <v>730</v>
      </c>
      <c r="D53" s="67" t="s">
        <v>16</v>
      </c>
      <c r="E53" s="222">
        <v>2</v>
      </c>
      <c r="F53" s="66" t="s">
        <v>995</v>
      </c>
      <c r="G53" s="80" t="s">
        <v>996</v>
      </c>
      <c r="H53" s="66"/>
      <c r="I53" s="222">
        <v>4</v>
      </c>
      <c r="J53" s="224" t="s">
        <v>741</v>
      </c>
      <c r="K53" s="222"/>
      <c r="L53" s="222"/>
      <c r="M53" s="67" t="s">
        <v>997</v>
      </c>
      <c r="N53" s="67" t="s">
        <v>998</v>
      </c>
      <c r="O53" s="222"/>
      <c r="P53" s="66"/>
      <c r="Q53" s="66"/>
      <c r="R53" s="67" t="s">
        <v>999</v>
      </c>
      <c r="S53" s="67" t="s">
        <v>1000</v>
      </c>
      <c r="T53" s="67" t="s">
        <v>1001</v>
      </c>
      <c r="U53" s="178" t="s">
        <v>1002</v>
      </c>
      <c r="V53" s="66"/>
      <c r="W53" s="67" t="s">
        <v>735</v>
      </c>
      <c r="X53" s="98" t="s">
        <v>1003</v>
      </c>
      <c r="Y53" s="184" t="s">
        <v>1004</v>
      </c>
      <c r="Z53" s="209" t="s">
        <v>1005</v>
      </c>
      <c r="AA53" s="193" t="s">
        <v>1006</v>
      </c>
    </row>
    <row r="54" spans="1:27" s="33" customFormat="1" ht="39.75" customHeight="1" x14ac:dyDescent="0.35">
      <c r="A54" s="27"/>
      <c r="B54" s="223" t="s">
        <v>13</v>
      </c>
      <c r="C54" s="66" t="s">
        <v>802</v>
      </c>
      <c r="D54" s="66" t="s">
        <v>14</v>
      </c>
      <c r="E54" s="222">
        <v>2</v>
      </c>
      <c r="F54" s="223" t="s">
        <v>1007</v>
      </c>
      <c r="G54" s="224" t="s">
        <v>1008</v>
      </c>
      <c r="H54" s="66"/>
      <c r="I54" s="222">
        <v>5</v>
      </c>
      <c r="J54" s="224" t="s">
        <v>741</v>
      </c>
      <c r="K54" s="222">
        <v>8</v>
      </c>
      <c r="L54" s="222"/>
      <c r="M54" s="225" t="s">
        <v>1009</v>
      </c>
      <c r="N54" s="223" t="s">
        <v>1010</v>
      </c>
      <c r="O54" s="222"/>
      <c r="P54" s="66" t="s">
        <v>831</v>
      </c>
      <c r="Q54" s="91" t="s">
        <v>1011</v>
      </c>
      <c r="R54" s="67" t="s">
        <v>803</v>
      </c>
      <c r="S54" s="66" t="s">
        <v>804</v>
      </c>
      <c r="T54" s="67" t="s">
        <v>921</v>
      </c>
      <c r="U54" s="178" t="s">
        <v>1012</v>
      </c>
      <c r="V54" s="66"/>
      <c r="W54" s="91" t="s">
        <v>836</v>
      </c>
      <c r="X54" s="91" t="s">
        <v>804</v>
      </c>
      <c r="Y54" s="91" t="s">
        <v>923</v>
      </c>
      <c r="Z54" s="82" t="s">
        <v>1013</v>
      </c>
      <c r="AA54" s="211"/>
    </row>
    <row r="55" spans="1:27" s="33" customFormat="1" ht="39.75" customHeight="1" x14ac:dyDescent="0.35">
      <c r="A55" s="27"/>
      <c r="B55" s="66" t="s">
        <v>4</v>
      </c>
      <c r="C55" s="66" t="s">
        <v>699</v>
      </c>
      <c r="D55" s="66" t="s">
        <v>5</v>
      </c>
      <c r="E55" s="222">
        <v>2</v>
      </c>
      <c r="F55" s="66" t="s">
        <v>1014</v>
      </c>
      <c r="G55" s="80" t="s">
        <v>1015</v>
      </c>
      <c r="H55" s="66" t="s">
        <v>702</v>
      </c>
      <c r="I55" s="222">
        <v>6</v>
      </c>
      <c r="J55" s="224" t="s">
        <v>741</v>
      </c>
      <c r="K55" s="222">
        <v>34</v>
      </c>
      <c r="L55" s="222"/>
      <c r="M55" s="67" t="s">
        <v>997</v>
      </c>
      <c r="N55" s="67" t="s">
        <v>998</v>
      </c>
      <c r="O55" s="222"/>
      <c r="P55" s="66"/>
      <c r="Q55" s="66"/>
      <c r="R55" s="67" t="s">
        <v>706</v>
      </c>
      <c r="S55" s="67" t="s">
        <v>707</v>
      </c>
      <c r="T55" s="98" t="s">
        <v>1016</v>
      </c>
      <c r="U55" s="178" t="s">
        <v>1017</v>
      </c>
      <c r="V55" s="66"/>
      <c r="W55" s="66" t="s">
        <v>710</v>
      </c>
      <c r="X55" s="94" t="s">
        <v>707</v>
      </c>
      <c r="Y55" s="98" t="s">
        <v>1018</v>
      </c>
      <c r="Z55" s="84"/>
      <c r="AA55" s="102" t="s">
        <v>712</v>
      </c>
    </row>
    <row r="56" spans="1:27" s="33" customFormat="1" ht="39.75" customHeight="1" x14ac:dyDescent="0.35">
      <c r="A56" s="27"/>
      <c r="B56" s="223" t="s">
        <v>7</v>
      </c>
      <c r="C56" s="223" t="s">
        <v>722</v>
      </c>
      <c r="D56" s="223" t="s">
        <v>8</v>
      </c>
      <c r="E56" s="222">
        <v>2</v>
      </c>
      <c r="F56" s="66" t="s">
        <v>1014</v>
      </c>
      <c r="G56" s="80" t="s">
        <v>1019</v>
      </c>
      <c r="H56" s="66"/>
      <c r="I56" s="222">
        <v>4</v>
      </c>
      <c r="J56" s="224" t="s">
        <v>741</v>
      </c>
      <c r="K56" s="222">
        <v>34</v>
      </c>
      <c r="L56" s="222"/>
      <c r="M56" s="67" t="s">
        <v>997</v>
      </c>
      <c r="N56" s="67" t="s">
        <v>998</v>
      </c>
      <c r="O56" s="222"/>
      <c r="P56" s="66"/>
      <c r="Q56" s="66"/>
      <c r="R56" s="67" t="s">
        <v>1020</v>
      </c>
      <c r="S56" s="67" t="s">
        <v>724</v>
      </c>
      <c r="T56" s="67" t="s">
        <v>1021</v>
      </c>
      <c r="U56" s="187" t="s">
        <v>1022</v>
      </c>
      <c r="V56" s="66"/>
      <c r="W56" s="66" t="s">
        <v>727</v>
      </c>
      <c r="X56" s="67" t="s">
        <v>724</v>
      </c>
      <c r="Y56" s="98" t="s">
        <v>1023</v>
      </c>
      <c r="Z56" s="84"/>
      <c r="AA56" s="193" t="s">
        <v>729</v>
      </c>
    </row>
    <row r="57" spans="1:27" s="33" customFormat="1" ht="39.75" customHeight="1" x14ac:dyDescent="0.35">
      <c r="A57" s="27"/>
      <c r="B57" s="223" t="s">
        <v>13</v>
      </c>
      <c r="C57" s="66" t="s">
        <v>802</v>
      </c>
      <c r="D57" s="66" t="s">
        <v>14</v>
      </c>
      <c r="E57" s="222">
        <v>2</v>
      </c>
      <c r="F57" s="223" t="s">
        <v>1024</v>
      </c>
      <c r="G57" s="224" t="s">
        <v>1025</v>
      </c>
      <c r="H57" s="66"/>
      <c r="I57" s="222">
        <v>4</v>
      </c>
      <c r="J57" s="224" t="s">
        <v>741</v>
      </c>
      <c r="K57" s="222"/>
      <c r="L57" s="222"/>
      <c r="M57" s="225" t="s">
        <v>1026</v>
      </c>
      <c r="N57" s="223" t="s">
        <v>1027</v>
      </c>
      <c r="O57" s="222"/>
      <c r="P57" s="66" t="s">
        <v>831</v>
      </c>
      <c r="Q57" s="91" t="s">
        <v>1028</v>
      </c>
      <c r="R57" s="67" t="s">
        <v>803</v>
      </c>
      <c r="S57" s="68" t="s">
        <v>837</v>
      </c>
      <c r="T57" s="68" t="s">
        <v>834</v>
      </c>
      <c r="U57" s="188" t="s">
        <v>1029</v>
      </c>
      <c r="V57" s="66"/>
      <c r="W57" s="91" t="s">
        <v>836</v>
      </c>
      <c r="X57" s="91" t="s">
        <v>837</v>
      </c>
      <c r="Y57" s="91" t="s">
        <v>838</v>
      </c>
      <c r="Z57" s="82" t="s">
        <v>1030</v>
      </c>
      <c r="AA57" s="78"/>
    </row>
    <row r="58" spans="1:27" s="33" customFormat="1" ht="39.75" customHeight="1" x14ac:dyDescent="0.35">
      <c r="A58" s="27"/>
      <c r="B58" s="66" t="s">
        <v>4</v>
      </c>
      <c r="C58" s="66" t="s">
        <v>699</v>
      </c>
      <c r="D58" s="66" t="s">
        <v>5</v>
      </c>
      <c r="E58" s="222">
        <v>2</v>
      </c>
      <c r="F58" s="223" t="s">
        <v>1031</v>
      </c>
      <c r="G58" s="223" t="s">
        <v>1032</v>
      </c>
      <c r="H58" s="66" t="s">
        <v>702</v>
      </c>
      <c r="I58" s="222">
        <v>8</v>
      </c>
      <c r="J58" s="224" t="s">
        <v>741</v>
      </c>
      <c r="K58" s="222"/>
      <c r="L58" s="222"/>
      <c r="M58" s="225" t="s">
        <v>1033</v>
      </c>
      <c r="N58" s="225" t="s">
        <v>1034</v>
      </c>
      <c r="O58" s="222"/>
      <c r="P58" s="227"/>
      <c r="Q58" s="227"/>
      <c r="R58" s="67" t="s">
        <v>706</v>
      </c>
      <c r="S58" s="67" t="s">
        <v>707</v>
      </c>
      <c r="T58" s="158" t="s">
        <v>1035</v>
      </c>
      <c r="U58" s="178" t="s">
        <v>1036</v>
      </c>
      <c r="V58" s="66"/>
      <c r="W58" s="66" t="s">
        <v>710</v>
      </c>
      <c r="X58" s="94" t="s">
        <v>707</v>
      </c>
      <c r="Y58" s="101" t="s">
        <v>1037</v>
      </c>
      <c r="Z58" s="93"/>
      <c r="AA58" s="193" t="s">
        <v>712</v>
      </c>
    </row>
    <row r="59" spans="1:27" s="33" customFormat="1" ht="39.75" customHeight="1" x14ac:dyDescent="0.35">
      <c r="A59" s="27"/>
      <c r="B59" s="223" t="s">
        <v>7</v>
      </c>
      <c r="C59" s="223" t="s">
        <v>722</v>
      </c>
      <c r="D59" s="223" t="s">
        <v>8</v>
      </c>
      <c r="E59" s="222">
        <v>2</v>
      </c>
      <c r="F59" s="223" t="s">
        <v>1031</v>
      </c>
      <c r="G59" s="223" t="s">
        <v>1032</v>
      </c>
      <c r="H59" s="66"/>
      <c r="I59" s="222">
        <v>6</v>
      </c>
      <c r="J59" s="224" t="s">
        <v>741</v>
      </c>
      <c r="K59" s="222"/>
      <c r="L59" s="222"/>
      <c r="M59" s="225" t="s">
        <v>1033</v>
      </c>
      <c r="N59" s="225" t="s">
        <v>1034</v>
      </c>
      <c r="O59" s="222"/>
      <c r="P59" s="227"/>
      <c r="Q59" s="227"/>
      <c r="R59" s="67" t="s">
        <v>723</v>
      </c>
      <c r="S59" s="67" t="s">
        <v>724</v>
      </c>
      <c r="T59" s="192" t="s">
        <v>1038</v>
      </c>
      <c r="U59" s="187" t="s">
        <v>1039</v>
      </c>
      <c r="V59" s="66"/>
      <c r="W59" s="66" t="s">
        <v>727</v>
      </c>
      <c r="X59" s="67" t="s">
        <v>724</v>
      </c>
      <c r="Y59" s="192" t="s">
        <v>1040</v>
      </c>
      <c r="Z59" s="93"/>
      <c r="AA59" s="193" t="s">
        <v>729</v>
      </c>
    </row>
    <row r="60" spans="1:27" s="33" customFormat="1" ht="39.75" customHeight="1" x14ac:dyDescent="0.35">
      <c r="A60" s="27"/>
      <c r="B60" s="223" t="s">
        <v>13</v>
      </c>
      <c r="C60" s="66" t="s">
        <v>730</v>
      </c>
      <c r="D60" s="67" t="s">
        <v>16</v>
      </c>
      <c r="E60" s="222">
        <v>2</v>
      </c>
      <c r="F60" s="223" t="s">
        <v>1031</v>
      </c>
      <c r="G60" s="223" t="s">
        <v>1032</v>
      </c>
      <c r="H60" s="66"/>
      <c r="I60" s="222">
        <v>6</v>
      </c>
      <c r="J60" s="224" t="s">
        <v>741</v>
      </c>
      <c r="K60" s="222"/>
      <c r="L60" s="222"/>
      <c r="M60" s="225" t="s">
        <v>1033</v>
      </c>
      <c r="N60" s="225" t="s">
        <v>1034</v>
      </c>
      <c r="O60" s="222"/>
      <c r="P60" s="227"/>
      <c r="Q60" s="227"/>
      <c r="R60" s="67" t="s">
        <v>1041</v>
      </c>
      <c r="S60" s="67" t="s">
        <v>1042</v>
      </c>
      <c r="T60" s="67" t="s">
        <v>1043</v>
      </c>
      <c r="U60" s="188" t="s">
        <v>1044</v>
      </c>
      <c r="V60" s="66"/>
      <c r="W60" s="67" t="s">
        <v>735</v>
      </c>
      <c r="X60" s="98" t="s">
        <v>1045</v>
      </c>
      <c r="Y60" s="184" t="s">
        <v>1046</v>
      </c>
      <c r="Z60" s="86" t="s">
        <v>1047</v>
      </c>
      <c r="AA60" s="102" t="s">
        <v>1006</v>
      </c>
    </row>
    <row r="61" spans="1:27" s="33" customFormat="1" ht="39.75" customHeight="1" x14ac:dyDescent="0.35">
      <c r="A61" s="27"/>
      <c r="B61" s="223" t="s">
        <v>10</v>
      </c>
      <c r="C61" s="223" t="s">
        <v>713</v>
      </c>
      <c r="D61" s="223" t="s">
        <v>11</v>
      </c>
      <c r="E61" s="222">
        <v>2</v>
      </c>
      <c r="F61" s="223" t="s">
        <v>1048</v>
      </c>
      <c r="G61" s="223" t="s">
        <v>1049</v>
      </c>
      <c r="H61" s="66"/>
      <c r="I61" s="222">
        <v>4</v>
      </c>
      <c r="J61" s="223" t="s">
        <v>741</v>
      </c>
      <c r="K61" s="222">
        <v>21</v>
      </c>
      <c r="L61" s="222"/>
      <c r="M61" s="67" t="s">
        <v>1050</v>
      </c>
      <c r="N61" s="115" t="s">
        <v>1051</v>
      </c>
      <c r="O61" s="102"/>
      <c r="P61" s="91"/>
      <c r="Q61" s="78"/>
      <c r="R61" s="68" t="s">
        <v>715</v>
      </c>
      <c r="S61" s="68" t="s">
        <v>716</v>
      </c>
      <c r="T61" s="98" t="s">
        <v>963</v>
      </c>
      <c r="U61" s="98" t="s">
        <v>1052</v>
      </c>
      <c r="V61" s="68"/>
      <c r="W61" s="68" t="s">
        <v>719</v>
      </c>
      <c r="X61" s="90" t="s">
        <v>720</v>
      </c>
      <c r="Y61" s="98" t="s">
        <v>963</v>
      </c>
      <c r="Z61" s="89"/>
      <c r="AA61" s="211" t="s">
        <v>965</v>
      </c>
    </row>
    <row r="62" spans="1:27" s="33" customFormat="1" ht="39.75" customHeight="1" x14ac:dyDescent="0.35">
      <c r="A62" s="27"/>
      <c r="B62" s="165" t="s">
        <v>4</v>
      </c>
      <c r="C62" s="165" t="s">
        <v>699</v>
      </c>
      <c r="D62" s="66" t="s">
        <v>5</v>
      </c>
      <c r="E62" s="166">
        <v>2</v>
      </c>
      <c r="F62" s="165" t="s">
        <v>1053</v>
      </c>
      <c r="G62" s="165" t="s">
        <v>1054</v>
      </c>
      <c r="H62" s="165" t="s">
        <v>702</v>
      </c>
      <c r="I62" s="166">
        <v>7</v>
      </c>
      <c r="J62" s="167" t="s">
        <v>741</v>
      </c>
      <c r="K62" s="166">
        <v>11</v>
      </c>
      <c r="L62" s="166"/>
      <c r="M62" s="158" t="s">
        <v>1055</v>
      </c>
      <c r="N62" s="178" t="s">
        <v>1056</v>
      </c>
      <c r="O62" s="166"/>
      <c r="P62" s="197"/>
      <c r="Q62" s="197"/>
      <c r="R62" s="67" t="s">
        <v>706</v>
      </c>
      <c r="S62" s="67" t="s">
        <v>707</v>
      </c>
      <c r="T62" s="67" t="s">
        <v>1057</v>
      </c>
      <c r="U62" s="178" t="s">
        <v>1058</v>
      </c>
      <c r="V62" s="165"/>
      <c r="W62" s="66" t="s">
        <v>710</v>
      </c>
      <c r="X62" s="94" t="s">
        <v>707</v>
      </c>
      <c r="Y62" s="202" t="s">
        <v>1059</v>
      </c>
      <c r="Z62" s="168"/>
      <c r="AA62" s="193" t="s">
        <v>712</v>
      </c>
    </row>
    <row r="63" spans="1:27" s="33" customFormat="1" ht="39.75" customHeight="1" x14ac:dyDescent="0.35">
      <c r="A63" s="27"/>
      <c r="B63" s="223" t="s">
        <v>7</v>
      </c>
      <c r="C63" s="223" t="s">
        <v>722</v>
      </c>
      <c r="D63" s="223" t="s">
        <v>8</v>
      </c>
      <c r="E63" s="222">
        <v>2</v>
      </c>
      <c r="F63" s="66" t="s">
        <v>1053</v>
      </c>
      <c r="G63" s="66" t="s">
        <v>1054</v>
      </c>
      <c r="H63" s="66"/>
      <c r="I63" s="222">
        <v>5</v>
      </c>
      <c r="J63" s="224" t="s">
        <v>741</v>
      </c>
      <c r="K63" s="222">
        <v>11</v>
      </c>
      <c r="L63" s="222"/>
      <c r="M63" s="67" t="s">
        <v>1055</v>
      </c>
      <c r="N63" s="225" t="s">
        <v>1056</v>
      </c>
      <c r="O63" s="222"/>
      <c r="P63" s="227"/>
      <c r="Q63" s="227"/>
      <c r="R63" s="67" t="s">
        <v>1060</v>
      </c>
      <c r="S63" s="67" t="s">
        <v>1061</v>
      </c>
      <c r="T63" s="192" t="s">
        <v>1062</v>
      </c>
      <c r="U63" s="187" t="s">
        <v>1063</v>
      </c>
      <c r="V63" s="66"/>
      <c r="W63" s="66" t="s">
        <v>727</v>
      </c>
      <c r="X63" s="67" t="s">
        <v>724</v>
      </c>
      <c r="Y63" s="101" t="s">
        <v>1064</v>
      </c>
      <c r="Z63" s="84" t="s">
        <v>1065</v>
      </c>
      <c r="AA63" s="193" t="s">
        <v>1066</v>
      </c>
    </row>
    <row r="64" spans="1:27" s="33" customFormat="1" ht="39.75" customHeight="1" x14ac:dyDescent="0.35">
      <c r="A64" s="27"/>
      <c r="B64" s="223" t="s">
        <v>13</v>
      </c>
      <c r="C64" s="66" t="s">
        <v>730</v>
      </c>
      <c r="D64" s="67" t="s">
        <v>16</v>
      </c>
      <c r="E64" s="222">
        <v>2</v>
      </c>
      <c r="F64" s="66" t="s">
        <v>1053</v>
      </c>
      <c r="G64" s="66" t="s">
        <v>1054</v>
      </c>
      <c r="H64" s="66"/>
      <c r="I64" s="222">
        <v>5</v>
      </c>
      <c r="J64" s="224" t="s">
        <v>741</v>
      </c>
      <c r="K64" s="222">
        <v>8</v>
      </c>
      <c r="L64" s="222"/>
      <c r="M64" s="67" t="s">
        <v>1055</v>
      </c>
      <c r="N64" s="67" t="s">
        <v>1056</v>
      </c>
      <c r="O64" s="222"/>
      <c r="P64" s="66"/>
      <c r="Q64" s="66"/>
      <c r="R64" s="67" t="s">
        <v>951</v>
      </c>
      <c r="S64" s="67" t="s">
        <v>1067</v>
      </c>
      <c r="T64" s="67" t="s">
        <v>1068</v>
      </c>
      <c r="U64" s="178" t="s">
        <v>1069</v>
      </c>
      <c r="V64" s="66"/>
      <c r="W64" s="67" t="s">
        <v>735</v>
      </c>
      <c r="X64" s="98" t="s">
        <v>1070</v>
      </c>
      <c r="Y64" s="206" t="s">
        <v>1071</v>
      </c>
      <c r="Z64" s="86" t="s">
        <v>1072</v>
      </c>
      <c r="AA64" s="212" t="s">
        <v>1073</v>
      </c>
    </row>
    <row r="65" spans="1:27" s="33" customFormat="1" ht="39.75" customHeight="1" x14ac:dyDescent="0.35">
      <c r="A65" s="27"/>
      <c r="B65" s="66" t="s">
        <v>4</v>
      </c>
      <c r="C65" s="66" t="s">
        <v>699</v>
      </c>
      <c r="D65" s="66" t="s">
        <v>5</v>
      </c>
      <c r="E65" s="222">
        <v>2</v>
      </c>
      <c r="F65" s="223" t="s">
        <v>1074</v>
      </c>
      <c r="G65" s="224" t="s">
        <v>1075</v>
      </c>
      <c r="H65" s="80" t="s">
        <v>1076</v>
      </c>
      <c r="I65" s="222">
        <v>1</v>
      </c>
      <c r="J65" s="224" t="s">
        <v>741</v>
      </c>
      <c r="K65" s="222">
        <v>3</v>
      </c>
      <c r="L65" s="222"/>
      <c r="M65" s="225" t="s">
        <v>1077</v>
      </c>
      <c r="N65" s="225" t="s">
        <v>1078</v>
      </c>
      <c r="O65" s="222" t="s">
        <v>752</v>
      </c>
      <c r="P65" s="66"/>
      <c r="Q65" s="66"/>
      <c r="R65" s="67" t="s">
        <v>706</v>
      </c>
      <c r="S65" s="67" t="s">
        <v>707</v>
      </c>
      <c r="T65" s="67" t="s">
        <v>1079</v>
      </c>
      <c r="U65" s="178" t="s">
        <v>1080</v>
      </c>
      <c r="V65" s="66"/>
      <c r="W65" s="66" t="s">
        <v>710</v>
      </c>
      <c r="X65" s="94" t="s">
        <v>707</v>
      </c>
      <c r="Y65" s="94" t="s">
        <v>1081</v>
      </c>
      <c r="Z65" s="84"/>
      <c r="AA65" s="193" t="s">
        <v>712</v>
      </c>
    </row>
    <row r="66" spans="1:27" s="33" customFormat="1" ht="39.75" customHeight="1" x14ac:dyDescent="0.35">
      <c r="A66" s="27"/>
      <c r="B66" s="66" t="s">
        <v>4</v>
      </c>
      <c r="C66" s="66" t="s">
        <v>699</v>
      </c>
      <c r="D66" s="66" t="s">
        <v>5</v>
      </c>
      <c r="E66" s="222">
        <v>2</v>
      </c>
      <c r="F66" s="223" t="s">
        <v>1082</v>
      </c>
      <c r="G66" s="223" t="s">
        <v>1083</v>
      </c>
      <c r="H66" s="80" t="s">
        <v>1084</v>
      </c>
      <c r="I66" s="222">
        <v>16</v>
      </c>
      <c r="J66" s="80" t="s">
        <v>741</v>
      </c>
      <c r="K66" s="222">
        <v>10</v>
      </c>
      <c r="L66" s="222"/>
      <c r="M66" s="67" t="s">
        <v>1085</v>
      </c>
      <c r="N66" s="225" t="s">
        <v>1086</v>
      </c>
      <c r="O66" s="222"/>
      <c r="P66" s="227"/>
      <c r="Q66" s="227"/>
      <c r="R66" s="67" t="s">
        <v>819</v>
      </c>
      <c r="S66" s="67" t="s">
        <v>819</v>
      </c>
      <c r="T66" s="67" t="s">
        <v>819</v>
      </c>
      <c r="U66" s="178" t="s">
        <v>1087</v>
      </c>
      <c r="V66" s="66"/>
      <c r="W66" s="66" t="s">
        <v>710</v>
      </c>
      <c r="X66" s="105" t="s">
        <v>712</v>
      </c>
      <c r="Y66" s="203" t="s">
        <v>712</v>
      </c>
      <c r="Z66" s="93"/>
      <c r="AA66" s="102" t="s">
        <v>1088</v>
      </c>
    </row>
    <row r="67" spans="1:27" s="33" customFormat="1" ht="39.75" customHeight="1" x14ac:dyDescent="0.35">
      <c r="A67" s="27"/>
      <c r="B67" s="223" t="s">
        <v>10</v>
      </c>
      <c r="C67" s="223" t="s">
        <v>713</v>
      </c>
      <c r="D67" s="223" t="s">
        <v>11</v>
      </c>
      <c r="E67" s="222">
        <v>2</v>
      </c>
      <c r="F67" s="223" t="s">
        <v>1082</v>
      </c>
      <c r="G67" s="223" t="s">
        <v>1083</v>
      </c>
      <c r="H67" s="66"/>
      <c r="I67" s="222">
        <v>9</v>
      </c>
      <c r="J67" s="223" t="s">
        <v>741</v>
      </c>
      <c r="K67" s="222">
        <v>2</v>
      </c>
      <c r="L67" s="222"/>
      <c r="M67" s="67" t="s">
        <v>1085</v>
      </c>
      <c r="N67" s="116" t="s">
        <v>1086</v>
      </c>
      <c r="O67" s="78"/>
      <c r="P67" s="108"/>
      <c r="Q67" s="68"/>
      <c r="R67" s="68" t="s">
        <v>780</v>
      </c>
      <c r="S67" s="68" t="s">
        <v>780</v>
      </c>
      <c r="T67" s="68" t="s">
        <v>780</v>
      </c>
      <c r="U67" s="68" t="s">
        <v>1089</v>
      </c>
      <c r="V67" s="68"/>
      <c r="W67" s="68" t="s">
        <v>719</v>
      </c>
      <c r="X67" s="110" t="s">
        <v>720</v>
      </c>
      <c r="Y67" s="75" t="s">
        <v>721</v>
      </c>
      <c r="Z67" s="89"/>
      <c r="AA67" s="211" t="s">
        <v>1090</v>
      </c>
    </row>
    <row r="68" spans="1:27" s="33" customFormat="1" ht="39.75" customHeight="1" x14ac:dyDescent="0.35">
      <c r="A68" s="27"/>
      <c r="B68" s="223" t="s">
        <v>7</v>
      </c>
      <c r="C68" s="223" t="s">
        <v>722</v>
      </c>
      <c r="D68" s="223" t="s">
        <v>8</v>
      </c>
      <c r="E68" s="222">
        <v>2</v>
      </c>
      <c r="F68" s="223" t="s">
        <v>1082</v>
      </c>
      <c r="G68" s="223" t="s">
        <v>1083</v>
      </c>
      <c r="H68" s="66"/>
      <c r="I68" s="222">
        <v>14</v>
      </c>
      <c r="J68" s="80" t="s">
        <v>741</v>
      </c>
      <c r="K68" s="222">
        <v>2</v>
      </c>
      <c r="L68" s="222"/>
      <c r="M68" s="225" t="s">
        <v>1085</v>
      </c>
      <c r="N68" s="225" t="s">
        <v>1086</v>
      </c>
      <c r="O68" s="222"/>
      <c r="P68" s="227"/>
      <c r="Q68" s="227"/>
      <c r="R68" s="67" t="s">
        <v>729</v>
      </c>
      <c r="S68" s="67" t="s">
        <v>729</v>
      </c>
      <c r="T68" s="192" t="s">
        <v>729</v>
      </c>
      <c r="U68" s="187" t="s">
        <v>1091</v>
      </c>
      <c r="V68" s="66"/>
      <c r="W68" s="66" t="s">
        <v>727</v>
      </c>
      <c r="X68" s="192" t="s">
        <v>724</v>
      </c>
      <c r="Y68" s="101" t="s">
        <v>729</v>
      </c>
      <c r="Z68" s="93"/>
      <c r="AA68" s="193" t="s">
        <v>1092</v>
      </c>
    </row>
    <row r="69" spans="1:27" s="33" customFormat="1" ht="39.75" customHeight="1" x14ac:dyDescent="0.35">
      <c r="A69" s="27"/>
      <c r="B69" s="223" t="s">
        <v>13</v>
      </c>
      <c r="C69" s="66" t="s">
        <v>730</v>
      </c>
      <c r="D69" s="67" t="s">
        <v>16</v>
      </c>
      <c r="E69" s="222">
        <v>2</v>
      </c>
      <c r="F69" s="223" t="s">
        <v>1082</v>
      </c>
      <c r="G69" s="223" t="s">
        <v>1083</v>
      </c>
      <c r="H69" s="66"/>
      <c r="I69" s="222">
        <v>14</v>
      </c>
      <c r="J69" s="80" t="s">
        <v>741</v>
      </c>
      <c r="K69" s="222">
        <v>4</v>
      </c>
      <c r="L69" s="222"/>
      <c r="M69" s="67" t="s">
        <v>1085</v>
      </c>
      <c r="N69" s="225" t="s">
        <v>1086</v>
      </c>
      <c r="O69" s="222"/>
      <c r="P69" s="227"/>
      <c r="Q69" s="227"/>
      <c r="R69" s="67" t="s">
        <v>825</v>
      </c>
      <c r="S69" s="67" t="s">
        <v>1093</v>
      </c>
      <c r="T69" s="67" t="s">
        <v>1093</v>
      </c>
      <c r="U69" s="178" t="s">
        <v>1094</v>
      </c>
      <c r="V69" s="66"/>
      <c r="W69" s="67" t="s">
        <v>735</v>
      </c>
      <c r="X69" s="98" t="s">
        <v>736</v>
      </c>
      <c r="Y69" s="105" t="s">
        <v>738</v>
      </c>
      <c r="Z69" s="113"/>
      <c r="AA69" s="102" t="s">
        <v>1095</v>
      </c>
    </row>
    <row r="70" spans="1:27" s="33" customFormat="1" ht="39.75" customHeight="1" x14ac:dyDescent="0.35">
      <c r="A70" s="27"/>
      <c r="B70" s="66" t="s">
        <v>4</v>
      </c>
      <c r="C70" s="66" t="s">
        <v>699</v>
      </c>
      <c r="D70" s="66" t="s">
        <v>5</v>
      </c>
      <c r="E70" s="231">
        <v>2</v>
      </c>
      <c r="F70" s="100" t="s">
        <v>1096</v>
      </c>
      <c r="G70" s="100" t="s">
        <v>1097</v>
      </c>
      <c r="H70" s="100" t="s">
        <v>1098</v>
      </c>
      <c r="I70" s="231">
        <v>14</v>
      </c>
      <c r="J70" s="232" t="s">
        <v>741</v>
      </c>
      <c r="K70" s="231">
        <v>10</v>
      </c>
      <c r="L70" s="231"/>
      <c r="M70" s="67" t="s">
        <v>1099</v>
      </c>
      <c r="N70" s="67" t="s">
        <v>1100</v>
      </c>
      <c r="O70" s="222"/>
      <c r="P70" s="79"/>
      <c r="Q70" s="66"/>
      <c r="R70" s="67" t="s">
        <v>706</v>
      </c>
      <c r="S70" s="67" t="s">
        <v>707</v>
      </c>
      <c r="T70" s="154" t="s">
        <v>1101</v>
      </c>
      <c r="U70" s="178" t="s">
        <v>1102</v>
      </c>
      <c r="V70" s="100"/>
      <c r="W70" s="66" t="s">
        <v>710</v>
      </c>
      <c r="X70" s="94" t="s">
        <v>707</v>
      </c>
      <c r="Y70" s="98" t="s">
        <v>1103</v>
      </c>
      <c r="Z70" s="208"/>
      <c r="AA70" s="102" t="s">
        <v>712</v>
      </c>
    </row>
    <row r="71" spans="1:27" s="33" customFormat="1" ht="39.75" customHeight="1" x14ac:dyDescent="0.35">
      <c r="A71" s="27"/>
      <c r="B71" s="223" t="s">
        <v>10</v>
      </c>
      <c r="C71" s="223" t="s">
        <v>713</v>
      </c>
      <c r="D71" s="223" t="s">
        <v>11</v>
      </c>
      <c r="E71" s="222">
        <v>2</v>
      </c>
      <c r="F71" s="223" t="s">
        <v>1096</v>
      </c>
      <c r="G71" s="223" t="s">
        <v>1097</v>
      </c>
      <c r="H71" s="66"/>
      <c r="I71" s="222">
        <v>8</v>
      </c>
      <c r="J71" s="223" t="s">
        <v>741</v>
      </c>
      <c r="K71" s="222">
        <v>10</v>
      </c>
      <c r="L71" s="222"/>
      <c r="M71" s="67" t="s">
        <v>1099</v>
      </c>
      <c r="N71" s="194" t="s">
        <v>1104</v>
      </c>
      <c r="O71" s="196"/>
      <c r="P71" s="84"/>
      <c r="Q71" s="78"/>
      <c r="R71" s="68" t="s">
        <v>715</v>
      </c>
      <c r="S71" s="68" t="s">
        <v>716</v>
      </c>
      <c r="T71" s="68" t="s">
        <v>1105</v>
      </c>
      <c r="U71" s="68" t="s">
        <v>1106</v>
      </c>
      <c r="V71" s="68"/>
      <c r="W71" s="68" t="s">
        <v>719</v>
      </c>
      <c r="X71" s="88" t="s">
        <v>720</v>
      </c>
      <c r="Y71" s="79" t="s">
        <v>1105</v>
      </c>
      <c r="Z71" s="207"/>
      <c r="AA71" s="78" t="s">
        <v>721</v>
      </c>
    </row>
    <row r="72" spans="1:27" s="33" customFormat="1" ht="39.75" customHeight="1" x14ac:dyDescent="0.35">
      <c r="A72" s="27"/>
      <c r="B72" s="223" t="s">
        <v>7</v>
      </c>
      <c r="C72" s="223" t="s">
        <v>722</v>
      </c>
      <c r="D72" s="223" t="s">
        <v>8</v>
      </c>
      <c r="E72" s="222">
        <v>2</v>
      </c>
      <c r="F72" s="66" t="s">
        <v>1096</v>
      </c>
      <c r="G72" s="66" t="s">
        <v>1097</v>
      </c>
      <c r="H72" s="66"/>
      <c r="I72" s="222">
        <v>12</v>
      </c>
      <c r="J72" s="224" t="s">
        <v>741</v>
      </c>
      <c r="K72" s="222">
        <v>10</v>
      </c>
      <c r="L72" s="222"/>
      <c r="M72" s="67" t="s">
        <v>1099</v>
      </c>
      <c r="N72" s="67" t="s">
        <v>1100</v>
      </c>
      <c r="O72" s="222"/>
      <c r="P72" s="66"/>
      <c r="Q72" s="66"/>
      <c r="R72" s="67" t="s">
        <v>723</v>
      </c>
      <c r="S72" s="67" t="s">
        <v>724</v>
      </c>
      <c r="T72" s="67" t="s">
        <v>1107</v>
      </c>
      <c r="U72" s="187" t="s">
        <v>1108</v>
      </c>
      <c r="V72" s="66"/>
      <c r="W72" s="66" t="s">
        <v>727</v>
      </c>
      <c r="X72" s="67" t="s">
        <v>724</v>
      </c>
      <c r="Y72" s="98" t="s">
        <v>1109</v>
      </c>
      <c r="Z72" s="92"/>
      <c r="AA72" s="102" t="s">
        <v>729</v>
      </c>
    </row>
    <row r="73" spans="1:27" s="33" customFormat="1" ht="39.75" customHeight="1" x14ac:dyDescent="0.35">
      <c r="A73" s="27"/>
      <c r="B73" s="223" t="s">
        <v>13</v>
      </c>
      <c r="C73" s="66" t="s">
        <v>730</v>
      </c>
      <c r="D73" s="67" t="s">
        <v>16</v>
      </c>
      <c r="E73" s="222">
        <v>2</v>
      </c>
      <c r="F73" s="66" t="s">
        <v>1096</v>
      </c>
      <c r="G73" s="66" t="s">
        <v>1097</v>
      </c>
      <c r="H73" s="66"/>
      <c r="I73" s="222">
        <v>12</v>
      </c>
      <c r="J73" s="224" t="s">
        <v>741</v>
      </c>
      <c r="K73" s="222">
        <v>10</v>
      </c>
      <c r="L73" s="222"/>
      <c r="M73" s="67" t="s">
        <v>1099</v>
      </c>
      <c r="N73" s="67" t="s">
        <v>1100</v>
      </c>
      <c r="O73" s="222"/>
      <c r="P73" s="97"/>
      <c r="Q73" s="66"/>
      <c r="R73" s="67" t="s">
        <v>731</v>
      </c>
      <c r="S73" s="67" t="s">
        <v>732</v>
      </c>
      <c r="T73" s="67" t="s">
        <v>1110</v>
      </c>
      <c r="U73" s="188" t="s">
        <v>1111</v>
      </c>
      <c r="V73" s="66"/>
      <c r="W73" s="67" t="s">
        <v>735</v>
      </c>
      <c r="X73" s="98" t="s">
        <v>736</v>
      </c>
      <c r="Y73" s="98" t="s">
        <v>1112</v>
      </c>
      <c r="Z73" s="112"/>
      <c r="AA73" s="102" t="s">
        <v>738</v>
      </c>
    </row>
    <row r="74" spans="1:27" s="33" customFormat="1" ht="39.75" customHeight="1" x14ac:dyDescent="0.35">
      <c r="A74" s="27"/>
      <c r="B74" s="66" t="s">
        <v>4</v>
      </c>
      <c r="C74" s="66" t="s">
        <v>699</v>
      </c>
      <c r="D74" s="66" t="s">
        <v>5</v>
      </c>
      <c r="E74" s="222">
        <v>2</v>
      </c>
      <c r="F74" s="66" t="s">
        <v>1113</v>
      </c>
      <c r="G74" s="66" t="s">
        <v>1114</v>
      </c>
      <c r="H74" s="66" t="s">
        <v>1098</v>
      </c>
      <c r="I74" s="222">
        <v>15</v>
      </c>
      <c r="J74" s="224" t="s">
        <v>741</v>
      </c>
      <c r="K74" s="222">
        <v>10</v>
      </c>
      <c r="L74" s="222"/>
      <c r="M74" s="67" t="s">
        <v>1115</v>
      </c>
      <c r="N74" s="107" t="s">
        <v>1116</v>
      </c>
      <c r="O74" s="222"/>
      <c r="P74" s="79"/>
      <c r="Q74" s="66"/>
      <c r="R74" s="67" t="s">
        <v>706</v>
      </c>
      <c r="S74" s="67" t="s">
        <v>707</v>
      </c>
      <c r="T74" s="67" t="s">
        <v>1101</v>
      </c>
      <c r="U74" s="178" t="s">
        <v>1102</v>
      </c>
      <c r="V74" s="66"/>
      <c r="W74" s="66" t="s">
        <v>710</v>
      </c>
      <c r="X74" s="81" t="s">
        <v>707</v>
      </c>
      <c r="Y74" s="98" t="s">
        <v>1103</v>
      </c>
      <c r="Z74" s="208"/>
      <c r="AA74" s="102" t="s">
        <v>712</v>
      </c>
    </row>
    <row r="75" spans="1:27" ht="39.75" customHeight="1" x14ac:dyDescent="0.35">
      <c r="B75" s="223" t="s">
        <v>10</v>
      </c>
      <c r="C75" s="223" t="s">
        <v>713</v>
      </c>
      <c r="D75" s="223" t="s">
        <v>11</v>
      </c>
      <c r="E75" s="222">
        <v>2</v>
      </c>
      <c r="F75" s="223" t="s">
        <v>1113</v>
      </c>
      <c r="G75" s="223" t="s">
        <v>1114</v>
      </c>
      <c r="H75" s="66"/>
      <c r="I75" s="222">
        <v>2</v>
      </c>
      <c r="J75" s="223" t="s">
        <v>741</v>
      </c>
      <c r="K75" s="222">
        <v>10</v>
      </c>
      <c r="L75" s="222"/>
      <c r="M75" s="67" t="s">
        <v>1115</v>
      </c>
      <c r="N75" s="194" t="s">
        <v>1116</v>
      </c>
      <c r="O75" s="195" t="s">
        <v>752</v>
      </c>
      <c r="P75" s="84"/>
      <c r="Q75" s="78"/>
      <c r="R75" s="68" t="s">
        <v>715</v>
      </c>
      <c r="S75" s="68" t="s">
        <v>716</v>
      </c>
      <c r="T75" s="68" t="s">
        <v>1117</v>
      </c>
      <c r="U75" s="213" t="s">
        <v>1118</v>
      </c>
      <c r="V75" s="68"/>
      <c r="W75" s="68" t="s">
        <v>719</v>
      </c>
      <c r="X75" s="88" t="s">
        <v>720</v>
      </c>
      <c r="Y75" s="68" t="s">
        <v>1117</v>
      </c>
      <c r="Z75" s="207"/>
      <c r="AA75" s="78" t="s">
        <v>721</v>
      </c>
    </row>
    <row r="76" spans="1:27" ht="39.75" customHeight="1" x14ac:dyDescent="0.35">
      <c r="B76" s="223" t="s">
        <v>7</v>
      </c>
      <c r="C76" s="223" t="s">
        <v>722</v>
      </c>
      <c r="D76" s="223" t="s">
        <v>8</v>
      </c>
      <c r="E76" s="222">
        <v>2</v>
      </c>
      <c r="F76" s="66" t="s">
        <v>1113</v>
      </c>
      <c r="G76" s="66" t="s">
        <v>1114</v>
      </c>
      <c r="H76" s="66"/>
      <c r="I76" s="222">
        <v>13</v>
      </c>
      <c r="J76" s="224" t="s">
        <v>741</v>
      </c>
      <c r="K76" s="222">
        <v>10</v>
      </c>
      <c r="L76" s="222"/>
      <c r="M76" s="67" t="s">
        <v>1115</v>
      </c>
      <c r="N76" s="107" t="s">
        <v>1116</v>
      </c>
      <c r="O76" s="233"/>
      <c r="P76" s="79"/>
      <c r="Q76" s="66"/>
      <c r="R76" s="67" t="s">
        <v>723</v>
      </c>
      <c r="S76" s="67" t="s">
        <v>724</v>
      </c>
      <c r="T76" s="192" t="s">
        <v>1119</v>
      </c>
      <c r="U76" s="187" t="s">
        <v>1120</v>
      </c>
      <c r="V76" s="66"/>
      <c r="W76" s="66" t="s">
        <v>727</v>
      </c>
      <c r="X76" s="67" t="s">
        <v>724</v>
      </c>
      <c r="Y76" s="101" t="s">
        <v>1121</v>
      </c>
      <c r="Z76" s="208"/>
      <c r="AA76" s="102" t="s">
        <v>729</v>
      </c>
    </row>
    <row r="77" spans="1:27" ht="39.75" customHeight="1" x14ac:dyDescent="0.35">
      <c r="B77" s="223" t="s">
        <v>13</v>
      </c>
      <c r="C77" s="66" t="s">
        <v>730</v>
      </c>
      <c r="D77" s="67" t="s">
        <v>16</v>
      </c>
      <c r="E77" s="222">
        <v>2</v>
      </c>
      <c r="F77" s="66" t="s">
        <v>1113</v>
      </c>
      <c r="G77" s="66" t="s">
        <v>1114</v>
      </c>
      <c r="H77" s="66"/>
      <c r="I77" s="222">
        <v>13</v>
      </c>
      <c r="J77" s="224" t="s">
        <v>741</v>
      </c>
      <c r="K77" s="222">
        <v>10</v>
      </c>
      <c r="L77" s="222"/>
      <c r="M77" s="67" t="s">
        <v>1115</v>
      </c>
      <c r="N77" s="107" t="s">
        <v>1116</v>
      </c>
      <c r="O77" s="233"/>
      <c r="P77" s="79"/>
      <c r="Q77" s="66"/>
      <c r="R77" s="67" t="s">
        <v>731</v>
      </c>
      <c r="S77" s="67" t="s">
        <v>732</v>
      </c>
      <c r="T77" s="67" t="s">
        <v>1122</v>
      </c>
      <c r="U77" s="178" t="s">
        <v>1123</v>
      </c>
      <c r="V77" s="66"/>
      <c r="W77" s="67" t="s">
        <v>735</v>
      </c>
      <c r="X77" s="98" t="s">
        <v>736</v>
      </c>
      <c r="Y77" s="101" t="s">
        <v>1124</v>
      </c>
      <c r="Z77" s="112"/>
      <c r="AA77" s="102" t="s">
        <v>738</v>
      </c>
    </row>
    <row r="78" spans="1:27" ht="39.75" customHeight="1" x14ac:dyDescent="0.35">
      <c r="B78" s="223" t="s">
        <v>7</v>
      </c>
      <c r="C78" s="223" t="s">
        <v>722</v>
      </c>
      <c r="D78" s="223" t="s">
        <v>8</v>
      </c>
      <c r="E78" s="222">
        <v>2</v>
      </c>
      <c r="F78" s="223" t="s">
        <v>1125</v>
      </c>
      <c r="G78" s="223" t="s">
        <v>1126</v>
      </c>
      <c r="H78" s="66"/>
      <c r="I78" s="222">
        <v>2</v>
      </c>
      <c r="J78" s="224" t="s">
        <v>741</v>
      </c>
      <c r="K78" s="222">
        <v>10</v>
      </c>
      <c r="L78" s="222"/>
      <c r="M78" s="225" t="s">
        <v>1127</v>
      </c>
      <c r="N78" s="234" t="s">
        <v>1128</v>
      </c>
      <c r="O78" s="222" t="s">
        <v>752</v>
      </c>
      <c r="P78" s="226"/>
      <c r="Q78" s="227"/>
      <c r="R78" s="67" t="s">
        <v>723</v>
      </c>
      <c r="S78" s="67" t="s">
        <v>724</v>
      </c>
      <c r="T78" s="67" t="s">
        <v>1129</v>
      </c>
      <c r="U78" s="187" t="s">
        <v>1130</v>
      </c>
      <c r="V78" s="66"/>
      <c r="W78" s="66" t="s">
        <v>727</v>
      </c>
      <c r="X78" s="67" t="s">
        <v>724</v>
      </c>
      <c r="Y78" s="204" t="s">
        <v>1131</v>
      </c>
      <c r="Z78" s="210"/>
      <c r="AA78" s="102" t="s">
        <v>729</v>
      </c>
    </row>
    <row r="79" spans="1:27" ht="39.75" customHeight="1" x14ac:dyDescent="0.35">
      <c r="B79" s="66" t="s">
        <v>4</v>
      </c>
      <c r="C79" s="66" t="s">
        <v>699</v>
      </c>
      <c r="D79" s="66" t="s">
        <v>5</v>
      </c>
      <c r="E79" s="222">
        <v>2</v>
      </c>
      <c r="F79" s="223" t="s">
        <v>1132</v>
      </c>
      <c r="G79" s="223" t="s">
        <v>1133</v>
      </c>
      <c r="H79" s="66" t="s">
        <v>770</v>
      </c>
      <c r="I79" s="222">
        <v>5</v>
      </c>
      <c r="J79" s="224" t="s">
        <v>741</v>
      </c>
      <c r="K79" s="222">
        <v>4</v>
      </c>
      <c r="L79" s="222"/>
      <c r="M79" s="225" t="s">
        <v>1134</v>
      </c>
      <c r="N79" s="225" t="s">
        <v>1135</v>
      </c>
      <c r="O79" s="222" t="s">
        <v>752</v>
      </c>
      <c r="P79" s="79"/>
      <c r="Q79" s="66"/>
      <c r="R79" s="67" t="s">
        <v>819</v>
      </c>
      <c r="S79" s="67" t="s">
        <v>819</v>
      </c>
      <c r="T79" s="67" t="s">
        <v>819</v>
      </c>
      <c r="U79" s="178" t="s">
        <v>1136</v>
      </c>
      <c r="V79" s="66"/>
      <c r="W79" s="66" t="s">
        <v>710</v>
      </c>
      <c r="X79" s="94" t="s">
        <v>707</v>
      </c>
      <c r="Y79" s="190" t="s">
        <v>712</v>
      </c>
      <c r="Z79" s="208"/>
      <c r="AA79" s="102" t="s">
        <v>1137</v>
      </c>
    </row>
    <row r="80" spans="1:27" ht="39.75" customHeight="1" x14ac:dyDescent="0.35">
      <c r="B80" s="223" t="s">
        <v>10</v>
      </c>
      <c r="C80" s="223" t="s">
        <v>713</v>
      </c>
      <c r="D80" s="223" t="s">
        <v>11</v>
      </c>
      <c r="E80" s="222">
        <v>2</v>
      </c>
      <c r="F80" s="223" t="s">
        <v>1132</v>
      </c>
      <c r="G80" s="223" t="s">
        <v>1133</v>
      </c>
      <c r="H80" s="66"/>
      <c r="I80" s="222">
        <v>3</v>
      </c>
      <c r="J80" s="223" t="s">
        <v>741</v>
      </c>
      <c r="K80" s="222">
        <v>4</v>
      </c>
      <c r="L80" s="222"/>
      <c r="M80" s="67" t="s">
        <v>1138</v>
      </c>
      <c r="N80" s="115" t="s">
        <v>1135</v>
      </c>
      <c r="O80" s="78"/>
      <c r="P80" s="99"/>
      <c r="Q80" s="78"/>
      <c r="R80" s="68" t="s">
        <v>715</v>
      </c>
      <c r="S80" s="68" t="s">
        <v>716</v>
      </c>
      <c r="T80" s="68" t="s">
        <v>1139</v>
      </c>
      <c r="U80" s="98" t="s">
        <v>1140</v>
      </c>
      <c r="V80" s="68"/>
      <c r="W80" s="68" t="s">
        <v>719</v>
      </c>
      <c r="X80" s="90" t="s">
        <v>720</v>
      </c>
      <c r="Y80" s="68" t="s">
        <v>1141</v>
      </c>
      <c r="Z80" s="207"/>
      <c r="AA80" s="78" t="s">
        <v>721</v>
      </c>
    </row>
    <row r="81" spans="2:27" ht="39.75" customHeight="1" x14ac:dyDescent="0.35">
      <c r="B81" s="223" t="s">
        <v>7</v>
      </c>
      <c r="C81" s="223" t="s">
        <v>722</v>
      </c>
      <c r="D81" s="223" t="s">
        <v>8</v>
      </c>
      <c r="E81" s="222">
        <v>2</v>
      </c>
      <c r="F81" s="223" t="s">
        <v>1132</v>
      </c>
      <c r="G81" s="223" t="s">
        <v>1133</v>
      </c>
      <c r="H81" s="66"/>
      <c r="I81" s="222">
        <v>3</v>
      </c>
      <c r="J81" s="224" t="s">
        <v>741</v>
      </c>
      <c r="K81" s="222">
        <v>4</v>
      </c>
      <c r="L81" s="222"/>
      <c r="M81" s="225" t="s">
        <v>1134</v>
      </c>
      <c r="N81" s="225" t="s">
        <v>1135</v>
      </c>
      <c r="O81" s="222"/>
      <c r="P81" s="79"/>
      <c r="Q81" s="66"/>
      <c r="R81" s="67" t="s">
        <v>729</v>
      </c>
      <c r="S81" s="67" t="s">
        <v>729</v>
      </c>
      <c r="T81" s="67" t="s">
        <v>729</v>
      </c>
      <c r="U81" s="178" t="s">
        <v>1142</v>
      </c>
      <c r="V81" s="66"/>
      <c r="W81" s="66" t="s">
        <v>727</v>
      </c>
      <c r="X81" s="67" t="s">
        <v>724</v>
      </c>
      <c r="Y81" s="98" t="s">
        <v>1143</v>
      </c>
      <c r="Z81" s="112"/>
      <c r="AA81" s="102" t="s">
        <v>1144</v>
      </c>
    </row>
    <row r="82" spans="2:27" ht="39.75" customHeight="1" x14ac:dyDescent="0.35">
      <c r="B82" s="223" t="s">
        <v>13</v>
      </c>
      <c r="C82" s="66" t="s">
        <v>730</v>
      </c>
      <c r="D82" s="67" t="s">
        <v>16</v>
      </c>
      <c r="E82" s="231">
        <v>2</v>
      </c>
      <c r="F82" s="235" t="s">
        <v>1132</v>
      </c>
      <c r="G82" s="235" t="s">
        <v>1133</v>
      </c>
      <c r="H82" s="100"/>
      <c r="I82" s="231">
        <v>3</v>
      </c>
      <c r="J82" s="232" t="s">
        <v>741</v>
      </c>
      <c r="K82" s="231">
        <v>4</v>
      </c>
      <c r="L82" s="222"/>
      <c r="M82" s="225" t="s">
        <v>1134</v>
      </c>
      <c r="N82" s="225" t="s">
        <v>1135</v>
      </c>
      <c r="O82" s="222" t="s">
        <v>752</v>
      </c>
      <c r="P82" s="79"/>
      <c r="Q82" s="66"/>
      <c r="R82" s="67" t="s">
        <v>1145</v>
      </c>
      <c r="S82" s="67" t="s">
        <v>1146</v>
      </c>
      <c r="T82" s="67" t="s">
        <v>825</v>
      </c>
      <c r="U82" s="178" t="s">
        <v>1147</v>
      </c>
      <c r="V82" s="100"/>
      <c r="W82" s="67" t="s">
        <v>735</v>
      </c>
      <c r="X82" s="98" t="s">
        <v>870</v>
      </c>
      <c r="Y82" s="98" t="s">
        <v>988</v>
      </c>
      <c r="Z82" s="104" t="s">
        <v>1148</v>
      </c>
      <c r="AA82" s="102" t="s">
        <v>1149</v>
      </c>
    </row>
    <row r="83" spans="2:27" ht="39.75" customHeight="1" x14ac:dyDescent="0.35">
      <c r="B83" s="235" t="s">
        <v>13</v>
      </c>
      <c r="C83" s="100" t="s">
        <v>802</v>
      </c>
      <c r="D83" s="100" t="s">
        <v>14</v>
      </c>
      <c r="E83" s="231">
        <v>2</v>
      </c>
      <c r="F83" s="235" t="s">
        <v>1150</v>
      </c>
      <c r="G83" s="232" t="s">
        <v>1151</v>
      </c>
      <c r="H83" s="100"/>
      <c r="I83" s="231">
        <v>3</v>
      </c>
      <c r="J83" s="224" t="s">
        <v>741</v>
      </c>
      <c r="K83" s="231">
        <v>36</v>
      </c>
      <c r="L83" s="231"/>
      <c r="M83" s="236" t="s">
        <v>1152</v>
      </c>
      <c r="N83" s="235" t="s">
        <v>1153</v>
      </c>
      <c r="O83" s="231"/>
      <c r="P83" s="100" t="s">
        <v>831</v>
      </c>
      <c r="Q83" s="185" t="s">
        <v>1154</v>
      </c>
      <c r="R83" s="154" t="s">
        <v>803</v>
      </c>
      <c r="S83" s="100" t="s">
        <v>804</v>
      </c>
      <c r="T83" s="100" t="s">
        <v>1155</v>
      </c>
      <c r="U83" s="187" t="s">
        <v>1156</v>
      </c>
      <c r="V83" s="100"/>
      <c r="W83" s="185" t="s">
        <v>836</v>
      </c>
      <c r="X83" s="185" t="s">
        <v>804</v>
      </c>
      <c r="Y83" s="185" t="s">
        <v>1157</v>
      </c>
      <c r="Z83" s="208"/>
      <c r="AA83" s="186"/>
    </row>
    <row r="84" spans="2:27" ht="39.75" customHeight="1" x14ac:dyDescent="0.35">
      <c r="B84" s="237" t="s">
        <v>18</v>
      </c>
      <c r="C84" s="237" t="s">
        <v>756</v>
      </c>
      <c r="D84" s="237" t="s">
        <v>757</v>
      </c>
      <c r="E84" s="238">
        <v>0</v>
      </c>
      <c r="F84" s="237" t="s">
        <v>1158</v>
      </c>
      <c r="G84" s="237" t="s">
        <v>1159</v>
      </c>
      <c r="H84" s="216"/>
      <c r="I84" s="238">
        <v>2</v>
      </c>
      <c r="J84" s="224" t="s">
        <v>741</v>
      </c>
      <c r="K84" s="238">
        <v>4</v>
      </c>
      <c r="L84" s="238"/>
      <c r="M84" s="239"/>
      <c r="N84" s="237"/>
      <c r="O84" s="238" t="s">
        <v>752</v>
      </c>
      <c r="P84" s="237"/>
      <c r="Q84" s="237"/>
      <c r="R84" s="217" t="s">
        <v>762</v>
      </c>
      <c r="S84" s="217" t="s">
        <v>763</v>
      </c>
      <c r="T84" s="217" t="s">
        <v>1160</v>
      </c>
      <c r="U84" s="219" t="s">
        <v>1161</v>
      </c>
      <c r="V84" s="216"/>
      <c r="W84" s="103" t="s">
        <v>766</v>
      </c>
      <c r="X84" s="103" t="s">
        <v>763</v>
      </c>
      <c r="Y84" s="217" t="s">
        <v>1160</v>
      </c>
      <c r="Z84" s="207"/>
      <c r="AA84" s="102" t="s">
        <v>767</v>
      </c>
    </row>
    <row r="85" spans="2:27" ht="39.75" customHeight="1" x14ac:dyDescent="0.35">
      <c r="B85" s="237" t="s">
        <v>18</v>
      </c>
      <c r="C85" s="237" t="s">
        <v>756</v>
      </c>
      <c r="D85" s="237" t="s">
        <v>757</v>
      </c>
      <c r="E85" s="238">
        <v>0</v>
      </c>
      <c r="F85" s="237" t="s">
        <v>1162</v>
      </c>
      <c r="G85" s="237" t="s">
        <v>1163</v>
      </c>
      <c r="H85" s="216"/>
      <c r="I85" s="238">
        <v>3</v>
      </c>
      <c r="J85" s="224" t="s">
        <v>741</v>
      </c>
      <c r="K85" s="238">
        <v>4</v>
      </c>
      <c r="L85" s="238"/>
      <c r="M85" s="239" t="s">
        <v>1164</v>
      </c>
      <c r="N85" s="239" t="s">
        <v>1165</v>
      </c>
      <c r="O85" s="228"/>
      <c r="P85" s="237"/>
      <c r="Q85" s="237"/>
      <c r="R85" s="217" t="s">
        <v>762</v>
      </c>
      <c r="S85" s="217" t="s">
        <v>763</v>
      </c>
      <c r="T85" s="217" t="s">
        <v>1166</v>
      </c>
      <c r="U85" s="221" t="s">
        <v>1167</v>
      </c>
      <c r="V85" s="216"/>
      <c r="W85" s="103" t="s">
        <v>766</v>
      </c>
      <c r="X85" s="103" t="s">
        <v>763</v>
      </c>
      <c r="Y85" s="103" t="s">
        <v>767</v>
      </c>
      <c r="Z85" s="207"/>
      <c r="AA85" s="218" t="s">
        <v>1168</v>
      </c>
    </row>
    <row r="86" spans="2:27" ht="39.75" customHeight="1" x14ac:dyDescent="0.35">
      <c r="B86" s="237" t="s">
        <v>18</v>
      </c>
      <c r="C86" s="237" t="s">
        <v>756</v>
      </c>
      <c r="D86" s="237" t="s">
        <v>757</v>
      </c>
      <c r="E86" s="238">
        <v>0</v>
      </c>
      <c r="F86" s="237" t="s">
        <v>1169</v>
      </c>
      <c r="G86" s="237" t="s">
        <v>1170</v>
      </c>
      <c r="H86" s="216"/>
      <c r="I86" s="238">
        <v>4</v>
      </c>
      <c r="J86" s="237" t="s">
        <v>1171</v>
      </c>
      <c r="K86" s="238">
        <v>8</v>
      </c>
      <c r="L86" s="238"/>
      <c r="M86" s="239"/>
      <c r="N86" s="237"/>
      <c r="O86" s="238"/>
      <c r="P86" s="237"/>
      <c r="Q86" s="237"/>
      <c r="R86" s="217" t="s">
        <v>762</v>
      </c>
      <c r="S86" s="217" t="s">
        <v>763</v>
      </c>
      <c r="T86" s="217" t="s">
        <v>1172</v>
      </c>
      <c r="U86" s="219" t="s">
        <v>1173</v>
      </c>
      <c r="V86" s="216"/>
      <c r="W86" s="103" t="s">
        <v>766</v>
      </c>
      <c r="X86" s="103" t="s">
        <v>763</v>
      </c>
      <c r="Y86" s="217" t="s">
        <v>1172</v>
      </c>
      <c r="Z86" s="207"/>
      <c r="AA86" s="218" t="s">
        <v>1174</v>
      </c>
    </row>
    <row r="87" spans="2:27" ht="39.75" customHeight="1" x14ac:dyDescent="0.35">
      <c r="B87" s="237" t="s">
        <v>18</v>
      </c>
      <c r="C87" s="237" t="s">
        <v>756</v>
      </c>
      <c r="D87" s="237" t="s">
        <v>757</v>
      </c>
      <c r="E87" s="238">
        <v>0</v>
      </c>
      <c r="F87" s="237" t="s">
        <v>1175</v>
      </c>
      <c r="G87" s="237" t="s">
        <v>1176</v>
      </c>
      <c r="H87" s="216"/>
      <c r="I87" s="238">
        <v>5</v>
      </c>
      <c r="J87" s="237" t="s">
        <v>741</v>
      </c>
      <c r="K87" s="238">
        <v>10</v>
      </c>
      <c r="L87" s="238"/>
      <c r="M87" s="239"/>
      <c r="N87" s="237"/>
      <c r="O87" s="238"/>
      <c r="P87" s="237"/>
      <c r="Q87" s="237"/>
      <c r="R87" s="217" t="s">
        <v>762</v>
      </c>
      <c r="S87" s="217" t="s">
        <v>763</v>
      </c>
      <c r="T87" s="217" t="s">
        <v>1177</v>
      </c>
      <c r="U87" s="219" t="s">
        <v>1178</v>
      </c>
      <c r="V87" s="216"/>
      <c r="W87" s="103" t="s">
        <v>766</v>
      </c>
      <c r="X87" s="103" t="s">
        <v>763</v>
      </c>
      <c r="Y87" s="217" t="s">
        <v>1177</v>
      </c>
      <c r="Z87" s="207"/>
      <c r="AA87" s="218" t="s">
        <v>767</v>
      </c>
    </row>
    <row r="88" spans="2:27" ht="39.75" customHeight="1" x14ac:dyDescent="0.35">
      <c r="B88" s="237" t="s">
        <v>18</v>
      </c>
      <c r="C88" s="237" t="s">
        <v>756</v>
      </c>
      <c r="D88" s="237" t="s">
        <v>757</v>
      </c>
      <c r="E88" s="238">
        <v>0</v>
      </c>
      <c r="F88" s="237" t="s">
        <v>1179</v>
      </c>
      <c r="G88" s="237" t="s">
        <v>1180</v>
      </c>
      <c r="H88" s="216"/>
      <c r="I88" s="238">
        <v>6</v>
      </c>
      <c r="J88" s="224" t="s">
        <v>741</v>
      </c>
      <c r="K88" s="238">
        <v>4</v>
      </c>
      <c r="L88" s="238"/>
      <c r="M88" s="239"/>
      <c r="N88" s="237"/>
      <c r="O88" s="238"/>
      <c r="P88" s="237"/>
      <c r="Q88" s="237"/>
      <c r="R88" s="217" t="s">
        <v>762</v>
      </c>
      <c r="S88" s="217" t="s">
        <v>763</v>
      </c>
      <c r="T88" s="217" t="s">
        <v>1181</v>
      </c>
      <c r="U88" s="219" t="s">
        <v>1182</v>
      </c>
      <c r="V88" s="216"/>
      <c r="W88" s="103" t="s">
        <v>766</v>
      </c>
      <c r="X88" s="103" t="s">
        <v>763</v>
      </c>
      <c r="Y88" s="217" t="s">
        <v>1181</v>
      </c>
      <c r="Z88" s="207"/>
      <c r="AA88" s="218" t="s">
        <v>767</v>
      </c>
    </row>
    <row r="89" spans="2:27" ht="39.75" customHeight="1" x14ac:dyDescent="0.35">
      <c r="B89" s="237" t="s">
        <v>18</v>
      </c>
      <c r="C89" s="237" t="s">
        <v>756</v>
      </c>
      <c r="D89" s="237" t="s">
        <v>757</v>
      </c>
      <c r="E89" s="238">
        <v>0</v>
      </c>
      <c r="F89" s="237" t="s">
        <v>1183</v>
      </c>
      <c r="G89" s="237" t="s">
        <v>1184</v>
      </c>
      <c r="H89" s="216"/>
      <c r="I89" s="238">
        <v>7</v>
      </c>
      <c r="J89" s="224" t="s">
        <v>741</v>
      </c>
      <c r="K89" s="238">
        <v>4</v>
      </c>
      <c r="L89" s="238"/>
      <c r="M89" s="239"/>
      <c r="N89" s="237"/>
      <c r="O89" s="238"/>
      <c r="P89" s="237"/>
      <c r="Q89" s="237"/>
      <c r="R89" s="217" t="s">
        <v>762</v>
      </c>
      <c r="S89" s="217" t="s">
        <v>763</v>
      </c>
      <c r="T89" s="217" t="s">
        <v>1185</v>
      </c>
      <c r="U89" s="219" t="s">
        <v>1186</v>
      </c>
      <c r="V89" s="216"/>
      <c r="W89" s="103" t="s">
        <v>766</v>
      </c>
      <c r="X89" s="103" t="s">
        <v>763</v>
      </c>
      <c r="Y89" s="217" t="s">
        <v>1185</v>
      </c>
      <c r="Z89" s="207"/>
      <c r="AA89" s="218" t="s">
        <v>767</v>
      </c>
    </row>
    <row r="90" spans="2:27" ht="39.75" customHeight="1" x14ac:dyDescent="0.35">
      <c r="B90" s="237" t="s">
        <v>18</v>
      </c>
      <c r="C90" s="237" t="s">
        <v>756</v>
      </c>
      <c r="D90" s="237" t="s">
        <v>757</v>
      </c>
      <c r="E90" s="238">
        <v>0</v>
      </c>
      <c r="F90" s="237" t="s">
        <v>1187</v>
      </c>
      <c r="G90" s="227" t="s">
        <v>1188</v>
      </c>
      <c r="H90" s="68"/>
      <c r="I90" s="228">
        <v>8</v>
      </c>
      <c r="J90" s="224" t="s">
        <v>741</v>
      </c>
      <c r="K90" s="238">
        <v>4</v>
      </c>
      <c r="L90" s="228"/>
      <c r="M90" s="229"/>
      <c r="N90" s="227"/>
      <c r="O90" s="228"/>
      <c r="P90" s="227"/>
      <c r="Q90" s="227"/>
      <c r="R90" s="217" t="s">
        <v>762</v>
      </c>
      <c r="S90" s="217" t="s">
        <v>763</v>
      </c>
      <c r="T90" s="98" t="s">
        <v>1166</v>
      </c>
      <c r="U90" s="220" t="s">
        <v>1189</v>
      </c>
      <c r="V90" s="68"/>
      <c r="W90" s="103" t="s">
        <v>766</v>
      </c>
      <c r="X90" s="103" t="s">
        <v>763</v>
      </c>
      <c r="Y90" s="98" t="s">
        <v>1190</v>
      </c>
      <c r="Z90" s="75"/>
      <c r="AA90" s="102" t="s">
        <v>1191</v>
      </c>
    </row>
    <row r="91" spans="2:27" ht="39.75" customHeight="1" x14ac:dyDescent="0.35">
      <c r="B91" s="237" t="s">
        <v>18</v>
      </c>
      <c r="C91" s="237" t="s">
        <v>756</v>
      </c>
      <c r="D91" s="237" t="s">
        <v>757</v>
      </c>
      <c r="E91" s="238">
        <v>0</v>
      </c>
      <c r="F91" s="237" t="s">
        <v>1192</v>
      </c>
      <c r="G91" s="237" t="s">
        <v>1193</v>
      </c>
      <c r="H91" s="216"/>
      <c r="I91" s="238">
        <v>9</v>
      </c>
      <c r="J91" s="224" t="s">
        <v>741</v>
      </c>
      <c r="K91" s="238">
        <v>30</v>
      </c>
      <c r="L91" s="238"/>
      <c r="M91" s="239"/>
      <c r="N91" s="237"/>
      <c r="O91" s="238"/>
      <c r="P91" s="237"/>
      <c r="Q91" s="237"/>
      <c r="R91" s="217" t="s">
        <v>762</v>
      </c>
      <c r="S91" s="217" t="s">
        <v>763</v>
      </c>
      <c r="T91" s="217" t="s">
        <v>1194</v>
      </c>
      <c r="U91" s="219" t="s">
        <v>1195</v>
      </c>
      <c r="V91" s="216"/>
      <c r="W91" s="103" t="s">
        <v>766</v>
      </c>
      <c r="X91" s="103" t="s">
        <v>763</v>
      </c>
      <c r="Y91" s="217" t="s">
        <v>1196</v>
      </c>
      <c r="Z91" s="207"/>
      <c r="AA91" s="218" t="s">
        <v>1197</v>
      </c>
    </row>
    <row r="92" spans="2:27" ht="39.75" customHeight="1" x14ac:dyDescent="0.35">
      <c r="B92" s="237" t="s">
        <v>18</v>
      </c>
      <c r="C92" s="237" t="s">
        <v>756</v>
      </c>
      <c r="D92" s="237" t="s">
        <v>757</v>
      </c>
      <c r="E92" s="238">
        <v>0</v>
      </c>
      <c r="F92" s="237" t="s">
        <v>1198</v>
      </c>
      <c r="G92" s="237" t="s">
        <v>1199</v>
      </c>
      <c r="H92" s="216"/>
      <c r="I92" s="238">
        <v>10</v>
      </c>
      <c r="J92" s="232" t="s">
        <v>741</v>
      </c>
      <c r="K92" s="238">
        <v>4</v>
      </c>
      <c r="L92" s="238"/>
      <c r="M92" s="239"/>
      <c r="N92" s="237"/>
      <c r="O92" s="238"/>
      <c r="P92" s="237"/>
      <c r="Q92" s="237"/>
      <c r="R92" s="217" t="s">
        <v>762</v>
      </c>
      <c r="S92" s="217" t="s">
        <v>763</v>
      </c>
      <c r="T92" s="217" t="s">
        <v>1200</v>
      </c>
      <c r="U92" s="219" t="s">
        <v>1201</v>
      </c>
      <c r="V92" s="216"/>
      <c r="W92" s="103" t="s">
        <v>766</v>
      </c>
      <c r="X92" s="103" t="s">
        <v>763</v>
      </c>
      <c r="Y92" s="217" t="s">
        <v>1200</v>
      </c>
      <c r="Z92" s="207"/>
      <c r="AA92" s="218" t="s">
        <v>767</v>
      </c>
    </row>
    <row r="93" spans="2:27" ht="39.75" customHeight="1" x14ac:dyDescent="0.35">
      <c r="B93" s="237" t="s">
        <v>18</v>
      </c>
      <c r="C93" s="237" t="s">
        <v>756</v>
      </c>
      <c r="D93" s="237" t="s">
        <v>757</v>
      </c>
      <c r="E93" s="238">
        <v>0</v>
      </c>
      <c r="F93" s="237" t="s">
        <v>1202</v>
      </c>
      <c r="G93" s="237" t="s">
        <v>1203</v>
      </c>
      <c r="H93" s="216"/>
      <c r="I93" s="238">
        <v>11</v>
      </c>
      <c r="J93" s="232" t="s">
        <v>1204</v>
      </c>
      <c r="K93" s="238">
        <v>11</v>
      </c>
      <c r="L93" s="238"/>
      <c r="M93" s="239"/>
      <c r="N93" s="237"/>
      <c r="O93" s="238"/>
      <c r="P93" s="237"/>
      <c r="Q93" s="237"/>
      <c r="R93" s="217" t="s">
        <v>762</v>
      </c>
      <c r="S93" s="217" t="s">
        <v>763</v>
      </c>
      <c r="T93" s="217" t="s">
        <v>1205</v>
      </c>
      <c r="U93" s="219" t="s">
        <v>1206</v>
      </c>
      <c r="V93" s="216"/>
      <c r="W93" s="103" t="s">
        <v>766</v>
      </c>
      <c r="X93" s="103" t="s">
        <v>763</v>
      </c>
      <c r="Y93" s="217" t="s">
        <v>1205</v>
      </c>
      <c r="Z93" s="207"/>
      <c r="AA93" s="218" t="s">
        <v>767</v>
      </c>
    </row>
    <row r="94" spans="2:27" ht="39.75" customHeight="1" x14ac:dyDescent="0.35">
      <c r="B94" s="237" t="s">
        <v>18</v>
      </c>
      <c r="C94" s="237" t="s">
        <v>756</v>
      </c>
      <c r="D94" s="237" t="s">
        <v>757</v>
      </c>
      <c r="E94" s="238">
        <v>0</v>
      </c>
      <c r="F94" s="237" t="s">
        <v>1207</v>
      </c>
      <c r="G94" s="237" t="s">
        <v>1208</v>
      </c>
      <c r="H94" s="216"/>
      <c r="I94" s="238">
        <v>12</v>
      </c>
      <c r="J94" s="224" t="s">
        <v>741</v>
      </c>
      <c r="K94" s="238">
        <v>10</v>
      </c>
      <c r="L94" s="238"/>
      <c r="M94" s="239"/>
      <c r="N94" s="237"/>
      <c r="O94" s="238"/>
      <c r="P94" s="237"/>
      <c r="Q94" s="237"/>
      <c r="R94" s="217" t="s">
        <v>762</v>
      </c>
      <c r="S94" s="217" t="s">
        <v>763</v>
      </c>
      <c r="T94" s="217" t="s">
        <v>1209</v>
      </c>
      <c r="U94" s="219" t="s">
        <v>1210</v>
      </c>
      <c r="V94" s="216"/>
      <c r="W94" s="103" t="s">
        <v>766</v>
      </c>
      <c r="X94" s="103" t="s">
        <v>763</v>
      </c>
      <c r="Y94" s="217" t="s">
        <v>1209</v>
      </c>
      <c r="Z94" s="207"/>
      <c r="AA94" s="218" t="s">
        <v>767</v>
      </c>
    </row>
    <row r="95" spans="2:27" ht="39.75" customHeight="1" x14ac:dyDescent="0.35">
      <c r="B95" s="237" t="s">
        <v>18</v>
      </c>
      <c r="C95" s="237" t="s">
        <v>756</v>
      </c>
      <c r="D95" s="237" t="s">
        <v>757</v>
      </c>
      <c r="E95" s="238">
        <v>0</v>
      </c>
      <c r="F95" s="237" t="s">
        <v>768</v>
      </c>
      <c r="G95" s="237" t="s">
        <v>769</v>
      </c>
      <c r="H95" s="216"/>
      <c r="I95" s="238">
        <v>13</v>
      </c>
      <c r="J95" s="224" t="s">
        <v>741</v>
      </c>
      <c r="K95" s="238">
        <v>4</v>
      </c>
      <c r="L95" s="238"/>
      <c r="M95" s="239"/>
      <c r="N95" s="237"/>
      <c r="O95" s="238"/>
      <c r="P95" s="237"/>
      <c r="Q95" s="237"/>
      <c r="R95" s="217" t="s">
        <v>1211</v>
      </c>
      <c r="S95" s="217" t="s">
        <v>1212</v>
      </c>
      <c r="T95" s="217" t="s">
        <v>1213</v>
      </c>
      <c r="U95" s="219" t="s">
        <v>1214</v>
      </c>
      <c r="V95" s="216"/>
      <c r="W95" s="103" t="s">
        <v>766</v>
      </c>
      <c r="X95" s="103" t="s">
        <v>763</v>
      </c>
      <c r="Y95" s="217" t="s">
        <v>1215</v>
      </c>
      <c r="Z95" s="207"/>
      <c r="AA95" s="218" t="s">
        <v>767</v>
      </c>
    </row>
    <row r="96" spans="2:27" ht="39.75" customHeight="1" x14ac:dyDescent="0.35">
      <c r="B96" s="237" t="s">
        <v>18</v>
      </c>
      <c r="C96" s="237" t="s">
        <v>756</v>
      </c>
      <c r="D96" s="237" t="s">
        <v>757</v>
      </c>
      <c r="E96" s="238">
        <v>0</v>
      </c>
      <c r="F96" s="237" t="s">
        <v>700</v>
      </c>
      <c r="G96" s="237" t="s">
        <v>701</v>
      </c>
      <c r="H96" s="216"/>
      <c r="I96" s="238">
        <v>14</v>
      </c>
      <c r="J96" s="237" t="s">
        <v>703</v>
      </c>
      <c r="K96" s="238">
        <v>23</v>
      </c>
      <c r="L96" s="238">
        <v>6</v>
      </c>
      <c r="M96" s="239"/>
      <c r="N96" s="237"/>
      <c r="O96" s="238"/>
      <c r="P96" s="237"/>
      <c r="Q96" s="237"/>
      <c r="R96" s="217" t="s">
        <v>762</v>
      </c>
      <c r="S96" s="217" t="s">
        <v>763</v>
      </c>
      <c r="T96" s="217" t="s">
        <v>1216</v>
      </c>
      <c r="U96" s="219" t="s">
        <v>1217</v>
      </c>
      <c r="V96" s="216"/>
      <c r="W96" s="103" t="s">
        <v>766</v>
      </c>
      <c r="X96" s="103" t="s">
        <v>763</v>
      </c>
      <c r="Y96" s="217" t="s">
        <v>1216</v>
      </c>
      <c r="Z96" s="207"/>
      <c r="AA96" s="218" t="s">
        <v>767</v>
      </c>
    </row>
    <row r="97" spans="2:27" ht="39.75" customHeight="1" x14ac:dyDescent="0.35">
      <c r="B97" s="237" t="s">
        <v>18</v>
      </c>
      <c r="C97" s="237" t="s">
        <v>756</v>
      </c>
      <c r="D97" s="237" t="s">
        <v>757</v>
      </c>
      <c r="E97" s="238">
        <v>0</v>
      </c>
      <c r="F97" s="237" t="s">
        <v>1218</v>
      </c>
      <c r="G97" s="237" t="s">
        <v>796</v>
      </c>
      <c r="H97" s="216"/>
      <c r="I97" s="238">
        <v>15</v>
      </c>
      <c r="J97" s="224" t="s">
        <v>741</v>
      </c>
      <c r="K97" s="238">
        <v>10</v>
      </c>
      <c r="L97" s="238"/>
      <c r="M97" s="239"/>
      <c r="N97" s="237"/>
      <c r="O97" s="238" t="s">
        <v>752</v>
      </c>
      <c r="P97" s="237"/>
      <c r="Q97" s="237"/>
      <c r="R97" s="217" t="s">
        <v>762</v>
      </c>
      <c r="S97" s="217" t="s">
        <v>763</v>
      </c>
      <c r="T97" s="217" t="s">
        <v>1219</v>
      </c>
      <c r="U97" s="219" t="s">
        <v>1220</v>
      </c>
      <c r="V97" s="216"/>
      <c r="W97" s="217" t="s">
        <v>767</v>
      </c>
      <c r="X97" s="217" t="s">
        <v>767</v>
      </c>
      <c r="Y97" s="217" t="s">
        <v>767</v>
      </c>
      <c r="Z97" s="217" t="s">
        <v>767</v>
      </c>
      <c r="AA97" s="218" t="s">
        <v>767</v>
      </c>
    </row>
    <row r="98" spans="2:27" ht="39.75" customHeight="1" x14ac:dyDescent="0.35">
      <c r="B98" s="237" t="s">
        <v>18</v>
      </c>
      <c r="C98" s="237" t="s">
        <v>756</v>
      </c>
      <c r="D98" s="237" t="s">
        <v>757</v>
      </c>
      <c r="E98" s="238">
        <v>0</v>
      </c>
      <c r="F98" s="237" t="s">
        <v>813</v>
      </c>
      <c r="G98" s="237" t="s">
        <v>814</v>
      </c>
      <c r="H98" s="216"/>
      <c r="I98" s="238">
        <v>16</v>
      </c>
      <c r="J98" s="237" t="s">
        <v>816</v>
      </c>
      <c r="K98" s="238">
        <v>23</v>
      </c>
      <c r="L98" s="238"/>
      <c r="M98" s="239"/>
      <c r="N98" s="237"/>
      <c r="O98" s="238"/>
      <c r="P98" s="237"/>
      <c r="Q98" s="237"/>
      <c r="R98" s="217" t="s">
        <v>762</v>
      </c>
      <c r="S98" s="217" t="s">
        <v>763</v>
      </c>
      <c r="T98" s="217" t="s">
        <v>1166</v>
      </c>
      <c r="U98" s="219" t="s">
        <v>1221</v>
      </c>
      <c r="V98" s="216"/>
      <c r="W98" s="217" t="s">
        <v>767</v>
      </c>
      <c r="X98" s="217" t="s">
        <v>767</v>
      </c>
      <c r="Y98" s="217" t="s">
        <v>767</v>
      </c>
      <c r="Z98" s="217" t="s">
        <v>767</v>
      </c>
      <c r="AA98" s="218" t="s">
        <v>767</v>
      </c>
    </row>
  </sheetData>
  <sortState xmlns:xlrd2="http://schemas.microsoft.com/office/spreadsheetml/2017/richdata2" ref="B8:AA123">
    <sortCondition ref="C8:C123"/>
    <sortCondition ref="G8:G123"/>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5" x14ac:dyDescent="0.35"/>
  <cols>
    <col min="1" max="1" width="56.54296875" customWidth="1"/>
    <col min="2" max="2" width="16.453125" customWidth="1"/>
  </cols>
  <sheetData>
    <row r="1" spans="1:2" x14ac:dyDescent="0.35">
      <c r="A1" s="63" t="s">
        <v>1222</v>
      </c>
      <c r="B1" s="63" t="s">
        <v>1223</v>
      </c>
    </row>
    <row r="2" spans="1:2" x14ac:dyDescent="0.35">
      <c r="A2" s="64" t="s">
        <v>1224</v>
      </c>
      <c r="B2" s="64" t="s">
        <v>1225</v>
      </c>
    </row>
    <row r="3" spans="1:2" x14ac:dyDescent="0.35">
      <c r="A3" s="64" t="s">
        <v>1226</v>
      </c>
      <c r="B3" s="64" t="s">
        <v>1227</v>
      </c>
    </row>
    <row r="4" spans="1:2" x14ac:dyDescent="0.35">
      <c r="A4" s="64" t="s">
        <v>1228</v>
      </c>
      <c r="B4" s="65" t="s">
        <v>1229</v>
      </c>
    </row>
    <row r="5" spans="1:2" x14ac:dyDescent="0.35">
      <c r="A5" s="64" t="s">
        <v>1230</v>
      </c>
      <c r="B5" s="64" t="s">
        <v>1231</v>
      </c>
    </row>
    <row r="6" spans="1:2" x14ac:dyDescent="0.35">
      <c r="A6" s="64" t="s">
        <v>1232</v>
      </c>
      <c r="B6" s="64" t="s">
        <v>1233</v>
      </c>
    </row>
    <row r="7" spans="1:2" x14ac:dyDescent="0.35">
      <c r="A7" s="64" t="s">
        <v>1234</v>
      </c>
      <c r="B7" s="64" t="s">
        <v>1235</v>
      </c>
    </row>
    <row r="8" spans="1:2" x14ac:dyDescent="0.35">
      <c r="A8" s="64" t="s">
        <v>1236</v>
      </c>
      <c r="B8" s="64" t="s">
        <v>1237</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580"/>
  <sheetViews>
    <sheetView showGridLines="0" topLeftCell="D1" workbookViewId="0">
      <selection activeCell="F65" sqref="F65:G65"/>
    </sheetView>
  </sheetViews>
  <sheetFormatPr defaultRowHeight="14.5" x14ac:dyDescent="0.35"/>
  <cols>
    <col min="2" max="2" width="39.26953125" style="179" bestFit="1" customWidth="1"/>
    <col min="3" max="4" width="43.7265625" style="54" customWidth="1"/>
    <col min="5" max="5" width="34" style="54" customWidth="1"/>
    <col min="6" max="6" width="50.453125" style="54" customWidth="1"/>
    <col min="7" max="7" width="37.26953125" customWidth="1"/>
    <col min="8" max="8" width="125.54296875" style="24" customWidth="1"/>
    <col min="9" max="9" width="32.54296875" customWidth="1"/>
  </cols>
  <sheetData>
    <row r="1" spans="2:9" ht="35.25" customHeight="1" x14ac:dyDescent="0.35"/>
    <row r="2" spans="2:9" ht="39.75" customHeight="1" x14ac:dyDescent="0.35">
      <c r="B2" s="180" t="s">
        <v>1238</v>
      </c>
      <c r="C2" s="180" t="s">
        <v>675</v>
      </c>
      <c r="D2" s="180" t="s">
        <v>1239</v>
      </c>
      <c r="E2" s="180" t="s">
        <v>1240</v>
      </c>
      <c r="F2" s="180" t="s">
        <v>1241</v>
      </c>
      <c r="G2" s="180" t="s">
        <v>1242</v>
      </c>
      <c r="H2" s="181" t="s">
        <v>1243</v>
      </c>
      <c r="I2" s="182" t="s">
        <v>1244</v>
      </c>
    </row>
    <row r="3" spans="2:9" ht="39.75" customHeight="1" x14ac:dyDescent="0.35">
      <c r="B3" s="80" t="s">
        <v>7</v>
      </c>
      <c r="C3" s="80" t="s">
        <v>8</v>
      </c>
      <c r="D3" s="80" t="s">
        <v>1245</v>
      </c>
      <c r="E3" s="80" t="s">
        <v>1246</v>
      </c>
      <c r="F3" s="80" t="s">
        <v>1247</v>
      </c>
      <c r="G3" s="80" t="s">
        <v>1248</v>
      </c>
      <c r="H3" s="183" t="s">
        <v>1249</v>
      </c>
      <c r="I3" s="183" t="s">
        <v>1250</v>
      </c>
    </row>
    <row r="4" spans="2:9" ht="39.75" customHeight="1" x14ac:dyDescent="0.35">
      <c r="B4" s="80" t="s">
        <v>7</v>
      </c>
      <c r="C4" s="80" t="s">
        <v>8</v>
      </c>
      <c r="D4" s="80" t="s">
        <v>1245</v>
      </c>
      <c r="E4" s="80" t="s">
        <v>1251</v>
      </c>
      <c r="F4" s="80" t="s">
        <v>1247</v>
      </c>
      <c r="G4" s="80" t="s">
        <v>1248</v>
      </c>
      <c r="H4" s="183" t="s">
        <v>1252</v>
      </c>
      <c r="I4" s="183" t="s">
        <v>1250</v>
      </c>
    </row>
    <row r="5" spans="2:9" ht="39.75" customHeight="1" x14ac:dyDescent="0.35">
      <c r="B5" s="80" t="s">
        <v>7</v>
      </c>
      <c r="C5" s="80" t="s">
        <v>8</v>
      </c>
      <c r="D5" s="80" t="s">
        <v>1245</v>
      </c>
      <c r="E5" s="80" t="s">
        <v>1253</v>
      </c>
      <c r="F5" s="80" t="s">
        <v>1247</v>
      </c>
      <c r="G5" s="80" t="s">
        <v>1248</v>
      </c>
      <c r="H5" s="183" t="s">
        <v>1254</v>
      </c>
      <c r="I5" s="183" t="s">
        <v>1250</v>
      </c>
    </row>
    <row r="6" spans="2:9" ht="39.75" customHeight="1" x14ac:dyDescent="0.35">
      <c r="B6" s="227" t="s">
        <v>4</v>
      </c>
      <c r="C6" s="227" t="s">
        <v>5</v>
      </c>
      <c r="D6" s="80" t="s">
        <v>1255</v>
      </c>
      <c r="E6" s="80" t="s">
        <v>1256</v>
      </c>
      <c r="F6" s="80" t="s">
        <v>1247</v>
      </c>
      <c r="G6" s="80" t="s">
        <v>1248</v>
      </c>
      <c r="H6" s="183" t="s">
        <v>1257</v>
      </c>
      <c r="I6" s="183" t="s">
        <v>1250</v>
      </c>
    </row>
    <row r="7" spans="2:9" ht="39.75" customHeight="1" x14ac:dyDescent="0.35">
      <c r="B7" s="227" t="s">
        <v>4</v>
      </c>
      <c r="C7" s="227" t="s">
        <v>5</v>
      </c>
      <c r="D7" s="80" t="s">
        <v>1255</v>
      </c>
      <c r="E7" s="80" t="s">
        <v>1258</v>
      </c>
      <c r="F7" s="80" t="s">
        <v>1247</v>
      </c>
      <c r="G7" s="80" t="s">
        <v>1248</v>
      </c>
      <c r="H7" s="183" t="s">
        <v>1259</v>
      </c>
      <c r="I7" s="183" t="s">
        <v>1250</v>
      </c>
    </row>
    <row r="8" spans="2:9" ht="39.75" hidden="1" customHeight="1" x14ac:dyDescent="0.35">
      <c r="B8" s="227" t="s">
        <v>4</v>
      </c>
      <c r="C8" s="227" t="s">
        <v>5</v>
      </c>
      <c r="D8" s="80" t="s">
        <v>1255</v>
      </c>
      <c r="E8" s="80" t="s">
        <v>1258</v>
      </c>
      <c r="F8" s="80" t="s">
        <v>1255</v>
      </c>
      <c r="G8" s="80" t="s">
        <v>1256</v>
      </c>
      <c r="H8" s="183" t="s">
        <v>1260</v>
      </c>
      <c r="I8" s="164" t="s">
        <v>1250</v>
      </c>
    </row>
    <row r="9" spans="2:9" ht="39.75" hidden="1" customHeight="1" x14ac:dyDescent="0.35">
      <c r="B9" s="80" t="s">
        <v>1261</v>
      </c>
      <c r="C9" s="80" t="s">
        <v>16</v>
      </c>
      <c r="D9" s="80" t="s">
        <v>1245</v>
      </c>
      <c r="E9" s="80" t="s">
        <v>1262</v>
      </c>
      <c r="F9" s="80" t="s">
        <v>1245</v>
      </c>
      <c r="G9" s="80" t="s">
        <v>1262</v>
      </c>
      <c r="H9" s="183" t="s">
        <v>1263</v>
      </c>
      <c r="I9" s="183" t="s">
        <v>1264</v>
      </c>
    </row>
    <row r="10" spans="2:9" ht="39.75" hidden="1" customHeight="1" x14ac:dyDescent="0.35">
      <c r="B10" s="80" t="s">
        <v>1261</v>
      </c>
      <c r="C10" s="80" t="s">
        <v>16</v>
      </c>
      <c r="D10" s="80" t="s">
        <v>1245</v>
      </c>
      <c r="E10" s="80" t="s">
        <v>1262</v>
      </c>
      <c r="F10" s="80" t="s">
        <v>1245</v>
      </c>
      <c r="G10" s="80" t="s">
        <v>1265</v>
      </c>
      <c r="H10" s="183" t="s">
        <v>1266</v>
      </c>
      <c r="I10" s="183" t="s">
        <v>1250</v>
      </c>
    </row>
    <row r="11" spans="2:9" ht="39.75" hidden="1" customHeight="1" x14ac:dyDescent="0.35">
      <c r="B11" s="80" t="s">
        <v>1261</v>
      </c>
      <c r="C11" s="80" t="s">
        <v>16</v>
      </c>
      <c r="D11" s="80" t="s">
        <v>1245</v>
      </c>
      <c r="E11" s="80" t="s">
        <v>1262</v>
      </c>
      <c r="F11" s="80" t="s">
        <v>1245</v>
      </c>
      <c r="G11" s="80" t="s">
        <v>1267</v>
      </c>
      <c r="H11" s="183" t="s">
        <v>1268</v>
      </c>
      <c r="I11" s="183" t="s">
        <v>1250</v>
      </c>
    </row>
    <row r="12" spans="2:9" ht="39.75" customHeight="1" x14ac:dyDescent="0.35">
      <c r="B12" s="80" t="s">
        <v>1261</v>
      </c>
      <c r="C12" s="80" t="s">
        <v>16</v>
      </c>
      <c r="D12" s="80" t="s">
        <v>1245</v>
      </c>
      <c r="E12" s="80" t="s">
        <v>1262</v>
      </c>
      <c r="F12" s="80" t="s">
        <v>1247</v>
      </c>
      <c r="G12" s="80" t="s">
        <v>1248</v>
      </c>
      <c r="H12" s="183" t="s">
        <v>1269</v>
      </c>
      <c r="I12" s="183" t="s">
        <v>1250</v>
      </c>
    </row>
    <row r="13" spans="2:9" ht="39.75" customHeight="1" x14ac:dyDescent="0.35">
      <c r="B13" s="80" t="s">
        <v>1261</v>
      </c>
      <c r="C13" s="80" t="s">
        <v>16</v>
      </c>
      <c r="D13" s="80" t="s">
        <v>1245</v>
      </c>
      <c r="E13" s="80" t="s">
        <v>1270</v>
      </c>
      <c r="F13" s="80" t="s">
        <v>1247</v>
      </c>
      <c r="G13" s="80" t="s">
        <v>1248</v>
      </c>
      <c r="H13" s="183" t="s">
        <v>1271</v>
      </c>
      <c r="I13" s="183" t="s">
        <v>1250</v>
      </c>
    </row>
    <row r="14" spans="2:9" ht="39.75" hidden="1" customHeight="1" x14ac:dyDescent="0.35">
      <c r="B14" s="80" t="s">
        <v>1261</v>
      </c>
      <c r="C14" s="80" t="s">
        <v>16</v>
      </c>
      <c r="D14" s="80" t="s">
        <v>1245</v>
      </c>
      <c r="E14" s="80" t="s">
        <v>1272</v>
      </c>
      <c r="F14" s="80" t="s">
        <v>1245</v>
      </c>
      <c r="G14" s="80" t="s">
        <v>1273</v>
      </c>
      <c r="H14" s="183" t="s">
        <v>1274</v>
      </c>
      <c r="I14" s="183" t="s">
        <v>1250</v>
      </c>
    </row>
    <row r="15" spans="2:9" ht="39.75" customHeight="1" x14ac:dyDescent="0.35">
      <c r="B15" s="80" t="s">
        <v>1261</v>
      </c>
      <c r="C15" s="80" t="s">
        <v>16</v>
      </c>
      <c r="D15" s="80" t="s">
        <v>1245</v>
      </c>
      <c r="E15" s="80" t="s">
        <v>1272</v>
      </c>
      <c r="F15" s="80" t="s">
        <v>1247</v>
      </c>
      <c r="G15" s="80" t="s">
        <v>1248</v>
      </c>
      <c r="H15" s="183" t="s">
        <v>1275</v>
      </c>
      <c r="I15" s="183" t="s">
        <v>1250</v>
      </c>
    </row>
    <row r="16" spans="2:9" ht="39.75" hidden="1" customHeight="1" x14ac:dyDescent="0.35">
      <c r="B16" s="80" t="s">
        <v>1261</v>
      </c>
      <c r="C16" s="80" t="s">
        <v>16</v>
      </c>
      <c r="D16" s="80" t="s">
        <v>1276</v>
      </c>
      <c r="E16" s="80" t="s">
        <v>1277</v>
      </c>
      <c r="F16" s="80" t="s">
        <v>1276</v>
      </c>
      <c r="G16" s="80" t="s">
        <v>1278</v>
      </c>
      <c r="H16" s="183" t="s">
        <v>1279</v>
      </c>
      <c r="I16" s="183" t="s">
        <v>1250</v>
      </c>
    </row>
    <row r="17" spans="2:9" ht="39.75" hidden="1" customHeight="1" x14ac:dyDescent="0.35">
      <c r="B17" s="80" t="s">
        <v>1261</v>
      </c>
      <c r="C17" s="80" t="s">
        <v>16</v>
      </c>
      <c r="D17" s="80" t="s">
        <v>1276</v>
      </c>
      <c r="E17" s="80" t="s">
        <v>1277</v>
      </c>
      <c r="F17" s="80" t="s">
        <v>1276</v>
      </c>
      <c r="G17" s="80" t="s">
        <v>1280</v>
      </c>
      <c r="H17" s="183" t="s">
        <v>1281</v>
      </c>
      <c r="I17" s="183" t="s">
        <v>1250</v>
      </c>
    </row>
    <row r="18" spans="2:9" ht="39.75" hidden="1" customHeight="1" x14ac:dyDescent="0.35">
      <c r="B18" s="80" t="s">
        <v>1261</v>
      </c>
      <c r="C18" s="80" t="s">
        <v>16</v>
      </c>
      <c r="D18" s="80" t="s">
        <v>1276</v>
      </c>
      <c r="E18" s="80" t="s">
        <v>1280</v>
      </c>
      <c r="F18" s="80" t="s">
        <v>1276</v>
      </c>
      <c r="G18" s="80" t="s">
        <v>1282</v>
      </c>
      <c r="H18" s="183" t="s">
        <v>1283</v>
      </c>
      <c r="I18" s="183" t="s">
        <v>1250</v>
      </c>
    </row>
    <row r="19" spans="2:9" ht="39.75" customHeight="1" x14ac:dyDescent="0.35">
      <c r="B19" s="80" t="s">
        <v>1261</v>
      </c>
      <c r="C19" s="80" t="s">
        <v>16</v>
      </c>
      <c r="D19" s="80" t="s">
        <v>1276</v>
      </c>
      <c r="E19" s="80" t="s">
        <v>1277</v>
      </c>
      <c r="F19" s="80" t="s">
        <v>1247</v>
      </c>
      <c r="G19" s="80" t="s">
        <v>1248</v>
      </c>
      <c r="H19" s="183" t="s">
        <v>1284</v>
      </c>
      <c r="I19" s="164" t="s">
        <v>1250</v>
      </c>
    </row>
    <row r="20" spans="2:9" ht="39.75" hidden="1" customHeight="1" x14ac:dyDescent="0.35">
      <c r="B20" s="80" t="s">
        <v>1261</v>
      </c>
      <c r="C20" s="80" t="s">
        <v>16</v>
      </c>
      <c r="D20" s="80" t="s">
        <v>1276</v>
      </c>
      <c r="E20" s="80" t="s">
        <v>1285</v>
      </c>
      <c r="F20" s="80" t="s">
        <v>1276</v>
      </c>
      <c r="G20" s="80" t="s">
        <v>1286</v>
      </c>
      <c r="H20" s="183" t="s">
        <v>1287</v>
      </c>
      <c r="I20" s="164" t="s">
        <v>1264</v>
      </c>
    </row>
    <row r="21" spans="2:9" ht="39.75" hidden="1" customHeight="1" x14ac:dyDescent="0.35">
      <c r="B21" s="80" t="s">
        <v>1261</v>
      </c>
      <c r="C21" s="80" t="s">
        <v>16</v>
      </c>
      <c r="D21" s="80" t="s">
        <v>1276</v>
      </c>
      <c r="E21" s="80" t="s">
        <v>1285</v>
      </c>
      <c r="F21" s="80" t="s">
        <v>1276</v>
      </c>
      <c r="G21" s="80" t="s">
        <v>1288</v>
      </c>
      <c r="H21" s="183" t="s">
        <v>1289</v>
      </c>
      <c r="I21" s="164" t="s">
        <v>1250</v>
      </c>
    </row>
    <row r="22" spans="2:9" ht="39.75" hidden="1" customHeight="1" x14ac:dyDescent="0.35">
      <c r="B22" s="80" t="s">
        <v>1261</v>
      </c>
      <c r="C22" s="80" t="s">
        <v>16</v>
      </c>
      <c r="D22" s="80" t="s">
        <v>1276</v>
      </c>
      <c r="E22" s="80" t="s">
        <v>1288</v>
      </c>
      <c r="F22" s="80" t="s">
        <v>1276</v>
      </c>
      <c r="G22" s="80" t="s">
        <v>1290</v>
      </c>
      <c r="H22" s="183" t="s">
        <v>1291</v>
      </c>
      <c r="I22" s="164" t="s">
        <v>1250</v>
      </c>
    </row>
    <row r="23" spans="2:9" ht="39.75" hidden="1" customHeight="1" x14ac:dyDescent="0.35">
      <c r="B23" s="80" t="s">
        <v>1261</v>
      </c>
      <c r="C23" s="80" t="s">
        <v>16</v>
      </c>
      <c r="D23" s="80" t="s">
        <v>1276</v>
      </c>
      <c r="E23" s="80" t="s">
        <v>1288</v>
      </c>
      <c r="F23" s="80" t="s">
        <v>1276</v>
      </c>
      <c r="G23" s="80" t="s">
        <v>1278</v>
      </c>
      <c r="H23" s="183" t="s">
        <v>1292</v>
      </c>
      <c r="I23" s="164" t="s">
        <v>1250</v>
      </c>
    </row>
    <row r="24" spans="2:9" ht="39.75" hidden="1" customHeight="1" x14ac:dyDescent="0.35">
      <c r="B24" s="80" t="s">
        <v>1261</v>
      </c>
      <c r="C24" s="80" t="s">
        <v>16</v>
      </c>
      <c r="D24" s="80" t="s">
        <v>1276</v>
      </c>
      <c r="E24" s="80" t="s">
        <v>1288</v>
      </c>
      <c r="F24" s="80" t="s">
        <v>1276</v>
      </c>
      <c r="G24" s="80" t="s">
        <v>1293</v>
      </c>
      <c r="H24" s="183" t="s">
        <v>1294</v>
      </c>
      <c r="I24" s="164" t="s">
        <v>1250</v>
      </c>
    </row>
    <row r="25" spans="2:9" ht="39.75" hidden="1" customHeight="1" x14ac:dyDescent="0.35">
      <c r="B25" s="80" t="s">
        <v>1261</v>
      </c>
      <c r="C25" s="80" t="s">
        <v>16</v>
      </c>
      <c r="D25" s="80" t="s">
        <v>1276</v>
      </c>
      <c r="E25" s="80" t="s">
        <v>1288</v>
      </c>
      <c r="F25" s="80" t="s">
        <v>1276</v>
      </c>
      <c r="G25" s="80" t="s">
        <v>1295</v>
      </c>
      <c r="H25" s="183" t="s">
        <v>1296</v>
      </c>
      <c r="I25" s="164" t="s">
        <v>1250</v>
      </c>
    </row>
    <row r="26" spans="2:9" ht="39.75" hidden="1" customHeight="1" x14ac:dyDescent="0.35">
      <c r="B26" s="80" t="s">
        <v>1261</v>
      </c>
      <c r="C26" s="80" t="s">
        <v>16</v>
      </c>
      <c r="D26" s="80" t="s">
        <v>1276</v>
      </c>
      <c r="E26" s="80" t="s">
        <v>1293</v>
      </c>
      <c r="F26" s="80" t="s">
        <v>1276</v>
      </c>
      <c r="G26" s="80" t="s">
        <v>1297</v>
      </c>
      <c r="H26" s="183" t="s">
        <v>1283</v>
      </c>
      <c r="I26" s="164" t="s">
        <v>1250</v>
      </c>
    </row>
    <row r="27" spans="2:9" ht="39.75" hidden="1" customHeight="1" x14ac:dyDescent="0.35">
      <c r="B27" s="80" t="s">
        <v>1261</v>
      </c>
      <c r="C27" s="80" t="s">
        <v>16</v>
      </c>
      <c r="D27" s="80" t="s">
        <v>1276</v>
      </c>
      <c r="E27" s="80" t="s">
        <v>1295</v>
      </c>
      <c r="F27" s="80" t="s">
        <v>1276</v>
      </c>
      <c r="G27" s="80" t="s">
        <v>1298</v>
      </c>
      <c r="H27" s="183" t="s">
        <v>1283</v>
      </c>
      <c r="I27" s="164" t="s">
        <v>1250</v>
      </c>
    </row>
    <row r="28" spans="2:9" ht="39.75" customHeight="1" x14ac:dyDescent="0.35">
      <c r="B28" s="80" t="s">
        <v>1261</v>
      </c>
      <c r="C28" s="80" t="s">
        <v>16</v>
      </c>
      <c r="D28" s="80" t="s">
        <v>1276</v>
      </c>
      <c r="E28" s="80" t="s">
        <v>1286</v>
      </c>
      <c r="F28" s="80" t="s">
        <v>1247</v>
      </c>
      <c r="G28" s="80" t="s">
        <v>1248</v>
      </c>
      <c r="H28" s="183" t="s">
        <v>1299</v>
      </c>
      <c r="I28" s="164" t="s">
        <v>1250</v>
      </c>
    </row>
    <row r="29" spans="2:9" ht="39.75" hidden="1" customHeight="1" x14ac:dyDescent="0.35">
      <c r="B29" s="80" t="s">
        <v>1261</v>
      </c>
      <c r="C29" s="80" t="s">
        <v>16</v>
      </c>
      <c r="D29" s="80" t="s">
        <v>1276</v>
      </c>
      <c r="E29" s="80" t="s">
        <v>1300</v>
      </c>
      <c r="F29" s="80" t="s">
        <v>1276</v>
      </c>
      <c r="G29" s="80" t="s">
        <v>1301</v>
      </c>
      <c r="H29" s="183" t="s">
        <v>1302</v>
      </c>
      <c r="I29" s="183" t="s">
        <v>1250</v>
      </c>
    </row>
    <row r="30" spans="2:9" ht="39.75" hidden="1" customHeight="1" x14ac:dyDescent="0.35">
      <c r="B30" s="80" t="s">
        <v>1261</v>
      </c>
      <c r="C30" s="80" t="s">
        <v>16</v>
      </c>
      <c r="D30" s="80" t="s">
        <v>1276</v>
      </c>
      <c r="E30" s="80" t="s">
        <v>1300</v>
      </c>
      <c r="F30" s="80" t="s">
        <v>1276</v>
      </c>
      <c r="G30" s="80" t="s">
        <v>1303</v>
      </c>
      <c r="H30" s="183" t="s">
        <v>1304</v>
      </c>
      <c r="I30" s="183" t="s">
        <v>1250</v>
      </c>
    </row>
    <row r="31" spans="2:9" ht="39.75" hidden="1" customHeight="1" x14ac:dyDescent="0.35">
      <c r="B31" s="80" t="s">
        <v>1261</v>
      </c>
      <c r="C31" s="80" t="s">
        <v>16</v>
      </c>
      <c r="D31" s="80" t="s">
        <v>1276</v>
      </c>
      <c r="E31" s="80" t="s">
        <v>1300</v>
      </c>
      <c r="F31" s="80" t="s">
        <v>1276</v>
      </c>
      <c r="G31" s="80" t="s">
        <v>1297</v>
      </c>
      <c r="H31" s="183" t="s">
        <v>1305</v>
      </c>
      <c r="I31" s="183" t="s">
        <v>1250</v>
      </c>
    </row>
    <row r="32" spans="2:9" ht="39.75" hidden="1" customHeight="1" x14ac:dyDescent="0.35">
      <c r="B32" s="80" t="s">
        <v>1261</v>
      </c>
      <c r="C32" s="80" t="s">
        <v>16</v>
      </c>
      <c r="D32" s="80" t="s">
        <v>1276</v>
      </c>
      <c r="E32" s="80" t="s">
        <v>1300</v>
      </c>
      <c r="F32" s="80" t="s">
        <v>1276</v>
      </c>
      <c r="G32" s="80" t="s">
        <v>1306</v>
      </c>
      <c r="H32" s="183" t="s">
        <v>1307</v>
      </c>
      <c r="I32" s="183" t="s">
        <v>1250</v>
      </c>
    </row>
    <row r="33" spans="2:9" ht="39.75" hidden="1" customHeight="1" x14ac:dyDescent="0.35">
      <c r="B33" s="80" t="s">
        <v>1261</v>
      </c>
      <c r="C33" s="80" t="s">
        <v>16</v>
      </c>
      <c r="D33" s="80" t="s">
        <v>1276</v>
      </c>
      <c r="E33" s="80" t="s">
        <v>1300</v>
      </c>
      <c r="F33" s="80" t="s">
        <v>1276</v>
      </c>
      <c r="G33" s="80" t="s">
        <v>1308</v>
      </c>
      <c r="H33" s="183" t="s">
        <v>1309</v>
      </c>
      <c r="I33" s="183" t="s">
        <v>1250</v>
      </c>
    </row>
    <row r="34" spans="2:9" ht="39.75" hidden="1" customHeight="1" x14ac:dyDescent="0.35">
      <c r="B34" s="80" t="s">
        <v>1261</v>
      </c>
      <c r="C34" s="80" t="s">
        <v>16</v>
      </c>
      <c r="D34" s="80" t="s">
        <v>1276</v>
      </c>
      <c r="E34" s="80" t="s">
        <v>1300</v>
      </c>
      <c r="F34" s="80" t="s">
        <v>1276</v>
      </c>
      <c r="G34" s="80" t="s">
        <v>1310</v>
      </c>
      <c r="H34" s="183" t="s">
        <v>1311</v>
      </c>
      <c r="I34" s="183" t="s">
        <v>1250</v>
      </c>
    </row>
    <row r="35" spans="2:9" ht="39.75" hidden="1" customHeight="1" x14ac:dyDescent="0.35">
      <c r="B35" s="80" t="s">
        <v>1261</v>
      </c>
      <c r="C35" s="80" t="s">
        <v>16</v>
      </c>
      <c r="D35" s="80" t="s">
        <v>1276</v>
      </c>
      <c r="E35" s="80" t="s">
        <v>1300</v>
      </c>
      <c r="F35" s="80" t="s">
        <v>1276</v>
      </c>
      <c r="G35" s="80" t="s">
        <v>1312</v>
      </c>
      <c r="H35" s="183" t="s">
        <v>1313</v>
      </c>
      <c r="I35" s="183" t="s">
        <v>1250</v>
      </c>
    </row>
    <row r="36" spans="2:9" ht="39.75" hidden="1" customHeight="1" x14ac:dyDescent="0.35">
      <c r="B36" s="80" t="s">
        <v>1261</v>
      </c>
      <c r="C36" s="80" t="s">
        <v>16</v>
      </c>
      <c r="D36" s="80" t="s">
        <v>1276</v>
      </c>
      <c r="E36" s="80" t="s">
        <v>1300</v>
      </c>
      <c r="F36" s="80" t="s">
        <v>1276</v>
      </c>
      <c r="G36" s="80" t="s">
        <v>1314</v>
      </c>
      <c r="H36" s="183" t="s">
        <v>1315</v>
      </c>
      <c r="I36" s="183" t="s">
        <v>1250</v>
      </c>
    </row>
    <row r="37" spans="2:9" ht="39.75" hidden="1" customHeight="1" x14ac:dyDescent="0.35">
      <c r="B37" s="80" t="s">
        <v>1261</v>
      </c>
      <c r="C37" s="80" t="s">
        <v>16</v>
      </c>
      <c r="D37" s="80" t="s">
        <v>1276</v>
      </c>
      <c r="E37" s="80" t="s">
        <v>1314</v>
      </c>
      <c r="F37" s="80" t="s">
        <v>1276</v>
      </c>
      <c r="G37" s="80" t="s">
        <v>1316</v>
      </c>
      <c r="H37" s="183" t="s">
        <v>1317</v>
      </c>
      <c r="I37" s="164" t="s">
        <v>1250</v>
      </c>
    </row>
    <row r="38" spans="2:9" ht="39.75" hidden="1" customHeight="1" x14ac:dyDescent="0.35">
      <c r="B38" s="80" t="s">
        <v>1261</v>
      </c>
      <c r="C38" s="80" t="s">
        <v>16</v>
      </c>
      <c r="D38" s="80" t="s">
        <v>1276</v>
      </c>
      <c r="E38" s="80" t="s">
        <v>1300</v>
      </c>
      <c r="F38" s="80" t="s">
        <v>1276</v>
      </c>
      <c r="G38" s="80" t="s">
        <v>1318</v>
      </c>
      <c r="H38" s="183" t="s">
        <v>1319</v>
      </c>
      <c r="I38" s="183" t="s">
        <v>1250</v>
      </c>
    </row>
    <row r="39" spans="2:9" ht="39.75" hidden="1" customHeight="1" x14ac:dyDescent="0.35">
      <c r="B39" s="80" t="s">
        <v>1261</v>
      </c>
      <c r="C39" s="80" t="s">
        <v>16</v>
      </c>
      <c r="D39" s="80" t="s">
        <v>1276</v>
      </c>
      <c r="E39" s="80" t="s">
        <v>1318</v>
      </c>
      <c r="F39" s="80" t="s">
        <v>1276</v>
      </c>
      <c r="G39" s="80" t="s">
        <v>1320</v>
      </c>
      <c r="H39" s="183" t="s">
        <v>1321</v>
      </c>
      <c r="I39" s="164" t="s">
        <v>1250</v>
      </c>
    </row>
    <row r="40" spans="2:9" ht="39.75" hidden="1" customHeight="1" x14ac:dyDescent="0.35">
      <c r="B40" s="80" t="s">
        <v>1261</v>
      </c>
      <c r="C40" s="80" t="s">
        <v>16</v>
      </c>
      <c r="D40" s="80" t="s">
        <v>1276</v>
      </c>
      <c r="E40" s="80" t="s">
        <v>1300</v>
      </c>
      <c r="F40" s="80" t="s">
        <v>1276</v>
      </c>
      <c r="G40" s="80" t="s">
        <v>1322</v>
      </c>
      <c r="H40" s="183" t="s">
        <v>1323</v>
      </c>
      <c r="I40" s="164" t="s">
        <v>1250</v>
      </c>
    </row>
    <row r="41" spans="2:9" ht="39.75" hidden="1" customHeight="1" x14ac:dyDescent="0.35">
      <c r="B41" s="80" t="s">
        <v>1261</v>
      </c>
      <c r="C41" s="80" t="s">
        <v>16</v>
      </c>
      <c r="D41" s="80" t="s">
        <v>1276</v>
      </c>
      <c r="E41" s="80" t="s">
        <v>1322</v>
      </c>
      <c r="F41" s="80" t="s">
        <v>1276</v>
      </c>
      <c r="G41" s="80" t="s">
        <v>1316</v>
      </c>
      <c r="H41" s="183" t="s">
        <v>1324</v>
      </c>
      <c r="I41" s="164" t="s">
        <v>1250</v>
      </c>
    </row>
    <row r="42" spans="2:9" ht="39.75" hidden="1" customHeight="1" x14ac:dyDescent="0.35">
      <c r="B42" s="80" t="s">
        <v>1261</v>
      </c>
      <c r="C42" s="80" t="s">
        <v>16</v>
      </c>
      <c r="D42" s="80" t="s">
        <v>1276</v>
      </c>
      <c r="E42" s="80" t="s">
        <v>1300</v>
      </c>
      <c r="F42" s="80" t="s">
        <v>1276</v>
      </c>
      <c r="G42" s="80" t="s">
        <v>1325</v>
      </c>
      <c r="H42" s="183" t="s">
        <v>1326</v>
      </c>
      <c r="I42" s="164" t="s">
        <v>1250</v>
      </c>
    </row>
    <row r="43" spans="2:9" ht="39.75" hidden="1" customHeight="1" x14ac:dyDescent="0.35">
      <c r="B43" s="80" t="s">
        <v>1261</v>
      </c>
      <c r="C43" s="80" t="s">
        <v>16</v>
      </c>
      <c r="D43" s="80" t="s">
        <v>1276</v>
      </c>
      <c r="E43" s="80" t="s">
        <v>1325</v>
      </c>
      <c r="F43" s="80" t="s">
        <v>1276</v>
      </c>
      <c r="G43" s="80" t="s">
        <v>1320</v>
      </c>
      <c r="H43" s="183" t="s">
        <v>1327</v>
      </c>
      <c r="I43" s="164" t="s">
        <v>1250</v>
      </c>
    </row>
    <row r="44" spans="2:9" ht="39.75" hidden="1" customHeight="1" x14ac:dyDescent="0.35">
      <c r="B44" s="80" t="s">
        <v>1261</v>
      </c>
      <c r="C44" s="80" t="s">
        <v>16</v>
      </c>
      <c r="D44" s="80" t="s">
        <v>1276</v>
      </c>
      <c r="E44" s="80" t="s">
        <v>1300</v>
      </c>
      <c r="F44" s="80" t="s">
        <v>1276</v>
      </c>
      <c r="G44" s="80" t="s">
        <v>1328</v>
      </c>
      <c r="H44" s="183" t="s">
        <v>1329</v>
      </c>
      <c r="I44" s="183" t="s">
        <v>1250</v>
      </c>
    </row>
    <row r="45" spans="2:9" ht="39.75" hidden="1" customHeight="1" x14ac:dyDescent="0.35">
      <c r="B45" s="80" t="s">
        <v>1261</v>
      </c>
      <c r="C45" s="80" t="s">
        <v>16</v>
      </c>
      <c r="D45" s="80" t="s">
        <v>1276</v>
      </c>
      <c r="E45" s="80" t="s">
        <v>1300</v>
      </c>
      <c r="F45" s="80" t="s">
        <v>1276</v>
      </c>
      <c r="G45" s="80" t="s">
        <v>1330</v>
      </c>
      <c r="H45" s="183" t="s">
        <v>1331</v>
      </c>
      <c r="I45" s="183" t="s">
        <v>1250</v>
      </c>
    </row>
    <row r="46" spans="2:9" ht="39.75" customHeight="1" x14ac:dyDescent="0.35">
      <c r="B46" s="80" t="s">
        <v>1261</v>
      </c>
      <c r="C46" s="80" t="s">
        <v>16</v>
      </c>
      <c r="D46" s="80" t="s">
        <v>1276</v>
      </c>
      <c r="E46" s="80" t="s">
        <v>1300</v>
      </c>
      <c r="F46" s="80" t="s">
        <v>1247</v>
      </c>
      <c r="G46" s="80" t="s">
        <v>1248</v>
      </c>
      <c r="H46" s="183" t="s">
        <v>1332</v>
      </c>
      <c r="I46" s="164" t="s">
        <v>1250</v>
      </c>
    </row>
    <row r="47" spans="2:9" ht="39.75" hidden="1" customHeight="1" x14ac:dyDescent="0.35">
      <c r="B47" s="80" t="s">
        <v>1261</v>
      </c>
      <c r="C47" s="80" t="s">
        <v>16</v>
      </c>
      <c r="D47" s="80" t="s">
        <v>1276</v>
      </c>
      <c r="E47" s="80" t="s">
        <v>1333</v>
      </c>
      <c r="F47" s="80" t="s">
        <v>1276</v>
      </c>
      <c r="G47" s="80" t="s">
        <v>1301</v>
      </c>
      <c r="H47" s="183" t="s">
        <v>1334</v>
      </c>
      <c r="I47" s="183" t="s">
        <v>1250</v>
      </c>
    </row>
    <row r="48" spans="2:9" ht="39.75" hidden="1" customHeight="1" x14ac:dyDescent="0.35">
      <c r="B48" s="80" t="s">
        <v>1261</v>
      </c>
      <c r="C48" s="80" t="s">
        <v>16</v>
      </c>
      <c r="D48" s="80" t="s">
        <v>1276</v>
      </c>
      <c r="E48" s="80" t="s">
        <v>1333</v>
      </c>
      <c r="F48" s="80" t="s">
        <v>1276</v>
      </c>
      <c r="G48" s="80" t="s">
        <v>1303</v>
      </c>
      <c r="H48" s="183" t="s">
        <v>1335</v>
      </c>
      <c r="I48" s="183" t="s">
        <v>1250</v>
      </c>
    </row>
    <row r="49" spans="2:9" ht="39.75" hidden="1" customHeight="1" x14ac:dyDescent="0.35">
      <c r="B49" s="80" t="s">
        <v>1261</v>
      </c>
      <c r="C49" s="80" t="s">
        <v>16</v>
      </c>
      <c r="D49" s="80" t="s">
        <v>1276</v>
      </c>
      <c r="E49" s="80" t="s">
        <v>1333</v>
      </c>
      <c r="F49" s="80" t="s">
        <v>1276</v>
      </c>
      <c r="G49" s="80" t="s">
        <v>1297</v>
      </c>
      <c r="H49" s="183" t="s">
        <v>1336</v>
      </c>
      <c r="I49" s="183" t="s">
        <v>1250</v>
      </c>
    </row>
    <row r="50" spans="2:9" ht="39.75" hidden="1" customHeight="1" x14ac:dyDescent="0.35">
      <c r="B50" s="80" t="s">
        <v>1261</v>
      </c>
      <c r="C50" s="80" t="s">
        <v>16</v>
      </c>
      <c r="D50" s="80" t="s">
        <v>1276</v>
      </c>
      <c r="E50" s="80" t="s">
        <v>1333</v>
      </c>
      <c r="F50" s="80" t="s">
        <v>1276</v>
      </c>
      <c r="G50" s="80" t="s">
        <v>1306</v>
      </c>
      <c r="H50" s="183" t="s">
        <v>1337</v>
      </c>
      <c r="I50" s="183" t="s">
        <v>1250</v>
      </c>
    </row>
    <row r="51" spans="2:9" ht="39.75" hidden="1" customHeight="1" x14ac:dyDescent="0.35">
      <c r="B51" s="80" t="s">
        <v>1261</v>
      </c>
      <c r="C51" s="80" t="s">
        <v>16</v>
      </c>
      <c r="D51" s="80" t="s">
        <v>1276</v>
      </c>
      <c r="E51" s="80" t="s">
        <v>1333</v>
      </c>
      <c r="F51" s="80" t="s">
        <v>1276</v>
      </c>
      <c r="G51" s="80" t="s">
        <v>1308</v>
      </c>
      <c r="H51" s="183" t="s">
        <v>1338</v>
      </c>
      <c r="I51" s="183" t="s">
        <v>1250</v>
      </c>
    </row>
    <row r="52" spans="2:9" ht="39.75" hidden="1" customHeight="1" x14ac:dyDescent="0.35">
      <c r="B52" s="80" t="s">
        <v>1261</v>
      </c>
      <c r="C52" s="80" t="s">
        <v>16</v>
      </c>
      <c r="D52" s="80" t="s">
        <v>1276</v>
      </c>
      <c r="E52" s="80" t="s">
        <v>1333</v>
      </c>
      <c r="F52" s="80" t="s">
        <v>1276</v>
      </c>
      <c r="G52" s="80" t="s">
        <v>1310</v>
      </c>
      <c r="H52" s="183" t="s">
        <v>1339</v>
      </c>
      <c r="I52" s="183" t="s">
        <v>1250</v>
      </c>
    </row>
    <row r="53" spans="2:9" ht="39.75" hidden="1" customHeight="1" x14ac:dyDescent="0.35">
      <c r="B53" s="80" t="s">
        <v>1261</v>
      </c>
      <c r="C53" s="80" t="s">
        <v>16</v>
      </c>
      <c r="D53" s="80" t="s">
        <v>1276</v>
      </c>
      <c r="E53" s="80" t="s">
        <v>1333</v>
      </c>
      <c r="F53" s="80" t="s">
        <v>1276</v>
      </c>
      <c r="G53" s="80" t="s">
        <v>1312</v>
      </c>
      <c r="H53" s="183" t="s">
        <v>1340</v>
      </c>
      <c r="I53" s="183" t="s">
        <v>1250</v>
      </c>
    </row>
    <row r="54" spans="2:9" ht="39.75" hidden="1" customHeight="1" x14ac:dyDescent="0.35">
      <c r="B54" s="80" t="s">
        <v>1261</v>
      </c>
      <c r="C54" s="80" t="s">
        <v>16</v>
      </c>
      <c r="D54" s="80" t="s">
        <v>1276</v>
      </c>
      <c r="E54" s="80" t="s">
        <v>1333</v>
      </c>
      <c r="F54" s="80" t="s">
        <v>1276</v>
      </c>
      <c r="G54" s="80" t="s">
        <v>1314</v>
      </c>
      <c r="H54" s="183" t="s">
        <v>1341</v>
      </c>
      <c r="I54" s="183" t="s">
        <v>1250</v>
      </c>
    </row>
    <row r="55" spans="2:9" ht="39.75" hidden="1" customHeight="1" x14ac:dyDescent="0.35">
      <c r="B55" s="80" t="s">
        <v>1261</v>
      </c>
      <c r="C55" s="80" t="s">
        <v>16</v>
      </c>
      <c r="D55" s="80" t="s">
        <v>1276</v>
      </c>
      <c r="E55" s="80" t="s">
        <v>1333</v>
      </c>
      <c r="F55" s="80" t="s">
        <v>1276</v>
      </c>
      <c r="G55" s="80" t="s">
        <v>1318</v>
      </c>
      <c r="H55" s="183" t="s">
        <v>1342</v>
      </c>
      <c r="I55" s="183" t="s">
        <v>1250</v>
      </c>
    </row>
    <row r="56" spans="2:9" ht="39.75" hidden="1" customHeight="1" x14ac:dyDescent="0.35">
      <c r="B56" s="80" t="s">
        <v>1261</v>
      </c>
      <c r="C56" s="80" t="s">
        <v>16</v>
      </c>
      <c r="D56" s="80" t="s">
        <v>1276</v>
      </c>
      <c r="E56" s="80" t="s">
        <v>1333</v>
      </c>
      <c r="F56" s="80" t="s">
        <v>1276</v>
      </c>
      <c r="G56" s="80" t="s">
        <v>1328</v>
      </c>
      <c r="H56" s="183" t="s">
        <v>1343</v>
      </c>
      <c r="I56" s="183" t="s">
        <v>1250</v>
      </c>
    </row>
    <row r="57" spans="2:9" ht="39.75" hidden="1" customHeight="1" x14ac:dyDescent="0.35">
      <c r="B57" s="80" t="s">
        <v>1261</v>
      </c>
      <c r="C57" s="80" t="s">
        <v>16</v>
      </c>
      <c r="D57" s="80" t="s">
        <v>1276</v>
      </c>
      <c r="E57" s="80" t="s">
        <v>1333</v>
      </c>
      <c r="F57" s="80" t="s">
        <v>1276</v>
      </c>
      <c r="G57" s="80" t="s">
        <v>1330</v>
      </c>
      <c r="H57" s="183" t="s">
        <v>1344</v>
      </c>
      <c r="I57" s="183" t="s">
        <v>1250</v>
      </c>
    </row>
    <row r="58" spans="2:9" ht="39.75" customHeight="1" x14ac:dyDescent="0.35">
      <c r="B58" s="80" t="s">
        <v>1261</v>
      </c>
      <c r="C58" s="80" t="s">
        <v>16</v>
      </c>
      <c r="D58" s="80" t="s">
        <v>1276</v>
      </c>
      <c r="E58" s="80" t="s">
        <v>1333</v>
      </c>
      <c r="F58" s="80" t="s">
        <v>1247</v>
      </c>
      <c r="G58" s="80" t="s">
        <v>1248</v>
      </c>
      <c r="H58" s="183" t="s">
        <v>1345</v>
      </c>
      <c r="I58" s="164" t="s">
        <v>1250</v>
      </c>
    </row>
    <row r="59" spans="2:9" ht="39.75" hidden="1" customHeight="1" x14ac:dyDescent="0.35">
      <c r="B59" s="223" t="s">
        <v>13</v>
      </c>
      <c r="C59" s="66" t="s">
        <v>14</v>
      </c>
      <c r="D59" s="80" t="s">
        <v>1245</v>
      </c>
      <c r="E59" s="80" t="s">
        <v>1346</v>
      </c>
      <c r="F59" s="106" t="s">
        <v>1245</v>
      </c>
      <c r="G59" s="106" t="s">
        <v>1347</v>
      </c>
      <c r="H59" s="183" t="s">
        <v>1348</v>
      </c>
      <c r="I59" s="164" t="s">
        <v>1250</v>
      </c>
    </row>
    <row r="60" spans="2:9" ht="39.75" hidden="1" customHeight="1" x14ac:dyDescent="0.35">
      <c r="B60" s="223" t="s">
        <v>13</v>
      </c>
      <c r="C60" s="240" t="s">
        <v>14</v>
      </c>
      <c r="D60" s="80" t="s">
        <v>1245</v>
      </c>
      <c r="E60" s="80" t="s">
        <v>1347</v>
      </c>
      <c r="F60" s="80" t="s">
        <v>1245</v>
      </c>
      <c r="G60" s="80" t="s">
        <v>1349</v>
      </c>
      <c r="H60" s="183" t="s">
        <v>1350</v>
      </c>
      <c r="I60" s="164" t="s">
        <v>1250</v>
      </c>
    </row>
    <row r="61" spans="2:9" ht="39.75" hidden="1" customHeight="1" x14ac:dyDescent="0.35">
      <c r="B61" s="223" t="s">
        <v>13</v>
      </c>
      <c r="C61" s="240" t="s">
        <v>14</v>
      </c>
      <c r="D61" s="80" t="s">
        <v>1245</v>
      </c>
      <c r="E61" s="80" t="s">
        <v>1347</v>
      </c>
      <c r="F61" s="80" t="s">
        <v>1245</v>
      </c>
      <c r="G61" s="80" t="s">
        <v>1351</v>
      </c>
      <c r="H61" s="183" t="s">
        <v>1352</v>
      </c>
      <c r="I61" s="164" t="s">
        <v>1250</v>
      </c>
    </row>
    <row r="62" spans="2:9" ht="39.75" hidden="1" customHeight="1" x14ac:dyDescent="0.35">
      <c r="B62" s="223" t="s">
        <v>13</v>
      </c>
      <c r="C62" s="240" t="s">
        <v>14</v>
      </c>
      <c r="D62" s="80" t="s">
        <v>1245</v>
      </c>
      <c r="E62" s="80" t="s">
        <v>1346</v>
      </c>
      <c r="F62" s="80" t="s">
        <v>1245</v>
      </c>
      <c r="G62" s="80" t="s">
        <v>1353</v>
      </c>
      <c r="H62" s="183" t="s">
        <v>1354</v>
      </c>
      <c r="I62" s="164" t="s">
        <v>1250</v>
      </c>
    </row>
    <row r="63" spans="2:9" ht="39.75" hidden="1" customHeight="1" x14ac:dyDescent="0.35">
      <c r="B63" s="223" t="s">
        <v>13</v>
      </c>
      <c r="C63" s="240" t="s">
        <v>14</v>
      </c>
      <c r="D63" s="80" t="s">
        <v>1245</v>
      </c>
      <c r="E63" s="80" t="s">
        <v>1347</v>
      </c>
      <c r="F63" s="80" t="s">
        <v>1245</v>
      </c>
      <c r="G63" s="80" t="s">
        <v>1355</v>
      </c>
      <c r="H63" s="183" t="s">
        <v>1356</v>
      </c>
      <c r="I63" s="164" t="s">
        <v>1250</v>
      </c>
    </row>
    <row r="64" spans="2:9" x14ac:dyDescent="0.35">
      <c r="B64" s="241" t="s">
        <v>18</v>
      </c>
      <c r="C64" s="227" t="s">
        <v>757</v>
      </c>
      <c r="D64" s="106" t="s">
        <v>1357</v>
      </c>
      <c r="E64" s="106" t="s">
        <v>1358</v>
      </c>
      <c r="F64" s="106" t="s">
        <v>1247</v>
      </c>
      <c r="G64" s="106" t="s">
        <v>1248</v>
      </c>
      <c r="H64" s="164" t="s">
        <v>1359</v>
      </c>
      <c r="I64" s="164" t="s">
        <v>1250</v>
      </c>
    </row>
    <row r="65" spans="2:9" x14ac:dyDescent="0.35">
      <c r="B65" s="241" t="s">
        <v>18</v>
      </c>
      <c r="C65" s="241" t="s">
        <v>757</v>
      </c>
      <c r="D65" s="106" t="s">
        <v>1357</v>
      </c>
      <c r="E65" s="106" t="s">
        <v>1360</v>
      </c>
      <c r="F65" s="106" t="s">
        <v>1247</v>
      </c>
      <c r="G65" s="106" t="s">
        <v>1248</v>
      </c>
      <c r="H65" s="164" t="s">
        <v>1361</v>
      </c>
      <c r="I65" s="164" t="s">
        <v>1250</v>
      </c>
    </row>
    <row r="66" spans="2:9" x14ac:dyDescent="0.35">
      <c r="B66"/>
      <c r="C66"/>
      <c r="D66"/>
      <c r="E66"/>
      <c r="F66"/>
    </row>
    <row r="67" spans="2:9" x14ac:dyDescent="0.35">
      <c r="B67"/>
      <c r="C67"/>
      <c r="D67"/>
      <c r="E67"/>
      <c r="F67"/>
    </row>
    <row r="68" spans="2:9" x14ac:dyDescent="0.35">
      <c r="B68"/>
      <c r="C68"/>
      <c r="D68"/>
      <c r="E68"/>
      <c r="F68"/>
    </row>
    <row r="69" spans="2:9" x14ac:dyDescent="0.35">
      <c r="B69"/>
      <c r="C69"/>
      <c r="D69"/>
      <c r="E69"/>
      <c r="F69"/>
    </row>
    <row r="70" spans="2:9" x14ac:dyDescent="0.35">
      <c r="B70"/>
      <c r="C70"/>
      <c r="D70"/>
      <c r="E70"/>
      <c r="F70"/>
    </row>
    <row r="71" spans="2:9" x14ac:dyDescent="0.35">
      <c r="B71"/>
      <c r="C71"/>
      <c r="D71"/>
      <c r="E71"/>
      <c r="F71"/>
    </row>
    <row r="72" spans="2:9" x14ac:dyDescent="0.35">
      <c r="B72"/>
      <c r="C72"/>
      <c r="D72"/>
      <c r="E72"/>
      <c r="F72"/>
    </row>
    <row r="73" spans="2:9" x14ac:dyDescent="0.35">
      <c r="B73"/>
      <c r="C73"/>
      <c r="D73"/>
      <c r="E73"/>
      <c r="F73"/>
    </row>
    <row r="74" spans="2:9" x14ac:dyDescent="0.35">
      <c r="B74"/>
      <c r="C74"/>
      <c r="D74"/>
      <c r="E74"/>
      <c r="F74"/>
    </row>
    <row r="75" spans="2:9" x14ac:dyDescent="0.35">
      <c r="B75"/>
      <c r="C75"/>
      <c r="D75"/>
      <c r="E75"/>
      <c r="F75"/>
    </row>
    <row r="76" spans="2:9" x14ac:dyDescent="0.35">
      <c r="B76"/>
      <c r="C76"/>
      <c r="D76"/>
      <c r="E76"/>
      <c r="F76"/>
    </row>
    <row r="77" spans="2:9" x14ac:dyDescent="0.35">
      <c r="B77"/>
      <c r="C77"/>
      <c r="D77"/>
      <c r="E77"/>
      <c r="F77"/>
    </row>
    <row r="78" spans="2:9" x14ac:dyDescent="0.35">
      <c r="B78"/>
      <c r="C78"/>
      <c r="D78"/>
      <c r="E78"/>
      <c r="F78"/>
    </row>
    <row r="79" spans="2:9" x14ac:dyDescent="0.35">
      <c r="B79"/>
      <c r="C79"/>
      <c r="D79"/>
      <c r="E79"/>
      <c r="F79"/>
    </row>
    <row r="80" spans="2:9" x14ac:dyDescent="0.35">
      <c r="B80"/>
      <c r="C80"/>
      <c r="D80"/>
      <c r="E80"/>
      <c r="F80"/>
    </row>
    <row r="81" spans="2:6" x14ac:dyDescent="0.35">
      <c r="B81"/>
      <c r="C81"/>
      <c r="D81"/>
      <c r="E81"/>
      <c r="F81"/>
    </row>
    <row r="82" spans="2:6" x14ac:dyDescent="0.35">
      <c r="B82"/>
      <c r="C82"/>
      <c r="D82"/>
      <c r="E82"/>
      <c r="F82"/>
    </row>
    <row r="83" spans="2:6" x14ac:dyDescent="0.35">
      <c r="B83"/>
      <c r="C83"/>
      <c r="D83"/>
      <c r="E83"/>
      <c r="F83"/>
    </row>
    <row r="84" spans="2:6" x14ac:dyDescent="0.35">
      <c r="B84"/>
      <c r="C84"/>
      <c r="D84"/>
      <c r="E84"/>
      <c r="F84"/>
    </row>
    <row r="85" spans="2:6" x14ac:dyDescent="0.35">
      <c r="B85"/>
      <c r="C85"/>
      <c r="D85"/>
      <c r="E85"/>
      <c r="F85"/>
    </row>
    <row r="86" spans="2:6" x14ac:dyDescent="0.35">
      <c r="B86"/>
      <c r="C86"/>
      <c r="D86"/>
      <c r="E86"/>
      <c r="F86"/>
    </row>
    <row r="87" spans="2:6" x14ac:dyDescent="0.35">
      <c r="B87"/>
      <c r="C87"/>
      <c r="D87"/>
      <c r="E87"/>
      <c r="F87"/>
    </row>
    <row r="88" spans="2:6" x14ac:dyDescent="0.35">
      <c r="B88"/>
      <c r="C88"/>
      <c r="D88"/>
      <c r="E88"/>
      <c r="F88"/>
    </row>
    <row r="89" spans="2:6" x14ac:dyDescent="0.35">
      <c r="B89"/>
      <c r="C89"/>
      <c r="D89"/>
      <c r="E89"/>
      <c r="F89"/>
    </row>
    <row r="90" spans="2:6" x14ac:dyDescent="0.35">
      <c r="B90"/>
      <c r="C90"/>
      <c r="D90"/>
      <c r="E90"/>
      <c r="F90"/>
    </row>
    <row r="91" spans="2:6" x14ac:dyDescent="0.35">
      <c r="B91"/>
      <c r="C91"/>
      <c r="D91"/>
      <c r="E91"/>
      <c r="F91"/>
    </row>
    <row r="92" spans="2:6" x14ac:dyDescent="0.35">
      <c r="B92"/>
      <c r="C92"/>
      <c r="D92"/>
      <c r="E92"/>
      <c r="F92"/>
    </row>
    <row r="93" spans="2:6" x14ac:dyDescent="0.35">
      <c r="B93"/>
      <c r="C93"/>
      <c r="D93"/>
      <c r="E93"/>
      <c r="F93"/>
    </row>
    <row r="94" spans="2:6" x14ac:dyDescent="0.35">
      <c r="B94"/>
      <c r="C94"/>
      <c r="D94"/>
      <c r="E94"/>
      <c r="F94"/>
    </row>
    <row r="95" spans="2:6" x14ac:dyDescent="0.35">
      <c r="B95"/>
      <c r="C95"/>
      <c r="D95"/>
      <c r="E95"/>
      <c r="F95"/>
    </row>
    <row r="96" spans="2:6"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8"/>
  <sheetViews>
    <sheetView showGridLines="0" workbookViewId="0">
      <selection activeCell="C3" sqref="C3"/>
    </sheetView>
  </sheetViews>
  <sheetFormatPr defaultRowHeight="14.5" x14ac:dyDescent="0.35"/>
  <cols>
    <col min="2" max="2" width="39.26953125" style="179" bestFit="1" customWidth="1"/>
    <col min="3" max="3" width="43.7265625" style="54"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ht="39.75" customHeight="1" x14ac:dyDescent="0.35">
      <c r="B2" s="55" t="s">
        <v>673</v>
      </c>
      <c r="C2" s="55" t="s">
        <v>675</v>
      </c>
      <c r="D2" s="55" t="s">
        <v>1362</v>
      </c>
      <c r="E2" s="55" t="s">
        <v>1363</v>
      </c>
      <c r="F2" s="55" t="s">
        <v>1364</v>
      </c>
      <c r="G2" s="55" t="s">
        <v>1365</v>
      </c>
      <c r="H2" s="55" t="s">
        <v>1366</v>
      </c>
    </row>
    <row r="3" spans="2:8" ht="39.75" customHeight="1" x14ac:dyDescent="0.35">
      <c r="B3" s="80" t="s">
        <v>7</v>
      </c>
      <c r="C3" s="80" t="s">
        <v>8</v>
      </c>
      <c r="D3" s="80" t="s">
        <v>1247</v>
      </c>
      <c r="E3" s="80" t="s">
        <v>1248</v>
      </c>
      <c r="F3" s="183" t="s">
        <v>1367</v>
      </c>
      <c r="G3" s="80" t="s">
        <v>780</v>
      </c>
      <c r="H3" s="80" t="s">
        <v>780</v>
      </c>
    </row>
    <row r="4" spans="2:8" ht="98.25" customHeight="1" x14ac:dyDescent="0.35">
      <c r="B4" s="227" t="s">
        <v>4</v>
      </c>
      <c r="C4" s="227" t="s">
        <v>5</v>
      </c>
      <c r="D4" s="80" t="s">
        <v>1255</v>
      </c>
      <c r="E4" s="80" t="s">
        <v>1256</v>
      </c>
      <c r="F4" s="183" t="s">
        <v>1368</v>
      </c>
      <c r="G4" s="80" t="s">
        <v>780</v>
      </c>
      <c r="H4" s="80" t="s">
        <v>780</v>
      </c>
    </row>
    <row r="5" spans="2:8" ht="39.75" customHeight="1" x14ac:dyDescent="0.35">
      <c r="B5" s="227" t="s">
        <v>4</v>
      </c>
      <c r="C5" s="227" t="s">
        <v>5</v>
      </c>
      <c r="D5" s="80" t="s">
        <v>1255</v>
      </c>
      <c r="E5" s="80" t="s">
        <v>1258</v>
      </c>
      <c r="F5" s="183" t="s">
        <v>1369</v>
      </c>
      <c r="G5" s="80" t="s">
        <v>780</v>
      </c>
      <c r="H5" s="80" t="s">
        <v>780</v>
      </c>
    </row>
    <row r="6" spans="2:8" ht="39.75" customHeight="1" x14ac:dyDescent="0.35">
      <c r="B6" s="227" t="s">
        <v>4</v>
      </c>
      <c r="C6" s="227" t="s">
        <v>5</v>
      </c>
      <c r="D6" s="80" t="s">
        <v>1255</v>
      </c>
      <c r="E6" s="80" t="s">
        <v>1256</v>
      </c>
      <c r="F6" s="183" t="s">
        <v>1370</v>
      </c>
      <c r="G6" s="80" t="s">
        <v>780</v>
      </c>
      <c r="H6" s="80" t="s">
        <v>780</v>
      </c>
    </row>
    <row r="7" spans="2:8" ht="39.75" customHeight="1" x14ac:dyDescent="0.35">
      <c r="B7" s="227" t="s">
        <v>4</v>
      </c>
      <c r="C7" s="227" t="s">
        <v>5</v>
      </c>
      <c r="D7" s="80" t="s">
        <v>1255</v>
      </c>
      <c r="E7" s="80" t="s">
        <v>1258</v>
      </c>
      <c r="F7" s="183" t="s">
        <v>1371</v>
      </c>
      <c r="G7" s="80" t="s">
        <v>780</v>
      </c>
      <c r="H7" s="80" t="s">
        <v>780</v>
      </c>
    </row>
    <row r="8" spans="2:8" ht="148.5" customHeight="1" x14ac:dyDescent="0.35">
      <c r="B8" s="80" t="s">
        <v>1261</v>
      </c>
      <c r="C8" s="80" t="s">
        <v>16</v>
      </c>
      <c r="D8" s="80" t="s">
        <v>1245</v>
      </c>
      <c r="E8" s="80" t="s">
        <v>1372</v>
      </c>
      <c r="F8" s="183" t="s">
        <v>1373</v>
      </c>
      <c r="G8" s="80" t="s">
        <v>780</v>
      </c>
      <c r="H8" s="80" t="s">
        <v>780</v>
      </c>
    </row>
    <row r="9" spans="2:8" ht="148.5" customHeight="1" x14ac:dyDescent="0.35">
      <c r="B9" s="80" t="s">
        <v>1261</v>
      </c>
      <c r="C9" s="80" t="s">
        <v>16</v>
      </c>
      <c r="D9" s="80" t="s">
        <v>1245</v>
      </c>
      <c r="E9" s="80" t="s">
        <v>1374</v>
      </c>
      <c r="F9" s="183" t="s">
        <v>1375</v>
      </c>
      <c r="G9" s="80" t="s">
        <v>780</v>
      </c>
      <c r="H9" s="80" t="s">
        <v>780</v>
      </c>
    </row>
    <row r="10" spans="2:8" ht="148.5" customHeight="1" x14ac:dyDescent="0.35">
      <c r="B10" s="80" t="s">
        <v>1261</v>
      </c>
      <c r="C10" s="80" t="s">
        <v>16</v>
      </c>
      <c r="D10" s="106" t="s">
        <v>1247</v>
      </c>
      <c r="E10" s="80" t="s">
        <v>1248</v>
      </c>
      <c r="F10" s="183" t="s">
        <v>1367</v>
      </c>
      <c r="G10" s="80" t="s">
        <v>780</v>
      </c>
      <c r="H10" s="80" t="s">
        <v>780</v>
      </c>
    </row>
    <row r="11" spans="2:8" ht="153" customHeight="1" x14ac:dyDescent="0.35">
      <c r="B11" s="80" t="s">
        <v>1261</v>
      </c>
      <c r="C11" s="80" t="s">
        <v>16</v>
      </c>
      <c r="D11" s="80" t="s">
        <v>1245</v>
      </c>
      <c r="E11" s="80" t="s">
        <v>1270</v>
      </c>
      <c r="F11" s="183" t="s">
        <v>1376</v>
      </c>
      <c r="G11" s="80" t="s">
        <v>780</v>
      </c>
      <c r="H11" s="80" t="s">
        <v>780</v>
      </c>
    </row>
    <row r="12" spans="2:8" ht="54" customHeight="1" x14ac:dyDescent="0.35">
      <c r="B12" s="80" t="s">
        <v>1261</v>
      </c>
      <c r="C12" s="80" t="s">
        <v>16</v>
      </c>
      <c r="D12" s="80" t="s">
        <v>1245</v>
      </c>
      <c r="E12" s="80" t="s">
        <v>1272</v>
      </c>
      <c r="F12" s="183" t="s">
        <v>1377</v>
      </c>
      <c r="G12" s="80" t="s">
        <v>780</v>
      </c>
      <c r="H12" s="80" t="s">
        <v>780</v>
      </c>
    </row>
    <row r="13" spans="2:8" ht="85.5" customHeight="1" x14ac:dyDescent="0.35">
      <c r="B13" s="80" t="s">
        <v>1261</v>
      </c>
      <c r="C13" s="80" t="s">
        <v>16</v>
      </c>
      <c r="D13" s="106" t="s">
        <v>1276</v>
      </c>
      <c r="E13" s="80" t="s">
        <v>1295</v>
      </c>
      <c r="F13" s="183" t="s">
        <v>1378</v>
      </c>
      <c r="G13" s="80" t="s">
        <v>780</v>
      </c>
      <c r="H13" s="80" t="s">
        <v>780</v>
      </c>
    </row>
    <row r="14" spans="2:8" ht="115.5" customHeight="1" x14ac:dyDescent="0.35">
      <c r="B14" s="80" t="s">
        <v>1261</v>
      </c>
      <c r="C14" s="80" t="s">
        <v>16</v>
      </c>
      <c r="D14" s="80" t="s">
        <v>1276</v>
      </c>
      <c r="E14" s="80" t="s">
        <v>1290</v>
      </c>
      <c r="F14" s="183" t="s">
        <v>1379</v>
      </c>
      <c r="G14" s="80" t="s">
        <v>780</v>
      </c>
      <c r="H14" s="80" t="s">
        <v>780</v>
      </c>
    </row>
    <row r="15" spans="2:8" ht="108.75" customHeight="1" x14ac:dyDescent="0.35">
      <c r="B15" s="80" t="s">
        <v>1261</v>
      </c>
      <c r="C15" s="80" t="s">
        <v>16</v>
      </c>
      <c r="D15" s="106" t="s">
        <v>1276</v>
      </c>
      <c r="E15" s="80" t="s">
        <v>1293</v>
      </c>
      <c r="F15" s="183" t="s">
        <v>1380</v>
      </c>
      <c r="G15" s="80" t="s">
        <v>780</v>
      </c>
      <c r="H15" s="80" t="s">
        <v>780</v>
      </c>
    </row>
    <row r="16" spans="2:8" ht="71.25" customHeight="1" x14ac:dyDescent="0.35">
      <c r="B16" s="80" t="s">
        <v>1261</v>
      </c>
      <c r="C16" s="80" t="s">
        <v>16</v>
      </c>
      <c r="D16" s="80" t="s">
        <v>1276</v>
      </c>
      <c r="E16" s="80" t="s">
        <v>1300</v>
      </c>
      <c r="F16" s="183" t="s">
        <v>1381</v>
      </c>
      <c r="G16" s="80" t="s">
        <v>780</v>
      </c>
      <c r="H16" s="80" t="s">
        <v>780</v>
      </c>
    </row>
    <row r="17" spans="2:8" ht="71.25" customHeight="1" x14ac:dyDescent="0.35">
      <c r="B17" s="80" t="s">
        <v>1261</v>
      </c>
      <c r="C17" s="80" t="s">
        <v>16</v>
      </c>
      <c r="D17" s="80" t="s">
        <v>1276</v>
      </c>
      <c r="E17" s="80" t="s">
        <v>1333</v>
      </c>
      <c r="F17" s="183" t="s">
        <v>1381</v>
      </c>
      <c r="G17" s="80" t="s">
        <v>780</v>
      </c>
      <c r="H17" s="80" t="s">
        <v>780</v>
      </c>
    </row>
    <row r="18" spans="2:8" ht="93.75" customHeight="1" x14ac:dyDescent="0.35">
      <c r="B18" s="80" t="s">
        <v>1261</v>
      </c>
      <c r="C18" s="80" t="s">
        <v>16</v>
      </c>
      <c r="D18" s="80" t="s">
        <v>1276</v>
      </c>
      <c r="E18" s="80" t="s">
        <v>1301</v>
      </c>
      <c r="F18" s="183" t="s">
        <v>1382</v>
      </c>
      <c r="G18" s="80" t="s">
        <v>780</v>
      </c>
      <c r="H18" s="80" t="s">
        <v>780</v>
      </c>
    </row>
    <row r="19" spans="2:8" ht="39.75" customHeight="1" x14ac:dyDescent="0.35">
      <c r="B19" s="80" t="s">
        <v>1261</v>
      </c>
      <c r="C19" s="80" t="s">
        <v>16</v>
      </c>
      <c r="D19" s="80" t="s">
        <v>1276</v>
      </c>
      <c r="E19" s="80" t="s">
        <v>1303</v>
      </c>
      <c r="F19" s="183" t="s">
        <v>1383</v>
      </c>
      <c r="G19" s="80" t="s">
        <v>780</v>
      </c>
      <c r="H19" s="80" t="s">
        <v>780</v>
      </c>
    </row>
    <row r="20" spans="2:8" ht="39.75" customHeight="1" x14ac:dyDescent="0.35">
      <c r="B20" s="80" t="s">
        <v>1261</v>
      </c>
      <c r="C20" s="80" t="s">
        <v>16</v>
      </c>
      <c r="D20" s="80" t="s">
        <v>1276</v>
      </c>
      <c r="E20" s="80" t="s">
        <v>1306</v>
      </c>
      <c r="F20" s="183" t="s">
        <v>1384</v>
      </c>
      <c r="G20" s="80" t="s">
        <v>780</v>
      </c>
      <c r="H20" s="80" t="s">
        <v>780</v>
      </c>
    </row>
    <row r="21" spans="2:8" ht="105.75" customHeight="1" x14ac:dyDescent="0.35">
      <c r="B21" s="80" t="s">
        <v>1261</v>
      </c>
      <c r="C21" s="80" t="s">
        <v>16</v>
      </c>
      <c r="D21" s="80" t="s">
        <v>1276</v>
      </c>
      <c r="E21" s="80" t="s">
        <v>1308</v>
      </c>
      <c r="F21" s="183" t="s">
        <v>1385</v>
      </c>
      <c r="G21" s="80" t="s">
        <v>780</v>
      </c>
      <c r="H21" s="80" t="s">
        <v>780</v>
      </c>
    </row>
    <row r="22" spans="2:8" ht="72.75" customHeight="1" x14ac:dyDescent="0.35">
      <c r="B22" s="80" t="s">
        <v>1261</v>
      </c>
      <c r="C22" s="80" t="s">
        <v>16</v>
      </c>
      <c r="D22" s="80" t="s">
        <v>1276</v>
      </c>
      <c r="E22" s="80" t="s">
        <v>1310</v>
      </c>
      <c r="F22" s="183" t="s">
        <v>1386</v>
      </c>
      <c r="G22" s="80" t="s">
        <v>780</v>
      </c>
      <c r="H22" s="80" t="s">
        <v>780</v>
      </c>
    </row>
    <row r="23" spans="2:8" ht="68.25" customHeight="1" x14ac:dyDescent="0.35">
      <c r="B23" s="80" t="s">
        <v>1261</v>
      </c>
      <c r="C23" s="80" t="s">
        <v>16</v>
      </c>
      <c r="D23" s="80" t="s">
        <v>1276</v>
      </c>
      <c r="E23" s="80" t="s">
        <v>1312</v>
      </c>
      <c r="F23" s="183" t="s">
        <v>1387</v>
      </c>
      <c r="G23" s="80" t="s">
        <v>780</v>
      </c>
      <c r="H23" s="80" t="s">
        <v>780</v>
      </c>
    </row>
    <row r="24" spans="2:8" ht="75.75" customHeight="1" x14ac:dyDescent="0.35">
      <c r="B24" s="80" t="s">
        <v>1261</v>
      </c>
      <c r="C24" s="80" t="s">
        <v>16</v>
      </c>
      <c r="D24" s="80" t="s">
        <v>1276</v>
      </c>
      <c r="E24" s="80" t="s">
        <v>1314</v>
      </c>
      <c r="F24" s="183" t="s">
        <v>1388</v>
      </c>
      <c r="G24" s="80" t="s">
        <v>780</v>
      </c>
      <c r="H24" s="80" t="s">
        <v>780</v>
      </c>
    </row>
    <row r="25" spans="2:8" ht="51" customHeight="1" x14ac:dyDescent="0.35">
      <c r="B25" s="80" t="s">
        <v>1261</v>
      </c>
      <c r="C25" s="80" t="s">
        <v>16</v>
      </c>
      <c r="D25" s="80" t="s">
        <v>1276</v>
      </c>
      <c r="E25" s="80" t="s">
        <v>1322</v>
      </c>
      <c r="F25" s="183" t="s">
        <v>1389</v>
      </c>
      <c r="G25" s="80" t="s">
        <v>780</v>
      </c>
      <c r="H25" s="80" t="s">
        <v>780</v>
      </c>
    </row>
    <row r="26" spans="2:8" ht="72.75" customHeight="1" x14ac:dyDescent="0.35">
      <c r="B26" s="80" t="s">
        <v>1261</v>
      </c>
      <c r="C26" s="80" t="s">
        <v>16</v>
      </c>
      <c r="D26" s="80" t="s">
        <v>1276</v>
      </c>
      <c r="E26" s="80" t="s">
        <v>1318</v>
      </c>
      <c r="F26" s="183" t="s">
        <v>1390</v>
      </c>
      <c r="G26" s="80" t="s">
        <v>780</v>
      </c>
      <c r="H26" s="80" t="s">
        <v>780</v>
      </c>
    </row>
    <row r="27" spans="2:8" ht="81.75" customHeight="1" x14ac:dyDescent="0.35">
      <c r="B27" s="80" t="s">
        <v>1261</v>
      </c>
      <c r="C27" s="80" t="s">
        <v>16</v>
      </c>
      <c r="D27" s="80" t="s">
        <v>1276</v>
      </c>
      <c r="E27" s="80" t="s">
        <v>1325</v>
      </c>
      <c r="F27" s="183" t="s">
        <v>1391</v>
      </c>
      <c r="G27" s="80" t="s">
        <v>780</v>
      </c>
      <c r="H27" s="80" t="s">
        <v>780</v>
      </c>
    </row>
    <row r="28" spans="2:8" ht="81.75" customHeight="1" x14ac:dyDescent="0.35">
      <c r="B28" s="80" t="s">
        <v>1261</v>
      </c>
      <c r="C28" s="80" t="s">
        <v>16</v>
      </c>
      <c r="D28" s="80" t="s">
        <v>1276</v>
      </c>
      <c r="E28" s="80" t="s">
        <v>1328</v>
      </c>
      <c r="F28" s="80" t="s">
        <v>1392</v>
      </c>
      <c r="G28" s="80" t="s">
        <v>780</v>
      </c>
      <c r="H28" s="80" t="s">
        <v>780</v>
      </c>
    </row>
    <row r="29" spans="2:8" x14ac:dyDescent="0.35">
      <c r="B29" s="80" t="s">
        <v>1261</v>
      </c>
      <c r="C29" s="80" t="s">
        <v>16</v>
      </c>
      <c r="D29" s="80" t="s">
        <v>1276</v>
      </c>
      <c r="E29" s="80" t="s">
        <v>1330</v>
      </c>
      <c r="F29" s="183" t="s">
        <v>1393</v>
      </c>
      <c r="G29" s="80" t="s">
        <v>780</v>
      </c>
      <c r="H29" s="80" t="s">
        <v>780</v>
      </c>
    </row>
    <row r="30" spans="2:8" x14ac:dyDescent="0.35">
      <c r="B30" s="106" t="s">
        <v>1261</v>
      </c>
      <c r="C30" s="106" t="s">
        <v>14</v>
      </c>
      <c r="D30" s="106" t="s">
        <v>1245</v>
      </c>
      <c r="E30" s="106" t="s">
        <v>1346</v>
      </c>
      <c r="F30" s="106" t="s">
        <v>1394</v>
      </c>
      <c r="G30" s="106" t="s">
        <v>780</v>
      </c>
      <c r="H30" s="106" t="s">
        <v>780</v>
      </c>
    </row>
    <row r="31" spans="2:8" x14ac:dyDescent="0.35">
      <c r="B31" s="106" t="s">
        <v>1261</v>
      </c>
      <c r="C31" s="106" t="s">
        <v>14</v>
      </c>
      <c r="D31" s="106" t="s">
        <v>1245</v>
      </c>
      <c r="E31" s="106" t="s">
        <v>1347</v>
      </c>
      <c r="F31" s="164" t="s">
        <v>1395</v>
      </c>
      <c r="G31" s="106" t="s">
        <v>780</v>
      </c>
      <c r="H31" s="106" t="s">
        <v>780</v>
      </c>
    </row>
    <row r="32" spans="2:8" x14ac:dyDescent="0.35">
      <c r="B32" s="106" t="s">
        <v>1261</v>
      </c>
      <c r="C32" s="106" t="s">
        <v>14</v>
      </c>
      <c r="D32" s="106" t="s">
        <v>1245</v>
      </c>
      <c r="E32" s="106" t="s">
        <v>1353</v>
      </c>
      <c r="F32" s="106" t="s">
        <v>1396</v>
      </c>
      <c r="G32" s="106" t="s">
        <v>780</v>
      </c>
      <c r="H32" s="106" t="s">
        <v>780</v>
      </c>
    </row>
    <row r="33" spans="2:8" x14ac:dyDescent="0.35">
      <c r="B33" s="106" t="s">
        <v>1261</v>
      </c>
      <c r="C33" s="106" t="s">
        <v>14</v>
      </c>
      <c r="D33" s="106" t="s">
        <v>1245</v>
      </c>
      <c r="E33" s="106" t="s">
        <v>1355</v>
      </c>
      <c r="F33" s="164" t="s">
        <v>1397</v>
      </c>
      <c r="G33" s="106" t="s">
        <v>780</v>
      </c>
      <c r="H33" s="106" t="s">
        <v>780</v>
      </c>
    </row>
    <row r="34" spans="2:8" x14ac:dyDescent="0.35">
      <c r="B34" s="106" t="s">
        <v>1261</v>
      </c>
      <c r="C34" s="106" t="s">
        <v>14</v>
      </c>
      <c r="D34" s="106" t="s">
        <v>1245</v>
      </c>
      <c r="E34" s="106" t="s">
        <v>1351</v>
      </c>
      <c r="F34" s="106" t="s">
        <v>1398</v>
      </c>
      <c r="G34" s="106" t="s">
        <v>780</v>
      </c>
      <c r="H34" s="106" t="s">
        <v>780</v>
      </c>
    </row>
    <row r="35" spans="2:8" x14ac:dyDescent="0.35">
      <c r="B35" s="106" t="s">
        <v>1261</v>
      </c>
      <c r="C35" s="106" t="s">
        <v>14</v>
      </c>
      <c r="D35" s="106" t="s">
        <v>1245</v>
      </c>
      <c r="E35" s="106" t="s">
        <v>1349</v>
      </c>
      <c r="F35" s="106" t="s">
        <v>1399</v>
      </c>
      <c r="G35" s="106" t="s">
        <v>780</v>
      </c>
      <c r="H35" s="106" t="s">
        <v>780</v>
      </c>
    </row>
    <row r="36" spans="2:8" x14ac:dyDescent="0.35">
      <c r="B36"/>
      <c r="C36"/>
    </row>
    <row r="37" spans="2:8" x14ac:dyDescent="0.35">
      <c r="B37"/>
      <c r="C37"/>
    </row>
    <row r="38" spans="2:8" x14ac:dyDescent="0.35">
      <c r="B38"/>
      <c r="C38"/>
    </row>
    <row r="39" spans="2:8" ht="39.75" customHeight="1" x14ac:dyDescent="0.35">
      <c r="B39"/>
      <c r="C39"/>
    </row>
    <row r="40" spans="2:8" ht="39.75" customHeight="1" x14ac:dyDescent="0.35">
      <c r="B40"/>
      <c r="C40"/>
    </row>
    <row r="41" spans="2:8" ht="39.75" customHeight="1" x14ac:dyDescent="0.35">
      <c r="B41"/>
      <c r="C41"/>
    </row>
    <row r="42" spans="2:8" ht="39.75" customHeight="1" x14ac:dyDescent="0.35">
      <c r="B42"/>
      <c r="C42"/>
    </row>
    <row r="43" spans="2:8" x14ac:dyDescent="0.35">
      <c r="B43"/>
      <c r="C43"/>
    </row>
    <row r="44" spans="2:8" x14ac:dyDescent="0.35">
      <c r="B44"/>
      <c r="C44"/>
    </row>
    <row r="45" spans="2:8" x14ac:dyDescent="0.35">
      <c r="B45"/>
      <c r="C45"/>
    </row>
    <row r="46" spans="2:8" x14ac:dyDescent="0.35">
      <c r="B46"/>
      <c r="C46"/>
    </row>
    <row r="47" spans="2:8" x14ac:dyDescent="0.35">
      <c r="B47"/>
      <c r="C47"/>
    </row>
    <row r="48" spans="2:8"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row r="576" spans="2:3" x14ac:dyDescent="0.35">
      <c r="B576"/>
      <c r="C576"/>
    </row>
    <row r="577" spans="2:3" x14ac:dyDescent="0.35">
      <c r="B577"/>
      <c r="C577"/>
    </row>
    <row r="578" spans="2:3" x14ac:dyDescent="0.35">
      <c r="B578"/>
      <c r="C578"/>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4.5" x14ac:dyDescent="0.35"/>
  <cols>
    <col min="2" max="2" width="14" style="63" customWidth="1"/>
    <col min="3" max="3" width="35.453125" customWidth="1"/>
    <col min="4" max="4" width="40.1796875" style="24" customWidth="1"/>
    <col min="5" max="5" width="42.7265625" customWidth="1"/>
  </cols>
  <sheetData>
    <row r="1" spans="2:5" ht="45.75" customHeight="1" x14ac:dyDescent="0.35"/>
    <row r="2" spans="2:5" ht="39.75" customHeight="1" x14ac:dyDescent="0.35">
      <c r="B2" s="117" t="s">
        <v>1400</v>
      </c>
      <c r="C2" s="118" t="s">
        <v>1401</v>
      </c>
      <c r="D2" s="118" t="s">
        <v>1402</v>
      </c>
      <c r="E2" s="119" t="s">
        <v>1403</v>
      </c>
    </row>
    <row r="3" spans="2:5" ht="39.75" customHeight="1" x14ac:dyDescent="0.35">
      <c r="B3" s="120">
        <v>1</v>
      </c>
      <c r="C3" s="121" t="s">
        <v>1404</v>
      </c>
      <c r="D3" s="122" t="s">
        <v>1405</v>
      </c>
      <c r="E3" s="123"/>
    </row>
    <row r="4" spans="2:5" ht="39.75" customHeight="1" x14ac:dyDescent="0.35">
      <c r="B4" s="120">
        <v>2</v>
      </c>
      <c r="C4" s="121" t="s">
        <v>1406</v>
      </c>
      <c r="D4" s="122" t="s">
        <v>1407</v>
      </c>
      <c r="E4" s="123"/>
    </row>
    <row r="5" spans="2:5" ht="39.75" customHeight="1" x14ac:dyDescent="0.35">
      <c r="B5" s="120">
        <v>3</v>
      </c>
      <c r="C5" s="121" t="s">
        <v>1408</v>
      </c>
      <c r="D5" s="122" t="s">
        <v>1409</v>
      </c>
      <c r="E5" s="123"/>
    </row>
    <row r="6" spans="2:5" ht="39.75" customHeight="1" x14ac:dyDescent="0.35">
      <c r="B6" s="120">
        <v>4</v>
      </c>
      <c r="C6" s="122" t="s">
        <v>1410</v>
      </c>
      <c r="D6" s="122" t="s">
        <v>1411</v>
      </c>
      <c r="E6" s="123"/>
    </row>
    <row r="7" spans="2:5" ht="39.75" customHeight="1" x14ac:dyDescent="0.35">
      <c r="B7" s="124">
        <v>5</v>
      </c>
      <c r="C7" s="122" t="s">
        <v>1412</v>
      </c>
      <c r="D7" s="122" t="s">
        <v>1411</v>
      </c>
      <c r="E7" s="123"/>
    </row>
    <row r="8" spans="2:5" ht="39.75" customHeight="1" x14ac:dyDescent="0.35">
      <c r="B8" s="124">
        <v>6</v>
      </c>
      <c r="C8" s="122" t="s">
        <v>1413</v>
      </c>
      <c r="D8" s="122" t="s">
        <v>1414</v>
      </c>
      <c r="E8" s="125" t="s">
        <v>1415</v>
      </c>
    </row>
    <row r="9" spans="2:5" ht="39.75" customHeight="1" x14ac:dyDescent="0.35">
      <c r="B9" s="124">
        <v>7</v>
      </c>
      <c r="C9" s="121" t="s">
        <v>1416</v>
      </c>
      <c r="D9" s="122" t="s">
        <v>1417</v>
      </c>
      <c r="E9" s="123" t="s">
        <v>1418</v>
      </c>
    </row>
    <row r="10" spans="2:5" ht="39.75" customHeight="1" x14ac:dyDescent="0.35">
      <c r="B10" s="120">
        <v>8</v>
      </c>
      <c r="C10" s="121" t="s">
        <v>1419</v>
      </c>
      <c r="D10" s="122" t="s">
        <v>1420</v>
      </c>
      <c r="E10" s="123"/>
    </row>
    <row r="11" spans="2:5" ht="39.75" customHeight="1" x14ac:dyDescent="0.35">
      <c r="B11" s="124">
        <v>9</v>
      </c>
      <c r="C11" s="121" t="s">
        <v>1421</v>
      </c>
      <c r="D11" s="122" t="s">
        <v>1422</v>
      </c>
      <c r="E11" s="123"/>
    </row>
    <row r="12" spans="2:5" ht="39.75" customHeight="1" x14ac:dyDescent="0.35">
      <c r="B12" s="120">
        <v>10</v>
      </c>
      <c r="C12" s="122" t="s">
        <v>1423</v>
      </c>
      <c r="D12" s="122" t="s">
        <v>1424</v>
      </c>
      <c r="E12" s="123"/>
    </row>
    <row r="13" spans="2:5" ht="39.75" customHeight="1" x14ac:dyDescent="0.35">
      <c r="B13" s="124">
        <v>11</v>
      </c>
      <c r="C13" s="121" t="s">
        <v>1425</v>
      </c>
      <c r="D13" s="122" t="s">
        <v>1426</v>
      </c>
      <c r="E13" s="123"/>
    </row>
    <row r="14" spans="2:5" ht="39.75" customHeight="1" x14ac:dyDescent="0.35">
      <c r="B14" s="124">
        <v>12</v>
      </c>
      <c r="C14" s="121" t="s">
        <v>1427</v>
      </c>
      <c r="D14" s="122" t="s">
        <v>1428</v>
      </c>
      <c r="E14" s="123"/>
    </row>
    <row r="15" spans="2:5" ht="39.75" customHeight="1" x14ac:dyDescent="0.35">
      <c r="B15" s="124">
        <v>13</v>
      </c>
      <c r="C15" s="121" t="s">
        <v>1429</v>
      </c>
      <c r="D15" s="122" t="s">
        <v>1430</v>
      </c>
      <c r="E15" s="123"/>
    </row>
    <row r="16" spans="2:5" ht="39.75" customHeight="1" x14ac:dyDescent="0.35">
      <c r="B16" s="126">
        <v>14</v>
      </c>
      <c r="C16" s="127" t="s">
        <v>1431</v>
      </c>
      <c r="D16" s="122" t="s">
        <v>1432</v>
      </c>
      <c r="E16" s="123"/>
    </row>
    <row r="17" spans="2:5" ht="39.75" customHeight="1" x14ac:dyDescent="0.35">
      <c r="B17" s="124">
        <v>15</v>
      </c>
      <c r="C17" s="121" t="s">
        <v>1433</v>
      </c>
      <c r="D17" s="122" t="s">
        <v>1434</v>
      </c>
      <c r="E17" s="123"/>
    </row>
    <row r="18" spans="2:5" ht="39.75" customHeight="1" x14ac:dyDescent="0.35">
      <c r="B18" s="124">
        <v>16</v>
      </c>
      <c r="C18" s="121" t="s">
        <v>1435</v>
      </c>
      <c r="D18" s="122" t="s">
        <v>1436</v>
      </c>
      <c r="E18" s="123"/>
    </row>
    <row r="19" spans="2:5" ht="39.75" customHeight="1" x14ac:dyDescent="0.35">
      <c r="B19" s="124">
        <v>17</v>
      </c>
      <c r="C19" s="121" t="s">
        <v>1437</v>
      </c>
      <c r="D19" s="122" t="s">
        <v>1438</v>
      </c>
      <c r="E19" s="123"/>
    </row>
    <row r="20" spans="2:5" ht="39.75" customHeight="1" x14ac:dyDescent="0.35">
      <c r="B20" s="126">
        <v>18</v>
      </c>
      <c r="C20" s="127" t="s">
        <v>1439</v>
      </c>
      <c r="D20" s="128" t="s">
        <v>1440</v>
      </c>
      <c r="E20" s="129"/>
    </row>
    <row r="21" spans="2:5" ht="39.75" customHeight="1" x14ac:dyDescent="0.35">
      <c r="B21" s="126">
        <v>19</v>
      </c>
      <c r="C21" s="127" t="s">
        <v>1441</v>
      </c>
      <c r="D21" s="128" t="s">
        <v>1442</v>
      </c>
      <c r="E21" s="129" t="s">
        <v>1443</v>
      </c>
    </row>
    <row r="22" spans="2:5" ht="39.75" customHeight="1" x14ac:dyDescent="0.35">
      <c r="B22" s="124">
        <v>20</v>
      </c>
      <c r="C22" s="121" t="s">
        <v>1444</v>
      </c>
      <c r="D22" s="122" t="s">
        <v>1445</v>
      </c>
      <c r="E22" s="123" t="s">
        <v>1446</v>
      </c>
    </row>
    <row r="23" spans="2:5" ht="39.75" customHeight="1" x14ac:dyDescent="0.35">
      <c r="B23" s="126">
        <v>21</v>
      </c>
      <c r="C23" s="127" t="s">
        <v>1447</v>
      </c>
      <c r="D23" s="128" t="s">
        <v>1448</v>
      </c>
      <c r="E23" s="129" t="s">
        <v>1449</v>
      </c>
    </row>
  </sheetData>
  <conditionalFormatting sqref="D3:D23">
    <cfRule type="cellIs" dxfId="0"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35.7265625" customWidth="1"/>
  </cols>
  <sheetData>
    <row r="1" spans="2:24" ht="27.75" customHeight="1" x14ac:dyDescent="0.35"/>
    <row r="2" spans="2:24" x14ac:dyDescent="0.35">
      <c r="B2" s="63" t="s">
        <v>1450</v>
      </c>
      <c r="C2" s="63" t="s">
        <v>1451</v>
      </c>
      <c r="D2" s="63" t="s">
        <v>1452</v>
      </c>
      <c r="E2" s="63" t="s">
        <v>1453</v>
      </c>
      <c r="F2" s="63" t="s">
        <v>1454</v>
      </c>
      <c r="G2" s="63" t="s">
        <v>1455</v>
      </c>
      <c r="H2" s="63" t="s">
        <v>1456</v>
      </c>
      <c r="I2" s="63" t="s">
        <v>858</v>
      </c>
      <c r="J2" s="63" t="s">
        <v>1126</v>
      </c>
      <c r="K2" s="63" t="s">
        <v>1133</v>
      </c>
      <c r="L2" s="63" t="s">
        <v>1015</v>
      </c>
      <c r="M2" s="63" t="s">
        <v>1054</v>
      </c>
      <c r="N2" s="63" t="s">
        <v>1032</v>
      </c>
      <c r="O2" s="63" t="s">
        <v>926</v>
      </c>
      <c r="P2" s="63" t="s">
        <v>967</v>
      </c>
      <c r="Q2" s="63" t="s">
        <v>942</v>
      </c>
      <c r="R2" s="63" t="s">
        <v>769</v>
      </c>
      <c r="S2" s="63" t="s">
        <v>701</v>
      </c>
      <c r="T2" s="63" t="s">
        <v>1097</v>
      </c>
      <c r="U2" s="63" t="s">
        <v>1114</v>
      </c>
      <c r="V2" s="63" t="s">
        <v>1083</v>
      </c>
      <c r="W2" s="63" t="s">
        <v>796</v>
      </c>
      <c r="X2" s="63" t="s">
        <v>814</v>
      </c>
    </row>
    <row r="3" spans="2:24" x14ac:dyDescent="0.35">
      <c r="B3" s="130" t="s">
        <v>1404</v>
      </c>
      <c r="C3" s="130">
        <v>1</v>
      </c>
      <c r="D3" s="130" t="s">
        <v>1457</v>
      </c>
      <c r="E3" s="131">
        <v>45552</v>
      </c>
      <c r="F3" s="130">
        <v>1</v>
      </c>
      <c r="G3" s="132">
        <v>1</v>
      </c>
      <c r="H3" s="130">
        <v>241069</v>
      </c>
      <c r="I3" s="130" t="s">
        <v>1458</v>
      </c>
      <c r="J3" s="130" t="s">
        <v>1458</v>
      </c>
      <c r="K3" s="130" t="s">
        <v>1458</v>
      </c>
      <c r="L3" s="130" t="s">
        <v>1458</v>
      </c>
      <c r="M3" s="130" t="s">
        <v>1458</v>
      </c>
      <c r="N3" s="130" t="s">
        <v>1458</v>
      </c>
      <c r="O3" s="130" t="s">
        <v>1458</v>
      </c>
      <c r="P3" s="130" t="s">
        <v>1458</v>
      </c>
      <c r="Q3" s="130" t="s">
        <v>1458</v>
      </c>
      <c r="R3" s="130" t="s">
        <v>1458</v>
      </c>
      <c r="S3" s="130" t="s">
        <v>1458</v>
      </c>
      <c r="T3" s="130" t="s">
        <v>1458</v>
      </c>
      <c r="U3" s="130" t="s">
        <v>1458</v>
      </c>
      <c r="V3" s="130" t="s">
        <v>1458</v>
      </c>
      <c r="W3" s="130" t="s">
        <v>1458</v>
      </c>
      <c r="X3" s="130" t="s">
        <v>1458</v>
      </c>
    </row>
    <row r="4" spans="2:24" x14ac:dyDescent="0.35">
      <c r="B4" s="130" t="s">
        <v>1406</v>
      </c>
      <c r="C4" s="130">
        <v>2</v>
      </c>
      <c r="D4" s="130" t="s">
        <v>1459</v>
      </c>
      <c r="E4" s="131">
        <v>45552</v>
      </c>
      <c r="F4" s="130">
        <v>1</v>
      </c>
      <c r="G4" s="132">
        <v>1</v>
      </c>
      <c r="H4" s="130">
        <v>0</v>
      </c>
      <c r="I4" s="130" t="s">
        <v>1458</v>
      </c>
      <c r="J4" s="130" t="s">
        <v>1458</v>
      </c>
      <c r="K4" s="130" t="s">
        <v>1458</v>
      </c>
      <c r="L4" s="130" t="s">
        <v>1458</v>
      </c>
      <c r="M4" s="130" t="s">
        <v>1458</v>
      </c>
      <c r="N4" s="130" t="s">
        <v>1458</v>
      </c>
      <c r="O4" s="130" t="s">
        <v>1458</v>
      </c>
      <c r="P4" s="130" t="s">
        <v>1458</v>
      </c>
      <c r="Q4" s="130" t="s">
        <v>1458</v>
      </c>
      <c r="R4" s="130" t="s">
        <v>1458</v>
      </c>
      <c r="S4" s="130" t="s">
        <v>1458</v>
      </c>
      <c r="T4" s="130" t="s">
        <v>1458</v>
      </c>
      <c r="U4" s="130" t="s">
        <v>1458</v>
      </c>
      <c r="V4" s="130" t="s">
        <v>1458</v>
      </c>
      <c r="W4" s="130" t="s">
        <v>1458</v>
      </c>
      <c r="X4" s="130" t="s">
        <v>1458</v>
      </c>
    </row>
    <row r="5" spans="2:24" x14ac:dyDescent="0.35">
      <c r="B5" s="130" t="s">
        <v>1408</v>
      </c>
      <c r="C5" s="130">
        <v>3</v>
      </c>
      <c r="D5" s="130" t="s">
        <v>1460</v>
      </c>
      <c r="E5" s="131">
        <v>45552</v>
      </c>
      <c r="F5" s="130">
        <v>1</v>
      </c>
      <c r="G5" s="132">
        <v>1</v>
      </c>
      <c r="H5" s="130">
        <v>0</v>
      </c>
      <c r="I5" s="130">
        <v>0</v>
      </c>
      <c r="J5" s="130">
        <v>0</v>
      </c>
      <c r="K5" s="130" t="s">
        <v>1458</v>
      </c>
      <c r="L5" s="130" t="s">
        <v>1458</v>
      </c>
      <c r="M5" s="130" t="s">
        <v>1458</v>
      </c>
      <c r="N5" s="130" t="s">
        <v>1458</v>
      </c>
      <c r="O5" s="130" t="s">
        <v>1458</v>
      </c>
      <c r="P5" s="130" t="s">
        <v>1458</v>
      </c>
      <c r="Q5" s="130" t="s">
        <v>1458</v>
      </c>
      <c r="R5" s="130" t="s">
        <v>1458</v>
      </c>
      <c r="S5" s="130" t="s">
        <v>1458</v>
      </c>
      <c r="T5" s="130" t="s">
        <v>1458</v>
      </c>
      <c r="U5" s="130" t="s">
        <v>1458</v>
      </c>
      <c r="V5" s="130" t="s">
        <v>1458</v>
      </c>
      <c r="W5" s="130">
        <v>0</v>
      </c>
      <c r="X5" s="130" t="s">
        <v>1458</v>
      </c>
    </row>
    <row r="6" spans="2:24" x14ac:dyDescent="0.35">
      <c r="B6" s="133" t="s">
        <v>1410</v>
      </c>
      <c r="C6" s="130">
        <v>4</v>
      </c>
      <c r="D6" s="130" t="s">
        <v>1461</v>
      </c>
      <c r="E6" s="131">
        <v>45552</v>
      </c>
      <c r="F6" s="130">
        <v>1</v>
      </c>
      <c r="G6" s="132" t="s">
        <v>1458</v>
      </c>
      <c r="H6" s="130" t="s">
        <v>1458</v>
      </c>
      <c r="I6" s="130" t="s">
        <v>1458</v>
      </c>
      <c r="J6" s="130" t="s">
        <v>1458</v>
      </c>
      <c r="K6" s="130" t="s">
        <v>1458</v>
      </c>
      <c r="L6" s="130" t="s">
        <v>1458</v>
      </c>
      <c r="M6" s="130" t="s">
        <v>1458</v>
      </c>
      <c r="N6" s="130" t="s">
        <v>1458</v>
      </c>
      <c r="O6" s="130" t="s">
        <v>1458</v>
      </c>
      <c r="P6" s="130" t="s">
        <v>1458</v>
      </c>
      <c r="Q6" s="130" t="s">
        <v>1458</v>
      </c>
      <c r="R6" s="130" t="s">
        <v>1458</v>
      </c>
      <c r="S6" s="130" t="s">
        <v>1458</v>
      </c>
      <c r="T6" s="130" t="s">
        <v>1458</v>
      </c>
      <c r="U6" s="130" t="s">
        <v>1458</v>
      </c>
      <c r="V6" s="130" t="s">
        <v>1458</v>
      </c>
      <c r="W6" s="130" t="s">
        <v>1458</v>
      </c>
      <c r="X6" s="130" t="s">
        <v>1458</v>
      </c>
    </row>
    <row r="7" spans="2:24" x14ac:dyDescent="0.35">
      <c r="B7" s="130" t="s">
        <v>1412</v>
      </c>
      <c r="C7" s="130">
        <v>5</v>
      </c>
      <c r="D7" s="130" t="s">
        <v>1461</v>
      </c>
      <c r="E7" s="131">
        <v>45552</v>
      </c>
      <c r="F7" s="130">
        <v>1</v>
      </c>
      <c r="G7" s="132" t="s">
        <v>1458</v>
      </c>
      <c r="H7" s="130" t="s">
        <v>1458</v>
      </c>
      <c r="I7" s="130" t="s">
        <v>1458</v>
      </c>
      <c r="J7" s="130" t="s">
        <v>1458</v>
      </c>
      <c r="K7" s="130" t="s">
        <v>1458</v>
      </c>
      <c r="L7" s="130" t="s">
        <v>1458</v>
      </c>
      <c r="M7" s="130" t="s">
        <v>1458</v>
      </c>
      <c r="N7" s="130" t="s">
        <v>1458</v>
      </c>
      <c r="O7" s="130" t="s">
        <v>1458</v>
      </c>
      <c r="P7" s="130" t="s">
        <v>1458</v>
      </c>
      <c r="Q7" s="130" t="s">
        <v>1458</v>
      </c>
      <c r="R7" s="130" t="s">
        <v>1458</v>
      </c>
      <c r="S7" s="130" t="s">
        <v>1458</v>
      </c>
      <c r="T7" s="130" t="s">
        <v>1458</v>
      </c>
      <c r="U7" s="130" t="s">
        <v>1458</v>
      </c>
      <c r="V7" s="130" t="s">
        <v>1458</v>
      </c>
      <c r="W7" s="130" t="s">
        <v>1458</v>
      </c>
      <c r="X7" s="130" t="s">
        <v>1458</v>
      </c>
    </row>
    <row r="8" spans="2:24" x14ac:dyDescent="0.35">
      <c r="B8" s="130" t="s">
        <v>1413</v>
      </c>
      <c r="C8" s="130">
        <v>6</v>
      </c>
      <c r="D8" s="130" t="s">
        <v>1462</v>
      </c>
      <c r="E8" s="131">
        <v>45552</v>
      </c>
      <c r="F8" s="130">
        <v>1</v>
      </c>
      <c r="G8" s="132" cm="1">
        <f t="array" ref="G8">SUMPRODUCT(--(I8:AA8&gt;0))/COUNTA(I8:AA8)</f>
        <v>1</v>
      </c>
      <c r="H8" s="130">
        <v>0</v>
      </c>
      <c r="I8" s="130">
        <v>14</v>
      </c>
      <c r="J8" s="130">
        <v>10</v>
      </c>
      <c r="K8" s="130">
        <v>3</v>
      </c>
      <c r="L8" s="130">
        <v>15</v>
      </c>
      <c r="M8" s="130">
        <v>8</v>
      </c>
      <c r="N8" s="130">
        <v>3</v>
      </c>
      <c r="O8" s="130">
        <v>15</v>
      </c>
      <c r="P8" s="130">
        <v>8</v>
      </c>
      <c r="Q8" s="130">
        <v>1</v>
      </c>
      <c r="R8" s="130">
        <v>20</v>
      </c>
      <c r="S8" s="130">
        <v>8</v>
      </c>
      <c r="T8" s="130">
        <v>10</v>
      </c>
      <c r="U8" s="130">
        <v>10</v>
      </c>
      <c r="V8" s="130">
        <v>2</v>
      </c>
      <c r="W8" s="130">
        <v>10</v>
      </c>
      <c r="X8" s="130">
        <v>23</v>
      </c>
    </row>
    <row r="9" spans="2:24" x14ac:dyDescent="0.35">
      <c r="B9" s="130" t="s">
        <v>1416</v>
      </c>
      <c r="C9" s="130">
        <v>7</v>
      </c>
      <c r="D9" s="130" t="s">
        <v>1463</v>
      </c>
      <c r="E9" s="131">
        <v>45552</v>
      </c>
      <c r="F9" s="130">
        <v>1</v>
      </c>
      <c r="G9" s="132" cm="1">
        <f t="array" ref="G9">SUMPRODUCT(--(I9:X9 &lt;= I25:X25))/COUNTA(I25:X25)</f>
        <v>0.9375</v>
      </c>
      <c r="H9" s="130">
        <v>0</v>
      </c>
      <c r="I9" s="130">
        <v>15</v>
      </c>
      <c r="J9" s="130">
        <v>10</v>
      </c>
      <c r="K9" s="130">
        <v>3</v>
      </c>
      <c r="L9" s="130">
        <v>31</v>
      </c>
      <c r="M9" s="130">
        <v>11</v>
      </c>
      <c r="N9" s="130">
        <v>70</v>
      </c>
      <c r="O9" s="130">
        <v>31</v>
      </c>
      <c r="P9" s="130">
        <v>11</v>
      </c>
      <c r="Q9" s="130">
        <v>70</v>
      </c>
      <c r="R9" s="130">
        <v>20</v>
      </c>
      <c r="S9" s="130">
        <v>15</v>
      </c>
      <c r="T9" s="130">
        <v>10</v>
      </c>
      <c r="U9" s="130">
        <v>10</v>
      </c>
      <c r="V9" s="130">
        <v>2</v>
      </c>
      <c r="W9" s="130">
        <v>10</v>
      </c>
      <c r="X9" s="130">
        <v>23</v>
      </c>
    </row>
    <row r="10" spans="2:24" x14ac:dyDescent="0.35">
      <c r="B10" s="133" t="s">
        <v>1419</v>
      </c>
      <c r="C10" s="130">
        <v>8</v>
      </c>
      <c r="D10" s="130" t="s">
        <v>1464</v>
      </c>
      <c r="E10" s="131">
        <v>45552</v>
      </c>
      <c r="F10" s="130">
        <v>1</v>
      </c>
      <c r="G10" s="132" t="s">
        <v>1458</v>
      </c>
      <c r="H10" s="130">
        <v>0</v>
      </c>
      <c r="I10" s="130" t="s">
        <v>1465</v>
      </c>
      <c r="J10" s="131">
        <v>45552</v>
      </c>
      <c r="K10" s="130" t="s">
        <v>1171</v>
      </c>
      <c r="L10" s="130" t="s">
        <v>1466</v>
      </c>
      <c r="M10" s="130" t="s">
        <v>1467</v>
      </c>
      <c r="N10" s="130" t="s">
        <v>1468</v>
      </c>
      <c r="O10" s="131" t="s">
        <v>1469</v>
      </c>
      <c r="P10" s="131" t="s">
        <v>1470</v>
      </c>
      <c r="Q10" s="134" t="s">
        <v>1471</v>
      </c>
      <c r="R10" s="130">
        <v>978</v>
      </c>
      <c r="S10" s="131" t="s">
        <v>1472</v>
      </c>
      <c r="T10" s="131">
        <v>45551</v>
      </c>
      <c r="U10" s="131">
        <v>45551</v>
      </c>
      <c r="V10" s="134" t="s">
        <v>1473</v>
      </c>
      <c r="W10" s="134">
        <v>45552</v>
      </c>
      <c r="X10" s="130" t="s">
        <v>1474</v>
      </c>
    </row>
    <row r="11" spans="2:24" x14ac:dyDescent="0.35">
      <c r="B11" s="130" t="s">
        <v>1421</v>
      </c>
      <c r="C11" s="130">
        <v>9</v>
      </c>
      <c r="D11" s="130" t="s">
        <v>1475</v>
      </c>
      <c r="E11" s="131">
        <v>45552</v>
      </c>
      <c r="F11" s="130">
        <v>1</v>
      </c>
      <c r="G11" s="132" t="s">
        <v>1458</v>
      </c>
      <c r="H11" s="130">
        <v>0</v>
      </c>
      <c r="I11" s="130" t="s">
        <v>1465</v>
      </c>
      <c r="J11" s="131">
        <v>45552</v>
      </c>
      <c r="K11" s="130" t="s">
        <v>1171</v>
      </c>
      <c r="L11" s="130" t="s">
        <v>1466</v>
      </c>
      <c r="M11" s="130" t="s">
        <v>1467</v>
      </c>
      <c r="N11" s="130" t="s">
        <v>1468</v>
      </c>
      <c r="O11" s="131" t="s">
        <v>1469</v>
      </c>
      <c r="P11" s="131" t="s">
        <v>1470</v>
      </c>
      <c r="Q11" s="130" t="s">
        <v>1471</v>
      </c>
      <c r="R11" s="130">
        <v>978</v>
      </c>
      <c r="S11" s="131" t="s">
        <v>1472</v>
      </c>
      <c r="T11" s="131">
        <v>45551</v>
      </c>
      <c r="U11" s="131">
        <v>45551</v>
      </c>
      <c r="V11" s="134" t="s">
        <v>1473</v>
      </c>
      <c r="W11" s="134">
        <v>45552</v>
      </c>
      <c r="X11" s="130" t="s">
        <v>1474</v>
      </c>
    </row>
    <row r="12" spans="2:24" x14ac:dyDescent="0.35">
      <c r="B12" s="130" t="s">
        <v>1423</v>
      </c>
      <c r="C12" s="130">
        <v>10</v>
      </c>
      <c r="D12" s="130" t="s">
        <v>1476</v>
      </c>
      <c r="E12" s="131">
        <v>45552</v>
      </c>
      <c r="F12" s="130">
        <v>1</v>
      </c>
      <c r="G12" s="132" t="s">
        <v>1458</v>
      </c>
      <c r="H12" s="130">
        <v>0</v>
      </c>
      <c r="I12" s="130" t="s">
        <v>1477</v>
      </c>
      <c r="J12" s="131">
        <v>45552</v>
      </c>
      <c r="K12" s="130" t="s">
        <v>1478</v>
      </c>
      <c r="L12" s="130" t="s">
        <v>1479</v>
      </c>
      <c r="M12" s="130" t="s">
        <v>1480</v>
      </c>
      <c r="N12" s="130" t="s">
        <v>1481</v>
      </c>
      <c r="O12" s="135" t="s">
        <v>1482</v>
      </c>
      <c r="P12" s="131" t="s">
        <v>1483</v>
      </c>
      <c r="Q12" s="131" t="s">
        <v>1484</v>
      </c>
      <c r="R12" s="130">
        <v>978</v>
      </c>
      <c r="S12" s="131">
        <v>26143171450000</v>
      </c>
      <c r="T12" s="135">
        <v>45552</v>
      </c>
      <c r="U12" s="134">
        <v>45553</v>
      </c>
      <c r="V12" s="134" t="s">
        <v>1473</v>
      </c>
      <c r="W12" s="134">
        <v>45552</v>
      </c>
      <c r="X12" s="134" t="s">
        <v>1474</v>
      </c>
    </row>
    <row r="13" spans="2:24" x14ac:dyDescent="0.35">
      <c r="B13" s="130" t="s">
        <v>1425</v>
      </c>
      <c r="C13" s="130">
        <v>11</v>
      </c>
      <c r="D13" s="130" t="s">
        <v>1485</v>
      </c>
      <c r="E13" s="131">
        <v>45552</v>
      </c>
      <c r="F13" s="130">
        <v>1</v>
      </c>
      <c r="G13" s="132" t="s">
        <v>1458</v>
      </c>
      <c r="H13" s="130">
        <v>0</v>
      </c>
      <c r="I13" s="130" t="s">
        <v>1477</v>
      </c>
      <c r="J13" s="131">
        <v>45552</v>
      </c>
      <c r="K13" s="130" t="s">
        <v>1478</v>
      </c>
      <c r="L13" s="130" t="s">
        <v>1479</v>
      </c>
      <c r="M13" s="130" t="s">
        <v>1480</v>
      </c>
      <c r="N13" s="130" t="s">
        <v>1481</v>
      </c>
      <c r="O13" s="135" t="s">
        <v>1482</v>
      </c>
      <c r="P13" s="131" t="s">
        <v>1483</v>
      </c>
      <c r="Q13" s="131" t="s">
        <v>1484</v>
      </c>
      <c r="R13" s="130">
        <v>978</v>
      </c>
      <c r="S13" s="131">
        <v>26143171450000</v>
      </c>
      <c r="T13" s="135">
        <v>45552</v>
      </c>
      <c r="U13" s="134">
        <v>45553</v>
      </c>
      <c r="V13" s="134" t="s">
        <v>1473</v>
      </c>
      <c r="W13" s="134">
        <v>45552</v>
      </c>
      <c r="X13" s="134" t="s">
        <v>1474</v>
      </c>
    </row>
    <row r="14" spans="2:24" x14ac:dyDescent="0.35">
      <c r="B14" s="130" t="s">
        <v>1427</v>
      </c>
      <c r="C14" s="130">
        <v>12</v>
      </c>
      <c r="D14" s="130" t="s">
        <v>1486</v>
      </c>
      <c r="E14" s="131">
        <v>45552</v>
      </c>
      <c r="F14" s="130">
        <v>1</v>
      </c>
      <c r="G14" s="132">
        <v>0.9375</v>
      </c>
      <c r="H14" s="130">
        <v>0</v>
      </c>
      <c r="I14" s="130">
        <v>0</v>
      </c>
      <c r="J14" s="130">
        <v>0</v>
      </c>
      <c r="K14" s="130">
        <v>0</v>
      </c>
      <c r="L14" s="130">
        <v>0</v>
      </c>
      <c r="M14" s="130">
        <v>0</v>
      </c>
      <c r="N14" s="130">
        <v>0</v>
      </c>
      <c r="O14" s="130">
        <v>0</v>
      </c>
      <c r="P14" s="130">
        <v>0</v>
      </c>
      <c r="Q14" s="130">
        <v>0</v>
      </c>
      <c r="R14" s="130">
        <v>118147</v>
      </c>
      <c r="S14" s="130">
        <v>0</v>
      </c>
      <c r="T14" s="130">
        <v>0</v>
      </c>
      <c r="U14" s="130">
        <v>0</v>
      </c>
      <c r="V14" s="130">
        <v>0</v>
      </c>
      <c r="W14" s="130">
        <v>0</v>
      </c>
      <c r="X14" s="130">
        <v>0</v>
      </c>
    </row>
    <row r="15" spans="2:24" x14ac:dyDescent="0.35">
      <c r="B15" s="130" t="s">
        <v>1429</v>
      </c>
      <c r="C15" s="130">
        <v>13</v>
      </c>
      <c r="D15" s="130" t="s">
        <v>1487</v>
      </c>
      <c r="E15" s="131">
        <v>45552</v>
      </c>
      <c r="F15" s="130">
        <v>1</v>
      </c>
      <c r="G15" s="132">
        <v>1</v>
      </c>
      <c r="H15" s="130">
        <v>0</v>
      </c>
      <c r="I15" s="130" t="s">
        <v>1458</v>
      </c>
      <c r="J15" s="130" t="s">
        <v>1458</v>
      </c>
      <c r="K15" s="130" t="s">
        <v>1458</v>
      </c>
      <c r="L15" s="130" t="s">
        <v>1458</v>
      </c>
      <c r="M15" s="130" t="s">
        <v>1458</v>
      </c>
      <c r="N15" s="130" t="s">
        <v>1458</v>
      </c>
      <c r="O15" s="133" t="s">
        <v>1458</v>
      </c>
      <c r="P15" s="133" t="s">
        <v>1458</v>
      </c>
      <c r="Q15" s="133" t="s">
        <v>1458</v>
      </c>
      <c r="R15" s="130" t="s">
        <v>1458</v>
      </c>
      <c r="S15" s="130" t="s">
        <v>1458</v>
      </c>
      <c r="T15" s="133">
        <v>0</v>
      </c>
      <c r="U15" s="130">
        <v>0</v>
      </c>
      <c r="V15" s="130" t="s">
        <v>1458</v>
      </c>
      <c r="W15" s="130" t="s">
        <v>1458</v>
      </c>
      <c r="X15" s="130" t="s">
        <v>1458</v>
      </c>
    </row>
    <row r="16" spans="2:24" x14ac:dyDescent="0.35">
      <c r="B16" s="130" t="s">
        <v>1431</v>
      </c>
      <c r="C16" s="130">
        <v>14</v>
      </c>
      <c r="D16" s="130" t="s">
        <v>1488</v>
      </c>
      <c r="E16" s="131">
        <v>45552</v>
      </c>
      <c r="F16" s="130">
        <v>1</v>
      </c>
      <c r="G16" s="132">
        <v>1</v>
      </c>
      <c r="H16" s="130">
        <v>0</v>
      </c>
      <c r="I16" s="130" t="s">
        <v>1458</v>
      </c>
      <c r="J16" s="130" t="s">
        <v>1458</v>
      </c>
      <c r="K16" s="130" t="s">
        <v>1458</v>
      </c>
      <c r="L16" s="130" t="s">
        <v>1458</v>
      </c>
      <c r="M16" s="130" t="s">
        <v>1458</v>
      </c>
      <c r="N16" s="130" t="s">
        <v>1458</v>
      </c>
      <c r="O16" s="130" t="s">
        <v>1458</v>
      </c>
      <c r="P16" s="130" t="s">
        <v>1458</v>
      </c>
      <c r="Q16" s="130" t="s">
        <v>1458</v>
      </c>
      <c r="R16" s="130" t="s">
        <v>1458</v>
      </c>
      <c r="S16" s="133" t="s">
        <v>1458</v>
      </c>
      <c r="T16" s="130" t="s">
        <v>1458</v>
      </c>
      <c r="U16" s="130" t="s">
        <v>1458</v>
      </c>
      <c r="V16" s="130" t="s">
        <v>1458</v>
      </c>
      <c r="W16" s="130" t="s">
        <v>1458</v>
      </c>
      <c r="X16" s="130" t="s">
        <v>1458</v>
      </c>
    </row>
    <row r="17" spans="2:26" x14ac:dyDescent="0.35">
      <c r="B17" s="130" t="s">
        <v>1433</v>
      </c>
      <c r="C17" s="130">
        <v>15</v>
      </c>
      <c r="D17" s="130" t="s">
        <v>1489</v>
      </c>
      <c r="E17" s="131">
        <v>45552</v>
      </c>
      <c r="F17" s="130">
        <v>1</v>
      </c>
      <c r="G17" s="132">
        <v>1</v>
      </c>
      <c r="H17" s="130">
        <v>0</v>
      </c>
      <c r="I17" s="130" t="s">
        <v>1458</v>
      </c>
      <c r="J17" s="130" t="s">
        <v>1458</v>
      </c>
      <c r="K17" s="130" t="s">
        <v>1458</v>
      </c>
      <c r="L17" s="130" t="s">
        <v>1458</v>
      </c>
      <c r="M17" s="130" t="s">
        <v>1458</v>
      </c>
      <c r="N17" s="130" t="s">
        <v>1458</v>
      </c>
      <c r="O17" s="130" t="s">
        <v>1458</v>
      </c>
      <c r="P17" s="130" t="s">
        <v>1458</v>
      </c>
      <c r="Q17" s="130" t="s">
        <v>1458</v>
      </c>
      <c r="R17" s="130" t="s">
        <v>1458</v>
      </c>
      <c r="S17" s="133" t="s">
        <v>1458</v>
      </c>
      <c r="T17" s="130" t="s">
        <v>1458</v>
      </c>
      <c r="U17" s="130" t="s">
        <v>1458</v>
      </c>
      <c r="V17" s="130" t="s">
        <v>1458</v>
      </c>
      <c r="W17" s="130" t="s">
        <v>1458</v>
      </c>
      <c r="X17" s="130" t="s">
        <v>1458</v>
      </c>
    </row>
    <row r="18" spans="2:26" x14ac:dyDescent="0.35">
      <c r="B18" s="130" t="s">
        <v>1435</v>
      </c>
      <c r="C18" s="130">
        <v>16</v>
      </c>
      <c r="D18" s="130" t="s">
        <v>1489</v>
      </c>
      <c r="E18" s="131">
        <v>45552</v>
      </c>
      <c r="F18" s="130">
        <v>1</v>
      </c>
      <c r="G18" s="132">
        <v>1</v>
      </c>
      <c r="H18" s="130">
        <v>0</v>
      </c>
      <c r="I18" s="130" t="s">
        <v>1458</v>
      </c>
      <c r="J18" s="130" t="s">
        <v>1458</v>
      </c>
      <c r="K18" s="130" t="s">
        <v>1458</v>
      </c>
      <c r="L18" s="130" t="s">
        <v>1458</v>
      </c>
      <c r="M18" s="130" t="s">
        <v>1458</v>
      </c>
      <c r="N18" s="130" t="s">
        <v>1458</v>
      </c>
      <c r="O18" s="130" t="s">
        <v>1458</v>
      </c>
      <c r="P18" s="130" t="s">
        <v>1458</v>
      </c>
      <c r="Q18" s="130" t="s">
        <v>1458</v>
      </c>
      <c r="R18" s="130" t="s">
        <v>1458</v>
      </c>
      <c r="S18" s="130" t="s">
        <v>1458</v>
      </c>
      <c r="T18" s="130" t="s">
        <v>1458</v>
      </c>
      <c r="U18" s="130" t="s">
        <v>1458</v>
      </c>
      <c r="V18" s="130" t="s">
        <v>1458</v>
      </c>
      <c r="W18" s="130" t="s">
        <v>1458</v>
      </c>
      <c r="X18" s="130" t="s">
        <v>1458</v>
      </c>
    </row>
    <row r="19" spans="2:26" x14ac:dyDescent="0.35">
      <c r="B19" s="130" t="s">
        <v>1441</v>
      </c>
      <c r="C19" s="130">
        <v>19</v>
      </c>
      <c r="D19" s="130" t="s">
        <v>1490</v>
      </c>
      <c r="E19" s="131">
        <v>45552</v>
      </c>
      <c r="F19" s="130">
        <v>1</v>
      </c>
      <c r="G19" s="132" cm="1">
        <f t="array" ref="G19">SUMPRODUCT(--(ISNUMBER((SEARCH(I24:X24,I19:X19)))))/COUNTA(I19:X19)</f>
        <v>1</v>
      </c>
      <c r="H19" s="130">
        <v>0</v>
      </c>
      <c r="I19" s="130" t="s">
        <v>1491</v>
      </c>
      <c r="J19" s="130" t="s">
        <v>1491</v>
      </c>
      <c r="K19" s="130" t="s">
        <v>1491</v>
      </c>
      <c r="L19" s="130" t="s">
        <v>1491</v>
      </c>
      <c r="M19" s="130" t="s">
        <v>1491</v>
      </c>
      <c r="N19" s="130" t="s">
        <v>1491</v>
      </c>
      <c r="O19" s="130" t="s">
        <v>1491</v>
      </c>
      <c r="P19" s="130" t="s">
        <v>1491</v>
      </c>
      <c r="Q19" s="130" t="s">
        <v>1491</v>
      </c>
      <c r="R19" s="130" t="s">
        <v>1491</v>
      </c>
      <c r="S19" s="130" t="s">
        <v>1492</v>
      </c>
      <c r="T19" s="130" t="s">
        <v>1491</v>
      </c>
      <c r="U19" s="130" t="s">
        <v>1491</v>
      </c>
      <c r="V19" s="130" t="s">
        <v>1491</v>
      </c>
      <c r="W19" s="130" t="s">
        <v>1491</v>
      </c>
      <c r="X19" s="130" t="s">
        <v>1493</v>
      </c>
    </row>
    <row r="20" spans="2:26" x14ac:dyDescent="0.35">
      <c r="B20" s="133" t="s">
        <v>1444</v>
      </c>
      <c r="C20" s="130">
        <v>20</v>
      </c>
      <c r="D20" s="130" t="s">
        <v>1490</v>
      </c>
      <c r="E20" s="131">
        <v>45552</v>
      </c>
      <c r="F20" s="130">
        <v>1</v>
      </c>
      <c r="G20" s="132" cm="1">
        <f t="array" ref="G20">SUM(IF(I2:X2 = I23:X23, 1, 0))/ COUNTA(I2:X2)</f>
        <v>0.9375</v>
      </c>
      <c r="H20" s="130" t="s">
        <v>1458</v>
      </c>
      <c r="I20" s="130" t="s">
        <v>1458</v>
      </c>
      <c r="J20" s="130" t="s">
        <v>1458</v>
      </c>
      <c r="K20" s="130" t="s">
        <v>1458</v>
      </c>
      <c r="L20" s="130" t="s">
        <v>1458</v>
      </c>
      <c r="M20" s="130" t="s">
        <v>1458</v>
      </c>
      <c r="N20" s="130" t="s">
        <v>1458</v>
      </c>
      <c r="O20" s="130" t="s">
        <v>1458</v>
      </c>
      <c r="P20" s="130" t="s">
        <v>1458</v>
      </c>
      <c r="Q20" s="130" t="s">
        <v>1458</v>
      </c>
      <c r="R20" s="130" t="s">
        <v>1458</v>
      </c>
      <c r="S20" s="130" t="s">
        <v>1458</v>
      </c>
      <c r="T20" s="130" t="s">
        <v>1458</v>
      </c>
      <c r="U20" s="130" t="s">
        <v>1458</v>
      </c>
      <c r="V20" s="130" t="s">
        <v>1458</v>
      </c>
      <c r="W20" s="130" t="s">
        <v>1458</v>
      </c>
      <c r="X20" s="130" t="s">
        <v>1458</v>
      </c>
    </row>
    <row r="21" spans="2:26" x14ac:dyDescent="0.35">
      <c r="B21" s="130" t="s">
        <v>1447</v>
      </c>
      <c r="C21" s="130">
        <v>21</v>
      </c>
      <c r="D21" s="130" t="s">
        <v>1490</v>
      </c>
      <c r="E21" s="131">
        <v>45552</v>
      </c>
      <c r="F21" s="130">
        <v>1</v>
      </c>
      <c r="G21" s="132" cm="1">
        <f t="array" ref="G21">SUM(IF(IF(G3:G20="null",1,G3:G20)=1,1,0))/COUNT(IF(G3:G20="null",1,0))</f>
        <v>0.83333333333333337</v>
      </c>
      <c r="H21" s="130" t="s">
        <v>1458</v>
      </c>
      <c r="I21" s="130" t="s">
        <v>1458</v>
      </c>
      <c r="J21" s="130" t="s">
        <v>1458</v>
      </c>
      <c r="K21" s="130" t="s">
        <v>1458</v>
      </c>
      <c r="L21" s="130" t="s">
        <v>1458</v>
      </c>
      <c r="M21" s="130" t="s">
        <v>1458</v>
      </c>
      <c r="N21" s="130" t="s">
        <v>1458</v>
      </c>
      <c r="O21" s="130" t="s">
        <v>1458</v>
      </c>
      <c r="P21" s="130" t="s">
        <v>1458</v>
      </c>
      <c r="Q21" s="130" t="s">
        <v>1458</v>
      </c>
      <c r="R21" s="130" t="s">
        <v>1458</v>
      </c>
      <c r="S21" s="130" t="s">
        <v>1458</v>
      </c>
      <c r="T21" s="130" t="s">
        <v>1458</v>
      </c>
      <c r="U21" s="130" t="s">
        <v>1458</v>
      </c>
      <c r="V21" s="130" t="s">
        <v>1458</v>
      </c>
      <c r="W21" s="130" t="s">
        <v>1458</v>
      </c>
      <c r="X21" s="130" t="s">
        <v>1458</v>
      </c>
    </row>
    <row r="22" spans="2:26" x14ac:dyDescent="0.35">
      <c r="B22" s="130"/>
      <c r="C22" s="130"/>
      <c r="D22" s="130"/>
      <c r="E22" s="131"/>
      <c r="F22" s="130"/>
      <c r="G22" s="130"/>
      <c r="H22" s="130"/>
      <c r="I22" s="130"/>
      <c r="J22" s="130"/>
      <c r="K22" s="130"/>
      <c r="L22" s="130"/>
      <c r="M22" s="130"/>
      <c r="N22" s="130"/>
      <c r="O22" s="130"/>
      <c r="P22" s="130"/>
      <c r="Q22" s="130"/>
      <c r="R22" s="130"/>
      <c r="S22" s="130"/>
      <c r="T22" s="130"/>
      <c r="U22" s="130"/>
      <c r="V22" s="130"/>
      <c r="W22" s="130"/>
      <c r="X22" s="130"/>
    </row>
    <row r="23" spans="2:26" x14ac:dyDescent="0.35">
      <c r="B23" s="136" t="s">
        <v>1450</v>
      </c>
      <c r="C23" s="137" t="s">
        <v>1451</v>
      </c>
      <c r="D23" s="137" t="s">
        <v>1452</v>
      </c>
      <c r="E23" s="137" t="s">
        <v>1453</v>
      </c>
      <c r="F23" s="137" t="s">
        <v>1454</v>
      </c>
      <c r="G23" s="137" t="s">
        <v>1455</v>
      </c>
      <c r="H23" s="137" t="s">
        <v>1456</v>
      </c>
      <c r="I23" s="137" t="str" cm="1">
        <f t="array" ref="I23:X23">TRANSPOSE(_xlfn.SORTBY(_xlfn._xlws.FILTER(Table2[NOME FÍSICO CAMPO],Table2[NOME FÍSICO TABELA]="transfer_sepatarget"), _xlfn._xlws.FILTER(Table2[ORDEM],Table2[NOME FÍSICO TABELA]= "transfer_sepatarget"), 1))</f>
        <v>internal_reference_id</v>
      </c>
      <c r="J23" s="137" t="str">
        <v>transfer_create_date</v>
      </c>
      <c r="K23" s="137" t="str">
        <v>transfer_direction_code</v>
      </c>
      <c r="L23" s="137" t="str">
        <v xml:space="preserve">sender_iban </v>
      </c>
      <c r="M23" s="137" t="str">
        <v>sender_swift</v>
      </c>
      <c r="N23" s="137" t="str">
        <v>sender_name</v>
      </c>
      <c r="O23" s="137" t="str">
        <v>receiver_iban</v>
      </c>
      <c r="P23" s="137" t="str">
        <v>receiver_swift</v>
      </c>
      <c r="Q23" s="137" t="str">
        <v>receiver_name</v>
      </c>
      <c r="R23" s="137" t="str">
        <v>currency_code</v>
      </c>
      <c r="S23" s="137" t="str">
        <v>amount</v>
      </c>
      <c r="T23" s="137" t="str">
        <v>transaction_date</v>
      </c>
      <c r="U23" s="137" t="str">
        <v>transaction_execution_date</v>
      </c>
      <c r="V23" s="137" t="str">
        <v>source_code</v>
      </c>
      <c r="W23" s="137" t="str">
        <v>data_date_part</v>
      </c>
      <c r="X23" s="137" t="str">
        <v>data_timestamp_part</v>
      </c>
    </row>
    <row r="24" spans="2:26" x14ac:dyDescent="0.35">
      <c r="B24" s="140" t="s">
        <v>1494</v>
      </c>
      <c r="C24" s="141">
        <v>21</v>
      </c>
      <c r="D24" s="142" t="s">
        <v>1495</v>
      </c>
      <c r="E24" s="143" t="s">
        <v>1496</v>
      </c>
      <c r="F24" s="143" t="s">
        <v>721</v>
      </c>
      <c r="G24" s="143" t="s">
        <v>721</v>
      </c>
      <c r="H24" s="143" t="s">
        <v>721</v>
      </c>
      <c r="I24" s="143" t="str" cm="1">
        <f t="array" ref="I24:X25">TRANSPOSE(_xlfn.SORTBY(_xlfn._xlws.FILTER(IF(Table2[FORMATO]:Table2[COMP_ CAMPO]&lt;&gt;"",Table2[FORMATO]:Table2[COMP_ CAMPO],9999999),Table2[NOME FÍSICO TABELA]="transfer_sepatarget"), _xlfn._xlws.FILTER(Table2[ORDEM], Table2[NOME FÍSICO TABELA]="transfer_sepatarget"), 1))</f>
        <v>STRING</v>
      </c>
      <c r="J24" s="143" t="str">
        <v>STRING</v>
      </c>
      <c r="K24" s="143" t="str">
        <v>STRING</v>
      </c>
      <c r="L24" s="143" t="str">
        <v>STRING</v>
      </c>
      <c r="M24" s="143" t="str">
        <v>STRING</v>
      </c>
      <c r="N24" s="143" t="str">
        <v>STRING</v>
      </c>
      <c r="O24" s="143" t="str">
        <v>STRING</v>
      </c>
      <c r="P24" s="143" t="str">
        <v>STRING</v>
      </c>
      <c r="Q24" s="143" t="str">
        <v>STRING</v>
      </c>
      <c r="R24" s="143" t="str">
        <v>STRING</v>
      </c>
      <c r="S24" s="143" t="str">
        <v>DECIMAL</v>
      </c>
      <c r="T24" s="143" t="str">
        <v>STRING</v>
      </c>
      <c r="U24" s="143" t="str">
        <v>STRING</v>
      </c>
      <c r="V24" s="143" t="str">
        <v>STRING</v>
      </c>
      <c r="W24" s="143" t="str">
        <v>STRING</v>
      </c>
      <c r="X24" s="143" t="str">
        <v>TIMESTAMP</v>
      </c>
      <c r="Y24" s="130"/>
    </row>
    <row r="25" spans="2:26" x14ac:dyDescent="0.35">
      <c r="B25" s="140" t="s">
        <v>1497</v>
      </c>
      <c r="C25" s="141">
        <v>7</v>
      </c>
      <c r="D25" s="142" t="s">
        <v>1495</v>
      </c>
      <c r="E25" s="143" t="s">
        <v>1496</v>
      </c>
      <c r="F25" s="145" t="s">
        <v>721</v>
      </c>
      <c r="G25" s="145" t="s">
        <v>721</v>
      </c>
      <c r="H25" s="145" t="s">
        <v>721</v>
      </c>
      <c r="I25" s="146">
        <v>35</v>
      </c>
      <c r="J25" s="146">
        <v>10</v>
      </c>
      <c r="K25" s="146">
        <v>4</v>
      </c>
      <c r="L25" s="146">
        <v>34</v>
      </c>
      <c r="M25" s="146">
        <v>11</v>
      </c>
      <c r="N25" s="146">
        <v>9999999</v>
      </c>
      <c r="O25" s="146">
        <v>34</v>
      </c>
      <c r="P25" s="146">
        <v>11</v>
      </c>
      <c r="Q25" s="146">
        <v>9999999</v>
      </c>
      <c r="R25" s="146">
        <v>4</v>
      </c>
      <c r="S25" s="146">
        <v>23</v>
      </c>
      <c r="T25" s="146">
        <v>10</v>
      </c>
      <c r="U25" s="146">
        <v>10</v>
      </c>
      <c r="V25" s="146">
        <v>2</v>
      </c>
      <c r="W25" s="146">
        <v>10</v>
      </c>
      <c r="X25" s="146">
        <v>23</v>
      </c>
      <c r="Y25" s="138"/>
      <c r="Z25" s="139"/>
    </row>
    <row r="26" spans="2:26" x14ac:dyDescent="0.35">
      <c r="Y26" s="144"/>
    </row>
    <row r="27" spans="2:26" x14ac:dyDescent="0.35">
      <c r="B27" s="149" t="s">
        <v>1498</v>
      </c>
      <c r="Y27" s="147"/>
      <c r="Z27" s="148"/>
    </row>
    <row r="28" spans="2:26" x14ac:dyDescent="0.35">
      <c r="B28" s="150" t="s">
        <v>1499</v>
      </c>
      <c r="C28" s="150" t="s">
        <v>1500</v>
      </c>
      <c r="D28" s="151" t="s">
        <v>1501</v>
      </c>
      <c r="E28" s="150" t="s">
        <v>1502</v>
      </c>
      <c r="F28" s="150" t="s">
        <v>1503</v>
      </c>
    </row>
    <row r="29" spans="2:26" x14ac:dyDescent="0.35">
      <c r="B29" s="152" t="s">
        <v>1504</v>
      </c>
      <c r="C29" s="153" t="s">
        <v>769</v>
      </c>
      <c r="D29" s="154" t="s">
        <v>1505</v>
      </c>
      <c r="E29" s="133" t="s">
        <v>780</v>
      </c>
      <c r="F29" s="155"/>
    </row>
    <row r="30" spans="2:26" x14ac:dyDescent="0.35">
      <c r="B30" s="156" t="s">
        <v>1506</v>
      </c>
      <c r="C30" s="153" t="s">
        <v>769</v>
      </c>
      <c r="D30" s="158" t="s">
        <v>1507</v>
      </c>
      <c r="E30" s="159" t="s">
        <v>1508</v>
      </c>
      <c r="F30" s="160" t="s">
        <v>1509</v>
      </c>
    </row>
    <row r="31" spans="2:26" x14ac:dyDescent="0.35">
      <c r="B31" s="156"/>
      <c r="C31" s="157"/>
      <c r="D31" s="158"/>
      <c r="E31" s="159"/>
      <c r="F31" s="160"/>
    </row>
    <row r="32" spans="2:26" x14ac:dyDescent="0.35">
      <c r="B32" s="152"/>
      <c r="C32" s="153"/>
      <c r="D32" s="154"/>
      <c r="E32" s="133"/>
      <c r="F32" s="161"/>
    </row>
    <row r="33" spans="2:6" x14ac:dyDescent="0.35">
      <c r="B33" s="152"/>
      <c r="C33" s="153"/>
      <c r="D33" s="154"/>
      <c r="E33" s="159"/>
      <c r="F33" s="161"/>
    </row>
    <row r="34" spans="2:6" x14ac:dyDescent="0.35">
      <c r="B34" s="162"/>
      <c r="C34" s="163"/>
      <c r="D34" s="164"/>
      <c r="E34" s="133"/>
      <c r="F34" s="161"/>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35.7265625" customWidth="1"/>
    <col min="22" max="25" width="9.1796875" bestFit="1" customWidth="1"/>
  </cols>
  <sheetData>
    <row r="1" spans="2:19" ht="27.75" customHeight="1" x14ac:dyDescent="0.35"/>
    <row r="2" spans="2:19" x14ac:dyDescent="0.35">
      <c r="B2" s="63" t="s">
        <v>1450</v>
      </c>
      <c r="C2" s="63" t="s">
        <v>1451</v>
      </c>
      <c r="D2" s="63" t="s">
        <v>1452</v>
      </c>
      <c r="E2" s="63" t="s">
        <v>1453</v>
      </c>
      <c r="F2" s="63" t="s">
        <v>1454</v>
      </c>
      <c r="G2" s="63" t="s">
        <v>1455</v>
      </c>
      <c r="H2" s="63" t="s">
        <v>1456</v>
      </c>
      <c r="I2" s="63" t="s">
        <v>858</v>
      </c>
      <c r="J2" s="63" t="s">
        <v>1114</v>
      </c>
      <c r="K2" s="63" t="s">
        <v>1133</v>
      </c>
      <c r="L2" s="63" t="s">
        <v>1049</v>
      </c>
      <c r="M2" s="63" t="s">
        <v>960</v>
      </c>
      <c r="N2" s="63" t="s">
        <v>769</v>
      </c>
      <c r="O2" s="63" t="s">
        <v>701</v>
      </c>
      <c r="P2" s="63" t="s">
        <v>1097</v>
      </c>
      <c r="Q2" s="63" t="s">
        <v>1083</v>
      </c>
      <c r="R2" s="63" t="s">
        <v>796</v>
      </c>
      <c r="S2" s="63" t="s">
        <v>814</v>
      </c>
    </row>
    <row r="3" spans="2:19" x14ac:dyDescent="0.35">
      <c r="B3" s="130" t="s">
        <v>1404</v>
      </c>
      <c r="C3" s="130">
        <v>1</v>
      </c>
      <c r="D3" s="130" t="s">
        <v>1510</v>
      </c>
      <c r="E3" s="131">
        <v>45554</v>
      </c>
      <c r="F3" s="130">
        <v>3</v>
      </c>
      <c r="G3" s="132">
        <v>1</v>
      </c>
      <c r="H3" s="130">
        <v>236072</v>
      </c>
      <c r="I3" s="130" t="s">
        <v>1458</v>
      </c>
      <c r="J3" s="130" t="s">
        <v>1458</v>
      </c>
      <c r="K3" s="130" t="s">
        <v>1458</v>
      </c>
      <c r="L3" s="130" t="s">
        <v>1458</v>
      </c>
      <c r="M3" s="130" t="s">
        <v>1458</v>
      </c>
      <c r="N3" s="130" t="s">
        <v>1458</v>
      </c>
      <c r="O3" s="130" t="s">
        <v>1458</v>
      </c>
      <c r="P3" s="130" t="s">
        <v>1458</v>
      </c>
      <c r="Q3" s="130" t="s">
        <v>1458</v>
      </c>
      <c r="R3" s="130" t="s">
        <v>1458</v>
      </c>
      <c r="S3" s="130" t="s">
        <v>1458</v>
      </c>
    </row>
    <row r="4" spans="2:19" x14ac:dyDescent="0.35">
      <c r="B4" s="130" t="s">
        <v>1406</v>
      </c>
      <c r="C4" s="130">
        <v>2</v>
      </c>
      <c r="D4" s="130" t="s">
        <v>1511</v>
      </c>
      <c r="E4" s="131">
        <v>45554</v>
      </c>
      <c r="F4" s="130">
        <v>3</v>
      </c>
      <c r="G4" s="132">
        <v>1</v>
      </c>
      <c r="H4" s="130">
        <v>0</v>
      </c>
      <c r="I4" s="130" t="s">
        <v>1458</v>
      </c>
      <c r="J4" s="130" t="s">
        <v>1458</v>
      </c>
      <c r="K4" s="130" t="s">
        <v>1458</v>
      </c>
      <c r="L4" s="130" t="s">
        <v>1458</v>
      </c>
      <c r="M4" s="130" t="s">
        <v>1458</v>
      </c>
      <c r="N4" s="130" t="s">
        <v>1458</v>
      </c>
      <c r="O4" s="130" t="s">
        <v>1458</v>
      </c>
      <c r="P4" s="130" t="s">
        <v>1458</v>
      </c>
      <c r="Q4" s="130" t="s">
        <v>1458</v>
      </c>
      <c r="R4" s="130" t="s">
        <v>1458</v>
      </c>
      <c r="S4" s="130" t="s">
        <v>1458</v>
      </c>
    </row>
    <row r="5" spans="2:19" x14ac:dyDescent="0.35">
      <c r="B5" s="130" t="s">
        <v>1408</v>
      </c>
      <c r="C5" s="130">
        <v>3</v>
      </c>
      <c r="D5" s="130" t="s">
        <v>1512</v>
      </c>
      <c r="E5" s="131">
        <v>45554</v>
      </c>
      <c r="F5" s="130">
        <v>3</v>
      </c>
      <c r="G5" s="132">
        <v>1</v>
      </c>
      <c r="H5" s="130">
        <v>0</v>
      </c>
      <c r="I5" s="130">
        <v>0</v>
      </c>
      <c r="J5" s="130" t="s">
        <v>1458</v>
      </c>
      <c r="K5" s="130" t="s">
        <v>1458</v>
      </c>
      <c r="L5" s="130" t="s">
        <v>1458</v>
      </c>
      <c r="M5" s="130" t="s">
        <v>1458</v>
      </c>
      <c r="N5" s="130" t="s">
        <v>1458</v>
      </c>
      <c r="O5" s="130" t="s">
        <v>1458</v>
      </c>
      <c r="P5" s="130" t="s">
        <v>1458</v>
      </c>
      <c r="Q5" s="130" t="s">
        <v>1458</v>
      </c>
      <c r="R5" s="130">
        <v>0</v>
      </c>
      <c r="S5" s="130" t="s">
        <v>1458</v>
      </c>
    </row>
    <row r="6" spans="2:19" x14ac:dyDescent="0.35">
      <c r="B6" s="133" t="s">
        <v>1410</v>
      </c>
      <c r="C6" s="130">
        <v>4</v>
      </c>
      <c r="D6" s="130" t="s">
        <v>1461</v>
      </c>
      <c r="E6" s="131" t="s">
        <v>1458</v>
      </c>
      <c r="F6" s="130">
        <v>3</v>
      </c>
      <c r="G6" s="132" t="s">
        <v>1458</v>
      </c>
      <c r="H6" s="130" t="s">
        <v>1458</v>
      </c>
      <c r="I6" s="130" t="s">
        <v>1458</v>
      </c>
      <c r="J6" s="130" t="s">
        <v>1458</v>
      </c>
      <c r="K6" s="130" t="s">
        <v>1458</v>
      </c>
      <c r="L6" s="130" t="s">
        <v>1458</v>
      </c>
      <c r="M6" s="130" t="s">
        <v>1458</v>
      </c>
      <c r="N6" s="130" t="s">
        <v>1458</v>
      </c>
      <c r="O6" s="130" t="s">
        <v>1458</v>
      </c>
      <c r="P6" s="130" t="s">
        <v>1458</v>
      </c>
      <c r="Q6" s="130" t="s">
        <v>1458</v>
      </c>
      <c r="R6" s="130" t="s">
        <v>1458</v>
      </c>
      <c r="S6" s="130" t="s">
        <v>1458</v>
      </c>
    </row>
    <row r="7" spans="2:19" x14ac:dyDescent="0.35">
      <c r="B7" s="130" t="s">
        <v>1412</v>
      </c>
      <c r="C7" s="130">
        <v>5</v>
      </c>
      <c r="D7" s="130" t="s">
        <v>1461</v>
      </c>
      <c r="E7" s="131" t="s">
        <v>1458</v>
      </c>
      <c r="F7" s="130">
        <v>3</v>
      </c>
      <c r="G7" s="132" t="s">
        <v>1458</v>
      </c>
      <c r="H7" s="130" t="s">
        <v>1458</v>
      </c>
      <c r="I7" s="130" t="s">
        <v>1458</v>
      </c>
      <c r="J7" s="130" t="s">
        <v>1458</v>
      </c>
      <c r="K7" s="130" t="s">
        <v>1458</v>
      </c>
      <c r="L7" s="130" t="s">
        <v>1458</v>
      </c>
      <c r="M7" s="130" t="s">
        <v>1458</v>
      </c>
      <c r="N7" s="130" t="s">
        <v>1458</v>
      </c>
      <c r="O7" s="130" t="s">
        <v>1458</v>
      </c>
      <c r="P7" s="130" t="s">
        <v>1458</v>
      </c>
      <c r="Q7" s="130" t="s">
        <v>1458</v>
      </c>
      <c r="R7" s="130" t="s">
        <v>1458</v>
      </c>
      <c r="S7" s="130" t="s">
        <v>1458</v>
      </c>
    </row>
    <row r="8" spans="2:19" x14ac:dyDescent="0.35">
      <c r="B8" s="130" t="s">
        <v>1413</v>
      </c>
      <c r="C8" s="130">
        <v>6</v>
      </c>
      <c r="D8" s="130" t="s">
        <v>1513</v>
      </c>
      <c r="E8" s="131">
        <v>45554</v>
      </c>
      <c r="F8" s="130">
        <v>3</v>
      </c>
      <c r="G8" s="132" cm="1">
        <f t="array" ref="G8">SUMPRODUCT(--(I8:S8&gt;0))/COUNTA(I8:S8)</f>
        <v>1</v>
      </c>
      <c r="H8" s="130">
        <v>0</v>
      </c>
      <c r="I8" s="130">
        <v>14</v>
      </c>
      <c r="J8" s="130">
        <v>10</v>
      </c>
      <c r="K8" s="130">
        <v>3</v>
      </c>
      <c r="L8" s="130">
        <v>21</v>
      </c>
      <c r="M8" s="130">
        <v>21</v>
      </c>
      <c r="N8" s="130">
        <v>3</v>
      </c>
      <c r="O8" s="130">
        <v>8</v>
      </c>
      <c r="P8" s="130">
        <v>10</v>
      </c>
      <c r="Q8" s="130">
        <v>2</v>
      </c>
      <c r="R8" s="130">
        <v>10</v>
      </c>
      <c r="S8" s="130">
        <v>23</v>
      </c>
    </row>
    <row r="9" spans="2:19" x14ac:dyDescent="0.35">
      <c r="B9" s="130" t="s">
        <v>1416</v>
      </c>
      <c r="C9" s="130">
        <v>7</v>
      </c>
      <c r="D9" s="130" t="s">
        <v>1514</v>
      </c>
      <c r="E9" s="131">
        <v>45554</v>
      </c>
      <c r="F9" s="130">
        <v>3</v>
      </c>
      <c r="G9" s="132" cm="1">
        <f t="array" ref="G9">SUMPRODUCT(--(I9:S9 &lt;= I25:S25))/COUNTA(I25:S25)</f>
        <v>1</v>
      </c>
      <c r="H9" s="130">
        <v>0</v>
      </c>
      <c r="I9" s="130">
        <v>14</v>
      </c>
      <c r="J9" s="130">
        <v>10</v>
      </c>
      <c r="K9" s="130">
        <v>3</v>
      </c>
      <c r="L9" s="130">
        <v>21</v>
      </c>
      <c r="M9" s="130">
        <v>21</v>
      </c>
      <c r="N9" s="130">
        <v>3</v>
      </c>
      <c r="O9" s="130">
        <v>12</v>
      </c>
      <c r="P9" s="130">
        <v>10</v>
      </c>
      <c r="Q9" s="130">
        <v>2</v>
      </c>
      <c r="R9" s="130">
        <v>10</v>
      </c>
      <c r="S9" s="130">
        <v>23</v>
      </c>
    </row>
    <row r="10" spans="2:19" x14ac:dyDescent="0.35">
      <c r="B10" s="133" t="s">
        <v>1419</v>
      </c>
      <c r="C10" s="130">
        <v>8</v>
      </c>
      <c r="D10" s="130" t="s">
        <v>1515</v>
      </c>
      <c r="E10" s="131">
        <v>45554</v>
      </c>
      <c r="F10" s="130">
        <v>3</v>
      </c>
      <c r="G10" s="132" t="s">
        <v>1458</v>
      </c>
      <c r="H10" s="130">
        <v>0</v>
      </c>
      <c r="I10" s="130">
        <v>1052400000065</v>
      </c>
      <c r="J10" s="131">
        <v>45555</v>
      </c>
      <c r="K10" s="130" t="s">
        <v>1171</v>
      </c>
      <c r="L10" s="130">
        <v>7.0000000001349197E+17</v>
      </c>
      <c r="M10" s="130">
        <v>7.0000000001533504E+17</v>
      </c>
      <c r="N10" s="130">
        <v>978</v>
      </c>
      <c r="O10" s="131" t="s">
        <v>1472</v>
      </c>
      <c r="P10" s="131">
        <v>45553</v>
      </c>
      <c r="Q10" s="134" t="s">
        <v>1516</v>
      </c>
      <c r="R10" s="131">
        <v>45554</v>
      </c>
      <c r="S10" s="131" t="s">
        <v>1517</v>
      </c>
    </row>
    <row r="11" spans="2:19" x14ac:dyDescent="0.35">
      <c r="B11" s="130" t="s">
        <v>1421</v>
      </c>
      <c r="C11" s="130">
        <v>9</v>
      </c>
      <c r="D11" s="130" t="s">
        <v>1518</v>
      </c>
      <c r="E11" s="131">
        <v>45554</v>
      </c>
      <c r="F11" s="130">
        <v>3</v>
      </c>
      <c r="G11" s="132" t="s">
        <v>1458</v>
      </c>
      <c r="H11" s="130">
        <v>0</v>
      </c>
      <c r="I11" s="130">
        <v>1052400000065</v>
      </c>
      <c r="J11" s="131">
        <v>45555</v>
      </c>
      <c r="K11" s="130" t="s">
        <v>1171</v>
      </c>
      <c r="L11" s="130">
        <v>7.0000000001349197E+17</v>
      </c>
      <c r="M11" s="130">
        <v>7.0000000001533504E+17</v>
      </c>
      <c r="N11" s="130">
        <v>978</v>
      </c>
      <c r="O11" s="131" t="s">
        <v>1472</v>
      </c>
      <c r="P11" s="131">
        <v>45553</v>
      </c>
      <c r="Q11" s="130" t="s">
        <v>1516</v>
      </c>
      <c r="R11" s="131">
        <v>45554</v>
      </c>
      <c r="S11" s="131" t="s">
        <v>1517</v>
      </c>
    </row>
    <row r="12" spans="2:19" x14ac:dyDescent="0.35">
      <c r="B12" s="130" t="s">
        <v>1423</v>
      </c>
      <c r="C12" s="130">
        <v>10</v>
      </c>
      <c r="D12" s="130" t="s">
        <v>1519</v>
      </c>
      <c r="E12" s="131">
        <v>45554</v>
      </c>
      <c r="F12" s="130">
        <v>3</v>
      </c>
      <c r="G12" s="132" t="s">
        <v>1458</v>
      </c>
      <c r="H12" s="130">
        <v>0</v>
      </c>
      <c r="I12" s="130" t="s">
        <v>1520</v>
      </c>
      <c r="J12" s="131">
        <v>45555</v>
      </c>
      <c r="K12" s="130" t="s">
        <v>1478</v>
      </c>
      <c r="L12" s="130">
        <v>7.5000002016391895E+20</v>
      </c>
      <c r="M12" s="130">
        <v>5.3405426160078297E+20</v>
      </c>
      <c r="N12" s="134">
        <v>978</v>
      </c>
      <c r="O12" s="135">
        <v>50000000000</v>
      </c>
      <c r="P12" s="131">
        <v>45554</v>
      </c>
      <c r="Q12" s="131" t="s">
        <v>1516</v>
      </c>
      <c r="R12" s="131">
        <v>45554</v>
      </c>
      <c r="S12" s="131" t="s">
        <v>1517</v>
      </c>
    </row>
    <row r="13" spans="2:19" x14ac:dyDescent="0.35">
      <c r="B13" s="130" t="s">
        <v>1425</v>
      </c>
      <c r="C13" s="130">
        <v>11</v>
      </c>
      <c r="D13" s="130" t="s">
        <v>1521</v>
      </c>
      <c r="E13" s="131">
        <v>45554</v>
      </c>
      <c r="F13" s="130">
        <v>3</v>
      </c>
      <c r="G13" s="132" t="s">
        <v>1458</v>
      </c>
      <c r="H13" s="130">
        <v>0</v>
      </c>
      <c r="I13" s="130" t="s">
        <v>1520</v>
      </c>
      <c r="J13" s="131">
        <v>45555</v>
      </c>
      <c r="K13" s="130" t="s">
        <v>1478</v>
      </c>
      <c r="L13" s="130">
        <v>7.5000002016391895E+20</v>
      </c>
      <c r="M13" s="130">
        <v>5.3405426160078297E+20</v>
      </c>
      <c r="N13" s="134">
        <v>978</v>
      </c>
      <c r="O13" s="135">
        <v>50000000000</v>
      </c>
      <c r="P13" s="131">
        <v>45554</v>
      </c>
      <c r="Q13" s="131" t="s">
        <v>1516</v>
      </c>
      <c r="R13" s="131">
        <v>45554</v>
      </c>
      <c r="S13" s="131" t="s">
        <v>1517</v>
      </c>
    </row>
    <row r="14" spans="2:19" x14ac:dyDescent="0.35">
      <c r="B14" s="130" t="s">
        <v>1427</v>
      </c>
      <c r="C14" s="130">
        <v>12</v>
      </c>
      <c r="D14" s="130" t="s">
        <v>1522</v>
      </c>
      <c r="E14" s="131">
        <v>45554</v>
      </c>
      <c r="F14" s="130">
        <v>3</v>
      </c>
      <c r="G14" s="132">
        <v>1</v>
      </c>
      <c r="H14" s="130">
        <v>0</v>
      </c>
      <c r="I14" s="130">
        <v>0</v>
      </c>
      <c r="J14" s="130">
        <v>0</v>
      </c>
      <c r="K14" s="130">
        <v>0</v>
      </c>
      <c r="L14" s="130">
        <v>0</v>
      </c>
      <c r="M14" s="130">
        <v>0</v>
      </c>
      <c r="N14" s="130">
        <v>0</v>
      </c>
      <c r="O14" s="130">
        <v>0</v>
      </c>
      <c r="P14" s="130">
        <v>0</v>
      </c>
      <c r="Q14" s="130">
        <v>0</v>
      </c>
      <c r="R14" s="130">
        <v>0</v>
      </c>
      <c r="S14" s="130">
        <v>0</v>
      </c>
    </row>
    <row r="15" spans="2:19" x14ac:dyDescent="0.35">
      <c r="B15" s="130" t="s">
        <v>1429</v>
      </c>
      <c r="C15" s="130">
        <v>13</v>
      </c>
      <c r="D15" s="130" t="s">
        <v>1523</v>
      </c>
      <c r="E15" s="131">
        <v>45554</v>
      </c>
      <c r="F15" s="130">
        <v>3</v>
      </c>
      <c r="G15" s="132">
        <v>1</v>
      </c>
      <c r="H15" s="130">
        <v>0</v>
      </c>
      <c r="I15" s="130" t="s">
        <v>1458</v>
      </c>
      <c r="J15" s="130">
        <v>0</v>
      </c>
      <c r="K15" s="130" t="s">
        <v>1458</v>
      </c>
      <c r="L15" s="130" t="s">
        <v>1458</v>
      </c>
      <c r="M15" s="130" t="s">
        <v>1458</v>
      </c>
      <c r="N15" s="130" t="s">
        <v>1458</v>
      </c>
      <c r="O15" s="133" t="s">
        <v>1458</v>
      </c>
      <c r="P15" s="133">
        <v>0</v>
      </c>
      <c r="Q15" s="133" t="s">
        <v>1458</v>
      </c>
      <c r="R15" s="130" t="s">
        <v>1458</v>
      </c>
      <c r="S15" s="130" t="s">
        <v>1458</v>
      </c>
    </row>
    <row r="16" spans="2:19" x14ac:dyDescent="0.35">
      <c r="B16" s="130" t="s">
        <v>1431</v>
      </c>
      <c r="C16" s="130">
        <v>14</v>
      </c>
      <c r="D16" s="130" t="s">
        <v>1524</v>
      </c>
      <c r="E16" s="131">
        <v>45554</v>
      </c>
      <c r="F16" s="130">
        <v>3</v>
      </c>
      <c r="G16" s="132">
        <v>1</v>
      </c>
      <c r="H16" s="130">
        <v>0</v>
      </c>
      <c r="I16" s="130" t="s">
        <v>1458</v>
      </c>
      <c r="J16" s="130" t="s">
        <v>1458</v>
      </c>
      <c r="K16" s="130" t="s">
        <v>1458</v>
      </c>
      <c r="L16" s="130" t="s">
        <v>1458</v>
      </c>
      <c r="M16" s="130" t="s">
        <v>1458</v>
      </c>
      <c r="N16" s="130" t="s">
        <v>1458</v>
      </c>
      <c r="O16" s="130" t="s">
        <v>1458</v>
      </c>
      <c r="P16" s="130" t="s">
        <v>1458</v>
      </c>
      <c r="Q16" s="130" t="s">
        <v>1458</v>
      </c>
      <c r="R16" s="130" t="s">
        <v>1458</v>
      </c>
      <c r="S16" s="133" t="s">
        <v>1458</v>
      </c>
    </row>
    <row r="17" spans="2:21" x14ac:dyDescent="0.35">
      <c r="B17" s="130" t="s">
        <v>1433</v>
      </c>
      <c r="C17" s="130">
        <v>15</v>
      </c>
      <c r="D17" s="130" t="s">
        <v>1525</v>
      </c>
      <c r="E17" s="131">
        <v>45554</v>
      </c>
      <c r="F17" s="130">
        <v>3</v>
      </c>
      <c r="G17" s="132">
        <v>1</v>
      </c>
      <c r="H17" s="130">
        <v>0</v>
      </c>
      <c r="I17" s="130" t="s">
        <v>1458</v>
      </c>
      <c r="J17" s="130" t="s">
        <v>1458</v>
      </c>
      <c r="K17" s="130" t="s">
        <v>1458</v>
      </c>
      <c r="L17" s="130" t="s">
        <v>1458</v>
      </c>
      <c r="M17" s="130" t="s">
        <v>1458</v>
      </c>
      <c r="N17" s="130" t="s">
        <v>1458</v>
      </c>
      <c r="O17" s="130" t="s">
        <v>1458</v>
      </c>
      <c r="P17" s="130" t="s">
        <v>1458</v>
      </c>
      <c r="Q17" s="130" t="s">
        <v>1458</v>
      </c>
      <c r="R17" s="130" t="s">
        <v>1458</v>
      </c>
      <c r="S17" s="133" t="s">
        <v>1458</v>
      </c>
    </row>
    <row r="18" spans="2:21" x14ac:dyDescent="0.35">
      <c r="B18" s="130" t="s">
        <v>1435</v>
      </c>
      <c r="C18" s="130">
        <v>16</v>
      </c>
      <c r="D18" s="130" t="s">
        <v>1525</v>
      </c>
      <c r="E18" s="131">
        <v>45554</v>
      </c>
      <c r="F18" s="130">
        <v>3</v>
      </c>
      <c r="G18" s="132">
        <v>1</v>
      </c>
      <c r="H18" s="130">
        <v>0</v>
      </c>
      <c r="I18" s="130" t="s">
        <v>1458</v>
      </c>
      <c r="J18" s="130" t="s">
        <v>1458</v>
      </c>
      <c r="K18" s="130" t="s">
        <v>1458</v>
      </c>
      <c r="L18" s="130" t="s">
        <v>1458</v>
      </c>
      <c r="M18" s="130" t="s">
        <v>1458</v>
      </c>
      <c r="N18" s="130" t="s">
        <v>1458</v>
      </c>
      <c r="O18" s="130" t="s">
        <v>1458</v>
      </c>
      <c r="P18" s="130" t="s">
        <v>1458</v>
      </c>
      <c r="Q18" s="130" t="s">
        <v>1458</v>
      </c>
      <c r="R18" s="130" t="s">
        <v>1458</v>
      </c>
      <c r="S18" s="130" t="s">
        <v>1458</v>
      </c>
    </row>
    <row r="19" spans="2:21" x14ac:dyDescent="0.35">
      <c r="B19" s="130" t="s">
        <v>1441</v>
      </c>
      <c r="C19" s="130">
        <v>19</v>
      </c>
      <c r="D19" s="130" t="s">
        <v>1526</v>
      </c>
      <c r="E19" s="131">
        <v>45554</v>
      </c>
      <c r="F19" s="130">
        <v>3</v>
      </c>
      <c r="G19" s="132" cm="1">
        <f t="array" ref="G19">SUMPRODUCT(--(ISNUMBER((SEARCH(I24:S24,I19:S19)))))/COUNTA(I19:S19)</f>
        <v>1</v>
      </c>
      <c r="H19" s="130">
        <v>0</v>
      </c>
      <c r="I19" s="130" t="s">
        <v>1491</v>
      </c>
      <c r="J19" s="130" t="s">
        <v>1491</v>
      </c>
      <c r="K19" s="130" t="s">
        <v>1491</v>
      </c>
      <c r="L19" s="130" t="s">
        <v>1491</v>
      </c>
      <c r="M19" s="130" t="s">
        <v>1491</v>
      </c>
      <c r="N19" s="130" t="s">
        <v>1491</v>
      </c>
      <c r="O19" s="130" t="s">
        <v>1492</v>
      </c>
      <c r="P19" s="130" t="s">
        <v>1491</v>
      </c>
      <c r="Q19" s="130" t="s">
        <v>1491</v>
      </c>
      <c r="R19" s="130" t="s">
        <v>1491</v>
      </c>
      <c r="S19" s="130" t="s">
        <v>1493</v>
      </c>
    </row>
    <row r="20" spans="2:21" x14ac:dyDescent="0.35">
      <c r="B20" s="133" t="s">
        <v>1444</v>
      </c>
      <c r="C20" s="130">
        <v>20</v>
      </c>
      <c r="D20" s="130" t="s">
        <v>1490</v>
      </c>
      <c r="E20" s="131">
        <v>45552</v>
      </c>
      <c r="F20" s="130">
        <v>1</v>
      </c>
      <c r="G20" s="132" cm="1">
        <f t="array" ref="G20">SUM(IF(I2:S2 = I23:S23, 1, 0))/ COUNTA(I2:S2)</f>
        <v>1</v>
      </c>
      <c r="H20" s="130" t="s">
        <v>1458</v>
      </c>
      <c r="I20" s="130" t="s">
        <v>1458</v>
      </c>
      <c r="J20" s="130" t="s">
        <v>1458</v>
      </c>
      <c r="K20" s="130" t="s">
        <v>1458</v>
      </c>
      <c r="L20" s="130" t="s">
        <v>1458</v>
      </c>
      <c r="M20" s="130" t="s">
        <v>1458</v>
      </c>
      <c r="N20" s="130" t="s">
        <v>1458</v>
      </c>
      <c r="O20" s="130" t="s">
        <v>1458</v>
      </c>
      <c r="P20" s="130" t="s">
        <v>1458</v>
      </c>
      <c r="Q20" s="130" t="s">
        <v>1458</v>
      </c>
      <c r="R20" s="130" t="s">
        <v>1458</v>
      </c>
      <c r="S20" s="130" t="s">
        <v>1458</v>
      </c>
    </row>
    <row r="21" spans="2:21" x14ac:dyDescent="0.35">
      <c r="B21" s="130" t="s">
        <v>1447</v>
      </c>
      <c r="C21" s="130">
        <v>21</v>
      </c>
      <c r="D21" s="130" t="s">
        <v>1490</v>
      </c>
      <c r="E21" s="131">
        <v>45552</v>
      </c>
      <c r="F21" s="130">
        <v>1</v>
      </c>
      <c r="G21" s="132" cm="1">
        <f t="array" ref="G21">SUM(IF(IF(G3:G20="null",1,G3:G20)=1,1,0))/COUNT(IF(G3:G20="null",1,0))</f>
        <v>1</v>
      </c>
      <c r="H21" s="130" t="s">
        <v>1458</v>
      </c>
      <c r="I21" s="130" t="s">
        <v>1458</v>
      </c>
      <c r="J21" s="130" t="s">
        <v>1458</v>
      </c>
      <c r="K21" s="130" t="s">
        <v>1458</v>
      </c>
      <c r="L21" s="130" t="s">
        <v>1458</v>
      </c>
      <c r="M21" s="130" t="s">
        <v>1458</v>
      </c>
      <c r="N21" s="130" t="s">
        <v>1458</v>
      </c>
      <c r="O21" s="130" t="s">
        <v>1458</v>
      </c>
      <c r="P21" s="130" t="s">
        <v>1458</v>
      </c>
      <c r="Q21" s="130" t="s">
        <v>1458</v>
      </c>
      <c r="R21" s="130" t="s">
        <v>1458</v>
      </c>
      <c r="S21" s="130" t="s">
        <v>1458</v>
      </c>
    </row>
    <row r="22" spans="2:21" x14ac:dyDescent="0.35">
      <c r="B22" s="130"/>
      <c r="C22" s="130"/>
      <c r="D22" s="130"/>
      <c r="E22" s="131"/>
      <c r="F22" s="130"/>
      <c r="G22" s="130"/>
      <c r="H22" s="130"/>
      <c r="I22" s="130"/>
      <c r="J22" s="130"/>
      <c r="K22" s="130"/>
      <c r="L22" s="130"/>
      <c r="M22" s="130"/>
      <c r="N22" s="130"/>
      <c r="O22" s="130"/>
      <c r="P22" s="130"/>
      <c r="Q22" s="130"/>
      <c r="R22" s="130"/>
      <c r="S22" s="130"/>
    </row>
    <row r="23" spans="2:21" x14ac:dyDescent="0.35">
      <c r="B23" s="136" t="s">
        <v>1450</v>
      </c>
      <c r="C23" s="137" t="s">
        <v>1451</v>
      </c>
      <c r="D23" s="137" t="s">
        <v>1452</v>
      </c>
      <c r="E23" s="137" t="s">
        <v>1453</v>
      </c>
      <c r="F23" s="137" t="s">
        <v>1454</v>
      </c>
      <c r="G23" s="137" t="s">
        <v>1455</v>
      </c>
      <c r="H23" s="137" t="s">
        <v>1456</v>
      </c>
      <c r="I23" s="137" t="str" cm="1">
        <f t="array" ref="I23:S23">TRANSPOSE(_xlfn.SORTBY(_xlfn._xlws.FILTER(Table2[NOME FÍSICO CAMPO],Table2[NOME FÍSICO TABELA]="transfer_other"), _xlfn._xlws.FILTER(Table2[ORDEM],Table2[NOME FÍSICO TABELA]= "transfer_other"), 1))</f>
        <v>internal_reference_id</v>
      </c>
      <c r="J23" s="137" t="str">
        <v>transaction_execution_date</v>
      </c>
      <c r="K23" s="137" t="str">
        <v>transfer_direction_code</v>
      </c>
      <c r="L23" s="137" t="str">
        <v xml:space="preserve">sender_nib </v>
      </c>
      <c r="M23" s="137" t="str">
        <v xml:space="preserve">receiver_nib </v>
      </c>
      <c r="N23" s="137" t="str">
        <v>currency_code</v>
      </c>
      <c r="O23" s="137" t="str">
        <v>amount</v>
      </c>
      <c r="P23" s="137" t="str">
        <v>transaction_date</v>
      </c>
      <c r="Q23" s="137" t="str">
        <v>source_code</v>
      </c>
      <c r="R23" s="137" t="str">
        <v>data_date_part</v>
      </c>
      <c r="S23" s="137" t="str">
        <v>data_timestamp_part</v>
      </c>
    </row>
    <row r="24" spans="2:21" x14ac:dyDescent="0.35">
      <c r="B24" s="140" t="s">
        <v>1494</v>
      </c>
      <c r="C24" s="141">
        <v>21</v>
      </c>
      <c r="D24" s="142" t="s">
        <v>1495</v>
      </c>
      <c r="E24" s="143" t="s">
        <v>1496</v>
      </c>
      <c r="F24" s="143" t="s">
        <v>721</v>
      </c>
      <c r="G24" s="143" t="s">
        <v>721</v>
      </c>
      <c r="H24" s="143" t="s">
        <v>721</v>
      </c>
      <c r="I24" s="143" t="str" cm="1">
        <f t="array" ref="I24:S25">TRANSPOSE(_xlfn.SORTBY(_xlfn._xlws.FILTER(IF(Table2[FORMATO]:Table2[COMP_ CAMPO]&lt;&gt;"",Table2[FORMATO]:Table2[COMP_ CAMPO],9999999),Table2[NOME FÍSICO TABELA]="transfer_other"), _xlfn._xlws.FILTER(Table2[ORDEM], Table2[NOME FÍSICO TABELA]="transfer_other"), 1))</f>
        <v>STRING</v>
      </c>
      <c r="J24" s="143" t="str">
        <v>STRING</v>
      </c>
      <c r="K24" s="143" t="str">
        <v>STRING</v>
      </c>
      <c r="L24" s="143" t="str">
        <v>STRING</v>
      </c>
      <c r="M24" s="143" t="str">
        <v>STRING</v>
      </c>
      <c r="N24" s="143" t="str">
        <v>STRING</v>
      </c>
      <c r="O24" s="143" t="str">
        <v>DECIMAL</v>
      </c>
      <c r="P24" s="143" t="str">
        <v>STRING</v>
      </c>
      <c r="Q24" s="143" t="str">
        <v>STRING</v>
      </c>
      <c r="R24" s="143" t="str">
        <v>STRING</v>
      </c>
      <c r="S24" s="143" t="str">
        <v>TIMESTAMP</v>
      </c>
      <c r="T24" s="130"/>
    </row>
    <row r="25" spans="2:21" x14ac:dyDescent="0.35">
      <c r="B25" s="140" t="s">
        <v>1497</v>
      </c>
      <c r="C25" s="141">
        <v>7</v>
      </c>
      <c r="D25" s="142" t="s">
        <v>1495</v>
      </c>
      <c r="E25" s="143" t="s">
        <v>1496</v>
      </c>
      <c r="F25" s="145" t="s">
        <v>721</v>
      </c>
      <c r="G25" s="145" t="s">
        <v>721</v>
      </c>
      <c r="H25" s="145" t="s">
        <v>721</v>
      </c>
      <c r="I25" s="146">
        <v>35</v>
      </c>
      <c r="J25" s="146">
        <v>10</v>
      </c>
      <c r="K25" s="146">
        <v>4</v>
      </c>
      <c r="L25" s="146">
        <v>21</v>
      </c>
      <c r="M25" s="146">
        <v>21</v>
      </c>
      <c r="N25" s="146">
        <v>4</v>
      </c>
      <c r="O25" s="146">
        <v>23</v>
      </c>
      <c r="P25" s="146">
        <v>10</v>
      </c>
      <c r="Q25" s="146">
        <v>2</v>
      </c>
      <c r="R25" s="146">
        <v>10</v>
      </c>
      <c r="S25" s="146">
        <v>23</v>
      </c>
      <c r="T25" s="138"/>
      <c r="U25" s="139"/>
    </row>
    <row r="26" spans="2:21" x14ac:dyDescent="0.35">
      <c r="T26" s="144"/>
    </row>
    <row r="27" spans="2:21" x14ac:dyDescent="0.35">
      <c r="B27" s="149" t="s">
        <v>1498</v>
      </c>
      <c r="T27" s="147"/>
      <c r="U27" s="148"/>
    </row>
    <row r="28" spans="2:21" x14ac:dyDescent="0.35">
      <c r="B28" s="150" t="s">
        <v>1499</v>
      </c>
      <c r="C28" s="150" t="s">
        <v>1500</v>
      </c>
      <c r="D28" s="151" t="s">
        <v>1501</v>
      </c>
      <c r="E28" s="150" t="s">
        <v>1502</v>
      </c>
      <c r="F28" s="150" t="s">
        <v>1503</v>
      </c>
    </row>
    <row r="29" spans="2:21" x14ac:dyDescent="0.35">
      <c r="B29" s="152"/>
      <c r="C29" s="153"/>
      <c r="D29" s="154"/>
      <c r="E29" s="133"/>
      <c r="F29" s="155"/>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20.26953125" bestFit="1" customWidth="1"/>
    <col min="10" max="10" width="11.1796875" bestFit="1" customWidth="1"/>
    <col min="11" max="11" width="32" bestFit="1" customWidth="1"/>
    <col min="12" max="12" width="34.5429687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35.7265625" customWidth="1"/>
    <col min="22" max="22" width="18.7265625" bestFit="1" customWidth="1"/>
    <col min="23" max="23" width="29" bestFit="1" customWidth="1"/>
    <col min="24" max="24" width="14.7265625" bestFit="1" customWidth="1"/>
    <col min="25" max="25" width="17.453125" bestFit="1" customWidth="1"/>
    <col min="26" max="26" width="26.81640625" bestFit="1" customWidth="1"/>
  </cols>
  <sheetData>
    <row r="1" spans="2:26" ht="27.75" customHeight="1" x14ac:dyDescent="0.35"/>
    <row r="2" spans="2:26" x14ac:dyDescent="0.35">
      <c r="B2" s="63" t="s">
        <v>1450</v>
      </c>
      <c r="C2" s="63" t="s">
        <v>1451</v>
      </c>
      <c r="D2" s="63" t="s">
        <v>1452</v>
      </c>
      <c r="E2" s="63" t="s">
        <v>1453</v>
      </c>
      <c r="F2" s="63" t="s">
        <v>1454</v>
      </c>
      <c r="G2" s="63" t="s">
        <v>1455</v>
      </c>
      <c r="H2" s="63" t="s">
        <v>1456</v>
      </c>
      <c r="I2" s="63" t="s">
        <v>1075</v>
      </c>
      <c r="J2" s="63" t="s">
        <v>748</v>
      </c>
      <c r="K2" s="63" t="s">
        <v>990</v>
      </c>
      <c r="L2" s="63" t="s">
        <v>740</v>
      </c>
      <c r="M2" s="63" t="s">
        <v>1133</v>
      </c>
      <c r="N2" s="63" t="s">
        <v>1015</v>
      </c>
      <c r="O2" s="63" t="s">
        <v>1054</v>
      </c>
      <c r="P2" s="63" t="s">
        <v>1032</v>
      </c>
      <c r="Q2" s="63" t="s">
        <v>926</v>
      </c>
      <c r="R2" s="63" t="s">
        <v>967</v>
      </c>
      <c r="S2" s="63" t="s">
        <v>942</v>
      </c>
      <c r="T2" s="63" t="s">
        <v>769</v>
      </c>
      <c r="U2" s="63" t="s">
        <v>701</v>
      </c>
      <c r="V2" s="63" t="s">
        <v>1097</v>
      </c>
      <c r="W2" s="63" t="s">
        <v>1114</v>
      </c>
      <c r="X2" s="63" t="s">
        <v>1083</v>
      </c>
      <c r="Y2" s="63" t="s">
        <v>796</v>
      </c>
      <c r="Z2" s="63" t="s">
        <v>814</v>
      </c>
    </row>
    <row r="3" spans="2:26" x14ac:dyDescent="0.35">
      <c r="B3" s="130" t="s">
        <v>1404</v>
      </c>
      <c r="C3" s="130">
        <v>1</v>
      </c>
      <c r="D3" s="130" t="s">
        <v>1527</v>
      </c>
      <c r="E3" s="131">
        <v>45552</v>
      </c>
      <c r="F3" s="130">
        <v>1</v>
      </c>
      <c r="G3" s="132">
        <v>1</v>
      </c>
      <c r="H3" s="177" t="s">
        <v>1528</v>
      </c>
      <c r="I3" s="130" t="s">
        <v>1458</v>
      </c>
      <c r="J3" s="130" t="s">
        <v>1458</v>
      </c>
      <c r="K3" s="130" t="s">
        <v>1458</v>
      </c>
      <c r="L3" s="130" t="s">
        <v>1458</v>
      </c>
      <c r="M3" s="130" t="s">
        <v>1458</v>
      </c>
      <c r="N3" s="130" t="s">
        <v>1458</v>
      </c>
      <c r="O3" s="130" t="s">
        <v>1458</v>
      </c>
      <c r="P3" s="130" t="s">
        <v>1458</v>
      </c>
      <c r="Q3" s="130" t="s">
        <v>1458</v>
      </c>
      <c r="R3" s="130" t="s">
        <v>1458</v>
      </c>
      <c r="S3" s="130" t="s">
        <v>1458</v>
      </c>
      <c r="T3" s="130" t="s">
        <v>1458</v>
      </c>
      <c r="U3" s="130" t="s">
        <v>1458</v>
      </c>
      <c r="V3" s="130" t="s">
        <v>1458</v>
      </c>
      <c r="W3" s="130" t="s">
        <v>1458</v>
      </c>
      <c r="X3" s="130" t="s">
        <v>1458</v>
      </c>
      <c r="Y3" s="130" t="s">
        <v>1458</v>
      </c>
      <c r="Z3" s="130" t="s">
        <v>1458</v>
      </c>
    </row>
    <row r="4" spans="2:26" x14ac:dyDescent="0.35">
      <c r="B4" s="130" t="s">
        <v>1406</v>
      </c>
      <c r="C4" s="130">
        <v>2</v>
      </c>
      <c r="D4" s="130" t="s">
        <v>1529</v>
      </c>
      <c r="E4" s="131">
        <v>45552</v>
      </c>
      <c r="F4" s="130">
        <v>1</v>
      </c>
      <c r="G4" s="132" t="s">
        <v>1530</v>
      </c>
      <c r="H4" s="177" t="s">
        <v>1531</v>
      </c>
      <c r="I4" s="130" t="s">
        <v>1458</v>
      </c>
      <c r="J4" s="130" t="s">
        <v>1458</v>
      </c>
      <c r="K4" s="130" t="s">
        <v>1458</v>
      </c>
      <c r="L4" s="130" t="s">
        <v>1458</v>
      </c>
      <c r="M4" s="130" t="s">
        <v>1458</v>
      </c>
      <c r="N4" s="130" t="s">
        <v>1458</v>
      </c>
      <c r="O4" s="130" t="s">
        <v>1458</v>
      </c>
      <c r="P4" s="130" t="s">
        <v>1458</v>
      </c>
      <c r="Q4" s="130" t="s">
        <v>1458</v>
      </c>
      <c r="R4" s="130" t="s">
        <v>1458</v>
      </c>
      <c r="S4" s="130" t="s">
        <v>1458</v>
      </c>
      <c r="T4" s="130" t="s">
        <v>1458</v>
      </c>
      <c r="U4" s="130" t="s">
        <v>1458</v>
      </c>
      <c r="V4" s="130" t="s">
        <v>1458</v>
      </c>
      <c r="W4" s="130" t="s">
        <v>1458</v>
      </c>
      <c r="X4" s="130" t="s">
        <v>1458</v>
      </c>
      <c r="Y4" s="130" t="s">
        <v>1458</v>
      </c>
      <c r="Z4" s="130" t="s">
        <v>1458</v>
      </c>
    </row>
    <row r="5" spans="2:26" x14ac:dyDescent="0.35">
      <c r="B5" s="130" t="s">
        <v>1408</v>
      </c>
      <c r="C5" s="130">
        <v>3</v>
      </c>
      <c r="D5" s="130" t="s">
        <v>1532</v>
      </c>
      <c r="E5" s="131">
        <v>45552</v>
      </c>
      <c r="F5" s="130">
        <v>1</v>
      </c>
      <c r="G5" s="132">
        <v>1</v>
      </c>
      <c r="H5" s="130" t="s">
        <v>1533</v>
      </c>
      <c r="I5" s="130">
        <v>0</v>
      </c>
      <c r="J5" s="130">
        <v>0</v>
      </c>
      <c r="K5" s="130">
        <v>0</v>
      </c>
      <c r="L5" s="130" t="s">
        <v>1458</v>
      </c>
      <c r="M5" s="130">
        <v>0</v>
      </c>
      <c r="N5" s="130" t="s">
        <v>1458</v>
      </c>
      <c r="O5" s="130" t="s">
        <v>1458</v>
      </c>
      <c r="P5" s="130" t="s">
        <v>1458</v>
      </c>
      <c r="Q5" s="130" t="s">
        <v>1458</v>
      </c>
      <c r="R5" s="130" t="s">
        <v>1458</v>
      </c>
      <c r="S5" s="130" t="s">
        <v>1458</v>
      </c>
      <c r="T5" s="130" t="s">
        <v>1458</v>
      </c>
      <c r="U5" s="130" t="s">
        <v>1458</v>
      </c>
      <c r="V5" s="130" t="s">
        <v>1458</v>
      </c>
      <c r="W5" s="130" t="s">
        <v>1458</v>
      </c>
      <c r="X5" s="130" t="s">
        <v>1458</v>
      </c>
      <c r="Y5" s="130">
        <v>0</v>
      </c>
      <c r="Z5" s="130" t="s">
        <v>1458</v>
      </c>
    </row>
    <row r="6" spans="2:26" x14ac:dyDescent="0.35">
      <c r="B6" s="133" t="s">
        <v>1410</v>
      </c>
      <c r="C6" s="130">
        <v>4</v>
      </c>
      <c r="D6" s="130" t="s">
        <v>1461</v>
      </c>
      <c r="E6" s="131" t="s">
        <v>1458</v>
      </c>
      <c r="F6" s="130">
        <v>1</v>
      </c>
      <c r="G6" s="132" t="s">
        <v>1458</v>
      </c>
      <c r="H6" s="130" t="s">
        <v>1458</v>
      </c>
      <c r="I6" s="130" t="s">
        <v>1458</v>
      </c>
      <c r="J6" s="130" t="s">
        <v>1458</v>
      </c>
      <c r="K6" s="130" t="s">
        <v>1458</v>
      </c>
      <c r="L6" s="130" t="s">
        <v>1458</v>
      </c>
      <c r="M6" s="130" t="s">
        <v>1458</v>
      </c>
      <c r="N6" s="130" t="s">
        <v>1458</v>
      </c>
      <c r="O6" s="130" t="s">
        <v>1458</v>
      </c>
      <c r="P6" s="130" t="s">
        <v>1458</v>
      </c>
      <c r="Q6" s="130" t="s">
        <v>1458</v>
      </c>
      <c r="R6" s="130" t="s">
        <v>1458</v>
      </c>
      <c r="S6" s="130" t="s">
        <v>1458</v>
      </c>
      <c r="T6" s="130" t="s">
        <v>1458</v>
      </c>
      <c r="U6" s="130" t="s">
        <v>1458</v>
      </c>
      <c r="V6" s="130" t="s">
        <v>1458</v>
      </c>
      <c r="W6" s="130" t="s">
        <v>1458</v>
      </c>
      <c r="X6" s="130" t="s">
        <v>1458</v>
      </c>
      <c r="Y6" s="130" t="s">
        <v>1458</v>
      </c>
      <c r="Z6" s="130" t="s">
        <v>1458</v>
      </c>
    </row>
    <row r="7" spans="2:26" x14ac:dyDescent="0.35">
      <c r="B7" s="130" t="s">
        <v>1412</v>
      </c>
      <c r="C7" s="130">
        <v>5</v>
      </c>
      <c r="D7" s="130" t="s">
        <v>1461</v>
      </c>
      <c r="E7" s="131" t="s">
        <v>1458</v>
      </c>
      <c r="F7" s="130">
        <v>1</v>
      </c>
      <c r="G7" s="132" t="s">
        <v>1458</v>
      </c>
      <c r="H7" s="130" t="s">
        <v>1458</v>
      </c>
      <c r="I7" s="130" t="s">
        <v>1458</v>
      </c>
      <c r="J7" s="130" t="s">
        <v>1458</v>
      </c>
      <c r="K7" s="130" t="s">
        <v>1458</v>
      </c>
      <c r="L7" s="130" t="s">
        <v>1458</v>
      </c>
      <c r="M7" s="130" t="s">
        <v>1458</v>
      </c>
      <c r="N7" s="130" t="s">
        <v>1458</v>
      </c>
      <c r="O7" s="130" t="s">
        <v>1458</v>
      </c>
      <c r="P7" s="130" t="s">
        <v>1458</v>
      </c>
      <c r="Q7" s="130" t="s">
        <v>1458</v>
      </c>
      <c r="R7" s="130" t="s">
        <v>1458</v>
      </c>
      <c r="S7" s="130" t="s">
        <v>1458</v>
      </c>
      <c r="T7" s="130" t="s">
        <v>1458</v>
      </c>
      <c r="U7" s="130" t="s">
        <v>1458</v>
      </c>
      <c r="V7" s="130" t="s">
        <v>1458</v>
      </c>
      <c r="W7" s="130" t="s">
        <v>1458</v>
      </c>
      <c r="X7" s="130" t="s">
        <v>1458</v>
      </c>
      <c r="Y7" s="130" t="s">
        <v>1458</v>
      </c>
      <c r="Z7" s="130" t="s">
        <v>1458</v>
      </c>
    </row>
    <row r="8" spans="2:26" x14ac:dyDescent="0.35">
      <c r="B8" s="130" t="s">
        <v>1413</v>
      </c>
      <c r="C8" s="130">
        <v>6</v>
      </c>
      <c r="D8" s="130" t="s">
        <v>1534</v>
      </c>
      <c r="E8" s="131">
        <v>45552</v>
      </c>
      <c r="F8" s="130">
        <v>1</v>
      </c>
      <c r="G8" s="132" cm="1">
        <f t="array" ref="G8">SUMPRODUCT(--(I8:Z8&gt;0))/COUNTA(I8:Z8)</f>
        <v>1</v>
      </c>
      <c r="H8" s="130" t="s">
        <v>1533</v>
      </c>
      <c r="I8" s="130">
        <v>3</v>
      </c>
      <c r="J8" s="130">
        <v>8</v>
      </c>
      <c r="K8" s="130">
        <v>8</v>
      </c>
      <c r="L8" s="130">
        <v>1</v>
      </c>
      <c r="M8" s="130">
        <v>3</v>
      </c>
      <c r="N8" s="130">
        <v>16</v>
      </c>
      <c r="O8" s="130">
        <v>8</v>
      </c>
      <c r="P8" s="130">
        <v>3</v>
      </c>
      <c r="Q8" s="130">
        <v>16</v>
      </c>
      <c r="R8" s="130">
        <v>8</v>
      </c>
      <c r="S8" s="130">
        <v>3</v>
      </c>
      <c r="T8" s="130">
        <v>3</v>
      </c>
      <c r="U8" s="130">
        <v>8</v>
      </c>
      <c r="V8" s="130">
        <v>10</v>
      </c>
      <c r="W8" s="130">
        <v>10</v>
      </c>
      <c r="X8" s="130">
        <v>2</v>
      </c>
      <c r="Y8" s="130">
        <v>10</v>
      </c>
      <c r="Z8" s="130">
        <v>23</v>
      </c>
    </row>
    <row r="9" spans="2:26" x14ac:dyDescent="0.35">
      <c r="B9" s="130" t="s">
        <v>1416</v>
      </c>
      <c r="C9" s="130">
        <v>7</v>
      </c>
      <c r="D9" s="130" t="s">
        <v>1535</v>
      </c>
      <c r="E9" s="131">
        <v>45552</v>
      </c>
      <c r="F9" s="130">
        <v>1</v>
      </c>
      <c r="G9" s="132" cm="1">
        <f t="array" ref="G9">SUMPRODUCT(--(I9:Z9 &lt;= I25:Z25))/COUNTA(I25:Z25)</f>
        <v>1</v>
      </c>
      <c r="H9" s="130" t="s">
        <v>1533</v>
      </c>
      <c r="I9" s="130">
        <v>3</v>
      </c>
      <c r="J9" s="130">
        <v>35</v>
      </c>
      <c r="K9" s="130">
        <v>35</v>
      </c>
      <c r="L9" s="130">
        <v>35</v>
      </c>
      <c r="M9" s="130">
        <v>3</v>
      </c>
      <c r="N9" s="130">
        <v>27</v>
      </c>
      <c r="O9" s="130">
        <v>11</v>
      </c>
      <c r="P9" s="130">
        <v>70</v>
      </c>
      <c r="Q9" s="130">
        <v>27</v>
      </c>
      <c r="R9" s="130">
        <v>11</v>
      </c>
      <c r="S9" s="130">
        <v>70</v>
      </c>
      <c r="T9" s="130">
        <v>3</v>
      </c>
      <c r="U9" s="130">
        <v>14</v>
      </c>
      <c r="V9" s="130">
        <v>10</v>
      </c>
      <c r="W9" s="130">
        <v>10</v>
      </c>
      <c r="X9" s="130">
        <v>2</v>
      </c>
      <c r="Y9" s="130">
        <v>10</v>
      </c>
      <c r="Z9" s="130">
        <v>23</v>
      </c>
    </row>
    <row r="10" spans="2:26" x14ac:dyDescent="0.35">
      <c r="B10" s="133" t="s">
        <v>1419</v>
      </c>
      <c r="C10" s="130">
        <v>8</v>
      </c>
      <c r="D10" s="130" t="s">
        <v>1536</v>
      </c>
      <c r="E10" s="131">
        <v>45552</v>
      </c>
      <c r="F10" s="130">
        <v>1</v>
      </c>
      <c r="G10" s="132" t="s">
        <v>1458</v>
      </c>
      <c r="H10" s="130" t="s">
        <v>1533</v>
      </c>
      <c r="I10" s="130" t="s">
        <v>1537</v>
      </c>
      <c r="J10" s="131" t="s">
        <v>1538</v>
      </c>
      <c r="K10" s="169" t="s">
        <v>1539</v>
      </c>
      <c r="L10" s="130" t="s">
        <v>1540</v>
      </c>
      <c r="M10" s="130" t="s">
        <v>1171</v>
      </c>
      <c r="N10" s="130" t="s">
        <v>1541</v>
      </c>
      <c r="O10" s="131" t="s">
        <v>1542</v>
      </c>
      <c r="P10" s="131" t="s">
        <v>1543</v>
      </c>
      <c r="Q10" s="134" t="s">
        <v>1544</v>
      </c>
      <c r="R10" s="131" t="s">
        <v>1542</v>
      </c>
      <c r="S10" s="131" t="s">
        <v>1545</v>
      </c>
      <c r="T10" s="130" t="s">
        <v>1546</v>
      </c>
      <c r="U10" s="130" t="s">
        <v>1472</v>
      </c>
      <c r="V10" s="131">
        <v>45552</v>
      </c>
      <c r="W10" s="131">
        <v>45552</v>
      </c>
      <c r="X10" s="130" t="s">
        <v>1547</v>
      </c>
      <c r="Y10" s="131">
        <v>45552</v>
      </c>
      <c r="Z10" s="130" t="s">
        <v>1548</v>
      </c>
    </row>
    <row r="11" spans="2:26" x14ac:dyDescent="0.35">
      <c r="B11" s="130" t="s">
        <v>1421</v>
      </c>
      <c r="C11" s="130">
        <v>9</v>
      </c>
      <c r="D11" s="130" t="s">
        <v>1549</v>
      </c>
      <c r="E11" s="131">
        <v>45552</v>
      </c>
      <c r="F11" s="130">
        <v>1</v>
      </c>
      <c r="G11" s="132" t="s">
        <v>1458</v>
      </c>
      <c r="H11" s="130" t="s">
        <v>1533</v>
      </c>
      <c r="I11" s="130" t="s">
        <v>1537</v>
      </c>
      <c r="J11" s="131" t="s">
        <v>1538</v>
      </c>
      <c r="K11" s="169" t="s">
        <v>1539</v>
      </c>
      <c r="L11" s="130" t="s">
        <v>1540</v>
      </c>
      <c r="M11" s="130" t="s">
        <v>1171</v>
      </c>
      <c r="N11" s="130" t="s">
        <v>1541</v>
      </c>
      <c r="O11" s="131" t="s">
        <v>1542</v>
      </c>
      <c r="P11" s="131" t="s">
        <v>1543</v>
      </c>
      <c r="Q11" s="130" t="s">
        <v>1544</v>
      </c>
      <c r="R11" s="131" t="s">
        <v>1542</v>
      </c>
      <c r="S11" s="131" t="s">
        <v>1545</v>
      </c>
      <c r="T11" s="130" t="s">
        <v>1546</v>
      </c>
      <c r="U11" s="130" t="s">
        <v>1472</v>
      </c>
      <c r="V11" s="131">
        <v>45552</v>
      </c>
      <c r="W11" s="131">
        <v>45552</v>
      </c>
      <c r="X11" s="130" t="s">
        <v>1547</v>
      </c>
      <c r="Y11" s="131">
        <v>45552</v>
      </c>
      <c r="Z11" s="130" t="s">
        <v>1550</v>
      </c>
    </row>
    <row r="12" spans="2:26" x14ac:dyDescent="0.35">
      <c r="B12" s="130" t="s">
        <v>1423</v>
      </c>
      <c r="C12" s="130">
        <v>10</v>
      </c>
      <c r="D12" s="130" t="s">
        <v>1551</v>
      </c>
      <c r="E12" s="131">
        <v>45552</v>
      </c>
      <c r="F12" s="130">
        <v>1</v>
      </c>
      <c r="G12" s="132" t="s">
        <v>1458</v>
      </c>
      <c r="H12" s="130" t="s">
        <v>1533</v>
      </c>
      <c r="I12" s="130" t="s">
        <v>1552</v>
      </c>
      <c r="J12" s="131" t="s">
        <v>1553</v>
      </c>
      <c r="K12" s="130" t="s">
        <v>1554</v>
      </c>
      <c r="L12" s="130" t="s">
        <v>1555</v>
      </c>
      <c r="M12" s="130" t="s">
        <v>1478</v>
      </c>
      <c r="N12" s="134" t="s">
        <v>1556</v>
      </c>
      <c r="O12" s="135" t="s">
        <v>1557</v>
      </c>
      <c r="P12" s="131" t="s">
        <v>1558</v>
      </c>
      <c r="Q12" s="131" t="s">
        <v>1559</v>
      </c>
      <c r="R12" s="131" t="s">
        <v>1560</v>
      </c>
      <c r="S12" s="131" t="s">
        <v>1561</v>
      </c>
      <c r="T12" s="130" t="s">
        <v>1546</v>
      </c>
      <c r="U12" s="134">
        <v>2941765790000</v>
      </c>
      <c r="V12" s="131">
        <v>45552</v>
      </c>
      <c r="W12" s="131">
        <v>45552</v>
      </c>
      <c r="X12" s="130" t="s">
        <v>1547</v>
      </c>
      <c r="Y12" s="131">
        <v>45552</v>
      </c>
      <c r="Z12" s="130" t="s">
        <v>1548</v>
      </c>
    </row>
    <row r="13" spans="2:26" x14ac:dyDescent="0.35">
      <c r="B13" s="130" t="s">
        <v>1425</v>
      </c>
      <c r="C13" s="130">
        <v>11</v>
      </c>
      <c r="D13" s="130" t="s">
        <v>1562</v>
      </c>
      <c r="E13" s="131">
        <v>45552</v>
      </c>
      <c r="F13" s="130">
        <v>1</v>
      </c>
      <c r="G13" s="132" t="s">
        <v>1458</v>
      </c>
      <c r="H13" s="130" t="s">
        <v>1533</v>
      </c>
      <c r="I13" s="130" t="s">
        <v>1552</v>
      </c>
      <c r="J13" s="131" t="s">
        <v>1553</v>
      </c>
      <c r="K13" s="130" t="s">
        <v>1554</v>
      </c>
      <c r="L13" s="130" t="s">
        <v>1555</v>
      </c>
      <c r="M13" s="130" t="s">
        <v>1478</v>
      </c>
      <c r="N13" s="134" t="s">
        <v>1556</v>
      </c>
      <c r="O13" s="135" t="s">
        <v>1557</v>
      </c>
      <c r="P13" s="131" t="s">
        <v>1558</v>
      </c>
      <c r="Q13" s="131" t="s">
        <v>1559</v>
      </c>
      <c r="R13" s="131" t="s">
        <v>1560</v>
      </c>
      <c r="S13" s="131" t="s">
        <v>1561</v>
      </c>
      <c r="T13" s="130" t="s">
        <v>1546</v>
      </c>
      <c r="U13" s="134">
        <v>2941765790000</v>
      </c>
      <c r="V13" s="131">
        <v>45552</v>
      </c>
      <c r="W13" s="131">
        <v>45552</v>
      </c>
      <c r="X13" s="130" t="s">
        <v>1547</v>
      </c>
      <c r="Y13" s="131">
        <v>45552</v>
      </c>
      <c r="Z13" s="130" t="s">
        <v>1563</v>
      </c>
    </row>
    <row r="14" spans="2:26" x14ac:dyDescent="0.35">
      <c r="B14" s="130" t="s">
        <v>1427</v>
      </c>
      <c r="C14" s="130">
        <v>12</v>
      </c>
      <c r="D14" s="130" t="s">
        <v>1564</v>
      </c>
      <c r="E14" s="131">
        <v>45552</v>
      </c>
      <c r="F14" s="130">
        <v>1</v>
      </c>
      <c r="G14" s="132">
        <v>1</v>
      </c>
      <c r="H14" s="130" t="s">
        <v>1533</v>
      </c>
      <c r="I14" s="130">
        <v>0</v>
      </c>
      <c r="J14" s="130">
        <v>0</v>
      </c>
      <c r="K14" s="130">
        <v>0</v>
      </c>
      <c r="L14" s="130">
        <v>0</v>
      </c>
      <c r="M14" s="130">
        <v>0</v>
      </c>
      <c r="N14" s="130">
        <v>0</v>
      </c>
      <c r="O14" s="130">
        <v>0</v>
      </c>
      <c r="P14" s="130">
        <v>0</v>
      </c>
      <c r="Q14" s="130">
        <v>0</v>
      </c>
      <c r="R14" s="130">
        <v>0</v>
      </c>
      <c r="S14" s="130">
        <v>0</v>
      </c>
      <c r="T14" s="130">
        <v>0</v>
      </c>
      <c r="U14" s="130">
        <v>0</v>
      </c>
      <c r="V14" s="130">
        <v>0</v>
      </c>
      <c r="W14" s="130">
        <v>0</v>
      </c>
      <c r="X14" s="130">
        <v>0</v>
      </c>
      <c r="Y14" s="130">
        <v>0</v>
      </c>
      <c r="Z14" s="130">
        <v>0</v>
      </c>
    </row>
    <row r="15" spans="2:26" x14ac:dyDescent="0.35">
      <c r="B15" s="130" t="s">
        <v>1429</v>
      </c>
      <c r="C15" s="130">
        <v>13</v>
      </c>
      <c r="D15" s="130" t="s">
        <v>1565</v>
      </c>
      <c r="E15" s="131">
        <v>45552</v>
      </c>
      <c r="F15" s="130">
        <v>1</v>
      </c>
      <c r="G15" s="132">
        <v>1</v>
      </c>
      <c r="H15" s="130" t="s">
        <v>1533</v>
      </c>
      <c r="I15" s="130" t="s">
        <v>1458</v>
      </c>
      <c r="J15" s="130" t="s">
        <v>1458</v>
      </c>
      <c r="K15" s="130" t="s">
        <v>1458</v>
      </c>
      <c r="L15" s="130" t="s">
        <v>1458</v>
      </c>
      <c r="M15" s="130" t="s">
        <v>1458</v>
      </c>
      <c r="N15" s="130" t="s">
        <v>1458</v>
      </c>
      <c r="O15" s="133" t="s">
        <v>1458</v>
      </c>
      <c r="P15" s="133" t="s">
        <v>1458</v>
      </c>
      <c r="Q15" s="133" t="s">
        <v>1458</v>
      </c>
      <c r="R15" s="130" t="s">
        <v>1458</v>
      </c>
      <c r="S15" s="130" t="s">
        <v>1458</v>
      </c>
      <c r="T15" s="130" t="s">
        <v>1458</v>
      </c>
      <c r="U15" s="130" t="s">
        <v>1458</v>
      </c>
      <c r="V15" s="130">
        <v>0</v>
      </c>
      <c r="W15" s="130">
        <v>0</v>
      </c>
      <c r="X15" s="130" t="s">
        <v>1458</v>
      </c>
      <c r="Y15" s="130" t="s">
        <v>1458</v>
      </c>
      <c r="Z15" s="130" t="s">
        <v>1458</v>
      </c>
    </row>
    <row r="16" spans="2:26" x14ac:dyDescent="0.35">
      <c r="B16" s="130" t="s">
        <v>1431</v>
      </c>
      <c r="C16" s="130">
        <v>14</v>
      </c>
      <c r="D16" s="130" t="s">
        <v>1566</v>
      </c>
      <c r="E16" s="131">
        <v>45552</v>
      </c>
      <c r="F16" s="130">
        <v>1</v>
      </c>
      <c r="G16" s="132">
        <v>1</v>
      </c>
      <c r="H16" s="130" t="s">
        <v>1533</v>
      </c>
      <c r="I16" s="130">
        <v>0</v>
      </c>
      <c r="J16" s="130">
        <v>0</v>
      </c>
      <c r="K16" s="130">
        <v>0</v>
      </c>
      <c r="L16" s="130" t="s">
        <v>1458</v>
      </c>
      <c r="M16" s="130">
        <v>0</v>
      </c>
      <c r="N16" s="130" t="s">
        <v>1458</v>
      </c>
      <c r="O16" s="130" t="s">
        <v>1458</v>
      </c>
      <c r="P16" s="130" t="s">
        <v>1458</v>
      </c>
      <c r="Q16" s="130" t="s">
        <v>1458</v>
      </c>
      <c r="R16" s="130" t="s">
        <v>1458</v>
      </c>
      <c r="S16" s="133" t="s">
        <v>1458</v>
      </c>
      <c r="T16" s="130">
        <v>0</v>
      </c>
      <c r="U16" s="130" t="s">
        <v>1458</v>
      </c>
      <c r="V16" s="130" t="s">
        <v>1458</v>
      </c>
      <c r="W16" s="130" t="s">
        <v>1458</v>
      </c>
      <c r="X16" s="130" t="s">
        <v>1458</v>
      </c>
      <c r="Y16" s="130" t="s">
        <v>1458</v>
      </c>
      <c r="Z16" s="130" t="s">
        <v>1458</v>
      </c>
    </row>
    <row r="17" spans="2:26" x14ac:dyDescent="0.35">
      <c r="B17" s="130" t="s">
        <v>1433</v>
      </c>
      <c r="C17" s="130">
        <v>15</v>
      </c>
      <c r="D17" s="130" t="s">
        <v>1567</v>
      </c>
      <c r="E17" s="131">
        <v>45552</v>
      </c>
      <c r="F17" s="130">
        <v>1</v>
      </c>
      <c r="G17" s="132">
        <v>1</v>
      </c>
      <c r="H17" s="130" t="s">
        <v>1533</v>
      </c>
      <c r="I17" s="130" t="s">
        <v>1458</v>
      </c>
      <c r="J17" s="130" t="s">
        <v>1458</v>
      </c>
      <c r="K17" s="130" t="s">
        <v>1458</v>
      </c>
      <c r="L17" s="130" t="s">
        <v>1458</v>
      </c>
      <c r="M17" s="130" t="s">
        <v>1458</v>
      </c>
      <c r="N17" s="130" t="s">
        <v>1458</v>
      </c>
      <c r="O17" s="130" t="s">
        <v>1458</v>
      </c>
      <c r="P17" s="130" t="s">
        <v>1458</v>
      </c>
      <c r="Q17" s="130" t="s">
        <v>1458</v>
      </c>
      <c r="R17" s="130" t="s">
        <v>1458</v>
      </c>
      <c r="S17" s="133" t="s">
        <v>1458</v>
      </c>
      <c r="T17" s="130" t="s">
        <v>1458</v>
      </c>
      <c r="U17" s="130" t="s">
        <v>1458</v>
      </c>
      <c r="V17" s="130" t="s">
        <v>1458</v>
      </c>
      <c r="W17" s="130" t="s">
        <v>1458</v>
      </c>
      <c r="X17" s="130" t="s">
        <v>1458</v>
      </c>
      <c r="Y17" s="130" t="s">
        <v>1458</v>
      </c>
      <c r="Z17" s="130" t="s">
        <v>1458</v>
      </c>
    </row>
    <row r="18" spans="2:26" x14ac:dyDescent="0.35">
      <c r="B18" s="130" t="s">
        <v>1435</v>
      </c>
      <c r="C18" s="130">
        <v>16</v>
      </c>
      <c r="D18" s="130" t="s">
        <v>1567</v>
      </c>
      <c r="E18" s="131">
        <v>45552</v>
      </c>
      <c r="F18" s="130">
        <v>1</v>
      </c>
      <c r="G18" s="132">
        <v>1</v>
      </c>
      <c r="H18" s="130" t="s">
        <v>1533</v>
      </c>
      <c r="I18" s="130" t="s">
        <v>1458</v>
      </c>
      <c r="J18" s="130" t="s">
        <v>1458</v>
      </c>
      <c r="K18" s="130" t="s">
        <v>1458</v>
      </c>
      <c r="L18" s="130" t="s">
        <v>1458</v>
      </c>
      <c r="M18" s="130" t="s">
        <v>1458</v>
      </c>
      <c r="N18" s="130" t="s">
        <v>1458</v>
      </c>
      <c r="O18" s="130" t="s">
        <v>1458</v>
      </c>
      <c r="P18" s="130" t="s">
        <v>1458</v>
      </c>
      <c r="Q18" s="130" t="s">
        <v>1458</v>
      </c>
      <c r="R18" s="130" t="s">
        <v>1458</v>
      </c>
      <c r="S18" s="130" t="s">
        <v>1458</v>
      </c>
      <c r="T18" s="130" t="s">
        <v>1458</v>
      </c>
      <c r="U18" s="130" t="s">
        <v>1458</v>
      </c>
      <c r="V18" s="130" t="s">
        <v>1458</v>
      </c>
      <c r="W18" s="130" t="s">
        <v>1458</v>
      </c>
      <c r="X18" s="130" t="s">
        <v>1458</v>
      </c>
      <c r="Y18" s="130" t="s">
        <v>1458</v>
      </c>
      <c r="Z18" s="130" t="s">
        <v>1458</v>
      </c>
    </row>
    <row r="19" spans="2:26" x14ac:dyDescent="0.35">
      <c r="B19" s="130" t="s">
        <v>1441</v>
      </c>
      <c r="C19" s="130">
        <v>19</v>
      </c>
      <c r="D19" s="130" t="s">
        <v>1568</v>
      </c>
      <c r="E19" s="131">
        <v>45552</v>
      </c>
      <c r="F19" s="130">
        <v>1</v>
      </c>
      <c r="G19" s="132" cm="1">
        <f t="array" ref="G19">SUMPRODUCT(--(ISNUMBER((SEARCH(I24:Z24,I19:Z19)))))/COUNTA(I19:Z19)</f>
        <v>1</v>
      </c>
      <c r="H19" s="130" t="s">
        <v>1533</v>
      </c>
      <c r="I19" s="130" t="s">
        <v>1491</v>
      </c>
      <c r="J19" s="130" t="s">
        <v>1491</v>
      </c>
      <c r="K19" s="130" t="s">
        <v>1491</v>
      </c>
      <c r="L19" s="130" t="s">
        <v>1491</v>
      </c>
      <c r="M19" s="130" t="s">
        <v>1491</v>
      </c>
      <c r="N19" s="130" t="s">
        <v>1491</v>
      </c>
      <c r="O19" s="130" t="s">
        <v>1491</v>
      </c>
      <c r="P19" s="130" t="s">
        <v>1491</v>
      </c>
      <c r="Q19" s="130" t="s">
        <v>1491</v>
      </c>
      <c r="R19" s="130" t="s">
        <v>1491</v>
      </c>
      <c r="S19" s="130" t="s">
        <v>1491</v>
      </c>
      <c r="T19" s="130" t="s">
        <v>1491</v>
      </c>
      <c r="U19" s="130" t="s">
        <v>1492</v>
      </c>
      <c r="V19" s="130" t="s">
        <v>1491</v>
      </c>
      <c r="W19" s="130" t="s">
        <v>1491</v>
      </c>
      <c r="X19" s="130" t="s">
        <v>1491</v>
      </c>
      <c r="Y19" s="130" t="s">
        <v>1491</v>
      </c>
      <c r="Z19" s="130" t="s">
        <v>1493</v>
      </c>
    </row>
    <row r="20" spans="2:26" x14ac:dyDescent="0.35">
      <c r="B20" s="133" t="s">
        <v>1444</v>
      </c>
      <c r="C20" s="130">
        <v>20</v>
      </c>
      <c r="D20" s="130" t="s">
        <v>1568</v>
      </c>
      <c r="E20" s="131">
        <v>45552</v>
      </c>
      <c r="F20" s="130">
        <v>1</v>
      </c>
      <c r="G20" s="132" cm="1">
        <f t="array" ref="G20">SUM(IF(I2:Z2 = I23:Z23, 1, 0))/ COUNTA(I2:Z2)</f>
        <v>0.94444444444444442</v>
      </c>
      <c r="H20" s="130" t="s">
        <v>1458</v>
      </c>
      <c r="I20" s="130" t="s">
        <v>1458</v>
      </c>
      <c r="J20" s="130" t="s">
        <v>1458</v>
      </c>
      <c r="K20" s="130" t="s">
        <v>1458</v>
      </c>
      <c r="L20" s="130" t="s">
        <v>1458</v>
      </c>
      <c r="M20" s="130" t="s">
        <v>1458</v>
      </c>
      <c r="N20" s="130" t="s">
        <v>1458</v>
      </c>
      <c r="O20" s="130" t="s">
        <v>1458</v>
      </c>
      <c r="P20" s="130" t="s">
        <v>1458</v>
      </c>
      <c r="Q20" s="130" t="s">
        <v>1458</v>
      </c>
      <c r="R20" s="130" t="s">
        <v>1458</v>
      </c>
      <c r="S20" s="130" t="s">
        <v>1458</v>
      </c>
      <c r="T20" s="130"/>
      <c r="U20" s="130"/>
      <c r="V20" s="130"/>
      <c r="W20" s="130"/>
      <c r="X20" s="130"/>
      <c r="Y20" s="130"/>
      <c r="Z20" s="130"/>
    </row>
    <row r="21" spans="2:26" x14ac:dyDescent="0.35">
      <c r="B21" s="130" t="s">
        <v>1447</v>
      </c>
      <c r="C21" s="130">
        <v>21</v>
      </c>
      <c r="D21" s="130" t="s">
        <v>1568</v>
      </c>
      <c r="E21" s="131">
        <v>45552</v>
      </c>
      <c r="F21" s="130">
        <v>1</v>
      </c>
      <c r="G21" s="132" cm="1">
        <f t="array" ref="G21">SUM(IF(IF(G3:G20="null",1,G3:G20)=1,1,0))/COUNT(IF(G3:G20="null",1,0))</f>
        <v>0.88888888888888884</v>
      </c>
      <c r="H21" s="130" t="s">
        <v>1458</v>
      </c>
      <c r="I21" s="130" t="s">
        <v>1458</v>
      </c>
      <c r="J21" s="130" t="s">
        <v>1458</v>
      </c>
      <c r="K21" s="130" t="s">
        <v>1458</v>
      </c>
      <c r="L21" s="130" t="s">
        <v>1458</v>
      </c>
      <c r="M21" s="130" t="s">
        <v>1458</v>
      </c>
      <c r="N21" s="130" t="s">
        <v>1458</v>
      </c>
      <c r="O21" s="130" t="s">
        <v>1458</v>
      </c>
      <c r="P21" s="130" t="s">
        <v>1458</v>
      </c>
      <c r="Q21" s="130" t="s">
        <v>1458</v>
      </c>
      <c r="R21" s="130" t="s">
        <v>1458</v>
      </c>
      <c r="S21" s="130" t="s">
        <v>1458</v>
      </c>
      <c r="T21" s="130"/>
      <c r="U21" s="130"/>
      <c r="V21" s="130"/>
      <c r="W21" s="130"/>
      <c r="X21" s="130"/>
      <c r="Y21" s="130"/>
      <c r="Z21" s="130"/>
    </row>
    <row r="22" spans="2:26" x14ac:dyDescent="0.35">
      <c r="B22" s="130"/>
      <c r="C22" s="130"/>
      <c r="D22" s="130"/>
      <c r="E22" s="131"/>
      <c r="F22" s="130"/>
      <c r="G22" s="130"/>
      <c r="H22" s="130"/>
      <c r="I22" s="130"/>
      <c r="J22" s="130"/>
      <c r="K22" s="130"/>
      <c r="L22" s="130"/>
      <c r="M22" s="130"/>
      <c r="N22" s="130"/>
      <c r="O22" s="130"/>
      <c r="P22" s="130"/>
      <c r="Q22" s="130"/>
      <c r="R22" s="130"/>
      <c r="S22" s="130"/>
    </row>
    <row r="23" spans="2:26" x14ac:dyDescent="0.35">
      <c r="B23" s="136" t="s">
        <v>1450</v>
      </c>
      <c r="C23" s="137" t="s">
        <v>1451</v>
      </c>
      <c r="D23" s="137" t="s">
        <v>1452</v>
      </c>
      <c r="E23" s="137" t="s">
        <v>1453</v>
      </c>
      <c r="F23" s="137" t="s">
        <v>1454</v>
      </c>
      <c r="G23" s="137" t="s">
        <v>1455</v>
      </c>
      <c r="H23" s="137" t="s">
        <v>1456</v>
      </c>
      <c r="I23" s="137" t="str" cm="1">
        <f t="array" ref="I23:Z23">TRANSPOSE(_xlfn.SORTBY(_xlfn._xlws.FILTER(Table2[NOME FÍSICO CAMPO],Table2[NOME FÍSICO TABELA]="direct_debit"), _xlfn._xlws.FILTER(Table2[ORDEM],Table2[NOME FÍSICO TABELA]= "direct_debit"), 1))</f>
        <v>service_type_code</v>
      </c>
      <c r="J23" s="137" t="str">
        <v>batch_id</v>
      </c>
      <c r="K23" s="137" t="str">
        <v>internal_reference_id</v>
      </c>
      <c r="L23" s="137" t="str">
        <v>authorization_number</v>
      </c>
      <c r="M23" s="137" t="str">
        <v>transfer_direction_code</v>
      </c>
      <c r="N23" s="137" t="str">
        <v>sender_iban</v>
      </c>
      <c r="O23" s="137" t="str">
        <v>sender_swift</v>
      </c>
      <c r="P23" s="137" t="str">
        <v>sender_name</v>
      </c>
      <c r="Q23" s="137" t="str">
        <v>receiver_iban</v>
      </c>
      <c r="R23" s="137" t="str">
        <v>receiver_swift</v>
      </c>
      <c r="S23" s="137" t="str">
        <v>receiver_name</v>
      </c>
      <c r="T23" s="170" t="str">
        <v>currency_code</v>
      </c>
      <c r="U23" s="170" t="str">
        <v>amount</v>
      </c>
      <c r="V23" s="170" t="str">
        <v>transaction_date</v>
      </c>
      <c r="W23" s="170" t="str">
        <v>transaction_execution_date</v>
      </c>
      <c r="X23" s="170" t="str">
        <v>source_code</v>
      </c>
      <c r="Y23" s="170" t="str">
        <v>data_date_part</v>
      </c>
      <c r="Z23" s="174" t="str">
        <v>data_timestamp_part</v>
      </c>
    </row>
    <row r="24" spans="2:26" x14ac:dyDescent="0.35">
      <c r="B24" s="140" t="s">
        <v>1494</v>
      </c>
      <c r="C24" s="141">
        <v>21</v>
      </c>
      <c r="D24" s="142" t="s">
        <v>1495</v>
      </c>
      <c r="E24" s="143" t="s">
        <v>1496</v>
      </c>
      <c r="F24" s="143" t="s">
        <v>721</v>
      </c>
      <c r="G24" s="143" t="s">
        <v>721</v>
      </c>
      <c r="H24" s="143" t="s">
        <v>721</v>
      </c>
      <c r="I24" s="143" t="str" cm="1">
        <f t="array" ref="I24:Z25">TRANSPOSE(_xlfn.SORTBY(_xlfn._xlws.FILTER(IF(Table2[FORMATO]:Table2[COMP_ CAMPO]&lt;&gt;"",Table2[FORMATO]:Table2[COMP_ CAMPO],9999999),Table2[NOME FÍSICO TABELA]="direct_debit"), _xlfn._xlws.FILTER(Table2[ORDEM], Table2[NOME FÍSICO TABELA]="direct_debit"), 1))</f>
        <v>STRING</v>
      </c>
      <c r="J24" s="143" t="str">
        <v>STRING</v>
      </c>
      <c r="K24" s="143" t="str">
        <v>STRING</v>
      </c>
      <c r="L24" s="143" t="str">
        <v>STRING</v>
      </c>
      <c r="M24" s="143" t="str">
        <v>STRING</v>
      </c>
      <c r="N24" s="143" t="str">
        <v>STRING</v>
      </c>
      <c r="O24" s="143" t="str">
        <v>STRING</v>
      </c>
      <c r="P24" s="143" t="str">
        <v>STRING</v>
      </c>
      <c r="Q24" s="143" t="str">
        <v>STRING</v>
      </c>
      <c r="R24" s="143" t="str">
        <v>STRING</v>
      </c>
      <c r="S24" s="143" t="str">
        <v>STRING</v>
      </c>
      <c r="T24" s="173" t="str">
        <v>STRING</v>
      </c>
      <c r="U24" s="145" t="str">
        <v>DECIMAL</v>
      </c>
      <c r="V24" s="145" t="str">
        <v>STRING</v>
      </c>
      <c r="W24" s="145" t="str">
        <v>STRING</v>
      </c>
      <c r="X24" s="145" t="str">
        <v>STRING</v>
      </c>
      <c r="Y24" s="145" t="str">
        <v>STRING</v>
      </c>
      <c r="Z24" s="175" t="str">
        <v>TIMESTAMP</v>
      </c>
    </row>
    <row r="25" spans="2:26" x14ac:dyDescent="0.35">
      <c r="B25" s="140" t="s">
        <v>1497</v>
      </c>
      <c r="C25" s="141">
        <v>7</v>
      </c>
      <c r="D25" s="142" t="s">
        <v>1495</v>
      </c>
      <c r="E25" s="143" t="s">
        <v>1496</v>
      </c>
      <c r="F25" s="145" t="s">
        <v>721</v>
      </c>
      <c r="G25" s="145" t="s">
        <v>721</v>
      </c>
      <c r="H25" s="145" t="s">
        <v>721</v>
      </c>
      <c r="I25" s="146">
        <v>3</v>
      </c>
      <c r="J25" s="146">
        <v>35</v>
      </c>
      <c r="K25" s="146">
        <v>35</v>
      </c>
      <c r="L25" s="146">
        <v>35</v>
      </c>
      <c r="M25" s="146">
        <v>4</v>
      </c>
      <c r="N25" s="146">
        <v>34</v>
      </c>
      <c r="O25" s="146">
        <v>11</v>
      </c>
      <c r="P25" s="146">
        <v>9999999</v>
      </c>
      <c r="Q25" s="146">
        <v>34</v>
      </c>
      <c r="R25" s="146">
        <v>11</v>
      </c>
      <c r="S25" s="146">
        <v>9999999</v>
      </c>
      <c r="T25" s="171">
        <v>4</v>
      </c>
      <c r="U25" s="172">
        <v>23</v>
      </c>
      <c r="V25" s="143">
        <v>10</v>
      </c>
      <c r="W25" s="143">
        <v>10</v>
      </c>
      <c r="X25" s="143">
        <v>10</v>
      </c>
      <c r="Y25" s="143">
        <v>10</v>
      </c>
      <c r="Z25" s="176">
        <v>23</v>
      </c>
    </row>
    <row r="26" spans="2:26" x14ac:dyDescent="0.35">
      <c r="T26" s="144"/>
    </row>
    <row r="27" spans="2:26" x14ac:dyDescent="0.35">
      <c r="B27" s="149" t="s">
        <v>1498</v>
      </c>
      <c r="T27" s="147"/>
      <c r="U27" s="148"/>
    </row>
    <row r="28" spans="2:26" x14ac:dyDescent="0.35">
      <c r="B28" s="150" t="s">
        <v>1499</v>
      </c>
      <c r="C28" s="150" t="s">
        <v>1500</v>
      </c>
      <c r="D28" s="151" t="s">
        <v>1501</v>
      </c>
      <c r="E28" s="150" t="s">
        <v>1502</v>
      </c>
      <c r="F28" s="150" t="s">
        <v>1503</v>
      </c>
    </row>
    <row r="29" spans="2:26" ht="43.5" x14ac:dyDescent="0.35">
      <c r="B29" s="152" t="s">
        <v>1569</v>
      </c>
      <c r="C29" s="153" t="s">
        <v>1570</v>
      </c>
      <c r="D29" s="154" t="s">
        <v>1571</v>
      </c>
      <c r="E29" s="133" t="s">
        <v>1572</v>
      </c>
      <c r="F29" s="155" t="s">
        <v>1573</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00B050"/>
  </sheetPr>
  <dimension ref="B1:Z29"/>
  <sheetViews>
    <sheetView showGridLines="0" topLeftCell="E19" workbookViewId="0">
      <selection activeCell="J50" sqref="J50"/>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25.26953125" bestFit="1" customWidth="1"/>
    <col min="10" max="10" width="25.54296875" customWidth="1"/>
    <col min="11" max="11" width="16.26953125" bestFit="1" customWidth="1"/>
    <col min="12" max="12" width="21.7265625" bestFit="1" customWidth="1"/>
    <col min="13" max="13" width="23.26953125" customWidth="1"/>
    <col min="14" max="14" width="21.81640625" customWidth="1"/>
    <col min="15" max="15" width="38.7265625" bestFit="1" customWidth="1"/>
    <col min="16" max="16" width="30.7265625" bestFit="1" customWidth="1"/>
    <col min="17" max="17" width="38.81640625" bestFit="1" customWidth="1"/>
    <col min="18" max="18" width="19" bestFit="1" customWidth="1"/>
    <col min="19" max="19" width="26.81640625" bestFit="1" customWidth="1"/>
    <col min="20" max="20" width="30.7265625" bestFit="1" customWidth="1"/>
    <col min="21" max="21" width="35.7265625" customWidth="1"/>
    <col min="22" max="22" width="18.7265625" bestFit="1" customWidth="1"/>
    <col min="23" max="23" width="29" bestFit="1" customWidth="1"/>
    <col min="24" max="24" width="26.81640625" bestFit="1" customWidth="1"/>
  </cols>
  <sheetData>
    <row r="1" spans="2:24" ht="27.75" customHeight="1" x14ac:dyDescent="0.35"/>
    <row r="2" spans="2:24" x14ac:dyDescent="0.35">
      <c r="B2" s="63" t="s">
        <v>1450</v>
      </c>
      <c r="C2" s="63" t="s">
        <v>1451</v>
      </c>
      <c r="D2" s="63" t="s">
        <v>1452</v>
      </c>
      <c r="E2" s="63" t="s">
        <v>1453</v>
      </c>
      <c r="F2" s="63" t="s">
        <v>1454</v>
      </c>
      <c r="G2" s="63" t="s">
        <v>1455</v>
      </c>
      <c r="H2" s="63" t="s">
        <v>1456</v>
      </c>
      <c r="I2" s="63" t="s">
        <v>1574</v>
      </c>
      <c r="J2" s="63" t="s">
        <v>828</v>
      </c>
      <c r="K2" s="63" t="s">
        <v>1575</v>
      </c>
      <c r="L2" s="63" t="s">
        <v>1576</v>
      </c>
      <c r="M2" s="63" t="s">
        <v>1577</v>
      </c>
      <c r="N2" s="63" t="s">
        <v>1578</v>
      </c>
      <c r="O2" s="63" t="s">
        <v>1579</v>
      </c>
      <c r="P2" s="63" t="s">
        <v>1580</v>
      </c>
      <c r="Q2" s="63" t="s">
        <v>1581</v>
      </c>
      <c r="R2" s="63" t="s">
        <v>1582</v>
      </c>
      <c r="S2" s="63" t="s">
        <v>1583</v>
      </c>
      <c r="T2" s="63" t="s">
        <v>1584</v>
      </c>
      <c r="U2" s="63" t="s">
        <v>1585</v>
      </c>
      <c r="V2" s="63" t="s">
        <v>1586</v>
      </c>
      <c r="W2" s="63" t="s">
        <v>796</v>
      </c>
      <c r="X2" s="63" t="s">
        <v>814</v>
      </c>
    </row>
    <row r="3" spans="2:24" x14ac:dyDescent="0.35">
      <c r="B3" s="130" t="s">
        <v>1404</v>
      </c>
      <c r="C3" s="130">
        <v>1</v>
      </c>
      <c r="D3" s="130" t="s">
        <v>1587</v>
      </c>
      <c r="E3" s="131">
        <v>45561</v>
      </c>
      <c r="F3" s="130">
        <v>1</v>
      </c>
      <c r="G3" s="132" t="s">
        <v>1588</v>
      </c>
      <c r="H3" s="177" t="s">
        <v>1589</v>
      </c>
      <c r="I3" s="130" t="s">
        <v>1458</v>
      </c>
      <c r="J3" s="130" t="s">
        <v>1458</v>
      </c>
      <c r="K3" s="130" t="s">
        <v>1458</v>
      </c>
      <c r="L3" s="130" t="s">
        <v>1458</v>
      </c>
      <c r="M3" s="130" t="s">
        <v>1458</v>
      </c>
      <c r="N3" s="130" t="s">
        <v>1458</v>
      </c>
      <c r="O3" s="130" t="s">
        <v>1458</v>
      </c>
      <c r="P3" s="130" t="s">
        <v>1458</v>
      </c>
      <c r="Q3" s="130" t="s">
        <v>1458</v>
      </c>
      <c r="R3" s="130" t="s">
        <v>1458</v>
      </c>
      <c r="S3" s="130" t="s">
        <v>1458</v>
      </c>
      <c r="T3" s="130" t="s">
        <v>1458</v>
      </c>
      <c r="U3" s="130" t="s">
        <v>1458</v>
      </c>
      <c r="V3" s="130" t="s">
        <v>1458</v>
      </c>
      <c r="W3" s="130" t="s">
        <v>1458</v>
      </c>
      <c r="X3" s="130" t="s">
        <v>1458</v>
      </c>
    </row>
    <row r="4" spans="2:24" x14ac:dyDescent="0.35">
      <c r="B4" s="130" t="s">
        <v>1406</v>
      </c>
      <c r="C4" s="130">
        <v>2</v>
      </c>
      <c r="D4" s="130" t="s">
        <v>1590</v>
      </c>
      <c r="E4" s="131">
        <v>45561</v>
      </c>
      <c r="F4" s="130">
        <v>1</v>
      </c>
      <c r="G4" s="132" t="s">
        <v>1588</v>
      </c>
      <c r="H4" s="177" t="s">
        <v>1591</v>
      </c>
      <c r="I4" s="130" t="s">
        <v>1458</v>
      </c>
      <c r="J4" s="130" t="s">
        <v>1458</v>
      </c>
      <c r="K4" s="130" t="s">
        <v>1458</v>
      </c>
      <c r="L4" s="130" t="s">
        <v>1458</v>
      </c>
      <c r="M4" s="130" t="s">
        <v>1458</v>
      </c>
      <c r="N4" s="130" t="s">
        <v>1458</v>
      </c>
      <c r="O4" s="130" t="s">
        <v>1458</v>
      </c>
      <c r="P4" s="130" t="s">
        <v>1458</v>
      </c>
      <c r="Q4" s="130" t="s">
        <v>1458</v>
      </c>
      <c r="R4" s="130" t="s">
        <v>1458</v>
      </c>
      <c r="S4" s="130" t="s">
        <v>1458</v>
      </c>
      <c r="T4" s="130" t="s">
        <v>1458</v>
      </c>
      <c r="U4" s="130" t="s">
        <v>1458</v>
      </c>
      <c r="V4" s="130" t="s">
        <v>1458</v>
      </c>
      <c r="W4" s="130" t="s">
        <v>1458</v>
      </c>
      <c r="X4" s="130" t="s">
        <v>1458</v>
      </c>
    </row>
    <row r="5" spans="2:24" x14ac:dyDescent="0.35">
      <c r="B5" s="130" t="s">
        <v>1408</v>
      </c>
      <c r="C5" s="130">
        <v>3</v>
      </c>
      <c r="D5" s="130" t="s">
        <v>1592</v>
      </c>
      <c r="E5" s="131">
        <v>45561</v>
      </c>
      <c r="F5" s="130">
        <v>1</v>
      </c>
      <c r="G5" s="132" t="s">
        <v>1588</v>
      </c>
      <c r="H5" s="130" t="s">
        <v>1591</v>
      </c>
      <c r="I5" s="130">
        <v>0</v>
      </c>
      <c r="J5" s="130" t="s">
        <v>1458</v>
      </c>
      <c r="K5" s="130" t="s">
        <v>1458</v>
      </c>
      <c r="L5" s="130" t="s">
        <v>1458</v>
      </c>
      <c r="M5" s="130" t="s">
        <v>1458</v>
      </c>
      <c r="N5" s="130" t="s">
        <v>1458</v>
      </c>
      <c r="O5" s="130" t="s">
        <v>1458</v>
      </c>
      <c r="P5" s="130" t="s">
        <v>1458</v>
      </c>
      <c r="Q5" s="130" t="s">
        <v>1458</v>
      </c>
      <c r="R5" s="130" t="s">
        <v>1458</v>
      </c>
      <c r="S5" s="130" t="s">
        <v>1458</v>
      </c>
      <c r="T5" s="130" t="s">
        <v>1458</v>
      </c>
      <c r="U5" s="130" t="s">
        <v>1458</v>
      </c>
      <c r="V5" s="130" t="s">
        <v>1458</v>
      </c>
      <c r="W5" s="130">
        <v>0</v>
      </c>
      <c r="X5" s="130" t="s">
        <v>1458</v>
      </c>
    </row>
    <row r="6" spans="2:24" x14ac:dyDescent="0.35">
      <c r="B6" s="133" t="s">
        <v>1410</v>
      </c>
      <c r="C6" s="130">
        <v>4</v>
      </c>
      <c r="D6" s="130" t="s">
        <v>1461</v>
      </c>
      <c r="E6" s="131" t="s">
        <v>1458</v>
      </c>
      <c r="F6" s="130">
        <v>1</v>
      </c>
      <c r="G6" s="132" t="s">
        <v>1458</v>
      </c>
      <c r="H6" s="130" t="s">
        <v>1458</v>
      </c>
      <c r="I6" s="130" t="s">
        <v>1458</v>
      </c>
      <c r="J6" s="130" t="s">
        <v>1458</v>
      </c>
      <c r="K6" s="130" t="s">
        <v>1458</v>
      </c>
      <c r="L6" s="130" t="s">
        <v>1458</v>
      </c>
      <c r="M6" s="130" t="s">
        <v>1458</v>
      </c>
      <c r="N6" s="130" t="s">
        <v>1458</v>
      </c>
      <c r="O6" s="130" t="s">
        <v>1458</v>
      </c>
      <c r="P6" s="130" t="s">
        <v>1458</v>
      </c>
      <c r="Q6" s="130" t="s">
        <v>1458</v>
      </c>
      <c r="R6" s="130" t="s">
        <v>1458</v>
      </c>
      <c r="S6" s="130" t="s">
        <v>1458</v>
      </c>
      <c r="T6" s="130" t="s">
        <v>1458</v>
      </c>
      <c r="U6" s="130" t="s">
        <v>1458</v>
      </c>
      <c r="V6" s="130" t="s">
        <v>1458</v>
      </c>
      <c r="W6" s="130" t="s">
        <v>1458</v>
      </c>
      <c r="X6" s="130" t="s">
        <v>1458</v>
      </c>
    </row>
    <row r="7" spans="2:24" x14ac:dyDescent="0.35">
      <c r="B7" s="130" t="s">
        <v>1412</v>
      </c>
      <c r="C7" s="130">
        <v>5</v>
      </c>
      <c r="D7" s="130" t="s">
        <v>1461</v>
      </c>
      <c r="E7" s="131" t="s">
        <v>1458</v>
      </c>
      <c r="F7" s="130">
        <v>1</v>
      </c>
      <c r="G7" s="132" t="s">
        <v>1458</v>
      </c>
      <c r="H7" s="130" t="s">
        <v>1458</v>
      </c>
      <c r="I7" s="130" t="s">
        <v>1458</v>
      </c>
      <c r="J7" s="130" t="s">
        <v>1458</v>
      </c>
      <c r="K7" s="130" t="s">
        <v>1458</v>
      </c>
      <c r="L7" s="130" t="s">
        <v>1458</v>
      </c>
      <c r="M7" s="130" t="s">
        <v>1458</v>
      </c>
      <c r="N7" s="130" t="s">
        <v>1458</v>
      </c>
      <c r="O7" s="130" t="s">
        <v>1458</v>
      </c>
      <c r="P7" s="130" t="s">
        <v>1458</v>
      </c>
      <c r="Q7" s="130" t="s">
        <v>1458</v>
      </c>
      <c r="R7" s="130" t="s">
        <v>1458</v>
      </c>
      <c r="S7" s="130" t="s">
        <v>1458</v>
      </c>
      <c r="T7" s="130" t="s">
        <v>1458</v>
      </c>
      <c r="U7" s="130" t="s">
        <v>1458</v>
      </c>
      <c r="V7" s="130" t="s">
        <v>1458</v>
      </c>
      <c r="W7" s="130" t="s">
        <v>1458</v>
      </c>
      <c r="X7" s="130" t="s">
        <v>1458</v>
      </c>
    </row>
    <row r="8" spans="2:24" x14ac:dyDescent="0.35">
      <c r="B8" s="130" t="s">
        <v>1413</v>
      </c>
      <c r="C8" s="130">
        <v>6</v>
      </c>
      <c r="D8" s="130" t="s">
        <v>1593</v>
      </c>
      <c r="E8" s="131">
        <v>45561</v>
      </c>
      <c r="F8" s="130">
        <v>1</v>
      </c>
      <c r="G8" s="132" t="s">
        <v>1458</v>
      </c>
      <c r="H8" s="130" t="s">
        <v>1591</v>
      </c>
      <c r="I8" s="130">
        <v>16</v>
      </c>
      <c r="J8" s="130">
        <v>503</v>
      </c>
      <c r="K8" s="130">
        <v>10</v>
      </c>
      <c r="L8" s="130">
        <v>9</v>
      </c>
      <c r="M8" s="130">
        <v>9</v>
      </c>
      <c r="N8" s="130">
        <v>6</v>
      </c>
      <c r="O8" s="130">
        <v>8</v>
      </c>
      <c r="P8" s="130">
        <v>8</v>
      </c>
      <c r="Q8" s="130">
        <v>36</v>
      </c>
      <c r="R8" s="130">
        <v>8</v>
      </c>
      <c r="S8" s="130">
        <v>8</v>
      </c>
      <c r="T8" s="130">
        <v>5</v>
      </c>
      <c r="U8" s="130">
        <v>2</v>
      </c>
      <c r="V8" s="130">
        <v>5</v>
      </c>
      <c r="W8" s="130">
        <v>10</v>
      </c>
      <c r="X8" s="130">
        <v>23</v>
      </c>
    </row>
    <row r="9" spans="2:24" x14ac:dyDescent="0.35">
      <c r="B9" s="130" t="s">
        <v>1416</v>
      </c>
      <c r="C9" s="130">
        <v>7</v>
      </c>
      <c r="D9" s="130" t="s">
        <v>1594</v>
      </c>
      <c r="E9" s="131">
        <v>45561</v>
      </c>
      <c r="F9" s="130">
        <v>1</v>
      </c>
      <c r="G9" s="132" t="s">
        <v>1458</v>
      </c>
      <c r="H9" s="130" t="s">
        <v>1591</v>
      </c>
      <c r="I9" s="130">
        <v>21</v>
      </c>
      <c r="J9" s="130">
        <v>2231</v>
      </c>
      <c r="K9" s="130">
        <v>10</v>
      </c>
      <c r="L9" s="130">
        <v>16</v>
      </c>
      <c r="M9" s="130">
        <v>16</v>
      </c>
      <c r="N9" s="130">
        <v>16</v>
      </c>
      <c r="O9" s="130">
        <v>8</v>
      </c>
      <c r="P9" s="130">
        <v>11</v>
      </c>
      <c r="Q9" s="130">
        <v>36</v>
      </c>
      <c r="R9" s="130">
        <v>11</v>
      </c>
      <c r="S9" s="130">
        <v>11</v>
      </c>
      <c r="T9" s="130">
        <v>8</v>
      </c>
      <c r="U9" s="130">
        <v>3</v>
      </c>
      <c r="V9" s="130">
        <v>8</v>
      </c>
      <c r="W9" s="130">
        <v>10</v>
      </c>
      <c r="X9" s="130">
        <v>23</v>
      </c>
    </row>
    <row r="10" spans="2:24" x14ac:dyDescent="0.35">
      <c r="B10" s="133" t="s">
        <v>1419</v>
      </c>
      <c r="C10" s="130">
        <v>8</v>
      </c>
      <c r="D10" s="130" t="s">
        <v>1595</v>
      </c>
      <c r="E10" s="131">
        <v>45561</v>
      </c>
      <c r="F10" s="130">
        <v>1</v>
      </c>
      <c r="G10" s="132" t="s">
        <v>1458</v>
      </c>
      <c r="H10" s="130" t="s">
        <v>1591</v>
      </c>
      <c r="I10" s="130" t="s">
        <v>1596</v>
      </c>
      <c r="J10" s="131" t="s">
        <v>1597</v>
      </c>
      <c r="K10" s="169" t="s">
        <v>1598</v>
      </c>
      <c r="L10" s="130" t="s">
        <v>1599</v>
      </c>
      <c r="M10" s="130" t="s">
        <v>1599</v>
      </c>
      <c r="N10" s="130" t="s">
        <v>1600</v>
      </c>
      <c r="O10" s="131" t="s">
        <v>1601</v>
      </c>
      <c r="P10" s="131" t="s">
        <v>1602</v>
      </c>
      <c r="Q10" s="134" t="s">
        <v>1603</v>
      </c>
      <c r="R10" s="131" t="s">
        <v>1470</v>
      </c>
      <c r="S10" s="131" t="s">
        <v>1470</v>
      </c>
      <c r="T10" s="130" t="s">
        <v>1604</v>
      </c>
      <c r="U10" s="130" t="s">
        <v>1605</v>
      </c>
      <c r="V10" s="131" t="s">
        <v>1606</v>
      </c>
      <c r="W10" s="131">
        <v>45561</v>
      </c>
      <c r="X10" s="130" t="s">
        <v>1607</v>
      </c>
    </row>
    <row r="11" spans="2:24" x14ac:dyDescent="0.35">
      <c r="B11" s="130" t="s">
        <v>1421</v>
      </c>
      <c r="C11" s="130">
        <v>9</v>
      </c>
      <c r="D11" s="130" t="s">
        <v>1608</v>
      </c>
      <c r="E11" s="131">
        <v>45561</v>
      </c>
      <c r="F11" s="130">
        <v>1</v>
      </c>
      <c r="G11" s="132" t="s">
        <v>1458</v>
      </c>
      <c r="H11" s="130" t="s">
        <v>1591</v>
      </c>
      <c r="I11" s="130" t="s">
        <v>1596</v>
      </c>
      <c r="J11" s="131" t="s">
        <v>1597</v>
      </c>
      <c r="K11" s="169" t="s">
        <v>1598</v>
      </c>
      <c r="L11" s="130" t="s">
        <v>1599</v>
      </c>
      <c r="M11" s="130" t="s">
        <v>1609</v>
      </c>
      <c r="N11" s="130" t="s">
        <v>1610</v>
      </c>
      <c r="O11" s="131" t="s">
        <v>1611</v>
      </c>
      <c r="P11" s="131" t="s">
        <v>1612</v>
      </c>
      <c r="Q11" s="130" t="s">
        <v>1603</v>
      </c>
      <c r="R11" s="131" t="s">
        <v>1470</v>
      </c>
      <c r="S11" s="131" t="s">
        <v>1470</v>
      </c>
      <c r="T11" s="130" t="s">
        <v>1604</v>
      </c>
      <c r="U11" s="130" t="s">
        <v>1605</v>
      </c>
      <c r="V11" s="131" t="s">
        <v>1606</v>
      </c>
      <c r="W11" s="131">
        <v>45561</v>
      </c>
      <c r="X11" s="130" t="s">
        <v>1613</v>
      </c>
    </row>
    <row r="12" spans="2:24" x14ac:dyDescent="0.35">
      <c r="B12" s="130" t="s">
        <v>1423</v>
      </c>
      <c r="C12" s="130">
        <v>10</v>
      </c>
      <c r="D12" s="130" t="s">
        <v>1614</v>
      </c>
      <c r="E12" s="131">
        <v>45561</v>
      </c>
      <c r="F12" s="130">
        <v>1</v>
      </c>
      <c r="G12" s="132" t="s">
        <v>1458</v>
      </c>
      <c r="H12" s="130" t="s">
        <v>1591</v>
      </c>
      <c r="I12" s="130" t="s">
        <v>1615</v>
      </c>
      <c r="J12" s="131" t="s">
        <v>1616</v>
      </c>
      <c r="K12" s="131">
        <v>45561</v>
      </c>
      <c r="L12" s="130" t="s">
        <v>1617</v>
      </c>
      <c r="M12" s="130" t="s">
        <v>1618</v>
      </c>
      <c r="N12" s="134" t="s">
        <v>1619</v>
      </c>
      <c r="O12" s="135" t="s">
        <v>1620</v>
      </c>
      <c r="P12" s="131" t="s">
        <v>1621</v>
      </c>
      <c r="Q12" s="131" t="s">
        <v>1622</v>
      </c>
      <c r="R12" s="131" t="s">
        <v>1480</v>
      </c>
      <c r="S12" s="131" t="s">
        <v>1623</v>
      </c>
      <c r="T12" s="130" t="s">
        <v>1624</v>
      </c>
      <c r="U12" s="134" t="s">
        <v>1625</v>
      </c>
      <c r="V12" s="131" t="s">
        <v>1626</v>
      </c>
      <c r="W12" s="131">
        <v>45561</v>
      </c>
      <c r="X12" s="130" t="s">
        <v>1607</v>
      </c>
    </row>
    <row r="13" spans="2:24" x14ac:dyDescent="0.35">
      <c r="B13" s="130" t="s">
        <v>1425</v>
      </c>
      <c r="C13" s="130">
        <v>11</v>
      </c>
      <c r="D13" s="130" t="s">
        <v>1627</v>
      </c>
      <c r="E13" s="131">
        <v>45561</v>
      </c>
      <c r="F13" s="130">
        <v>1</v>
      </c>
      <c r="G13" s="132" t="s">
        <v>1458</v>
      </c>
      <c r="H13" s="130" t="s">
        <v>1591</v>
      </c>
      <c r="I13" s="130" t="s">
        <v>1615</v>
      </c>
      <c r="J13" s="131" t="s">
        <v>1616</v>
      </c>
      <c r="K13" s="131">
        <v>45561</v>
      </c>
      <c r="L13" s="130" t="s">
        <v>1617</v>
      </c>
      <c r="M13" s="130" t="s">
        <v>1628</v>
      </c>
      <c r="N13" s="134" t="s">
        <v>1629</v>
      </c>
      <c r="O13" s="135" t="s">
        <v>1630</v>
      </c>
      <c r="P13" s="131" t="s">
        <v>1631</v>
      </c>
      <c r="Q13" s="131" t="s">
        <v>1622</v>
      </c>
      <c r="R13" s="131" t="s">
        <v>1480</v>
      </c>
      <c r="S13" s="131" t="s">
        <v>1623</v>
      </c>
      <c r="T13" s="130" t="s">
        <v>1624</v>
      </c>
      <c r="U13" s="134" t="s">
        <v>1625</v>
      </c>
      <c r="V13" s="131" t="s">
        <v>1626</v>
      </c>
      <c r="W13" s="131">
        <v>45561</v>
      </c>
      <c r="X13" s="130" t="s">
        <v>1632</v>
      </c>
    </row>
    <row r="14" spans="2:24" x14ac:dyDescent="0.35">
      <c r="B14" s="130" t="s">
        <v>1427</v>
      </c>
      <c r="C14" s="130">
        <v>12</v>
      </c>
      <c r="D14" s="130" t="s">
        <v>1633</v>
      </c>
      <c r="E14" s="131">
        <v>45561</v>
      </c>
      <c r="F14" s="130">
        <v>1</v>
      </c>
      <c r="G14" s="132" t="s">
        <v>1634</v>
      </c>
      <c r="H14" s="130" t="s">
        <v>1591</v>
      </c>
      <c r="I14" s="130">
        <v>0</v>
      </c>
      <c r="J14" s="130">
        <v>1224</v>
      </c>
      <c r="K14" s="130">
        <v>0</v>
      </c>
      <c r="L14" s="130">
        <v>0</v>
      </c>
      <c r="M14" s="130">
        <v>1224</v>
      </c>
      <c r="N14" s="130">
        <v>1453</v>
      </c>
      <c r="O14" s="130">
        <v>1505</v>
      </c>
      <c r="P14" s="130">
        <v>1440</v>
      </c>
      <c r="Q14" s="130">
        <v>8</v>
      </c>
      <c r="R14" s="130">
        <v>0</v>
      </c>
      <c r="S14" s="130">
        <v>0</v>
      </c>
      <c r="T14" s="130">
        <v>0</v>
      </c>
      <c r="U14" s="130">
        <v>0</v>
      </c>
      <c r="V14" s="130">
        <v>0</v>
      </c>
      <c r="W14" s="130">
        <v>0</v>
      </c>
      <c r="X14" s="130">
        <v>0</v>
      </c>
    </row>
    <row r="15" spans="2:24" x14ac:dyDescent="0.35">
      <c r="B15" s="130" t="s">
        <v>1429</v>
      </c>
      <c r="C15" s="130">
        <v>13</v>
      </c>
      <c r="D15" s="130" t="s">
        <v>1635</v>
      </c>
      <c r="E15" s="131">
        <v>45561</v>
      </c>
      <c r="F15" s="130">
        <v>1</v>
      </c>
      <c r="G15" s="132" t="s">
        <v>1588</v>
      </c>
      <c r="H15" s="130" t="s">
        <v>1591</v>
      </c>
      <c r="I15" s="130" t="s">
        <v>1458</v>
      </c>
      <c r="J15" s="130" t="s">
        <v>1458</v>
      </c>
      <c r="K15" s="130">
        <v>0</v>
      </c>
      <c r="L15" s="130" t="s">
        <v>1458</v>
      </c>
      <c r="M15" s="130" t="s">
        <v>1458</v>
      </c>
      <c r="N15" s="130" t="s">
        <v>1458</v>
      </c>
      <c r="O15" s="133" t="s">
        <v>1458</v>
      </c>
      <c r="P15" s="133" t="s">
        <v>1458</v>
      </c>
      <c r="Q15" s="133" t="s">
        <v>1458</v>
      </c>
      <c r="R15" s="130" t="s">
        <v>1458</v>
      </c>
      <c r="S15" s="130" t="s">
        <v>1458</v>
      </c>
      <c r="T15" s="130" t="s">
        <v>1458</v>
      </c>
      <c r="U15" s="130" t="s">
        <v>1458</v>
      </c>
      <c r="V15" s="130" t="s">
        <v>1458</v>
      </c>
      <c r="W15" s="130" t="s">
        <v>1458</v>
      </c>
      <c r="X15" s="130" t="s">
        <v>1458</v>
      </c>
    </row>
    <row r="16" spans="2:24" x14ac:dyDescent="0.35">
      <c r="B16" s="130" t="s">
        <v>1431</v>
      </c>
      <c r="C16" s="130">
        <v>14</v>
      </c>
      <c r="D16" s="130" t="s">
        <v>1636</v>
      </c>
      <c r="E16" s="131">
        <v>45561</v>
      </c>
      <c r="F16" s="130">
        <v>1</v>
      </c>
      <c r="G16" s="132" t="s">
        <v>1588</v>
      </c>
      <c r="H16" s="130" t="s">
        <v>1591</v>
      </c>
      <c r="I16" s="130">
        <v>0</v>
      </c>
      <c r="J16" s="130" t="s">
        <v>1458</v>
      </c>
      <c r="K16" s="130" t="s">
        <v>1458</v>
      </c>
      <c r="L16" s="130" t="s">
        <v>1458</v>
      </c>
      <c r="M16" s="130" t="s">
        <v>1458</v>
      </c>
      <c r="N16" s="130" t="s">
        <v>1458</v>
      </c>
      <c r="O16" s="130" t="s">
        <v>1458</v>
      </c>
      <c r="P16" s="130" t="s">
        <v>1458</v>
      </c>
      <c r="Q16" s="130" t="s">
        <v>1458</v>
      </c>
      <c r="R16" s="130" t="s">
        <v>1458</v>
      </c>
      <c r="S16" s="133" t="s">
        <v>1458</v>
      </c>
      <c r="T16" s="130" t="s">
        <v>1458</v>
      </c>
      <c r="U16" s="130" t="s">
        <v>1458</v>
      </c>
      <c r="V16" s="130" t="s">
        <v>1458</v>
      </c>
      <c r="W16" s="130" t="s">
        <v>1458</v>
      </c>
      <c r="X16" s="130" t="s">
        <v>1458</v>
      </c>
    </row>
    <row r="17" spans="2:26" x14ac:dyDescent="0.35">
      <c r="B17" s="130" t="s">
        <v>1433</v>
      </c>
      <c r="C17" s="130">
        <v>15</v>
      </c>
      <c r="D17" s="130" t="s">
        <v>1637</v>
      </c>
      <c r="E17" s="131">
        <v>45561</v>
      </c>
      <c r="F17" s="130">
        <v>1</v>
      </c>
      <c r="G17" s="132" t="s">
        <v>1588</v>
      </c>
      <c r="H17" s="130" t="s">
        <v>1591</v>
      </c>
      <c r="I17" s="130" t="s">
        <v>1458</v>
      </c>
      <c r="J17" s="130" t="s">
        <v>1458</v>
      </c>
      <c r="K17" s="130" t="s">
        <v>1458</v>
      </c>
      <c r="L17" s="130" t="s">
        <v>1458</v>
      </c>
      <c r="M17" s="130" t="s">
        <v>1458</v>
      </c>
      <c r="N17" s="130" t="s">
        <v>1458</v>
      </c>
      <c r="O17" s="130" t="s">
        <v>1458</v>
      </c>
      <c r="P17" s="130" t="s">
        <v>1458</v>
      </c>
      <c r="Q17" s="130" t="s">
        <v>1458</v>
      </c>
      <c r="R17" s="130" t="s">
        <v>1458</v>
      </c>
      <c r="S17" s="133" t="s">
        <v>1458</v>
      </c>
      <c r="T17" s="130" t="s">
        <v>1458</v>
      </c>
      <c r="U17" s="130" t="s">
        <v>1458</v>
      </c>
      <c r="V17" s="130" t="s">
        <v>1458</v>
      </c>
      <c r="W17" s="130" t="s">
        <v>1458</v>
      </c>
      <c r="X17" s="130" t="s">
        <v>1458</v>
      </c>
    </row>
    <row r="18" spans="2:26" x14ac:dyDescent="0.35">
      <c r="B18" s="130" t="s">
        <v>1435</v>
      </c>
      <c r="C18" s="130">
        <v>16</v>
      </c>
      <c r="D18" s="130" t="s">
        <v>1637</v>
      </c>
      <c r="E18" s="131">
        <v>45561</v>
      </c>
      <c r="F18" s="130">
        <v>1</v>
      </c>
      <c r="G18" s="132" t="s">
        <v>1588</v>
      </c>
      <c r="H18" s="130" t="s">
        <v>1591</v>
      </c>
      <c r="I18" s="130" t="s">
        <v>1458</v>
      </c>
      <c r="J18" s="130" t="s">
        <v>1458</v>
      </c>
      <c r="K18" s="130" t="s">
        <v>1458</v>
      </c>
      <c r="L18" s="130" t="s">
        <v>1458</v>
      </c>
      <c r="M18" s="130" t="s">
        <v>1458</v>
      </c>
      <c r="N18" s="130" t="s">
        <v>1458</v>
      </c>
      <c r="O18" s="130" t="s">
        <v>1458</v>
      </c>
      <c r="P18" s="130" t="s">
        <v>1458</v>
      </c>
      <c r="Q18" s="130" t="s">
        <v>1458</v>
      </c>
      <c r="R18" s="130" t="s">
        <v>1458</v>
      </c>
      <c r="S18" s="130" t="s">
        <v>1458</v>
      </c>
      <c r="T18" s="130" t="s">
        <v>1458</v>
      </c>
      <c r="U18" s="130" t="s">
        <v>1458</v>
      </c>
      <c r="V18" s="130" t="s">
        <v>1458</v>
      </c>
      <c r="W18" s="130" t="s">
        <v>1458</v>
      </c>
      <c r="X18" s="130" t="s">
        <v>1458</v>
      </c>
    </row>
    <row r="19" spans="2:26" x14ac:dyDescent="0.35">
      <c r="B19" s="130" t="s">
        <v>1441</v>
      </c>
      <c r="C19" s="130">
        <v>19</v>
      </c>
      <c r="D19" s="130" t="s">
        <v>1638</v>
      </c>
      <c r="E19" s="131">
        <v>45561</v>
      </c>
      <c r="F19" s="130">
        <v>1</v>
      </c>
      <c r="G19" s="132" t="s">
        <v>1591</v>
      </c>
      <c r="H19" s="130" t="s">
        <v>1591</v>
      </c>
      <c r="I19" s="130" t="s">
        <v>1491</v>
      </c>
      <c r="J19" s="130" t="s">
        <v>1491</v>
      </c>
      <c r="K19" s="130" t="s">
        <v>1491</v>
      </c>
      <c r="L19" s="130" t="s">
        <v>1491</v>
      </c>
      <c r="M19" s="130" t="s">
        <v>1491</v>
      </c>
      <c r="N19" s="130" t="s">
        <v>1491</v>
      </c>
      <c r="O19" s="130" t="s">
        <v>1491</v>
      </c>
      <c r="P19" s="130" t="s">
        <v>1491</v>
      </c>
      <c r="Q19" s="130" t="s">
        <v>1491</v>
      </c>
      <c r="R19" s="130" t="s">
        <v>1491</v>
      </c>
      <c r="S19" s="130" t="s">
        <v>1491</v>
      </c>
      <c r="T19" s="130" t="s">
        <v>1491</v>
      </c>
      <c r="U19" s="130" t="s">
        <v>1491</v>
      </c>
      <c r="V19" s="130" t="s">
        <v>1491</v>
      </c>
      <c r="W19" s="130" t="s">
        <v>1491</v>
      </c>
      <c r="X19" s="130" t="s">
        <v>1493</v>
      </c>
    </row>
    <row r="20" spans="2:26" x14ac:dyDescent="0.35">
      <c r="B20" s="133" t="s">
        <v>1444</v>
      </c>
      <c r="C20" s="130">
        <v>20</v>
      </c>
      <c r="D20" s="130" t="s">
        <v>1568</v>
      </c>
      <c r="E20" s="131">
        <v>45561</v>
      </c>
      <c r="F20" s="130">
        <v>1</v>
      </c>
      <c r="G20" s="132" cm="1">
        <f t="array" ref="G20">SUM(IF(I2:X2 = I23:X23, 1, 0))/ COUNTA(I2:X2)</f>
        <v>0</v>
      </c>
      <c r="H20" s="130" t="s">
        <v>1458</v>
      </c>
      <c r="I20" s="130" t="s">
        <v>1458</v>
      </c>
      <c r="J20" s="130" t="s">
        <v>1458</v>
      </c>
      <c r="K20" s="130" t="s">
        <v>1458</v>
      </c>
      <c r="L20" s="130" t="s">
        <v>1458</v>
      </c>
      <c r="M20" s="130" t="s">
        <v>1458</v>
      </c>
      <c r="N20" s="130" t="s">
        <v>1458</v>
      </c>
      <c r="O20" s="130" t="s">
        <v>1458</v>
      </c>
      <c r="P20" s="130" t="s">
        <v>1458</v>
      </c>
      <c r="Q20" s="130" t="s">
        <v>1458</v>
      </c>
      <c r="R20" s="130" t="s">
        <v>1458</v>
      </c>
      <c r="S20" s="130" t="s">
        <v>1458</v>
      </c>
      <c r="T20" s="130"/>
      <c r="U20" s="130"/>
      <c r="V20" s="130"/>
      <c r="W20" s="130"/>
      <c r="X20" s="130"/>
    </row>
    <row r="21" spans="2:26" x14ac:dyDescent="0.35">
      <c r="B21" s="130" t="s">
        <v>1447</v>
      </c>
      <c r="C21" s="130">
        <v>21</v>
      </c>
      <c r="D21" s="130" t="s">
        <v>1568</v>
      </c>
      <c r="E21" s="131">
        <v>45561</v>
      </c>
      <c r="F21" s="130">
        <v>1</v>
      </c>
      <c r="G21" s="132" cm="1">
        <f t="array" ref="G21">SUM(IF(IF(G3:G20="null",1,G3:G20)=1,1,0))/COUNT(IF(G3:G20="null",1,0))</f>
        <v>0.44444444444444442</v>
      </c>
      <c r="H21" s="130" t="s">
        <v>1458</v>
      </c>
      <c r="I21" s="130" t="s">
        <v>1458</v>
      </c>
      <c r="J21" s="130" t="s">
        <v>1458</v>
      </c>
      <c r="K21" s="130" t="s">
        <v>1458</v>
      </c>
      <c r="L21" s="130" t="s">
        <v>1458</v>
      </c>
      <c r="M21" s="130" t="s">
        <v>1458</v>
      </c>
      <c r="N21" s="130" t="s">
        <v>1458</v>
      </c>
      <c r="O21" s="130" t="s">
        <v>1458</v>
      </c>
      <c r="P21" s="130" t="s">
        <v>1458</v>
      </c>
      <c r="Q21" s="130" t="s">
        <v>1458</v>
      </c>
      <c r="R21" s="130" t="s">
        <v>1458</v>
      </c>
      <c r="S21" s="130" t="s">
        <v>1458</v>
      </c>
      <c r="T21" s="130"/>
      <c r="U21" s="130"/>
      <c r="V21" s="130"/>
      <c r="W21" s="130"/>
      <c r="X21" s="130"/>
    </row>
    <row r="22" spans="2:26" x14ac:dyDescent="0.35">
      <c r="B22" s="130"/>
      <c r="C22" s="130"/>
      <c r="D22" s="130"/>
      <c r="E22" s="131"/>
      <c r="F22" s="130"/>
      <c r="G22" s="130"/>
      <c r="H22" s="130"/>
      <c r="I22" s="130"/>
      <c r="J22" s="130"/>
      <c r="K22" s="130"/>
      <c r="L22" s="130"/>
      <c r="M22" s="130"/>
      <c r="N22" s="130"/>
      <c r="O22" s="130"/>
      <c r="P22" s="130"/>
      <c r="Q22" s="130"/>
      <c r="R22" s="130"/>
      <c r="S22" s="130"/>
    </row>
    <row r="23" spans="2:26" x14ac:dyDescent="0.35">
      <c r="B23" s="136" t="s">
        <v>1450</v>
      </c>
      <c r="C23" s="137" t="s">
        <v>1451</v>
      </c>
      <c r="D23" s="137" t="s">
        <v>1452</v>
      </c>
      <c r="E23" s="137" t="s">
        <v>1453</v>
      </c>
      <c r="F23" s="137" t="s">
        <v>1454</v>
      </c>
      <c r="G23" s="137" t="s">
        <v>1455</v>
      </c>
      <c r="H23" s="137" t="s">
        <v>1456</v>
      </c>
      <c r="I23" s="137" t="str" cm="1">
        <f t="array" ref="I23:Z23">TRANSPOSE(_xlfn.SORTBY(_xlfn._xlws.FILTER(Table2[NOME FÍSICO CAMPO],Table2[NOME FÍSICO TABELA]="direct_debit"), _xlfn._xlws.FILTER(Table2[ORDEM],Table2[NOME FÍSICO TABELA]= "direct_debit"), 1))</f>
        <v>service_type_code</v>
      </c>
      <c r="J23" s="137" t="str">
        <v>batch_id</v>
      </c>
      <c r="K23" s="137" t="str">
        <v>internal_reference_id</v>
      </c>
      <c r="L23" s="137" t="str">
        <v>authorization_number</v>
      </c>
      <c r="M23" s="137" t="str">
        <v>transfer_direction_code</v>
      </c>
      <c r="N23" s="137" t="str">
        <v>sender_iban</v>
      </c>
      <c r="O23" s="137" t="str">
        <v>sender_swift</v>
      </c>
      <c r="P23" s="137" t="str">
        <v>sender_name</v>
      </c>
      <c r="Q23" s="137" t="str">
        <v>receiver_iban</v>
      </c>
      <c r="R23" s="137" t="str">
        <v>receiver_swift</v>
      </c>
      <c r="S23" s="137" t="str">
        <v>receiver_name</v>
      </c>
      <c r="T23" s="170" t="str">
        <v>currency_code</v>
      </c>
      <c r="U23" s="170" t="str">
        <v>amount</v>
      </c>
      <c r="V23" s="170" t="str">
        <v>transaction_date</v>
      </c>
      <c r="W23" s="170" t="str">
        <v>transaction_execution_date</v>
      </c>
      <c r="X23" s="170" t="str">
        <v>source_code</v>
      </c>
      <c r="Y23" t="str">
        <v>data_date_part</v>
      </c>
      <c r="Z23" t="str">
        <v>data_timestamp_part</v>
      </c>
    </row>
    <row r="24" spans="2:26" x14ac:dyDescent="0.35">
      <c r="B24" s="140" t="s">
        <v>1494</v>
      </c>
      <c r="C24" s="141">
        <v>21</v>
      </c>
      <c r="D24" s="142" t="s">
        <v>1495</v>
      </c>
      <c r="E24" s="143" t="s">
        <v>1496</v>
      </c>
      <c r="F24" s="143" t="s">
        <v>721</v>
      </c>
      <c r="G24" s="143" t="s">
        <v>721</v>
      </c>
      <c r="H24" s="143" t="s">
        <v>721</v>
      </c>
      <c r="I24" s="143" t="str" cm="1">
        <f t="array" ref="I24:Z25">TRANSPOSE(_xlfn.SORTBY(_xlfn._xlws.FILTER(IF(Table2[FORMATO]:Table2[COMP_ CAMPO]&lt;&gt;"",Table2[FORMATO]:Table2[COMP_ CAMPO],9999999),Table2[NOME FÍSICO TABELA]="direct_debit"), _xlfn._xlws.FILTER(Table2[ORDEM], Table2[NOME FÍSICO TABELA]="direct_debit"), 1))</f>
        <v>STRING</v>
      </c>
      <c r="J24" s="143" t="str">
        <v>STRING</v>
      </c>
      <c r="K24" s="143" t="str">
        <v>STRING</v>
      </c>
      <c r="L24" s="143" t="str">
        <v>STRING</v>
      </c>
      <c r="M24" s="143" t="str">
        <v>STRING</v>
      </c>
      <c r="N24" s="143" t="str">
        <v>STRING</v>
      </c>
      <c r="O24" s="143" t="str">
        <v>STRING</v>
      </c>
      <c r="P24" s="143" t="str">
        <v>STRING</v>
      </c>
      <c r="Q24" s="143" t="str">
        <v>STRING</v>
      </c>
      <c r="R24" s="143" t="str">
        <v>STRING</v>
      </c>
      <c r="S24" s="143" t="str">
        <v>STRING</v>
      </c>
      <c r="T24" s="173" t="str">
        <v>STRING</v>
      </c>
      <c r="U24" s="145" t="str">
        <v>DECIMAL</v>
      </c>
      <c r="V24" s="145" t="str">
        <v>STRING</v>
      </c>
      <c r="W24" s="145" t="str">
        <v>STRING</v>
      </c>
      <c r="X24" s="145" t="str">
        <v>STRING</v>
      </c>
      <c r="Y24" t="str">
        <v>STRING</v>
      </c>
      <c r="Z24" t="str">
        <v>TIMESTAMP</v>
      </c>
    </row>
    <row r="25" spans="2:26" x14ac:dyDescent="0.35">
      <c r="B25" s="140" t="s">
        <v>1497</v>
      </c>
      <c r="C25" s="141">
        <v>7</v>
      </c>
      <c r="D25" s="142" t="s">
        <v>1495</v>
      </c>
      <c r="E25" s="143" t="s">
        <v>1496</v>
      </c>
      <c r="F25" s="145" t="s">
        <v>721</v>
      </c>
      <c r="G25" s="145" t="s">
        <v>721</v>
      </c>
      <c r="H25" s="145" t="s">
        <v>721</v>
      </c>
      <c r="I25" s="146">
        <v>3</v>
      </c>
      <c r="J25" s="146">
        <v>35</v>
      </c>
      <c r="K25" s="146">
        <v>35</v>
      </c>
      <c r="L25" s="146">
        <v>35</v>
      </c>
      <c r="M25" s="146">
        <v>4</v>
      </c>
      <c r="N25" s="146">
        <v>34</v>
      </c>
      <c r="O25" s="146">
        <v>11</v>
      </c>
      <c r="P25" s="146">
        <v>9999999</v>
      </c>
      <c r="Q25" s="146">
        <v>34</v>
      </c>
      <c r="R25" s="146">
        <v>11</v>
      </c>
      <c r="S25" s="146">
        <v>9999999</v>
      </c>
      <c r="T25" s="171">
        <v>4</v>
      </c>
      <c r="U25" s="172">
        <v>23</v>
      </c>
      <c r="V25" s="143">
        <v>10</v>
      </c>
      <c r="W25" s="143">
        <v>10</v>
      </c>
      <c r="X25" s="143">
        <v>10</v>
      </c>
      <c r="Y25">
        <v>10</v>
      </c>
      <c r="Z25">
        <v>23</v>
      </c>
    </row>
    <row r="26" spans="2:26" x14ac:dyDescent="0.35">
      <c r="T26" s="144"/>
    </row>
    <row r="27" spans="2:26" x14ac:dyDescent="0.35">
      <c r="B27" s="149" t="s">
        <v>1498</v>
      </c>
      <c r="T27" s="147"/>
      <c r="U27" s="148"/>
    </row>
    <row r="28" spans="2:26" x14ac:dyDescent="0.35">
      <c r="B28" s="150" t="s">
        <v>1499</v>
      </c>
      <c r="C28" s="150" t="s">
        <v>1500</v>
      </c>
      <c r="D28" s="151" t="s">
        <v>1501</v>
      </c>
      <c r="E28" s="150" t="s">
        <v>1502</v>
      </c>
      <c r="F28" s="150" t="s">
        <v>1503</v>
      </c>
    </row>
    <row r="29" spans="2:26" x14ac:dyDescent="0.35">
      <c r="B29" s="152"/>
      <c r="C29" s="153"/>
      <c r="D29" s="154"/>
      <c r="E29" s="133"/>
      <c r="F29" s="155"/>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E9F35682-1F3C-4F98-BDF5-8BFB91FD2F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Lista</vt:lpstr>
      <vt:lpstr>Sheet1</vt:lpstr>
      <vt:lpstr>Sheet2</vt:lpstr>
      <vt:lpstr>Sheet5</vt:lpstr>
      <vt:lpstr>Sheet3</vt:lpstr>
      <vt:lpstr>Sheet4</vt:lpstr>
      <vt:lpstr>Tabelas</vt:lpstr>
      <vt:lpstr>Sheet6</vt:lpstr>
      <vt:lpstr>Regras de Cruzamento</vt:lpstr>
      <vt:lpstr>Restrições de Universo</vt:lpstr>
      <vt:lpstr>Descrição Testes</vt:lpstr>
      <vt:lpstr>transfer_sepatarget</vt:lpstr>
      <vt:lpstr>transfer_other</vt:lpstr>
      <vt:lpstr>direct_debit</vt:lpstr>
      <vt:lpstr>swift_message</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2025-01-16T18:24:52Z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